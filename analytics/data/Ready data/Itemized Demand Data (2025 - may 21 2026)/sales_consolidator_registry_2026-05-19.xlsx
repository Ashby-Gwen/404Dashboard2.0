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uelo\Desktop\Capstone (Redeem)\2026\System\Syluxent-Working Copy\analytics\data\Ready data\Itemized Demand Data (2025 - may 21 2026)\"/>
    </mc:Choice>
  </mc:AlternateContent>
  <xr:revisionPtr revIDLastSave="0" documentId="13_ncr:1_{F0FC8BAE-23F7-4416-83B8-E1BEB6961166}" xr6:coauthVersionLast="47" xr6:coauthVersionMax="47" xr10:uidLastSave="{00000000-0000-0000-0000-000000000000}"/>
  <bookViews>
    <workbookView xWindow="-26520" yWindow="-120" windowWidth="26640" windowHeight="14370" xr2:uid="{00000000-000D-0000-FFFF-FFFF00000000}"/>
  </bookViews>
  <sheets>
    <sheet name="Cleaned data" sheetId="6" r:id="rId1"/>
    <sheet name="Sheet3" sheetId="5" r:id="rId2"/>
    <sheet name="Compiled Registry" sheetId="1" r:id="rId3"/>
    <sheet name="Sheet2" sheetId="4" r:id="rId4"/>
  </sheets>
  <definedNames>
    <definedName name="_xlcn.WorksheetConnection_sales_consolidator_registry_20260519.xlsxTable31" hidden="1">Table3[]</definedName>
  </definedNames>
  <calcPr calcId="191029"/>
  <pivotCaches>
    <pivotCache cacheId="0" r:id="rId5"/>
    <pivotCache cacheId="1" r:id="rId6"/>
  </pivotCaches>
  <extLst>
    <ext xmlns:x15="http://schemas.microsoft.com/office/spreadsheetml/2010/11/main" uri="{FCE2AD5D-F65C-4FA6-A056-5C36A1767C68}">
      <x15:dataModel>
        <x15:modelTables>
          <x15:modelTable id="Table3" name="Table3" connection="WorksheetConnection_sales_consolidator_registry_2026-05-19.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86" i="1" l="1"/>
  <c r="B2386" i="1" s="1"/>
  <c r="A19" i="1"/>
  <c r="B19" i="1" s="1"/>
  <c r="A20" i="1"/>
  <c r="A21" i="1"/>
  <c r="B21" i="1" s="1"/>
  <c r="A22" i="1"/>
  <c r="A23" i="1"/>
  <c r="A24" i="1"/>
  <c r="A25" i="1"/>
  <c r="A26" i="1"/>
  <c r="A71" i="1"/>
  <c r="A27" i="1"/>
  <c r="B27" i="1" s="1"/>
  <c r="A72" i="1"/>
  <c r="B72" i="1" s="1"/>
  <c r="A28" i="1"/>
  <c r="A29" i="1"/>
  <c r="A30" i="1"/>
  <c r="A31" i="1"/>
  <c r="A32" i="1"/>
  <c r="A73" i="1"/>
  <c r="A43" i="1"/>
  <c r="A74" i="1"/>
  <c r="A44" i="1"/>
  <c r="A45" i="1"/>
  <c r="A46" i="1"/>
  <c r="A47" i="1"/>
  <c r="B47" i="1" s="1"/>
  <c r="A75" i="1"/>
  <c r="A48" i="1"/>
  <c r="A76" i="1"/>
  <c r="A77" i="1"/>
  <c r="A78" i="1"/>
  <c r="A82" i="1"/>
  <c r="A83" i="1"/>
  <c r="A79" i="1"/>
  <c r="A84" i="1"/>
  <c r="A85" i="1"/>
  <c r="A86" i="1"/>
  <c r="B86" i="1" s="1"/>
  <c r="A3" i="1"/>
  <c r="B3" i="1" s="1"/>
  <c r="A105" i="1"/>
  <c r="A106" i="1"/>
  <c r="A107" i="1"/>
  <c r="A108" i="1"/>
  <c r="A109" i="1"/>
  <c r="A110" i="1"/>
  <c r="A111" i="1"/>
  <c r="A112" i="1"/>
  <c r="A113" i="1"/>
  <c r="A114" i="1"/>
  <c r="A115" i="1"/>
  <c r="A116" i="1"/>
  <c r="B116" i="1" s="1"/>
  <c r="A117" i="1"/>
  <c r="A100" i="1"/>
  <c r="A118" i="1"/>
  <c r="A119" i="1"/>
  <c r="A131" i="1"/>
  <c r="A103" i="1"/>
  <c r="A104" i="1"/>
  <c r="A120" i="1"/>
  <c r="A121" i="1"/>
  <c r="A122" i="1"/>
  <c r="A123" i="1"/>
  <c r="A124" i="1"/>
  <c r="B124" i="1" s="1"/>
  <c r="A125" i="1"/>
  <c r="A126" i="1"/>
  <c r="A127" i="1"/>
  <c r="A128" i="1"/>
  <c r="A129" i="1"/>
  <c r="A151" i="1"/>
  <c r="A132" i="1"/>
  <c r="A133" i="1"/>
  <c r="A134" i="1"/>
  <c r="A135" i="1"/>
  <c r="A136" i="1"/>
  <c r="B136" i="1" s="1"/>
  <c r="A137" i="1"/>
  <c r="B137" i="1" s="1"/>
  <c r="A138" i="1"/>
  <c r="A139" i="1"/>
  <c r="A140" i="1"/>
  <c r="A141" i="1"/>
  <c r="A142" i="1"/>
  <c r="A143" i="1"/>
  <c r="A144" i="1"/>
  <c r="A152" i="1"/>
  <c r="A153" i="1"/>
  <c r="A154" i="1"/>
  <c r="A155" i="1"/>
  <c r="B155" i="1" s="1"/>
  <c r="A156" i="1"/>
  <c r="B156" i="1" s="1"/>
  <c r="A157" i="1"/>
  <c r="A158" i="1"/>
  <c r="A159" i="1"/>
  <c r="A160" i="1"/>
  <c r="A161" i="1"/>
  <c r="A162" i="1"/>
  <c r="A163" i="1"/>
  <c r="A164" i="1"/>
  <c r="A145" i="1"/>
  <c r="A146" i="1"/>
  <c r="A147" i="1"/>
  <c r="A148" i="1"/>
  <c r="B148" i="1" s="1"/>
  <c r="A149" i="1"/>
  <c r="A150" i="1"/>
  <c r="A165" i="1"/>
  <c r="A166" i="1"/>
  <c r="A167" i="1"/>
  <c r="A168" i="1"/>
  <c r="A169" i="1"/>
  <c r="A170" i="1"/>
  <c r="A171" i="1"/>
  <c r="A4" i="1"/>
  <c r="A5" i="1"/>
  <c r="A6" i="1"/>
  <c r="B6" i="1" s="1"/>
  <c r="A7" i="1"/>
  <c r="A172" i="1"/>
  <c r="A173" i="1"/>
  <c r="A174" i="1"/>
  <c r="A175" i="1"/>
  <c r="A187" i="1"/>
  <c r="A188" i="1"/>
  <c r="A176" i="1"/>
  <c r="A177" i="1"/>
  <c r="A178" i="1"/>
  <c r="A179" i="1"/>
  <c r="B179" i="1" s="1"/>
  <c r="A180" i="1"/>
  <c r="B180" i="1" s="1"/>
  <c r="A181" i="1"/>
  <c r="A182" i="1"/>
  <c r="A183" i="1"/>
  <c r="A196" i="1"/>
  <c r="A197" i="1"/>
  <c r="A198" i="1"/>
  <c r="A184" i="1"/>
  <c r="A185" i="1"/>
  <c r="A186" i="1"/>
  <c r="A205" i="1"/>
  <c r="A206" i="1"/>
  <c r="B206" i="1" s="1"/>
  <c r="A207" i="1"/>
  <c r="B207" i="1" s="1"/>
  <c r="A208" i="1"/>
  <c r="A209" i="1"/>
  <c r="A210" i="1"/>
  <c r="A211" i="1"/>
  <c r="A212" i="1"/>
  <c r="A213" i="1"/>
  <c r="A214" i="1"/>
  <c r="A215" i="1"/>
  <c r="A216" i="1"/>
  <c r="A217" i="1"/>
  <c r="A218" i="1"/>
  <c r="B218" i="1" s="1"/>
  <c r="A219" i="1"/>
  <c r="B219" i="1" s="1"/>
  <c r="A220" i="1"/>
  <c r="A221" i="1"/>
  <c r="A189" i="1"/>
  <c r="A190" i="1"/>
  <c r="A191" i="1"/>
  <c r="A192" i="1"/>
  <c r="A193" i="1"/>
  <c r="A262" i="1"/>
  <c r="A263" i="1"/>
  <c r="A264" i="1"/>
  <c r="A194" i="1"/>
  <c r="B194" i="1" s="1"/>
  <c r="A267" i="1"/>
  <c r="B267" i="1" s="1"/>
  <c r="A199" i="1"/>
  <c r="A200" i="1"/>
  <c r="A268" i="1"/>
  <c r="A269" i="1"/>
  <c r="A270" i="1"/>
  <c r="A271" i="1"/>
  <c r="A272" i="1"/>
  <c r="A273" i="1"/>
  <c r="A274" i="1"/>
  <c r="A298" i="1"/>
  <c r="A299" i="1"/>
  <c r="A300" i="1"/>
  <c r="B300" i="1" s="1"/>
  <c r="A301" i="1"/>
  <c r="A201" i="1"/>
  <c r="A357" i="1"/>
  <c r="A202" i="1"/>
  <c r="A363" i="1"/>
  <c r="A364" i="1"/>
  <c r="A365" i="1"/>
  <c r="A366" i="1"/>
  <c r="A367" i="1"/>
  <c r="A368" i="1"/>
  <c r="A369" i="1"/>
  <c r="B369" i="1" s="1"/>
  <c r="A370" i="1"/>
  <c r="B370" i="1" s="1"/>
  <c r="A371" i="1"/>
  <c r="A372" i="1"/>
  <c r="A373" i="1"/>
  <c r="A374" i="1"/>
  <c r="A375" i="1"/>
  <c r="A376" i="1"/>
  <c r="A203" i="1"/>
  <c r="A385" i="1"/>
  <c r="A222" i="1"/>
  <c r="A223" i="1"/>
  <c r="A224" i="1"/>
  <c r="A225" i="1"/>
  <c r="B225" i="1" s="1"/>
  <c r="A226" i="1"/>
  <c r="A227" i="1"/>
  <c r="A228" i="1"/>
  <c r="A229" i="1"/>
  <c r="A230" i="1"/>
  <c r="A231" i="1"/>
  <c r="A386" i="1"/>
  <c r="A387" i="1"/>
  <c r="A388" i="1"/>
  <c r="A232" i="1"/>
  <c r="A233" i="1"/>
  <c r="A234" i="1"/>
  <c r="B234" i="1" s="1"/>
  <c r="A235" i="1"/>
  <c r="A236" i="1"/>
  <c r="A237" i="1"/>
  <c r="A238" i="1"/>
  <c r="A239" i="1"/>
  <c r="A240" i="1"/>
  <c r="A241" i="1"/>
  <c r="A389" i="1"/>
  <c r="A390" i="1"/>
  <c r="A391" i="1"/>
  <c r="A392" i="1"/>
  <c r="B392" i="1" s="1"/>
  <c r="A393" i="1"/>
  <c r="B393" i="1" s="1"/>
  <c r="A242" i="1"/>
  <c r="A243" i="1"/>
  <c r="A244" i="1"/>
  <c r="B244" i="1" s="1"/>
  <c r="A245" i="1"/>
  <c r="A246" i="1"/>
  <c r="A247" i="1"/>
  <c r="A248" i="1"/>
  <c r="A249" i="1"/>
  <c r="A250" i="1"/>
  <c r="A251" i="1"/>
  <c r="A252" i="1"/>
  <c r="A253" i="1"/>
  <c r="B253" i="1" s="1"/>
  <c r="A254" i="1"/>
  <c r="A255" i="1"/>
  <c r="A256" i="1"/>
  <c r="B256" i="1" s="1"/>
  <c r="A257" i="1"/>
  <c r="A258" i="1"/>
  <c r="A259" i="1"/>
  <c r="A260" i="1"/>
  <c r="A261" i="1"/>
  <c r="A394" i="1"/>
  <c r="A395" i="1"/>
  <c r="A396" i="1"/>
  <c r="B396" i="1" s="1"/>
  <c r="A397" i="1"/>
  <c r="B397" i="1" s="1"/>
  <c r="A398" i="1"/>
  <c r="A399" i="1"/>
  <c r="A400" i="1"/>
  <c r="B400" i="1" s="1"/>
  <c r="A464" i="1"/>
  <c r="A265" i="1"/>
  <c r="A266" i="1"/>
  <c r="A465" i="1"/>
  <c r="A466" i="1"/>
  <c r="A276" i="1"/>
  <c r="A277" i="1"/>
  <c r="A278" i="1"/>
  <c r="B278" i="1" s="1"/>
  <c r="A279" i="1"/>
  <c r="B279" i="1" s="1"/>
  <c r="A280" i="1"/>
  <c r="A281" i="1"/>
  <c r="A282" i="1"/>
  <c r="B282" i="1" s="1"/>
  <c r="A283" i="1"/>
  <c r="A284" i="1"/>
  <c r="A285" i="1"/>
  <c r="A467" i="1"/>
  <c r="A286" i="1"/>
  <c r="A287" i="1"/>
  <c r="A468" i="1"/>
  <c r="A288" i="1"/>
  <c r="A289" i="1"/>
  <c r="B289" i="1" s="1"/>
  <c r="A290" i="1"/>
  <c r="A291" i="1"/>
  <c r="A292" i="1"/>
  <c r="B292" i="1" s="1"/>
  <c r="A469" i="1"/>
  <c r="A293" i="1"/>
  <c r="A294" i="1"/>
  <c r="A295" i="1"/>
  <c r="A296" i="1"/>
  <c r="A297" i="1"/>
  <c r="A476" i="1"/>
  <c r="A477" i="1"/>
  <c r="A478" i="1"/>
  <c r="B478" i="1" s="1"/>
  <c r="A479" i="1"/>
  <c r="A480" i="1"/>
  <c r="A481" i="1"/>
  <c r="B481" i="1" s="1"/>
  <c r="A482" i="1"/>
  <c r="A483" i="1"/>
  <c r="A484" i="1"/>
  <c r="A485" i="1"/>
  <c r="A486" i="1"/>
  <c r="A487" i="1"/>
  <c r="A488" i="1"/>
  <c r="A489" i="1"/>
  <c r="B489" i="1" s="1"/>
  <c r="A490" i="1"/>
  <c r="B490" i="1" s="1"/>
  <c r="A491" i="1"/>
  <c r="A492" i="1"/>
  <c r="A2451" i="1"/>
  <c r="B2451" i="1" s="1"/>
  <c r="A2452" i="1"/>
  <c r="A2453" i="1"/>
  <c r="A2454" i="1"/>
  <c r="A2455" i="1"/>
  <c r="A2456" i="1"/>
  <c r="A493" i="1"/>
  <c r="A494" i="1"/>
  <c r="A495" i="1"/>
  <c r="A496" i="1"/>
  <c r="B496" i="1" s="1"/>
  <c r="A497" i="1"/>
  <c r="A498" i="1"/>
  <c r="A499" i="1"/>
  <c r="B499" i="1" s="1"/>
  <c r="A500" i="1"/>
  <c r="A501" i="1"/>
  <c r="A502" i="1"/>
  <c r="A503" i="1"/>
  <c r="A504" i="1"/>
  <c r="A505" i="1"/>
  <c r="A2457" i="1"/>
  <c r="A2458" i="1"/>
  <c r="B2458" i="1" s="1"/>
  <c r="A2459" i="1"/>
  <c r="B2459" i="1" s="1"/>
  <c r="A2460" i="1"/>
  <c r="A2461" i="1"/>
  <c r="A2462" i="1"/>
  <c r="B2462" i="1" s="1"/>
  <c r="A302" i="1"/>
  <c r="A303" i="1"/>
  <c r="A304" i="1"/>
  <c r="A305" i="1"/>
  <c r="A306" i="1"/>
  <c r="A307" i="1"/>
  <c r="A308" i="1"/>
  <c r="A309" i="1"/>
  <c r="B309" i="1" s="1"/>
  <c r="A310" i="1"/>
  <c r="B310" i="1" s="1"/>
  <c r="A506" i="1"/>
  <c r="A512" i="1"/>
  <c r="A513" i="1"/>
  <c r="B513" i="1" s="1"/>
  <c r="A514" i="1"/>
  <c r="A515" i="1"/>
  <c r="A311" i="1"/>
  <c r="A312" i="1"/>
  <c r="A313" i="1"/>
  <c r="A314" i="1"/>
  <c r="A315" i="1"/>
  <c r="A316" i="1"/>
  <c r="A317" i="1"/>
  <c r="B317" i="1" s="1"/>
  <c r="A318" i="1"/>
  <c r="A319" i="1"/>
  <c r="A320" i="1"/>
  <c r="B320" i="1" s="1"/>
  <c r="A101" i="1"/>
  <c r="B101" i="1" s="1"/>
  <c r="A321" i="1"/>
  <c r="A322" i="1"/>
  <c r="A323" i="1"/>
  <c r="B323" i="1" s="1"/>
  <c r="A324" i="1"/>
  <c r="A325" i="1"/>
  <c r="A326" i="1"/>
  <c r="A327" i="1"/>
  <c r="B327" i="1" s="1"/>
  <c r="A328" i="1"/>
  <c r="A329" i="1"/>
  <c r="A330" i="1"/>
  <c r="B330" i="1" s="1"/>
  <c r="A534" i="1"/>
  <c r="B534" i="1" s="1"/>
  <c r="A535" i="1"/>
  <c r="B535" i="1" s="1"/>
  <c r="A536" i="1"/>
  <c r="A537" i="1"/>
  <c r="A538" i="1"/>
  <c r="A539" i="1"/>
  <c r="A540" i="1"/>
  <c r="A541" i="1"/>
  <c r="A542" i="1"/>
  <c r="A543" i="1"/>
  <c r="B543" i="1" s="1"/>
  <c r="A544" i="1"/>
  <c r="A545" i="1"/>
  <c r="B545" i="1" s="1"/>
  <c r="A331" i="1"/>
  <c r="A332" i="1"/>
  <c r="B332" i="1" s="1"/>
  <c r="A333" i="1"/>
  <c r="A334" i="1"/>
  <c r="B334" i="1" s="1"/>
  <c r="A335" i="1"/>
  <c r="B335" i="1" s="1"/>
  <c r="A336" i="1"/>
  <c r="A337" i="1"/>
  <c r="A338" i="1"/>
  <c r="A339" i="1"/>
  <c r="A340" i="1"/>
  <c r="B340" i="1" s="1"/>
  <c r="A341" i="1"/>
  <c r="A342" i="1"/>
  <c r="B342" i="1" s="1"/>
  <c r="A343" i="1"/>
  <c r="A344" i="1"/>
  <c r="B344" i="1" s="1"/>
  <c r="A345" i="1"/>
  <c r="A346" i="1"/>
  <c r="A347" i="1"/>
  <c r="A348" i="1"/>
  <c r="A349" i="1"/>
  <c r="A350" i="1"/>
  <c r="A351" i="1"/>
  <c r="B351" i="1" s="1"/>
  <c r="A352" i="1"/>
  <c r="B352" i="1" s="1"/>
  <c r="A353" i="1"/>
  <c r="A354" i="1"/>
  <c r="B354" i="1" s="1"/>
  <c r="A355" i="1"/>
  <c r="B355" i="1" s="1"/>
  <c r="A356" i="1"/>
  <c r="B356" i="1" s="1"/>
  <c r="A548" i="1"/>
  <c r="A549" i="1"/>
  <c r="A550" i="1"/>
  <c r="A358" i="1"/>
  <c r="A359" i="1"/>
  <c r="A360" i="1"/>
  <c r="A361" i="1"/>
  <c r="B361" i="1" s="1"/>
  <c r="A362" i="1"/>
  <c r="B362" i="1" s="1"/>
  <c r="A551" i="1"/>
  <c r="A552" i="1"/>
  <c r="B552" i="1" s="1"/>
  <c r="A377" i="1"/>
  <c r="B377" i="1" s="1"/>
  <c r="A378" i="1"/>
  <c r="B378" i="1" s="1"/>
  <c r="A553" i="1"/>
  <c r="A554" i="1"/>
  <c r="A555" i="1"/>
  <c r="B555" i="1" s="1"/>
  <c r="A556" i="1"/>
  <c r="A379" i="1"/>
  <c r="A380" i="1"/>
  <c r="A557" i="1"/>
  <c r="B557" i="1" s="1"/>
  <c r="A381" i="1"/>
  <c r="B381" i="1" s="1"/>
  <c r="A382" i="1"/>
  <c r="A559" i="1"/>
  <c r="B559" i="1" s="1"/>
  <c r="A560" i="1"/>
  <c r="A383" i="1"/>
  <c r="B383" i="1" s="1"/>
  <c r="A384" i="1"/>
  <c r="A561" i="1"/>
  <c r="B561" i="1" s="1"/>
  <c r="A405" i="1"/>
  <c r="A562" i="1"/>
  <c r="A563" i="1"/>
  <c r="A406" i="1"/>
  <c r="A407" i="1"/>
  <c r="B407" i="1" s="1"/>
  <c r="A570" i="1"/>
  <c r="B570" i="1" s="1"/>
  <c r="A571" i="1"/>
  <c r="A572" i="1"/>
  <c r="B572" i="1" s="1"/>
  <c r="A573" i="1"/>
  <c r="A574" i="1"/>
  <c r="B574" i="1" s="1"/>
  <c r="A575" i="1"/>
  <c r="A576" i="1"/>
  <c r="B576" i="1" s="1"/>
  <c r="A603" i="1"/>
  <c r="B603" i="1" s="1"/>
  <c r="A604" i="1"/>
  <c r="A408" i="1"/>
  <c r="A605" i="1"/>
  <c r="A409" i="1"/>
  <c r="B409" i="1" s="1"/>
  <c r="A607" i="1"/>
  <c r="B607" i="1" s="1"/>
  <c r="A470" i="1"/>
  <c r="A471" i="1"/>
  <c r="B471" i="1" s="1"/>
  <c r="A472" i="1"/>
  <c r="B472" i="1" s="1"/>
  <c r="A473" i="1"/>
  <c r="B473" i="1" s="1"/>
  <c r="A608" i="1"/>
  <c r="A474" i="1"/>
  <c r="B474" i="1" s="1"/>
  <c r="A609" i="1"/>
  <c r="A610" i="1"/>
  <c r="A611" i="1"/>
  <c r="A612" i="1"/>
  <c r="A613" i="1"/>
  <c r="B613" i="1" s="1"/>
  <c r="A614" i="1"/>
  <c r="B614" i="1" s="1"/>
  <c r="A615" i="1"/>
  <c r="A616" i="1"/>
  <c r="B616" i="1" s="1"/>
  <c r="A617" i="1"/>
  <c r="A618" i="1"/>
  <c r="B618" i="1" s="1"/>
  <c r="A619" i="1"/>
  <c r="A620" i="1"/>
  <c r="A621" i="1"/>
  <c r="B621" i="1" s="1"/>
  <c r="A475" i="1"/>
  <c r="A631" i="1"/>
  <c r="A516" i="1"/>
  <c r="A517" i="1"/>
  <c r="B517" i="1" s="1"/>
  <c r="A518" i="1"/>
  <c r="B518" i="1" s="1"/>
  <c r="A519" i="1"/>
  <c r="A520" i="1"/>
  <c r="B520" i="1" s="1"/>
  <c r="A521" i="1"/>
  <c r="B521" i="1" s="1"/>
  <c r="A522" i="1"/>
  <c r="B522" i="1" s="1"/>
  <c r="A523" i="1"/>
  <c r="A524" i="1"/>
  <c r="B524" i="1" s="1"/>
  <c r="A525" i="1"/>
  <c r="A526" i="1"/>
  <c r="A527" i="1"/>
  <c r="A528" i="1"/>
  <c r="A632" i="1"/>
  <c r="B632" i="1" s="1"/>
  <c r="A633" i="1"/>
  <c r="B633" i="1" s="1"/>
  <c r="A634" i="1"/>
  <c r="A635" i="1"/>
  <c r="B635" i="1" s="1"/>
  <c r="A636" i="1"/>
  <c r="B636" i="1" s="1"/>
  <c r="A637" i="1"/>
  <c r="B637" i="1" s="1"/>
  <c r="A638" i="1"/>
  <c r="A546" i="1"/>
  <c r="B546" i="1" s="1"/>
  <c r="A547" i="1"/>
  <c r="B547" i="1" s="1"/>
  <c r="A663" i="1"/>
  <c r="A532" i="1"/>
  <c r="A533" i="1"/>
  <c r="A577" i="1"/>
  <c r="B577" i="1" s="1"/>
  <c r="A684" i="1"/>
  <c r="B684" i="1" s="1"/>
  <c r="A685" i="1"/>
  <c r="A687" i="1"/>
  <c r="B687" i="1" s="1"/>
  <c r="A578" i="1"/>
  <c r="B578" i="1" s="1"/>
  <c r="A708" i="1"/>
  <c r="B708" i="1" s="1"/>
  <c r="A579" i="1"/>
  <c r="A580" i="1"/>
  <c r="B580" i="1" s="1"/>
  <c r="A715" i="1"/>
  <c r="B715" i="1" s="1"/>
  <c r="A716" i="1"/>
  <c r="A581" i="1"/>
  <c r="A722" i="1"/>
  <c r="A723" i="1"/>
  <c r="B723" i="1" s="1"/>
  <c r="A724" i="1"/>
  <c r="B724" i="1" s="1"/>
  <c r="A725" i="1"/>
  <c r="A726" i="1"/>
  <c r="A727" i="1"/>
  <c r="B727" i="1" s="1"/>
  <c r="A728" i="1"/>
  <c r="B728" i="1" s="1"/>
  <c r="A729" i="1"/>
  <c r="A730" i="1"/>
  <c r="B730" i="1" s="1"/>
  <c r="A731" i="1"/>
  <c r="A732" i="1"/>
  <c r="A582" i="1"/>
  <c r="A739" i="1"/>
  <c r="A740" i="1"/>
  <c r="B740" i="1" s="1"/>
  <c r="A583" i="1"/>
  <c r="B583" i="1" s="1"/>
  <c r="A741" i="1"/>
  <c r="A742" i="1"/>
  <c r="A743" i="1"/>
  <c r="B743" i="1" s="1"/>
  <c r="A744" i="1"/>
  <c r="B744" i="1" s="1"/>
  <c r="A584" i="1"/>
  <c r="A585" i="1"/>
  <c r="B585" i="1" s="1"/>
  <c r="A586" i="1"/>
  <c r="A587" i="1"/>
  <c r="A745" i="1"/>
  <c r="A588" i="1"/>
  <c r="A589" i="1"/>
  <c r="B589" i="1" s="1"/>
  <c r="A746" i="1"/>
  <c r="B746" i="1" s="1"/>
  <c r="A747" i="1"/>
  <c r="A87" i="1"/>
  <c r="A88" i="1"/>
  <c r="B88" i="1" s="1"/>
  <c r="A748" i="1"/>
  <c r="B748" i="1" s="1"/>
  <c r="A749" i="1"/>
  <c r="A771" i="1"/>
  <c r="B771" i="1" s="1"/>
  <c r="A622" i="1"/>
  <c r="A623" i="1"/>
  <c r="A772" i="1"/>
  <c r="A624" i="1"/>
  <c r="A625" i="1"/>
  <c r="A626" i="1"/>
  <c r="A773" i="1"/>
  <c r="A627" i="1"/>
  <c r="A628" i="1"/>
  <c r="B628" i="1" s="1"/>
  <c r="A629" i="1"/>
  <c r="B629" i="1" s="1"/>
  <c r="A630" i="1"/>
  <c r="A774" i="1"/>
  <c r="B774" i="1" s="1"/>
  <c r="A639" i="1"/>
  <c r="B639" i="1" s="1"/>
  <c r="A640" i="1"/>
  <c r="A641" i="1"/>
  <c r="A642" i="1"/>
  <c r="A775" i="1"/>
  <c r="A643" i="1"/>
  <c r="A644" i="1"/>
  <c r="A645" i="1"/>
  <c r="A646" i="1"/>
  <c r="A776" i="1"/>
  <c r="B776" i="1" s="1"/>
  <c r="A647" i="1"/>
  <c r="A648" i="1"/>
  <c r="B648" i="1" s="1"/>
  <c r="A649" i="1"/>
  <c r="B649" i="1" s="1"/>
  <c r="A650" i="1"/>
  <c r="A777" i="1"/>
  <c r="A651" i="1"/>
  <c r="A652" i="1"/>
  <c r="B652" i="1" s="1"/>
  <c r="A653" i="1"/>
  <c r="B653" i="1" s="1"/>
  <c r="A654" i="1"/>
  <c r="A778" i="1"/>
  <c r="A655" i="1"/>
  <c r="A656" i="1"/>
  <c r="B656" i="1" s="1"/>
  <c r="A657" i="1"/>
  <c r="A658" i="1"/>
  <c r="B658" i="1" s="1"/>
  <c r="A779" i="1"/>
  <c r="A659" i="1"/>
  <c r="A660" i="1"/>
  <c r="A661" i="1"/>
  <c r="A662" i="1"/>
  <c r="B662" i="1" s="1"/>
  <c r="A780" i="1"/>
  <c r="B780" i="1" s="1"/>
  <c r="A781" i="1"/>
  <c r="A664" i="1"/>
  <c r="A788" i="1"/>
  <c r="B788" i="1" s="1"/>
  <c r="A789" i="1"/>
  <c r="B789" i="1" s="1"/>
  <c r="A790" i="1"/>
  <c r="A791" i="1"/>
  <c r="B791" i="1" s="1"/>
  <c r="A792" i="1"/>
  <c r="A793" i="1"/>
  <c r="A794" i="1"/>
  <c r="A795" i="1"/>
  <c r="A796" i="1"/>
  <c r="B796" i="1" s="1"/>
  <c r="A797" i="1"/>
  <c r="A665" i="1"/>
  <c r="A826" i="1"/>
  <c r="A666" i="1"/>
  <c r="B666" i="1" s="1"/>
  <c r="A827" i="1"/>
  <c r="B827" i="1" s="1"/>
  <c r="A828" i="1"/>
  <c r="A829" i="1"/>
  <c r="B829" i="1" s="1"/>
  <c r="A830" i="1"/>
  <c r="A831" i="1"/>
  <c r="A832" i="1"/>
  <c r="A667" i="1"/>
  <c r="A833" i="1"/>
  <c r="B833" i="1" s="1"/>
  <c r="A834" i="1"/>
  <c r="B834" i="1" s="1"/>
  <c r="A835" i="1"/>
  <c r="A836" i="1"/>
  <c r="A837" i="1"/>
  <c r="A838" i="1"/>
  <c r="B838" i="1" s="1"/>
  <c r="A839" i="1"/>
  <c r="A840" i="1"/>
  <c r="B840" i="1" s="1"/>
  <c r="A841" i="1"/>
  <c r="B841" i="1" s="1"/>
  <c r="A842" i="1"/>
  <c r="A843" i="1"/>
  <c r="A844" i="1"/>
  <c r="A845" i="1"/>
  <c r="A682" i="1"/>
  <c r="B682" i="1" s="1"/>
  <c r="A849" i="1"/>
  <c r="A558" i="1"/>
  <c r="A850" i="1"/>
  <c r="B850" i="1" s="1"/>
  <c r="A851" i="1"/>
  <c r="B851" i="1" s="1"/>
  <c r="A852" i="1"/>
  <c r="A853" i="1"/>
  <c r="B853" i="1" s="1"/>
  <c r="A691" i="1"/>
  <c r="B691" i="1" s="1"/>
  <c r="A692" i="1"/>
  <c r="A693" i="1"/>
  <c r="A694" i="1"/>
  <c r="A695" i="1"/>
  <c r="A696" i="1"/>
  <c r="B696" i="1" s="1"/>
  <c r="A697" i="1"/>
  <c r="A698" i="1"/>
  <c r="A699" i="1"/>
  <c r="B699" i="1" s="1"/>
  <c r="A854" i="1"/>
  <c r="B854" i="1" s="1"/>
  <c r="A700" i="1"/>
  <c r="A701" i="1"/>
  <c r="B701" i="1" s="1"/>
  <c r="A702" i="1"/>
  <c r="B702" i="1" s="1"/>
  <c r="A703" i="1"/>
  <c r="A704" i="1"/>
  <c r="A705" i="1"/>
  <c r="A706" i="1"/>
  <c r="A707" i="1"/>
  <c r="B707" i="1" s="1"/>
  <c r="A856" i="1"/>
  <c r="A857" i="1"/>
  <c r="A858" i="1"/>
  <c r="B858" i="1" s="1"/>
  <c r="A859" i="1"/>
  <c r="B859" i="1" s="1"/>
  <c r="A860" i="1"/>
  <c r="A861" i="1"/>
  <c r="B861" i="1" s="1"/>
  <c r="A862" i="1"/>
  <c r="A863" i="1"/>
  <c r="A709" i="1"/>
  <c r="A864" i="1"/>
  <c r="A865" i="1"/>
  <c r="B865" i="1" s="1"/>
  <c r="A710" i="1"/>
  <c r="B710" i="1" s="1"/>
  <c r="A711" i="1"/>
  <c r="A712" i="1"/>
  <c r="A713" i="1"/>
  <c r="A733" i="1"/>
  <c r="B733" i="1" s="1"/>
  <c r="A734" i="1"/>
  <c r="A735" i="1"/>
  <c r="B735" i="1" s="1"/>
  <c r="A736" i="1"/>
  <c r="B736" i="1" s="1"/>
  <c r="A737" i="1"/>
  <c r="A738" i="1"/>
  <c r="A869" i="1"/>
  <c r="A870" i="1"/>
  <c r="B870" i="1" s="1"/>
  <c r="A871" i="1"/>
  <c r="B871" i="1" s="1"/>
  <c r="A872" i="1"/>
  <c r="A873" i="1"/>
  <c r="A874" i="1"/>
  <c r="A875" i="1"/>
  <c r="B875" i="1" s="1"/>
  <c r="A876" i="1"/>
  <c r="A877" i="1"/>
  <c r="B877" i="1" s="1"/>
  <c r="A878" i="1"/>
  <c r="A879" i="1"/>
  <c r="A880" i="1"/>
  <c r="A881" i="1"/>
  <c r="A882" i="1"/>
  <c r="A883" i="1"/>
  <c r="B883" i="1" s="1"/>
  <c r="A884" i="1"/>
  <c r="A885" i="1"/>
  <c r="A750" i="1"/>
  <c r="B750" i="1" s="1"/>
  <c r="A751" i="1"/>
  <c r="B751" i="1" s="1"/>
  <c r="A752" i="1"/>
  <c r="A753" i="1"/>
  <c r="B753" i="1" s="1"/>
  <c r="A754" i="1"/>
  <c r="A755" i="1"/>
  <c r="A756" i="1"/>
  <c r="A757" i="1"/>
  <c r="A758" i="1"/>
  <c r="B758" i="1" s="1"/>
  <c r="A759" i="1"/>
  <c r="B759" i="1" s="1"/>
  <c r="A894" i="1"/>
  <c r="A895" i="1"/>
  <c r="A896" i="1"/>
  <c r="B896" i="1" s="1"/>
  <c r="A760" i="1"/>
  <c r="B760" i="1" s="1"/>
  <c r="A761" i="1"/>
  <c r="A762" i="1"/>
  <c r="B762" i="1" s="1"/>
  <c r="A763" i="1"/>
  <c r="B763" i="1" s="1"/>
  <c r="A764" i="1"/>
  <c r="A765" i="1"/>
  <c r="A766" i="1"/>
  <c r="A767" i="1"/>
  <c r="B767" i="1" s="1"/>
  <c r="A768" i="1"/>
  <c r="B768" i="1" s="1"/>
  <c r="A769" i="1"/>
  <c r="A782" i="1"/>
  <c r="A908" i="1"/>
  <c r="B908" i="1" s="1"/>
  <c r="A909" i="1"/>
  <c r="B909" i="1" s="1"/>
  <c r="A910" i="1"/>
  <c r="A911" i="1"/>
  <c r="B911" i="1" s="1"/>
  <c r="A912" i="1"/>
  <c r="B912" i="1" s="1"/>
  <c r="A913" i="1"/>
  <c r="A914" i="1"/>
  <c r="A915" i="1"/>
  <c r="A916" i="1"/>
  <c r="A917" i="1"/>
  <c r="B917" i="1" s="1"/>
  <c r="A918" i="1"/>
  <c r="A919" i="1"/>
  <c r="A920" i="1"/>
  <c r="B920" i="1" s="1"/>
  <c r="A921" i="1"/>
  <c r="B921" i="1" s="1"/>
  <c r="A922" i="1"/>
  <c r="A783" i="1"/>
  <c r="B783" i="1" s="1"/>
  <c r="A897" i="1"/>
  <c r="B897" i="1" s="1"/>
  <c r="A898" i="1"/>
  <c r="A899" i="1"/>
  <c r="A900" i="1"/>
  <c r="A901" i="1"/>
  <c r="B901" i="1" s="1"/>
  <c r="A902" i="1"/>
  <c r="B902" i="1" s="1"/>
  <c r="A903" i="1"/>
  <c r="A904" i="1"/>
  <c r="A905" i="1"/>
  <c r="B905" i="1" s="1"/>
  <c r="A906" i="1"/>
  <c r="B906" i="1" s="1"/>
  <c r="A907" i="1"/>
  <c r="A784" i="1"/>
  <c r="B784" i="1" s="1"/>
  <c r="A785" i="1"/>
  <c r="A923" i="1"/>
  <c r="A924" i="1"/>
  <c r="A786" i="1"/>
  <c r="A925" i="1"/>
  <c r="B925" i="1" s="1"/>
  <c r="A932" i="1"/>
  <c r="B932" i="1" s="1"/>
  <c r="A787" i="1"/>
  <c r="A933" i="1"/>
  <c r="A934" i="1"/>
  <c r="B934" i="1" s="1"/>
  <c r="A935" i="1"/>
  <c r="B935" i="1" s="1"/>
  <c r="A936" i="1"/>
  <c r="A937" i="1"/>
  <c r="B937" i="1" s="1"/>
  <c r="A938" i="1"/>
  <c r="A939" i="1"/>
  <c r="A940" i="1"/>
  <c r="A941" i="1"/>
  <c r="A942" i="1"/>
  <c r="B942" i="1" s="1"/>
  <c r="A943" i="1"/>
  <c r="B943" i="1" s="1"/>
  <c r="A944" i="1"/>
  <c r="A945" i="1"/>
  <c r="A946" i="1"/>
  <c r="B946" i="1" s="1"/>
  <c r="A947" i="1"/>
  <c r="B947" i="1" s="1"/>
  <c r="A948" i="1"/>
  <c r="A806" i="1"/>
  <c r="B806" i="1" s="1"/>
  <c r="A807" i="1"/>
  <c r="A950" i="1"/>
  <c r="A951" i="1"/>
  <c r="A808" i="1"/>
  <c r="A809" i="1"/>
  <c r="B809" i="1" s="1"/>
  <c r="A966" i="1"/>
  <c r="B966" i="1" s="1"/>
  <c r="A810" i="1"/>
  <c r="A967" i="1"/>
  <c r="B967" i="1" s="1"/>
  <c r="A811" i="1"/>
  <c r="B811" i="1" s="1"/>
  <c r="A812" i="1"/>
  <c r="B812" i="1" s="1"/>
  <c r="A813" i="1"/>
  <c r="A814" i="1"/>
  <c r="B814" i="1" s="1"/>
  <c r="A815" i="1"/>
  <c r="B815" i="1" s="1"/>
  <c r="A816" i="1"/>
  <c r="A817" i="1"/>
  <c r="A818" i="1"/>
  <c r="A819" i="1"/>
  <c r="B819" i="1" s="1"/>
  <c r="A968" i="1"/>
  <c r="B968" i="1" s="1"/>
  <c r="A80" i="1"/>
  <c r="A81" i="1"/>
  <c r="A981" i="1"/>
  <c r="B981" i="1" s="1"/>
  <c r="A821" i="1"/>
  <c r="B821" i="1" s="1"/>
  <c r="A822" i="1"/>
  <c r="A982" i="1"/>
  <c r="B982" i="1" s="1"/>
  <c r="A983" i="1"/>
  <c r="A984" i="1"/>
  <c r="A985" i="1"/>
  <c r="A986" i="1"/>
  <c r="A987" i="1"/>
  <c r="A823" i="1"/>
  <c r="B823" i="1" s="1"/>
  <c r="A824" i="1"/>
  <c r="A825" i="1"/>
  <c r="A992" i="1"/>
  <c r="B992" i="1" s="1"/>
  <c r="A993" i="1"/>
  <c r="B993" i="1" s="1"/>
  <c r="A994" i="1"/>
  <c r="A995" i="1"/>
  <c r="B995" i="1" s="1"/>
  <c r="A996" i="1"/>
  <c r="A997" i="1"/>
  <c r="A998" i="1"/>
  <c r="A999" i="1"/>
  <c r="A1000" i="1"/>
  <c r="B1000" i="1" s="1"/>
  <c r="A1001" i="1"/>
  <c r="B1001" i="1" s="1"/>
  <c r="A1002" i="1"/>
  <c r="A1003" i="1"/>
  <c r="A1056" i="1"/>
  <c r="B1056" i="1" s="1"/>
  <c r="A1057" i="1"/>
  <c r="B1057" i="1" s="1"/>
  <c r="A1075" i="1"/>
  <c r="A1076" i="1"/>
  <c r="B1076" i="1" s="1"/>
  <c r="A1077" i="1"/>
  <c r="A1078" i="1"/>
  <c r="A1079" i="1"/>
  <c r="A1080" i="1"/>
  <c r="A846" i="1"/>
  <c r="A1113" i="1"/>
  <c r="A855" i="1"/>
  <c r="A1115" i="1"/>
  <c r="B1115" i="1" s="1"/>
  <c r="A1116" i="1"/>
  <c r="B1116" i="1" s="1"/>
  <c r="A1117" i="1"/>
  <c r="B1117" i="1" s="1"/>
  <c r="A1118" i="1"/>
  <c r="A1119" i="1"/>
  <c r="B1119" i="1" s="1"/>
  <c r="A866" i="1"/>
  <c r="B866" i="1" s="1"/>
  <c r="A1121" i="1"/>
  <c r="A867" i="1"/>
  <c r="A868" i="1"/>
  <c r="A1123" i="1"/>
  <c r="B1123" i="1" s="1"/>
  <c r="A886" i="1"/>
  <c r="B886" i="1" s="1"/>
  <c r="A887" i="1"/>
  <c r="A888" i="1"/>
  <c r="B888" i="1" s="1"/>
  <c r="A1135" i="1"/>
  <c r="B1135" i="1" s="1"/>
  <c r="A949" i="1"/>
  <c r="B949" i="1" s="1"/>
  <c r="A1181" i="1"/>
  <c r="A1182" i="1"/>
  <c r="B1182" i="1" s="1"/>
  <c r="A1183" i="1"/>
  <c r="B1183" i="1" s="1"/>
  <c r="A1184" i="1"/>
  <c r="A1185" i="1"/>
  <c r="A1186" i="1"/>
  <c r="A1187" i="1"/>
  <c r="B1187" i="1" s="1"/>
  <c r="A1188" i="1"/>
  <c r="A1189" i="1"/>
  <c r="A1190" i="1"/>
  <c r="B1190" i="1" s="1"/>
  <c r="A1191" i="1"/>
  <c r="B1191" i="1" s="1"/>
  <c r="A1192" i="1"/>
  <c r="B1192" i="1" s="1"/>
  <c r="A1193" i="1"/>
  <c r="A1194" i="1"/>
  <c r="B1194" i="1" s="1"/>
  <c r="A952" i="1"/>
  <c r="A2449" i="1"/>
  <c r="A953" i="1"/>
  <c r="A1220" i="1"/>
  <c r="A954" i="1"/>
  <c r="B954" i="1" s="1"/>
  <c r="A1221" i="1"/>
  <c r="B1221" i="1" s="1"/>
  <c r="A1222" i="1"/>
  <c r="A1223" i="1"/>
  <c r="A1224" i="1"/>
  <c r="B1224" i="1" s="1"/>
  <c r="A1225" i="1"/>
  <c r="B1225" i="1" s="1"/>
  <c r="A1226" i="1"/>
  <c r="A1227" i="1"/>
  <c r="B1227" i="1" s="1"/>
  <c r="A1228" i="1"/>
  <c r="A1229" i="1"/>
  <c r="A1230" i="1"/>
  <c r="A1231" i="1"/>
  <c r="A1232" i="1"/>
  <c r="B1232" i="1" s="1"/>
  <c r="A1233" i="1"/>
  <c r="B1233" i="1" s="1"/>
  <c r="A1234" i="1"/>
  <c r="A955" i="1"/>
  <c r="A1235" i="1"/>
  <c r="B1235" i="1" s="1"/>
  <c r="A1236" i="1"/>
  <c r="B1236" i="1" s="1"/>
  <c r="A1237" i="1"/>
  <c r="A1238" i="1"/>
  <c r="B1238" i="1" s="1"/>
  <c r="A1239" i="1"/>
  <c r="B1239" i="1" s="1"/>
  <c r="A1240" i="1"/>
  <c r="A1241" i="1"/>
  <c r="A1242" i="1"/>
  <c r="A1243" i="1"/>
  <c r="A1244" i="1"/>
  <c r="B1244" i="1" s="1"/>
  <c r="A1245" i="1"/>
  <c r="A1246" i="1"/>
  <c r="A1247" i="1"/>
  <c r="B1247" i="1" s="1"/>
  <c r="A1248" i="1"/>
  <c r="B1248" i="1" s="1"/>
  <c r="A956" i="1"/>
  <c r="A1261" i="1"/>
  <c r="B1261" i="1" s="1"/>
  <c r="A957" i="1"/>
  <c r="A1262" i="1"/>
  <c r="A1263" i="1"/>
  <c r="A1264" i="1"/>
  <c r="A1265" i="1"/>
  <c r="B1265" i="1" s="1"/>
  <c r="A958" i="1"/>
  <c r="B958" i="1" s="1"/>
  <c r="A1266" i="1"/>
  <c r="A959" i="1"/>
  <c r="B959" i="1" s="1"/>
  <c r="A1267" i="1"/>
  <c r="B1267" i="1" s="1"/>
  <c r="A969" i="1"/>
  <c r="B969" i="1" s="1"/>
  <c r="A970" i="1"/>
  <c r="A971" i="1"/>
  <c r="B971" i="1" s="1"/>
  <c r="A972" i="1"/>
  <c r="B972" i="1" s="1"/>
  <c r="A973" i="1"/>
  <c r="A974" i="1"/>
  <c r="A975" i="1"/>
  <c r="A976" i="1"/>
  <c r="B976" i="1" s="1"/>
  <c r="A977" i="1"/>
  <c r="B977" i="1" s="1"/>
  <c r="A978" i="1"/>
  <c r="A979" i="1"/>
  <c r="B979" i="1" s="1"/>
  <c r="A980" i="1"/>
  <c r="B980" i="1" s="1"/>
  <c r="A988" i="1"/>
  <c r="B988" i="1" s="1"/>
  <c r="A1268" i="1"/>
  <c r="A1269" i="1"/>
  <c r="B1269" i="1" s="1"/>
  <c r="A1270" i="1"/>
  <c r="B1270" i="1" s="1"/>
  <c r="A1271" i="1"/>
  <c r="A1272" i="1"/>
  <c r="A1273" i="1"/>
  <c r="A1274" i="1"/>
  <c r="B1274" i="1" s="1"/>
  <c r="A1275" i="1"/>
  <c r="B1275" i="1" s="1"/>
  <c r="A1276" i="1"/>
  <c r="A1277" i="1"/>
  <c r="B1277" i="1" s="1"/>
  <c r="A1280" i="1"/>
  <c r="B1280" i="1" s="1"/>
  <c r="A1281" i="1"/>
  <c r="B1281" i="1" s="1"/>
  <c r="A989" i="1"/>
  <c r="A990" i="1"/>
  <c r="B990" i="1" s="1"/>
  <c r="A1282" i="1"/>
  <c r="A1283" i="1"/>
  <c r="A991" i="1"/>
  <c r="A1285" i="1"/>
  <c r="A1286" i="1"/>
  <c r="B1286" i="1" s="1"/>
  <c r="A1287" i="1"/>
  <c r="B1287" i="1" s="1"/>
  <c r="A1288" i="1"/>
  <c r="A1289" i="1"/>
  <c r="A1290" i="1"/>
  <c r="B1290" i="1" s="1"/>
  <c r="A1291" i="1"/>
  <c r="B1291" i="1" s="1"/>
  <c r="A1292" i="1"/>
  <c r="A1293" i="1"/>
  <c r="B1293" i="1" s="1"/>
  <c r="A1294" i="1"/>
  <c r="B1294" i="1" s="1"/>
  <c r="A1295" i="1"/>
  <c r="A1296" i="1"/>
  <c r="A1297" i="1"/>
  <c r="A1004" i="1"/>
  <c r="B1004" i="1" s="1"/>
  <c r="A1005" i="1"/>
  <c r="B1005" i="1" s="1"/>
  <c r="A1006" i="1"/>
  <c r="A1007" i="1"/>
  <c r="A1008" i="1"/>
  <c r="B1008" i="1" s="1"/>
  <c r="A1009" i="1"/>
  <c r="B1009" i="1" s="1"/>
  <c r="A1010" i="1"/>
  <c r="A1011" i="1"/>
  <c r="B1011" i="1" s="1"/>
  <c r="A1012" i="1"/>
  <c r="B1012" i="1" s="1"/>
  <c r="A1310" i="1"/>
  <c r="A1311" i="1"/>
  <c r="A1041" i="1"/>
  <c r="A1312" i="1"/>
  <c r="A1313" i="1"/>
  <c r="B1313" i="1" s="1"/>
  <c r="A1314" i="1"/>
  <c r="A1315" i="1"/>
  <c r="A1043" i="1"/>
  <c r="B1043" i="1" s="1"/>
  <c r="A1044" i="1"/>
  <c r="B1044" i="1" s="1"/>
  <c r="A1045" i="1"/>
  <c r="A1046" i="1"/>
  <c r="B1046" i="1" s="1"/>
  <c r="A1047" i="1"/>
  <c r="B1047" i="1" s="1"/>
  <c r="A1048" i="1"/>
  <c r="A1049" i="1"/>
  <c r="A1050" i="1"/>
  <c r="A1051" i="1"/>
  <c r="B1051" i="1" s="1"/>
  <c r="A1052" i="1"/>
  <c r="A1053" i="1"/>
  <c r="A1054" i="1"/>
  <c r="B1054" i="1" s="1"/>
  <c r="A1058" i="1"/>
  <c r="B1058" i="1" s="1"/>
  <c r="A1059" i="1"/>
  <c r="B1059" i="1" s="1"/>
  <c r="A1060" i="1"/>
  <c r="A1061" i="1"/>
  <c r="B1061" i="1" s="1"/>
  <c r="A1062" i="1"/>
  <c r="A1063" i="1"/>
  <c r="A1064" i="1"/>
  <c r="A1065" i="1"/>
  <c r="A1066" i="1"/>
  <c r="B1066" i="1" s="1"/>
  <c r="A1067" i="1"/>
  <c r="B1067" i="1" s="1"/>
  <c r="A1068" i="1"/>
  <c r="A1069" i="1"/>
  <c r="B1069" i="1" s="1"/>
  <c r="A1070" i="1"/>
  <c r="B1070" i="1" s="1"/>
  <c r="A1071" i="1"/>
  <c r="B1071" i="1" s="1"/>
  <c r="A1072" i="1"/>
  <c r="A1073" i="1"/>
  <c r="B1073" i="1" s="1"/>
  <c r="A1074" i="1"/>
  <c r="B1074" i="1" s="1"/>
  <c r="A1322" i="1"/>
  <c r="A1323" i="1"/>
  <c r="A1324" i="1"/>
  <c r="A1325" i="1"/>
  <c r="A1365" i="1"/>
  <c r="B1365" i="1" s="1"/>
  <c r="A1081" i="1"/>
  <c r="A1082" i="1"/>
  <c r="B1082" i="1" s="1"/>
  <c r="A1083" i="1"/>
  <c r="B1083" i="1" s="1"/>
  <c r="A1084" i="1"/>
  <c r="B1084" i="1" s="1"/>
  <c r="A1085" i="1"/>
  <c r="A1086" i="1"/>
  <c r="B1086" i="1" s="1"/>
  <c r="A1087" i="1"/>
  <c r="A1088" i="1"/>
  <c r="A1089" i="1"/>
  <c r="A1090" i="1"/>
  <c r="A1091" i="1"/>
  <c r="B1091" i="1" s="1"/>
  <c r="A1092" i="1"/>
  <c r="B1092" i="1" s="1"/>
  <c r="A1093" i="1"/>
  <c r="A1094" i="1"/>
  <c r="A1095" i="1"/>
  <c r="B1095" i="1" s="1"/>
  <c r="A1096" i="1"/>
  <c r="B1096" i="1" s="1"/>
  <c r="A1097" i="1"/>
  <c r="A1098" i="1"/>
  <c r="B1098" i="1" s="1"/>
  <c r="A1099" i="1"/>
  <c r="B1099" i="1" s="1"/>
  <c r="A1100" i="1"/>
  <c r="A1101" i="1"/>
  <c r="A1366" i="1"/>
  <c r="A1399" i="1"/>
  <c r="A1400" i="1"/>
  <c r="B1400" i="1" s="1"/>
  <c r="A1401" i="1"/>
  <c r="A1402" i="1"/>
  <c r="A1403" i="1"/>
  <c r="B1403" i="1" s="1"/>
  <c r="A1404" i="1"/>
  <c r="B1404" i="1" s="1"/>
  <c r="A1405" i="1"/>
  <c r="A1406" i="1"/>
  <c r="B1406" i="1" s="1"/>
  <c r="A1407" i="1"/>
  <c r="B1407" i="1" s="1"/>
  <c r="A1408" i="1"/>
  <c r="A1409" i="1"/>
  <c r="A1410" i="1"/>
  <c r="A1411" i="1"/>
  <c r="B1411" i="1" s="1"/>
  <c r="A1102" i="1"/>
  <c r="B1102" i="1" s="1"/>
  <c r="A1103" i="1"/>
  <c r="A1104" i="1"/>
  <c r="A1105" i="1"/>
  <c r="B1105" i="1" s="1"/>
  <c r="A1106" i="1"/>
  <c r="B1106" i="1" s="1"/>
  <c r="A1107" i="1"/>
  <c r="A1108" i="1"/>
  <c r="B1108" i="1" s="1"/>
  <c r="A1109" i="1"/>
  <c r="B1109" i="1" s="1"/>
  <c r="A1110" i="1"/>
  <c r="A1111" i="1"/>
  <c r="A1112" i="1"/>
  <c r="A1412" i="1"/>
  <c r="B1412" i="1" s="1"/>
  <c r="A1114" i="1"/>
  <c r="B1114" i="1" s="1"/>
  <c r="A1428" i="1"/>
  <c r="A1429" i="1"/>
  <c r="B1429" i="1" s="1"/>
  <c r="A1120" i="1"/>
  <c r="B1120" i="1" s="1"/>
  <c r="A1431" i="1"/>
  <c r="B1431" i="1" s="1"/>
  <c r="A1124" i="1"/>
  <c r="A1125" i="1"/>
  <c r="B1125" i="1" s="1"/>
  <c r="A1126" i="1"/>
  <c r="A1127" i="1"/>
  <c r="A1128" i="1"/>
  <c r="A1433" i="1"/>
  <c r="A1129" i="1"/>
  <c r="B1129" i="1" s="1"/>
  <c r="A1130" i="1"/>
  <c r="B1130" i="1" s="1"/>
  <c r="A1467" i="1"/>
  <c r="A1468" i="1"/>
  <c r="B1468" i="1" s="1"/>
  <c r="A1136" i="1"/>
  <c r="B1136" i="1" s="1"/>
  <c r="A1137" i="1"/>
  <c r="B1137" i="1" s="1"/>
  <c r="A1138" i="1"/>
  <c r="A1139" i="1"/>
  <c r="B1139" i="1" s="1"/>
  <c r="A1140" i="1"/>
  <c r="A1141" i="1"/>
  <c r="A1142" i="1"/>
  <c r="A1487" i="1"/>
  <c r="A1488" i="1"/>
  <c r="B1488" i="1" s="1"/>
  <c r="A1489" i="1"/>
  <c r="B1489" i="1" s="1"/>
  <c r="A1490" i="1"/>
  <c r="A1491" i="1"/>
  <c r="B1491" i="1" s="1"/>
  <c r="A1492" i="1"/>
  <c r="B1492" i="1" s="1"/>
  <c r="A1493" i="1"/>
  <c r="B1493" i="1" s="1"/>
  <c r="A1494" i="1"/>
  <c r="A1495" i="1"/>
  <c r="B1495" i="1" s="1"/>
  <c r="A1496" i="1"/>
  <c r="B1496" i="1" s="1"/>
  <c r="A1497" i="1"/>
  <c r="A1498" i="1"/>
  <c r="A1499" i="1"/>
  <c r="A1143" i="1"/>
  <c r="B1143" i="1" s="1"/>
  <c r="A1500" i="1"/>
  <c r="B1500" i="1" s="1"/>
  <c r="A1501" i="1"/>
  <c r="A1502" i="1"/>
  <c r="A1144" i="1"/>
  <c r="B1144" i="1" s="1"/>
  <c r="A1503" i="1"/>
  <c r="B1503" i="1" s="1"/>
  <c r="A1145" i="1"/>
  <c r="A1146" i="1"/>
  <c r="B1146" i="1" s="1"/>
  <c r="A1504" i="1"/>
  <c r="A1505" i="1"/>
  <c r="A1506" i="1"/>
  <c r="A1507" i="1"/>
  <c r="A1508" i="1"/>
  <c r="B1508" i="1" s="1"/>
  <c r="A1509" i="1"/>
  <c r="B1509" i="1" s="1"/>
  <c r="A1510" i="1"/>
  <c r="A1147" i="1"/>
  <c r="A1511" i="1"/>
  <c r="B1511" i="1" s="1"/>
  <c r="A1512" i="1"/>
  <c r="B1512" i="1" s="1"/>
  <c r="A1513" i="1"/>
  <c r="A1148" i="1"/>
  <c r="B1148" i="1" s="1"/>
  <c r="A1195" i="1"/>
  <c r="A1196" i="1"/>
  <c r="A1531" i="1"/>
  <c r="A1532" i="1"/>
  <c r="A1533" i="1"/>
  <c r="B1533" i="1" s="1"/>
  <c r="A1534" i="1"/>
  <c r="B1534" i="1" s="1"/>
  <c r="A1197" i="1"/>
  <c r="A1198" i="1"/>
  <c r="A1535" i="1"/>
  <c r="B1535" i="1" s="1"/>
  <c r="A1536" i="1"/>
  <c r="B1536" i="1" s="1"/>
  <c r="A1537" i="1"/>
  <c r="A1538" i="1"/>
  <c r="B1538" i="1" s="1"/>
  <c r="A1539" i="1"/>
  <c r="B1539" i="1" s="1"/>
  <c r="A1540" i="1"/>
  <c r="A1541" i="1"/>
  <c r="A1542" i="1"/>
  <c r="A1543" i="1"/>
  <c r="A1544" i="1"/>
  <c r="B1544" i="1" s="1"/>
  <c r="A1545" i="1"/>
  <c r="A1546" i="1"/>
  <c r="B1546" i="1" s="1"/>
  <c r="A1547" i="1"/>
  <c r="B1547" i="1" s="1"/>
  <c r="A1199" i="1"/>
  <c r="B1199" i="1" s="1"/>
  <c r="A1200" i="1"/>
  <c r="A1548" i="1"/>
  <c r="B1548" i="1" s="1"/>
  <c r="A1201" i="1"/>
  <c r="A1202" i="1"/>
  <c r="A1571" i="1"/>
  <c r="A1216" i="1"/>
  <c r="A1217" i="1"/>
  <c r="A1218" i="1"/>
  <c r="B1218" i="1" s="1"/>
  <c r="A1219" i="1"/>
  <c r="A2450" i="1"/>
  <c r="B2450" i="1" s="1"/>
  <c r="A1249" i="1"/>
  <c r="B1249" i="1" s="1"/>
  <c r="A1250" i="1"/>
  <c r="B1250" i="1" s="1"/>
  <c r="A1251" i="1"/>
  <c r="A1252" i="1"/>
  <c r="B1252" i="1" s="1"/>
  <c r="A1253" i="1"/>
  <c r="B1253" i="1" s="1"/>
  <c r="A1254" i="1"/>
  <c r="A1255" i="1"/>
  <c r="A1256" i="1"/>
  <c r="A1627" i="1"/>
  <c r="B1627" i="1" s="1"/>
  <c r="A1628" i="1"/>
  <c r="A1257" i="1"/>
  <c r="A1258" i="1"/>
  <c r="B1258" i="1" s="1"/>
  <c r="A1259" i="1"/>
  <c r="B1259" i="1" s="1"/>
  <c r="A1260" i="1"/>
  <c r="B1260" i="1" s="1"/>
  <c r="A1629" i="1"/>
  <c r="A1278" i="1"/>
  <c r="B1278" i="1" s="1"/>
  <c r="A1630" i="1"/>
  <c r="B1630" i="1" s="1"/>
  <c r="A1279" i="1"/>
  <c r="A1648" i="1"/>
  <c r="A1649" i="1"/>
  <c r="A1284" i="1"/>
  <c r="B1284" i="1" s="1"/>
  <c r="A1298" i="1"/>
  <c r="B1298" i="1" s="1"/>
  <c r="A1299" i="1"/>
  <c r="A1699" i="1"/>
  <c r="B1699" i="1" s="1"/>
  <c r="A1700" i="1"/>
  <c r="B1700" i="1" s="1"/>
  <c r="A1701" i="1"/>
  <c r="B1701" i="1" s="1"/>
  <c r="A1305" i="1"/>
  <c r="A1306" i="1"/>
  <c r="B1306" i="1" s="1"/>
  <c r="A1307" i="1"/>
  <c r="A1308" i="1"/>
  <c r="A1703" i="1"/>
  <c r="A1704" i="1"/>
  <c r="A1705" i="1"/>
  <c r="B1705" i="1" s="1"/>
  <c r="A1706" i="1"/>
  <c r="B1706" i="1" s="1"/>
  <c r="A1707" i="1"/>
  <c r="A1316" i="1"/>
  <c r="B1316" i="1" s="1"/>
  <c r="A1317" i="1"/>
  <c r="B1317" i="1" s="1"/>
  <c r="A1709" i="1"/>
  <c r="B1709" i="1" s="1"/>
  <c r="A1710" i="1"/>
  <c r="A1711" i="1"/>
  <c r="B1711" i="1" s="1"/>
  <c r="A1712" i="1"/>
  <c r="A1713" i="1"/>
  <c r="A1714" i="1"/>
  <c r="A1715" i="1"/>
  <c r="A1716" i="1"/>
  <c r="A1717" i="1"/>
  <c r="B1717" i="1" s="1"/>
  <c r="A1718" i="1"/>
  <c r="A1719" i="1"/>
  <c r="B1719" i="1" s="1"/>
  <c r="A1720" i="1"/>
  <c r="B1720" i="1" s="1"/>
  <c r="A1721" i="1"/>
  <c r="B1721" i="1" s="1"/>
  <c r="A1318" i="1"/>
  <c r="A1723" i="1"/>
  <c r="B1723" i="1" s="1"/>
  <c r="A1724" i="1"/>
  <c r="B1724" i="1" s="1"/>
  <c r="A1725" i="1"/>
  <c r="A1726" i="1"/>
  <c r="A1727" i="1"/>
  <c r="A1728" i="1"/>
  <c r="B1728" i="1" s="1"/>
  <c r="A1729" i="1"/>
  <c r="B1729" i="1" s="1"/>
  <c r="A1730" i="1"/>
  <c r="A1731" i="1"/>
  <c r="A1732" i="1"/>
  <c r="A1733" i="1"/>
  <c r="B1733" i="1" s="1"/>
  <c r="A1734" i="1"/>
  <c r="A1319" i="1"/>
  <c r="B1319" i="1" s="1"/>
  <c r="A1320" i="1"/>
  <c r="B1320" i="1" s="1"/>
  <c r="A1735" i="1"/>
  <c r="A1736" i="1"/>
  <c r="A1737" i="1"/>
  <c r="A1738" i="1"/>
  <c r="B1738" i="1" s="1"/>
  <c r="A1739" i="1"/>
  <c r="B1739" i="1" s="1"/>
  <c r="A1740" i="1"/>
  <c r="A1741" i="1"/>
  <c r="B1741" i="1" s="1"/>
  <c r="A1742" i="1"/>
  <c r="B1742" i="1" s="1"/>
  <c r="A1743" i="1"/>
  <c r="B1743" i="1" s="1"/>
  <c r="A1744" i="1"/>
  <c r="A1745" i="1"/>
  <c r="B1745" i="1" s="1"/>
  <c r="A1774" i="1"/>
  <c r="B1774" i="1" s="1"/>
  <c r="A1321" i="1"/>
  <c r="A1326" i="1"/>
  <c r="A1327" i="1"/>
  <c r="A1328" i="1"/>
  <c r="B1328" i="1" s="1"/>
  <c r="A1329" i="1"/>
  <c r="B1329" i="1" s="1"/>
  <c r="A1330" i="1"/>
  <c r="A1331" i="1"/>
  <c r="B1331" i="1" s="1"/>
  <c r="A1332" i="1"/>
  <c r="A1333" i="1"/>
  <c r="B1333" i="1" s="1"/>
  <c r="A1334" i="1"/>
  <c r="A1335" i="1"/>
  <c r="B1335" i="1" s="1"/>
  <c r="A1336" i="1"/>
  <c r="B1336" i="1" s="1"/>
  <c r="A1337" i="1"/>
  <c r="A1338" i="1"/>
  <c r="A1339" i="1"/>
  <c r="A1340" i="1"/>
  <c r="B1340" i="1" s="1"/>
  <c r="A1341" i="1"/>
  <c r="B1341" i="1" s="1"/>
  <c r="A1342" i="1"/>
  <c r="A1783" i="1"/>
  <c r="A1784" i="1"/>
  <c r="B1784" i="1" s="1"/>
  <c r="A1785" i="1"/>
  <c r="B1785" i="1" s="1"/>
  <c r="A1786" i="1"/>
  <c r="A1787" i="1"/>
  <c r="B1787" i="1" s="1"/>
  <c r="A1788" i="1"/>
  <c r="B1788" i="1" s="1"/>
  <c r="A1789" i="1"/>
  <c r="A1790" i="1"/>
  <c r="A1791" i="1"/>
  <c r="A1792" i="1"/>
  <c r="A1793" i="1"/>
  <c r="B1793" i="1" s="1"/>
  <c r="A1794" i="1"/>
  <c r="A1343" i="1"/>
  <c r="B1343" i="1" s="1"/>
  <c r="A1344" i="1"/>
  <c r="B1344" i="1" s="1"/>
  <c r="A1345" i="1"/>
  <c r="B1345" i="1" s="1"/>
  <c r="A1346" i="1"/>
  <c r="A1347" i="1"/>
  <c r="B1347" i="1" s="1"/>
  <c r="A1348" i="1"/>
  <c r="B1348" i="1" s="1"/>
  <c r="A1349" i="1"/>
  <c r="A1350" i="1"/>
  <c r="A1351" i="1"/>
  <c r="A1352" i="1"/>
  <c r="B1352" i="1" s="1"/>
  <c r="A1353" i="1"/>
  <c r="B1353" i="1" s="1"/>
  <c r="A1354" i="1"/>
  <c r="A1355" i="1"/>
  <c r="A1356" i="1"/>
  <c r="B1356" i="1" s="1"/>
  <c r="A1357" i="1"/>
  <c r="B1357" i="1" s="1"/>
  <c r="A1358" i="1"/>
  <c r="A1359" i="1"/>
  <c r="B1359" i="1" s="1"/>
  <c r="A1360" i="1"/>
  <c r="B1360" i="1" s="1"/>
  <c r="A1795" i="1"/>
  <c r="A1796" i="1"/>
  <c r="A1797" i="1"/>
  <c r="A1798" i="1"/>
  <c r="B1798" i="1" s="1"/>
  <c r="A1799" i="1"/>
  <c r="B1799" i="1" s="1"/>
  <c r="A1800" i="1"/>
  <c r="A1801" i="1"/>
  <c r="A1802" i="1"/>
  <c r="B1802" i="1" s="1"/>
  <c r="A1361" i="1"/>
  <c r="B1361" i="1" s="1"/>
  <c r="A1362" i="1"/>
  <c r="A1363" i="1"/>
  <c r="B1363" i="1" s="1"/>
  <c r="A1364" i="1"/>
  <c r="B1364" i="1" s="1"/>
  <c r="A1803" i="1"/>
  <c r="A1529" i="1"/>
  <c r="A1808" i="1"/>
  <c r="A1809" i="1"/>
  <c r="A1810" i="1"/>
  <c r="B1810" i="1" s="1"/>
  <c r="A1434" i="1"/>
  <c r="A1828" i="1"/>
  <c r="A1469" i="1"/>
  <c r="B1469" i="1" s="1"/>
  <c r="A1470" i="1"/>
  <c r="B1470" i="1" s="1"/>
  <c r="A1471" i="1"/>
  <c r="A1472" i="1"/>
  <c r="B1472" i="1" s="1"/>
  <c r="A1830" i="1"/>
  <c r="B1830" i="1" s="1"/>
  <c r="A1831" i="1"/>
  <c r="A1473" i="1"/>
  <c r="A1474" i="1"/>
  <c r="A1475" i="1"/>
  <c r="B1475" i="1" s="1"/>
  <c r="A1476" i="1"/>
  <c r="B1476" i="1" s="1"/>
  <c r="A1832" i="1"/>
  <c r="A1833" i="1"/>
  <c r="B1833" i="1" s="1"/>
  <c r="A1477" i="1"/>
  <c r="B1477" i="1" s="1"/>
  <c r="A1478" i="1"/>
  <c r="B1478" i="1" s="1"/>
  <c r="A1479" i="1"/>
  <c r="A1480" i="1"/>
  <c r="B1480" i="1" s="1"/>
  <c r="A1481" i="1"/>
  <c r="B1481" i="1" s="1"/>
  <c r="A1482" i="1"/>
  <c r="A1483" i="1"/>
  <c r="A1484" i="1"/>
  <c r="A1485" i="1"/>
  <c r="A1486" i="1"/>
  <c r="B1486" i="1" s="1"/>
  <c r="A1834" i="1"/>
  <c r="A1835" i="1"/>
  <c r="B1835" i="1" s="1"/>
  <c r="A1514" i="1"/>
  <c r="B1514" i="1" s="1"/>
  <c r="A1515" i="1"/>
  <c r="B1515" i="1" s="1"/>
  <c r="A1516" i="1"/>
  <c r="A1836" i="1"/>
  <c r="B1836" i="1" s="1"/>
  <c r="A1811" i="1"/>
  <c r="B1811" i="1" s="1"/>
  <c r="A1812" i="1"/>
  <c r="A1517" i="1"/>
  <c r="A1518" i="1"/>
  <c r="A1519" i="1"/>
  <c r="B1519" i="1" s="1"/>
  <c r="A1520" i="1"/>
  <c r="B1520" i="1" s="1"/>
  <c r="A1521" i="1"/>
  <c r="A1522" i="1"/>
  <c r="B1522" i="1" s="1"/>
  <c r="A1523" i="1"/>
  <c r="B1523" i="1" s="1"/>
  <c r="A1524" i="1"/>
  <c r="B1524" i="1" s="1"/>
  <c r="A1525" i="1"/>
  <c r="A1526" i="1"/>
  <c r="B1526" i="1" s="1"/>
  <c r="A1527" i="1"/>
  <c r="B1527" i="1" s="1"/>
  <c r="A1528" i="1"/>
  <c r="A1851" i="1"/>
  <c r="A1852" i="1"/>
  <c r="A1853" i="1"/>
  <c r="B1853" i="1" s="1"/>
  <c r="A1549" i="1"/>
  <c r="B1549" i="1" s="1"/>
  <c r="A1550" i="1"/>
  <c r="A1854" i="1"/>
  <c r="B1854" i="1" s="1"/>
  <c r="A1551" i="1"/>
  <c r="B1551" i="1" s="1"/>
  <c r="A1552" i="1"/>
  <c r="B1552" i="1" s="1"/>
  <c r="A1553" i="1"/>
  <c r="A1554" i="1"/>
  <c r="B1554" i="1" s="1"/>
  <c r="A1855" i="1"/>
  <c r="B1855" i="1" s="1"/>
  <c r="A1555" i="1"/>
  <c r="A1556" i="1"/>
  <c r="A1557" i="1"/>
  <c r="A1558" i="1"/>
  <c r="B1558" i="1" s="1"/>
  <c r="A1559" i="1"/>
  <c r="B1559" i="1" s="1"/>
  <c r="A1560" i="1"/>
  <c r="A1561" i="1"/>
  <c r="A1562" i="1"/>
  <c r="B1562" i="1" s="1"/>
  <c r="A1563" i="1"/>
  <c r="B1563" i="1" s="1"/>
  <c r="A1864" i="1"/>
  <c r="A1865" i="1"/>
  <c r="B1865" i="1" s="1"/>
  <c r="A1866" i="1"/>
  <c r="B1866" i="1" s="1"/>
  <c r="A1867" i="1"/>
  <c r="A1868" i="1"/>
  <c r="A1869" i="1"/>
  <c r="A1870" i="1"/>
  <c r="B1870" i="1" s="1"/>
  <c r="A1871" i="1"/>
  <c r="B1871" i="1" s="1"/>
  <c r="A1872" i="1"/>
  <c r="A1873" i="1"/>
  <c r="B1873" i="1" s="1"/>
  <c r="A1874" i="1"/>
  <c r="B1874" i="1" s="1"/>
  <c r="A1564" i="1"/>
  <c r="B1564" i="1" s="1"/>
  <c r="A1875" i="1"/>
  <c r="A1565" i="1"/>
  <c r="B1565" i="1" s="1"/>
  <c r="A1876" i="1"/>
  <c r="B1876" i="1" s="1"/>
  <c r="A1566" i="1"/>
  <c r="A1877" i="1"/>
  <c r="A1567" i="1"/>
  <c r="A1880" i="1"/>
  <c r="B1880" i="1" s="1"/>
  <c r="A1568" i="1"/>
  <c r="B1568" i="1" s="1"/>
  <c r="A1569" i="1"/>
  <c r="A1881" i="1"/>
  <c r="B1881" i="1" s="1"/>
  <c r="A1882" i="1"/>
  <c r="B1882" i="1" s="1"/>
  <c r="A1887" i="1"/>
  <c r="B1887" i="1" s="1"/>
  <c r="A1888" i="1"/>
  <c r="A1570" i="1"/>
  <c r="B1570" i="1" s="1"/>
  <c r="A1889" i="1"/>
  <c r="B1889" i="1" s="1"/>
  <c r="A1890" i="1"/>
  <c r="A1622" i="1"/>
  <c r="A1891" i="1"/>
  <c r="A1623" i="1"/>
  <c r="B1623" i="1" s="1"/>
  <c r="A1631" i="1"/>
  <c r="B1631" i="1" s="1"/>
  <c r="A1632" i="1"/>
  <c r="A1633" i="1"/>
  <c r="A1634" i="1"/>
  <c r="B1634" i="1" s="1"/>
  <c r="A1898" i="1"/>
  <c r="B1898" i="1" s="1"/>
  <c r="A1899" i="1"/>
  <c r="A1900" i="1"/>
  <c r="B1900" i="1" s="1"/>
  <c r="A1650" i="1"/>
  <c r="B1650" i="1" s="1"/>
  <c r="A1932" i="1"/>
  <c r="A1933" i="1"/>
  <c r="A1934" i="1"/>
  <c r="A1651" i="1"/>
  <c r="B1651" i="1" s="1"/>
  <c r="A1652" i="1"/>
  <c r="B1652" i="1" s="1"/>
  <c r="A1653" i="1"/>
  <c r="A1654" i="1"/>
  <c r="A1655" i="1"/>
  <c r="B1655" i="1" s="1"/>
  <c r="A1656" i="1"/>
  <c r="B1656" i="1" s="1"/>
  <c r="A1657" i="1"/>
  <c r="A1658" i="1"/>
  <c r="B1658" i="1" s="1"/>
  <c r="A1659" i="1"/>
  <c r="B1659" i="1" s="1"/>
  <c r="A1660" i="1"/>
  <c r="A1661" i="1"/>
  <c r="A1662" i="1"/>
  <c r="A1663" i="1"/>
  <c r="B1663" i="1" s="1"/>
  <c r="A1664" i="1"/>
  <c r="B1664" i="1" s="1"/>
  <c r="A1665" i="1"/>
  <c r="A1666" i="1"/>
  <c r="A1667" i="1"/>
  <c r="B1667" i="1" s="1"/>
  <c r="A1935" i="1"/>
  <c r="B1935" i="1" s="1"/>
  <c r="A1936" i="1"/>
  <c r="A1937" i="1"/>
  <c r="B1937" i="1" s="1"/>
  <c r="A1938" i="1"/>
  <c r="A1939" i="1"/>
  <c r="A1940" i="1"/>
  <c r="A1668" i="1"/>
  <c r="A1669" i="1"/>
  <c r="B1669" i="1" s="1"/>
  <c r="A1670" i="1"/>
  <c r="B1670" i="1" s="1"/>
  <c r="A1671" i="1"/>
  <c r="A1672" i="1"/>
  <c r="B1672" i="1" s="1"/>
  <c r="A1673" i="1"/>
  <c r="A1674" i="1"/>
  <c r="B1674" i="1" s="1"/>
  <c r="A1675" i="1"/>
  <c r="A1676" i="1"/>
  <c r="B1676" i="1" s="1"/>
  <c r="A1677" i="1"/>
  <c r="B1677" i="1" s="1"/>
  <c r="A1678" i="1"/>
  <c r="A1679" i="1"/>
  <c r="A1680" i="1"/>
  <c r="A1681" i="1"/>
  <c r="B1681" i="1" s="1"/>
  <c r="A1682" i="1"/>
  <c r="B1682" i="1" s="1"/>
  <c r="A1683" i="1"/>
  <c r="A1684" i="1"/>
  <c r="A1685" i="1"/>
  <c r="B1685" i="1" s="1"/>
  <c r="A1686" i="1"/>
  <c r="B1686" i="1" s="1"/>
  <c r="A1687" i="1"/>
  <c r="A1688" i="1"/>
  <c r="B1688" i="1" s="1"/>
  <c r="A1689" i="1"/>
  <c r="B1689" i="1" s="1"/>
  <c r="A1690" i="1"/>
  <c r="A1691" i="1"/>
  <c r="A1692" i="1"/>
  <c r="A1693" i="1"/>
  <c r="A1694" i="1"/>
  <c r="B1694" i="1" s="1"/>
  <c r="A1695" i="1"/>
  <c r="A1941" i="1"/>
  <c r="B1941" i="1" s="1"/>
  <c r="A1942" i="1"/>
  <c r="B1942" i="1" s="1"/>
  <c r="A1943" i="1"/>
  <c r="B1943" i="1" s="1"/>
  <c r="A1944" i="1"/>
  <c r="A1945" i="1"/>
  <c r="B1945" i="1" s="1"/>
  <c r="A1946" i="1"/>
  <c r="B1946" i="1" s="1"/>
  <c r="A1702" i="1"/>
  <c r="A1947" i="1"/>
  <c r="A1948" i="1"/>
  <c r="A1956" i="1"/>
  <c r="B1956" i="1" s="1"/>
  <c r="A1957" i="1"/>
  <c r="B1957" i="1" s="1"/>
  <c r="A1708" i="1"/>
  <c r="A1966" i="1"/>
  <c r="B1966" i="1" s="1"/>
  <c r="A1967" i="1"/>
  <c r="B1967" i="1" s="1"/>
  <c r="A1968" i="1"/>
  <c r="B1968" i="1" s="1"/>
  <c r="A1969" i="1"/>
  <c r="A1970" i="1"/>
  <c r="B1970" i="1" s="1"/>
  <c r="A1971" i="1"/>
  <c r="B1971" i="1" s="1"/>
  <c r="A1746" i="1"/>
  <c r="A1747" i="1"/>
  <c r="A1748" i="1"/>
  <c r="A1749" i="1"/>
  <c r="B1749" i="1" s="1"/>
  <c r="A1750" i="1"/>
  <c r="B1750" i="1" s="1"/>
  <c r="A1751" i="1"/>
  <c r="A1752" i="1"/>
  <c r="B1752" i="1" s="1"/>
  <c r="A1753" i="1"/>
  <c r="B1753" i="1" s="1"/>
  <c r="A1754" i="1"/>
  <c r="B1754" i="1" s="1"/>
  <c r="A1755" i="1"/>
  <c r="A1756" i="1"/>
  <c r="B1756" i="1" s="1"/>
  <c r="A1757" i="1"/>
  <c r="B1757" i="1" s="1"/>
  <c r="A1972" i="1"/>
  <c r="A1758" i="1"/>
  <c r="A1759" i="1"/>
  <c r="A1760" i="1"/>
  <c r="B1760" i="1" s="1"/>
  <c r="A1973" i="1"/>
  <c r="B1973" i="1" s="1"/>
  <c r="A1974" i="1"/>
  <c r="A1975" i="1"/>
  <c r="B1975" i="1" s="1"/>
  <c r="A1761" i="1"/>
  <c r="B1761" i="1" s="1"/>
  <c r="A1762" i="1"/>
  <c r="B1762" i="1" s="1"/>
  <c r="A1982" i="1"/>
  <c r="A1983" i="1"/>
  <c r="B1983" i="1" s="1"/>
  <c r="A1984" i="1"/>
  <c r="B1984" i="1" s="1"/>
  <c r="A1985" i="1"/>
  <c r="A1986" i="1"/>
  <c r="A1987" i="1"/>
  <c r="A1988" i="1"/>
  <c r="B1988" i="1" s="1"/>
  <c r="A1989" i="1"/>
  <c r="B1989" i="1" s="1"/>
  <c r="A1990" i="1"/>
  <c r="A1991" i="1"/>
  <c r="A1992" i="1"/>
  <c r="A1775" i="1"/>
  <c r="B1775" i="1" s="1"/>
  <c r="A1776" i="1"/>
  <c r="A1777" i="1"/>
  <c r="B1777" i="1" s="1"/>
  <c r="A1778" i="1"/>
  <c r="B1778" i="1" s="1"/>
  <c r="A1779" i="1"/>
  <c r="A1780" i="1"/>
  <c r="A1781" i="1"/>
  <c r="B1781" i="1" s="1"/>
  <c r="A1782" i="1"/>
  <c r="A1993" i="1"/>
  <c r="B1993" i="1" s="1"/>
  <c r="A1994" i="1"/>
  <c r="A1995" i="1"/>
  <c r="B1995" i="1" s="1"/>
  <c r="A1804" i="1"/>
  <c r="B1804" i="1" s="1"/>
  <c r="A1805" i="1"/>
  <c r="B1805" i="1" s="1"/>
  <c r="A1996" i="1"/>
  <c r="A1806" i="1"/>
  <c r="B1806" i="1" s="1"/>
  <c r="A1997" i="1"/>
  <c r="B1997" i="1" s="1"/>
  <c r="A2463" i="1"/>
  <c r="A1998" i="1"/>
  <c r="B1998" i="1" s="1"/>
  <c r="A1829" i="1"/>
  <c r="A1999" i="1"/>
  <c r="B1999" i="1" s="1"/>
  <c r="A1837" i="1"/>
  <c r="B1837" i="1" s="1"/>
  <c r="A1838" i="1"/>
  <c r="A1839" i="1"/>
  <c r="A1840" i="1"/>
  <c r="B1840" i="1" s="1"/>
  <c r="A1841" i="1"/>
  <c r="B1841" i="1" s="1"/>
  <c r="A1842" i="1"/>
  <c r="A1843" i="1"/>
  <c r="B1843" i="1" s="1"/>
  <c r="A1844" i="1"/>
  <c r="B1844" i="1" s="1"/>
  <c r="A2000" i="1"/>
  <c r="A2001" i="1"/>
  <c r="B2001" i="1" s="1"/>
  <c r="A1845" i="1"/>
  <c r="A2002" i="1"/>
  <c r="A1846" i="1"/>
  <c r="B1846" i="1" s="1"/>
  <c r="A2003" i="1"/>
  <c r="A1847" i="1"/>
  <c r="A2004" i="1"/>
  <c r="B2004" i="1" s="1"/>
  <c r="A1848" i="1"/>
  <c r="B1848" i="1" s="1"/>
  <c r="A2005" i="1"/>
  <c r="A1849" i="1"/>
  <c r="B1849" i="1" s="1"/>
  <c r="A2006" i="1"/>
  <c r="B2006" i="1" s="1"/>
  <c r="A1850" i="1"/>
  <c r="A2007" i="1"/>
  <c r="B2007" i="1" s="1"/>
  <c r="A1856" i="1"/>
  <c r="A2008" i="1"/>
  <c r="B2008" i="1" s="1"/>
  <c r="A1857" i="1"/>
  <c r="B1857" i="1" s="1"/>
  <c r="A1858" i="1"/>
  <c r="A2009" i="1"/>
  <c r="B2009" i="1" s="1"/>
  <c r="A1859" i="1"/>
  <c r="B1859" i="1" s="1"/>
  <c r="A1860" i="1"/>
  <c r="B1860" i="1" s="1"/>
  <c r="A2015" i="1"/>
  <c r="A1861" i="1"/>
  <c r="B1861" i="1" s="1"/>
  <c r="A1862" i="1"/>
  <c r="A1863" i="1"/>
  <c r="A1883" i="1"/>
  <c r="B1883" i="1" s="1"/>
  <c r="A1884" i="1"/>
  <c r="A2016" i="1"/>
  <c r="B2016" i="1" s="1"/>
  <c r="A2017" i="1"/>
  <c r="B2017" i="1" s="1"/>
  <c r="A1892" i="1"/>
  <c r="A1962" i="1"/>
  <c r="A1893" i="1"/>
  <c r="B1893" i="1" s="1"/>
  <c r="A1894" i="1"/>
  <c r="B1894" i="1" s="1"/>
  <c r="A1895" i="1"/>
  <c r="A1896" i="1"/>
  <c r="B1896" i="1" s="1"/>
  <c r="A1897" i="1"/>
  <c r="B1897" i="1" s="1"/>
  <c r="A1901" i="1"/>
  <c r="A1902" i="1"/>
  <c r="B1902" i="1" s="1"/>
  <c r="A1903" i="1"/>
  <c r="A1904" i="1"/>
  <c r="A1905" i="1"/>
  <c r="B1905" i="1" s="1"/>
  <c r="A1906" i="1"/>
  <c r="A1907" i="1"/>
  <c r="A1908" i="1"/>
  <c r="B1908" i="1" s="1"/>
  <c r="A1909" i="1"/>
  <c r="B1909" i="1" s="1"/>
  <c r="A1910" i="1"/>
  <c r="A1911" i="1"/>
  <c r="B1911" i="1" s="1"/>
  <c r="A1912" i="1"/>
  <c r="B1912" i="1" s="1"/>
  <c r="A1913" i="1"/>
  <c r="A1914" i="1"/>
  <c r="B1914" i="1" s="1"/>
  <c r="A1915" i="1"/>
  <c r="A1916" i="1"/>
  <c r="B1916" i="1" s="1"/>
  <c r="A1917" i="1"/>
  <c r="B1917" i="1" s="1"/>
  <c r="A1918" i="1"/>
  <c r="A1919" i="1"/>
  <c r="B1919" i="1" s="1"/>
  <c r="A1920" i="1"/>
  <c r="B1920" i="1" s="1"/>
  <c r="A1921" i="1"/>
  <c r="B1921" i="1" s="1"/>
  <c r="A1922" i="1"/>
  <c r="A1923" i="1"/>
  <c r="B1923" i="1" s="1"/>
  <c r="A1924" i="1"/>
  <c r="A1925" i="1"/>
  <c r="A1926" i="1"/>
  <c r="B1926" i="1" s="1"/>
  <c r="A1927" i="1"/>
  <c r="A1928" i="1"/>
  <c r="B1928" i="1" s="1"/>
  <c r="A1929" i="1"/>
  <c r="B1929" i="1" s="1"/>
  <c r="A1930" i="1"/>
  <c r="A1931" i="1"/>
  <c r="B1931" i="1" s="1"/>
  <c r="A1949" i="1"/>
  <c r="B1949" i="1" s="1"/>
  <c r="A1950" i="1"/>
  <c r="B1950" i="1" s="1"/>
  <c r="A1951" i="1"/>
  <c r="A1952" i="1"/>
  <c r="B1952" i="1" s="1"/>
  <c r="A1953" i="1"/>
  <c r="B1953" i="1" s="1"/>
  <c r="A1963" i="1"/>
  <c r="A1964" i="1"/>
  <c r="B1964" i="1" s="1"/>
  <c r="A1976" i="1"/>
  <c r="A1977" i="1"/>
  <c r="A2010" i="1"/>
  <c r="B2010" i="1" s="1"/>
  <c r="A2011" i="1"/>
  <c r="A2012" i="1"/>
  <c r="B2012" i="1" s="1"/>
  <c r="A2013" i="1"/>
  <c r="B2013" i="1" s="1"/>
  <c r="A2014" i="1"/>
  <c r="B2014" i="1" s="1"/>
  <c r="A8" i="1"/>
  <c r="A9" i="1"/>
  <c r="B9" i="1" s="1"/>
  <c r="A10" i="1"/>
  <c r="B10" i="1" s="1"/>
  <c r="A11" i="1"/>
  <c r="A12" i="1"/>
  <c r="B12" i="1" s="1"/>
  <c r="A13" i="1"/>
  <c r="A14" i="1"/>
  <c r="A15" i="1"/>
  <c r="A16" i="1"/>
  <c r="A17" i="1"/>
  <c r="B17" i="1" s="1"/>
  <c r="A18" i="1"/>
  <c r="B18" i="1" s="1"/>
  <c r="A33" i="1"/>
  <c r="B33" i="1" s="1"/>
  <c r="A34" i="1"/>
  <c r="A35" i="1"/>
  <c r="B35" i="1" s="1"/>
  <c r="A36" i="1"/>
  <c r="B36" i="1" s="1"/>
  <c r="A37" i="1"/>
  <c r="A38" i="1"/>
  <c r="B38" i="1" s="1"/>
  <c r="A39" i="1"/>
  <c r="A40" i="1"/>
  <c r="B40" i="1" s="1"/>
  <c r="A41" i="1"/>
  <c r="B41" i="1" s="1"/>
  <c r="A42" i="1"/>
  <c r="A49" i="1"/>
  <c r="A50" i="1"/>
  <c r="B50" i="1" s="1"/>
  <c r="A51" i="1"/>
  <c r="B51" i="1" s="1"/>
  <c r="A52" i="1"/>
  <c r="A53" i="1"/>
  <c r="B53" i="1" s="1"/>
  <c r="A54" i="1"/>
  <c r="B54" i="1" s="1"/>
  <c r="A55" i="1"/>
  <c r="A56" i="1"/>
  <c r="B56" i="1" s="1"/>
  <c r="A57" i="1"/>
  <c r="A58" i="1"/>
  <c r="B58" i="1" s="1"/>
  <c r="A59" i="1"/>
  <c r="B59" i="1" s="1"/>
  <c r="A60" i="1"/>
  <c r="A61" i="1"/>
  <c r="A62" i="1"/>
  <c r="B62" i="1" s="1"/>
  <c r="A63" i="1"/>
  <c r="B63" i="1" s="1"/>
  <c r="A64" i="1"/>
  <c r="A65" i="1"/>
  <c r="B65" i="1" s="1"/>
  <c r="A66" i="1"/>
  <c r="B66" i="1" s="1"/>
  <c r="A67" i="1"/>
  <c r="A68" i="1"/>
  <c r="B68" i="1" s="1"/>
  <c r="A69" i="1"/>
  <c r="A70" i="1"/>
  <c r="A2464" i="1"/>
  <c r="B2464" i="1" s="1"/>
  <c r="A89" i="1"/>
  <c r="A90" i="1"/>
  <c r="A91" i="1"/>
  <c r="B91" i="1" s="1"/>
  <c r="A92" i="1"/>
  <c r="B92" i="1" s="1"/>
  <c r="A93" i="1"/>
  <c r="A94" i="1"/>
  <c r="B94" i="1" s="1"/>
  <c r="A95" i="1"/>
  <c r="A96" i="1"/>
  <c r="A97" i="1"/>
  <c r="A98" i="1"/>
  <c r="A99" i="1"/>
  <c r="B99" i="1" s="1"/>
  <c r="A102" i="1"/>
  <c r="B102" i="1" s="1"/>
  <c r="A130" i="1"/>
  <c r="A195" i="1"/>
  <c r="B195" i="1" s="1"/>
  <c r="A204" i="1"/>
  <c r="A2465" i="1"/>
  <c r="B2465" i="1" s="1"/>
  <c r="A410" i="1"/>
  <c r="A411" i="1"/>
  <c r="B411" i="1" s="1"/>
  <c r="A412" i="1"/>
  <c r="B412" i="1" s="1"/>
  <c r="A413" i="1"/>
  <c r="A414" i="1"/>
  <c r="A415" i="1"/>
  <c r="A416" i="1"/>
  <c r="B416" i="1" s="1"/>
  <c r="A417" i="1"/>
  <c r="B417" i="1" s="1"/>
  <c r="A418" i="1"/>
  <c r="A419" i="1"/>
  <c r="A420" i="1"/>
  <c r="B420" i="1" s="1"/>
  <c r="A421" i="1"/>
  <c r="B421" i="1" s="1"/>
  <c r="A422" i="1"/>
  <c r="A423" i="1"/>
  <c r="B423" i="1" s="1"/>
  <c r="A424" i="1"/>
  <c r="B424" i="1" s="1"/>
  <c r="A425" i="1"/>
  <c r="A426" i="1"/>
  <c r="A427" i="1"/>
  <c r="A428" i="1"/>
  <c r="B428" i="1" s="1"/>
  <c r="A429" i="1"/>
  <c r="B429" i="1" s="1"/>
  <c r="A430" i="1"/>
  <c r="A431" i="1"/>
  <c r="A432" i="1"/>
  <c r="B432" i="1" s="1"/>
  <c r="A433" i="1"/>
  <c r="B433" i="1" s="1"/>
  <c r="A434" i="1"/>
  <c r="A435" i="1"/>
  <c r="B435" i="1" s="1"/>
  <c r="A436" i="1"/>
  <c r="B436" i="1" s="1"/>
  <c r="A437" i="1"/>
  <c r="A438" i="1"/>
  <c r="A439" i="1"/>
  <c r="A440" i="1"/>
  <c r="B440" i="1" s="1"/>
  <c r="A441" i="1"/>
  <c r="B441" i="1" s="1"/>
  <c r="A442" i="1"/>
  <c r="A443" i="1"/>
  <c r="B443" i="1" s="1"/>
  <c r="A444" i="1"/>
  <c r="A445" i="1"/>
  <c r="B445" i="1" s="1"/>
  <c r="A446" i="1"/>
  <c r="A447" i="1"/>
  <c r="B447" i="1" s="1"/>
  <c r="A448" i="1"/>
  <c r="B448" i="1" s="1"/>
  <c r="A449" i="1"/>
  <c r="A450" i="1"/>
  <c r="A451" i="1"/>
  <c r="A452" i="1"/>
  <c r="B452" i="1" s="1"/>
  <c r="A453" i="1"/>
  <c r="B453" i="1" s="1"/>
  <c r="A454" i="1"/>
  <c r="A455" i="1"/>
  <c r="B455" i="1" s="1"/>
  <c r="A456" i="1"/>
  <c r="B456" i="1" s="1"/>
  <c r="A457" i="1"/>
  <c r="B457" i="1" s="1"/>
  <c r="A458" i="1"/>
  <c r="A459" i="1"/>
  <c r="B459" i="1" s="1"/>
  <c r="A460" i="1"/>
  <c r="B460" i="1" s="1"/>
  <c r="A461" i="1"/>
  <c r="A462" i="1"/>
  <c r="A463" i="1"/>
  <c r="A507" i="1"/>
  <c r="B507" i="1" s="1"/>
  <c r="A508" i="1"/>
  <c r="B508" i="1" s="1"/>
  <c r="A509" i="1"/>
  <c r="A510" i="1"/>
  <c r="B510" i="1" s="1"/>
  <c r="A511" i="1"/>
  <c r="B511" i="1" s="1"/>
  <c r="A564" i="1"/>
  <c r="B564" i="1" s="1"/>
  <c r="A565" i="1"/>
  <c r="A566" i="1"/>
  <c r="B566" i="1" s="1"/>
  <c r="A567" i="1"/>
  <c r="B567" i="1" s="1"/>
  <c r="A568" i="1"/>
  <c r="A569" i="1"/>
  <c r="A590" i="1"/>
  <c r="A591" i="1"/>
  <c r="A592" i="1"/>
  <c r="B592" i="1" s="1"/>
  <c r="A593" i="1"/>
  <c r="A594" i="1"/>
  <c r="A595" i="1"/>
  <c r="B595" i="1" s="1"/>
  <c r="A596" i="1"/>
  <c r="B596" i="1" s="1"/>
  <c r="A597" i="1"/>
  <c r="A598" i="1"/>
  <c r="B598" i="1" s="1"/>
  <c r="A599" i="1"/>
  <c r="B599" i="1" s="1"/>
  <c r="A600" i="1"/>
  <c r="A601" i="1"/>
  <c r="A602" i="1"/>
  <c r="A606" i="1"/>
  <c r="A668" i="1"/>
  <c r="A669" i="1"/>
  <c r="A670" i="1"/>
  <c r="A671" i="1"/>
  <c r="B671" i="1" s="1"/>
  <c r="A672" i="1"/>
  <c r="B672" i="1" s="1"/>
  <c r="A673" i="1"/>
  <c r="A674" i="1"/>
  <c r="B674" i="1" s="1"/>
  <c r="A675" i="1"/>
  <c r="B675" i="1" s="1"/>
  <c r="A676" i="1"/>
  <c r="A677" i="1"/>
  <c r="A678" i="1"/>
  <c r="A679" i="1"/>
  <c r="B679" i="1" s="1"/>
  <c r="A680" i="1"/>
  <c r="B680" i="1" s="1"/>
  <c r="A681" i="1"/>
  <c r="A683" i="1"/>
  <c r="A686" i="1"/>
  <c r="B686" i="1" s="1"/>
  <c r="A688" i="1"/>
  <c r="B688" i="1" s="1"/>
  <c r="A689" i="1"/>
  <c r="A690" i="1"/>
  <c r="B690" i="1" s="1"/>
  <c r="A714" i="1"/>
  <c r="B714" i="1" s="1"/>
  <c r="A2466" i="1"/>
  <c r="A2467" i="1"/>
  <c r="A2468" i="1"/>
  <c r="A2469" i="1"/>
  <c r="B2469" i="1" s="1"/>
  <c r="A717" i="1"/>
  <c r="B717" i="1" s="1"/>
  <c r="A718" i="1"/>
  <c r="A719" i="1"/>
  <c r="A720" i="1"/>
  <c r="A721" i="1"/>
  <c r="B721" i="1" s="1"/>
  <c r="A770" i="1"/>
  <c r="A2470" i="1"/>
  <c r="B2470" i="1" s="1"/>
  <c r="A2471" i="1"/>
  <c r="B2471" i="1" s="1"/>
  <c r="A2472" i="1"/>
  <c r="A2473" i="1"/>
  <c r="A798" i="1"/>
  <c r="A799" i="1"/>
  <c r="A800" i="1"/>
  <c r="B800" i="1" s="1"/>
  <c r="A801" i="1"/>
  <c r="A802" i="1"/>
  <c r="A803" i="1"/>
  <c r="B803" i="1" s="1"/>
  <c r="A804" i="1"/>
  <c r="B804" i="1" s="1"/>
  <c r="A805" i="1"/>
  <c r="A820" i="1"/>
  <c r="B820" i="1" s="1"/>
  <c r="A847" i="1"/>
  <c r="B847" i="1" s="1"/>
  <c r="A848" i="1"/>
  <c r="A889" i="1"/>
  <c r="A890" i="1"/>
  <c r="A891" i="1"/>
  <c r="A892" i="1"/>
  <c r="B892" i="1" s="1"/>
  <c r="A893" i="1"/>
  <c r="A926" i="1"/>
  <c r="A927" i="1"/>
  <c r="B927" i="1" s="1"/>
  <c r="A928" i="1"/>
  <c r="B928" i="1" s="1"/>
  <c r="A929" i="1"/>
  <c r="A930" i="1"/>
  <c r="B930" i="1" s="1"/>
  <c r="A931" i="1"/>
  <c r="B931" i="1" s="1"/>
  <c r="A960" i="1"/>
  <c r="A961" i="1"/>
  <c r="A962" i="1"/>
  <c r="A963" i="1"/>
  <c r="B963" i="1" s="1"/>
  <c r="A964" i="1"/>
  <c r="B964" i="1" s="1"/>
  <c r="A965" i="1"/>
  <c r="A1013" i="1"/>
  <c r="B1013" i="1" s="1"/>
  <c r="A1014" i="1"/>
  <c r="B1014" i="1" s="1"/>
  <c r="A1015" i="1"/>
  <c r="B1015" i="1" s="1"/>
  <c r="A1016" i="1"/>
  <c r="A1017" i="1"/>
  <c r="B1017" i="1" s="1"/>
  <c r="A1018" i="1"/>
  <c r="B1018" i="1" s="1"/>
  <c r="A1019" i="1"/>
  <c r="A1020" i="1"/>
  <c r="A1021" i="1"/>
  <c r="A1022" i="1"/>
  <c r="B1022" i="1" s="1"/>
  <c r="A1023" i="1"/>
  <c r="B1023" i="1" s="1"/>
  <c r="A1024" i="1"/>
  <c r="A1025" i="1"/>
  <c r="A1026" i="1"/>
  <c r="B1026" i="1" s="1"/>
  <c r="A1027" i="1"/>
  <c r="B1027" i="1" s="1"/>
  <c r="A1028" i="1"/>
  <c r="A1029" i="1"/>
  <c r="B1029" i="1" s="1"/>
  <c r="A1030" i="1"/>
  <c r="B1030" i="1" s="1"/>
  <c r="A1031" i="1"/>
  <c r="A1032" i="1"/>
  <c r="A1042" i="1"/>
  <c r="A1033" i="1"/>
  <c r="B1033" i="1" s="1"/>
  <c r="A1034" i="1"/>
  <c r="B1034" i="1" s="1"/>
  <c r="A1035" i="1"/>
  <c r="A1036" i="1"/>
  <c r="A1037" i="1"/>
  <c r="A1038" i="1"/>
  <c r="B1038" i="1" s="1"/>
  <c r="A1039" i="1"/>
  <c r="A1040" i="1"/>
  <c r="B1040" i="1" s="1"/>
  <c r="A1055" i="1"/>
  <c r="B1055" i="1" s="1"/>
  <c r="A1122" i="1"/>
  <c r="A1131" i="1"/>
  <c r="A1132" i="1"/>
  <c r="A1133" i="1"/>
  <c r="B1133" i="1" s="1"/>
  <c r="A1134" i="1"/>
  <c r="B1134" i="1" s="1"/>
  <c r="A1149" i="1"/>
  <c r="A1150" i="1"/>
  <c r="B1150" i="1" s="1"/>
  <c r="A1151" i="1"/>
  <c r="B1151" i="1" s="1"/>
  <c r="A1152" i="1"/>
  <c r="B1152" i="1" s="1"/>
  <c r="A1153" i="1"/>
  <c r="A1154" i="1"/>
  <c r="B1154" i="1" s="1"/>
  <c r="A1155" i="1"/>
  <c r="B1155" i="1" s="1"/>
  <c r="A1156" i="1"/>
  <c r="A1157" i="1"/>
  <c r="A1158" i="1"/>
  <c r="A1159" i="1"/>
  <c r="B1159" i="1" s="1"/>
  <c r="A1160" i="1"/>
  <c r="B1160" i="1" s="1"/>
  <c r="A1161" i="1"/>
  <c r="A1162" i="1"/>
  <c r="B1162" i="1" s="1"/>
  <c r="A1163" i="1"/>
  <c r="B1163" i="1" s="1"/>
  <c r="A1164" i="1"/>
  <c r="B1164" i="1" s="1"/>
  <c r="A1165" i="1"/>
  <c r="A1166" i="1"/>
  <c r="B1166" i="1" s="1"/>
  <c r="A1167" i="1"/>
  <c r="B1167" i="1" s="1"/>
  <c r="A1168" i="1"/>
  <c r="A1169" i="1"/>
  <c r="A1170" i="1"/>
  <c r="A1171" i="1"/>
  <c r="B1171" i="1" s="1"/>
  <c r="A1172" i="1"/>
  <c r="B1172" i="1" s="1"/>
  <c r="A1173" i="1"/>
  <c r="A1174" i="1"/>
  <c r="B1174" i="1" s="1"/>
  <c r="A1175" i="1"/>
  <c r="B1175" i="1" s="1"/>
  <c r="A1176" i="1"/>
  <c r="B1176" i="1" s="1"/>
  <c r="A1177" i="1"/>
  <c r="A1178" i="1"/>
  <c r="B1178" i="1" s="1"/>
  <c r="A1179" i="1"/>
  <c r="B1179" i="1" s="1"/>
  <c r="A1180" i="1"/>
  <c r="A1203" i="1"/>
  <c r="A1204" i="1"/>
  <c r="A1205" i="1"/>
  <c r="B1205" i="1" s="1"/>
  <c r="A1206" i="1"/>
  <c r="B1206" i="1" s="1"/>
  <c r="A1207" i="1"/>
  <c r="A1208" i="1"/>
  <c r="A1209" i="1"/>
  <c r="B1209" i="1" s="1"/>
  <c r="A1210" i="1"/>
  <c r="B1210" i="1" s="1"/>
  <c r="A1211" i="1"/>
  <c r="B1211" i="1" s="1"/>
  <c r="A1212" i="1"/>
  <c r="B1212" i="1" s="1"/>
  <c r="A1213" i="1"/>
  <c r="B1213" i="1" s="1"/>
  <c r="A1214" i="1"/>
  <c r="A1215" i="1"/>
  <c r="A1300" i="1"/>
  <c r="A1301" i="1"/>
  <c r="B1301" i="1" s="1"/>
  <c r="A1302" i="1"/>
  <c r="B1302" i="1" s="1"/>
  <c r="A1303" i="1"/>
  <c r="A1304" i="1"/>
  <c r="A1309" i="1"/>
  <c r="B1309" i="1" s="1"/>
  <c r="A1367" i="1"/>
  <c r="B1367" i="1" s="1"/>
  <c r="A1368" i="1"/>
  <c r="A1369" i="1"/>
  <c r="B1369" i="1" s="1"/>
  <c r="A1370" i="1"/>
  <c r="B1370" i="1" s="1"/>
  <c r="A1371" i="1"/>
  <c r="A1372" i="1"/>
  <c r="A1373" i="1"/>
  <c r="A1374" i="1"/>
  <c r="B1374" i="1" s="1"/>
  <c r="A1375" i="1"/>
  <c r="B1375" i="1" s="1"/>
  <c r="A1376" i="1"/>
  <c r="A1377" i="1"/>
  <c r="A1378" i="1"/>
  <c r="B1378" i="1" s="1"/>
  <c r="A1379" i="1"/>
  <c r="B1379" i="1" s="1"/>
  <c r="A1380" i="1"/>
  <c r="B1380" i="1" s="1"/>
  <c r="A1381" i="1"/>
  <c r="B1381" i="1" s="1"/>
  <c r="A1382" i="1"/>
  <c r="B1382" i="1" s="1"/>
  <c r="A1383" i="1"/>
  <c r="A1384" i="1"/>
  <c r="A1385" i="1"/>
  <c r="A1386" i="1"/>
  <c r="B1386" i="1" s="1"/>
  <c r="A1387" i="1"/>
  <c r="B1387" i="1" s="1"/>
  <c r="A1388" i="1"/>
  <c r="A1389" i="1"/>
  <c r="A1390" i="1"/>
  <c r="B1390" i="1" s="1"/>
  <c r="A1391" i="1"/>
  <c r="B1391" i="1" s="1"/>
  <c r="A1392" i="1"/>
  <c r="A1393" i="1"/>
  <c r="B1393" i="1" s="1"/>
  <c r="A1394" i="1"/>
  <c r="B1394" i="1" s="1"/>
  <c r="A1395" i="1"/>
  <c r="A1396" i="1"/>
  <c r="A1397" i="1"/>
  <c r="A1398" i="1"/>
  <c r="B1398" i="1" s="1"/>
  <c r="A1413" i="1"/>
  <c r="B1413" i="1" s="1"/>
  <c r="A1414" i="1"/>
  <c r="A1415" i="1"/>
  <c r="A1416" i="1"/>
  <c r="B1416" i="1" s="1"/>
  <c r="A1417" i="1"/>
  <c r="B1417" i="1" s="1"/>
  <c r="A1418" i="1"/>
  <c r="A1419" i="1"/>
  <c r="B1419" i="1" s="1"/>
  <c r="A1420" i="1"/>
  <c r="B1420" i="1" s="1"/>
  <c r="A1421" i="1"/>
  <c r="A1422" i="1"/>
  <c r="A1423" i="1"/>
  <c r="A1424" i="1"/>
  <c r="B1424" i="1" s="1"/>
  <c r="A1425" i="1"/>
  <c r="B1425" i="1" s="1"/>
  <c r="A1426" i="1"/>
  <c r="A1427" i="1"/>
  <c r="A1430" i="1"/>
  <c r="B1430" i="1" s="1"/>
  <c r="A1432" i="1"/>
  <c r="B1432" i="1" s="1"/>
  <c r="A1435" i="1"/>
  <c r="A1436" i="1"/>
  <c r="B1436" i="1" s="1"/>
  <c r="A1437" i="1"/>
  <c r="B1437" i="1" s="1"/>
  <c r="A1438" i="1"/>
  <c r="A1439" i="1"/>
  <c r="A1440" i="1"/>
  <c r="A1441" i="1"/>
  <c r="B1441" i="1" s="1"/>
  <c r="A1442" i="1"/>
  <c r="B1442" i="1" s="1"/>
  <c r="A1443" i="1"/>
  <c r="A1444" i="1"/>
  <c r="B1444" i="1" s="1"/>
  <c r="A1445" i="1"/>
  <c r="B1445" i="1" s="1"/>
  <c r="A1446" i="1"/>
  <c r="B1446" i="1" s="1"/>
  <c r="A1447" i="1"/>
  <c r="A1448" i="1"/>
  <c r="B1448" i="1" s="1"/>
  <c r="A1449" i="1"/>
  <c r="B1449" i="1" s="1"/>
  <c r="A1450" i="1"/>
  <c r="A1451" i="1"/>
  <c r="A1452" i="1"/>
  <c r="A1453" i="1"/>
  <c r="B1453" i="1" s="1"/>
  <c r="A1454" i="1"/>
  <c r="B1454" i="1" s="1"/>
  <c r="A1455" i="1"/>
  <c r="A1456" i="1"/>
  <c r="A1457" i="1"/>
  <c r="B1457" i="1" s="1"/>
  <c r="A1458" i="1"/>
  <c r="B1458" i="1" s="1"/>
  <c r="A1459" i="1"/>
  <c r="A1460" i="1"/>
  <c r="B1460" i="1" s="1"/>
  <c r="A1461" i="1"/>
  <c r="B1461" i="1" s="1"/>
  <c r="A1462" i="1"/>
  <c r="A1463" i="1"/>
  <c r="A1464" i="1"/>
  <c r="A1465" i="1"/>
  <c r="B1465" i="1" s="1"/>
  <c r="A1466" i="1"/>
  <c r="B1466" i="1" s="1"/>
  <c r="A1530" i="1"/>
  <c r="A1572" i="1"/>
  <c r="A1573" i="1"/>
  <c r="B1573" i="1" s="1"/>
  <c r="A1574" i="1"/>
  <c r="B1574" i="1" s="1"/>
  <c r="A1575" i="1"/>
  <c r="A1576" i="1"/>
  <c r="B1576" i="1" s="1"/>
  <c r="A1577" i="1"/>
  <c r="B1577" i="1" s="1"/>
  <c r="A1578" i="1"/>
  <c r="A1579" i="1"/>
  <c r="A1580" i="1"/>
  <c r="A1581" i="1"/>
  <c r="B1581" i="1" s="1"/>
  <c r="A1582" i="1"/>
  <c r="B1582" i="1" s="1"/>
  <c r="A1583" i="1"/>
  <c r="A1584" i="1"/>
  <c r="B1584" i="1" s="1"/>
  <c r="A1585" i="1"/>
  <c r="B1585" i="1" s="1"/>
  <c r="A1586" i="1"/>
  <c r="B1586" i="1" s="1"/>
  <c r="A1587" i="1"/>
  <c r="A1588" i="1"/>
  <c r="B1588" i="1" s="1"/>
  <c r="A1589" i="1"/>
  <c r="B1589" i="1" s="1"/>
  <c r="A1590" i="1"/>
  <c r="A1591" i="1"/>
  <c r="A1592" i="1"/>
  <c r="A1593" i="1"/>
  <c r="B1593" i="1" s="1"/>
  <c r="A1594" i="1"/>
  <c r="B1594" i="1" s="1"/>
  <c r="A1595" i="1"/>
  <c r="A1596" i="1"/>
  <c r="B1596" i="1" s="1"/>
  <c r="A1597" i="1"/>
  <c r="B1597" i="1" s="1"/>
  <c r="A1598" i="1"/>
  <c r="B1598" i="1" s="1"/>
  <c r="A1599" i="1"/>
  <c r="A1600" i="1"/>
  <c r="B1600" i="1" s="1"/>
  <c r="A1601" i="1"/>
  <c r="B1601" i="1" s="1"/>
  <c r="A1602" i="1"/>
  <c r="A1603" i="1"/>
  <c r="A1604" i="1"/>
  <c r="A1605" i="1"/>
  <c r="B1605" i="1" s="1"/>
  <c r="A1606" i="1"/>
  <c r="B1606" i="1" s="1"/>
  <c r="A1607" i="1"/>
  <c r="A1608" i="1"/>
  <c r="B1608" i="1" s="1"/>
  <c r="A1609" i="1"/>
  <c r="B1609" i="1" s="1"/>
  <c r="A1610" i="1"/>
  <c r="B1610" i="1" s="1"/>
  <c r="A1611" i="1"/>
  <c r="A1612" i="1"/>
  <c r="B1612" i="1" s="1"/>
  <c r="A1613" i="1"/>
  <c r="B1613" i="1" s="1"/>
  <c r="A1614" i="1"/>
  <c r="A1615" i="1"/>
  <c r="A1616" i="1"/>
  <c r="A1617" i="1"/>
  <c r="B1617" i="1" s="1"/>
  <c r="A1618" i="1"/>
  <c r="B1618" i="1" s="1"/>
  <c r="A1619" i="1"/>
  <c r="A1620" i="1"/>
  <c r="B1620" i="1" s="1"/>
  <c r="A1621" i="1"/>
  <c r="B1621" i="1" s="1"/>
  <c r="A1624" i="1"/>
  <c r="B1624" i="1" s="1"/>
  <c r="A1625" i="1"/>
  <c r="B1625" i="1" s="1"/>
  <c r="A1626" i="1"/>
  <c r="B1626" i="1" s="1"/>
  <c r="A1635" i="1"/>
  <c r="B1635" i="1" s="1"/>
  <c r="A1636" i="1"/>
  <c r="A1637" i="1"/>
  <c r="A1638" i="1"/>
  <c r="A1639" i="1"/>
  <c r="B1639" i="1" s="1"/>
  <c r="A1640" i="1"/>
  <c r="B1640" i="1" s="1"/>
  <c r="A1641" i="1"/>
  <c r="A1642" i="1"/>
  <c r="A1643" i="1"/>
  <c r="B1643" i="1" s="1"/>
  <c r="A1644" i="1"/>
  <c r="B1644" i="1" s="1"/>
  <c r="A1645" i="1"/>
  <c r="A1646" i="1"/>
  <c r="B1646" i="1" s="1"/>
  <c r="A1647" i="1"/>
  <c r="B1647" i="1" s="1"/>
  <c r="A1696" i="1"/>
  <c r="A1697" i="1"/>
  <c r="A1698" i="1"/>
  <c r="A1722" i="1"/>
  <c r="B1722" i="1" s="1"/>
  <c r="A1763" i="1"/>
  <c r="B1763" i="1" s="1"/>
  <c r="A1764" i="1"/>
  <c r="A1765" i="1"/>
  <c r="A1766" i="1"/>
  <c r="A1767" i="1"/>
  <c r="B1767" i="1" s="1"/>
  <c r="A1768" i="1"/>
  <c r="B1768" i="1" s="1"/>
  <c r="A1769" i="1"/>
  <c r="B1769" i="1" s="1"/>
  <c r="A1770" i="1"/>
  <c r="B1770" i="1" s="1"/>
  <c r="A1771" i="1"/>
  <c r="A1772" i="1"/>
  <c r="A1773" i="1"/>
  <c r="A1813" i="1"/>
  <c r="B1813" i="1" s="1"/>
  <c r="A1814" i="1"/>
  <c r="B1814" i="1" s="1"/>
  <c r="A1815" i="1"/>
  <c r="A1816" i="1"/>
  <c r="A1817" i="1"/>
  <c r="B1817" i="1" s="1"/>
  <c r="A1818" i="1"/>
  <c r="B1818" i="1" s="1"/>
  <c r="A1819" i="1"/>
  <c r="A1820" i="1"/>
  <c r="B1820" i="1" s="1"/>
  <c r="A1821" i="1"/>
  <c r="B1821" i="1" s="1"/>
  <c r="A1822" i="1"/>
  <c r="A1823" i="1"/>
  <c r="A1824" i="1"/>
  <c r="A1825" i="1"/>
  <c r="A1826" i="1"/>
  <c r="B1826" i="1" s="1"/>
  <c r="A1827" i="1"/>
  <c r="A1878" i="1"/>
  <c r="A1879" i="1"/>
  <c r="B1879" i="1" s="1"/>
  <c r="A1885" i="1"/>
  <c r="B1885" i="1" s="1"/>
  <c r="A1886" i="1"/>
  <c r="A1954" i="1"/>
  <c r="B1954" i="1" s="1"/>
  <c r="A1955" i="1"/>
  <c r="B1955" i="1" s="1"/>
  <c r="A1958" i="1"/>
  <c r="A1959" i="1"/>
  <c r="A1960" i="1"/>
  <c r="A1961" i="1"/>
  <c r="B1961" i="1" s="1"/>
  <c r="A1965" i="1"/>
  <c r="B1965" i="1" s="1"/>
  <c r="A1978" i="1"/>
  <c r="A1979" i="1"/>
  <c r="A1980" i="1"/>
  <c r="B1980" i="1" s="1"/>
  <c r="A1981" i="1"/>
  <c r="B1981" i="1" s="1"/>
  <c r="A2018" i="1"/>
  <c r="A2019" i="1"/>
  <c r="B2019" i="1" s="1"/>
  <c r="A2020" i="1"/>
  <c r="B2020" i="1" s="1"/>
  <c r="A2021" i="1"/>
  <c r="A2022" i="1"/>
  <c r="A2023" i="1"/>
  <c r="A2024" i="1"/>
  <c r="B2024" i="1" s="1"/>
  <c r="A2025" i="1"/>
  <c r="B2025" i="1" s="1"/>
  <c r="A2026" i="1"/>
  <c r="A2027" i="1"/>
  <c r="B2027" i="1" s="1"/>
  <c r="A2028" i="1"/>
  <c r="B2028" i="1" s="1"/>
  <c r="A2029" i="1"/>
  <c r="B2029" i="1" s="1"/>
  <c r="A2030" i="1"/>
  <c r="A2031" i="1"/>
  <c r="B2031" i="1" s="1"/>
  <c r="A2032" i="1"/>
  <c r="B2032" i="1" s="1"/>
  <c r="A2033" i="1"/>
  <c r="A2034" i="1"/>
  <c r="A2035" i="1"/>
  <c r="A2036" i="1"/>
  <c r="B2036" i="1" s="1"/>
  <c r="A2037" i="1"/>
  <c r="B2037" i="1" s="1"/>
  <c r="A2038" i="1"/>
  <c r="A2039" i="1"/>
  <c r="B2039" i="1" s="1"/>
  <c r="A2040" i="1"/>
  <c r="A2043" i="1"/>
  <c r="B2043" i="1" s="1"/>
  <c r="A2041" i="1"/>
  <c r="A2044" i="1"/>
  <c r="B2044" i="1" s="1"/>
  <c r="A2042" i="1"/>
  <c r="B2042" i="1" s="1"/>
  <c r="A2050" i="1"/>
  <c r="A2051" i="1"/>
  <c r="A2053" i="1"/>
  <c r="A2045" i="1"/>
  <c r="B2045" i="1" s="1"/>
  <c r="A2046" i="1"/>
  <c r="B2046" i="1" s="1"/>
  <c r="A2054" i="1"/>
  <c r="A2047" i="1"/>
  <c r="B2047" i="1" s="1"/>
  <c r="A2048" i="1"/>
  <c r="B2048" i="1" s="1"/>
  <c r="A2063" i="1"/>
  <c r="B2063" i="1" s="1"/>
  <c r="A2064" i="1"/>
  <c r="A2065" i="1"/>
  <c r="B2065" i="1" s="1"/>
  <c r="A2066" i="1"/>
  <c r="B2066" i="1" s="1"/>
  <c r="A1807" i="1"/>
  <c r="A2052" i="1"/>
  <c r="A2077" i="1"/>
  <c r="A2087" i="1"/>
  <c r="B2087" i="1" s="1"/>
  <c r="A2055" i="1"/>
  <c r="B2055" i="1" s="1"/>
  <c r="A2056" i="1"/>
  <c r="A2078" i="1"/>
  <c r="B2078" i="1" s="1"/>
  <c r="A2089" i="1"/>
  <c r="B2089" i="1" s="1"/>
  <c r="A2090" i="1"/>
  <c r="B2090" i="1" s="1"/>
  <c r="A2079" i="1"/>
  <c r="A2080" i="1"/>
  <c r="B2080" i="1" s="1"/>
  <c r="A2081" i="1"/>
  <c r="B2081" i="1" s="1"/>
  <c r="A2082" i="1"/>
  <c r="A2091" i="1"/>
  <c r="A2092" i="1"/>
  <c r="A2093" i="1"/>
  <c r="B2093" i="1" s="1"/>
  <c r="A2094" i="1"/>
  <c r="B2094" i="1" s="1"/>
  <c r="A2095" i="1"/>
  <c r="A2096" i="1"/>
  <c r="B2096" i="1" s="1"/>
  <c r="A2097" i="1"/>
  <c r="B2097" i="1" s="1"/>
  <c r="A2098" i="1"/>
  <c r="B2098" i="1" s="1"/>
  <c r="A2099" i="1"/>
  <c r="A2100" i="1"/>
  <c r="B2100" i="1" s="1"/>
  <c r="A2101" i="1"/>
  <c r="B2101" i="1" s="1"/>
  <c r="A2102" i="1"/>
  <c r="A2103" i="1"/>
  <c r="A2104" i="1"/>
  <c r="A2105" i="1"/>
  <c r="B2105" i="1" s="1"/>
  <c r="A2106" i="1"/>
  <c r="B2106" i="1" s="1"/>
  <c r="A2083" i="1"/>
  <c r="A2084" i="1"/>
  <c r="A2085" i="1"/>
  <c r="B2085" i="1" s="1"/>
  <c r="A2086" i="1"/>
  <c r="B2086" i="1" s="1"/>
  <c r="A2107" i="1"/>
  <c r="B2107" i="1" s="1"/>
  <c r="A2108" i="1"/>
  <c r="B2108" i="1" s="1"/>
  <c r="A2109" i="1"/>
  <c r="B2109" i="1" s="1"/>
  <c r="A2110" i="1"/>
  <c r="A2111" i="1"/>
  <c r="A2135" i="1"/>
  <c r="A2136" i="1"/>
  <c r="A2137" i="1"/>
  <c r="B2137" i="1" s="1"/>
  <c r="A2112" i="1"/>
  <c r="A2156" i="1"/>
  <c r="A2113" i="1"/>
  <c r="B2113" i="1" s="1"/>
  <c r="A2172" i="1"/>
  <c r="B2172" i="1" s="1"/>
  <c r="A2173" i="1"/>
  <c r="A2212" i="1"/>
  <c r="B2212" i="1" s="1"/>
  <c r="A2213" i="1"/>
  <c r="B2213" i="1" s="1"/>
  <c r="A2128" i="1"/>
  <c r="A2129" i="1"/>
  <c r="A2130" i="1"/>
  <c r="A2214" i="1"/>
  <c r="B2214" i="1" s="1"/>
  <c r="A2215" i="1"/>
  <c r="B2215" i="1" s="1"/>
  <c r="A2216" i="1"/>
  <c r="A2217" i="1"/>
  <c r="A2131" i="1"/>
  <c r="B2131" i="1" s="1"/>
  <c r="A2132" i="1"/>
  <c r="B2132" i="1" s="1"/>
  <c r="A2218" i="1"/>
  <c r="B2218" i="1" s="1"/>
  <c r="A2219" i="1"/>
  <c r="B2219" i="1" s="1"/>
  <c r="A2133" i="1"/>
  <c r="B2133" i="1" s="1"/>
  <c r="A2134" i="1"/>
  <c r="A2220" i="1"/>
  <c r="B2220" i="1" s="1"/>
  <c r="A2138" i="1"/>
  <c r="A2139" i="1"/>
  <c r="B2139" i="1" s="1"/>
  <c r="A2140" i="1"/>
  <c r="B2140" i="1" s="1"/>
  <c r="A2141" i="1"/>
  <c r="A2142" i="1"/>
  <c r="A2143" i="1"/>
  <c r="B2143" i="1" s="1"/>
  <c r="A2144" i="1"/>
  <c r="B2144" i="1" s="1"/>
  <c r="A2145" i="1"/>
  <c r="A2146" i="1"/>
  <c r="B2146" i="1" s="1"/>
  <c r="A2147" i="1"/>
  <c r="B2147" i="1" s="1"/>
  <c r="A2148" i="1"/>
  <c r="A2149" i="1"/>
  <c r="B2149" i="1" s="1"/>
  <c r="A2150" i="1"/>
  <c r="A2151" i="1"/>
  <c r="B2151" i="1" s="1"/>
  <c r="A2152" i="1"/>
  <c r="B2152" i="1" s="1"/>
  <c r="A2153" i="1"/>
  <c r="A2154" i="1"/>
  <c r="B2154" i="1" s="1"/>
  <c r="A2155" i="1"/>
  <c r="B2155" i="1" s="1"/>
  <c r="A2230" i="1"/>
  <c r="B2230" i="1" s="1"/>
  <c r="A2231" i="1"/>
  <c r="A2232" i="1"/>
  <c r="B2232" i="1" s="1"/>
  <c r="A2233" i="1"/>
  <c r="B2233" i="1" s="1"/>
  <c r="A2234" i="1"/>
  <c r="A2235" i="1"/>
  <c r="B2235" i="1" s="1"/>
  <c r="A2236" i="1"/>
  <c r="A2237" i="1"/>
  <c r="B2237" i="1" s="1"/>
  <c r="A2238" i="1"/>
  <c r="B2238" i="1" s="1"/>
  <c r="A2239" i="1"/>
  <c r="A2240" i="1"/>
  <c r="A2241" i="1"/>
  <c r="B2241" i="1" s="1"/>
  <c r="A2242" i="1"/>
  <c r="B2242" i="1" s="1"/>
  <c r="A2243" i="1"/>
  <c r="A2244" i="1"/>
  <c r="B2244" i="1" s="1"/>
  <c r="A2245" i="1"/>
  <c r="B2245" i="1" s="1"/>
  <c r="A2246" i="1"/>
  <c r="A2247" i="1"/>
  <c r="B2247" i="1" s="1"/>
  <c r="A2174" i="1"/>
  <c r="A2175" i="1"/>
  <c r="A2176" i="1"/>
  <c r="B2176" i="1" s="1"/>
  <c r="A2177" i="1"/>
  <c r="A2178" i="1"/>
  <c r="B2178" i="1" s="1"/>
  <c r="A2179" i="1"/>
  <c r="B2179" i="1" s="1"/>
  <c r="A2180" i="1"/>
  <c r="B2180" i="1" s="1"/>
  <c r="A2181" i="1"/>
  <c r="A2182" i="1"/>
  <c r="B2182" i="1" s="1"/>
  <c r="A2183" i="1"/>
  <c r="A2184" i="1"/>
  <c r="A2185" i="1"/>
  <c r="B2185" i="1" s="1"/>
  <c r="A2186" i="1"/>
  <c r="A2187" i="1"/>
  <c r="B2187" i="1" s="1"/>
  <c r="A2188" i="1"/>
  <c r="B2188" i="1" s="1"/>
  <c r="A2189" i="1"/>
  <c r="A2190" i="1"/>
  <c r="B2190" i="1" s="1"/>
  <c r="A2191" i="1"/>
  <c r="B2191" i="1" s="1"/>
  <c r="A2192" i="1"/>
  <c r="B2192" i="1" s="1"/>
  <c r="A2193" i="1"/>
  <c r="B2193" i="1" s="1"/>
  <c r="A2194" i="1"/>
  <c r="B2194" i="1" s="1"/>
  <c r="A2195" i="1"/>
  <c r="B2195" i="1" s="1"/>
  <c r="A2196" i="1"/>
  <c r="A2197" i="1"/>
  <c r="B2197" i="1" s="1"/>
  <c r="A2258" i="1"/>
  <c r="A2259" i="1"/>
  <c r="A2198" i="1"/>
  <c r="B2198" i="1" s="1"/>
  <c r="A2199" i="1"/>
  <c r="A2200" i="1"/>
  <c r="B2200" i="1" s="1"/>
  <c r="A2201" i="1"/>
  <c r="B2201" i="1" s="1"/>
  <c r="A2202" i="1"/>
  <c r="B2202" i="1" s="1"/>
  <c r="A2203" i="1"/>
  <c r="A2204" i="1"/>
  <c r="B2204" i="1" s="1"/>
  <c r="A2205" i="1"/>
  <c r="B2205" i="1" s="1"/>
  <c r="A2206" i="1"/>
  <c r="A2207" i="1"/>
  <c r="B2207" i="1" s="1"/>
  <c r="A2260" i="1"/>
  <c r="A2208" i="1"/>
  <c r="B2208" i="1" s="1"/>
  <c r="A2209" i="1"/>
  <c r="B2209" i="1" s="1"/>
  <c r="A2210" i="1"/>
  <c r="A2211" i="1"/>
  <c r="B2211" i="1" s="1"/>
  <c r="A2265" i="1"/>
  <c r="A275" i="1"/>
  <c r="B275" i="1" s="1"/>
  <c r="A2248" i="1"/>
  <c r="A2288" i="1"/>
  <c r="B2288" i="1" s="1"/>
  <c r="A2289" i="1"/>
  <c r="B2289" i="1" s="1"/>
  <c r="A2249" i="1"/>
  <c r="A2250" i="1"/>
  <c r="B2250" i="1" s="1"/>
  <c r="A2290" i="1"/>
  <c r="A2291" i="1"/>
  <c r="B2291" i="1" s="1"/>
  <c r="A2292" i="1"/>
  <c r="B2292" i="1" s="1"/>
  <c r="A2261" i="1"/>
  <c r="A2262" i="1"/>
  <c r="B2262" i="1" s="1"/>
  <c r="A2263" i="1"/>
  <c r="B2263" i="1" s="1"/>
  <c r="A2264" i="1"/>
  <c r="B2264" i="1" s="1"/>
  <c r="A2256" i="1"/>
  <c r="A2257" i="1"/>
  <c r="B2257" i="1" s="1"/>
  <c r="A2293" i="1"/>
  <c r="B2293" i="1" s="1"/>
  <c r="A2314" i="1"/>
  <c r="A2266" i="1"/>
  <c r="B2266" i="1" s="1"/>
  <c r="A2319" i="1"/>
  <c r="A2320" i="1"/>
  <c r="B2320" i="1" s="1"/>
  <c r="A401" i="1"/>
  <c r="A2321" i="1"/>
  <c r="A2322" i="1"/>
  <c r="A2323" i="1"/>
  <c r="A402" i="1"/>
  <c r="B402" i="1" s="1"/>
  <c r="A403" i="1"/>
  <c r="B403" i="1" s="1"/>
  <c r="A2324" i="1"/>
  <c r="B2324" i="1" s="1"/>
  <c r="A2325" i="1"/>
  <c r="B2325" i="1" s="1"/>
  <c r="A2326" i="1"/>
  <c r="A2327" i="1"/>
  <c r="B2327" i="1" s="1"/>
  <c r="A404" i="1"/>
  <c r="A2" i="1"/>
  <c r="B2" i="1" s="1"/>
  <c r="A2267" i="1"/>
  <c r="B2267" i="1" s="1"/>
  <c r="A2268" i="1"/>
  <c r="A2269" i="1"/>
  <c r="A2270" i="1"/>
  <c r="B2270" i="1" s="1"/>
  <c r="A2353" i="1"/>
  <c r="B2353" i="1" s="1"/>
  <c r="A2271" i="1"/>
  <c r="A2272" i="1"/>
  <c r="B2272" i="1" s="1"/>
  <c r="A2273" i="1"/>
  <c r="B2273" i="1" s="1"/>
  <c r="A2354" i="1"/>
  <c r="A2274" i="1"/>
  <c r="B2274" i="1" s="1"/>
  <c r="A2275" i="1"/>
  <c r="A2276" i="1"/>
  <c r="B2276" i="1" s="1"/>
  <c r="A2355" i="1"/>
  <c r="B2355" i="1" s="1"/>
  <c r="A2277" i="1"/>
  <c r="A2278" i="1"/>
  <c r="A2279" i="1"/>
  <c r="B2279" i="1" s="1"/>
  <c r="A2294" i="1"/>
  <c r="B2294" i="1" s="1"/>
  <c r="A2368" i="1"/>
  <c r="A2369" i="1"/>
  <c r="B2369" i="1" s="1"/>
  <c r="A2370" i="1"/>
  <c r="B2370" i="1" s="1"/>
  <c r="A2373" i="1"/>
  <c r="A2295" i="1"/>
  <c r="B2295" i="1" s="1"/>
  <c r="A2374" i="1"/>
  <c r="A2296" i="1"/>
  <c r="B2296" i="1" s="1"/>
  <c r="A2297" i="1"/>
  <c r="B2297" i="1" s="1"/>
  <c r="A2298" i="1"/>
  <c r="A2299" i="1"/>
  <c r="B2299" i="1" s="1"/>
  <c r="A2300" i="1"/>
  <c r="B2300" i="1" s="1"/>
  <c r="A2301" i="1"/>
  <c r="B2301" i="1" s="1"/>
  <c r="A2302" i="1"/>
  <c r="A2303" i="1"/>
  <c r="B2303" i="1" s="1"/>
  <c r="A2304" i="1"/>
  <c r="A2305" i="1"/>
  <c r="A2306" i="1"/>
  <c r="B2306" i="1" s="1"/>
  <c r="A2307" i="1"/>
  <c r="A2379" i="1"/>
  <c r="B2379" i="1" s="1"/>
  <c r="A2382" i="1"/>
  <c r="B2382" i="1" s="1"/>
  <c r="A2308" i="1"/>
  <c r="A2309" i="1"/>
  <c r="B2309" i="1" s="1"/>
  <c r="A2310" i="1"/>
  <c r="B2310" i="1" s="1"/>
  <c r="A2311" i="1"/>
  <c r="B2311" i="1" s="1"/>
  <c r="A2312" i="1"/>
  <c r="A2313" i="1"/>
  <c r="B2313" i="1" s="1"/>
  <c r="A2383" i="1"/>
  <c r="B2383" i="1" s="1"/>
  <c r="A2384" i="1"/>
  <c r="A2315" i="1"/>
  <c r="B2315" i="1" s="1"/>
  <c r="A2316" i="1"/>
  <c r="A2317" i="1"/>
  <c r="B2317" i="1" s="1"/>
  <c r="A2385" i="1"/>
  <c r="B2385" i="1" s="1"/>
  <c r="A529" i="1"/>
  <c r="A530" i="1"/>
  <c r="B530" i="1" s="1"/>
  <c r="A531" i="1"/>
  <c r="B531" i="1" s="1"/>
  <c r="A2391" i="1"/>
  <c r="B2391" i="1" s="1"/>
  <c r="A2318" i="1"/>
  <c r="A2439" i="1"/>
  <c r="B2439" i="1" s="1"/>
  <c r="A2330" i="1"/>
  <c r="B2330" i="1" s="1"/>
  <c r="A2331" i="1"/>
  <c r="A2332" i="1"/>
  <c r="B2332" i="1" s="1"/>
  <c r="A2333" i="1"/>
  <c r="A2334" i="1"/>
  <c r="B2334" i="1" s="1"/>
  <c r="A2335" i="1"/>
  <c r="B2335" i="1" s="1"/>
  <c r="A2440" i="1"/>
  <c r="A2336" i="1"/>
  <c r="A2337" i="1"/>
  <c r="B2337" i="1" s="1"/>
  <c r="A2338" i="1"/>
  <c r="B2338" i="1" s="1"/>
  <c r="A2339" i="1"/>
  <c r="A2340" i="1"/>
  <c r="B2340" i="1" s="1"/>
  <c r="A2341" i="1"/>
  <c r="B2341" i="1" s="1"/>
  <c r="A2342" i="1"/>
  <c r="A2343" i="1"/>
  <c r="B2343" i="1" s="1"/>
  <c r="A2441" i="1"/>
  <c r="A2442" i="1"/>
  <c r="B2442" i="1" s="1"/>
  <c r="A2344" i="1"/>
  <c r="B2344" i="1" s="1"/>
  <c r="A2345" i="1"/>
  <c r="A2346" i="1"/>
  <c r="A2445" i="1"/>
  <c r="B2445" i="1" s="1"/>
  <c r="A2347" i="1"/>
  <c r="B2347" i="1" s="1"/>
  <c r="A2348" i="1"/>
  <c r="A2349" i="1"/>
  <c r="B2349" i="1" s="1"/>
  <c r="A2350" i="1"/>
  <c r="A2351" i="1"/>
  <c r="A2352" i="1"/>
  <c r="B2352" i="1" s="1"/>
  <c r="A2366" i="1"/>
  <c r="A2371" i="1"/>
  <c r="B2371" i="1" s="1"/>
  <c r="A2372" i="1"/>
  <c r="B2372" i="1" s="1"/>
  <c r="A2375" i="1"/>
  <c r="A2376" i="1"/>
  <c r="B2376" i="1" s="1"/>
  <c r="A2380" i="1"/>
  <c r="B2380" i="1" s="1"/>
  <c r="A2381" i="1"/>
  <c r="B2381" i="1" s="1"/>
  <c r="A2392" i="1"/>
  <c r="A2393" i="1"/>
  <c r="B2393" i="1" s="1"/>
  <c r="A2390" i="1"/>
  <c r="B2390" i="1" s="1"/>
  <c r="A2394" i="1"/>
  <c r="A2395" i="1"/>
  <c r="B2395" i="1" s="1"/>
  <c r="A2396" i="1"/>
  <c r="A2397" i="1"/>
  <c r="B2397" i="1" s="1"/>
  <c r="A2398" i="1"/>
  <c r="B2398" i="1" s="1"/>
  <c r="A2399" i="1"/>
  <c r="A2400" i="1"/>
  <c r="B2400" i="1" s="1"/>
  <c r="A2401" i="1"/>
  <c r="B2401" i="1" s="1"/>
  <c r="A2402" i="1"/>
  <c r="B2402" i="1" s="1"/>
  <c r="A2403" i="1"/>
  <c r="A2404" i="1"/>
  <c r="B2404" i="1" s="1"/>
  <c r="A2405" i="1"/>
  <c r="B2405" i="1" s="1"/>
  <c r="A2411" i="1"/>
  <c r="A2412" i="1"/>
  <c r="B2412" i="1" s="1"/>
  <c r="A2413" i="1"/>
  <c r="A2414" i="1"/>
  <c r="A2415" i="1"/>
  <c r="B2415" i="1" s="1"/>
  <c r="A2416" i="1"/>
  <c r="A2417" i="1"/>
  <c r="B2417" i="1" s="1"/>
  <c r="A2418" i="1"/>
  <c r="B2418" i="1" s="1"/>
  <c r="A2419" i="1"/>
  <c r="B2419" i="1" s="1"/>
  <c r="A2420" i="1"/>
  <c r="B2420" i="1" s="1"/>
  <c r="A2421" i="1"/>
  <c r="B2421" i="1" s="1"/>
  <c r="A2422" i="1"/>
  <c r="B2422" i="1" s="1"/>
  <c r="A2423" i="1"/>
  <c r="A2424" i="1"/>
  <c r="B2424" i="1" s="1"/>
  <c r="A2425" i="1"/>
  <c r="A2426" i="1"/>
  <c r="B2426" i="1" s="1"/>
  <c r="A2427" i="1"/>
  <c r="B2427" i="1" s="1"/>
  <c r="A2428" i="1"/>
  <c r="A2429" i="1"/>
  <c r="B2429" i="1" s="1"/>
  <c r="A2430" i="1"/>
  <c r="B2430" i="1" s="1"/>
  <c r="A2431" i="1"/>
  <c r="B2431" i="1" s="1"/>
  <c r="A2432" i="1"/>
  <c r="A2433" i="1"/>
  <c r="B2433" i="1" s="1"/>
  <c r="A2434" i="1"/>
  <c r="B2434" i="1" s="1"/>
  <c r="A2435" i="1"/>
  <c r="A2436" i="1"/>
  <c r="B2436" i="1" s="1"/>
  <c r="A2437" i="1"/>
  <c r="A2438" i="1"/>
  <c r="B2438" i="1" s="1"/>
  <c r="A2443" i="1"/>
  <c r="B2443" i="1" s="1"/>
  <c r="A2446" i="1"/>
  <c r="A2447" i="1"/>
  <c r="A2448" i="1"/>
  <c r="B2448" i="1" s="1"/>
  <c r="A2049" i="1"/>
  <c r="B2049" i="1" s="1"/>
  <c r="A2057" i="1"/>
  <c r="A2058" i="1"/>
  <c r="B2058" i="1" s="1"/>
  <c r="A2059" i="1"/>
  <c r="B2059" i="1" s="1"/>
  <c r="A2060" i="1"/>
  <c r="A2061" i="1"/>
  <c r="A2062" i="1"/>
  <c r="A2067" i="1"/>
  <c r="B2067" i="1" s="1"/>
  <c r="A2068" i="1"/>
  <c r="B2068" i="1" s="1"/>
  <c r="A2069" i="1"/>
  <c r="A2070" i="1"/>
  <c r="A2071" i="1"/>
  <c r="B2071" i="1" s="1"/>
  <c r="A2072" i="1"/>
  <c r="B2072" i="1" s="1"/>
  <c r="A2073" i="1"/>
  <c r="A2074" i="1"/>
  <c r="B2074" i="1" s="1"/>
  <c r="A2075" i="1"/>
  <c r="B2075" i="1" s="1"/>
  <c r="A2076" i="1"/>
  <c r="A2088" i="1"/>
  <c r="A2114" i="1"/>
  <c r="A2115" i="1"/>
  <c r="B2115" i="1" s="1"/>
  <c r="A2116" i="1"/>
  <c r="B2116" i="1" s="1"/>
  <c r="A2117" i="1"/>
  <c r="A2118" i="1"/>
  <c r="A2119" i="1"/>
  <c r="B2119" i="1" s="1"/>
  <c r="A2120" i="1"/>
  <c r="B2120" i="1" s="1"/>
  <c r="A2121" i="1"/>
  <c r="A2122" i="1"/>
  <c r="B2122" i="1" s="1"/>
  <c r="A2123" i="1"/>
  <c r="B2123" i="1" s="1"/>
  <c r="A2124" i="1"/>
  <c r="A2125" i="1"/>
  <c r="A2126" i="1"/>
  <c r="A2127" i="1"/>
  <c r="B2127" i="1" s="1"/>
  <c r="A2157" i="1"/>
  <c r="B2157" i="1" s="1"/>
  <c r="A2158" i="1"/>
  <c r="A2159" i="1"/>
  <c r="B2159" i="1" s="1"/>
  <c r="A2160" i="1"/>
  <c r="B2160" i="1" s="1"/>
  <c r="A2161" i="1"/>
  <c r="B2161" i="1" s="1"/>
  <c r="A2162" i="1"/>
  <c r="A2163" i="1"/>
  <c r="B2163" i="1" s="1"/>
  <c r="A2164" i="1"/>
  <c r="B2164" i="1" s="1"/>
  <c r="A2165" i="1"/>
  <c r="A2166" i="1"/>
  <c r="A2167" i="1"/>
  <c r="A2168" i="1"/>
  <c r="A2169" i="1"/>
  <c r="A2170" i="1"/>
  <c r="A2171" i="1"/>
  <c r="A2221" i="1"/>
  <c r="B2221" i="1" s="1"/>
  <c r="A2222" i="1"/>
  <c r="B2222" i="1" s="1"/>
  <c r="A2223" i="1"/>
  <c r="A2224" i="1"/>
  <c r="B2224" i="1" s="1"/>
  <c r="A2225" i="1"/>
  <c r="B2225" i="1" s="1"/>
  <c r="A2226" i="1"/>
  <c r="A2227" i="1"/>
  <c r="A2228" i="1"/>
  <c r="A2229" i="1"/>
  <c r="B2229" i="1" s="1"/>
  <c r="A2251" i="1"/>
  <c r="B2251" i="1" s="1"/>
  <c r="A2252" i="1"/>
  <c r="A2253" i="1"/>
  <c r="A2254" i="1"/>
  <c r="B2254" i="1" s="1"/>
  <c r="A2255" i="1"/>
  <c r="B2255" i="1" s="1"/>
  <c r="A2280" i="1"/>
  <c r="A2281" i="1"/>
  <c r="B2281" i="1" s="1"/>
  <c r="A2282" i="1"/>
  <c r="B2282" i="1" s="1"/>
  <c r="A2283" i="1"/>
  <c r="A2284" i="1"/>
  <c r="A2285" i="1"/>
  <c r="A2286" i="1"/>
  <c r="B2286" i="1" s="1"/>
  <c r="A2287" i="1"/>
  <c r="B2287" i="1" s="1"/>
  <c r="A2328" i="1"/>
  <c r="A2329" i="1"/>
  <c r="A2356" i="1"/>
  <c r="B2356" i="1" s="1"/>
  <c r="A2357" i="1"/>
  <c r="B2357" i="1" s="1"/>
  <c r="A2358" i="1"/>
  <c r="A2359" i="1"/>
  <c r="B2359" i="1" s="1"/>
  <c r="A2360" i="1"/>
  <c r="B2360" i="1" s="1"/>
  <c r="A2361" i="1"/>
  <c r="A2362" i="1"/>
  <c r="A2363" i="1"/>
  <c r="A2364" i="1"/>
  <c r="A2365" i="1"/>
  <c r="B2365" i="1" s="1"/>
  <c r="A2367" i="1"/>
  <c r="A2377" i="1"/>
  <c r="B2377" i="1" s="1"/>
  <c r="A2378" i="1"/>
  <c r="B2378" i="1" s="1"/>
  <c r="A2387" i="1"/>
  <c r="B2387" i="1" s="1"/>
  <c r="A2388" i="1"/>
  <c r="A2389" i="1"/>
  <c r="B2389" i="1" s="1"/>
  <c r="A2406" i="1"/>
  <c r="B2406" i="1" s="1"/>
  <c r="A2407" i="1"/>
  <c r="A2408" i="1"/>
  <c r="A2409" i="1"/>
  <c r="A2410" i="1"/>
  <c r="B2410" i="1" s="1"/>
  <c r="A2444" i="1"/>
  <c r="B2444" i="1" s="1"/>
  <c r="B20" i="1"/>
  <c r="B22" i="1"/>
  <c r="B23" i="1"/>
  <c r="B24" i="1"/>
  <c r="B25" i="1"/>
  <c r="B26" i="1"/>
  <c r="B71" i="1"/>
  <c r="B28" i="1"/>
  <c r="B29" i="1"/>
  <c r="B30" i="1"/>
  <c r="B31" i="1"/>
  <c r="B32" i="1"/>
  <c r="B73" i="1"/>
  <c r="B43" i="1"/>
  <c r="B74" i="1"/>
  <c r="B44" i="1"/>
  <c r="B45" i="1"/>
  <c r="B46" i="1"/>
  <c r="B75" i="1"/>
  <c r="B48" i="1"/>
  <c r="B76" i="1"/>
  <c r="B77" i="1"/>
  <c r="B78" i="1"/>
  <c r="B82" i="1"/>
  <c r="B83" i="1"/>
  <c r="B79" i="1"/>
  <c r="B84" i="1"/>
  <c r="B85" i="1"/>
  <c r="B105" i="1"/>
  <c r="B106" i="1"/>
  <c r="B107" i="1"/>
  <c r="B108" i="1"/>
  <c r="B109" i="1"/>
  <c r="B110" i="1"/>
  <c r="B111" i="1"/>
  <c r="B112" i="1"/>
  <c r="B113" i="1"/>
  <c r="B114" i="1"/>
  <c r="B115" i="1"/>
  <c r="B117" i="1"/>
  <c r="B100" i="1"/>
  <c r="B118" i="1"/>
  <c r="B119" i="1"/>
  <c r="B131" i="1"/>
  <c r="B103" i="1"/>
  <c r="B104" i="1"/>
  <c r="B120" i="1"/>
  <c r="B121" i="1"/>
  <c r="B122" i="1"/>
  <c r="B123" i="1"/>
  <c r="B125" i="1"/>
  <c r="B126" i="1"/>
  <c r="B127" i="1"/>
  <c r="B128" i="1"/>
  <c r="B129" i="1"/>
  <c r="B151" i="1"/>
  <c r="B132" i="1"/>
  <c r="B133" i="1"/>
  <c r="B134" i="1"/>
  <c r="B135" i="1"/>
  <c r="B138" i="1"/>
  <c r="B139" i="1"/>
  <c r="B140" i="1"/>
  <c r="B141" i="1"/>
  <c r="B142" i="1"/>
  <c r="B143" i="1"/>
  <c r="B144" i="1"/>
  <c r="B152" i="1"/>
  <c r="B153" i="1"/>
  <c r="B154" i="1"/>
  <c r="B157" i="1"/>
  <c r="B158" i="1"/>
  <c r="B159" i="1"/>
  <c r="B160" i="1"/>
  <c r="B161" i="1"/>
  <c r="B162" i="1"/>
  <c r="B163" i="1"/>
  <c r="B164" i="1"/>
  <c r="B145" i="1"/>
  <c r="B146" i="1"/>
  <c r="B147" i="1"/>
  <c r="B149" i="1"/>
  <c r="B150" i="1"/>
  <c r="B165" i="1"/>
  <c r="B166" i="1"/>
  <c r="B167" i="1"/>
  <c r="B168" i="1"/>
  <c r="B169" i="1"/>
  <c r="B170" i="1"/>
  <c r="B171" i="1"/>
  <c r="B4" i="1"/>
  <c r="B5" i="1"/>
  <c r="B7" i="1"/>
  <c r="B172" i="1"/>
  <c r="B173" i="1"/>
  <c r="B174" i="1"/>
  <c r="B175" i="1"/>
  <c r="B187" i="1"/>
  <c r="B188" i="1"/>
  <c r="B176" i="1"/>
  <c r="B177" i="1"/>
  <c r="B178" i="1"/>
  <c r="B181" i="1"/>
  <c r="B182" i="1"/>
  <c r="B183" i="1"/>
  <c r="B196" i="1"/>
  <c r="B197" i="1"/>
  <c r="B198" i="1"/>
  <c r="B184" i="1"/>
  <c r="B185" i="1"/>
  <c r="B186" i="1"/>
  <c r="B205" i="1"/>
  <c r="B208" i="1"/>
  <c r="B209" i="1"/>
  <c r="B210" i="1"/>
  <c r="B211" i="1"/>
  <c r="B212" i="1"/>
  <c r="B213" i="1"/>
  <c r="B214" i="1"/>
  <c r="B215" i="1"/>
  <c r="B216" i="1"/>
  <c r="B217" i="1"/>
  <c r="B220" i="1"/>
  <c r="B221" i="1"/>
  <c r="B189" i="1"/>
  <c r="B190" i="1"/>
  <c r="B191" i="1"/>
  <c r="B192" i="1"/>
  <c r="B193" i="1"/>
  <c r="B262" i="1"/>
  <c r="B263" i="1"/>
  <c r="B264" i="1"/>
  <c r="B199" i="1"/>
  <c r="B200" i="1"/>
  <c r="B268" i="1"/>
  <c r="B269" i="1"/>
  <c r="B270" i="1"/>
  <c r="B271" i="1"/>
  <c r="B272" i="1"/>
  <c r="B273" i="1"/>
  <c r="B274" i="1"/>
  <c r="B298" i="1"/>
  <c r="B299" i="1"/>
  <c r="B301" i="1"/>
  <c r="B201" i="1"/>
  <c r="B357" i="1"/>
  <c r="B202" i="1"/>
  <c r="B363" i="1"/>
  <c r="B364" i="1"/>
  <c r="B365" i="1"/>
  <c r="B366" i="1"/>
  <c r="B367" i="1"/>
  <c r="B368" i="1"/>
  <c r="B371" i="1"/>
  <c r="B372" i="1"/>
  <c r="B373" i="1"/>
  <c r="B374" i="1"/>
  <c r="B375" i="1"/>
  <c r="B376" i="1"/>
  <c r="B203" i="1"/>
  <c r="B385" i="1"/>
  <c r="B222" i="1"/>
  <c r="B223" i="1"/>
  <c r="B224" i="1"/>
  <c r="B226" i="1"/>
  <c r="B227" i="1"/>
  <c r="B228" i="1"/>
  <c r="B229" i="1"/>
  <c r="B230" i="1"/>
  <c r="B231" i="1"/>
  <c r="B386" i="1"/>
  <c r="B387" i="1"/>
  <c r="B388" i="1"/>
  <c r="B232" i="1"/>
  <c r="B233" i="1"/>
  <c r="B235" i="1"/>
  <c r="B236" i="1"/>
  <c r="B237" i="1"/>
  <c r="B238" i="1"/>
  <c r="B239" i="1"/>
  <c r="B240" i="1"/>
  <c r="B241" i="1"/>
  <c r="B389" i="1"/>
  <c r="B390" i="1"/>
  <c r="B391" i="1"/>
  <c r="B242" i="1"/>
  <c r="B243" i="1"/>
  <c r="B245" i="1"/>
  <c r="B246" i="1"/>
  <c r="B247" i="1"/>
  <c r="B248" i="1"/>
  <c r="B249" i="1"/>
  <c r="B250" i="1"/>
  <c r="B251" i="1"/>
  <c r="B252" i="1"/>
  <c r="B254" i="1"/>
  <c r="B255" i="1"/>
  <c r="B257" i="1"/>
  <c r="B258" i="1"/>
  <c r="B259" i="1"/>
  <c r="B260" i="1"/>
  <c r="B261" i="1"/>
  <c r="B394" i="1"/>
  <c r="B395" i="1"/>
  <c r="B398" i="1"/>
  <c r="B399" i="1"/>
  <c r="B464" i="1"/>
  <c r="B265" i="1"/>
  <c r="B266" i="1"/>
  <c r="B465" i="1"/>
  <c r="B466" i="1"/>
  <c r="B276" i="1"/>
  <c r="B277" i="1"/>
  <c r="B280" i="1"/>
  <c r="B281" i="1"/>
  <c r="B283" i="1"/>
  <c r="B284" i="1"/>
  <c r="B285" i="1"/>
  <c r="B467" i="1"/>
  <c r="B286" i="1"/>
  <c r="B287" i="1"/>
  <c r="B468" i="1"/>
  <c r="B288" i="1"/>
  <c r="B290" i="1"/>
  <c r="B291" i="1"/>
  <c r="B469" i="1"/>
  <c r="B293" i="1"/>
  <c r="B294" i="1"/>
  <c r="B295" i="1"/>
  <c r="B296" i="1"/>
  <c r="B297" i="1"/>
  <c r="B476" i="1"/>
  <c r="B477" i="1"/>
  <c r="B479" i="1"/>
  <c r="B480" i="1"/>
  <c r="B482" i="1"/>
  <c r="B483" i="1"/>
  <c r="B484" i="1"/>
  <c r="B485" i="1"/>
  <c r="B486" i="1"/>
  <c r="B487" i="1"/>
  <c r="B488" i="1"/>
  <c r="B491" i="1"/>
  <c r="B492" i="1"/>
  <c r="B2452" i="1"/>
  <c r="B2453" i="1"/>
  <c r="B2454" i="1"/>
  <c r="B2455" i="1"/>
  <c r="B2456" i="1"/>
  <c r="B493" i="1"/>
  <c r="B494" i="1"/>
  <c r="B495" i="1"/>
  <c r="B497" i="1"/>
  <c r="B498" i="1"/>
  <c r="B500" i="1"/>
  <c r="B501" i="1"/>
  <c r="B502" i="1"/>
  <c r="B503" i="1"/>
  <c r="B504" i="1"/>
  <c r="B505" i="1"/>
  <c r="B2457" i="1"/>
  <c r="B2460" i="1"/>
  <c r="B2461" i="1"/>
  <c r="B302" i="1"/>
  <c r="B303" i="1"/>
  <c r="B304" i="1"/>
  <c r="B305" i="1"/>
  <c r="B306" i="1"/>
  <c r="B307" i="1"/>
  <c r="B308" i="1"/>
  <c r="B506" i="1"/>
  <c r="B512" i="1"/>
  <c r="B514" i="1"/>
  <c r="B515" i="1"/>
  <c r="B311" i="1"/>
  <c r="B312" i="1"/>
  <c r="B313" i="1"/>
  <c r="B314" i="1"/>
  <c r="B315" i="1"/>
  <c r="B316" i="1"/>
  <c r="B318" i="1"/>
  <c r="B319" i="1"/>
  <c r="B321" i="1"/>
  <c r="B322" i="1"/>
  <c r="B324" i="1"/>
  <c r="B325" i="1"/>
  <c r="B326" i="1"/>
  <c r="B328" i="1"/>
  <c r="B329" i="1"/>
  <c r="B536" i="1"/>
  <c r="B537" i="1"/>
  <c r="B538" i="1"/>
  <c r="B539" i="1"/>
  <c r="B540" i="1"/>
  <c r="B541" i="1"/>
  <c r="B542" i="1"/>
  <c r="B544" i="1"/>
  <c r="B331" i="1"/>
  <c r="B333" i="1"/>
  <c r="B336" i="1"/>
  <c r="B337" i="1"/>
  <c r="B338" i="1"/>
  <c r="B339" i="1"/>
  <c r="B341" i="1"/>
  <c r="B343" i="1"/>
  <c r="B345" i="1"/>
  <c r="B346" i="1"/>
  <c r="B347" i="1"/>
  <c r="B348" i="1"/>
  <c r="B349" i="1"/>
  <c r="B350" i="1"/>
  <c r="B353" i="1"/>
  <c r="B548" i="1"/>
  <c r="B549" i="1"/>
  <c r="B550" i="1"/>
  <c r="B358" i="1"/>
  <c r="B359" i="1"/>
  <c r="B360" i="1"/>
  <c r="B551" i="1"/>
  <c r="B553" i="1"/>
  <c r="B554" i="1"/>
  <c r="B556" i="1"/>
  <c r="B379" i="1"/>
  <c r="B380" i="1"/>
  <c r="B382" i="1"/>
  <c r="B560" i="1"/>
  <c r="B384" i="1"/>
  <c r="B405" i="1"/>
  <c r="B562" i="1"/>
  <c r="B563" i="1"/>
  <c r="B406" i="1"/>
  <c r="B571" i="1"/>
  <c r="B573" i="1"/>
  <c r="B575" i="1"/>
  <c r="B604" i="1"/>
  <c r="B408" i="1"/>
  <c r="B605" i="1"/>
  <c r="B470" i="1"/>
  <c r="B608" i="1"/>
  <c r="B609" i="1"/>
  <c r="B610" i="1"/>
  <c r="B611" i="1"/>
  <c r="B612" i="1"/>
  <c r="B615" i="1"/>
  <c r="B617" i="1"/>
  <c r="B619" i="1"/>
  <c r="B620" i="1"/>
  <c r="B475" i="1"/>
  <c r="B631" i="1"/>
  <c r="B516" i="1"/>
  <c r="B519" i="1"/>
  <c r="B523" i="1"/>
  <c r="B525" i="1"/>
  <c r="B526" i="1"/>
  <c r="B527" i="1"/>
  <c r="B528" i="1"/>
  <c r="B634" i="1"/>
  <c r="B638" i="1"/>
  <c r="B663" i="1"/>
  <c r="B532" i="1"/>
  <c r="B533" i="1"/>
  <c r="B685" i="1"/>
  <c r="B579" i="1"/>
  <c r="B716" i="1"/>
  <c r="B581" i="1"/>
  <c r="B722" i="1"/>
  <c r="B725" i="1"/>
  <c r="B726" i="1"/>
  <c r="B729" i="1"/>
  <c r="B731" i="1"/>
  <c r="B732" i="1"/>
  <c r="B582" i="1"/>
  <c r="B739" i="1"/>
  <c r="B741" i="1"/>
  <c r="B742" i="1"/>
  <c r="B584" i="1"/>
  <c r="B586" i="1"/>
  <c r="B587" i="1"/>
  <c r="B745" i="1"/>
  <c r="B588" i="1"/>
  <c r="B747" i="1"/>
  <c r="B87" i="1"/>
  <c r="B749" i="1"/>
  <c r="B622" i="1"/>
  <c r="B623" i="1"/>
  <c r="B772" i="1"/>
  <c r="B624" i="1"/>
  <c r="B625" i="1"/>
  <c r="B626" i="1"/>
  <c r="B773" i="1"/>
  <c r="B627" i="1"/>
  <c r="B630" i="1"/>
  <c r="B640" i="1"/>
  <c r="B641" i="1"/>
  <c r="B642" i="1"/>
  <c r="B775" i="1"/>
  <c r="B643" i="1"/>
  <c r="B644" i="1"/>
  <c r="B645" i="1"/>
  <c r="B646" i="1"/>
  <c r="B647" i="1"/>
  <c r="B650" i="1"/>
  <c r="B777" i="1"/>
  <c r="B651" i="1"/>
  <c r="B654" i="1"/>
  <c r="B778" i="1"/>
  <c r="B655" i="1"/>
  <c r="B657" i="1"/>
  <c r="B779" i="1"/>
  <c r="B659" i="1"/>
  <c r="B660" i="1"/>
  <c r="B661" i="1"/>
  <c r="B781" i="1"/>
  <c r="B664" i="1"/>
  <c r="B790" i="1"/>
  <c r="B792" i="1"/>
  <c r="B793" i="1"/>
  <c r="B794" i="1"/>
  <c r="B795" i="1"/>
  <c r="B797" i="1"/>
  <c r="B665" i="1"/>
  <c r="B826" i="1"/>
  <c r="B828" i="1"/>
  <c r="B830" i="1"/>
  <c r="B831" i="1"/>
  <c r="B832" i="1"/>
  <c r="B667" i="1"/>
  <c r="B835" i="1"/>
  <c r="B836" i="1"/>
  <c r="B837" i="1"/>
  <c r="B839" i="1"/>
  <c r="B842" i="1"/>
  <c r="B843" i="1"/>
  <c r="B844" i="1"/>
  <c r="B845" i="1"/>
  <c r="B849" i="1"/>
  <c r="B558" i="1"/>
  <c r="B852" i="1"/>
  <c r="B692" i="1"/>
  <c r="B693" i="1"/>
  <c r="B694" i="1"/>
  <c r="B695" i="1"/>
  <c r="B697" i="1"/>
  <c r="B698" i="1"/>
  <c r="B700" i="1"/>
  <c r="B703" i="1"/>
  <c r="B704" i="1"/>
  <c r="B705" i="1"/>
  <c r="B706" i="1"/>
  <c r="B856" i="1"/>
  <c r="B857" i="1"/>
  <c r="B860" i="1"/>
  <c r="B862" i="1"/>
  <c r="B863" i="1"/>
  <c r="B709" i="1"/>
  <c r="B864" i="1"/>
  <c r="B711" i="1"/>
  <c r="B712" i="1"/>
  <c r="B713" i="1"/>
  <c r="B734" i="1"/>
  <c r="B737" i="1"/>
  <c r="B738" i="1"/>
  <c r="B869" i="1"/>
  <c r="B872" i="1"/>
  <c r="B873" i="1"/>
  <c r="B874" i="1"/>
  <c r="B876" i="1"/>
  <c r="B878" i="1"/>
  <c r="B879" i="1"/>
  <c r="B880" i="1"/>
  <c r="B881" i="1"/>
  <c r="B882" i="1"/>
  <c r="B884" i="1"/>
  <c r="B885" i="1"/>
  <c r="B752" i="1"/>
  <c r="B754" i="1"/>
  <c r="B755" i="1"/>
  <c r="B756" i="1"/>
  <c r="B757" i="1"/>
  <c r="B894" i="1"/>
  <c r="B895" i="1"/>
  <c r="B761" i="1"/>
  <c r="B764" i="1"/>
  <c r="B765" i="1"/>
  <c r="B766" i="1"/>
  <c r="B769" i="1"/>
  <c r="B782" i="1"/>
  <c r="B910" i="1"/>
  <c r="B913" i="1"/>
  <c r="B914" i="1"/>
  <c r="B915" i="1"/>
  <c r="B916" i="1"/>
  <c r="B918" i="1"/>
  <c r="B919" i="1"/>
  <c r="B922" i="1"/>
  <c r="B898" i="1"/>
  <c r="B899" i="1"/>
  <c r="B900" i="1"/>
  <c r="B903" i="1"/>
  <c r="B904" i="1"/>
  <c r="B907" i="1"/>
  <c r="B785" i="1"/>
  <c r="B923" i="1"/>
  <c r="B924" i="1"/>
  <c r="B786" i="1"/>
  <c r="B787" i="1"/>
  <c r="B933" i="1"/>
  <c r="B936" i="1"/>
  <c r="B938" i="1"/>
  <c r="B939" i="1"/>
  <c r="B940" i="1"/>
  <c r="B941" i="1"/>
  <c r="B944" i="1"/>
  <c r="B945" i="1"/>
  <c r="B948" i="1"/>
  <c r="B807" i="1"/>
  <c r="B950" i="1"/>
  <c r="B951" i="1"/>
  <c r="B808" i="1"/>
  <c r="B810" i="1"/>
  <c r="B813" i="1"/>
  <c r="B816" i="1"/>
  <c r="B817" i="1"/>
  <c r="B818" i="1"/>
  <c r="B80" i="1"/>
  <c r="B81" i="1"/>
  <c r="B822" i="1"/>
  <c r="B983" i="1"/>
  <c r="B984" i="1"/>
  <c r="B985" i="1"/>
  <c r="B986" i="1"/>
  <c r="B987" i="1"/>
  <c r="B824" i="1"/>
  <c r="B825" i="1"/>
  <c r="B994" i="1"/>
  <c r="B996" i="1"/>
  <c r="B997" i="1"/>
  <c r="B998" i="1"/>
  <c r="B999" i="1"/>
  <c r="B1002" i="1"/>
  <c r="B1003" i="1"/>
  <c r="B1075" i="1"/>
  <c r="B1077" i="1"/>
  <c r="B1078" i="1"/>
  <c r="B1079" i="1"/>
  <c r="B1080" i="1"/>
  <c r="B846" i="1"/>
  <c r="B1113" i="1"/>
  <c r="B855" i="1"/>
  <c r="B1118" i="1"/>
  <c r="B1121" i="1"/>
  <c r="B867" i="1"/>
  <c r="B868" i="1"/>
  <c r="B887" i="1"/>
  <c r="B1181" i="1"/>
  <c r="B1184" i="1"/>
  <c r="B1185" i="1"/>
  <c r="B1186" i="1"/>
  <c r="B1188" i="1"/>
  <c r="B1189" i="1"/>
  <c r="B1193" i="1"/>
  <c r="B952" i="1"/>
  <c r="B2449" i="1"/>
  <c r="B953" i="1"/>
  <c r="B1220" i="1"/>
  <c r="B1222" i="1"/>
  <c r="B1223" i="1"/>
  <c r="B1226" i="1"/>
  <c r="B1228" i="1"/>
  <c r="B1229" i="1"/>
  <c r="B1230" i="1"/>
  <c r="B1231" i="1"/>
  <c r="B1234" i="1"/>
  <c r="B955" i="1"/>
  <c r="B1237" i="1"/>
  <c r="B1240" i="1"/>
  <c r="B1241" i="1"/>
  <c r="B1242" i="1"/>
  <c r="B1243" i="1"/>
  <c r="B1245" i="1"/>
  <c r="B1246" i="1"/>
  <c r="B956" i="1"/>
  <c r="B957" i="1"/>
  <c r="B1262" i="1"/>
  <c r="B1263" i="1"/>
  <c r="B1264" i="1"/>
  <c r="B1266" i="1"/>
  <c r="B970" i="1"/>
  <c r="B973" i="1"/>
  <c r="B974" i="1"/>
  <c r="B975" i="1"/>
  <c r="B978" i="1"/>
  <c r="B1268" i="1"/>
  <c r="B1271" i="1"/>
  <c r="B1272" i="1"/>
  <c r="B1273" i="1"/>
  <c r="B1276" i="1"/>
  <c r="B989" i="1"/>
  <c r="B1282" i="1"/>
  <c r="B1283" i="1"/>
  <c r="B991" i="1"/>
  <c r="B1285" i="1"/>
  <c r="B1288" i="1"/>
  <c r="B1289" i="1"/>
  <c r="B1292" i="1"/>
  <c r="B1295" i="1"/>
  <c r="B1296" i="1"/>
  <c r="B1297" i="1"/>
  <c r="B1006" i="1"/>
  <c r="B1007" i="1"/>
  <c r="B1010" i="1"/>
  <c r="B1310" i="1"/>
  <c r="B1311" i="1"/>
  <c r="B1041" i="1"/>
  <c r="B1312" i="1"/>
  <c r="B1314" i="1"/>
  <c r="B1315" i="1"/>
  <c r="B1045" i="1"/>
  <c r="B1048" i="1"/>
  <c r="B1049" i="1"/>
  <c r="B1050" i="1"/>
  <c r="B1052" i="1"/>
  <c r="B1053" i="1"/>
  <c r="B1060" i="1"/>
  <c r="B1062" i="1"/>
  <c r="B1063" i="1"/>
  <c r="B1064" i="1"/>
  <c r="B1065" i="1"/>
  <c r="B1068" i="1"/>
  <c r="B1072" i="1"/>
  <c r="B1322" i="1"/>
  <c r="B1323" i="1"/>
  <c r="B1324" i="1"/>
  <c r="B1325" i="1"/>
  <c r="B1081" i="1"/>
  <c r="B1085" i="1"/>
  <c r="B1087" i="1"/>
  <c r="B1088" i="1"/>
  <c r="B1089" i="1"/>
  <c r="B1090" i="1"/>
  <c r="B1093" i="1"/>
  <c r="B1094" i="1"/>
  <c r="B1097" i="1"/>
  <c r="B1100" i="1"/>
  <c r="B1101" i="1"/>
  <c r="B1366" i="1"/>
  <c r="B1399" i="1"/>
  <c r="B1401" i="1"/>
  <c r="B1402" i="1"/>
  <c r="B1405" i="1"/>
  <c r="B1408" i="1"/>
  <c r="B1409" i="1"/>
  <c r="B1410" i="1"/>
  <c r="B1103" i="1"/>
  <c r="B1104" i="1"/>
  <c r="B1107" i="1"/>
  <c r="B1110" i="1"/>
  <c r="B1111" i="1"/>
  <c r="B1112" i="1"/>
  <c r="B1428" i="1"/>
  <c r="B1124" i="1"/>
  <c r="B1126" i="1"/>
  <c r="B1127" i="1"/>
  <c r="B1128" i="1"/>
  <c r="B1433" i="1"/>
  <c r="B1467" i="1"/>
  <c r="B1138" i="1"/>
  <c r="B1140" i="1"/>
  <c r="B1141" i="1"/>
  <c r="B1142" i="1"/>
  <c r="B1487" i="1"/>
  <c r="B1490" i="1"/>
  <c r="B1494" i="1"/>
  <c r="B1497" i="1"/>
  <c r="B1498" i="1"/>
  <c r="B1499" i="1"/>
  <c r="B1501" i="1"/>
  <c r="B1502" i="1"/>
  <c r="B1145" i="1"/>
  <c r="B1504" i="1"/>
  <c r="B1505" i="1"/>
  <c r="B1506" i="1"/>
  <c r="B1507" i="1"/>
  <c r="B1510" i="1"/>
  <c r="B1147" i="1"/>
  <c r="B1513" i="1"/>
  <c r="B1195" i="1"/>
  <c r="B1196" i="1"/>
  <c r="B1531" i="1"/>
  <c r="B1532" i="1"/>
  <c r="B1197" i="1"/>
  <c r="B1198" i="1"/>
  <c r="B1537" i="1"/>
  <c r="B1540" i="1"/>
  <c r="B1541" i="1"/>
  <c r="B1542" i="1"/>
  <c r="B1543" i="1"/>
  <c r="B1545" i="1"/>
  <c r="B1200" i="1"/>
  <c r="B1201" i="1"/>
  <c r="B1202" i="1"/>
  <c r="B1571" i="1"/>
  <c r="B1216" i="1"/>
  <c r="B1217" i="1"/>
  <c r="B1219" i="1"/>
  <c r="B1251" i="1"/>
  <c r="B1254" i="1"/>
  <c r="B1255" i="1"/>
  <c r="B1256" i="1"/>
  <c r="B1628" i="1"/>
  <c r="B1257" i="1"/>
  <c r="B1629" i="1"/>
  <c r="B1279" i="1"/>
  <c r="B1648" i="1"/>
  <c r="B1649" i="1"/>
  <c r="B1299" i="1"/>
  <c r="B1305" i="1"/>
  <c r="B1307" i="1"/>
  <c r="B1308" i="1"/>
  <c r="B1703" i="1"/>
  <c r="B1704" i="1"/>
  <c r="B1707" i="1"/>
  <c r="B1710" i="1"/>
  <c r="B1712" i="1"/>
  <c r="B1713" i="1"/>
  <c r="B1714" i="1"/>
  <c r="B1715" i="1"/>
  <c r="B1716" i="1"/>
  <c r="B1718" i="1"/>
  <c r="B1318" i="1"/>
  <c r="B1725" i="1"/>
  <c r="B1726" i="1"/>
  <c r="B1727" i="1"/>
  <c r="B1730" i="1"/>
  <c r="B1731" i="1"/>
  <c r="B1732" i="1"/>
  <c r="B1734" i="1"/>
  <c r="B1735" i="1"/>
  <c r="B1736" i="1"/>
  <c r="B1737" i="1"/>
  <c r="B1740" i="1"/>
  <c r="B1744" i="1"/>
  <c r="B1321" i="1"/>
  <c r="B1326" i="1"/>
  <c r="B1327" i="1"/>
  <c r="B1330" i="1"/>
  <c r="B1332" i="1"/>
  <c r="B1334" i="1"/>
  <c r="B1337" i="1"/>
  <c r="B1338" i="1"/>
  <c r="B1339" i="1"/>
  <c r="B1342" i="1"/>
  <c r="B1783" i="1"/>
  <c r="B1786" i="1"/>
  <c r="B1789" i="1"/>
  <c r="B1790" i="1"/>
  <c r="B1791" i="1"/>
  <c r="B1792" i="1"/>
  <c r="B1794" i="1"/>
  <c r="B1346" i="1"/>
  <c r="B1349" i="1"/>
  <c r="B1350" i="1"/>
  <c r="B1351" i="1"/>
  <c r="B1354" i="1"/>
  <c r="B1355" i="1"/>
  <c r="B1358" i="1"/>
  <c r="B1795" i="1"/>
  <c r="B1796" i="1"/>
  <c r="B1797" i="1"/>
  <c r="B1800" i="1"/>
  <c r="B1801" i="1"/>
  <c r="B1362" i="1"/>
  <c r="B1803" i="1"/>
  <c r="B1529" i="1"/>
  <c r="B1808" i="1"/>
  <c r="B1809" i="1"/>
  <c r="B1434" i="1"/>
  <c r="B1828" i="1"/>
  <c r="B1471" i="1"/>
  <c r="B1831" i="1"/>
  <c r="B1473" i="1"/>
  <c r="B1474" i="1"/>
  <c r="B1832" i="1"/>
  <c r="B1479" i="1"/>
  <c r="B1482" i="1"/>
  <c r="B1483" i="1"/>
  <c r="B1484" i="1"/>
  <c r="B1485" i="1"/>
  <c r="B1834" i="1"/>
  <c r="B1516" i="1"/>
  <c r="B1812" i="1"/>
  <c r="B1517" i="1"/>
  <c r="B1518" i="1"/>
  <c r="B1521" i="1"/>
  <c r="B1525" i="1"/>
  <c r="B1528" i="1"/>
  <c r="B1851" i="1"/>
  <c r="B1852" i="1"/>
  <c r="B1550" i="1"/>
  <c r="B1553" i="1"/>
  <c r="B1555" i="1"/>
  <c r="B1556" i="1"/>
  <c r="B1557" i="1"/>
  <c r="B1560" i="1"/>
  <c r="B1561" i="1"/>
  <c r="B1864" i="1"/>
  <c r="B1867" i="1"/>
  <c r="B1868" i="1"/>
  <c r="B1869" i="1"/>
  <c r="B1872" i="1"/>
  <c r="B1875" i="1"/>
  <c r="B1566" i="1"/>
  <c r="B1877" i="1"/>
  <c r="B1567" i="1"/>
  <c r="B1569" i="1"/>
  <c r="B1888" i="1"/>
  <c r="B1890" i="1"/>
  <c r="B1622" i="1"/>
  <c r="B1891" i="1"/>
  <c r="B1632" i="1"/>
  <c r="B1633" i="1"/>
  <c r="B1899" i="1"/>
  <c r="B1932" i="1"/>
  <c r="B1933" i="1"/>
  <c r="B1934" i="1"/>
  <c r="B1653" i="1"/>
  <c r="B1654" i="1"/>
  <c r="B1657" i="1"/>
  <c r="B1660" i="1"/>
  <c r="B1661" i="1"/>
  <c r="B1662" i="1"/>
  <c r="B1665" i="1"/>
  <c r="B1666" i="1"/>
  <c r="B1936" i="1"/>
  <c r="B1938" i="1"/>
  <c r="B1939" i="1"/>
  <c r="B1940" i="1"/>
  <c r="B1668" i="1"/>
  <c r="B1671" i="1"/>
  <c r="B1673" i="1"/>
  <c r="B1675" i="1"/>
  <c r="B1678" i="1"/>
  <c r="B1679" i="1"/>
  <c r="B1680" i="1"/>
  <c r="B1683" i="1"/>
  <c r="B1684" i="1"/>
  <c r="B1687" i="1"/>
  <c r="B1690" i="1"/>
  <c r="B1691" i="1"/>
  <c r="B1692" i="1"/>
  <c r="B1693" i="1"/>
  <c r="B1695" i="1"/>
  <c r="B1944" i="1"/>
  <c r="B1702" i="1"/>
  <c r="B1947" i="1"/>
  <c r="B1948" i="1"/>
  <c r="B1708" i="1"/>
  <c r="B1969" i="1"/>
  <c r="B1746" i="1"/>
  <c r="B1747" i="1"/>
  <c r="B1748" i="1"/>
  <c r="B1751" i="1"/>
  <c r="B1755" i="1"/>
  <c r="B1972" i="1"/>
  <c r="B1758" i="1"/>
  <c r="B1759" i="1"/>
  <c r="B1974" i="1"/>
  <c r="B1982" i="1"/>
  <c r="B1985" i="1"/>
  <c r="B1986" i="1"/>
  <c r="B1987" i="1"/>
  <c r="B1990" i="1"/>
  <c r="B1991" i="1"/>
  <c r="B1992" i="1"/>
  <c r="B1776" i="1"/>
  <c r="B1779" i="1"/>
  <c r="B1780" i="1"/>
  <c r="B1782" i="1"/>
  <c r="B1994" i="1"/>
  <c r="B1996" i="1"/>
  <c r="B2463" i="1"/>
  <c r="B1829" i="1"/>
  <c r="B1838" i="1"/>
  <c r="B1839" i="1"/>
  <c r="B1842" i="1"/>
  <c r="B2000" i="1"/>
  <c r="B1845" i="1"/>
  <c r="B2002" i="1"/>
  <c r="B2003" i="1"/>
  <c r="B1847" i="1"/>
  <c r="B2005" i="1"/>
  <c r="B1850" i="1"/>
  <c r="B1856" i="1"/>
  <c r="B1858" i="1"/>
  <c r="B2015" i="1"/>
  <c r="B1862" i="1"/>
  <c r="B1863" i="1"/>
  <c r="B1884" i="1"/>
  <c r="B1892" i="1"/>
  <c r="B1962" i="1"/>
  <c r="B1895" i="1"/>
  <c r="B1901" i="1"/>
  <c r="B1903" i="1"/>
  <c r="B1904" i="1"/>
  <c r="B1906" i="1"/>
  <c r="B1907" i="1"/>
  <c r="B1910" i="1"/>
  <c r="B1913" i="1"/>
  <c r="B1915" i="1"/>
  <c r="B1918" i="1"/>
  <c r="B1922" i="1"/>
  <c r="B1924" i="1"/>
  <c r="B1925" i="1"/>
  <c r="B1927" i="1"/>
  <c r="B1930" i="1"/>
  <c r="B1951" i="1"/>
  <c r="B1963" i="1"/>
  <c r="B1976" i="1"/>
  <c r="B1977" i="1"/>
  <c r="B2011" i="1"/>
  <c r="B8" i="1"/>
  <c r="B11" i="1"/>
  <c r="B13" i="1"/>
  <c r="B14" i="1"/>
  <c r="B15" i="1"/>
  <c r="B16" i="1"/>
  <c r="B34" i="1"/>
  <c r="B37" i="1"/>
  <c r="B39" i="1"/>
  <c r="B42" i="1"/>
  <c r="B49" i="1"/>
  <c r="B52" i="1"/>
  <c r="B55" i="1"/>
  <c r="B57" i="1"/>
  <c r="B60" i="1"/>
  <c r="B61" i="1"/>
  <c r="B64" i="1"/>
  <c r="B67" i="1"/>
  <c r="B69" i="1"/>
  <c r="B70" i="1"/>
  <c r="B89" i="1"/>
  <c r="B90" i="1"/>
  <c r="B93" i="1"/>
  <c r="B95" i="1"/>
  <c r="B96" i="1"/>
  <c r="B97" i="1"/>
  <c r="B98" i="1"/>
  <c r="B130" i="1"/>
  <c r="B204" i="1"/>
  <c r="B410" i="1"/>
  <c r="B413" i="1"/>
  <c r="B414" i="1"/>
  <c r="B415" i="1"/>
  <c r="B418" i="1"/>
  <c r="B419" i="1"/>
  <c r="B422" i="1"/>
  <c r="B425" i="1"/>
  <c r="B426" i="1"/>
  <c r="B427" i="1"/>
  <c r="B430" i="1"/>
  <c r="B431" i="1"/>
  <c r="B434" i="1"/>
  <c r="B437" i="1"/>
  <c r="B438" i="1"/>
  <c r="B439" i="1"/>
  <c r="B442" i="1"/>
  <c r="B444" i="1"/>
  <c r="B446" i="1"/>
  <c r="B449" i="1"/>
  <c r="B450" i="1"/>
  <c r="B451" i="1"/>
  <c r="B454" i="1"/>
  <c r="B458" i="1"/>
  <c r="B461" i="1"/>
  <c r="B462" i="1"/>
  <c r="B463" i="1"/>
  <c r="B509" i="1"/>
  <c r="B565" i="1"/>
  <c r="B568" i="1"/>
  <c r="B569" i="1"/>
  <c r="B590" i="1"/>
  <c r="B591" i="1"/>
  <c r="B593" i="1"/>
  <c r="B594" i="1"/>
  <c r="B597" i="1"/>
  <c r="B600" i="1"/>
  <c r="B601" i="1"/>
  <c r="B602" i="1"/>
  <c r="B606" i="1"/>
  <c r="B668" i="1"/>
  <c r="B669" i="1"/>
  <c r="B670" i="1"/>
  <c r="B673" i="1"/>
  <c r="B676" i="1"/>
  <c r="B677" i="1"/>
  <c r="B678" i="1"/>
  <c r="B681" i="1"/>
  <c r="B683" i="1"/>
  <c r="B689" i="1"/>
  <c r="B2466" i="1"/>
  <c r="B2467" i="1"/>
  <c r="B2468" i="1"/>
  <c r="B718" i="1"/>
  <c r="B719" i="1"/>
  <c r="B720" i="1"/>
  <c r="B770" i="1"/>
  <c r="B2472" i="1"/>
  <c r="B2473" i="1"/>
  <c r="B798" i="1"/>
  <c r="B799" i="1"/>
  <c r="B801" i="1"/>
  <c r="B802" i="1"/>
  <c r="B805" i="1"/>
  <c r="B848" i="1"/>
  <c r="B889" i="1"/>
  <c r="B890" i="1"/>
  <c r="B891" i="1"/>
  <c r="B893" i="1"/>
  <c r="B926" i="1"/>
  <c r="B929" i="1"/>
  <c r="B960" i="1"/>
  <c r="B961" i="1"/>
  <c r="B962" i="1"/>
  <c r="B965" i="1"/>
  <c r="B1016" i="1"/>
  <c r="B1019" i="1"/>
  <c r="B1020" i="1"/>
  <c r="B1021" i="1"/>
  <c r="B1024" i="1"/>
  <c r="B1025" i="1"/>
  <c r="B1028" i="1"/>
  <c r="B1031" i="1"/>
  <c r="B1032" i="1"/>
  <c r="B1042" i="1"/>
  <c r="B1035" i="1"/>
  <c r="B1036" i="1"/>
  <c r="B1037" i="1"/>
  <c r="B1039" i="1"/>
  <c r="B1122" i="1"/>
  <c r="B1131" i="1"/>
  <c r="B1132" i="1"/>
  <c r="B1149" i="1"/>
  <c r="B1153" i="1"/>
  <c r="B1156" i="1"/>
  <c r="B1157" i="1"/>
  <c r="B1158" i="1"/>
  <c r="B1161" i="1"/>
  <c r="B1165" i="1"/>
  <c r="B1168" i="1"/>
  <c r="B1169" i="1"/>
  <c r="B1170" i="1"/>
  <c r="B1173" i="1"/>
  <c r="B1177" i="1"/>
  <c r="B1180" i="1"/>
  <c r="B1203" i="1"/>
  <c r="B1204" i="1"/>
  <c r="B1207" i="1"/>
  <c r="B1208" i="1"/>
  <c r="B1214" i="1"/>
  <c r="B1215" i="1"/>
  <c r="B1300" i="1"/>
  <c r="B1303" i="1"/>
  <c r="B1304" i="1"/>
  <c r="B1368" i="1"/>
  <c r="B1371" i="1"/>
  <c r="B1372" i="1"/>
  <c r="B1373" i="1"/>
  <c r="B1376" i="1"/>
  <c r="B1377" i="1"/>
  <c r="B1383" i="1"/>
  <c r="B1384" i="1"/>
  <c r="B1385" i="1"/>
  <c r="B1388" i="1"/>
  <c r="B1389" i="1"/>
  <c r="B1392" i="1"/>
  <c r="B1395" i="1"/>
  <c r="B1396" i="1"/>
  <c r="B1397" i="1"/>
  <c r="B1414" i="1"/>
  <c r="B1415" i="1"/>
  <c r="B1418" i="1"/>
  <c r="B1421" i="1"/>
  <c r="B1422" i="1"/>
  <c r="B1423" i="1"/>
  <c r="B1426" i="1"/>
  <c r="B1427" i="1"/>
  <c r="B1435" i="1"/>
  <c r="B1438" i="1"/>
  <c r="B1439" i="1"/>
  <c r="B1440" i="1"/>
  <c r="B1443" i="1"/>
  <c r="B1447" i="1"/>
  <c r="B1450" i="1"/>
  <c r="B1451" i="1"/>
  <c r="B1452" i="1"/>
  <c r="B1455" i="1"/>
  <c r="B1456" i="1"/>
  <c r="B1459" i="1"/>
  <c r="B1462" i="1"/>
  <c r="B1463" i="1"/>
  <c r="B1464" i="1"/>
  <c r="B1530" i="1"/>
  <c r="B1572" i="1"/>
  <c r="B1575" i="1"/>
  <c r="B1578" i="1"/>
  <c r="B1579" i="1"/>
  <c r="B1580" i="1"/>
  <c r="B1583" i="1"/>
  <c r="B1587" i="1"/>
  <c r="B1590" i="1"/>
  <c r="B1591" i="1"/>
  <c r="B1592" i="1"/>
  <c r="B1595" i="1"/>
  <c r="B1599" i="1"/>
  <c r="B1602" i="1"/>
  <c r="B1603" i="1"/>
  <c r="B1604" i="1"/>
  <c r="B1607" i="1"/>
  <c r="B1611" i="1"/>
  <c r="B1614" i="1"/>
  <c r="B1615" i="1"/>
  <c r="B1616" i="1"/>
  <c r="B1619" i="1"/>
  <c r="B1636" i="1"/>
  <c r="B1637" i="1"/>
  <c r="B1638" i="1"/>
  <c r="B1641" i="1"/>
  <c r="B1642" i="1"/>
  <c r="B1645" i="1"/>
  <c r="B1696" i="1"/>
  <c r="B1697" i="1"/>
  <c r="B1698" i="1"/>
  <c r="B1764" i="1"/>
  <c r="B1765" i="1"/>
  <c r="B1766" i="1"/>
  <c r="B1771" i="1"/>
  <c r="B1772" i="1"/>
  <c r="B1773" i="1"/>
  <c r="B1815" i="1"/>
  <c r="B1816" i="1"/>
  <c r="B1819" i="1"/>
  <c r="B1822" i="1"/>
  <c r="B1823" i="1"/>
  <c r="B1824" i="1"/>
  <c r="B1825" i="1"/>
  <c r="B1827" i="1"/>
  <c r="B1878" i="1"/>
  <c r="B1886" i="1"/>
  <c r="B1958" i="1"/>
  <c r="B1959" i="1"/>
  <c r="B1960" i="1"/>
  <c r="B1978" i="1"/>
  <c r="B1979" i="1"/>
  <c r="B2018" i="1"/>
  <c r="B2021" i="1"/>
  <c r="B2022" i="1"/>
  <c r="B2023" i="1"/>
  <c r="B2026" i="1"/>
  <c r="B2030" i="1"/>
  <c r="B2033" i="1"/>
  <c r="B2034" i="1"/>
  <c r="B2035" i="1"/>
  <c r="B2038" i="1"/>
  <c r="B2040" i="1"/>
  <c r="B2041" i="1"/>
  <c r="B2050" i="1"/>
  <c r="B2051" i="1"/>
  <c r="B2053" i="1"/>
  <c r="B2054" i="1"/>
  <c r="B2064" i="1"/>
  <c r="B1807" i="1"/>
  <c r="B2052" i="1"/>
  <c r="B2077" i="1"/>
  <c r="B2056" i="1"/>
  <c r="B2079" i="1"/>
  <c r="B2082" i="1"/>
  <c r="B2091" i="1"/>
  <c r="B2092" i="1"/>
  <c r="B2095" i="1"/>
  <c r="B2099" i="1"/>
  <c r="B2102" i="1"/>
  <c r="B2103" i="1"/>
  <c r="B2104" i="1"/>
  <c r="B2083" i="1"/>
  <c r="B2084" i="1"/>
  <c r="B2110" i="1"/>
  <c r="B2111" i="1"/>
  <c r="B2135" i="1"/>
  <c r="B2136" i="1"/>
  <c r="B2112" i="1"/>
  <c r="B2156" i="1"/>
  <c r="B2173" i="1"/>
  <c r="B2128" i="1"/>
  <c r="B2129" i="1"/>
  <c r="B2130" i="1"/>
  <c r="B2216" i="1"/>
  <c r="B2217" i="1"/>
  <c r="B2134" i="1"/>
  <c r="B2138" i="1"/>
  <c r="B2141" i="1"/>
  <c r="B2142" i="1"/>
  <c r="B2145" i="1"/>
  <c r="B2148" i="1"/>
  <c r="B2150" i="1"/>
  <c r="B2153" i="1"/>
  <c r="B2231" i="1"/>
  <c r="B2234" i="1"/>
  <c r="B2236" i="1"/>
  <c r="B2239" i="1"/>
  <c r="B2240" i="1"/>
  <c r="B2243" i="1"/>
  <c r="B2246" i="1"/>
  <c r="B2174" i="1"/>
  <c r="B2175" i="1"/>
  <c r="B2177" i="1"/>
  <c r="B2181" i="1"/>
  <c r="B2183" i="1"/>
  <c r="B2184" i="1"/>
  <c r="B2186" i="1"/>
  <c r="B2189" i="1"/>
  <c r="B2196" i="1"/>
  <c r="B2258" i="1"/>
  <c r="B2259" i="1"/>
  <c r="B2199" i="1"/>
  <c r="B2203" i="1"/>
  <c r="B2206" i="1"/>
  <c r="B2260" i="1"/>
  <c r="B2210" i="1"/>
  <c r="B2265" i="1"/>
  <c r="B2248" i="1"/>
  <c r="B2249" i="1"/>
  <c r="B2290" i="1"/>
  <c r="B2261" i="1"/>
  <c r="B2256" i="1"/>
  <c r="B2314" i="1"/>
  <c r="B2319" i="1"/>
  <c r="B401" i="1"/>
  <c r="B2321" i="1"/>
  <c r="B2322" i="1"/>
  <c r="B2323" i="1"/>
  <c r="B2326" i="1"/>
  <c r="B404" i="1"/>
  <c r="B2268" i="1"/>
  <c r="B2269" i="1"/>
  <c r="B2271" i="1"/>
  <c r="B2354" i="1"/>
  <c r="B2275" i="1"/>
  <c r="B2277" i="1"/>
  <c r="B2278" i="1"/>
  <c r="B2368" i="1"/>
  <c r="B2373" i="1"/>
  <c r="B2374" i="1"/>
  <c r="B2298" i="1"/>
  <c r="B2302" i="1"/>
  <c r="B2304" i="1"/>
  <c r="B2305" i="1"/>
  <c r="B2307" i="1"/>
  <c r="B2308" i="1"/>
  <c r="B2312" i="1"/>
  <c r="B2384" i="1"/>
  <c r="B2316" i="1"/>
  <c r="B529" i="1"/>
  <c r="B2318" i="1"/>
  <c r="B2331" i="1"/>
  <c r="B2333" i="1"/>
  <c r="B2440" i="1"/>
  <c r="B2336" i="1"/>
  <c r="B2339" i="1"/>
  <c r="B2342" i="1"/>
  <c r="B2441" i="1"/>
  <c r="B2345" i="1"/>
  <c r="B2346" i="1"/>
  <c r="B2348" i="1"/>
  <c r="B2350" i="1"/>
  <c r="B2351" i="1"/>
  <c r="B2366" i="1"/>
  <c r="B2375" i="1"/>
  <c r="B2392" i="1"/>
  <c r="B2394" i="1"/>
  <c r="B2396" i="1"/>
  <c r="B2399" i="1"/>
  <c r="B2403" i="1"/>
  <c r="B2411" i="1"/>
  <c r="B2413" i="1"/>
  <c r="B2414" i="1"/>
  <c r="B2416" i="1"/>
  <c r="B2423" i="1"/>
  <c r="B2425" i="1"/>
  <c r="B2428" i="1"/>
  <c r="B2432" i="1"/>
  <c r="B2435" i="1"/>
  <c r="B2437" i="1"/>
  <c r="B2446" i="1"/>
  <c r="B2447" i="1"/>
  <c r="B2057" i="1"/>
  <c r="B2060" i="1"/>
  <c r="B2061" i="1"/>
  <c r="B2062" i="1"/>
  <c r="B2069" i="1"/>
  <c r="B2070" i="1"/>
  <c r="B2073" i="1"/>
  <c r="B2076" i="1"/>
  <c r="B2088" i="1"/>
  <c r="B2114" i="1"/>
  <c r="B2117" i="1"/>
  <c r="B2118" i="1"/>
  <c r="B2121" i="1"/>
  <c r="B2124" i="1"/>
  <c r="B2125" i="1"/>
  <c r="B2126" i="1"/>
  <c r="B2158" i="1"/>
  <c r="B2162" i="1"/>
  <c r="B2165" i="1"/>
  <c r="B2166" i="1"/>
  <c r="B2167" i="1"/>
  <c r="B2168" i="1"/>
  <c r="B2169" i="1"/>
  <c r="B2170" i="1"/>
  <c r="B2171" i="1"/>
  <c r="B2223" i="1"/>
  <c r="B2226" i="1"/>
  <c r="B2227" i="1"/>
  <c r="B2228" i="1"/>
  <c r="B2252" i="1"/>
  <c r="B2253" i="1"/>
  <c r="B2280" i="1"/>
  <c r="B2283" i="1"/>
  <c r="B2284" i="1"/>
  <c r="B2285" i="1"/>
  <c r="B2328" i="1"/>
  <c r="B2329" i="1"/>
  <c r="B2358" i="1"/>
  <c r="B2361" i="1"/>
  <c r="B2362" i="1"/>
  <c r="B2363" i="1"/>
  <c r="B2364" i="1"/>
  <c r="B2367" i="1"/>
  <c r="B2388" i="1"/>
  <c r="B2407" i="1"/>
  <c r="B2408" i="1"/>
  <c r="B240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CD60DA-25F8-449B-BBBA-21A388E606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61F300B-72B9-4186-86EB-7A8C43BBAEE0}" name="WorksheetConnection_sales_consolidator_registry_2026-05-19.xlsx!Table3" type="102" refreshedVersion="8" minRefreshableVersion="5">
    <extLst>
      <ext xmlns:x15="http://schemas.microsoft.com/office/spreadsheetml/2010/11/main" uri="{DE250136-89BD-433C-8126-D09CA5730AF9}">
        <x15:connection id="Table3" autoDelete="1">
          <x15:rangePr sourceName="_xlcn.WorksheetConnection_sales_consolidator_registry_20260519.xlsxTable31"/>
        </x15:connection>
      </ext>
    </extLst>
  </connection>
</connections>
</file>

<file path=xl/sharedStrings.xml><?xml version="1.0" encoding="utf-8"?>
<sst xmlns="http://schemas.openxmlformats.org/spreadsheetml/2006/main" count="44242" uniqueCount="2415">
  <si>
    <t>SO Number</t>
  </si>
  <si>
    <t>Company Name</t>
  </si>
  <si>
    <t>Store Name</t>
  </si>
  <si>
    <t>Store Branch / Address</t>
  </si>
  <si>
    <t>Terms of Payment</t>
  </si>
  <si>
    <t>Order Date</t>
  </si>
  <si>
    <t>Description / Particulars</t>
  </si>
  <si>
    <t>Qty</t>
  </si>
  <si>
    <t>Unit Cost</t>
  </si>
  <si>
    <t>Selling Price</t>
  </si>
  <si>
    <t>Total Amount</t>
  </si>
  <si>
    <t>Staff compiler</t>
  </si>
  <si>
    <t>SO-001</t>
  </si>
  <si>
    <t>ARIZONA ICE CREAM CORPORATION</t>
  </si>
  <si>
    <t>COLDSTONE</t>
  </si>
  <si>
    <t>GENERIC</t>
  </si>
  <si>
    <t>50% DOWNPAYMENT, 50% 35 DAYS PDC</t>
  </si>
  <si>
    <t>2025-01-06</t>
  </si>
  <si>
    <t>PREVENTIVE MAINTENANCE ( DEC. 31, 2024 - DEC. 30, 2025)</t>
  </si>
  <si>
    <t>MARITESS</t>
  </si>
  <si>
    <t>CHICKEN DELI</t>
  </si>
  <si>
    <t>KITCHEN CITY</t>
  </si>
  <si>
    <t>N/A</t>
  </si>
  <si>
    <t>TSCERES SQL</t>
  </si>
  <si>
    <t>ONE YEAR WARRANTY</t>
  </si>
  <si>
    <t>IMPLEMENTATION</t>
  </si>
  <si>
    <t>BIR REGISTRATION</t>
  </si>
  <si>
    <t>KITCHEN DISPLAY PROGRAM</t>
  </si>
  <si>
    <t>TOUCHSCREEN MOONITOR</t>
  </si>
  <si>
    <t>EPSON PRINTER TMU 220D ( 1 ) USB ( 1 ) LAN</t>
  </si>
  <si>
    <t>SO-002</t>
  </si>
  <si>
    <t>GONGCHA</t>
  </si>
  <si>
    <t>2025-01-08</t>
  </si>
  <si>
    <t>PREVENTIVE MAINTENANCE</t>
  </si>
  <si>
    <t>ELEVATED FOOD RECIPE INC</t>
  </si>
  <si>
    <t>HEALTHY SHABUSHABU</t>
  </si>
  <si>
    <t>ROCKWELL</t>
  </si>
  <si>
    <t>COD</t>
  </si>
  <si>
    <t>EPSON TMU220D USB PRINTER</t>
  </si>
  <si>
    <t>RUDELYN</t>
  </si>
  <si>
    <t>SO-003</t>
  </si>
  <si>
    <t>SAINT MICHAEL FOOD OPC</t>
  </si>
  <si>
    <t>MALAYA'S CAFÉ</t>
  </si>
  <si>
    <t>EPSON ERC -38B RIBBON</t>
  </si>
  <si>
    <t>SO-004</t>
  </si>
  <si>
    <t>TAN THOMAS DIAN</t>
  </si>
  <si>
    <t>OON</t>
  </si>
  <si>
    <t>BACCHUS SQL VER 7</t>
  </si>
  <si>
    <t>ROLLOUT IMPLEMENTATION</t>
  </si>
  <si>
    <t>6 MONTHS WARRANTY</t>
  </si>
  <si>
    <t>BIR APPLICATION</t>
  </si>
  <si>
    <t>SO-005</t>
  </si>
  <si>
    <t>RRH FOOD GROUP INC</t>
  </si>
  <si>
    <t>QUEENS AT BOLLYWOOD</t>
  </si>
  <si>
    <t>2025-01-07</t>
  </si>
  <si>
    <t>EPSON PRINTER ADAPTER</t>
  </si>
  <si>
    <t>SO-006</t>
  </si>
  <si>
    <t>POL S MOM S PLACE INC</t>
  </si>
  <si>
    <t>MAMOU</t>
  </si>
  <si>
    <t>AYALA MALLS 30TH</t>
  </si>
  <si>
    <t>15" TOUCHSCREEN MONITOR</t>
  </si>
  <si>
    <t>EPSON TM-T82X THERMAL PRINTER (USB)</t>
  </si>
  <si>
    <t>THERMAL PAPER</t>
  </si>
  <si>
    <t>DELIVERY FEE</t>
  </si>
  <si>
    <t>SO-007</t>
  </si>
  <si>
    <t>EPSON ERC 38 RIBBON</t>
  </si>
  <si>
    <t>SO-008</t>
  </si>
  <si>
    <t>ITULID GERARDO ICOTANIM</t>
  </si>
  <si>
    <t>DAJA FOOD SERVICES</t>
  </si>
  <si>
    <t>2025-01-09</t>
  </si>
  <si>
    <t>OJO EYEWEAR</t>
  </si>
  <si>
    <t>EOS POWER ADAPTER</t>
  </si>
  <si>
    <t>SO-009</t>
  </si>
  <si>
    <t>MAGOOS</t>
  </si>
  <si>
    <t>2025-01-13</t>
  </si>
  <si>
    <t>EPSON PRINTER TMU220A ( USB )</t>
  </si>
  <si>
    <t>DELIVERY CHARGE</t>
  </si>
  <si>
    <t>BLT GREAT FOOD DINE INC</t>
  </si>
  <si>
    <t>SIMPLY THAI</t>
  </si>
  <si>
    <t>15" POSTECH TOUCHSCREEN MONITOR</t>
  </si>
  <si>
    <t>SO-010</t>
  </si>
  <si>
    <t>CASA REYES</t>
  </si>
  <si>
    <t>UNINTERRUPTIBLE POWER SUPPLY</t>
  </si>
  <si>
    <t>COSEIP PHILIP PATRICK TAN</t>
  </si>
  <si>
    <t>POTATO KING</t>
  </si>
  <si>
    <t>MINI CASH DRAWER</t>
  </si>
  <si>
    <t>SO-011</t>
  </si>
  <si>
    <t>HUZZAH</t>
  </si>
  <si>
    <t>2024-01-14</t>
  </si>
  <si>
    <t>JOURNAL PAPER - DOUBLE PLY</t>
  </si>
  <si>
    <t>2025-01-20</t>
  </si>
  <si>
    <t>BACCHUS SQL</t>
  </si>
  <si>
    <t>ROLL OUT/ IMPLEMETATION</t>
  </si>
  <si>
    <t>POSTECH TOUCHSCREEN MONITOR</t>
  </si>
  <si>
    <t>EOS MINI CPU W/ COMPLETE ACCESSORIES</t>
  </si>
  <si>
    <t>EPSON PRINTER TMU 220D ( USB )</t>
  </si>
  <si>
    <t>MINI CASH BOX</t>
  </si>
  <si>
    <t>APC UPS</t>
  </si>
  <si>
    <t>KASPERSKY ANTI VIRUS</t>
  </si>
  <si>
    <t>WINDOWS 11</t>
  </si>
  <si>
    <t>SO-012</t>
  </si>
  <si>
    <t>GREENBELT 5</t>
  </si>
  <si>
    <t>2025-01-14</t>
  </si>
  <si>
    <t>BOWLING</t>
  </si>
  <si>
    <t>SO-013</t>
  </si>
  <si>
    <t>FOODEXPRESS</t>
  </si>
  <si>
    <t>2025-01-22</t>
  </si>
  <si>
    <t>SUNSHINE SUPERMART INC</t>
  </si>
  <si>
    <t>SUNSHINE SUPERMART</t>
  </si>
  <si>
    <t>2025-01-17</t>
  </si>
  <si>
    <t>SOFTWARE LICENSE UPGRADE</t>
  </si>
  <si>
    <t>SO-014</t>
  </si>
  <si>
    <t>SAINT MICHAEL FOODS OPC NO COR YET</t>
  </si>
  <si>
    <t>50% DOWNPAMENT UPON CONFORME/</t>
  </si>
  <si>
    <t>TSCERES SQL VER. 6</t>
  </si>
  <si>
    <t>POSHTECH 15" TOUCHSCREEN MONITOR</t>
  </si>
  <si>
    <t>CASH DRAWER</t>
  </si>
  <si>
    <t>DESKTOP CPU I5, 8GB RAM, 480 GB SSD</t>
  </si>
  <si>
    <t>WINDOWS 10 PRO</t>
  </si>
  <si>
    <t>MN+LA APPAREL</t>
  </si>
  <si>
    <t>2025-01-23</t>
  </si>
  <si>
    <t>JOURNAL PAPER ( DOUBLE PLY</t>
  </si>
  <si>
    <t>SO-015</t>
  </si>
  <si>
    <t>LIPA GRILLE RESTAURANT CO</t>
  </si>
  <si>
    <t>LIPA GRILLE</t>
  </si>
  <si>
    <t>BACCHUS SQL VER. 7</t>
  </si>
  <si>
    <t>1 YEAR WARRANTY</t>
  </si>
  <si>
    <t>ORDERING STATION</t>
  </si>
  <si>
    <t>AOC MONITOR</t>
  </si>
  <si>
    <t>POSIFLEX MR-21064 MAGNETIC CARD READER</t>
  </si>
  <si>
    <t>EPSON TMU220B USB PRINTER (AUTO CUT)</t>
  </si>
  <si>
    <t>EPSON TMU220B LAN PRINTER (AUTO CUT)</t>
  </si>
  <si>
    <t>ISSY &amp;CO.</t>
  </si>
  <si>
    <t>RDMS V3+</t>
  </si>
  <si>
    <t>BIR REG.</t>
  </si>
  <si>
    <t>ACER LCD MONITOR</t>
  </si>
  <si>
    <t>EPSON PRINTER TMU220D ( USB )</t>
  </si>
  <si>
    <t>UPS APC</t>
  </si>
  <si>
    <t>DESKTOP INTEL CORE I5 (8GB NO SSD )</t>
  </si>
  <si>
    <t>NVN M.2</t>
  </si>
  <si>
    <t>SO-016</t>
  </si>
  <si>
    <t>GCU FOOD SERVICES NO COR YET</t>
  </si>
  <si>
    <t>KRAKEN TAKOYAKI</t>
  </si>
  <si>
    <t>TSCERES LITE VER. 6</t>
  </si>
  <si>
    <t>ASIAN KITCHEN</t>
  </si>
  <si>
    <t>TSCERES</t>
  </si>
  <si>
    <t>EPSON PRINTER TMU220B ( USB )</t>
  </si>
  <si>
    <t>SO-017</t>
  </si>
  <si>
    <t>VISUAL MIX INC</t>
  </si>
  <si>
    <t>BOOKSALE BOOKSTORE</t>
  </si>
  <si>
    <t>2024-01-23</t>
  </si>
  <si>
    <t>WINDOWS 11 PRO</t>
  </si>
  <si>
    <t>8GB RAM DDR3</t>
  </si>
  <si>
    <t>2025-01-24</t>
  </si>
  <si>
    <t>PRINTER HEAD</t>
  </si>
  <si>
    <t>SO-018</t>
  </si>
  <si>
    <t>ICE CULINARY</t>
  </si>
  <si>
    <t>CHINESE  INT'L SCHOOL</t>
  </si>
  <si>
    <t>2025-01-27</t>
  </si>
  <si>
    <t>KERDAR NIK INC</t>
  </si>
  <si>
    <t>ARYA</t>
  </si>
  <si>
    <t>EPSON TMU220D LAN PRINTER</t>
  </si>
  <si>
    <t>SO-019</t>
  </si>
  <si>
    <t>PAMANA AND TSOKOLATERIA CONCEPT FOOD CORPORATION</t>
  </si>
  <si>
    <t>PAMANA AND TSOKOLATERIA</t>
  </si>
  <si>
    <t>2025-01-28</t>
  </si>
  <si>
    <t>SOFTWARE: ORDERING STATION</t>
  </si>
  <si>
    <t>CHUWI-2024 HI10 MAX TABLET</t>
  </si>
  <si>
    <t>APT8</t>
  </si>
  <si>
    <t>RDMS  NEW VERSION 3+</t>
  </si>
  <si>
    <t>ROLL OUT/ IMPLEMENTATION</t>
  </si>
  <si>
    <t>BIR</t>
  </si>
  <si>
    <t>SO-020</t>
  </si>
  <si>
    <t>MELO S WESTGATE FINE DINING</t>
  </si>
  <si>
    <t>MELOS</t>
  </si>
  <si>
    <t>2025-02-04</t>
  </si>
  <si>
    <t>EPSON TMU220B LAN PRINTER</t>
  </si>
  <si>
    <t>EPSON TMU220B USB PRINTER</t>
  </si>
  <si>
    <t>SO-021</t>
  </si>
  <si>
    <t>ELEVATED FOOD RECIPES INC</t>
  </si>
  <si>
    <t>HEALTHY SHABU SHABU</t>
  </si>
  <si>
    <t>2025-02-06</t>
  </si>
  <si>
    <t>*ANNAUAL PREVENTIVE MAINTENANCE COVERED DATE: JANUARY 1, 2025 - DECEMBER 31, 2025 BRANCHES: 1. ROCKWELL 2. ATC 3. PODIUM 4. ROB. ERMITA 5. EDSA SHANGRILA</t>
  </si>
  <si>
    <t>*SEMI-ANNUAL MAINTENANCE COVERED DATE: JULY 1, 2025 - DECEMBER 31, 2015 BRANCHES: 1. SM AURA</t>
  </si>
  <si>
    <t>SO-022</t>
  </si>
  <si>
    <t>PAMANA AND TSOKOLATERIA CONCEPT FOOD CORP</t>
  </si>
  <si>
    <t>2025-02-07</t>
  </si>
  <si>
    <t>8 PORT SWITCH HUB</t>
  </si>
  <si>
    <t>MINI CPU I5, 8GB RAM, 480GB SSD</t>
  </si>
  <si>
    <t>KEYBOARD AND MOUSE</t>
  </si>
  <si>
    <t>EOS FAN WITH FAN GRILL</t>
  </si>
  <si>
    <t>M W TOWNSTORE</t>
  </si>
  <si>
    <t>M &amp; W</t>
  </si>
  <si>
    <t>2025-01-30</t>
  </si>
  <si>
    <t>DELL POWEREDGE T360 - HEAD OFFICE SERVER</t>
  </si>
  <si>
    <t>INTEL CORE I5 12400 ( CASHIER 8GB / BACK OFFICE 16GB )</t>
  </si>
  <si>
    <t>ADDITIONAL : DELL 2TB HARDDRIVE</t>
  </si>
  <si>
    <t>DELIVERY VIA TRANSPORTIFY</t>
  </si>
  <si>
    <t>SO-023</t>
  </si>
  <si>
    <t>RBQ FOOD SPECIALISTS INC</t>
  </si>
  <si>
    <t>REYES BARBECUE</t>
  </si>
  <si>
    <t>SM MOA</t>
  </si>
  <si>
    <t>2025-02-11</t>
  </si>
  <si>
    <t>EOS FAN WITH FAN GRILL DELIVERY FEE</t>
  </si>
  <si>
    <t>FEDERAL PROTECTION SYSTEMS INC</t>
  </si>
  <si>
    <t>INST.OF CULINARY MNGT.INC.</t>
  </si>
  <si>
    <t>SO-024</t>
  </si>
  <si>
    <t>2025-02-12</t>
  </si>
  <si>
    <t>SO-025</t>
  </si>
  <si>
    <t>EOS MINI CPU I5, 8GB RAM, 512 GB SSD</t>
  </si>
  <si>
    <t>KEYBOARD &amp; MOUSE</t>
  </si>
  <si>
    <t>EOS FAN WITH FAN COVER</t>
  </si>
  <si>
    <t>SO-026</t>
  </si>
  <si>
    <t>OUT OF NOWHERE KITCHEN INC</t>
  </si>
  <si>
    <t>2025-02-19</t>
  </si>
  <si>
    <t>SO-027</t>
  </si>
  <si>
    <t>HEXAGON LOUNGE INC</t>
  </si>
  <si>
    <t>HEXAGON LOUNGE INC.</t>
  </si>
  <si>
    <t>2025-02-21</t>
  </si>
  <si>
    <t>SO-028</t>
  </si>
  <si>
    <t>SIMPLY GOURMET FOOD CORP NO COR YET</t>
  </si>
  <si>
    <t>CHA TRA MUE</t>
  </si>
  <si>
    <t>2025-02-24</t>
  </si>
  <si>
    <t>SO-029</t>
  </si>
  <si>
    <t>PARAW RESTAURANT INC</t>
  </si>
  <si>
    <t>MOLAVE</t>
  </si>
  <si>
    <t>EL NIDO PALAWAN</t>
  </si>
  <si>
    <t>2025-02-27</t>
  </si>
  <si>
    <t>THERMAL PAPER *80MM X 80MM</t>
  </si>
  <si>
    <t>TILLO</t>
  </si>
  <si>
    <t>2025-02-10</t>
  </si>
  <si>
    <t>RDMSV3+</t>
  </si>
  <si>
    <t>ROLL OUT/ IMPLENTATION</t>
  </si>
  <si>
    <t>EPSON TMU220D</t>
  </si>
  <si>
    <t>SCANNER ZEBRA 2208</t>
  </si>
  <si>
    <t>CASH BOX</t>
  </si>
  <si>
    <t>UPS</t>
  </si>
  <si>
    <t>SO-30</t>
  </si>
  <si>
    <t>DRAGONWELL TEA INC</t>
  </si>
  <si>
    <t>SERENITEA</t>
  </si>
  <si>
    <t>2025-03-03</t>
  </si>
  <si>
    <t>GODEX EZ120 BARCODE PRINTER</t>
  </si>
  <si>
    <t>BARCODE STICKER (4X3)CM</t>
  </si>
  <si>
    <t>SO-030</t>
  </si>
  <si>
    <t>GOOD MOLECULES</t>
  </si>
  <si>
    <t>SO-031</t>
  </si>
  <si>
    <t>TATAY S GRILL INC</t>
  </si>
  <si>
    <t>TATAY'S GRILL INC</t>
  </si>
  <si>
    <t>EPSON TMU220D USB PRINTER (MANUAL CUT)</t>
  </si>
  <si>
    <t>DESKTOP CPU I5, 8GB RAM, 512 GB SSD</t>
  </si>
  <si>
    <t>LUCKY BEAUTY  1</t>
  </si>
  <si>
    <t>SO-032</t>
  </si>
  <si>
    <t>LUCKY BEAUTY 2</t>
  </si>
  <si>
    <t>JASMINE BLOOM TEA INC</t>
  </si>
  <si>
    <t>POSEIDON EZ202 CUSTOMER DISPLAY</t>
  </si>
  <si>
    <t>SO-033</t>
  </si>
  <si>
    <t>ARTWORK INCORPORATED</t>
  </si>
  <si>
    <t>2025-03-11</t>
  </si>
  <si>
    <t>*ANNAUAL PREVENTIVE MAINTENANCE COVERED DATE: JANUARY 1, 2025 - DECEMBER 31, 2025 BRANCHES: 1. HEAD OFFICE SERVER 2. ECOMMERCE (SHOPEE) 3. ECOMMERCE (LAZADA) 4. SM BACOLOD 5. SM BAGUIO 6. SM CLARK 7. SM DASMARINAS 8. SM DAVAO 9. SM ILOILO 10. SM LIPA 11. SM LUCENA 12.SM STA. ROSA 13. GLORIETTA 4 14. TRINOMA (KIOSK)</t>
  </si>
  <si>
    <t>MYL SKIN CARE</t>
  </si>
  <si>
    <t>VMV MEGAMALL</t>
  </si>
  <si>
    <t>ZEBRA 2208 BARCODE SCANNER</t>
  </si>
  <si>
    <t>SO-034</t>
  </si>
  <si>
    <t>KARIMADON</t>
  </si>
  <si>
    <t>EOS POWER ADAPTOR</t>
  </si>
  <si>
    <t>SERENITEA CO</t>
  </si>
  <si>
    <t>ES:</t>
  </si>
  <si>
    <t>*ANNAUAL PREVENTIVE MAINTENANCE</t>
  </si>
  <si>
    <t>SO-035</t>
  </si>
  <si>
    <t>ALI SHAN TEA CORP</t>
  </si>
  <si>
    <t>LUCKY BEAUTY 3</t>
  </si>
  <si>
    <t>2025-02-14</t>
  </si>
  <si>
    <t>SO-036</t>
  </si>
  <si>
    <t>WORLD CHIX</t>
  </si>
  <si>
    <t>SO-037</t>
  </si>
  <si>
    <t>WINDOWS 11 PRO 64 BIT</t>
  </si>
  <si>
    <t>SO-038</t>
  </si>
  <si>
    <t>SO-039</t>
  </si>
  <si>
    <t>2025-03-14</t>
  </si>
  <si>
    <t>EPSON TM-T82X THERMAL PRINTER (LAN)</t>
  </si>
  <si>
    <t>SWITCH HUB</t>
  </si>
  <si>
    <t>EOS 8G DDR3</t>
  </si>
  <si>
    <t>SO-040</t>
  </si>
  <si>
    <t>ORDEING STATION</t>
  </si>
  <si>
    <t>POSTECH 15" TOUCHSCREEN MONITOR</t>
  </si>
  <si>
    <t>SO-041</t>
  </si>
  <si>
    <t>SHISEIDO</t>
  </si>
  <si>
    <t>RDMS NEW VERSION</t>
  </si>
  <si>
    <t>ROLL OUT/ IMPLENENTATION</t>
  </si>
  <si>
    <t>KASPERSKY</t>
  </si>
  <si>
    <t>EOS H7-I5 KINGSTON SATA SSD</t>
  </si>
  <si>
    <t>KEYBOARD/ MOUSE &amp; FAN</t>
  </si>
  <si>
    <t>MYHAPPYHOME LIFESTYLE WARES TRADING</t>
  </si>
  <si>
    <t>MY HAPPY HOME</t>
  </si>
  <si>
    <t>GREENHILLS</t>
  </si>
  <si>
    <t>SO-042</t>
  </si>
  <si>
    <t>ROCKWELL LAND CORPORATION</t>
  </si>
  <si>
    <t>2025-03-17</t>
  </si>
  <si>
    <t>POSTECH TOUCH SCREEN MONITOR</t>
  </si>
  <si>
    <t>ROLL OUT</t>
  </si>
  <si>
    <t>TSCERES ROLL OUT IMPLEMENTATION</t>
  </si>
  <si>
    <t>SWAN 1 ( 4GB + 32GB )</t>
  </si>
  <si>
    <t>SWAN DUAL DISPLAY</t>
  </si>
  <si>
    <t>EPSON TMU 220D</t>
  </si>
  <si>
    <t>SO-043</t>
  </si>
  <si>
    <t>GINTONG PATATAS ENTERPRISES INC</t>
  </si>
  <si>
    <t>POTATO GIANT</t>
  </si>
  <si>
    <t>SM CABANATUAN</t>
  </si>
  <si>
    <t>EOS -HUBTKEY POWER ADAPTOR</t>
  </si>
  <si>
    <t>SO-044</t>
  </si>
  <si>
    <t>BERNABE PAOLO CAJILI</t>
  </si>
  <si>
    <t>BACOLOD CHICKEN</t>
  </si>
  <si>
    <t>2025-03-31</t>
  </si>
  <si>
    <t>THE TEA HOUSE</t>
  </si>
  <si>
    <t>2025-02-20</t>
  </si>
  <si>
    <t>TSCERES SQL FULL VERSION</t>
  </si>
  <si>
    <t>NEW BIR REGISTRATION</t>
  </si>
  <si>
    <t>BACK OFFICE</t>
  </si>
  <si>
    <t>KITCHEN DISPLAY &amp; QUIENG SYSTEM</t>
  </si>
  <si>
    <t>EC LINE TOUCHSCREEN</t>
  </si>
  <si>
    <t>SO-045</t>
  </si>
  <si>
    <t>HARVEST HOTEL</t>
  </si>
  <si>
    <t>BACCHUS ANDROID</t>
  </si>
  <si>
    <t>WAITER/ ORDERING STATTION</t>
  </si>
  <si>
    <t>BACK OFFICE ANDROID</t>
  </si>
  <si>
    <t>IMIN SWAN 1 ( 4GB +32GB )</t>
  </si>
  <si>
    <t>IMIN FALCON 2 ( 4GB /32GB )</t>
  </si>
  <si>
    <t>STAR PRINTER LAN</t>
  </si>
  <si>
    <t>EOS W/ COMPLETE ACCESSORIES</t>
  </si>
  <si>
    <t>ACER MONITOR 19.5"</t>
  </si>
  <si>
    <t>MISCELLANEOUS</t>
  </si>
  <si>
    <t>MODIFICATION</t>
  </si>
  <si>
    <t>2025-04-03</t>
  </si>
  <si>
    <t>PRINTER HEAD CABLE</t>
  </si>
  <si>
    <t>SO-046</t>
  </si>
  <si>
    <t>AAJ IT SOLUTIONS INC</t>
  </si>
  <si>
    <t>SO-047</t>
  </si>
  <si>
    <t>CALEDIAN INC</t>
  </si>
  <si>
    <t>EPSON PRINTER TMU220D USB</t>
  </si>
  <si>
    <t>SO-48</t>
  </si>
  <si>
    <t>SJ SHAW FOOD CORP</t>
  </si>
  <si>
    <t>FAMOUS AMOS</t>
  </si>
  <si>
    <t>SM STA ROSA</t>
  </si>
  <si>
    <t>2025-04-04</t>
  </si>
  <si>
    <t>SO-048</t>
  </si>
  <si>
    <t>SO-049</t>
  </si>
  <si>
    <t>SO-050</t>
  </si>
  <si>
    <t>2025-04-08</t>
  </si>
  <si>
    <t>LOBBY 385</t>
  </si>
  <si>
    <t>2025-02-25</t>
  </si>
  <si>
    <t>EPSON PRINTER TMU 220B ( USB )</t>
  </si>
  <si>
    <t>SO-051</t>
  </si>
  <si>
    <t>2025-03-04</t>
  </si>
  <si>
    <t>SO-052</t>
  </si>
  <si>
    <t>SERENITEA CHA KITCHEN INC</t>
  </si>
  <si>
    <t>2025-04-15</t>
  </si>
  <si>
    <t>SO-053</t>
  </si>
  <si>
    <t>SAN BROS PHARMACY CORP</t>
  </si>
  <si>
    <t>TGP FRANCHISE</t>
  </si>
  <si>
    <t>2025-04-16</t>
  </si>
  <si>
    <t>RDMS SQL + VERSION 3</t>
  </si>
  <si>
    <t>EPSON TMU220D PRINTER USB</t>
  </si>
  <si>
    <t>SO-054</t>
  </si>
  <si>
    <t>CANELLE FOOD CORPORATION</t>
  </si>
  <si>
    <t>CINNABON</t>
  </si>
  <si>
    <t>2025-04-22</t>
  </si>
  <si>
    <t>RIBBON GEAR</t>
  </si>
  <si>
    <t>SO-55</t>
  </si>
  <si>
    <t>SO-055</t>
  </si>
  <si>
    <t>SO-056</t>
  </si>
  <si>
    <t>2025-04-24</t>
  </si>
  <si>
    <t>JOURNAL PAPER - DOUBLE PLY DELIVERY FEE</t>
  </si>
  <si>
    <t>2025-03-12</t>
  </si>
  <si>
    <t>PREVENTIVE MAINTENANCE ( CASHIER / LOADING )</t>
  </si>
  <si>
    <t>EOS MINI CPU W/ COMPLETE ACCESSORIES ( CASHIER )</t>
  </si>
  <si>
    <t>DESKTOP W/ COMPLETE ACCESSORIES ( LOADING )</t>
  </si>
  <si>
    <t>DELIVERY CHARGES</t>
  </si>
  <si>
    <t>SO-057</t>
  </si>
  <si>
    <t>5COD</t>
  </si>
  <si>
    <t>SM MASINAG</t>
  </si>
  <si>
    <t>2025-03-13</t>
  </si>
  <si>
    <t>JOURNAL PAPER SINGLE PLY</t>
  </si>
  <si>
    <t>SO-058</t>
  </si>
  <si>
    <t>ACER MONITOR</t>
  </si>
  <si>
    <t>EPSON TMU220D LAN PRINTER (MANUAL CUT)</t>
  </si>
  <si>
    <t>JOURNAL PAPER ( DOUBLE PLY )</t>
  </si>
  <si>
    <t>SO-059</t>
  </si>
  <si>
    <t>2025-04-29</t>
  </si>
  <si>
    <t>2025-03-20</t>
  </si>
  <si>
    <t>SO-60</t>
  </si>
  <si>
    <t>2025-04-30</t>
  </si>
  <si>
    <t>SO-060</t>
  </si>
  <si>
    <t>POSEIDON PSD86</t>
  </si>
  <si>
    <t>DELIVERY</t>
  </si>
  <si>
    <t>SO-61</t>
  </si>
  <si>
    <t>MANDARIN SKY EXPRESS INC</t>
  </si>
  <si>
    <t>MANDARIN SKY EXPRESS INC.</t>
  </si>
  <si>
    <t>2025-05-02</t>
  </si>
  <si>
    <t>SO-061</t>
  </si>
  <si>
    <t>2025-03-26</t>
  </si>
  <si>
    <t>TMU220D JOURNAL PAPER ( SINGLE PLY )</t>
  </si>
  <si>
    <t>THERMAL  JOURNAL PAPER</t>
  </si>
  <si>
    <t>SO-062</t>
  </si>
  <si>
    <t>B R I M M I N G ENTERPRISES INC</t>
  </si>
  <si>
    <t>2025-05-07</t>
  </si>
  <si>
    <t>SO-063</t>
  </si>
  <si>
    <t>2025-05-08</t>
  </si>
  <si>
    <t>SO-64</t>
  </si>
  <si>
    <t>2025-05-15</t>
  </si>
  <si>
    <t>SO-064</t>
  </si>
  <si>
    <t>SO-065</t>
  </si>
  <si>
    <t>VA BENE PASTA DELI</t>
  </si>
  <si>
    <t>2025-05-20</t>
  </si>
  <si>
    <t>SO-066</t>
  </si>
  <si>
    <t>HARRY S CAF</t>
  </si>
  <si>
    <t>HARRY'S CAFÉ</t>
  </si>
  <si>
    <t>2025-05-22</t>
  </si>
  <si>
    <t>SO-67</t>
  </si>
  <si>
    <t>UPWARD IDEAS APPAREL CORP</t>
  </si>
  <si>
    <t>KLEAN KANTEEN</t>
  </si>
  <si>
    <t>SM MEGAMALL</t>
  </si>
  <si>
    <t>2025-05-26</t>
  </si>
  <si>
    <t>RDMS V4.3.0</t>
  </si>
  <si>
    <t>EOS MINI CPU I5, 8GB RAM, 500 NVME M.2 SSD</t>
  </si>
  <si>
    <t>SO-067</t>
  </si>
  <si>
    <t>SO-68</t>
  </si>
  <si>
    <t>HEXAGON</t>
  </si>
  <si>
    <t>2025-05-27</t>
  </si>
  <si>
    <t>EPSON ERC-38 B RIBBON CARTRIDGE</t>
  </si>
  <si>
    <t>SO-068</t>
  </si>
  <si>
    <t>SO-69</t>
  </si>
  <si>
    <t>MY GOLDEN TEA LEAF INC</t>
  </si>
  <si>
    <t>PETRON DON-ANTONIO</t>
  </si>
  <si>
    <t>SO-069</t>
  </si>
  <si>
    <t>PROSHOP</t>
  </si>
  <si>
    <t>SO-70</t>
  </si>
  <si>
    <t>BOOKSALE CEBU INC</t>
  </si>
  <si>
    <t>BOOKSALE</t>
  </si>
  <si>
    <t>SO-070</t>
  </si>
  <si>
    <t>SO-071</t>
  </si>
  <si>
    <t>EPSON TMU 220B AUTO CUT USB</t>
  </si>
  <si>
    <t>PREVENTIVE MAINTENANCE COVERED DATE: MAY 1, 2025 TO APRIL 30, 2026 1. ROBINSON'S IMUS 2. ROBINSON'S LIPA 3. ROBINSON'S STARMILLS 4. SM BACOLOD 5. SM BICUTAN 6. SM CALAMBA 7. SM SAN MATEO</t>
  </si>
  <si>
    <t>SEMI- ANNUAL MAINTENANCE COVERED DATE: MAY 1, 2025 TO OCTOBER 30, 2026 1. ROBINSON'S CAGAYAN</t>
  </si>
  <si>
    <t>SO-072</t>
  </si>
  <si>
    <t>PAMIS ELSA CAPUNO</t>
  </si>
  <si>
    <t>ELS TREN DS APPAREL STORE</t>
  </si>
  <si>
    <t>2025-05-28</t>
  </si>
  <si>
    <t>PREVENTIVE MAINTENANCE COVERED DATE: MAY 29, 2025 TO MAY 28, 2026</t>
  </si>
  <si>
    <t>SO-073</t>
  </si>
  <si>
    <t>2025-05-29</t>
  </si>
  <si>
    <t>SO-074</t>
  </si>
  <si>
    <t>VILLSIBS INC</t>
  </si>
  <si>
    <t>POTATO CORNER</t>
  </si>
  <si>
    <t>JOURNAL PAPER - SINGLY PLY</t>
  </si>
  <si>
    <t>2025-04-25</t>
  </si>
  <si>
    <t>TERMINALS : SYSTEM UPGRADE</t>
  </si>
  <si>
    <t>BACK OFFICE: SYSTEM UPGRADE</t>
  </si>
  <si>
    <t>SO-075</t>
  </si>
  <si>
    <t>2025-06-02</t>
  </si>
  <si>
    <t>SO-076</t>
  </si>
  <si>
    <t>WK PRIME SUPREME HOLDINGS INC</t>
  </si>
  <si>
    <t>PRETZEL MAKER</t>
  </si>
  <si>
    <t>ZAMBOANGA</t>
  </si>
  <si>
    <t>EOS -HUNTKEY POWER ADAPTOR</t>
  </si>
  <si>
    <t>SO-77</t>
  </si>
  <si>
    <t>PREVENTIVE MAINTENANCE COVERED DATE: MAY 31, 2025 - MAY 30, 2026 BRANCHES: 1. SAN JUAN LITTLE BAGUIO</t>
  </si>
  <si>
    <t>SO-077</t>
  </si>
  <si>
    <t>SO-78</t>
  </si>
  <si>
    <t>ASSAM TEA CORPORATION</t>
  </si>
  <si>
    <t>PREVENTIVE MAINTENANCE COVERED DATE: MAY 31, 2025 - MAY 30, 2026 BRANCHES: 1. CONGRESSIONAL TOWN CENTER 2. SM CLARK 3. SM LIGHT 4. GLORIETTA 4</t>
  </si>
  <si>
    <t>SO-078</t>
  </si>
  <si>
    <t>SO-79</t>
  </si>
  <si>
    <t>OSMANTHUS TEA CORPORATION</t>
  </si>
  <si>
    <t>PREVENTIVE MAINTENANCE COVERED DATE: MAY 31, 2025 - MAY 30, 2026 BRANCHES: 1. TOMAS MORATO 2. FAIRVIEW BELFAST 3. UP TOWN CENTER</t>
  </si>
  <si>
    <t>SO-079</t>
  </si>
  <si>
    <t>SO-80</t>
  </si>
  <si>
    <t>PREVENTIVE MAINTENANCE COVERED DATE: MAY 31, 2025 - MAY 30, 2026 BRANCHES: 1. ROBINSON'S PLACE MANILA 2. GREENBELT 3 3. ASEANA 4. VERTIS NORTH 5. SM MARILAO BULACAN 6. GREENFIELD 7. PETRON MAKATI/BEL AIR 8. CENTRAL SQUARE MATALINO</t>
  </si>
  <si>
    <t>SO-080</t>
  </si>
  <si>
    <t>SO-81</t>
  </si>
  <si>
    <t>DARJEELING TEA CORPORATION</t>
  </si>
  <si>
    <t>PREVENTIVE MAINTENANCE COVERED DATE: MAY 31, 2025 - MAY 30, 2026 BRANCHES: 1. UST LACSON 2. AYALA CLOVERLEAF</t>
  </si>
  <si>
    <t>SO-081</t>
  </si>
  <si>
    <t>SO-82</t>
  </si>
  <si>
    <t>GENMAICHA TEA CORPORATION</t>
  </si>
  <si>
    <t>PREVENTIVE MAINTENANCE COVERED DATE: MAY 31, 2025 - MAY 30, 2026 BRANCHES: 1. BANAWE 2. ESTANCIA CAPITOL COMMONS 3. NLEX 4. ORTIGAS EXCHANGE REGENCY 5. GREENHILLS SAN JUAN 6. SM URDANETA</t>
  </si>
  <si>
    <t>MAINTENANCE COVERED DATE: JULY 23, 2025 - MAY 30, 2026 1. CALIFORNIA GARDEN</t>
  </si>
  <si>
    <t>SO-082</t>
  </si>
  <si>
    <t>SO-083</t>
  </si>
  <si>
    <t>DAGDAGAN MICHAEL ENRICO SY</t>
  </si>
  <si>
    <t>KALBROS BAR AND RESTAURANT</t>
  </si>
  <si>
    <t>50,000 DOWNPAYMENT, _x000D_
38,250.00 30DAYS PCD CHECK AFTER INSTALLATION; 38,250.00 60DAYS PDC CHECK AFTER INSTALLATION</t>
  </si>
  <si>
    <t>2025-06-04</t>
  </si>
  <si>
    <t>SO-084</t>
  </si>
  <si>
    <t>2025-06-13</t>
  </si>
  <si>
    <t>SO-85</t>
  </si>
  <si>
    <t>SO-085</t>
  </si>
  <si>
    <t>SO-086</t>
  </si>
  <si>
    <t>TRE FIL HOLDINGS CORPORATION</t>
  </si>
  <si>
    <t>COLONIAL CREAMERY</t>
  </si>
  <si>
    <t>AYALA FAIRVIEW TERRACES</t>
  </si>
  <si>
    <t>2025-05-06</t>
  </si>
  <si>
    <t>ERC RIBBON</t>
  </si>
  <si>
    <t>SO-087</t>
  </si>
  <si>
    <t>TERRISAN INC</t>
  </si>
  <si>
    <t>ISSHIN</t>
  </si>
  <si>
    <t>MAKATI</t>
  </si>
  <si>
    <t>2025-06-17</t>
  </si>
  <si>
    <t>2025-04-06</t>
  </si>
  <si>
    <t>MODIFICATION : SALES PER SALESMAN</t>
  </si>
  <si>
    <t>SO-088</t>
  </si>
  <si>
    <t>GOLAMCO GRIFFIN MICHALE DEL ROSARIO</t>
  </si>
  <si>
    <t>MASTER AIRSOFT</t>
  </si>
  <si>
    <t>RDMS V4.3.0 - LITE</t>
  </si>
  <si>
    <t>2025-05-09</t>
  </si>
  <si>
    <t>POSTECH MONITOR</t>
  </si>
  <si>
    <t>SO-089</t>
  </si>
  <si>
    <t>2025-05-13</t>
  </si>
  <si>
    <t>SO-090</t>
  </si>
  <si>
    <t>2025-06-19</t>
  </si>
  <si>
    <t>SO-091</t>
  </si>
  <si>
    <t>TONALA (OON)</t>
  </si>
  <si>
    <t>2025-05-16</t>
  </si>
  <si>
    <t>SO-092</t>
  </si>
  <si>
    <t>BEDA FOOD VENTURES INC</t>
  </si>
  <si>
    <t>SO-093</t>
  </si>
  <si>
    <t>PREVENTIVE MAINTENANCE:</t>
  </si>
  <si>
    <t>DIOR THE PODIUM</t>
  </si>
  <si>
    <t>DIOR SM AURA</t>
  </si>
  <si>
    <t>DIOR SM MOA</t>
  </si>
  <si>
    <t>BENEFIT SM MEGAMALL</t>
  </si>
  <si>
    <t>SHISEIDO MEGAMALL</t>
  </si>
  <si>
    <t>SIMBAJON ROEL MARALA</t>
  </si>
  <si>
    <t>FRUITS IN ICE CREAM</t>
  </si>
  <si>
    <t>2025-06-23</t>
  </si>
  <si>
    <t>TS CERES SQL VER. 6 - LITE</t>
  </si>
  <si>
    <t>SO-094</t>
  </si>
  <si>
    <t>SM MARIKINA</t>
  </si>
  <si>
    <t>ROLL OUT/IMPLEMENTATION</t>
  </si>
  <si>
    <t>DESKTOP INTEL CORE I5 8GB</t>
  </si>
  <si>
    <t>KINGSTON NVM.2</t>
  </si>
  <si>
    <t>SO-095</t>
  </si>
  <si>
    <t>2025-06-25</t>
  </si>
  <si>
    <t>SO-096</t>
  </si>
  <si>
    <t>2025-06-03</t>
  </si>
  <si>
    <t>SAINT MICHAEL FOODS OPC</t>
  </si>
  <si>
    <t>2025-06-26</t>
  </si>
  <si>
    <t>SO-097</t>
  </si>
  <si>
    <t>DANIELITO'S HOME KITCHEN</t>
  </si>
  <si>
    <t>SOFTWARE: BACCHUS SQL VER. 7</t>
  </si>
  <si>
    <t>SO-098</t>
  </si>
  <si>
    <t>SO-099</t>
  </si>
  <si>
    <t>SO-99</t>
  </si>
  <si>
    <t>2025-06-27</t>
  </si>
  <si>
    <t>SO-100</t>
  </si>
  <si>
    <t>SO-101</t>
  </si>
  <si>
    <t>2025-07-01</t>
  </si>
  <si>
    <t>SO-102</t>
  </si>
  <si>
    <t>MADE NICE INC</t>
  </si>
  <si>
    <t>MADE NICE INC. - MAMOU</t>
  </si>
  <si>
    <t>USB TO LAN</t>
  </si>
  <si>
    <t>2025-06-09</t>
  </si>
  <si>
    <t>EPSON PRINTER TMU 220 D ( USB )</t>
  </si>
  <si>
    <t>SO-103</t>
  </si>
  <si>
    <t>2025-07-03</t>
  </si>
  <si>
    <t>SO-104</t>
  </si>
  <si>
    <t>CALERO NINA RAMOS</t>
  </si>
  <si>
    <t>EUROBAKE RESTAURANT BAKESHOP</t>
  </si>
  <si>
    <t>SHOPPESVILLE</t>
  </si>
  <si>
    <t>2025-07-04</t>
  </si>
  <si>
    <t>JOURNAL PAPER -1 PLY</t>
  </si>
  <si>
    <t>2025-06-10</t>
  </si>
  <si>
    <t>MODIFICATION : API INTEGRATION</t>
  </si>
  <si>
    <t>SO-105</t>
  </si>
  <si>
    <t>BABY NATHAN'S KITCHEN CORP.</t>
  </si>
  <si>
    <t>TSCERES ANDROID</t>
  </si>
  <si>
    <t>ROLL OUT / IMPLEMENTATION</t>
  </si>
  <si>
    <t>IMIN SWAN I</t>
  </si>
  <si>
    <t>STAR BSC10</t>
  </si>
  <si>
    <t>SO-106</t>
  </si>
  <si>
    <t>EPSON TMU220D USB PRINTER DELIVERY FEE</t>
  </si>
  <si>
    <t>2025-01-10</t>
  </si>
  <si>
    <t>EPSON TMU 220B PRINTER</t>
  </si>
  <si>
    <t>SO-107</t>
  </si>
  <si>
    <t>2025-07-07</t>
  </si>
  <si>
    <t>2025-06-11</t>
  </si>
  <si>
    <t>EPSON KITCHEN PRINTER T82X ( LAN )</t>
  </si>
  <si>
    <t>SO-108</t>
  </si>
  <si>
    <t>J&amp;G</t>
  </si>
  <si>
    <t>SO-109</t>
  </si>
  <si>
    <t>GONGCHA PHILS.</t>
  </si>
  <si>
    <t>EPSON PRINTER CABLE</t>
  </si>
  <si>
    <t>POTATO GIANT NO COR YET</t>
  </si>
  <si>
    <t>SM BALIWAG</t>
  </si>
  <si>
    <t>2025-07-08</t>
  </si>
  <si>
    <t>SO-110</t>
  </si>
  <si>
    <t>PANDE MANILA FOOD CO INC</t>
  </si>
  <si>
    <t>PANDE MANILA</t>
  </si>
  <si>
    <t>SANTOLAN TOWN PLAZA</t>
  </si>
  <si>
    <t>2025-07-15</t>
  </si>
  <si>
    <t>8PORT USB HUB</t>
  </si>
  <si>
    <t>TPLINK USB TO LAN ETHERNET</t>
  </si>
  <si>
    <t>SO-111</t>
  </si>
  <si>
    <t>JUST SIMPLE BAKE HOUSE INC</t>
  </si>
  <si>
    <t>LORD STOW'S BAKERY</t>
  </si>
  <si>
    <t>SKY GARDEN ONGPIN</t>
  </si>
  <si>
    <t>2025-07-16</t>
  </si>
  <si>
    <t>SO-112</t>
  </si>
  <si>
    <t>2025-07-17</t>
  </si>
  <si>
    <t>HENLIN</t>
  </si>
  <si>
    <t>2025-06-18</t>
  </si>
  <si>
    <t>STAR BSC10 USB</t>
  </si>
  <si>
    <t>SO-113</t>
  </si>
  <si>
    <t>HENLIN OUTLET LIPA NO COR YET</t>
  </si>
  <si>
    <t>OUTLET LIPA</t>
  </si>
  <si>
    <t>2025-07-18</t>
  </si>
  <si>
    <t>TSCERES SQL + MOBILE APPS VER. 2 - ANDROID</t>
  </si>
  <si>
    <t>IMIN D2</t>
  </si>
  <si>
    <t>2025-06-20</t>
  </si>
  <si>
    <t>SO-114</t>
  </si>
  <si>
    <t>2025-07-24</t>
  </si>
  <si>
    <t>PREVENTIVE MAINTENANCE ( MARCH 21, 2025 TO MARCH 20, 2026)</t>
  </si>
  <si>
    <t>SO-115</t>
  </si>
  <si>
    <t>2025-07-28</t>
  </si>
  <si>
    <t>PAOTSIN</t>
  </si>
  <si>
    <t>USB FAN</t>
  </si>
  <si>
    <t>SO-116</t>
  </si>
  <si>
    <t>IZZA CABONCE MARQUEZ</t>
  </si>
  <si>
    <t>LUTONG ILOCANO</t>
  </si>
  <si>
    <t>2025-08-01</t>
  </si>
  <si>
    <t>SO-117</t>
  </si>
  <si>
    <t>AZIAN CRYSTAL CORPORATION</t>
  </si>
  <si>
    <t>2025-08-07</t>
  </si>
  <si>
    <t>SO-118</t>
  </si>
  <si>
    <t>HRT VENTURES CORPORATION</t>
  </si>
  <si>
    <t>BARISTART COFFEE CAFÉ (LICENSEE)</t>
  </si>
  <si>
    <t>2027-08-07</t>
  </si>
  <si>
    <t>POSTECH ADAPTER WITH CORD</t>
  </si>
  <si>
    <t>SO-119</t>
  </si>
  <si>
    <t>2025-08-14</t>
  </si>
  <si>
    <t>SO-120</t>
  </si>
  <si>
    <t>ROB. GALLERIA</t>
  </si>
  <si>
    <t>2025-08-18</t>
  </si>
  <si>
    <t>BACCHUS SQL + VERSION 2</t>
  </si>
  <si>
    <t>SO-121</t>
  </si>
  <si>
    <t>ROB. ANTIPOLO</t>
  </si>
  <si>
    <t>SO-122</t>
  </si>
  <si>
    <t>AURORA CHARLIE FOOD VENTURES INC</t>
  </si>
  <si>
    <t>GATEWAY</t>
  </si>
  <si>
    <t>2025-08-20</t>
  </si>
  <si>
    <t>SO-123</t>
  </si>
  <si>
    <t>VERONES CAROLYN GONZALEZ</t>
  </si>
  <si>
    <t>BGC</t>
  </si>
  <si>
    <t>SO-124</t>
  </si>
  <si>
    <t>PREVENTIVE MAINTENANCE * AUGUST 8, 2025 - AUGUST 7, 2026</t>
  </si>
  <si>
    <t>SO-125</t>
  </si>
  <si>
    <t>EOS MINI CPU NV.M2 8GB</t>
  </si>
  <si>
    <t>SO-126</t>
  </si>
  <si>
    <t>CLUTCH GEAR</t>
  </si>
  <si>
    <t>SHIN CLARA FOOD CORPORATION</t>
  </si>
  <si>
    <t>SHIN CLARA FOOD CORP.</t>
  </si>
  <si>
    <t>2025-08-22</t>
  </si>
  <si>
    <t>2D ZEBR2208 BARCODE SCANNER</t>
  </si>
  <si>
    <t>DESKTOP CPU I5, 8GB RAM, 512 GB NVME M.2</t>
  </si>
  <si>
    <t>SO-127</t>
  </si>
  <si>
    <t>ARTWORK INC</t>
  </si>
  <si>
    <t>2025-08-26</t>
  </si>
  <si>
    <t>VMV</t>
  </si>
  <si>
    <t>SO-128</t>
  </si>
  <si>
    <t>HIT BY THE ROAD</t>
  </si>
  <si>
    <t>POWER</t>
  </si>
  <si>
    <t>SO-129</t>
  </si>
  <si>
    <t>AYALA MALLS CLOVERLEAF</t>
  </si>
  <si>
    <t>2025-08-27</t>
  </si>
  <si>
    <t>ROMAN CULINARY GROUP INC</t>
  </si>
  <si>
    <t>ROMAN RESTAURANT</t>
  </si>
  <si>
    <t>BACCHUS</t>
  </si>
  <si>
    <t>MINI CPU EOS</t>
  </si>
  <si>
    <t>SO-130</t>
  </si>
  <si>
    <t>GENMAICHA TEA CORP</t>
  </si>
  <si>
    <t>2025-09-01</t>
  </si>
  <si>
    <t>SO-131</t>
  </si>
  <si>
    <t>THE BIG CHILL INC</t>
  </si>
  <si>
    <t>PREVENTIVE MAINTENANCE * AUGUST 29, 2025 - AUGUST 28, 2026</t>
  </si>
  <si>
    <t>2025-07-11</t>
  </si>
  <si>
    <t>SO-132</t>
  </si>
  <si>
    <t>CINNALAND FOOD CORPORATION</t>
  </si>
  <si>
    <t>SM DAVAO</t>
  </si>
  <si>
    <t>TS CERES SQL VER. 6 * NOTE: BIR REGISTRATION: BACCHUS SQL+ VERSION 2</t>
  </si>
  <si>
    <t>2025-07-14</t>
  </si>
  <si>
    <t>SO-133</t>
  </si>
  <si>
    <t>HUE BORACAY</t>
  </si>
  <si>
    <t>EPSON TMU 220 B ( 2 )  USB</t>
  </si>
  <si>
    <t>SD CARD</t>
  </si>
  <si>
    <t>DE LA PENA MARICAR LANASA</t>
  </si>
  <si>
    <t>MANNY'S SEAFOOD AND GRILL</t>
  </si>
  <si>
    <t>AYALA MALL BACOLOD</t>
  </si>
  <si>
    <t>2025-09-02</t>
  </si>
  <si>
    <t>SO-134</t>
  </si>
  <si>
    <t>NEW BOMBAY FOODS INC</t>
  </si>
  <si>
    <t>NEW BOMBAY</t>
  </si>
  <si>
    <t>2025-09-05</t>
  </si>
  <si>
    <t>8GB RAM DDR4 (EOS)</t>
  </si>
  <si>
    <t>SO-135</t>
  </si>
  <si>
    <t>VIEWSONIC MONITOR</t>
  </si>
  <si>
    <t>EPSON TMU220D USB</t>
  </si>
  <si>
    <t>EOS MINI CPU NV.M2</t>
  </si>
  <si>
    <t>SWEET STOP STATION INC</t>
  </si>
  <si>
    <t>SO-136</t>
  </si>
  <si>
    <t>AZIAN CRYSTAL CORPORATION NO COR YET</t>
  </si>
  <si>
    <t>KUANG HENG</t>
  </si>
  <si>
    <t>ROB. MANILA</t>
  </si>
  <si>
    <t>2025-09-08</t>
  </si>
  <si>
    <t>SO-137</t>
  </si>
  <si>
    <t>TIMELESS BAR AND RESTAURANT CONCEPTS INC</t>
  </si>
  <si>
    <t>DILLINGER</t>
  </si>
  <si>
    <t>JOURNAL PAPER ( SINGLE PLY )</t>
  </si>
  <si>
    <t>SO-138</t>
  </si>
  <si>
    <t>2025-09-09</t>
  </si>
  <si>
    <t>SO-139</t>
  </si>
  <si>
    <t>2025-09-11</t>
  </si>
  <si>
    <t>2025-07-30</t>
  </si>
  <si>
    <t>INTEL CORE I5 ( 5) CASHIER 8GB / ( 1) BACK OFFICE 16GB</t>
  </si>
  <si>
    <t>RDMSV3 + BACK OFFICE</t>
  </si>
  <si>
    <t>RDMS V3+ NEW LICENSE</t>
  </si>
  <si>
    <t>SO-140</t>
  </si>
  <si>
    <t>SB RESTAURANTS INC</t>
  </si>
  <si>
    <t>STEAK BREAK</t>
  </si>
  <si>
    <t>2025-09-15</t>
  </si>
  <si>
    <t>TS CERES LITE VER 6</t>
  </si>
  <si>
    <t>SO-141</t>
  </si>
  <si>
    <t>RAFAEL PUA TONILENE ESPINOZA</t>
  </si>
  <si>
    <t>BC BOS' CHOW CARINDERIA</t>
  </si>
  <si>
    <t>2025-09-17</t>
  </si>
  <si>
    <t>OMBU KUSINA</t>
  </si>
  <si>
    <t>2025-08-04</t>
  </si>
  <si>
    <t>EPSON T82X USB</t>
  </si>
  <si>
    <t>SO-142</t>
  </si>
  <si>
    <t>METROMART NO COR YET</t>
  </si>
  <si>
    <t>METROMART</t>
  </si>
  <si>
    <t>VERMOSA</t>
  </si>
  <si>
    <t>2025-09-18</t>
  </si>
  <si>
    <t>SO-143</t>
  </si>
  <si>
    <t>SO-144</t>
  </si>
  <si>
    <t>WISHLEAF CAF INC</t>
  </si>
  <si>
    <t>SO-145</t>
  </si>
  <si>
    <t>2025-09-22</t>
  </si>
  <si>
    <t>SM CAUYAN 8-08-09</t>
  </si>
  <si>
    <t>SO-146</t>
  </si>
  <si>
    <t>SARI SARI AI CORPORATION</t>
  </si>
  <si>
    <t>TOMORO</t>
  </si>
  <si>
    <t>PAVILLION MALL LAGUNA</t>
  </si>
  <si>
    <t>SO-147</t>
  </si>
  <si>
    <t>SO-148</t>
  </si>
  <si>
    <t>SO-149</t>
  </si>
  <si>
    <t>2025-08-11</t>
  </si>
  <si>
    <t>CMISS CORPORATION</t>
  </si>
  <si>
    <t>BULACAN</t>
  </si>
  <si>
    <t>2025-09-29</t>
  </si>
  <si>
    <t>SO-150</t>
  </si>
  <si>
    <t>CERRA DENTAL HEALTH CORPORATION</t>
  </si>
  <si>
    <t>DENTAL SMILES</t>
  </si>
  <si>
    <t>EPSON TMU220D ( USB )</t>
  </si>
  <si>
    <t>SO-151</t>
  </si>
  <si>
    <t>PUA JOHN PAUL BANGUG</t>
  </si>
  <si>
    <t>SIZZLE MANIA (BOS' CHOW)</t>
  </si>
  <si>
    <t>SM CENTER TUGUEGARAO DOWNTOWN</t>
  </si>
  <si>
    <t>SO-152</t>
  </si>
  <si>
    <t>CHICKINGS RESTAURANT</t>
  </si>
  <si>
    <t>MANILA BAY</t>
  </si>
  <si>
    <t>2025-08-12</t>
  </si>
  <si>
    <t>BIRCH HANDHELD SCANNER</t>
  </si>
  <si>
    <t>SO-153</t>
  </si>
  <si>
    <t>PENACERRADA CHRISTIAN DELA CRUZ</t>
  </si>
  <si>
    <t>ISDANG PULO</t>
  </si>
  <si>
    <t>2025-10-02</t>
  </si>
  <si>
    <t>BLANC NUE</t>
  </si>
  <si>
    <t>2025-08-13</t>
  </si>
  <si>
    <t>SO-154</t>
  </si>
  <si>
    <t>2027-10-07</t>
  </si>
  <si>
    <t>2025-08-19</t>
  </si>
  <si>
    <t>SO-N/A</t>
  </si>
  <si>
    <t>SO-155</t>
  </si>
  <si>
    <t>2025-10-08</t>
  </si>
  <si>
    <t>PREVENTIVE MAINTENANCE COVERED DATE: SEPTEMBER 22, 2025 TO SEPTEMBER 21, 2026 1. SM DASMA 2. SM SOUTHMALL 3. MAKATI CINEMA SQUARE 4. NEPO MALL ANGELES 5. SM BAGUIO</t>
  </si>
  <si>
    <t>SO-156</t>
  </si>
  <si>
    <t>SO-157</t>
  </si>
  <si>
    <t>GREEN LIFE ECOBAGS INC</t>
  </si>
  <si>
    <t>ZARAH JUAN</t>
  </si>
  <si>
    <t>SO-158</t>
  </si>
  <si>
    <t>SO-159</t>
  </si>
  <si>
    <t>2025-10-09</t>
  </si>
  <si>
    <t>SO-160</t>
  </si>
  <si>
    <t>2025-10-13</t>
  </si>
  <si>
    <t>PREVENTIVE MAINTENANCE COVERED DATE: SEPT. 30, 2025 - SEPT. 29, 2026 BRANCHES: 1. MARKET! MARKET! 2. GLORIETTA 3. TRINOMA</t>
  </si>
  <si>
    <t>SO-161</t>
  </si>
  <si>
    <t>JOURNAL PAPER - SINGLE PLY</t>
  </si>
  <si>
    <t>2025-08-28</t>
  </si>
  <si>
    <t>SO-162</t>
  </si>
  <si>
    <t>2025-10-14</t>
  </si>
  <si>
    <t>KASPERSKY ANTI-VIRUS</t>
  </si>
  <si>
    <t>SO-163</t>
  </si>
  <si>
    <t>2025-10-15</t>
  </si>
  <si>
    <t>SO-164</t>
  </si>
  <si>
    <t>ROBINSONS PLACE TUGUEGARAO</t>
  </si>
  <si>
    <t>2025-10-17</t>
  </si>
  <si>
    <t>SO-165</t>
  </si>
  <si>
    <t>BALDEVIA APRIL JOY LEDESMA</t>
  </si>
  <si>
    <t>SAMU ADVERTISEMENT MARKETING</t>
  </si>
  <si>
    <t>SM CITY BACOLOD</t>
  </si>
  <si>
    <t>EOS MINI CPU I5, 8GB RAM, 512 GB NVME M.2</t>
  </si>
  <si>
    <t>SO-166</t>
  </si>
  <si>
    <t>2025-10-24</t>
  </si>
  <si>
    <t>SO-167</t>
  </si>
  <si>
    <t>HUE PALAWAN</t>
  </si>
  <si>
    <t>EPSON T82X LAN</t>
  </si>
  <si>
    <t>2025-10-27</t>
  </si>
  <si>
    <t>SO-168</t>
  </si>
  <si>
    <t>MCMANA TRADING AND SERVICES INC</t>
  </si>
  <si>
    <t>MCMANA TRADING</t>
  </si>
  <si>
    <t>2025-10-28</t>
  </si>
  <si>
    <t>MINI CPU I5, 8GB RAM, 512GB SSD</t>
  </si>
  <si>
    <t>HUE SIARGAO</t>
  </si>
  <si>
    <t>SO-169</t>
  </si>
  <si>
    <t>MANILA GOLD COUNTRY CLUB (S LOUNGE)</t>
  </si>
  <si>
    <t>2025-09-04</t>
  </si>
  <si>
    <t>SO-170</t>
  </si>
  <si>
    <t>MANILA GOLD COUNTRY CLUB</t>
  </si>
  <si>
    <t>PREVENTIVE MAINTENANCE * NOVEMBER 3, 2025 - NOVEMBER 2, 2026</t>
  </si>
  <si>
    <t>2025-09-25</t>
  </si>
  <si>
    <t>SO-171</t>
  </si>
  <si>
    <t>ROCKWELL MAKATI</t>
  </si>
  <si>
    <t>THIRTY DAYS UPON DELIVERY</t>
  </si>
  <si>
    <t>2025-10-29</t>
  </si>
  <si>
    <t>SO-172</t>
  </si>
  <si>
    <t>2025-11-06</t>
  </si>
  <si>
    <t>SUPERBOWL</t>
  </si>
  <si>
    <t>SO-173</t>
  </si>
  <si>
    <t>2025-11-07</t>
  </si>
  <si>
    <t>TSCERES LITE ( BACCHUS REG. )</t>
  </si>
  <si>
    <t>SO-174</t>
  </si>
  <si>
    <t>VIEWSONIC MONITOR ( YUNG MANIPIS TULAD NUNG DATI).</t>
  </si>
  <si>
    <t>EOS MINI CPU ( NV.M2 )</t>
  </si>
  <si>
    <t>SO-175</t>
  </si>
  <si>
    <t>SO-176</t>
  </si>
  <si>
    <t>LJ ROMANTIC RESTAURANT CORPORATION</t>
  </si>
  <si>
    <t>ROMANTIC BABOY</t>
  </si>
  <si>
    <t>SO-177</t>
  </si>
  <si>
    <t>2025-11-01</t>
  </si>
  <si>
    <t>PREVENTIVE MAINTENANCE * NOVEMBER 11, 2025 - NOVEMBER 10, 2026</t>
  </si>
  <si>
    <t>2025-09-24</t>
  </si>
  <si>
    <t>RDMS V4</t>
  </si>
  <si>
    <t>DESKTOP</t>
  </si>
  <si>
    <t>SO-178</t>
  </si>
  <si>
    <t>2025-11-11</t>
  </si>
  <si>
    <t>THINKCENTRE M70S GEN 5- 512 GB SSD</t>
  </si>
  <si>
    <t>SO-179</t>
  </si>
  <si>
    <t>SENA MA DIANNE ABIGAIL GAMBOA</t>
  </si>
  <si>
    <t>YOOHOO</t>
  </si>
  <si>
    <t>TS CERES SQL VER 6</t>
  </si>
  <si>
    <t>SO-180</t>
  </si>
  <si>
    <t>FRANCESCO REST.</t>
  </si>
  <si>
    <t>2025-09-30</t>
  </si>
  <si>
    <t>DESKTOP INTEL CORE I5 ( 8GB / 512 SSD)</t>
  </si>
  <si>
    <t>SO-181</t>
  </si>
  <si>
    <t>JIBRILS SPECIALTY FOODS INC</t>
  </si>
  <si>
    <t>JSFI CHICKEN BACOLOD</t>
  </si>
  <si>
    <t>GLORIETTA 4</t>
  </si>
  <si>
    <t>2025-11-13</t>
  </si>
  <si>
    <t>BACCHUS SQL + VERSION 2 - LITE</t>
  </si>
  <si>
    <t>DESKTOP CPU CORE I5, 8GB RAM, 512SSD</t>
  </si>
  <si>
    <t>WINDOWS 11 PRO KEYBOARD &amp; MOUSE</t>
  </si>
  <si>
    <t>2025-10-01</t>
  </si>
  <si>
    <t>SO-182</t>
  </si>
  <si>
    <t>CRUZ MIRAFLOR DOMINGO</t>
  </si>
  <si>
    <t>ARTISAN EMPORIUM</t>
  </si>
  <si>
    <t>SO-183</t>
  </si>
  <si>
    <t>2025-11-17</t>
  </si>
  <si>
    <t>SO-184</t>
  </si>
  <si>
    <t>SO-185</t>
  </si>
  <si>
    <t>MARKET MARKET</t>
  </si>
  <si>
    <t>2025-11-21</t>
  </si>
  <si>
    <t>PREVENTIVE MAINTENANCE COVERED DATE: SEPT. 25, 2025 - SEPT. 24, 2026</t>
  </si>
  <si>
    <t>SO-186</t>
  </si>
  <si>
    <t>TRINOMA</t>
  </si>
  <si>
    <t>512GB SSD</t>
  </si>
  <si>
    <t>SO-187</t>
  </si>
  <si>
    <t>2025-11-26</t>
  </si>
  <si>
    <t>SO-188</t>
  </si>
  <si>
    <t>2025-12-01</t>
  </si>
  <si>
    <t>2025-10-06</t>
  </si>
  <si>
    <t>SO-189</t>
  </si>
  <si>
    <t>SO-190</t>
  </si>
  <si>
    <t>BERTULFO NEIL AGUILAR</t>
  </si>
  <si>
    <t>NEIL'S LECHON CEBU</t>
  </si>
  <si>
    <t>2025-12-02</t>
  </si>
  <si>
    <t>SO-191</t>
  </si>
  <si>
    <t>2025-12-03</t>
  </si>
  <si>
    <t>SO-192</t>
  </si>
  <si>
    <t>TEA CRAFT CORP</t>
  </si>
  <si>
    <t>YIFANG TAIWAN FRUIT TEA</t>
  </si>
  <si>
    <t>2025-12-04</t>
  </si>
  <si>
    <t>THE VIEW REST.</t>
  </si>
  <si>
    <t>2025-10-10</t>
  </si>
  <si>
    <t>EPSON PRINTER TMU220D ( USB ) CASHIER</t>
  </si>
  <si>
    <t>EPSON PRINTER TMU220B ( LAN ) BAR</t>
  </si>
  <si>
    <t>EPSON PRINTER TMU 220 B ( LAN ) KITCHEN</t>
  </si>
  <si>
    <t>REFERRAL FEE</t>
  </si>
  <si>
    <t>SO-193</t>
  </si>
  <si>
    <t>PAPA DOMS BAR &amp; REST.</t>
  </si>
  <si>
    <t>SO-194</t>
  </si>
  <si>
    <t>MORIBIZ RESTAURANT</t>
  </si>
  <si>
    <t>SO-195</t>
  </si>
  <si>
    <t>MODIFICATION :</t>
  </si>
  <si>
    <t>2025-12-05</t>
  </si>
  <si>
    <t>SO-196</t>
  </si>
  <si>
    <t>2025-12-10</t>
  </si>
  <si>
    <t>SO-197</t>
  </si>
  <si>
    <t>2025-12-15</t>
  </si>
  <si>
    <t>DESKTOP INTEL CORE I5 ( 8GB / 480 SSD ) W/ KEYBOARD &amp; MOUSE</t>
  </si>
  <si>
    <t>DELIVERY CHARGE TOTAL</t>
  </si>
  <si>
    <t>SO-198</t>
  </si>
  <si>
    <t>NORTH EXCHANGE</t>
  </si>
  <si>
    <t>2025-10-20</t>
  </si>
  <si>
    <t>SO-199</t>
  </si>
  <si>
    <t>ROB.ERMITA</t>
  </si>
  <si>
    <t>EPSON PRINTER TMU220IIA ( USB )</t>
  </si>
  <si>
    <t>ROKUGROUP INC</t>
  </si>
  <si>
    <t>NARA THAI</t>
  </si>
  <si>
    <t>SO-200</t>
  </si>
  <si>
    <t>ARTHUR S PRIME MANILA INC</t>
  </si>
  <si>
    <t>ARTHUR'S PRIME MANILA INC.</t>
  </si>
  <si>
    <t>MANILA GOLF FAIRWAYS</t>
  </si>
  <si>
    <t>PREVENTIVE MAINTENANCE COVERED DATE: DEC. 17, 2025 - DEC. 16, 2026</t>
  </si>
  <si>
    <t>BAGUIO</t>
  </si>
  <si>
    <t>EPSON PRINTER TMU22IIA ( USB )</t>
  </si>
  <si>
    <t>SO-201</t>
  </si>
  <si>
    <t>ETHERNAL BRIGHT SANCTUARY INC</t>
  </si>
  <si>
    <t>LALA'S RESTAURANT</t>
  </si>
  <si>
    <t>2025-12-17</t>
  </si>
  <si>
    <t>EPSON TMU220IID LAN PRINTER (MANUAL CUT)</t>
  </si>
  <si>
    <t>SO-202</t>
  </si>
  <si>
    <t>THREE STARS VENTURES INC</t>
  </si>
  <si>
    <t>FLUFF PANCAKES &amp;  COFFEE</t>
  </si>
  <si>
    <t>SO-203</t>
  </si>
  <si>
    <t>SO-204</t>
  </si>
  <si>
    <t>SO-205</t>
  </si>
  <si>
    <t>2SWR GROUPS INC</t>
  </si>
  <si>
    <t>JOURNAL PAPER ( 3PLY )</t>
  </si>
  <si>
    <t>SO-206</t>
  </si>
  <si>
    <t>SO-207</t>
  </si>
  <si>
    <t>CINNAROLL BAKERY CORPORATION</t>
  </si>
  <si>
    <t>EPSON TMU220IIA</t>
  </si>
  <si>
    <t>SO-208</t>
  </si>
  <si>
    <t>FROSTED BAKED BUNS CORP</t>
  </si>
  <si>
    <t>SO-209</t>
  </si>
  <si>
    <t>FROSTED ROLLS INC</t>
  </si>
  <si>
    <t>SO-210</t>
  </si>
  <si>
    <t>FROSTING ON ROLLS INC</t>
  </si>
  <si>
    <t>SO-211</t>
  </si>
  <si>
    <t>IGO WAFU FOOD CORP</t>
  </si>
  <si>
    <t>SO-212</t>
  </si>
  <si>
    <t>ILO CANELLA FOOD CORPORATION</t>
  </si>
  <si>
    <t>SO-213</t>
  </si>
  <si>
    <t>LNF FOOD INC</t>
  </si>
  <si>
    <t>SO-214</t>
  </si>
  <si>
    <t>ROADSIDE ROLLS FOOD CORP</t>
  </si>
  <si>
    <t>SO-215</t>
  </si>
  <si>
    <t>SWEET AND FROSTED INC</t>
  </si>
  <si>
    <t>SO-216</t>
  </si>
  <si>
    <t>2025-11-12</t>
  </si>
  <si>
    <t>SO-217</t>
  </si>
  <si>
    <t>SYM2PLY DELICIOUS CORP</t>
  </si>
  <si>
    <t>SO-218</t>
  </si>
  <si>
    <t>VILLAVIZ CORPORATION</t>
  </si>
  <si>
    <t>2025-12-22</t>
  </si>
  <si>
    <t>SO-219</t>
  </si>
  <si>
    <t>2025-11-25</t>
  </si>
  <si>
    <t>ROBINSON DUMAGUETE 11-20-25-26</t>
  </si>
  <si>
    <t>SO-220</t>
  </si>
  <si>
    <t>SO-221</t>
  </si>
  <si>
    <t>SO-222</t>
  </si>
  <si>
    <t>2025-12-12</t>
  </si>
  <si>
    <t>SO-223</t>
  </si>
  <si>
    <t>SO-224</t>
  </si>
  <si>
    <t>SO-225</t>
  </si>
  <si>
    <t>SO-226</t>
  </si>
  <si>
    <t>SO-227</t>
  </si>
  <si>
    <t>SO-228</t>
  </si>
  <si>
    <t>SO-229</t>
  </si>
  <si>
    <t>UMBO KUSINA</t>
  </si>
  <si>
    <t>SSD CARD</t>
  </si>
  <si>
    <t>SO-230</t>
  </si>
  <si>
    <t>COSTA SOLANA</t>
  </si>
  <si>
    <t>IMIN FALCON TF2-21 CASING</t>
  </si>
  <si>
    <t>SO-231</t>
  </si>
  <si>
    <t>POSIFLEX CUSTOMER DISPLAY</t>
  </si>
  <si>
    <t>SO-232</t>
  </si>
  <si>
    <t>SO-233</t>
  </si>
  <si>
    <t>SO-234</t>
  </si>
  <si>
    <t>SO-235</t>
  </si>
  <si>
    <t>JOURNAL PAPER ( 2 ) PLY</t>
  </si>
  <si>
    <t>SO-236</t>
  </si>
  <si>
    <t>2025-12-18</t>
  </si>
  <si>
    <t>SO-237</t>
  </si>
  <si>
    <t>SO-238</t>
  </si>
  <si>
    <t>GREEN HORIZON FORTUNE TRADING CO</t>
  </si>
  <si>
    <t>5-11 TACTICAL</t>
  </si>
  <si>
    <t>50% DP, 50% 30 DAYS</t>
  </si>
  <si>
    <t>2025-01-01</t>
  </si>
  <si>
    <t>RDMS SQL+ VERSION 3</t>
  </si>
  <si>
    <t>JOANNE</t>
  </si>
  <si>
    <t>ROLL OUT IMPLEMENTATION</t>
  </si>
  <si>
    <t>DESKTOP CPU (8GB RAM, 500GB NVME M.2) W/ KEYBOARD AND MOUSE</t>
  </si>
  <si>
    <t>WINDOWS 11 PRO 64-BIT</t>
  </si>
  <si>
    <t>KASPERKY ANTI VIRUS</t>
  </si>
  <si>
    <t>LED MONITOR</t>
  </si>
  <si>
    <t>EPSON TM U220D USB PRINTER</t>
  </si>
  <si>
    <t>ELEGANT TRIO COLORS CORPORATION</t>
  </si>
  <si>
    <t>JAZZY FRANCE</t>
  </si>
  <si>
    <t>AYALA MALLS FELIZ</t>
  </si>
  <si>
    <t>60% DP, 40% 30 DAYS</t>
  </si>
  <si>
    <t>GENERIC CASH DRAWER</t>
  </si>
  <si>
    <t>TIONG BAHRU PHILIPPINES INC</t>
  </si>
  <si>
    <t>TIONG BAHRU</t>
  </si>
  <si>
    <t>50% DOWNPAYMENT, 50% W/IN 30 DAYS</t>
  </si>
  <si>
    <t>JUAMALU COUTURE</t>
  </si>
  <si>
    <t>RHETT EALA</t>
  </si>
  <si>
    <t>PAID</t>
  </si>
  <si>
    <t>GRIMALKIN CORPORATION</t>
  </si>
  <si>
    <t>NINETYGO</t>
  </si>
  <si>
    <t>SM BICUTAN</t>
  </si>
  <si>
    <t>40% DOWNPAYMENT, 60% W/IN 30 DAYS</t>
  </si>
  <si>
    <t>EOS MINI PC I5, 8GB, 480GB SSD</t>
  </si>
  <si>
    <t>EOS FAN WITH COVER</t>
  </si>
  <si>
    <t>ROSANNA OCAMPO</t>
  </si>
  <si>
    <t>ROCKWELL POWERPLANT</t>
  </si>
  <si>
    <t>2025-01-15</t>
  </si>
  <si>
    <t>LIGHTERS GALORE</t>
  </si>
  <si>
    <t>EXTREME OUTDOOR ADVENTURE CORP</t>
  </si>
  <si>
    <t>EXTREME OUTDOOR ADVENTURES</t>
  </si>
  <si>
    <t>2025-02-03</t>
  </si>
  <si>
    <t>BIG BRANDS CLOTHING OUTLET CORP</t>
  </si>
  <si>
    <t>BIG BRANDS</t>
  </si>
  <si>
    <t>FULLY PAID</t>
  </si>
  <si>
    <t>2025-02-05</t>
  </si>
  <si>
    <t>TOUCH SCREEN MONITOR</t>
  </si>
  <si>
    <t>EPSON TM - U220B USB</t>
  </si>
  <si>
    <t>DESKTOP CPU I5, 8GB RAM, 480 GB SSD(W/KEYBOARD &amp;MOUSE)</t>
  </si>
  <si>
    <t>EPSON TM – U220D DOT MATRIX (USB)</t>
  </si>
  <si>
    <t>EPSON TM – U220B DOT MATRIX (LAN)</t>
  </si>
  <si>
    <t>SWITCH HUB 8 PORTS</t>
  </si>
  <si>
    <t>KASPERSKY ANTIVIRUS</t>
  </si>
  <si>
    <t>LEAL JESSICA JOYCE LAO</t>
  </si>
  <si>
    <t>SHOP SAMAHAN</t>
  </si>
  <si>
    <t>AYALA MALLS CAPITOL CENTRAL BACOLOD</t>
  </si>
  <si>
    <t>W R I WELLNESS RETAIL INNOVATIONS INC</t>
  </si>
  <si>
    <t>DR. KONG</t>
  </si>
  <si>
    <t>ZEBRA 2D SCANNER</t>
  </si>
  <si>
    <t>ATC</t>
  </si>
  <si>
    <t>50% UPON CONFORME, 50% UPON DELIVERY</t>
  </si>
  <si>
    <t>EPSON TM – U220B DOT MATRIX (USB)</t>
  </si>
  <si>
    <t>ESTANCIA</t>
  </si>
  <si>
    <t>STAR 360 PHILIPPINES INC</t>
  </si>
  <si>
    <t>YANKEE CANDLES</t>
  </si>
  <si>
    <t>SM NORTH EDSA</t>
  </si>
  <si>
    <t>2025-04-21</t>
  </si>
  <si>
    <t>EOS MINI PC I5, 8GB, 512GB NVME M.2 SSD</t>
  </si>
  <si>
    <t>ORDINARY MONITOR</t>
  </si>
  <si>
    <t>RAJO</t>
  </si>
  <si>
    <t>ROCKWELL &amp; SHNAG</t>
  </si>
  <si>
    <t>HET STROOPWAFEL HUIS</t>
  </si>
  <si>
    <t>STOOP &amp; ZO</t>
  </si>
  <si>
    <t>60% DOWNPAYMENT, 40% W/IN 30 DAYS</t>
  </si>
  <si>
    <t>2025-05-05</t>
  </si>
  <si>
    <t>KANEFIL GLOBE ENTERPRISES CORPORATION</t>
  </si>
  <si>
    <t>KANEBO</t>
  </si>
  <si>
    <t>FULL PAYMENT</t>
  </si>
  <si>
    <t>ROBINSONS IMUS</t>
  </si>
  <si>
    <t>PRINTER CABLE</t>
  </si>
  <si>
    <t>PRINTER GEAR</t>
  </si>
  <si>
    <t>JOURNAL PAPER</t>
  </si>
  <si>
    <t>HOUSE OF OBAGI</t>
  </si>
  <si>
    <t>ROBINSONS PLACE MANILA</t>
  </si>
  <si>
    <t>METROCLE ALLIANCE CORP</t>
  </si>
  <si>
    <t>SIGNET</t>
  </si>
  <si>
    <t>ANONYMOUS</t>
  </si>
  <si>
    <t>FUN CITY</t>
  </si>
  <si>
    <t>CIRCUIT MAKATI</t>
  </si>
  <si>
    <t>50% DP, 50% - 30 DAYS</t>
  </si>
  <si>
    <t>AYALA MALLS MANILA BAY</t>
  </si>
  <si>
    <t>2025-06-05</t>
  </si>
  <si>
    <t>VERTIS NORTH</t>
  </si>
  <si>
    <t>JASANNE INCORPORATED</t>
  </si>
  <si>
    <t>TERRIE FASHION BOUTIQUE</t>
  </si>
  <si>
    <t>STATEMENT THEORY</t>
  </si>
  <si>
    <t>DERMA 360°</t>
  </si>
  <si>
    <t>2025-06-16</t>
  </si>
  <si>
    <t>DDR4 8GB RAM</t>
  </si>
  <si>
    <t>GRAND CENTRAL</t>
  </si>
  <si>
    <t>PHARMASAFE INC</t>
  </si>
  <si>
    <t>MUSTELA</t>
  </si>
  <si>
    <t>2025-07-10</t>
  </si>
  <si>
    <t>SOFTWARE UPGRADE (RDMS SQL+ VERSION 3)</t>
  </si>
  <si>
    <t>EOS MINI PC I5, 8GB, 500GB NVME M.2 SSD</t>
  </si>
  <si>
    <t>AYALA CEBU</t>
  </si>
  <si>
    <t>ROBINSONS STA ROSA</t>
  </si>
  <si>
    <t>MIRANDA MICHAEL BORBON</t>
  </si>
  <si>
    <t>MICHAEL &amp; CELEST</t>
  </si>
  <si>
    <t>168 SHOPPING MALL C1</t>
  </si>
  <si>
    <t>40% DP, 60% 2MOS PDC</t>
  </si>
  <si>
    <t>RDMS SQL+ VERSION 4.3.0</t>
  </si>
  <si>
    <t>168 SHOPPING MALL C3</t>
  </si>
  <si>
    <t>TANTEASE INC</t>
  </si>
  <si>
    <t>TANTEASE</t>
  </si>
  <si>
    <t>POWERPLANT MALL ROCKWELL</t>
  </si>
  <si>
    <t>PREVENTIVE MAINTENANCE JULY 14, 2025 - JULY 13, 2026</t>
  </si>
  <si>
    <t>2025-07-31</t>
  </si>
  <si>
    <t>INSPIRA PRIME INTERNATIONAL CORPORATION</t>
  </si>
  <si>
    <t>AQUAFLASK</t>
  </si>
  <si>
    <t>EOS MINI PC I5, 8GB</t>
  </si>
  <si>
    <t>NVME M.2 500GB SSD</t>
  </si>
  <si>
    <t>BIRCH BARCODE SCANNER</t>
  </si>
  <si>
    <t>HAPPY CREATIVE VENTURES INC</t>
  </si>
  <si>
    <t>THE HAPPY STATION</t>
  </si>
  <si>
    <t>ALLURE EMPIRE CORPORATION</t>
  </si>
  <si>
    <t>CHU CHU BEAUTY (HOS)</t>
  </si>
  <si>
    <t>TONDO MANILA</t>
  </si>
  <si>
    <t>2025-08-06</t>
  </si>
  <si>
    <t>RDMS V3 (HEAD OFFICE SERVER)</t>
  </si>
  <si>
    <t>CHU CHU BEAUTY</t>
  </si>
  <si>
    <t>RDMS V3</t>
  </si>
  <si>
    <t>FESTIVAL MALL</t>
  </si>
  <si>
    <t>GLORIETTA</t>
  </si>
  <si>
    <t>HEAD OFFICE</t>
  </si>
  <si>
    <t>CCGC TRADING CORPORATION</t>
  </si>
  <si>
    <t>OLAES CHRISTIAN GERALD TORRES</t>
  </si>
  <si>
    <t>THE CRUNCH</t>
  </si>
  <si>
    <t>BACCHUS SQL+ VER 2 (LITE)</t>
  </si>
  <si>
    <t>MMG TRUE ENTERPRISE INCORPORATED</t>
  </si>
  <si>
    <t>TRUE VISION</t>
  </si>
  <si>
    <t>MOTO</t>
  </si>
  <si>
    <t>CORTEZ IAN CARL CORPUZ</t>
  </si>
  <si>
    <t>FERINO'S CAFÉ</t>
  </si>
  <si>
    <t>DAN S BIKE</t>
  </si>
  <si>
    <t>DAN'S BIKE</t>
  </si>
  <si>
    <t>2025-09-10</t>
  </si>
  <si>
    <t>SYSTEM MODIFICATION 2 MANDAYS</t>
  </si>
  <si>
    <t>SINGLE PLY JOURNAL PAPER</t>
  </si>
  <si>
    <t>SIAPNO TADA OPTICAL INC</t>
  </si>
  <si>
    <t>SIAPNO-TADA OPTICAL</t>
  </si>
  <si>
    <t>2025-09-16</t>
  </si>
  <si>
    <t>FRANKIE GENERAL STORE</t>
  </si>
  <si>
    <t>50% DP, 50% ONE MONTH</t>
  </si>
  <si>
    <t>RDMS SQL+ VERSION 4</t>
  </si>
  <si>
    <t>AQUAFLASK DESIGN</t>
  </si>
  <si>
    <t>THE VALLEY STORE PH</t>
  </si>
  <si>
    <t>THE VALLEY</t>
  </si>
  <si>
    <t>AYALA MALLS THE 30TH</t>
  </si>
  <si>
    <t>2025-10-03</t>
  </si>
  <si>
    <t>EPSON TM - U220D USB</t>
  </si>
  <si>
    <t>DERMA 360 CORP</t>
  </si>
  <si>
    <t>KASPERSY ANTIVIRUS</t>
  </si>
  <si>
    <t>THE DAYKEEPER INC</t>
  </si>
  <si>
    <t>ANNUAL PREVENTIVE MAINTENANCE</t>
  </si>
  <si>
    <t>COCOON INC</t>
  </si>
  <si>
    <t>NAIL SPA</t>
  </si>
  <si>
    <t>2025-10-16</t>
  </si>
  <si>
    <t>MAINTENANCE</t>
  </si>
  <si>
    <t>FAIVIEW TERRACES</t>
  </si>
  <si>
    <t>2025-10-21</t>
  </si>
  <si>
    <t>2025-10-23</t>
  </si>
  <si>
    <t>DAN S BIKESHOP INC</t>
  </si>
  <si>
    <t>DAN'S BIKESHOP</t>
  </si>
  <si>
    <t>2025-11-05</t>
  </si>
  <si>
    <t>POSEIDON POLE DISPLAY</t>
  </si>
  <si>
    <t>2025-11-20</t>
  </si>
  <si>
    <t>EPSON TM - U220B LAN</t>
  </si>
  <si>
    <t>500GB SSD</t>
  </si>
  <si>
    <t>WHITE PERUGIA OPC</t>
  </si>
  <si>
    <t>MARKET! MARKET!</t>
  </si>
  <si>
    <t>2025-12-11</t>
  </si>
  <si>
    <t>ARCA SOUTH</t>
  </si>
  <si>
    <t>2025-12-23</t>
  </si>
  <si>
    <t>2026-01-05</t>
  </si>
  <si>
    <t>TSCERES SQL VER. 6 * NOTE: BIR REGISTRATION: BACCHUS SQL+ VERSION 2</t>
  </si>
  <si>
    <t>SO-26-004</t>
  </si>
  <si>
    <t>CHUA BEVERLY SANTOS</t>
  </si>
  <si>
    <t>HOMIE PET</t>
  </si>
  <si>
    <t>2026-01-08</t>
  </si>
  <si>
    <t>THMAL PAPER *80MMX80MM DELIVERY FEE</t>
  </si>
  <si>
    <t>NLEX</t>
  </si>
  <si>
    <t>SO-26-006</t>
  </si>
  <si>
    <t>2026-01-13</t>
  </si>
  <si>
    <t>SO-26-007</t>
  </si>
  <si>
    <t>2026-01-14</t>
  </si>
  <si>
    <t>VICE COSMETICS</t>
  </si>
  <si>
    <t>SO-26-008</t>
  </si>
  <si>
    <t>2026-01-15</t>
  </si>
  <si>
    <t>SO-26-009</t>
  </si>
  <si>
    <t>SEVILLA MARLON JR GUANO</t>
  </si>
  <si>
    <t>MASTER SIOMAI</t>
  </si>
  <si>
    <t>2026-01-20</t>
  </si>
  <si>
    <t>SO-26-010</t>
  </si>
  <si>
    <t>2026-01-21</t>
  </si>
  <si>
    <t>MODIFICATION * DUAL DISPLAY PROGRAM</t>
  </si>
  <si>
    <t>SO-26-011</t>
  </si>
  <si>
    <t>2026-01-26</t>
  </si>
  <si>
    <t>2026-01-16</t>
  </si>
  <si>
    <t>PAOTSIN ERMITA</t>
  </si>
  <si>
    <t>SO-26-012</t>
  </si>
  <si>
    <t>2026-01-27</t>
  </si>
  <si>
    <t>*ANNAUAL PREVENTIVE MAINTENANCE COVERED DATE: JANUARY 1, 2025 - DECEMBER 31, 2025 BRANCHES: 1. ROCKWELL 2. ATC 3. PODIUM 4. ROBINSONS ERMITA 5. EDSA SHANGRILA 6. SM AURA</t>
  </si>
  <si>
    <t>SO-26-013</t>
  </si>
  <si>
    <t>SO-26-014</t>
  </si>
  <si>
    <t>KCC HTS PTE LTP CORP NO COR YET</t>
  </si>
  <si>
    <t>KAJIKEN</t>
  </si>
  <si>
    <t>2026-01-29</t>
  </si>
  <si>
    <t>BACCHUS SQL+ VERSION 2</t>
  </si>
  <si>
    <t>EPSON TMU220IID USB PRINTER</t>
  </si>
  <si>
    <t>ERC EPSON PRINTER RIBBON</t>
  </si>
  <si>
    <t>1 PLY - JOURPAN PAPER</t>
  </si>
  <si>
    <t>SO-26-015</t>
  </si>
  <si>
    <t>2026-02-02</t>
  </si>
  <si>
    <t>SO-26-016</t>
  </si>
  <si>
    <t>SO-26-017</t>
  </si>
  <si>
    <t>QUEZON CITY</t>
  </si>
  <si>
    <t>2026-02-04</t>
  </si>
  <si>
    <t>SO-26-018</t>
  </si>
  <si>
    <t>2026-02-05</t>
  </si>
  <si>
    <t>SO-26-019</t>
  </si>
  <si>
    <t>2026-02-11</t>
  </si>
  <si>
    <t>SO-26-020</t>
  </si>
  <si>
    <t>JINWEI ENTERPRISES CORP</t>
  </si>
  <si>
    <t>ARKEN</t>
  </si>
  <si>
    <t>2026-02-12</t>
  </si>
  <si>
    <t>IMIN D2 POWER ADAPTOR</t>
  </si>
  <si>
    <t>2026-02-03</t>
  </si>
  <si>
    <t>BIRCH SCANNER</t>
  </si>
  <si>
    <t>SO-26-021</t>
  </si>
  <si>
    <t>STEAKS AND MORE OPC</t>
  </si>
  <si>
    <t>SOUTH TRIANGLE QC</t>
  </si>
  <si>
    <t>2026-02-13</t>
  </si>
  <si>
    <t>SO-26-022</t>
  </si>
  <si>
    <t>TAN JANUARIO JR ABAD</t>
  </si>
  <si>
    <t>JICATA ENTERPRISES - JO FRANGCO</t>
  </si>
  <si>
    <t>2026-02-16</t>
  </si>
  <si>
    <t>SO-26-023</t>
  </si>
  <si>
    <t>CHARLIES RESTAURANT</t>
  </si>
  <si>
    <t>SO-26-024</t>
  </si>
  <si>
    <t>BALBERO PAUL ANTHONY NO COR YET</t>
  </si>
  <si>
    <t>NEXSCENTS HOME CARE PRODUCTS</t>
  </si>
  <si>
    <t>50% DP; 9375.00 FIRST MONTH AFTER DELIVERY/INSTALLATION; 9375.00 2ND MONTH AFTER DELIVERY_x000D_
/INSTALLATION; 9375.00 3RD MONTH AFTER DELIVERY_x000D_
/INSTALLATION; 9375.00 4RTH MONTH AFTER DELIVERY_x000D_
/INSTALLATION.</t>
  </si>
  <si>
    <t>2026-02-18</t>
  </si>
  <si>
    <t>APC UPC</t>
  </si>
  <si>
    <t>HPRT TP80K THERMAL PRINTER</t>
  </si>
  <si>
    <t>THERMAL PAPER - 80MMX80MM</t>
  </si>
  <si>
    <t>BEELINK EQI12-D4, 8GB RAM, 512 GB NVME M.2</t>
  </si>
  <si>
    <t>SO-26-025</t>
  </si>
  <si>
    <t>2026-02-19</t>
  </si>
  <si>
    <t>LIAMS BEACH CAFÉ</t>
  </si>
  <si>
    <t>BEELINK EQ112-D4 MINI PC</t>
  </si>
  <si>
    <t>SO-26-026</t>
  </si>
  <si>
    <t>2026-02-25</t>
  </si>
  <si>
    <t>SO-26-027</t>
  </si>
  <si>
    <t>DESKTOP RYZEN 8GB W/ 512 GB NVME.2</t>
  </si>
  <si>
    <t>DESKTOP RYZEN 16GB W/ 1TB NVME2.</t>
  </si>
  <si>
    <t>SO-26-028</t>
  </si>
  <si>
    <t>POSEIDON PSD86 SCANNER</t>
  </si>
  <si>
    <t>SO-26-029</t>
  </si>
  <si>
    <t>MIZAN FOOD OPC</t>
  </si>
  <si>
    <t>2026-03-02</t>
  </si>
  <si>
    <t>2025-02-13</t>
  </si>
  <si>
    <t>2026-02-20</t>
  </si>
  <si>
    <t>SO-26-030</t>
  </si>
  <si>
    <t>2026-03-09</t>
  </si>
  <si>
    <t>GODEX BARCODE PRINTER EZ120</t>
  </si>
  <si>
    <t>SO-26-031</t>
  </si>
  <si>
    <t>GREENBELT 3</t>
  </si>
  <si>
    <t>SO-26-032</t>
  </si>
  <si>
    <t>TIU MADONNA PEACE ONGPAUCO</t>
  </si>
  <si>
    <t>GODEX EZ120 203DPI PRINTER HEAD</t>
  </si>
  <si>
    <t>2026-02-24</t>
  </si>
  <si>
    <t>SO-26-033</t>
  </si>
  <si>
    <t>CANTILLON JOHN JERIC SUMANG</t>
  </si>
  <si>
    <t>SM DASMARINAS</t>
  </si>
  <si>
    <t>2026-03-10</t>
  </si>
  <si>
    <t>SO-26-034</t>
  </si>
  <si>
    <t>2026-03-19</t>
  </si>
  <si>
    <t>2026-03-03</t>
  </si>
  <si>
    <t>SO-26-035</t>
  </si>
  <si>
    <t>2026-03-25</t>
  </si>
  <si>
    <t>SO-26-036</t>
  </si>
  <si>
    <t>EPSON TM-U220IIB USB</t>
  </si>
  <si>
    <t>SO-26-037</t>
  </si>
  <si>
    <t>2026-03-26</t>
  </si>
  <si>
    <t>POSTECH ADAPTOR WITH CORD</t>
  </si>
  <si>
    <t>SO-26-038</t>
  </si>
  <si>
    <t>COMMISSION - SIR ALVIN</t>
  </si>
  <si>
    <t>SO-26-039</t>
  </si>
  <si>
    <t>202-03-26</t>
  </si>
  <si>
    <t>UNAROSA</t>
  </si>
  <si>
    <t>PREVENTIVE MAINTENANCE ( RDMS V3+ )</t>
  </si>
  <si>
    <t>ADATA SSD 512 GB SATA</t>
  </si>
  <si>
    <t>SO-26-040</t>
  </si>
  <si>
    <t>MEGA GOLDTOWN PAN INC</t>
  </si>
  <si>
    <t>2026-04-10</t>
  </si>
  <si>
    <t>PREVENTIVE MAINTENANCE BRANCHES: 1. AMIGO 2.BANILAD 3. ROCKWELL ORTIGAS 2 4. KASAMBAGAN 5. LABANGON CASA MIRA TOWER 6. NAGA CEBU 7. PASEO ARCENAS 8. ISLAND CENTRAL MACTAN 9. MINGLANILLA 10. SOHO MALL 11. AYALA MALLS CENTRAL BLOC CEBU 12.LG GARDEN WALK 13. MARINA MALL</t>
  </si>
  <si>
    <t>BEELINK MINI CPU</t>
  </si>
  <si>
    <t>SO-26-041</t>
  </si>
  <si>
    <t>GOLDEN PAN DE SAL INC</t>
  </si>
  <si>
    <t>PREVENTIVE MAINTENANCE BRANCHES: 1. MASINAG 2. ANTIPOLO YNARES 3. STA LUCIA EAST GRAND MALL 4. DASMARINAS CAVITE 5. TRAMO 6. MALATE 7. MARIKINA BAYAN-BAYANAN 8. BLUE WAVE MARQUINTON 9. PTT MCARTHUR 10. NORTHWALK SAN FERNANDO 11. EL GRANDE AVE 12. BICUTAN 13. PRINCETON 14. FAIRVIEW 15. TYATAY</t>
  </si>
  <si>
    <t>SO-26-042</t>
  </si>
  <si>
    <t>PAN DE MANILA FOOD CO INC</t>
  </si>
  <si>
    <t>INTEL CORE I5 ( 16GB DDR4 MEMORY / 1TB SATA SSD)</t>
  </si>
  <si>
    <t>2026-03-13</t>
  </si>
  <si>
    <t>SO-26-043</t>
  </si>
  <si>
    <t>FERRER PEDRO JR BACOLINAO</t>
  </si>
  <si>
    <t>SIGNA DRUGSTORE</t>
  </si>
  <si>
    <t>ALABANG MUNTINLUPA</t>
  </si>
  <si>
    <t>60% DOWNPAYMENT; 40% TO BE PAID WITHIN THIRTY DAYS UPON DELIVERY/INSTALLATION.</t>
  </si>
  <si>
    <t>2026-04-16</t>
  </si>
  <si>
    <t>RDMS VERSION 5.0</t>
  </si>
  <si>
    <t>BARBAZA MULTI PURPOSE COOPERATIVE</t>
  </si>
  <si>
    <t>COOP OCEAN VIEW RESORT</t>
  </si>
  <si>
    <t>POBLACION ANTIQUE</t>
  </si>
  <si>
    <t>2026-04-20</t>
  </si>
  <si>
    <t>LIAM'S LOMI HOUSE</t>
  </si>
  <si>
    <t>EPSON TMUT82X LAN</t>
  </si>
  <si>
    <t>SO-26-045</t>
  </si>
  <si>
    <t>CHOW UNLIMITED  CORP.</t>
  </si>
  <si>
    <t>2026-03-17</t>
  </si>
  <si>
    <t>CASH BOX USB</t>
  </si>
  <si>
    <t>SO-26-046</t>
  </si>
  <si>
    <t>2026-04-22</t>
  </si>
  <si>
    <t>SO-26-047</t>
  </si>
  <si>
    <t>ELEMIE NATURALS INC</t>
  </si>
  <si>
    <t>2026-04-29</t>
  </si>
  <si>
    <t>EPSON PRINTER TMU220A USB</t>
  </si>
  <si>
    <t>SO-26-048</t>
  </si>
  <si>
    <t>BARBAZA PHARMACY</t>
  </si>
  <si>
    <t>GEN LUNA ANTIQUE</t>
  </si>
  <si>
    <t>2026-03-23</t>
  </si>
  <si>
    <t>VMAX DUAL DISPLAY PD970-1</t>
  </si>
  <si>
    <t>T82 ( PRINTER HEADER W/ CABLE )</t>
  </si>
  <si>
    <t>SO-26-049</t>
  </si>
  <si>
    <t>SAN JUAN</t>
  </si>
  <si>
    <t>MODIFICATION *API SALES TRANSACTIONS INTEGRATION</t>
  </si>
  <si>
    <t>2025-03-24</t>
  </si>
  <si>
    <t>SO-26-050</t>
  </si>
  <si>
    <t>2026-05-04</t>
  </si>
  <si>
    <t>2026-03-24</t>
  </si>
  <si>
    <t>POWER SUPPLY</t>
  </si>
  <si>
    <t>SO-26-051</t>
  </si>
  <si>
    <t>2026-05-11</t>
  </si>
  <si>
    <t>2026-04-01</t>
  </si>
  <si>
    <t>SO-26-052</t>
  </si>
  <si>
    <t>DDR4 8GB</t>
  </si>
  <si>
    <t>SO-26-053</t>
  </si>
  <si>
    <t>SO-26-054</t>
  </si>
  <si>
    <t>EOS MINI CPU W/ KEYBOARD &amp; MOUSE</t>
  </si>
  <si>
    <t>SO-26-055</t>
  </si>
  <si>
    <t>2026-05-13</t>
  </si>
  <si>
    <t>2026-04-06</t>
  </si>
  <si>
    <t>2026-04-14</t>
  </si>
  <si>
    <t>EPSON TMU 220IIB PRINTER</t>
  </si>
  <si>
    <t>EPSON TMU220II D ( USB )</t>
  </si>
  <si>
    <t>2026-04-24</t>
  </si>
  <si>
    <t>SOLID STATE DRIVE</t>
  </si>
  <si>
    <t>2026-05-02</t>
  </si>
  <si>
    <t>2026-05-05</t>
  </si>
  <si>
    <t>LCD MONITOR 11"</t>
  </si>
  <si>
    <t>ADJUSTABLE STAND</t>
  </si>
  <si>
    <t>USB CABLE</t>
  </si>
  <si>
    <t>MINI HDMI CABLE</t>
  </si>
  <si>
    <t>2026-05-07</t>
  </si>
  <si>
    <t>BEELNK</t>
  </si>
  <si>
    <t>DESKTOP CPU I5 ( 8GB / 500 SSD)</t>
  </si>
  <si>
    <t>2026-05-08</t>
  </si>
  <si>
    <t>2026-05-12</t>
  </si>
  <si>
    <t>ERC RIBBON 38</t>
  </si>
  <si>
    <t>SO-26-001</t>
  </si>
  <si>
    <t>2026-01-09</t>
  </si>
  <si>
    <t>SO-26-002</t>
  </si>
  <si>
    <t>STROOP &amp; ZO</t>
  </si>
  <si>
    <t>OBINSONS GALLERIA</t>
  </si>
  <si>
    <t>2026-01-19</t>
  </si>
  <si>
    <t>SO-26-003</t>
  </si>
  <si>
    <t>TAN CHARISSE MESINA</t>
  </si>
  <si>
    <t>THE ECO SHIFT</t>
  </si>
  <si>
    <t>BEELINK I5, 16GB, 500GB NVME M.2</t>
  </si>
  <si>
    <t>HPRT TP80K THERMAL PRINTER USB</t>
  </si>
  <si>
    <t>SO-26-005</t>
  </si>
  <si>
    <t>TERO RAQUEL HARALVE</t>
  </si>
  <si>
    <t>KARYL TOY STORE</t>
  </si>
  <si>
    <t>DESKTOP CPU I5, 8GB, KEYBOARD &amp; MOUSE</t>
  </si>
  <si>
    <t>UPTOWN MALL</t>
  </si>
  <si>
    <t>2026-02-09</t>
  </si>
  <si>
    <t>FERCUI VENTURES CORPORATION</t>
  </si>
  <si>
    <t>FLEXISPOT PH</t>
  </si>
  <si>
    <t>UNIMEDS DRUGSTORE OPC</t>
  </si>
  <si>
    <t>SORSOGON</t>
  </si>
  <si>
    <t>2026-02-23</t>
  </si>
  <si>
    <t>2026-03-04</t>
  </si>
  <si>
    <t>ZEBRA BARCODE SCANNER</t>
  </si>
  <si>
    <t>EPSON TM T82X USB THERMAL PRINTER</t>
  </si>
  <si>
    <t>MAXICOLLECTOR VENTURES INC</t>
  </si>
  <si>
    <t>MAXIWORKS</t>
  </si>
  <si>
    <t>2026-03-31</t>
  </si>
  <si>
    <t>NUVALI</t>
  </si>
  <si>
    <t>RDMS SQL+ VERSION 5.0</t>
  </si>
  <si>
    <t>BJW CONCEPT</t>
  </si>
  <si>
    <t>WHISENHUNT</t>
  </si>
  <si>
    <t>ONE POTATO TWO POTATO</t>
  </si>
  <si>
    <t>COMME CI</t>
  </si>
  <si>
    <t>2026-04-30</t>
  </si>
  <si>
    <t>PREVENTIVE MAINTENANCE APRIL 27, 2026 - APRIL 26, 2027</t>
  </si>
  <si>
    <t>RIVERO SAMSON TAN</t>
  </si>
  <si>
    <t>ANSON SHOE PLAZA</t>
  </si>
  <si>
    <t>2026-05-06</t>
  </si>
  <si>
    <t>SOFTWARE UPGRADE</t>
  </si>
  <si>
    <t>PREVENTIVE MAINTENANCE MAY 12, 2026 - MAY 11, 2027</t>
  </si>
  <si>
    <t>Row Labels</t>
  </si>
  <si>
    <t>Grand Total</t>
  </si>
  <si>
    <t>Client ID</t>
  </si>
  <si>
    <t>Order ID</t>
  </si>
  <si>
    <t>2SWR GROUPS INC - CINNABON - ES:</t>
  </si>
  <si>
    <t>AAJ IT SOLUTIONS INC - AAJ IT SOLUTIONS INC - GENERIC</t>
  </si>
  <si>
    <t>ALI SHAN TEA CORP - SERENITEA - ES:</t>
  </si>
  <si>
    <t>ALLURE EMPIRE CORPORATION - CHU CHU BEAUTY - ARCA SOUTH</t>
  </si>
  <si>
    <t>ALLURE EMPIRE CORPORATION - CHU CHU BEAUTY - AYALA MALLS CAPITOL CENTRAL BACOLOD</t>
  </si>
  <si>
    <t>ALLURE EMPIRE CORPORATION - CHU CHU BEAUTY - AYALA MALLS MANILA BAY</t>
  </si>
  <si>
    <t>ALLURE EMPIRE CORPORATION - CHU CHU BEAUTY - FESTIVAL MALL</t>
  </si>
  <si>
    <t>ALLURE EMPIRE CORPORATION - CHU CHU BEAUTY - GLORIETTA</t>
  </si>
  <si>
    <t>ALLURE EMPIRE CORPORATION - CHU CHU BEAUTY - GREENHILLS</t>
  </si>
  <si>
    <t>ALLURE EMPIRE CORPORATION - CHU CHU BEAUTY - MARKET! MARKET!</t>
  </si>
  <si>
    <t>ALLURE EMPIRE CORPORATION - CHU CHU BEAUTY (HOS) - TONDO MANILA</t>
  </si>
  <si>
    <t>ANONYMOUS - DERMA 360° - GENERIC</t>
  </si>
  <si>
    <t>ANONYMOUS - FUN CITY - AYALA MALLS FELIZ</t>
  </si>
  <si>
    <t>ANONYMOUS - FUN CITY - AYALA MALLS MANILA BAY</t>
  </si>
  <si>
    <t>ANONYMOUS - FUN CITY - VERTIS NORTH</t>
  </si>
  <si>
    <t>ANONYMOUS - TANTEASE - POWERPLANT MALL ROCKWELL</t>
  </si>
  <si>
    <t>ARIZONA ICE CREAM CORPORATION - COLDSTONE - GENERIC</t>
  </si>
  <si>
    <t>ARTHUR S PRIME MANILA INC - ARTHUR'S PRIME MANILA INC. - MANILA GOLF FAIRWAYS</t>
  </si>
  <si>
    <t>ARTWORK INCORPORATED - ARTWORK INC - GENERIC</t>
  </si>
  <si>
    <t>ARTWORK INCORPORATED - ARTWORK INCORPORATED - ES:</t>
  </si>
  <si>
    <t>ARTWORK INCORPORATED - ARTWORK INCORPORATED - GENERIC</t>
  </si>
  <si>
    <t>ASSAM TEA CORPORATION - SERENITEA - GENERIC</t>
  </si>
  <si>
    <t>AURORA CHARLIE FOOD VENTURES INC - MAMOU - GATEWAY</t>
  </si>
  <si>
    <t>AURORA CHARLIE FOOD VENTURES INC - MAMOU - GENERIC</t>
  </si>
  <si>
    <t>AURORA CHARLIE FOOD VENTURES INC - MAMOU - GREENBELT 5</t>
  </si>
  <si>
    <t>AZIAN CRYSTAL CORPORATION - AZIAN CRYSTAL CORPORATION - SM MOA</t>
  </si>
  <si>
    <t>AZIAN CRYSTAL CORPORATION NO COR YET - KUANG HENG - ROB. MANILA</t>
  </si>
  <si>
    <t>B R I M M I N G ENTERPRISES INC - REYES BARBECUE - GENERIC</t>
  </si>
  <si>
    <t>BALBERO PAUL ANTHONY NO COR YET - NEXSCENTS HOME CARE PRODUCTS - SM MOA</t>
  </si>
  <si>
    <t>BALDEVIA APRIL JOY LEDESMA - SAMU ADVERTISEMENT MARKETING - SM CITY BACOLOD</t>
  </si>
  <si>
    <t>BARBAZA MULTI PURPOSE COOPERATIVE - BARBAZA PHARMACY - GEN LUNA ANTIQUE</t>
  </si>
  <si>
    <t>BARBAZA MULTI PURPOSE COOPERATIVE - COOP OCEAN VIEW RESORT - POBLACION ANTIQUE</t>
  </si>
  <si>
    <t>BEDA FOOD VENTURES INC - BACOLOD CHICKEN - GENERIC</t>
  </si>
  <si>
    <t>BERNABE PAOLO CAJILI - BACOLOD CHICKEN - GENERIC</t>
  </si>
  <si>
    <t>BERTULFO NEIL AGUILAR - NEIL'S LECHON CEBU - GENERIC</t>
  </si>
  <si>
    <t>BIG BRANDS CLOTHING OUTLET CORP - BIG BRANDS - GENERIC</t>
  </si>
  <si>
    <t>BIG BRANDS CLOTHING OUTLET CORP - BIG BRANDS - ROBINSONS IMUS</t>
  </si>
  <si>
    <t>BIG BRANDS CLOTHING OUTLET CORP - BIG BRANDS - ROBINSONS STA ROSA</t>
  </si>
  <si>
    <t>BJW CONCEPT - WHISENHUNT - GENERIC</t>
  </si>
  <si>
    <t>BLT GREAT FOOD DINE INC - SIMPLY THAI - GENERIC</t>
  </si>
  <si>
    <t>BOOKSALE CEBU INC - BOOKSALE - ES:</t>
  </si>
  <si>
    <t>CALEDIAN INC - CALEDIAN INC - GENERIC</t>
  </si>
  <si>
    <t>CALERO NINA RAMOS - EUROBAKE RESTAURANT BAKESHOP - SHOPPESVILLE</t>
  </si>
  <si>
    <t>CANELLE FOOD CORPORATION - CINNABON - ES:</t>
  </si>
  <si>
    <t>CANELLE FOOD CORPORATION - CINNABON - GENERIC</t>
  </si>
  <si>
    <t>CANTILLON JOHN JERIC SUMANG - POTATO GIANT - SM DASMARINAS</t>
  </si>
  <si>
    <t>CCGC TRADING CORPORATION - LIGHTERS GALORE - GATEWAY</t>
  </si>
  <si>
    <t>CERRA DENTAL HEALTH CORPORATION - DENTAL SMILES - GENERIC</t>
  </si>
  <si>
    <t>CHICKEN DELI - APT8 - GENERIC</t>
  </si>
  <si>
    <t>CHICKEN DELI - ASIAN KITCHEN - GENERIC</t>
  </si>
  <si>
    <t>CHICKEN DELI - BABY NATHAN'S KITCHEN CORP. - GENERIC</t>
  </si>
  <si>
    <t>CHICKEN DELI - BAGUIO - GENERIC</t>
  </si>
  <si>
    <t>CHICKEN DELI - BLANC NUE - GENERIC</t>
  </si>
  <si>
    <t>CHICKEN DELI - BOWLING - GENERIC</t>
  </si>
  <si>
    <t>CHICKEN DELI - CASA REYES - GENERIC</t>
  </si>
  <si>
    <t>CHICKEN DELI - CHARLIES RESTAURANT - GENERIC</t>
  </si>
  <si>
    <t>CHICKEN DELI - CHOW UNLIMITED  CORP. - GENERIC</t>
  </si>
  <si>
    <t>CHICKEN DELI - COSTA SOLANA - GENERIC</t>
  </si>
  <si>
    <t>CHICKEN DELI - FOODEXPRESS - GENERIC</t>
  </si>
  <si>
    <t>CHICKEN DELI - FRANCESCO REST. - GENERIC</t>
  </si>
  <si>
    <t>CHICKEN DELI - GENERIC - GENERIC</t>
  </si>
  <si>
    <t>CHICKEN DELI - GONGCHA - GENERIC</t>
  </si>
  <si>
    <t>CHICKEN DELI - GONGCHA PHILS. - GENERIC</t>
  </si>
  <si>
    <t>CHICKEN DELI - GOOD MOLECULES - GENERIC</t>
  </si>
  <si>
    <t>CHICKEN DELI - HARVEST HOTEL - GENERIC</t>
  </si>
  <si>
    <t>CHICKEN DELI - HENLIN - GENERIC</t>
  </si>
  <si>
    <t>CHICKEN DELI - HIT BY THE ROAD - GENERIC</t>
  </si>
  <si>
    <t>CHICKEN DELI - HUE BORACAY - GENERIC</t>
  </si>
  <si>
    <t>CHICKEN DELI - HUE PALAWAN - GENERIC</t>
  </si>
  <si>
    <t>CHICKEN DELI - HUE SIARGAO - GENERIC</t>
  </si>
  <si>
    <t>CHICKEN DELI - ISSY &amp;CO. - GENERIC</t>
  </si>
  <si>
    <t>CHICKEN DELI - J&amp;G - GENERIC</t>
  </si>
  <si>
    <t>CHICKEN DELI - KARIMADON - GENERIC</t>
  </si>
  <si>
    <t>CHICKEN DELI - KITCHEN CITY - GENERIC</t>
  </si>
  <si>
    <t>CHICKEN DELI - LIAMS BEACH CAFÉ - GENERIC</t>
  </si>
  <si>
    <t>CHICKEN DELI - LIAM'S LOMI HOUSE - GENERIC</t>
  </si>
  <si>
    <t>CHICKEN DELI - LOBBY 385 - GENERIC</t>
  </si>
  <si>
    <t>CHICKEN DELI - LUCKY BEAUTY  1 - GENERIC</t>
  </si>
  <si>
    <t>CHICKEN DELI - LUCKY BEAUTY 2 - GENERIC</t>
  </si>
  <si>
    <t>CHICKEN DELI - LUCKY BEAUTY 3 - GENERIC</t>
  </si>
  <si>
    <t>CHICKEN DELI - M &amp; W - GENERIC</t>
  </si>
  <si>
    <t>CHICKEN DELI - MAGOOS - GENERIC</t>
  </si>
  <si>
    <t>CHICKEN DELI - MN+LA APPAREL - GENERIC</t>
  </si>
  <si>
    <t>CHICKEN DELI - MORIBIZ RESTAURANT - GENERIC</t>
  </si>
  <si>
    <t>CHICKEN DELI - OJO EYEWEAR - GENERIC</t>
  </si>
  <si>
    <t>CHICKEN DELI - OMBU KUSINA - GENERIC</t>
  </si>
  <si>
    <t>CHICKEN DELI - PAOTSIN - GENERIC</t>
  </si>
  <si>
    <t>CHICKEN DELI - PAOTSIN ERMITA - GENERIC</t>
  </si>
  <si>
    <t>CHICKEN DELI - PAPA DOMS BAR &amp; REST. - GENERIC</t>
  </si>
  <si>
    <t>CHICKEN DELI - PROSHOP - GENERIC</t>
  </si>
  <si>
    <t>CHICKEN DELI - ROB.ERMITA - GENERIC</t>
  </si>
  <si>
    <t>CHICKEN DELI - SHISEIDO - GENERIC</t>
  </si>
  <si>
    <t>CHICKEN DELI - SM MASINAG - GENERIC</t>
  </si>
  <si>
    <t>CHICKEN DELI - SUPERBOWL - GENERIC</t>
  </si>
  <si>
    <t>CHICKEN DELI - THE TEA HOUSE - GENERIC</t>
  </si>
  <si>
    <t>CHICKEN DELI - THE VIEW REST. - GENERIC</t>
  </si>
  <si>
    <t>CHICKEN DELI - TILLO - GENERIC</t>
  </si>
  <si>
    <t>CHICKEN DELI - UMBO KUSINA - GENERIC</t>
  </si>
  <si>
    <t>CHICKEN DELI - UNAROSA - GENERIC</t>
  </si>
  <si>
    <t>CHICKEN DELI - VICE COSMETICS - GENERIC</t>
  </si>
  <si>
    <t>CHICKEN DELI - VMV - GENERIC</t>
  </si>
  <si>
    <t>CHICKEN DELI - WORLD CHIX - GENERIC</t>
  </si>
  <si>
    <t>CHICKINGS RESTAURANT - CHICKINGS RESTAURANT - MANILA BAY</t>
  </si>
  <si>
    <t>CHUA BEVERLY SANTOS - HOMIE PET - GENERIC</t>
  </si>
  <si>
    <t>CINNALAND FOOD CORPORATION - CINNABON - ES:</t>
  </si>
  <si>
    <t>CINNALAND FOOD CORPORATION - CINNABON - SM DAVAO</t>
  </si>
  <si>
    <t>CINNAROLL BAKERY CORPORATION - CINNABON - ES:</t>
  </si>
  <si>
    <t>CMISS CORPORATION - CMISS CORPORATION - BULACAN</t>
  </si>
  <si>
    <t>COCOON INC - NAIL SPA - GENERIC</t>
  </si>
  <si>
    <t>CORTEZ IAN CARL CORPUZ - FERINO'S CAFÉ - GENERIC</t>
  </si>
  <si>
    <t>COSEIP PHILIP PATRICK TAN - POTATO KING - GENERIC</t>
  </si>
  <si>
    <t>CRUZ MIRAFLOR DOMINGO - ARTISAN EMPORIUM - GENERIC</t>
  </si>
  <si>
    <t>DAGDAGAN MICHAEL ENRICO SY - KALBROS BAR AND RESTAURANT - GENERIC</t>
  </si>
  <si>
    <t>DAN S BIKE - DAN'S BIKE - ATC</t>
  </si>
  <si>
    <t>DAN S BIKESHOP INC - DAN'S BIKESHOP - GENERIC</t>
  </si>
  <si>
    <t>DARJEELING TEA CORPORATION - SERENITEA - GENERIC</t>
  </si>
  <si>
    <t>DE LA PENA MARICAR LANASA - MANNY'S SEAFOOD AND GRILL - AYALA MALL BACOLOD</t>
  </si>
  <si>
    <t>DERMA 360 CORP - DERMA 360° - GENERIC</t>
  </si>
  <si>
    <t>DRAGONWELL TEA INC - SERENITEA - ES:</t>
  </si>
  <si>
    <t>DRAGONWELL TEA INC - SERENITEA - GENERIC</t>
  </si>
  <si>
    <t>ELEGANT TRIO COLORS CORPORATION - JAZZY FRANCE - AYALA MALLS FELIZ</t>
  </si>
  <si>
    <t>ELEMIE NATURALS INC - ELEMIE NATURALS INC - GENERIC</t>
  </si>
  <si>
    <t>ELEVATED FOOD RECIPE INC - HEALTHY SHABUSHABU - GENERIC</t>
  </si>
  <si>
    <t>ELEVATED FOOD RECIPE INC - HEALTHY SHABUSHABU - ROCKWELL</t>
  </si>
  <si>
    <t>ELEVATED FOOD RECIPES INC - HEALTHY SHABU SHABU - GENERIC</t>
  </si>
  <si>
    <t>ELEVATED FOOD RECIPES INC - HEALTHY SHABU SHABU - ROB. MANILA</t>
  </si>
  <si>
    <t>ETHERNAL BRIGHT SANCTUARY INC - LALA'S RESTAURANT - GENERIC</t>
  </si>
  <si>
    <t>ETHERNAL BRIGHT SANCTUARY INC - LALA'S RESTAURANT - QUEZON CITY</t>
  </si>
  <si>
    <t>EXTREME OUTDOOR ADVENTURE CORP - EXTREME OUTDOOR ADVENTURES - GENERIC</t>
  </si>
  <si>
    <t>FEDERAL PROTECTION SYSTEMS INC - INST.OF CULINARY MNGT.INC. - GENERIC</t>
  </si>
  <si>
    <t>FERCUI VENTURES CORPORATION - FLEXISPOT PH - GENERIC</t>
  </si>
  <si>
    <t>FERRER PEDRO JR BACOLINAO - SIGNA DRUGSTORE - ALABANG MUNTINLUPA</t>
  </si>
  <si>
    <t>FRANKIE GENERAL STORE - FRANKIE GENERAL STORE - GENERIC</t>
  </si>
  <si>
    <t>FROSTED BAKED BUNS CORP - CINNABON - ES:</t>
  </si>
  <si>
    <t>FROSTED ROLLS INC - CINNABON - ES:</t>
  </si>
  <si>
    <t>FROSTING ON ROLLS INC - CINNABON - ES:</t>
  </si>
  <si>
    <t>GCU FOOD SERVICES NO COR YET - KRAKEN TAKOYAKI - GENERIC</t>
  </si>
  <si>
    <t>GENMAICHA TEA CORP - SERENITEA - GENERIC</t>
  </si>
  <si>
    <t>GENMAICHA TEA CORPORATION - SERENITEA - GENERIC</t>
  </si>
  <si>
    <t>GENMAICHA TEA CORPORATION - SERENITEA - NLEX</t>
  </si>
  <si>
    <t>GINTONG PATATAS ENTERPRISES INC - POTATO GIANT - GENERIC</t>
  </si>
  <si>
    <t>GINTONG PATATAS ENTERPRISES INC - POTATO GIANT - SM CABANATUAN</t>
  </si>
  <si>
    <t>GOLAMCO GRIFFIN MICHALE DEL ROSARIO - MASTER AIRSOFT - GENERIC</t>
  </si>
  <si>
    <t>GOLDEN PAN DE SAL INC - PANDE MANILA - GENERIC</t>
  </si>
  <si>
    <t>GREEN HORIZON FORTUNE TRADING CO - 5-11 TACTICAL - TRINOMA</t>
  </si>
  <si>
    <t>GREEN LIFE ECOBAGS INC - ZARAH JUAN - GENERIC</t>
  </si>
  <si>
    <t>GRIMALKIN CORPORATION - NINETYGO - SM BICUTAN</t>
  </si>
  <si>
    <t>HAPPY CREATIVE VENTURES INC - THE HAPPY STATION - GENERIC</t>
  </si>
  <si>
    <t>HARRY S CAF - HARRY'S CAFÉ - GENERIC</t>
  </si>
  <si>
    <t>HENLIN OUTLET LIPA NO COR YET - HENLIN - OUTLET LIPA</t>
  </si>
  <si>
    <t>HET STROOPWAFEL HUIS - STOOP &amp; ZO - GENERIC</t>
  </si>
  <si>
    <t>HET STROOPWAFEL HUIS - STROOP &amp; ZO - OBINSONS GALLERIA</t>
  </si>
  <si>
    <t>HEXAGON LOUNGE INC - HEXAGON - GENERIC</t>
  </si>
  <si>
    <t>HEXAGON LOUNGE INC - HEXAGON LOUNGE INC. - GENERIC</t>
  </si>
  <si>
    <t>HOUSE OF OBAGI - HOUSE OF OBAGI - ROBINSONS PLACE MANILA</t>
  </si>
  <si>
    <t>HRT VENTURES CORPORATION - BARISTART COFFEE CAFÉ (LICENSEE) - GENERIC</t>
  </si>
  <si>
    <t>HUZZAH - HUZZAH - GENERIC</t>
  </si>
  <si>
    <t>ICE CULINARY - CHINESE  INT'L SCHOOL - GENERIC</t>
  </si>
  <si>
    <t>IGO WAFU FOOD CORP - CINNABON - ES:</t>
  </si>
  <si>
    <t>ILO CANELLA FOOD CORPORATION - CINNABON - ES:</t>
  </si>
  <si>
    <t>INSPIRA PRIME INTERNATIONAL CORPORATION - AQUAFLASK - GENERIC</t>
  </si>
  <si>
    <t>INSPIRA PRIME INTERNATIONAL CORPORATION - AQUAFLASK - UPTOWN MALL</t>
  </si>
  <si>
    <t>INSPIRA PRIME INTERNATIONAL CORPORATION - AQUAFLASK DESIGN - GENERIC</t>
  </si>
  <si>
    <t>INSPIRA PRIME INTERNATIONAL CORPORATION - MOTO - GENERIC</t>
  </si>
  <si>
    <t>ITULID GERARDO ICOTANIM - DAJA FOOD SERVICES - GENERIC</t>
  </si>
  <si>
    <t>IZZA CABONCE MARQUEZ - LUTONG ILOCANO - GENERIC</t>
  </si>
  <si>
    <t>JASANNE INCORPORATED - TERRIE FASHION BOUTIQUE - GENERIC</t>
  </si>
  <si>
    <t>JASMINE BLOOM TEA INC - SERENITEA - ES:</t>
  </si>
  <si>
    <t>JASMINE BLOOM TEA INC - SERENITEA - GENERIC</t>
  </si>
  <si>
    <t>JIBRILS SPECIALTY FOODS INC - JSFI CHICKEN BACOLOD - GLORIETTA 4</t>
  </si>
  <si>
    <t>JIBRILS SPECIALTY FOODS INC - JSFI CHICKEN BACOLOD - MARKET MARKET</t>
  </si>
  <si>
    <t>JIBRILS SPECIALTY FOODS INC - JSFI CHICKEN BACOLOD - NORTH EXCHANGE</t>
  </si>
  <si>
    <t>JINWEI ENTERPRISES CORP - ARKEN - GENERIC</t>
  </si>
  <si>
    <t>JUST SIMPLE BAKE HOUSE INC - LORD STOW'S BAKERY - GENERIC</t>
  </si>
  <si>
    <t>JUST SIMPLE BAKE HOUSE INC - LORD STOW'S BAKERY - SKY GARDEN ONGPIN</t>
  </si>
  <si>
    <t>JUST SIMPLE BAKE HOUSE INC - LORD STOW'S BAKERY - TRINOMA</t>
  </si>
  <si>
    <t>KANEFIL GLOBE ENTERPRISES CORPORATION - KANEBO - GENERIC</t>
  </si>
  <si>
    <t>KCC HTS PTE LTP CORP NO COR YET - KAJIKEN - GENERIC</t>
  </si>
  <si>
    <t>KERDAR NIK INC - ARYA - GENERIC</t>
  </si>
  <si>
    <t>LEAL JESSICA JOYCE LAO - SHOP SAMAHAN - AYALA MALLS CAPITOL CENTRAL BACOLOD</t>
  </si>
  <si>
    <t>LIGHTERS GALORE - LIGHTERS GALORE - GATEWAY</t>
  </si>
  <si>
    <t>LIPA GRILLE RESTAURANT CO - LIPA GRILLE - GENERIC</t>
  </si>
  <si>
    <t>LJ ROMANTIC RESTAURANT CORPORATION - ROMANTIC BABOY - GENERIC</t>
  </si>
  <si>
    <t>LNF FOOD INC - CINNABON - ES:</t>
  </si>
  <si>
    <t>M W TOWNSTORE - M &amp; W - GENERIC</t>
  </si>
  <si>
    <t>MADE NICE INC - MADE NICE INC. - MAMOU - ROCKWELL</t>
  </si>
  <si>
    <t>MANDARIN SKY EXPRESS INC - MANDARIN SKY EXPRESS INC. - GENERIC</t>
  </si>
  <si>
    <t>MAXICOLLECTOR VENTURES INC - MAXIWORKS - GENERIC</t>
  </si>
  <si>
    <t>MCMANA TRADING AND SERVICES INC - MCMANA TRADING - GENERIC</t>
  </si>
  <si>
    <t>MCMANA TRADING AND SERVICES INC - MCMANA TRADING - MANILA GOLD COUNTRY CLUB</t>
  </si>
  <si>
    <t>MCMANA TRADING AND SERVICES INC - MCMANA TRADING - MANILA GOLD COUNTRY CLUB (S LOUNGE)</t>
  </si>
  <si>
    <t>MEGA GOLDTOWN PAN INC - PANDE MANILA - GENERIC</t>
  </si>
  <si>
    <t>MELO S WESTGATE FINE DINING - MELOS - GENERIC</t>
  </si>
  <si>
    <t>METROCLE ALLIANCE CORP - SIGNET - GENERIC</t>
  </si>
  <si>
    <t>METROMART - METROMART - VERMOSA</t>
  </si>
  <si>
    <t>METROMART NO COR YET - METROMART - VERMOSA</t>
  </si>
  <si>
    <t>MIRANDA MICHAEL BORBON - MICHAEL &amp; CELEST - 168 SHOPPING MALL C1</t>
  </si>
  <si>
    <t>MIRANDA MICHAEL BORBON - MICHAEL &amp; CELEST - 168 SHOPPING MALL C3</t>
  </si>
  <si>
    <t>MIZAN FOOD OPC - ARYA - GENERIC</t>
  </si>
  <si>
    <t>MMG TRUE ENTERPRISE INCORPORATED - TRUE VISION - GENERIC</t>
  </si>
  <si>
    <t>MY GOLDEN TEA LEAF INC - SERENITEA - GENERIC</t>
  </si>
  <si>
    <t>MY GOLDEN TEA LEAF INC - SERENITEA - PETRON DON-ANTONIO</t>
  </si>
  <si>
    <t>MY GOLDEN TEA LEAF INC - SERENITEA - ROB. MANILA</t>
  </si>
  <si>
    <t>MYHAPPYHOME LIFESTYLE WARES TRADING - MY HAPPY HOME - GREENHILLS</t>
  </si>
  <si>
    <t>MYL SKIN CARE - VMV MEGAMALL - GENERIC</t>
  </si>
  <si>
    <t>NEW BOMBAY FOODS INC - NEW BOMBAY - GENERIC</t>
  </si>
  <si>
    <t>OLAES CHRISTIAN GERALD TORRES - THE CRUNCH - GENERIC</t>
  </si>
  <si>
    <t>ONE POTATO TWO POTATO - COMME CI - GENERIC</t>
  </si>
  <si>
    <t>OSMANTHUS TEA CORPORATION - SERENITEA - GENERIC</t>
  </si>
  <si>
    <t>OUT OF NOWHERE KITCHEN INC - OON - GENERIC</t>
  </si>
  <si>
    <t>OUT OF NOWHERE KITCHEN INC - TONALA (OON) - GENERIC</t>
  </si>
  <si>
    <t>PAMANA AND TSOKOLATERIA CONCEPT FOOD CORP - PAMANA AND TSOKOLATERIA - GENERIC</t>
  </si>
  <si>
    <t>PAMANA AND TSOKOLATERIA CONCEPT FOOD CORPORATION - PAMANA AND TSOKOLATERIA - GENERIC</t>
  </si>
  <si>
    <t>PAMIS ELSA CAPUNO - ELS TREN DS APPAREL STORE - GENERIC</t>
  </si>
  <si>
    <t>PAN DE MANILA FOOD CO INC - PANDE MANILA - ES:</t>
  </si>
  <si>
    <t>PANDE MANILA FOOD CO INC - PANDE MANILA - SANTOLAN TOWN PLAZA</t>
  </si>
  <si>
    <t>PARAW RESTAURANT INC - MOLAVE - EL NIDO PALAWAN</t>
  </si>
  <si>
    <t>PENACERRADA CHRISTIAN DELA CRUZ - ISDANG PULO - GENERIC</t>
  </si>
  <si>
    <t>PHARMASAFE INC - MUSTELA - AYALA CEBU</t>
  </si>
  <si>
    <t>PHARMASAFE INC - MUSTELA - SM MEGAMALL</t>
  </si>
  <si>
    <t>PHARMASAFE INC - MUSTELA - SM MOA</t>
  </si>
  <si>
    <t>POL S MOM S PLACE INC - MAMOU - AYALA MALLS 30TH</t>
  </si>
  <si>
    <t>POL S MOM S PLACE INC - MAMOU - GENERIC</t>
  </si>
  <si>
    <t>POL S MOM S PLACE INC - MAMOU - GREENBELT 5</t>
  </si>
  <si>
    <t>POTATO GIANT NO COR YET - POTATO GIANT - SM BALIWAG</t>
  </si>
  <si>
    <t>PUA JOHN PAUL BANGUG - SIZZLE MANIA (BOS' CHOW) - ROBINSONS PLACE TUGUEGARAO</t>
  </si>
  <si>
    <t>PUA JOHN PAUL BANGUG - SIZZLE MANIA (BOS' CHOW) - SM CENTER TUGUEGARAO DOWNTOWN</t>
  </si>
  <si>
    <t>RAFAEL PUA TONILENE ESPINOZA - BC BOS' CHOW CARINDERIA - GENERIC</t>
  </si>
  <si>
    <t>RAJO - RAJO - ROCKWELL</t>
  </si>
  <si>
    <t>RAJO - RAJO - ROCKWELL &amp; SHNAG</t>
  </si>
  <si>
    <t>RBQ FOOD SPECIALISTS INC - REYES BARBECUE - SAN JUAN</t>
  </si>
  <si>
    <t>RBQ FOOD SPECIALISTS INC - REYES BARBECUE - SM MOA</t>
  </si>
  <si>
    <t>RIVERO SAMSON TAN - ANSON SHOE PLAZA - GENERIC</t>
  </si>
  <si>
    <t>ROADSIDE ROLLS FOOD CORP - CINNABON - ES:</t>
  </si>
  <si>
    <t>ROCKWELL LAND CORPORATION - ROCKWELL LAND CORPORATION - GENERIC</t>
  </si>
  <si>
    <t>ROCKWELL LAND CORPORATION - ROCKWELL LAND CORPORATION - ROCKWELL MAKATI</t>
  </si>
  <si>
    <t>ROKUGROUP INC - NARA THAI - GENERIC</t>
  </si>
  <si>
    <t>ROMAN CULINARY GROUP INC - ROMAN RESTAURANT - GENERIC</t>
  </si>
  <si>
    <t>ROSANNA OCAMPO - ROSANNA OCAMPO - ROCKWELL POWERPLANT</t>
  </si>
  <si>
    <t>RRH FOOD GROUP INC - QUEENS AT BOLLYWOOD - GENERIC</t>
  </si>
  <si>
    <t>SAINT MICHAEL FOOD OPC - MALAYA'S CAFÉ - GENERIC</t>
  </si>
  <si>
    <t>SAINT MICHAEL FOODS OPC - DANIELITO'S HOME KITCHEN - GENERIC</t>
  </si>
  <si>
    <t>SAINT MICHAEL FOODS OPC - MALAYA'S CAFÉ - GENERIC</t>
  </si>
  <si>
    <t>SAINT MICHAEL FOODS OPC NO COR YET - MALAYA'S CAFÉ - GENERIC</t>
  </si>
  <si>
    <t>SAN BROS PHARMACY CORP - TGP FRANCHISE - GENERIC</t>
  </si>
  <si>
    <t>SARI SARI AI CORPORATION - TOMORO - PAVILLION MALL LAGUNA</t>
  </si>
  <si>
    <t>SB RESTAURANTS INC - STEAK BREAK - GENERIC</t>
  </si>
  <si>
    <t>SENA MA DIANNE ABIGAIL GAMBOA - YOOHOO - GENERIC</t>
  </si>
  <si>
    <t>SERENITEA - SERENITEA - GENERIC</t>
  </si>
  <si>
    <t>SERENITEA CHA KITCHEN INC - SERENITEA - GENERIC</t>
  </si>
  <si>
    <t>SERENITEA CO - SERENITEA - ES:</t>
  </si>
  <si>
    <t>SEVILLA MARLON JR GUANO - MASTER SIOMAI - GENERIC</t>
  </si>
  <si>
    <t>SHIN CLARA FOOD CORPORATION - SHIN CLARA FOOD CORP. - GENERIC</t>
  </si>
  <si>
    <t>SHIN CLARA FOOD CORPORATION - SHIN CLARA FOOD CORP. - MARKET! MARKET!</t>
  </si>
  <si>
    <t>SIAPNO TADA OPTICAL INC - SIAPNO-TADA OPTICAL - GENERIC</t>
  </si>
  <si>
    <t>SIMBAJON ROEL MARALA - FRUITS IN ICE CREAM - GENERIC</t>
  </si>
  <si>
    <t>SIMPLY GOURMET FOOD CORP NO COR YET - CHA TRA MUE - ROB. ANTIPOLO</t>
  </si>
  <si>
    <t>SIMPLY GOURMET FOOD CORP NO COR YET - CHA TRA MUE - ROB. GALLERIA</t>
  </si>
  <si>
    <t>SIMPLY GOURMET FOOD CORP NO COR YET - CHA TRA MUE - SM MOA</t>
  </si>
  <si>
    <t>SJ SHAW FOOD CORP - FAMOUS AMOS - GENERIC</t>
  </si>
  <si>
    <t>SJ SHAW FOOD CORP - FAMOUS AMOS - SM STA ROSA</t>
  </si>
  <si>
    <t>STAR 360 PHILIPPINES INC - YANKEE CANDLES - SM MOA</t>
  </si>
  <si>
    <t>STAR 360 PHILIPPINES INC - YANKEE CANDLES - SM NORTH EDSA</t>
  </si>
  <si>
    <t>STATEMENT THEORY - STATEMENT THEORY - ROCKWELL</t>
  </si>
  <si>
    <t>STEAKS AND MORE OPC - MELOS - SOUTH TRIANGLE QC</t>
  </si>
  <si>
    <t>SUNSHINE SUPERMART INC - SUNSHINE SUPERMART - GENERIC</t>
  </si>
  <si>
    <t>SWEET AND FROSTED INC - CINNABON - ES:</t>
  </si>
  <si>
    <t>SWEET STOP STATION INC - CINNABON - ES:</t>
  </si>
  <si>
    <t>SWEET STOP STATION INC - CINNABON - GENERIC</t>
  </si>
  <si>
    <t>SYM2PLY DELICIOUS CORP - CINNABON - ES:</t>
  </si>
  <si>
    <t>TAN CHARISSE MESINA - THE ECO SHIFT - ATC</t>
  </si>
  <si>
    <t>TAN JANUARIO JR ABAD - JICATA ENTERPRISES - JO FRANGCO - GENERIC</t>
  </si>
  <si>
    <t>TAN THOMAS DIAN - OON - GENERIC</t>
  </si>
  <si>
    <t>TANTEASE INC - TANTEASE - POWERPLANT MALL ROCKWELL</t>
  </si>
  <si>
    <t>TATAY S GRILL INC - TATAY'S GRILL INC - GENERIC</t>
  </si>
  <si>
    <t>TEA CRAFT CORP - YIFANG TAIWAN FRUIT TEA - GENERIC</t>
  </si>
  <si>
    <t>TERO RAQUEL HARALVE - KARYL TOY STORE - GENERIC</t>
  </si>
  <si>
    <t>TERRISAN INC - ISSHIN - MAKATI</t>
  </si>
  <si>
    <t>THE BIG CHILL INC - THE BIG CHILL INC - ROCKWELL</t>
  </si>
  <si>
    <t>THE DAYKEEPER INC - FRANKIE GENERAL STORE - GENERIC</t>
  </si>
  <si>
    <t>THE VALLEY STORE PH - THE VALLEY - AYALA MALLS THE 30TH</t>
  </si>
  <si>
    <t>THREE STARS VENTURES INC - FLUFF PANCAKES &amp;  COFFEE - ROB. MANILA</t>
  </si>
  <si>
    <t>TIMELESS BAR AND RESTAURANT CONCEPTS INC - DILLINGER - GENERIC</t>
  </si>
  <si>
    <t>TIMELESS BAR AND RESTAURANT CONCEPTS INC - DILLINGER - GREENBELT 3</t>
  </si>
  <si>
    <t>TIONG BAHRU PHILIPPINES INC - TIONG BAHRU - ATC</t>
  </si>
  <si>
    <t>TIONG BAHRU PHILIPPINES INC - TIONG BAHRU - ESTANCIA</t>
  </si>
  <si>
    <t>TIONG BAHRU PHILIPPINES INC - TIONG BAHRU - GENERIC</t>
  </si>
  <si>
    <t>TIONG BAHRU PHILIPPINES INC - TIONG BAHRU - GREENHILLS</t>
  </si>
  <si>
    <t>TIU MADONNA PEACE ONGPAUCO - MY HAPPY HOME - GREENHILLS</t>
  </si>
  <si>
    <t>TRE FIL HOLDINGS CORPORATION - COLONIAL CREAMERY - AYALA FAIRVIEW TERRACES</t>
  </si>
  <si>
    <t>TRE FIL HOLDINGS CORPORATION - COLONIAL CREAMERY - AYALA MALLS CLOVERLEAF</t>
  </si>
  <si>
    <t>TRE FIL HOLDINGS CORPORATION - COLONIAL CREAMERY - AYALA MALLS MANILA BAY</t>
  </si>
  <si>
    <t>TRE FIL HOLDINGS CORPORATION - COLONIAL CREAMERY - SM MARIKINA</t>
  </si>
  <si>
    <t>UNIMEDS DRUGSTORE OPC - UNIMEDS DRUGSTORE OPC - SORSOGON</t>
  </si>
  <si>
    <t>UPWARD IDEAS APPAREL CORP - KLEAN KANTEEN - SM MEGAMALL</t>
  </si>
  <si>
    <t>VA BENE PASTA DELI - VA BENE PASTA DELI - GENERIC</t>
  </si>
  <si>
    <t>VERONES CAROLYN GONZALEZ - VA BENE PASTA DELI - BGC</t>
  </si>
  <si>
    <t>VILLAVIZ CORPORATION - BACOLOD CHICKEN - GENERIC</t>
  </si>
  <si>
    <t>VILLSIBS INC - POTATO CORNER - GENERIC</t>
  </si>
  <si>
    <t>VISUAL MIX INC - BOOKSALE - GENERIC</t>
  </si>
  <si>
    <t>W R I WELLNESS RETAIL INNOVATIONS INC - DR. KONG - FAIVIEW TERRACES</t>
  </si>
  <si>
    <t>W R I WELLNESS RETAIL INNOVATIONS INC - DR. KONG - GENERIC</t>
  </si>
  <si>
    <t>W R I WELLNESS RETAIL INNOVATIONS INC - DR. KONG - GRAND CENTRAL</t>
  </si>
  <si>
    <t>W R I WELLNESS RETAIL INNOVATIONS INC - DR. KONG - HEAD OFFICE</t>
  </si>
  <si>
    <t>W R I WELLNESS RETAIL INNOVATIONS INC - DR. KONG - MARKET MARKET</t>
  </si>
  <si>
    <t>W R I WELLNESS RETAIL INNOVATIONS INC - DR. KONG - NUVALI</t>
  </si>
  <si>
    <t>W R I WELLNESS RETAIL INNOVATIONS INC - DR. KONG - TRINOMA</t>
  </si>
  <si>
    <t>WHITE PERUGIA OPC - RHETT EALA - ROCKWELL</t>
  </si>
  <si>
    <t>WISHLEAF CAF INC - SERENITEA - GENERIC</t>
  </si>
  <si>
    <t>WK PRIME SUPREME HOLDINGS INC - PRETZEL MAKER - ZAMBOANGA</t>
  </si>
  <si>
    <t>Sum of Total Amount</t>
  </si>
  <si>
    <t>Count of Order ID</t>
  </si>
  <si>
    <t>Distinct Count of Order ID</t>
  </si>
  <si>
    <t>GREEN HORIZON FORTUNE TRADING CO - 5-11 TACTICAL - TRINOMA - SO-001</t>
  </si>
  <si>
    <t>ARIZONA ICE CREAM CORPORATION - COLDSTONE - GENERIC - SO-001</t>
  </si>
  <si>
    <t>CHICKEN DELI - KITCHEN CITY - GENERIC - SO-001</t>
  </si>
  <si>
    <t>Client ID - SO-001</t>
  </si>
  <si>
    <t>ELEVATED FOOD RECIPE INC - HEALTHY SHABUSHABU - ROCKWELL - SO-002</t>
  </si>
  <si>
    <t>SAINT MICHAEL FOOD OPC - MALAYA'S CAFÉ - GENERIC - SO-003</t>
  </si>
  <si>
    <t>TAN THOMAS DIAN - OON - GENERIC - SO-004</t>
  </si>
  <si>
    <t>ELEGANT TRIO COLORS CORPORATION - JAZZY FRANCE - AYALA MALLS FELIZ - SO-002</t>
  </si>
  <si>
    <t>RRH FOOD GROUP INC - QUEENS AT BOLLYWOOD - GENERIC - SO-005</t>
  </si>
  <si>
    <t>POL S MOM S PLACE INC - MAMOU - AYALA MALLS 30TH - SO-006</t>
  </si>
  <si>
    <t>RRH FOOD GROUP INC - QUEENS AT BOLLYWOOD - GENERIC - SO-007</t>
  </si>
  <si>
    <t>TIONG BAHRU PHILIPPINES INC - TIONG BAHRU - GENERIC - SO-003</t>
  </si>
  <si>
    <t>TIONG BAHRU PHILIPPINES INC - TIONG BAHRU - GENERIC - SO-004</t>
  </si>
  <si>
    <t>TIONG BAHRU PHILIPPINES INC - TIONG BAHRU - GENERIC - SO-005</t>
  </si>
  <si>
    <t>TIONG BAHRU PHILIPPINES INC - TIONG BAHRU - GENERIC - SO-006</t>
  </si>
  <si>
    <t>CHICKEN DELI - GONGCHA - GENERIC - SO-002</t>
  </si>
  <si>
    <t>CHICKEN DELI - GONGCHA - GENERIC - SO-003</t>
  </si>
  <si>
    <t>CHICKEN DELI - GONGCHA - GENERIC - SO-004</t>
  </si>
  <si>
    <t>CHICKEN DELI - GONGCHA - GENERIC - SO-005</t>
  </si>
  <si>
    <t>CHICKEN DELI - GONGCHA - GENERIC - SO-006</t>
  </si>
  <si>
    <t>CHICKEN DELI - GONGCHA - GENERIC - SO-007</t>
  </si>
  <si>
    <t>ITULID GERARDO ICOTANIM - DAJA FOOD SERVICES - GENERIC - SO-008</t>
  </si>
  <si>
    <t>CHICKEN DELI - OJO EYEWEAR - GENERIC - SO-008</t>
  </si>
  <si>
    <t>BLT GREAT FOOD DINE INC - SIMPLY THAI - GENERIC - SO-009</t>
  </si>
  <si>
    <t>M W TOWNSTORE - M &amp; W - GENERIC - SO-106</t>
  </si>
  <si>
    <t>CHICKEN DELI - MAGOOS - GENERIC - SO-009</t>
  </si>
  <si>
    <t>CHICKEN DELI - CASA REYES - GENERIC - SO-010</t>
  </si>
  <si>
    <t>COSEIP PHILIP PATRICK TAN - POTATO KING - GENERIC - SO-010</t>
  </si>
  <si>
    <t>CHICKEN DELI - MAGOOS - GENERIC - SO-072</t>
  </si>
  <si>
    <t>GRIMALKIN CORPORATION - NINETYGO - SM BICUTAN - SO-008</t>
  </si>
  <si>
    <t>POL S MOM S PLACE INC - MAMOU - GREENBELT 5 - SO-012</t>
  </si>
  <si>
    <t>GINTONG PATATAS ENTERPRISES INC - POTATO GIANT - SM CABANATUAN - SO-043</t>
  </si>
  <si>
    <t>ROSANNA OCAMPO - ROSANNA OCAMPO - ROCKWELL POWERPLANT - SO-009</t>
  </si>
  <si>
    <t>SUNSHINE SUPERMART INC - SUNSHINE SUPERMART - GENERIC - SO-013</t>
  </si>
  <si>
    <t>CHICKEN DELI - KITCHEN CITY - GENERIC - SO-011</t>
  </si>
  <si>
    <t>CHICKEN DELI - BOWLING - GENERIC - SO-012</t>
  </si>
  <si>
    <t>SAINT MICHAEL FOODS OPC NO COR YET - MALAYA'S CAFÉ - GENERIC - SO-014</t>
  </si>
  <si>
    <t>LIGHTERS GALORE - LIGHTERS GALORE - GATEWAY - SO-010</t>
  </si>
  <si>
    <t>CHICKEN DELI - FOODEXPRESS - GENERIC - SO-013</t>
  </si>
  <si>
    <t>LIPA GRILLE RESTAURANT CO - LIPA GRILLE - GENERIC - SO-015</t>
  </si>
  <si>
    <t>GCU FOOD SERVICES NO COR YET - KRAKEN TAKOYAKI - GENERIC - SO-016</t>
  </si>
  <si>
    <t>CHICKEN DELI - MN+LA APPAREL - GENERIC - SO-014</t>
  </si>
  <si>
    <t>CHICKEN DELI - ISSY &amp;CO. - GENERIC - SO-015</t>
  </si>
  <si>
    <t>CHICKEN DELI - ASIAN KITCHEN - GENERIC - SO-016</t>
  </si>
  <si>
    <t>CHICKEN DELI - GONGCHA - GENERIC - SO-017</t>
  </si>
  <si>
    <t>ICE CULINARY - CHINESE  INT'L SCHOOL - GENERIC - SO-018</t>
  </si>
  <si>
    <t>KERDAR NIK INC - ARYA - GENERIC - SO-018</t>
  </si>
  <si>
    <t>CHICKEN DELI - APT8 - GENERIC - SO-019</t>
  </si>
  <si>
    <t>CHICKEN DELI - APT8 - GENERIC - SO-020</t>
  </si>
  <si>
    <t>CHICKEN DELI - APT8 - GENERIC - SO-021</t>
  </si>
  <si>
    <t>PAMANA AND TSOKOLATERIA CONCEPT FOOD CORPORATION - PAMANA AND TSOKOLATERIA - GENERIC - SO-019</t>
  </si>
  <si>
    <t>M W TOWNSTORE - M &amp; W - GENERIC - SO-022</t>
  </si>
  <si>
    <t>FEDERAL PROTECTION SYSTEMS INC - INST.OF CULINARY MNGT.INC. - GENERIC - SO-023</t>
  </si>
  <si>
    <t>EXTREME OUTDOOR ADVENTURE CORP - EXTREME OUTDOOR ADVENTURES - GENERIC - SO-011</t>
  </si>
  <si>
    <t>MELO S WESTGATE FINE DINING - MELOS - GENERIC - SO-020</t>
  </si>
  <si>
    <t>CHICKEN DELI - GONGCHA - GENERIC - SO-024</t>
  </si>
  <si>
    <t>CHICKEN DELI - GONGCHA - GENERIC - SO-025</t>
  </si>
  <si>
    <t>CHICKEN DELI - GONGCHA - GENERIC - SO-026</t>
  </si>
  <si>
    <t>CHICKEN DELI - GONGCHA - GENERIC - SO-027</t>
  </si>
  <si>
    <t>CHICKEN DELI - GONGCHA - GENERIC - SO-028</t>
  </si>
  <si>
    <t>BIG BRANDS CLOTHING OUTLET CORP - BIG BRANDS - GENERIC - SO-012</t>
  </si>
  <si>
    <t>ELEVATED FOOD RECIPES INC - HEALTHY SHABU SHABU - GENERIC - SO-021</t>
  </si>
  <si>
    <t>PAMANA AND TSOKOLATERIA CONCEPT FOOD CORP - PAMANA AND TSOKOLATERIA - GENERIC - SO-022</t>
  </si>
  <si>
    <t>CHICKEN DELI - TILLO - GENERIC - SO-029</t>
  </si>
  <si>
    <t>CHICKEN DELI - GOOD MOLECULES - GENERIC - SO-030</t>
  </si>
  <si>
    <t>CHICKEN DELI - LUCKY BEAUTY  1 - GENERIC - SO-031</t>
  </si>
  <si>
    <t>CHICKEN DELI - LUCKY BEAUTY 2 - GENERIC - SO-032</t>
  </si>
  <si>
    <t>RBQ FOOD SPECIALISTS INC - REYES BARBECUE - SM MOA - SO-023</t>
  </si>
  <si>
    <t>MYL SKIN CARE - VMV MEGAMALL - GENERIC - SO-033</t>
  </si>
  <si>
    <t>CHICKEN DELI - KARIMADON - GENERIC - SO-034</t>
  </si>
  <si>
    <t>HUZZAH - HUZZAH - GENERIC - SO-024</t>
  </si>
  <si>
    <t>ELEVATED FOOD RECIPE INC - HEALTHY SHABUSHABU - GENERIC - SO-025</t>
  </si>
  <si>
    <t>CHICKEN DELI - MN+LA APPAREL - GENERIC - SO-029</t>
  </si>
  <si>
    <t>CHICKEN DELI - LUCKY BEAUTY 3 - GENERIC - SO-035</t>
  </si>
  <si>
    <t>CHICKEN DELI - WORLD CHIX - GENERIC - SO-036</t>
  </si>
  <si>
    <t>CHICKEN DELI - OJO EYEWEAR - GENERIC - SO-037</t>
  </si>
  <si>
    <t>CHICKEN DELI - OJO EYEWEAR - GENERIC - SO-038</t>
  </si>
  <si>
    <t>OUT OF NOWHERE KITCHEN INC - OON - GENERIC - SO-026</t>
  </si>
  <si>
    <t>CHICKEN DELI - SHISEIDO - GENERIC - SO-041</t>
  </si>
  <si>
    <t>CHICKEN DELI - GONGCHA - GENERIC - SO-042</t>
  </si>
  <si>
    <t>CHICKEN DELI - GONGCHA - GENERIC - SO-043</t>
  </si>
  <si>
    <t>CHICKEN DELI - THE TEA HOUSE - GENERIC - SO-044</t>
  </si>
  <si>
    <t>CHICKEN DELI - HARVEST HOTEL - GENERIC - SO-045</t>
  </si>
  <si>
    <t>HEXAGON LOUNGE INC - HEXAGON LOUNGE INC. - GENERIC - SO-027</t>
  </si>
  <si>
    <t>CHICKEN DELI - KITCHEN CITY - GENERIC - SO-046</t>
  </si>
  <si>
    <t>SIMPLY GOURMET FOOD CORP NO COR YET - CHA TRA MUE - SM MOA - SO-028</t>
  </si>
  <si>
    <t>CHICKEN DELI - GONGCHA - GENERIC - SO-047</t>
  </si>
  <si>
    <t>CHICKEN DELI - GONGCHA - GENERIC - SO-048</t>
  </si>
  <si>
    <t>CHICKEN DELI - GONGCHA - GENERIC - SO-049</t>
  </si>
  <si>
    <t>CHICKEN DELI - LOBBY 385 - GENERIC - SO-050</t>
  </si>
  <si>
    <t>PARAW RESTAURANT INC - MOLAVE - EL NIDO PALAWAN - SO-029</t>
  </si>
  <si>
    <t>DRAGONWELL TEA INC - SERENITEA - GENERIC - SO-30</t>
  </si>
  <si>
    <t>TATAY S GRILL INC - TATAY'S GRILL INC - GENERIC - SO-031</t>
  </si>
  <si>
    <t>JASMINE BLOOM TEA INC - SERENITEA - GENERIC - SO-032</t>
  </si>
  <si>
    <t>CHICKEN DELI - GONGCHA - GENERIC - SO-035</t>
  </si>
  <si>
    <t>CHICKEN DELI - GONGCHA - GENERIC - SO-036</t>
  </si>
  <si>
    <t>CHICKEN DELI - GONGCHA - GENERIC - SO-037</t>
  </si>
  <si>
    <t>CHICKEN DELI - GONGCHA - GENERIC - SO-038</t>
  </si>
  <si>
    <t>CHICKEN DELI - GONGCHA - GENERIC - SO-051</t>
  </si>
  <si>
    <t>CHICKEN DELI - GONGCHA - GENERIC - SO-052</t>
  </si>
  <si>
    <t>CHICKEN DELI - GONGCHA - GENERIC - SO-053</t>
  </si>
  <si>
    <t>CHICKEN DELI - GONGCHA - GENERIC - SO-054</t>
  </si>
  <si>
    <t>CHICKEN DELI - GONGCHA - GENERIC - SO-055</t>
  </si>
  <si>
    <t>TIONG BAHRU PHILIPPINES INC - TIONG BAHRU - GENERIC - SO-014</t>
  </si>
  <si>
    <t>TIONG BAHRU PHILIPPINES INC - TIONG BAHRU - GENERIC - SO-015</t>
  </si>
  <si>
    <t>TIONG BAHRU PHILIPPINES INC - TIONG BAHRU - GENERIC - SO-016</t>
  </si>
  <si>
    <t>TIONG BAHRU PHILIPPINES INC - TIONG BAHRU - GENERIC - SO-017</t>
  </si>
  <si>
    <t>TIONG BAHRU PHILIPPINES INC - TIONG BAHRU - GENERIC - SO-018</t>
  </si>
  <si>
    <t>TIONG BAHRU PHILIPPINES INC - TIONG BAHRU - GENERIC - SO-019</t>
  </si>
  <si>
    <t>LEAL JESSICA JOYCE LAO - SHOP SAMAHAN - AYALA MALLS CAPITOL CENTRAL BACOLOD - SO-020</t>
  </si>
  <si>
    <t>ARTWORK INCORPORATED - ARTWORK INCORPORATED - GENERIC - SO-033</t>
  </si>
  <si>
    <t>SERENITEA CO - SERENITEA - ES: - SO-034</t>
  </si>
  <si>
    <t>ALI SHAN TEA CORP - SERENITEA - ES: - SO-035</t>
  </si>
  <si>
    <t>DRAGONWELL TEA INC - SERENITEA - ES: - SO-036</t>
  </si>
  <si>
    <t>JASMINE BLOOM TEA INC - SERENITEA - ES: - SO-037</t>
  </si>
  <si>
    <t>HUZZAH - HUZZAH - GENERIC - SO-038</t>
  </si>
  <si>
    <t>FEDERAL PROTECTION SYSTEMS INC - INST.OF CULINARY MNGT.INC. - GENERIC - SO-056</t>
  </si>
  <si>
    <t>CHICKEN DELI - SM MASINAG - GENERIC - SO-057</t>
  </si>
  <si>
    <t>CHICKEN DELI - LUCKY BEAUTY 2 - GENERIC - SO-058</t>
  </si>
  <si>
    <t>POL S MOM S PLACE INC - MAMOU - GENERIC - SO-039</t>
  </si>
  <si>
    <t>POL S MOM S PLACE INC - MAMOU - GENERIC - SO-040</t>
  </si>
  <si>
    <t>MYHAPPYHOME LIFESTYLE WARES TRADING - MY HAPPY HOME - GREENHILLS - SO-041</t>
  </si>
  <si>
    <t>W R I WELLNESS RETAIL INNOVATIONS INC - DR. KONG - GENERIC - SO-021</t>
  </si>
  <si>
    <t>ROCKWELL LAND CORPORATION - ROCKWELL LAND CORPORATION - GENERIC - SO-042</t>
  </si>
  <si>
    <t>CHICKEN DELI - ISSY &amp;CO. - GENERIC - SO-059</t>
  </si>
  <si>
    <t>CHICKEN DELI - MN+LA APPAREL - GENERIC - SO-049</t>
  </si>
  <si>
    <t>CHICKEN DELI - OJO EYEWEAR - GENERIC - SO-061</t>
  </si>
  <si>
    <t>BERNABE PAOLO CAJILI - BACOLOD CHICKEN - GENERIC - SO-044</t>
  </si>
  <si>
    <t>M W TOWNSTORE - M &amp; W - GENERIC - SO-060</t>
  </si>
  <si>
    <t>SERENITEA - SERENITEA - GENERIC - SO-045</t>
  </si>
  <si>
    <t>AAJ IT SOLUTIONS INC - AAJ IT SOLUTIONS INC - GENERIC - SO-046</t>
  </si>
  <si>
    <t>CALEDIAN INC - CALEDIAN INC - GENERIC - SO-047</t>
  </si>
  <si>
    <t>SJ SHAW FOOD CORP - FAMOUS AMOS - SM STA ROSA - SO-48</t>
  </si>
  <si>
    <t>BERNABE PAOLO CAJILI - BACOLOD CHICKEN - GENERIC - SO-049</t>
  </si>
  <si>
    <t>CHICKEN DELI - ISSY &amp;CO. - GENERIC - SO-087</t>
  </si>
  <si>
    <t>GINTONG PATATAS ENTERPRISES INC - POTATO GIANT - GENERIC - SO-050</t>
  </si>
  <si>
    <t>HUZZAH - HUZZAH - GENERIC - SO-051</t>
  </si>
  <si>
    <t>SERENITEA CHA KITCHEN INC - SERENITEA - GENERIC - SO-052</t>
  </si>
  <si>
    <t>TIONG BAHRU PHILIPPINES INC - TIONG BAHRU - ATC - SO-022</t>
  </si>
  <si>
    <t>TIONG BAHRU PHILIPPINES INC - TIONG BAHRU - ESTANCIA - SO-022</t>
  </si>
  <si>
    <t>SAN BROS PHARMACY CORP - TGP FRANCHISE - GENERIC - SO-053</t>
  </si>
  <si>
    <t>CHICKEN DELI - GONGCHA - GENERIC - SO-062</t>
  </si>
  <si>
    <t>CHICKEN DELI - GONGCHA - GENERIC - SO-063</t>
  </si>
  <si>
    <t>CHICKEN DELI - GONGCHA - GENERIC - SO-064</t>
  </si>
  <si>
    <t>CHICKEN DELI - GONGCHA - GENERIC - SO-065</t>
  </si>
  <si>
    <t>CHICKEN DELI - GONGCHA - GENERIC - SO-066</t>
  </si>
  <si>
    <t>CHICKEN DELI - GONGCHA - GENERIC - SO-067</t>
  </si>
  <si>
    <t>CHICKEN DELI - MN+LA APPAREL - GENERIC - SO-068</t>
  </si>
  <si>
    <t>CHICKEN DELI - PROSHOP - GENERIC - SO-069</t>
  </si>
  <si>
    <t>CHICKEN DELI - GONGCHA - GENERIC - SO-070</t>
  </si>
  <si>
    <t>M W TOWNSTORE - M &amp; W - GENERIC - SO-071</t>
  </si>
  <si>
    <t>STAR 360 PHILIPPINES INC - YANKEE CANDLES - SM NORTH EDSA - SO-024</t>
  </si>
  <si>
    <t>CANELLE FOOD CORPORATION - CINNABON - GENERIC - SO-054</t>
  </si>
  <si>
    <t>JASMINE BLOOM TEA INC - SERENITEA - GENERIC - SO-55</t>
  </si>
  <si>
    <t>RAJO - RAJO - ROCKWELL &amp; SHNAG - SO-025</t>
  </si>
  <si>
    <t>LIPA GRILLE RESTAURANT CO - LIPA GRILLE - GENERIC - SO-056</t>
  </si>
  <si>
    <t>TATAY S GRILL INC - TATAY'S GRILL INC - GENERIC - SO-057</t>
  </si>
  <si>
    <t>LIPA GRILLE RESTAURANT CO - LIPA GRILLE - GENERIC - SO-058</t>
  </si>
  <si>
    <t>CHICKEN DELI - MAGOOS - GENERIC - SO-073</t>
  </si>
  <si>
    <t>CHICKEN DELI - GENERIC - GENERIC - SO-074</t>
  </si>
  <si>
    <t>CHICKEN DELI - GONGCHA - GENERIC - SO-075</t>
  </si>
  <si>
    <t>CANELLE FOOD CORPORATION - CINNABON - GENERIC - SO-059</t>
  </si>
  <si>
    <t>DRAGONWELL TEA INC - SERENITEA - GENERIC - SO-60</t>
  </si>
  <si>
    <t>CHICKEN DELI - APT8 - GENERIC - SO-076</t>
  </si>
  <si>
    <t>CHICKEN DELI - APT8 - GENERIC - SO-077</t>
  </si>
  <si>
    <t>CHICKEN DELI - APT8 - GENERIC - SO-078</t>
  </si>
  <si>
    <t>CHICKEN DELI - APT8 - GENERIC - SO-079</t>
  </si>
  <si>
    <t>CHICKEN DELI - APT8 - GENERIC - SO-080</t>
  </si>
  <si>
    <t>CHICKEN DELI - APT8 - GENERIC - SO-081</t>
  </si>
  <si>
    <t>MANDARIN SKY EXPRESS INC - MANDARIN SKY EXPRESS INC. - GENERIC - SO-61</t>
  </si>
  <si>
    <t>CHICKEN DELI - GONGCHA - GENERIC - SO-082</t>
  </si>
  <si>
    <t>CHICKEN DELI - GONGCHA - GENERIC - SO-083</t>
  </si>
  <si>
    <t>CHICKEN DELI - GONGCHA - GENERIC - SO-084</t>
  </si>
  <si>
    <t>CHICKEN DELI - GONGCHA - GENERIC - SO-085</t>
  </si>
  <si>
    <t>HET STROOPWAFEL HUIS - STOOP &amp; ZO - GENERIC - SO-026</t>
  </si>
  <si>
    <t>CHICKEN DELI - MN+LA APPAREL - GENERIC - SO-086</t>
  </si>
  <si>
    <t>KANEFIL GLOBE ENTERPRISES CORPORATION - KANEBO - GENERIC - SO-027</t>
  </si>
  <si>
    <t>B R I M M I N G ENTERPRISES INC - REYES BARBECUE - GENERIC - SO-062</t>
  </si>
  <si>
    <t>TIONG BAHRU PHILIPPINES INC - TIONG BAHRU - GREENHILLS - SO-028</t>
  </si>
  <si>
    <t>HUZZAH - HUZZAH - GENERIC - SO-063</t>
  </si>
  <si>
    <t>BIG BRANDS CLOTHING OUTLET CORP - BIG BRANDS - ROBINSONS IMUS - SO-029</t>
  </si>
  <si>
    <t>CHICKEN DELI - KITCHEN CITY - GENERIC - SO-088</t>
  </si>
  <si>
    <t>CHICKEN DELI - APT8 - GENERIC - SO-089</t>
  </si>
  <si>
    <t>CHICKEN DELI - APT8 - GENERIC - SO-090</t>
  </si>
  <si>
    <t>DRAGONWELL TEA INC - SERENITEA - GENERIC - SO-64</t>
  </si>
  <si>
    <t>CHICKEN DELI - OJO EYEWEAR - GENERIC - SO-091</t>
  </si>
  <si>
    <t>CHICKEN DELI - GONGCHA - GENERIC - SO-092</t>
  </si>
  <si>
    <t>HET STROOPWAFEL HUIS - STOOP &amp; ZO - GENERIC - SO-030</t>
  </si>
  <si>
    <t>VA BENE PASTA DELI - VA BENE PASTA DELI - GENERIC - SO-065</t>
  </si>
  <si>
    <t>W R I WELLNESS RETAIL INNOVATIONS INC - DR. KONG - TRINOMA - SO-032</t>
  </si>
  <si>
    <t>HARRY S CAF - HARRY'S CAFÉ - GENERIC - SO-066</t>
  </si>
  <si>
    <t>UPWARD IDEAS APPAREL CORP - KLEAN KANTEEN - SM MEGAMALL - SO-67</t>
  </si>
  <si>
    <t>CHICKEN DELI - SHISEIDO - GENERIC - SO-093</t>
  </si>
  <si>
    <t>HEXAGON LOUNGE INC - HEXAGON - GENERIC - SO-68</t>
  </si>
  <si>
    <t>MY GOLDEN TEA LEAF INC - SERENITEA - PETRON DON-ANTONIO - SO-69</t>
  </si>
  <si>
    <t>BOOKSALE CEBU INC - BOOKSALE - ES: - SO-70</t>
  </si>
  <si>
    <t>VISUAL MIX INC - BOOKSALE - GENERIC - SO-071</t>
  </si>
  <si>
    <t>PAMIS ELSA CAPUNO - ELS TREN DS APPAREL STORE - GENERIC - SO-072</t>
  </si>
  <si>
    <t>CHICKEN DELI - OJO EYEWEAR - GENERIC - SO-094</t>
  </si>
  <si>
    <t>CHICKEN DELI - OJO EYEWEAR - GENERIC - SO-095</t>
  </si>
  <si>
    <t>METROCLE ALLIANCE CORP - SIGNET - GENERIC - SO-033</t>
  </si>
  <si>
    <t>POL S MOM S PLACE INC - MAMOU - GENERIC - SO-073</t>
  </si>
  <si>
    <t>VILLSIBS INC - POTATO CORNER - GENERIC - SO-074</t>
  </si>
  <si>
    <t>CANELLE FOOD CORPORATION - CINNABON - GENERIC - SO-075</t>
  </si>
  <si>
    <t>WK PRIME SUPREME HOLDINGS INC - PRETZEL MAKER - ZAMBOANGA - SO-076</t>
  </si>
  <si>
    <t>SERENITEA CHA KITCHEN INC - SERENITEA - GENERIC - SO-77</t>
  </si>
  <si>
    <t>ASSAM TEA CORPORATION - SERENITEA - GENERIC - SO-78</t>
  </si>
  <si>
    <t>OSMANTHUS TEA CORPORATION - SERENITEA - GENERIC - SO-79</t>
  </si>
  <si>
    <t>MY GOLDEN TEA LEAF INC - SERENITEA - GENERIC - SO-80</t>
  </si>
  <si>
    <t>DARJEELING TEA CORPORATION - SERENITEA - GENERIC - SO-81</t>
  </si>
  <si>
    <t>GENMAICHA TEA CORPORATION - SERENITEA - GENERIC - SO-82</t>
  </si>
  <si>
    <t>CHICKEN DELI - GONGCHA - GENERIC - SO-096</t>
  </si>
  <si>
    <t>CHICKEN DELI - GONGCHA - GENERIC - SO-097</t>
  </si>
  <si>
    <t>CHICKEN DELI - GONGCHA - GENERIC - SO-098</t>
  </si>
  <si>
    <t>CHICKEN DELI - GONGCHA - GENERIC - SO-099</t>
  </si>
  <si>
    <t>CHICKEN DELI - GONGCHA - GENERIC - SO-100</t>
  </si>
  <si>
    <t>CHICKEN DELI - GONGCHA - GENERIC - SO-101</t>
  </si>
  <si>
    <t>DAGDAGAN MICHAEL ENRICO SY - KALBROS BAR AND RESTAURANT - GENERIC - SO-083</t>
  </si>
  <si>
    <t>ANONYMOUS - FUN CITY - AYALA MALLS MANILA BAY - SO-035</t>
  </si>
  <si>
    <t>ANONYMOUS - FUN CITY - VERTIS NORTH - SO-036</t>
  </si>
  <si>
    <t>CHICKEN DELI - CASA REYES - GENERIC - SO-102</t>
  </si>
  <si>
    <t>CHICKEN DELI - CASA REYES - GENERIC - SO-103</t>
  </si>
  <si>
    <t>CHICKEN DELI - MN+LA APPAREL - GENERIC - SO-104</t>
  </si>
  <si>
    <t>CHICKEN DELI - BABY NATHAN'S KITCHEN CORP. - GENERIC - SO-105</t>
  </si>
  <si>
    <t>JASANNE INCORPORATED - TERRIE FASHION BOUTIQUE - GENERIC - SO-037</t>
  </si>
  <si>
    <t>CHICKEN DELI - GONGCHA - GENERIC - SO-107</t>
  </si>
  <si>
    <t>CHICKEN DELI - J&amp;G - GENERIC - SO-108</t>
  </si>
  <si>
    <t>CHICKEN DELI - GONGCHA PHILS. - GENERIC - SO-109</t>
  </si>
  <si>
    <t>POL S MOM S PLACE INC - MAMOU - GENERIC - SO-084</t>
  </si>
  <si>
    <t>MY GOLDEN TEA LEAF INC - SERENITEA - GENERIC - SO-85</t>
  </si>
  <si>
    <t>TRE FIL HOLDINGS CORPORATION - COLONIAL CREAMERY - AYALA FAIRVIEW TERRACES - SO-086</t>
  </si>
  <si>
    <t>CHICKEN DELI - MN+LA APPAREL - GENERIC - SO-111</t>
  </si>
  <si>
    <t>STATEMENT THEORY - STATEMENT THEORY - ROCKWELL - SO-038</t>
  </si>
  <si>
    <t>ANONYMOUS - DERMA 360° - GENERIC - SO-039</t>
  </si>
  <si>
    <t>TERRISAN INC - ISSHIN - MAKATI - SO-087</t>
  </si>
  <si>
    <t>GOLAMCO GRIFFIN MICHALE DEL ROSARIO - MASTER AIRSOFT - GENERIC - SO-088</t>
  </si>
  <si>
    <t>HUZZAH - HUZZAH - GENERIC - SO-089</t>
  </si>
  <si>
    <t>CHICKEN DELI - HENLIN - GENERIC - SO-112</t>
  </si>
  <si>
    <t>OUT OF NOWHERE KITCHEN INC - OON - GENERIC - SO-090</t>
  </si>
  <si>
    <t>OUT OF NOWHERE KITCHEN INC - TONALA (OON) - GENERIC - SO-091</t>
  </si>
  <si>
    <t>BEDA FOOD VENTURES INC - BACOLOD CHICKEN - GENERIC - SO-092</t>
  </si>
  <si>
    <t>CHICKEN DELI - SM MASINAG - GENERIC - SO-113</t>
  </si>
  <si>
    <t>CHICKEN DELI - GONGCHA - GENERIC - SO-114</t>
  </si>
  <si>
    <t>SIMBAJON ROEL MARALA - FRUITS IN ICE CREAM - GENERIC - SO-093</t>
  </si>
  <si>
    <t>TRE FIL HOLDINGS CORPORATION - COLONIAL CREAMERY - SM MARIKINA - SO-094</t>
  </si>
  <si>
    <t>CHICKEN DELI - PAOTSIN - GENERIC - SO-115</t>
  </si>
  <si>
    <t>W R I WELLNESS RETAIL INNOVATIONS INC - DR. KONG - GRAND CENTRAL - SO-040</t>
  </si>
  <si>
    <t>SIMPLY GOURMET FOOD CORP NO COR YET - CHA TRA MUE - SM MOA - SO-095</t>
  </si>
  <si>
    <t>SAINT MICHAEL FOODS OPC - DANIELITO'S HOME KITCHEN - GENERIC - SO-098</t>
  </si>
  <si>
    <t>SAINT MICHAEL FOODS OPC - MALAYA'S CAFÉ - GENERIC - SO-096</t>
  </si>
  <si>
    <t>SAINT MICHAEL FOODS OPC - DANIELITO'S HOME KITCHEN - GENERIC - SO-097</t>
  </si>
  <si>
    <t>MY GOLDEN TEA LEAF INC - SERENITEA - GENERIC - SO-99</t>
  </si>
  <si>
    <t>MY GOLDEN TEA LEAF INC - SERENITEA - GENERIC - SO-100</t>
  </si>
  <si>
    <t>TIONG BAHRU PHILIPPINES INC - TIONG BAHRU - GENERIC - SO-041</t>
  </si>
  <si>
    <t>LIPA GRILLE RESTAURANT CO - LIPA GRILLE - GENERIC - SO-101</t>
  </si>
  <si>
    <t>MADE NICE INC - MADE NICE INC. - MAMOU - ROCKWELL - SO-102</t>
  </si>
  <si>
    <t>M W TOWNSTORE - M &amp; W - GENERIC - SO-116</t>
  </si>
  <si>
    <t>ROCKWELL LAND CORPORATION - ROCKWELL LAND CORPORATION - GENERIC - SO-103</t>
  </si>
  <si>
    <t>CHICKEN DELI - OJO EYEWEAR - GENERIC - SO-117</t>
  </si>
  <si>
    <t>CHICKEN DELI - GONGCHA - GENERIC - SO-118</t>
  </si>
  <si>
    <t>CHICKEN DELI - GONGCHA - GENERIC - SO-119</t>
  </si>
  <si>
    <t>CHICKEN DELI - GONGCHA - GENERIC - SO-120</t>
  </si>
  <si>
    <t>CHICKEN DELI - GONGCHA - GENERIC - SO-121</t>
  </si>
  <si>
    <t>CHICKEN DELI - GONGCHA - GENERIC - SO-122</t>
  </si>
  <si>
    <t>CHICKEN DELI - GONGCHA - GENERIC - SO-123</t>
  </si>
  <si>
    <t>CHICKEN DELI - GONGCHA - GENERIC - SO-124</t>
  </si>
  <si>
    <t>TIONG BAHRU PHILIPPINES INC - TIONG BAHRU - GENERIC - SO-042</t>
  </si>
  <si>
    <t>CALERO NINA RAMOS - EUROBAKE RESTAURANT BAKESHOP - SHOPPESVILLE - SO-104</t>
  </si>
  <si>
    <t>HUZZAH - HUZZAH - GENERIC - SO-105</t>
  </si>
  <si>
    <t>LIPA GRILLE RESTAURANT CO - LIPA GRILLE - GENERIC - SO-106</t>
  </si>
  <si>
    <t>CHICKEN DELI - ISSY &amp;CO. - GENERIC - SO-125</t>
  </si>
  <si>
    <t>CANELLE FOOD CORPORATION - CINNABON - GENERIC - SO-107</t>
  </si>
  <si>
    <t>BEDA FOOD VENTURES INC - BACOLOD CHICKEN - GENERIC - SO-108</t>
  </si>
  <si>
    <t>CHICKEN DELI - HENLIN - GENERIC - SO-126</t>
  </si>
  <si>
    <t>CHICKEN DELI - VMV - GENERIC - SO-127</t>
  </si>
  <si>
    <t>CHICKEN DELI - HIT BY THE ROAD - GENERIC - SO-128</t>
  </si>
  <si>
    <t>POTATO GIANT NO COR YET - POTATO GIANT - SM BALIWAG - SO-109</t>
  </si>
  <si>
    <t>ROMAN CULINARY GROUP INC - ROMAN RESTAURANT - GENERIC - SO-129</t>
  </si>
  <si>
    <t>M W TOWNSTORE - M &amp; W - GENERIC - SO-130</t>
  </si>
  <si>
    <t>PHARMASAFE INC - MUSTELA - SM MEGAMALL - SO-043</t>
  </si>
  <si>
    <t>PHARMASAFE INC - MUSTELA - SM MOA - SO-044</t>
  </si>
  <si>
    <t>PHARMASAFE INC - MUSTELA - AYALA CEBU - SO-045</t>
  </si>
  <si>
    <t>MIRANDA MICHAEL BORBON - MICHAEL &amp; CELEST - 168 SHOPPING MALL C1 - SO-047</t>
  </si>
  <si>
    <t>MIRANDA MICHAEL BORBON - MICHAEL &amp; CELEST - 168 SHOPPING MALL C3 - SO-048</t>
  </si>
  <si>
    <t>CHICKEN DELI - GONGCHA - GENERIC - SO-131</t>
  </si>
  <si>
    <t>BIG BRANDS CLOTHING OUTLET CORP - BIG BRANDS - ROBINSONS STA ROSA - SO-046</t>
  </si>
  <si>
    <t>CHICKEN DELI - ISSY &amp;CO. - GENERIC - SO-132</t>
  </si>
  <si>
    <t>TANTEASE INC - TANTEASE - POWERPLANT MALL ROCKWELL - SO-049</t>
  </si>
  <si>
    <t>PANDE MANILA FOOD CO INC - PANDE MANILA - SANTOLAN TOWN PLAZA - SO-110</t>
  </si>
  <si>
    <t>CHICKEN DELI - HUE BORACAY - GENERIC - SO-133</t>
  </si>
  <si>
    <t>JUST SIMPLE BAKE HOUSE INC - LORD STOW'S BAKERY - SKY GARDEN ONGPIN - SO-111</t>
  </si>
  <si>
    <t>CHICKEN DELI - KARIMADON - GENERIC - SO-134</t>
  </si>
  <si>
    <t>CHICKEN DELI - KARIMADON - GENERIC - SO-135</t>
  </si>
  <si>
    <t>CHICKEN DELI - KARIMADON - GENERIC - SO-136</t>
  </si>
  <si>
    <t>ELEVATED FOOD RECIPES INC - HEALTHY SHABU SHABU - GENERIC - SO-112</t>
  </si>
  <si>
    <t>CHICKEN DELI - MN+LA APPAREL - GENERIC - SO-137</t>
  </si>
  <si>
    <t>HENLIN OUTLET LIPA NO COR YET - HENLIN - OUTLET LIPA - SO-113</t>
  </si>
  <si>
    <t>CHICKEN DELI - GONGCHA - GENERIC - SO-138</t>
  </si>
  <si>
    <t>ARIZONA ICE CREAM CORPORATION - COLDSTONE - GENERIC - SO-114</t>
  </si>
  <si>
    <t>HET STROOPWAFEL HUIS - STOOP &amp; ZO - GENERIC - SO-050</t>
  </si>
  <si>
    <t>HUZZAH - HUZZAH - GENERIC - SO-115</t>
  </si>
  <si>
    <t>CHICKEN DELI - M &amp; W - GENERIC - SO-139</t>
  </si>
  <si>
    <t>M W TOWNSTORE - M &amp; W - GENERIC - SO-140</t>
  </si>
  <si>
    <t>ANONYMOUS - FUN CITY - AYALA MALLS FELIZ - SO-051</t>
  </si>
  <si>
    <t>IZZA CABONCE MARQUEZ - LUTONG ILOCANO - GENERIC - SO-116</t>
  </si>
  <si>
    <t>CHICKEN DELI - OMBU KUSINA - GENERIC - SO-141</t>
  </si>
  <si>
    <t>CHICKEN DELI - M &amp; W - GENERIC - SO-142</t>
  </si>
  <si>
    <t>CHICKEN DELI - GONGCHA - GENERIC - SO-143</t>
  </si>
  <si>
    <t>CHICKEN DELI - GONGCHA - GENERIC - SO-144</t>
  </si>
  <si>
    <t>CHICKEN DELI - GONGCHA - GENERIC - SO-145</t>
  </si>
  <si>
    <t>CHICKEN DELI - GONGCHA - GENERIC - SO-146</t>
  </si>
  <si>
    <t>CHICKEN DELI - GONGCHA - GENERIC - SO-147</t>
  </si>
  <si>
    <t>CHICKEN DELI - GONGCHA - GENERIC - SO-148</t>
  </si>
  <si>
    <t>INSPIRA PRIME INTERNATIONAL CORPORATION - AQUAFLASK - GENERIC - SO-052</t>
  </si>
  <si>
    <t>HAPPY CREATIVE VENTURES INC - THE HAPPY STATION - GENERIC - SO-053</t>
  </si>
  <si>
    <t>ALLURE EMPIRE CORPORATION - CHU CHU BEAUTY (HOS) - TONDO MANILA - SO-054</t>
  </si>
  <si>
    <t>ALLURE EMPIRE CORPORATION - CHU CHU BEAUTY - GREENHILLS - SO-055</t>
  </si>
  <si>
    <t>ALLURE EMPIRE CORPORATION - CHU CHU BEAUTY - FESTIVAL MALL - SO-056</t>
  </si>
  <si>
    <t>ALLURE EMPIRE CORPORATION - CHU CHU BEAUTY - GLORIETTA - SO-057</t>
  </si>
  <si>
    <t>AZIAN CRYSTAL CORPORATION - AZIAN CRYSTAL CORPORATION - SM MOA - SO-117</t>
  </si>
  <si>
    <t>CHICKEN DELI - CASA REYES - GENERIC - SO-149</t>
  </si>
  <si>
    <t>CHICKEN DELI - PAOTSIN - GENERIC - SO-150</t>
  </si>
  <si>
    <t>CHICKEN DELI - GENERIC - GENERIC - SO-151</t>
  </si>
  <si>
    <t>CHICKEN DELI - VMV - GENERIC - SO-152</t>
  </si>
  <si>
    <t>W R I WELLNESS RETAIL INNOVATIONS INC - DR. KONG - HEAD OFFICE - SO-058</t>
  </si>
  <si>
    <t>CCGC TRADING CORPORATION - LIGHTERS GALORE - GATEWAY - SO-059</t>
  </si>
  <si>
    <t>TIONG BAHRU PHILIPPINES INC - TIONG BAHRU - GENERIC - SO-060</t>
  </si>
  <si>
    <t>CHICKEN DELI - BLANC NUE - GENERIC - SO-153</t>
  </si>
  <si>
    <t>CANELLE FOOD CORPORATION - CINNABON - GENERIC - SO-119</t>
  </si>
  <si>
    <t>SIMPLY GOURMET FOOD CORP NO COR YET - CHA TRA MUE - ROB. GALLERIA - SO-120</t>
  </si>
  <si>
    <t>SIMPLY GOURMET FOOD CORP NO COR YET - CHA TRA MUE - ROB. ANTIPOLO - SO-121</t>
  </si>
  <si>
    <t>CHICKEN DELI - GONGCHA - GENERIC - SO-154</t>
  </si>
  <si>
    <t>CHICKEN DELI - GONGCHA - GENERIC - SO-N/A</t>
  </si>
  <si>
    <t>AURORA CHARLIE FOOD VENTURES INC - MAMOU - GATEWAY - SO-122</t>
  </si>
  <si>
    <t>VERONES CAROLYN GONZALEZ - VA BENE PASTA DELI - BGC - SO-123</t>
  </si>
  <si>
    <t>VERONES CAROLYN GONZALEZ - VA BENE PASTA DELI - BGC - SO-124</t>
  </si>
  <si>
    <t>HUZZAH - HUZZAH - GENERIC - SO-125</t>
  </si>
  <si>
    <t>SHIN CLARA FOOD CORPORATION - SHIN CLARA FOOD CORP. - GENERIC - SO-126</t>
  </si>
  <si>
    <t>CHICKEN DELI - CASA REYES - GENERIC - SO-157</t>
  </si>
  <si>
    <t>CHICKEN DELI - CASA REYES - GENERIC - SO-158</t>
  </si>
  <si>
    <t>ARTWORK INCORPORATED - ARTWORK INC - GENERIC - SO-127</t>
  </si>
  <si>
    <t>ARTWORK INCORPORATED - ARTWORK INC - GENERIC - SO-128</t>
  </si>
  <si>
    <t>CHICKEN DELI - SM MASINAG - GENERIC - SO-159</t>
  </si>
  <si>
    <t>TRE FIL HOLDINGS CORPORATION - COLONIAL CREAMERY - AYALA MALLS CLOVERLEAF - SO-129</t>
  </si>
  <si>
    <t>CHICKEN DELI - OJO EYEWEAR - GENERIC - SO-160</t>
  </si>
  <si>
    <t>OLAES CHRISTIAN GERALD TORRES - THE CRUNCH - GENERIC - SO-061</t>
  </si>
  <si>
    <t>MMG TRUE ENTERPRISE INCORPORATED - TRUE VISION - GENERIC - SO-062</t>
  </si>
  <si>
    <t>GENMAICHA TEA CORP - SERENITEA - GENERIC - SO-130</t>
  </si>
  <si>
    <t>THE BIG CHILL INC - THE BIG CHILL INC - ROCKWELL - SO-131</t>
  </si>
  <si>
    <t>CINNALAND FOOD CORPORATION - CINNABON - SM DAVAO - SO-132</t>
  </si>
  <si>
    <t>M W TOWNSTORE - M &amp; W - GENERIC - SO-162</t>
  </si>
  <si>
    <t>CHICKEN DELI - GONGCHA - GENERIC - SO-163</t>
  </si>
  <si>
    <t>CHICKEN DELI - GONGCHA - GENERIC - SO-164</t>
  </si>
  <si>
    <t>CHICKEN DELI - GONGCHA - GENERIC - SO-165</t>
  </si>
  <si>
    <t>CHICKEN DELI - GONGCHA - GENERIC - SO-166</t>
  </si>
  <si>
    <t>DE LA PENA MARICAR LANASA - MANNY'S SEAFOOD AND GRILL - AYALA MALL BACOLOD - SO-133</t>
  </si>
  <si>
    <t>CHICKEN DELI - HUE PALAWAN - GENERIC - SO-167</t>
  </si>
  <si>
    <t>CHICKEN DELI - HUE SIARGAO - GENERIC - SO-168</t>
  </si>
  <si>
    <t>CHICKEN DELI - M &amp; W - GENERIC - SO-169</t>
  </si>
  <si>
    <t>NEW BOMBAY FOODS INC - NEW BOMBAY - GENERIC - SO-134</t>
  </si>
  <si>
    <t>SWEET STOP STATION INC - CINNABON - GENERIC - SO-135</t>
  </si>
  <si>
    <t>INSPIRA PRIME INTERNATIONAL CORPORATION - MOTO - GENERIC - SO-063</t>
  </si>
  <si>
    <t>INSPIRA PRIME INTERNATIONAL CORPORATION - MOTO - GENERIC - SO-064</t>
  </si>
  <si>
    <t>AZIAN CRYSTAL CORPORATION NO COR YET - KUANG HENG - ROB. MANILA - SO-136</t>
  </si>
  <si>
    <t>TIMELESS BAR AND RESTAURANT CONCEPTS INC - DILLINGER - GENERIC - SO-137</t>
  </si>
  <si>
    <t>CORTEZ IAN CARL CORPUZ - FERINO'S CAFÉ - GENERIC - SO-065</t>
  </si>
  <si>
    <t>SIMPLY GOURMET FOOD CORP NO COR YET - CHA TRA MUE - SM MOA - SO-138</t>
  </si>
  <si>
    <t>DAN S BIKE - DAN'S BIKE - ATC - SO-066</t>
  </si>
  <si>
    <t>HUZZAH - HUZZAH - GENERIC - SO-139</t>
  </si>
  <si>
    <t>CCGC TRADING CORPORATION - LIGHTERS GALORE - GATEWAY - SO-067</t>
  </si>
  <si>
    <t>SB RESTAURANTS INC - STEAK BREAK - GENERIC - SO-140</t>
  </si>
  <si>
    <t>CHICKEN DELI - SM MASINAG - GENERIC - SO-171</t>
  </si>
  <si>
    <t>SIAPNO TADA OPTICAL INC - SIAPNO-TADA OPTICAL - GENERIC - SO-068</t>
  </si>
  <si>
    <t>SIAPNO TADA OPTICAL INC - SIAPNO-TADA OPTICAL - GENERIC - SO-069</t>
  </si>
  <si>
    <t>RAFAEL PUA TONILENE ESPINOZA - BC BOS' CHOW CARINDERIA - GENERIC - SO-141</t>
  </si>
  <si>
    <t>CHICKEN DELI - SUPERBOWL - GENERIC - SO-172</t>
  </si>
  <si>
    <t>CHICKEN DELI - SUPERBOWL - GENERIC - SO-173</t>
  </si>
  <si>
    <t>CHICKEN DELI - KARIMADON - GENERIC - SO-174</t>
  </si>
  <si>
    <t>METROMART NO COR YET - METROMART - VERMOSA - SO-142</t>
  </si>
  <si>
    <t>MELO S WESTGATE FINE DINING - MELOS - GENERIC - SO-143</t>
  </si>
  <si>
    <t>WISHLEAF CAF INC - SERENITEA - GENERIC - SO-144</t>
  </si>
  <si>
    <t>TIMELESS BAR AND RESTAURANT CONCEPTS INC - DILLINGER - GENERIC - SO-145</t>
  </si>
  <si>
    <t>SARI SARI AI CORPORATION - TOMORO - PAVILLION MALL LAGUNA - SO-146</t>
  </si>
  <si>
    <t>LIPA GRILLE RESTAURANT CO - LIPA GRILLE - GENERIC - SO-147</t>
  </si>
  <si>
    <t>WISHLEAF CAF INC - SERENITEA - GENERIC - SO-148</t>
  </si>
  <si>
    <t>CHICKEN DELI - PAOTSIN - GENERIC - SO-175</t>
  </si>
  <si>
    <t>CHICKEN DELI - GONGCHA - GENERIC - SO-176</t>
  </si>
  <si>
    <t>CHICKEN DELI - ISSY &amp;CO. - GENERIC - SO-177</t>
  </si>
  <si>
    <t>CHICKEN DELI - MN+LA APPAREL - GENERIC - SO-170</t>
  </si>
  <si>
    <t>FRANKIE GENERAL STORE - FRANKIE GENERAL STORE - GENERIC - SO-070</t>
  </si>
  <si>
    <t>CMISS CORPORATION - CMISS CORPORATION - BULACAN - SO-149</t>
  </si>
  <si>
    <t>CERRA DENTAL HEALTH CORPORATION - DENTAL SMILES - GENERIC - SO-150</t>
  </si>
  <si>
    <t>PUA JOHN PAUL BANGUG - SIZZLE MANIA (BOS' CHOW) - SM CENTER TUGUEGARAO DOWNTOWN - SO-151</t>
  </si>
  <si>
    <t>CHICKINGS RESTAURANT - CHICKINGS RESTAURANT - MANILA BAY - SO-152</t>
  </si>
  <si>
    <t>M W TOWNSTORE - M &amp; W - GENERIC - SO-178</t>
  </si>
  <si>
    <t>CHICKEN DELI - BLANC NUE - GENERIC - SO-179</t>
  </si>
  <si>
    <t>CHICKEN DELI - FRANCESCO REST. - GENERIC - SO-180</t>
  </si>
  <si>
    <t>CHICKEN DELI - GONGCHA - GENERIC - SO-182</t>
  </si>
  <si>
    <t>CHICKEN DELI - GONGCHA - GENERIC - SO-183</t>
  </si>
  <si>
    <t>CHICKEN DELI - GONGCHA - GENERIC - SO-184</t>
  </si>
  <si>
    <t>CHICKEN DELI - GONGCHA - GENERIC - SO-185</t>
  </si>
  <si>
    <t>CHICKEN DELI - GONGCHA - GENERIC - SO-187</t>
  </si>
  <si>
    <t>PENACERRADA CHRISTIAN DELA CRUZ - ISDANG PULO - GENERIC - SO-153</t>
  </si>
  <si>
    <t>INSPIRA PRIME INTERNATIONAL CORPORATION - AQUAFLASK - GENERIC - SO-071</t>
  </si>
  <si>
    <t>INSPIRA PRIME INTERNATIONAL CORPORATION - AQUAFLASK DESIGN - GENERIC - SO-072</t>
  </si>
  <si>
    <t>INSPIRA PRIME INTERNATIONAL CORPORATION - AQUAFLASK DESIGN - GENERIC - SO-073</t>
  </si>
  <si>
    <t>THE VALLEY STORE PH - THE VALLEY - AYALA MALLS THE 30TH - SO-074</t>
  </si>
  <si>
    <t>CHICKEN DELI - APT8 - GENERIC - SO-188</t>
  </si>
  <si>
    <t>CHICKEN DELI - PAOTSIN - GENERIC - SO-189</t>
  </si>
  <si>
    <t>OLAES CHRISTIAN GERALD TORRES - THE CRUNCH - GENERIC - SO-075</t>
  </si>
  <si>
    <t>CORTEZ IAN CARL CORPUZ - FERINO'S CAFÉ - GENERIC - SO-076</t>
  </si>
  <si>
    <t>VISUAL MIX INC - BOOKSALE - GENERIC - SO-155</t>
  </si>
  <si>
    <t>BOOKSALE CEBU INC - BOOKSALE - ES: - SO-156</t>
  </si>
  <si>
    <t>GREEN LIFE ECOBAGS INC - ZARAH JUAN - GENERIC - SO-157</t>
  </si>
  <si>
    <t>HUZZAH - HUZZAH - GENERIC - SO-158</t>
  </si>
  <si>
    <t>CHICKEN DELI - SUPERBOWL - GENERIC - SO-190</t>
  </si>
  <si>
    <t>STAR 360 PHILIPPINES INC - YANKEE CANDLES - SM MOA - SO-077</t>
  </si>
  <si>
    <t>TIMELESS BAR AND RESTAURANT CONCEPTS INC - DILLINGER - GENERIC - SO-159</t>
  </si>
  <si>
    <t>CHICKEN DELI - OJO EYEWEAR - GENERIC - SO-191</t>
  </si>
  <si>
    <t>CHICKEN DELI - THE VIEW REST. - GENERIC - SO-192</t>
  </si>
  <si>
    <t>CHICKEN DELI - PAPA DOMS BAR &amp; REST. - GENERIC - SO-193</t>
  </si>
  <si>
    <t>CHICKEN DELI - MORIBIZ RESTAURANT - GENERIC - SO-194</t>
  </si>
  <si>
    <t>DERMA 360 CORP - DERMA 360° - GENERIC - SO-078</t>
  </si>
  <si>
    <t>THE DAYKEEPER INC - FRANKIE GENERAL STORE - GENERIC - SO-079</t>
  </si>
  <si>
    <t>DERMA 360 CORP - DERMA 360° - GENERIC - SO-080</t>
  </si>
  <si>
    <t>JUST SIMPLE BAKE HOUSE INC - LORD STOW'S BAKERY - GENERIC - SO-160</t>
  </si>
  <si>
    <t>METROMART - METROMART - VERMOSA - SO-161</t>
  </si>
  <si>
    <t>CHICKEN DELI - GONGCHA - GENERIC - SO-195</t>
  </si>
  <si>
    <t>AURORA CHARLIE FOOD VENTURES INC - MAMOU - GREENBELT 5 - SO-162</t>
  </si>
  <si>
    <t>CHICKEN DELI - GONGCHA - GENERIC - SO-196</t>
  </si>
  <si>
    <t>TATAY S GRILL INC - TATAY'S GRILL INC - GENERIC - SO-163</t>
  </si>
  <si>
    <t>COCOON INC - NAIL SPA - GENERIC - SO-081</t>
  </si>
  <si>
    <t>PUA JOHN PAUL BANGUG - SIZZLE MANIA (BOS' CHOW) - ROBINSONS PLACE TUGUEGARAO - SO-164</t>
  </si>
  <si>
    <t>BALDEVIA APRIL JOY LEDESMA - SAMU ADVERTISEMENT MARKETING - SM CITY BACOLOD - SO-165</t>
  </si>
  <si>
    <t>CHICKEN DELI - PAOTSIN - GENERIC - SO-197</t>
  </si>
  <si>
    <t>CHICKEN DELI - GONGCHA PHILS. - GENERIC - SO-198</t>
  </si>
  <si>
    <t>CHICKEN DELI - ROB.ERMITA - GENERIC - SO-199</t>
  </si>
  <si>
    <t>CHICKEN DELI - BAGUIO - GENERIC - SO-200</t>
  </si>
  <si>
    <t>W R I WELLNESS RETAIL INNOVATIONS INC - DR. KONG - FAIVIEW TERRACES - SO-082</t>
  </si>
  <si>
    <t>W R I WELLNESS RETAIL INNOVATIONS INC - DR. KONG - HEAD OFFICE - SO-083</t>
  </si>
  <si>
    <t>W R I WELLNESS RETAIL INNOVATIONS INC - DR. KONG - MARKET MARKET - SO-084</t>
  </si>
  <si>
    <t>RRH FOOD GROUP INC - QUEENS AT BOLLYWOOD - GENERIC - SO-166</t>
  </si>
  <si>
    <t>CHICKEN DELI - GONGCHA - GENERIC - SO-201</t>
  </si>
  <si>
    <t>CHICKEN DELI - GONGCHA - GENERIC - SO-202</t>
  </si>
  <si>
    <t>MY GOLDEN TEA LEAF INC - SERENITEA - GENERIC - SO-167</t>
  </si>
  <si>
    <t>MCMANA TRADING AND SERVICES INC - MCMANA TRADING - GENERIC - SO-168</t>
  </si>
  <si>
    <t>MCMANA TRADING AND SERVICES INC - MCMANA TRADING - MANILA GOLD COUNTRY CLUB (S LOUNGE) - SO-169</t>
  </si>
  <si>
    <t>MCMANA TRADING AND SERVICES INC - MCMANA TRADING - MANILA GOLD COUNTRY CLUB - SO-170</t>
  </si>
  <si>
    <t>M W TOWNSTORE - M &amp; W - GENERIC - SO-203</t>
  </si>
  <si>
    <t>CHICKEN DELI - MN+LA APPAREL - GENERIC - SO-204</t>
  </si>
  <si>
    <t>CHICKEN DELI - MN+LA APPAREL - GENERIC - SO-009</t>
  </si>
  <si>
    <t>ROCKWELL LAND CORPORATION - ROCKWELL LAND CORPORATION - ROCKWELL MAKATI - SO-171</t>
  </si>
  <si>
    <t>PARAW RESTAURANT INC - MOLAVE - EL NIDO PALAWAN - SO-177</t>
  </si>
  <si>
    <t>DAN S BIKESHOP INC - DAN'S BIKESHOP - GENERIC - SO-085</t>
  </si>
  <si>
    <t>TATAY S GRILL INC - TATAY'S GRILL INC - GENERIC - SO-172</t>
  </si>
  <si>
    <t>CHICKEN DELI - GONGCHA - GENERIC - SO-206</t>
  </si>
  <si>
    <t>MY GOLDEN TEA LEAF INC - SERENITEA - GENERIC - SO-173</t>
  </si>
  <si>
    <t>CANELLE FOOD CORPORATION - CINNABON - GENERIC - SO-174</t>
  </si>
  <si>
    <t>SWEET STOP STATION INC - CINNABON - GENERIC - SO-175</t>
  </si>
  <si>
    <t>LJ ROMANTIC RESTAURANT CORPORATION - ROMANTIC BABOY - GENERIC - SO-176</t>
  </si>
  <si>
    <t>CHICKEN DELI - MAGOOS - GENERIC - SO-207</t>
  </si>
  <si>
    <t>CHICKEN DELI - GONGCHA - GENERIC - SO-208</t>
  </si>
  <si>
    <t>CHICKEN DELI - GONGCHA - GENERIC - SO-209</t>
  </si>
  <si>
    <t>CHICKEN DELI - GONGCHA - GENERIC - SO-210</t>
  </si>
  <si>
    <t>CHICKEN DELI - GONGCHA - GENERIC - SO-211</t>
  </si>
  <si>
    <t>CHICKEN DELI - GONGCHA - GENERIC - SO-212</t>
  </si>
  <si>
    <t>CHICKEN DELI - GONGCHA - GENERIC - SO-213</t>
  </si>
  <si>
    <t>CHICKEN DELI - GONGCHA - GENERIC - SO-214</t>
  </si>
  <si>
    <t>ROCKWELL LAND CORPORATION - ROCKWELL LAND CORPORATION - ROCKWELL MAKATI - SO-178</t>
  </si>
  <si>
    <t>SENA MA DIANNE ABIGAIL GAMBOA - YOOHOO - GENERIC - SO-179</t>
  </si>
  <si>
    <t>HUZZAH - HUZZAH - GENERIC - SO-180</t>
  </si>
  <si>
    <t>CHICKEN DELI - GOOD MOLECULES - GENERIC - SO-215</t>
  </si>
  <si>
    <t>CHICKEN DELI - KARIMADON - GENERIC - SO-216</t>
  </si>
  <si>
    <t>CHICKEN DELI - GONGCHA - GENERIC - SO-217</t>
  </si>
  <si>
    <t>CHICKEN DELI - GONGCHA - GENERIC - SO-218</t>
  </si>
  <si>
    <t>JIBRILS SPECIALTY FOODS INC - JSFI CHICKEN BACOLOD - GLORIETTA 4 - SO-181</t>
  </si>
  <si>
    <t>CRUZ MIRAFLOR DOMINGO - ARTISAN EMPORIUM - GENERIC - SO-182</t>
  </si>
  <si>
    <t>LIPA GRILLE RESTAURANT CO - LIPA GRILLE - GENERIC - SO-183</t>
  </si>
  <si>
    <t>LIPA GRILLE RESTAURANT CO - LIPA GRILLE - GENERIC - SO-184</t>
  </si>
  <si>
    <t>TIONG BAHRU PHILIPPINES INC - TIONG BAHRU - GENERIC - SO-086</t>
  </si>
  <si>
    <t>JIBRILS SPECIALTY FOODS INC - JSFI CHICKEN BACOLOD - MARKET MARKET - SO-185</t>
  </si>
  <si>
    <t>JUST SIMPLE BAKE HOUSE INC - LORD STOW'S BAKERY - TRINOMA - SO-186</t>
  </si>
  <si>
    <t>CHICKEN DELI - GONGCHA - GENERIC - SO-219</t>
  </si>
  <si>
    <t>FRANKIE GENERAL STORE - FRANKIE GENERAL STORE - GENERIC - SO-087</t>
  </si>
  <si>
    <t>MY GOLDEN TEA LEAF INC - SERENITEA - ROB. MANILA - SO-187</t>
  </si>
  <si>
    <t>AURORA CHARLIE FOOD VENTURES INC - MAMOU - GREENBELT 5 - SO-188</t>
  </si>
  <si>
    <t>SJ SHAW FOOD CORP - FAMOUS AMOS - GENERIC - SO-189</t>
  </si>
  <si>
    <t>CHICKEN DELI - GONGCHA - GENERIC - SO-221</t>
  </si>
  <si>
    <t>CHICKEN DELI - GONGCHA - GENERIC - SO-223</t>
  </si>
  <si>
    <t>CHICKEN DELI - GONGCHA - GENERIC - SO-224</t>
  </si>
  <si>
    <t>CHICKEN DELI - GONGCHA - GENERIC - SO-225</t>
  </si>
  <si>
    <t>CHICKEN DELI - GONGCHA - GENERIC - SO-226</t>
  </si>
  <si>
    <t>CHICKEN DELI - GONGCHA - GENERIC - SO-227</t>
  </si>
  <si>
    <t>BERTULFO NEIL AGUILAR - NEIL'S LECHON CEBU - GENERIC - SO-190</t>
  </si>
  <si>
    <t>HUZZAH - HUZZAH - GENERIC - SO-191</t>
  </si>
  <si>
    <t>M W TOWNSTORE - M &amp; W - GENERIC - SO-228</t>
  </si>
  <si>
    <t>CHICKEN DELI - UMBO KUSINA - GENERIC - SO-229</t>
  </si>
  <si>
    <t>CHICKEN DELI - COSTA SOLANA - GENERIC - SO-230</t>
  </si>
  <si>
    <t>TEA CRAFT CORP - YIFANG TAIWAN FRUIT TEA - GENERIC - SO-192</t>
  </si>
  <si>
    <t>VISUAL MIX INC - BOOKSALE - GENERIC - SO-193</t>
  </si>
  <si>
    <t>ELEVATED FOOD RECIPE INC - HEALTHY SHABUSHABU - GENERIC - SO-194</t>
  </si>
  <si>
    <t>ELEVATED FOOD RECIPE INC - HEALTHY SHABUSHABU - GENERIC - SO-195</t>
  </si>
  <si>
    <t>CHICKEN DELI - GONGCHA - GENERIC - SO-231</t>
  </si>
  <si>
    <t>CHICKEN DELI - GONGCHA - GENERIC - SO-232</t>
  </si>
  <si>
    <t>TIONG BAHRU PHILIPPINES INC - TIONG BAHRU - GENERIC - SO-088</t>
  </si>
  <si>
    <t>WHITE PERUGIA OPC - RHETT EALA - ROCKWELL - SO-089</t>
  </si>
  <si>
    <t>SARI SARI AI CORPORATION - TOMORO - PAVILLION MALL LAGUNA - SO-196</t>
  </si>
  <si>
    <t>ALLURE EMPIRE CORPORATION - CHU CHU BEAUTY - MARKET! MARKET! - SO-090</t>
  </si>
  <si>
    <t>CHICKEN DELI - GONGCHA - GENERIC - SO-222</t>
  </si>
  <si>
    <t>CHICKEN DELI - KITCHEN CITY - GENERIC - SO-233</t>
  </si>
  <si>
    <t>HOUSE OF OBAGI - HOUSE OF OBAGI - ROBINSONS PLACE MANILA - SO-091</t>
  </si>
  <si>
    <t>CRUZ MIRAFLOR DOMINGO - ARTISAN EMPORIUM - GENERIC - SO-197</t>
  </si>
  <si>
    <t>JIBRILS SPECIALTY FOODS INC - JSFI CHICKEN BACOLOD - NORTH EXCHANGE - SO-198</t>
  </si>
  <si>
    <t>ROKUGROUP INC - NARA THAI - GENERIC - SO-199</t>
  </si>
  <si>
    <t>ARTHUR S PRIME MANILA INC - ARTHUR'S PRIME MANILA INC. - MANILA GOLF FAIRWAYS - SO-200</t>
  </si>
  <si>
    <t>CHICKEN DELI - GONGCHA - GENERIC - SO-234</t>
  </si>
  <si>
    <t>CHICKEN DELI - THE VIEW REST. - GENERIC - SO-235</t>
  </si>
  <si>
    <t>ALLURE EMPIRE CORPORATION - CHU CHU BEAUTY - ARCA SOUTH - SO-092</t>
  </si>
  <si>
    <t>ETHERNAL BRIGHT SANCTUARY INC - LALA'S RESTAURANT - GENERIC - SO-201</t>
  </si>
  <si>
    <t>THREE STARS VENTURES INC - FLUFF PANCAKES &amp;  COFFEE - ROB. MANILA - SO-202</t>
  </si>
  <si>
    <t>DAGDAGAN MICHAEL ENRICO SY - KALBROS BAR AND RESTAURANT - GENERIC - SO-203</t>
  </si>
  <si>
    <t>CANELLE FOOD CORPORATION - CINNABON - ES: - SO-204</t>
  </si>
  <si>
    <t>2SWR GROUPS INC - CINNABON - ES: - SO-205</t>
  </si>
  <si>
    <t>CINNALAND FOOD CORPORATION - CINNABON - ES: - SO-206</t>
  </si>
  <si>
    <t>CINNAROLL BAKERY CORPORATION - CINNABON - ES: - SO-207</t>
  </si>
  <si>
    <t>FROSTED BAKED BUNS CORP - CINNABON - ES: - SO-208</t>
  </si>
  <si>
    <t>FROSTED ROLLS INC - CINNABON - ES: - SO-209</t>
  </si>
  <si>
    <t>FROSTING ON ROLLS INC - CINNABON - ES: - SO-210</t>
  </si>
  <si>
    <t>IGO WAFU FOOD CORP - CINNABON - ES: - SO-211</t>
  </si>
  <si>
    <t>ILO CANELLA FOOD CORPORATION - CINNABON - ES: - SO-212</t>
  </si>
  <si>
    <t>LNF FOOD INC - CINNABON - ES: - SO-213</t>
  </si>
  <si>
    <t>ROADSIDE ROLLS FOOD CORP - CINNABON - ES: - SO-214</t>
  </si>
  <si>
    <t>SWEET AND FROSTED INC - CINNABON - ES: - SO-215</t>
  </si>
  <si>
    <t>SWEET STOP STATION INC - CINNABON - ES: - SO-216</t>
  </si>
  <si>
    <t>SYM2PLY DELICIOUS CORP - CINNABON - ES: - SO-217</t>
  </si>
  <si>
    <t>CHICKEN DELI - SM MASINAG - GENERIC - SO-236</t>
  </si>
  <si>
    <t>CHICKEN DELI - PAOTSIN - GENERIC - SO-237</t>
  </si>
  <si>
    <t>M W TOWNSTORE - M &amp; W - GENERIC - SO-238</t>
  </si>
  <si>
    <t>VILLAVIZ CORPORATION - BACOLOD CHICKEN - GENERIC - SO-218</t>
  </si>
  <si>
    <t>AURORA CHARLIE FOOD VENTURES INC - MAMOU - GREENBELT 5 - SO-220</t>
  </si>
  <si>
    <t>PHARMASAFE INC - MUSTELA - SM MEGAMALL - SO-093</t>
  </si>
  <si>
    <t>PHARMASAFE INC - MUSTELA - SM MOA - SO-094</t>
  </si>
  <si>
    <t>TRE FIL HOLDINGS CORPORATION - COLONIAL CREAMERY - AYALA MALLS MANILA BAY - SO-001</t>
  </si>
  <si>
    <t>CHICKEN DELI - GONGCHA - GENERIC - SO-001</t>
  </si>
  <si>
    <t>VILLSIBS INC - POTATO CORNER - GENERIC - SO-002</t>
  </si>
  <si>
    <t>HUZZAH - HUZZAH - GENERIC - SO-003</t>
  </si>
  <si>
    <t>CHUA BEVERLY SANTOS - HOMIE PET - GENERIC - SO-26-004</t>
  </si>
  <si>
    <t>GENMAICHA TEA CORPORATION - SERENITEA - NLEX - SO-005</t>
  </si>
  <si>
    <t>CHICKEN DELI - VICE COSMETICS - GENERIC - SO-007</t>
  </si>
  <si>
    <t>CHICKEN DELI - MAGOOS - GENERIC - SO-008</t>
  </si>
  <si>
    <t>CCGC TRADING CORPORATION - LIGHTERS GALORE - GATEWAY - SO-26-001</t>
  </si>
  <si>
    <t>VERONES CAROLYN GONZALEZ - VA BENE PASTA DELI - BGC - SO-26-006</t>
  </si>
  <si>
    <t>CHICKEN DELI - KITCHEN CITY - GENERIC - SO-010</t>
  </si>
  <si>
    <t>SAINT MICHAEL FOODS OPC - DANIELITO'S HOME KITCHEN - GENERIC - SO-26-007</t>
  </si>
  <si>
    <t>MYHAPPYHOME LIFESTYLE WARES TRADING - MY HAPPY HOME - GREENHILLS - SO-26-008</t>
  </si>
  <si>
    <t>HET STROOPWAFEL HUIS - STROOP &amp; ZO - OBINSONS GALLERIA - SO-26-002</t>
  </si>
  <si>
    <t>SEVILLA MARLON JR GUANO - MASTER SIOMAI - GENERIC - SO-26-009</t>
  </si>
  <si>
    <t>TAN CHARISSE MESINA - THE ECO SHIFT - ATC - SO-26-003</t>
  </si>
  <si>
    <t>SHIN CLARA FOOD CORPORATION - SHIN CLARA FOOD CORP. - MARKET! MARKET! - SO-26-010</t>
  </si>
  <si>
    <t>CHICKEN DELI - PAOTSIN ERMITA - GENERIC - SO-012</t>
  </si>
  <si>
    <t>CHICKEN DELI - GONGCHA - GENERIC - SO-013</t>
  </si>
  <si>
    <t>HUZZAH - HUZZAH - GENERIC - SO-26-011</t>
  </si>
  <si>
    <t>TAN CHARISSE MESINA - THE ECO SHIFT - ATC - SO-26-004</t>
  </si>
  <si>
    <t>ELEVATED FOOD RECIPES INC - HEALTHY SHABU SHABU - GENERIC - SO-26-012</t>
  </si>
  <si>
    <t>ARTWORK INCORPORATED - ARTWORK INCORPORATED - ES: - SO-26-013</t>
  </si>
  <si>
    <t>KCC HTS PTE LTP CORP NO COR YET - KAJIKEN - GENERIC - SO-26-014</t>
  </si>
  <si>
    <t>METROMART - METROMART - VERMOSA - SO-26-015</t>
  </si>
  <si>
    <t>CHICKEN DELI - GONGCHA - GENERIC - SO-015</t>
  </si>
  <si>
    <t>JIBRILS SPECIALTY FOODS INC - JSFI CHICKEN BACOLOD - NORTH EXCHANGE - SO-26-016</t>
  </si>
  <si>
    <t>CHICKEN DELI - GONGCHA - GENERIC - SO-016</t>
  </si>
  <si>
    <t>CHICKEN DELI - GONGCHA - GENERIC - SO-018</t>
  </si>
  <si>
    <t>TERO RAQUEL HARALVE - KARYL TOY STORE - GENERIC - SO-26-005</t>
  </si>
  <si>
    <t>CHICKEN DELI - BLANC NUE - GENERIC - SO-020</t>
  </si>
  <si>
    <t>CHICKEN DELI - KITCHEN CITY - GENERIC - SO-021</t>
  </si>
  <si>
    <t>ETHERNAL BRIGHT SANCTUARY INC - LALA'S RESTAURANT - QUEZON CITY - SO-26-017</t>
  </si>
  <si>
    <t>CHICKEN DELI - PAOTSIN - GENERIC - SO-023</t>
  </si>
  <si>
    <t>CHICKEN DELI - CHARLIES RESTAURANT - GENERIC - SO-024</t>
  </si>
  <si>
    <t>RRH FOOD GROUP INC - QUEENS AT BOLLYWOOD - GENERIC - SO-26-018</t>
  </si>
  <si>
    <t>INSPIRA PRIME INTERNATIONAL CORPORATION - AQUAFLASK - UPTOWN MALL - SO-26-006</t>
  </si>
  <si>
    <t>TIONG BAHRU PHILIPPINES INC - TIONG BAHRU - GENERIC - SO-26-007</t>
  </si>
  <si>
    <t>SAINT MICHAEL FOODS OPC - DANIELITO'S HOME KITCHEN - GENERIC - SO-26-019</t>
  </si>
  <si>
    <t>CHICKEN DELI - LIAMS BEACH CAFÉ - GENERIC - SO-025</t>
  </si>
  <si>
    <t>CHICKEN DELI - ISSY &amp;CO. - GENERIC - SO-026</t>
  </si>
  <si>
    <t>CHICKEN DELI - M &amp; W - GENERIC - SO-027</t>
  </si>
  <si>
    <t>M W TOWNSTORE - M &amp; W - GENERIC - SO-028</t>
  </si>
  <si>
    <t>JINWEI ENTERPRISES CORP - ARKEN - GENERIC - SO-26-020</t>
  </si>
  <si>
    <t>STEAKS AND MORE OPC - MELOS - SOUTH TRIANGLE QC - SO-26-021</t>
  </si>
  <si>
    <t>TAN JANUARIO JR ABAD - JICATA ENTERPRISES - JO FRANGCO - GENERIC - SO-26-022</t>
  </si>
  <si>
    <t>HUZZAH - HUZZAH - GENERIC - SO-26-023</t>
  </si>
  <si>
    <t>FERCUI VENTURES CORPORATION - FLEXISPOT PH - GENERIC - SO-26-008</t>
  </si>
  <si>
    <t>BALBERO PAUL ANTHONY NO COR YET - NEXSCENTS HOME CARE PRODUCTS - SM MOA - SO-26-024</t>
  </si>
  <si>
    <t>GINTONG PATATAS ENTERPRISES INC - POTATO GIANT - GENERIC - SO-26-025</t>
  </si>
  <si>
    <t>CHICKEN DELI - GONGCHA - GENERIC - SO-030</t>
  </si>
  <si>
    <t>CHICKEN DELI - KARIMADON - GENERIC - SO-031</t>
  </si>
  <si>
    <t>UNIMEDS DRUGSTORE OPC - UNIMEDS DRUGSTORE OPC - SORSOGON - SO-26-009</t>
  </si>
  <si>
    <t>CHICKEN DELI - OJO EYEWEAR - GENERIC - SO-033</t>
  </si>
  <si>
    <t>JASMINE BLOOM TEA INC - SERENITEA - ES: - SO-26-026</t>
  </si>
  <si>
    <t>DRAGONWELL TEA INC - SERENITEA - ES: - SO-26-027</t>
  </si>
  <si>
    <t>ALI SHAN TEA CORP - SERENITEA - ES: - SO-26-028</t>
  </si>
  <si>
    <t>CHICKEN DELI - GONGCHA - GENERIC - SO-032</t>
  </si>
  <si>
    <t>MIZAN FOOD OPC - ARYA - GENERIC - SO-26-029</t>
  </si>
  <si>
    <t>CHICKEN DELI - GONGCHA - GENERIC - SO-034</t>
  </si>
  <si>
    <t>CHICKEN DELI - UNAROSA - GENERIC - SO-039</t>
  </si>
  <si>
    <t>CHICKEN DELI - UNAROSA - GENERIC - SO-040</t>
  </si>
  <si>
    <t>CHICKEN DELI - UNAROSA - GENERIC - SO-041</t>
  </si>
  <si>
    <t>CHICKEN DELI - UNAROSA - GENERIC - SO-042</t>
  </si>
  <si>
    <t>UNIMEDS DRUGSTORE OPC - UNIMEDS DRUGSTORE OPC - SORSOGON - SO-26-010</t>
  </si>
  <si>
    <t>GENMAICHA TEA CORPORATION - SERENITEA - GENERIC - SO-26-030</t>
  </si>
  <si>
    <t>TIMELESS BAR AND RESTAURANT CONCEPTS INC - DILLINGER - GREENBELT 3 - SO-26-031</t>
  </si>
  <si>
    <t>TIU MADONNA PEACE ONGPAUCO - MY HAPPY HOME - GREENHILLS - SO-26-032</t>
  </si>
  <si>
    <t>CANTILLON JOHN JERIC SUMANG - POTATO GIANT - SM DASMARINAS - SO-26-033</t>
  </si>
  <si>
    <t>CHICKEN DELI - SM MASINAG - GENERIC - SO-043</t>
  </si>
  <si>
    <t>CHICKEN DELI - LIAM'S LOMI HOUSE - GENERIC - SO-044</t>
  </si>
  <si>
    <t>CHICKEN DELI - CHOW UNLIMITED  CORP. - GENERIC - SO-045</t>
  </si>
  <si>
    <t>CHICKEN DELI - CHARLIES RESTAURANT - GENERIC - SO-046</t>
  </si>
  <si>
    <t>CHICKEN DELI - PROSHOP - GENERIC - SO-047</t>
  </si>
  <si>
    <t>HUZZAH - HUZZAH - GENERIC - SO-26-034</t>
  </si>
  <si>
    <t>CHICKEN DELI - LIAM'S LOMI HOUSE - GENERIC - SO-048</t>
  </si>
  <si>
    <t>CHICKEN DELI - PAOTSIN - GENERIC - SO-050</t>
  </si>
  <si>
    <t>POL S MOM S PLACE INC - MAMOU - GENERIC - SO-26-035</t>
  </si>
  <si>
    <t>ROCKWELL LAND CORPORATION - ROCKWELL LAND CORPORATION - ROCKWELL MAKATI - SO-26-036</t>
  </si>
  <si>
    <t>ELEVATED FOOD RECIPES INC - HEALTHY SHABU SHABU - ROB. MANILA - SO-26-037</t>
  </si>
  <si>
    <t>CANELLE FOOD CORPORATION - CINNABON - GENERIC - SO-26-038</t>
  </si>
  <si>
    <t>MAXICOLLECTOR VENTURES INC - MAXIWORKS - GENERIC - SO-26-011</t>
  </si>
  <si>
    <t>DERMA 360 CORP - DERMA 360° - GENERIC - SO-26-012</t>
  </si>
  <si>
    <t>CHICKEN DELI - UNAROSA - GENERIC - SO-051</t>
  </si>
  <si>
    <t>CHICKEN DELI - UNAROSA - GENERIC - SO-052</t>
  </si>
  <si>
    <t>CHICKEN DELI - UNAROSA - GENERIC - SO-053</t>
  </si>
  <si>
    <t>CHICKEN DELI - PAOTSIN - GENERIC - SO-054</t>
  </si>
  <si>
    <t>CHICKEN DELI - GONGCHA - GENERIC - SO-056</t>
  </si>
  <si>
    <t>CHICKEN DELI - GONGCHA - GENERIC - SO-057</t>
  </si>
  <si>
    <t>CHICKEN DELI - GONGCHA - GENERIC - SO-058</t>
  </si>
  <si>
    <t>CHICKEN DELI - GONGCHA - GENERIC - SO-059</t>
  </si>
  <si>
    <t>CHICKEN DELI - GONGCHA - GENERIC - SO-060</t>
  </si>
  <si>
    <t>MEGA GOLDTOWN PAN INC - PANDE MANILA - GENERIC - SO-26-040</t>
  </si>
  <si>
    <t>GOLDEN PAN DE SAL INC - PANDE MANILA - GENERIC - SO-26-041</t>
  </si>
  <si>
    <t>PAN DE MANILA FOOD CO INC - PANDE MANILA - ES: - SO-26-042</t>
  </si>
  <si>
    <t>W R I WELLNESS RETAIL INNOVATIONS INC - DR. KONG - NUVALI - SO-26-013</t>
  </si>
  <si>
    <t>RAJO - RAJO - ROCKWELL - SO-26-014</t>
  </si>
  <si>
    <t>ALLURE EMPIRE CORPORATION - CHU CHU BEAUTY - AYALA MALLS CAPITOL CENTRAL BACOLOD - SO-26-015</t>
  </si>
  <si>
    <t>ALLURE EMPIRE CORPORATION - CHU CHU BEAUTY - AYALA MALLS MANILA BAY - SO-26-016</t>
  </si>
  <si>
    <t>M W TOWNSTORE - M &amp; W - GENERIC - SO-061</t>
  </si>
  <si>
    <t>ANONYMOUS - TANTEASE - POWERPLANT MALL ROCKWELL - SO-26-017</t>
  </si>
  <si>
    <t>FERRER PEDRO JR BACOLINAO - SIGNA DRUGSTORE - ALABANG MUNTINLUPA - SO-26-043</t>
  </si>
  <si>
    <t>CHICKEN DELI - MN+LA APPAREL - GENERIC - SO-062</t>
  </si>
  <si>
    <t>BARBAZA MULTI PURPOSE COOPERATIVE - COOP OCEAN VIEW RESORT - POBLACION ANTIQUE - SO-26-043</t>
  </si>
  <si>
    <t>HUZZAH - HUZZAH - GENERIC - SO-26-045</t>
  </si>
  <si>
    <t>CHICKEN DELI - OJO EYEWEAR - GENERIC - SO-063</t>
  </si>
  <si>
    <t>BJW CONCEPT - WHISENHUNT - GENERIC - SO-26-018</t>
  </si>
  <si>
    <t>ONE POTATO TWO POTATO - COMME CI - GENERIC - SO-26-019</t>
  </si>
  <si>
    <t>AURORA CHARLIE FOOD VENTURES INC - MAMOU - GENERIC - SO-26-046</t>
  </si>
  <si>
    <t>FEDERAL PROTECTION SYSTEMS INC - INST.OF CULINARY MNGT.INC. - GENERIC - SO-064</t>
  </si>
  <si>
    <t>ELEMIE NATURALS INC - ELEMIE NATURALS INC - GENERIC - SO-26-047</t>
  </si>
  <si>
    <t>BARBAZA MULTI PURPOSE COOPERATIVE - BARBAZA PHARMACY - GEN LUNA ANTIQUE - SO-26-048</t>
  </si>
  <si>
    <t>RBQ FOOD SPECIALISTS INC - REYES BARBECUE - SAN JUAN - SO-26-049</t>
  </si>
  <si>
    <t>STATEMENT THEORY - STATEMENT THEORY - ROCKWELL - SO-26-020</t>
  </si>
  <si>
    <t>ROSANNA OCAMPO - ROSANNA OCAMPO - ROCKWELL POWERPLANT - SO-26-021</t>
  </si>
  <si>
    <t>CHICKEN DELI - GONGCHA - GENERIC - SO-068</t>
  </si>
  <si>
    <t>HUZZAH - HUZZAH - GENERIC - SO-26-050</t>
  </si>
  <si>
    <t>FEDERAL PROTECTION SYSTEMS INC - INST.OF CULINARY MNGT.INC. - GENERIC - SO-066</t>
  </si>
  <si>
    <t>CHICKEN DELI - GONGCHA - GENERIC - SO-069</t>
  </si>
  <si>
    <t>CHICKEN DELI - GONGCHA - GENERIC - SO-071</t>
  </si>
  <si>
    <t>CHICKEN DELI - WORLD CHIX - GENERIC - SO-072</t>
  </si>
  <si>
    <t>M W TOWNSTORE - M &amp; W - GENERIC - SO-073</t>
  </si>
  <si>
    <t>CHICKEN DELI - GONGCHA - GENERIC - SO-074</t>
  </si>
  <si>
    <t>RIVERO SAMSON TAN - ANSON SHOE PLAZA - GENERIC - SO-26-022</t>
  </si>
  <si>
    <t>CHICKEN DELI - KARIMADON - GENERIC - SO-075</t>
  </si>
  <si>
    <t>CHICKEN DELI - OJO EYEWEAR - GENERIC - SO-076</t>
  </si>
  <si>
    <t>CHICKEN DELI - WORLD CHIX - GENERIC - SO-077</t>
  </si>
  <si>
    <t>ARIZONA ICE CREAM CORPORATION - COLDSTONE - GENERIC - SO-26-051</t>
  </si>
  <si>
    <t>RRH FOOD GROUP INC - QUEENS AT BOLLYWOOD - GENERIC - SO-26-052</t>
  </si>
  <si>
    <t>HRT VENTURES CORPORATION - BARISTART COFFEE CAFÉ (LICENSEE) - GENERIC - SO-26-053</t>
  </si>
  <si>
    <t>BEDA FOOD VENTURES INC - BACOLOD CHICKEN - GENERIC - SO-26-054</t>
  </si>
  <si>
    <t>CHICKEN DELI - WORLD CHIX - GENERIC - SO-078</t>
  </si>
  <si>
    <t>RAJO - RAJO - ROCKWELL - SO-26-023</t>
  </si>
  <si>
    <t>CHUA BEVERLY SANTOS - HOMIE PET - GENERIC - SO-26-055</t>
  </si>
  <si>
    <t>CHICKEN DELI - HUE SIARGAO - GENERIC - SO-079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</si>
</sst>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2">
    <dxf>
      <numFmt numFmtId="0" formatCode="General"/>
    </dxf>
    <dxf>
      <numFmt numFmtId="0" formatCode="Genera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elo" refreshedDate="46163.3776125" createdVersion="8" refreshedVersion="8" minRefreshableVersion="3" recordCount="2472" xr:uid="{EB22E6DA-441A-4F88-89EC-9CC35218AE5D}">
  <cacheSource type="worksheet">
    <worksheetSource name="Table3"/>
  </cacheSource>
  <cacheFields count="14">
    <cacheField name="Client ID" numFmtId="0">
      <sharedItems count="314">
        <s v="ARIZONA ICE CREAM CORPORATION - COLDSTONE - GENERIC"/>
        <s v="CHICKEN DELI - KITCHEN CITY - GENERIC"/>
        <s v="CHICKEN DELI - GONGCHA - GENERIC"/>
        <s v="ELEVATED FOOD RECIPE INC - HEALTHY SHABUSHABU - ROCKWELL"/>
        <s v="SAINT MICHAEL FOOD OPC - MALAYA'S CAFÉ - GENERIC"/>
        <s v="TAN THOMAS DIAN - OON - GENERIC"/>
        <s v="RRH FOOD GROUP INC - QUEENS AT BOLLYWOOD - GENERIC"/>
        <s v="POL S MOM S PLACE INC - MAMOU - AYALA MALLS 30TH"/>
        <s v="ITULID GERARDO ICOTANIM - DAJA FOOD SERVICES - GENERIC"/>
        <s v="CHICKEN DELI - OJO EYEWEAR - GENERIC"/>
        <s v="CHICKEN DELI - MAGOOS - GENERIC"/>
        <s v="BLT GREAT FOOD DINE INC - SIMPLY THAI - GENERIC"/>
        <s v="CHICKEN DELI - CASA REYES - GENERIC"/>
        <s v="COSEIP PHILIP PATRICK TAN - POTATO KING - GENERIC"/>
        <s v="HUZZAH - HUZZAH - GENERIC"/>
        <s v="POL S MOM S PLACE INC - MAMOU - GREENBELT 5"/>
        <s v="CHICKEN DELI - BOWLING - GENERIC"/>
        <s v="CHICKEN DELI - FOODEXPRESS - GENERIC"/>
        <s v="SUNSHINE SUPERMART INC - SUNSHINE SUPERMART - GENERIC"/>
        <s v="SAINT MICHAEL FOODS OPC NO COR YET - MALAYA'S CAFÉ - GENERIC"/>
        <s v="CHICKEN DELI - MN+LA APPAREL - GENERIC"/>
        <s v="LIPA GRILLE RESTAURANT CO - LIPA GRILLE - GENERIC"/>
        <s v="CHICKEN DELI - ISSY &amp;CO. - GENERIC"/>
        <s v="GCU FOOD SERVICES NO COR YET - KRAKEN TAKOYAKI - GENERIC"/>
        <s v="CHICKEN DELI - ASIAN KITCHEN - GENERIC"/>
        <s v="VISUAL MIX INC - BOOKSALE BOOKSTORE - GENERIC"/>
        <s v="ICE CULINARY - CHINESE  INT'L SCHOOL - GENERIC"/>
        <s v="KERDAR NIK INC - ARYA - GENERIC"/>
        <s v="PAMANA AND TSOKOLATERIA CONCEPT FOOD CORPORATION - PAMANA AND TSOKOLATERIA - GENERIC"/>
        <s v="CHICKEN DELI - APT8 - GENERIC"/>
        <s v="MELO S WESTGATE FINE DINING - MELOS - GENERIC"/>
        <s v="ELEVATED FOOD RECIPES INC - HEALTHY SHABU SHABU - GENERIC"/>
        <s v="PAMANA AND TSOKOLATERIA CONCEPT FOOD CORP - PAMANA AND TSOKOLATERIA - GENERIC"/>
        <s v="M W TOWNSTORE - M &amp; W - GENERIC"/>
        <s v="RBQ FOOD SPECIALISTS INC - REYES BARBECUE - SM MOA"/>
        <s v="FEDERAL PROTECTION SYSTEMS INC - INST.OF CULINARY MNGT.INC. - GENERIC"/>
        <s v="ELEVATED FOOD RECIPE INC - HEALTHY SHABUSHABU - GENERIC"/>
        <s v="OUT OF NOWHERE KITCHEN INC - OON - GENERIC"/>
        <s v="HEXAGON LOUNGE INC - HEXAGON LOUNGE INC. - GENERIC"/>
        <s v="SIMPLY GOURMET FOOD CORP NO COR YET - CHA TRA MUE - SM MOA"/>
        <s v="PARAW RESTAURANT INC - MOLAVE - EL NIDO PALAWAN"/>
        <s v="CHICKEN DELI - TILLO - GENERIC"/>
        <s v="DRAGONWELL TEA INC - SERENITEA - GENERIC"/>
        <s v="CHICKEN DELI - GOOD MOLECULES - GENERIC"/>
        <s v="TATAY S GRILL INC - TATAY'S GRILL INC - GENERIC"/>
        <s v="CHICKEN DELI - LUCKY BEAUTY  1 - GENERIC"/>
        <s v="CHICKEN DELI - LUCKY BEAUTY 2 - GENERIC"/>
        <s v="JASMINE BLOOM TEA INC - SERENITEA - GENERIC"/>
        <s v="ARTWORK INCORPORATED - ARTWORK INCORPORATED - GENERIC"/>
        <s v="MYL SKIN CARE - VMV MEGAMALL - GENERIC"/>
        <s v="CHICKEN DELI - KARIMADON - GENERIC"/>
        <s v="SERENITEA CO - SERENITEA - ES:"/>
        <s v="ALI SHAN TEA CORP - SERENITEA - ES:"/>
        <s v="CHICKEN DELI - LUCKY BEAUTY 3 - GENERIC"/>
        <s v="DRAGONWELL TEA INC - SERENITEA - ES:"/>
        <s v="CHICKEN DELI - WORLD CHIX - GENERIC"/>
        <s v="JASMINE BLOOM TEA INC - SERENITEA - ES:"/>
        <s v="POL S MOM S PLACE INC - MAMOU - GENERIC"/>
        <s v="CHICKEN DELI - SHISEIDO - GENERIC"/>
        <s v="MYHAPPYHOME LIFESTYLE WARES TRADING - MY HAPPY HOME - GREENHILLS"/>
        <s v="ROCKWELL LAND CORPORATION - ROCKWELL LAND CORPORATION - GENERIC"/>
        <s v="GINTONG PATATAS ENTERPRISES INC - POTATO GIANT - SM CABANATUAN"/>
        <s v="BERNABE PAOLO CAJILI - BACOLOD CHICKEN - GENERIC"/>
        <s v="CHICKEN DELI - THE TEA HOUSE - GENERIC"/>
        <s v="CHICKEN DELI - HARVEST HOTEL - GENERIC"/>
        <s v="SERENITEA - SERENITEA - GENERIC"/>
        <s v="AAJ IT SOLUTIONS INC - AAJ IT SOLUTIONS INC - GENERIC"/>
        <s v="CALEDIAN INC - CALEDIAN INC - GENERIC"/>
        <s v="SJ SHAW FOOD CORP - FAMOUS AMOS - SM STA ROSA"/>
        <s v="GINTONG PATATAS ENTERPRISES INC - POTATO GIANT - GENERIC"/>
        <s v="CHICKEN DELI - LOBBY 385 - GENERIC"/>
        <s v="SERENITEA CHA KITCHEN INC - SERENITEA - GENERIC"/>
        <s v="SAN BROS PHARMACY CORP - TGP FRANCHISE - GENERIC"/>
        <s v="CANELLE FOOD CORPORATION - CINNABON - GENERIC"/>
        <s v="CHICKEN DELI - SM MASINAG - GENERIC"/>
        <s v="MANDARIN SKY EXPRESS INC - MANDARIN SKY EXPRESS INC. - GENERIC"/>
        <s v="B R I M M I N G ENTERPRISES INC - REYES BARBECUE - GENERIC"/>
        <s v="VA BENE PASTA DELI - VA BENE PASTA DELI - GENERIC"/>
        <s v="HARRY S CAF - HARRY'S CAFÉ - GENERIC"/>
        <s v="UPWARD IDEAS APPAREL CORP - KLEAN KANTEEN - SM MEGAMALL"/>
        <s v="HEXAGON LOUNGE INC - HEXAGON - GENERIC"/>
        <s v="MY GOLDEN TEA LEAF INC - SERENITEA - PETRON DON-ANTONIO"/>
        <s v="CHICKEN DELI - PROSHOP - GENERIC"/>
        <s v="BOOKSALE CEBU INC - BOOKSALE - ES:"/>
        <s v="VISUAL MIX INC - BOOKSALE - GENERIC"/>
        <s v="PAMIS ELSA CAPUNO - ELS TREN DS APPAREL STORE - GENERIC"/>
        <s v="VILLSIBS INC - POTATO CORNER - GENERIC"/>
        <s v="CHICKEN DELI - GENERIC - GENERIC"/>
        <s v="WK PRIME SUPREME HOLDINGS INC - PRETZEL MAKER - ZAMBOANGA"/>
        <s v="ASSAM TEA CORPORATION - SERENITEA - GENERIC"/>
        <s v="OSMANTHUS TEA CORPORATION - SERENITEA - GENERIC"/>
        <s v="MY GOLDEN TEA LEAF INC - SERENITEA - GENERIC"/>
        <s v="DARJEELING TEA CORPORATION - SERENITEA - GENERIC"/>
        <s v="GENMAICHA TEA CORPORATION - SERENITEA - GENERIC"/>
        <s v="DAGDAGAN MICHAEL ENRICO SY - KALBROS BAR AND RESTAURANT - GENERIC"/>
        <s v="TRE FIL HOLDINGS CORPORATION - COLONIAL CREAMERY - AYALA FAIRVIEW TERRACES"/>
        <s v="TERRISAN INC - ISSHIN - MAKATI"/>
        <s v="GOLAMCO GRIFFIN MICHALE DEL ROSARIO - MASTER AIRSOFT - GENERIC"/>
        <s v="OUT OF NOWHERE KITCHEN INC - TONALA (OON) - GENERIC"/>
        <s v="BEDA FOOD VENTURES INC - BACOLOD CHICKEN - GENERIC"/>
        <s v="SIMBAJON ROEL MARALA - FRUITS IN ICE CREAM - GENERIC"/>
        <s v="TRE FIL HOLDINGS CORPORATION - COLONIAL CREAMERY - SM MARIKINA"/>
        <s v="SAINT MICHAEL FOODS OPC - MALAYA'S CAFÉ - GENERIC"/>
        <s v="SAINT MICHAEL FOODS OPC - DANIELITO'S HOME KITCHEN - GENERIC"/>
        <s v="MADE NICE INC - MADE NICE INC. - MAMOU - ROCKWELL"/>
        <s v="CALERO NINA RAMOS - EUROBAKE RESTAURANT BAKESHOP - SHOPPESVILLE"/>
        <s v="CHICKEN DELI - BABY NATHAN'S KITCHEN CORP. - GENERIC"/>
        <s v="CHICKEN DELI - J&amp;G - GENERIC"/>
        <s v="CHICKEN DELI - GONGCHA PHILS. - GENERIC"/>
        <s v="POTATO GIANT NO COR YET - POTATO GIANT - SM BALIWAG"/>
        <s v="PANDE MANILA FOOD CO INC - PANDE MANILA - SANTOLAN TOWN PLAZA"/>
        <s v="JUST SIMPLE BAKE HOUSE INC - LORD STOW'S BAKERY - SKY GARDEN ONGPIN"/>
        <s v="CHICKEN DELI - HENLIN - GENERIC"/>
        <s v="HENLIN OUTLET LIPA NO COR YET - HENLIN - OUTLET LIPA"/>
        <s v="CHICKEN DELI - PAOTSIN - GENERIC"/>
        <s v="IZZA CABONCE MARQUEZ - LUTONG ILOCANO - GENERIC"/>
        <s v="AZIAN CRYSTAL CORPORATION - AZIAN CRYSTAL CORPORATION - SM MOA"/>
        <s v="HRT VENTURES CORPORATION - BARISTART COFFEE CAFÉ (LICENSEE) - GENERIC"/>
        <s v="SIMPLY GOURMET FOOD CORP NO COR YET - CHA TRA MUE - ROB. GALLERIA"/>
        <s v="SIMPLY GOURMET FOOD CORP NO COR YET - CHA TRA MUE - ROB. ANTIPOLO"/>
        <s v="AURORA CHARLIE FOOD VENTURES INC - MAMOU - GATEWAY"/>
        <s v="VERONES CAROLYN GONZALEZ - VA BENE PASTA DELI - BGC"/>
        <s v="SHIN CLARA FOOD CORPORATION - SHIN CLARA FOOD CORP. - GENERIC"/>
        <s v="ARTWORK INCORPORATED - ARTWORK INC - GENERIC"/>
        <s v="CHICKEN DELI - VMV - GENERIC"/>
        <s v="CHICKEN DELI - HIT BY THE ROAD - GENERIC"/>
        <s v="TRE FIL HOLDINGS CORPORATION - COLONIAL CREAMERY - AYALA MALLS CLOVERLEAF"/>
        <s v="ROMAN CULINARY GROUP INC - ROMAN RESTAURANT - GENERIC"/>
        <s v="GENMAICHA TEA CORP - SERENITEA - GENERIC"/>
        <s v="THE BIG CHILL INC - THE BIG CHILL INC - ROCKWELL"/>
        <s v="CINNALAND FOOD CORPORATION - CINNABON - SM DAVAO"/>
        <s v="CHICKEN DELI - HUE BORACAY - GENERIC"/>
        <s v="DE LA PENA MARICAR LANASA - MANNY'S SEAFOOD AND GRILL - AYALA MALL BACOLOD"/>
        <s v="NEW BOMBAY FOODS INC - NEW BOMBAY - GENERIC"/>
        <s v="SWEET STOP STATION INC - CINNABON - GENERIC"/>
        <s v="AZIAN CRYSTAL CORPORATION NO COR YET - KUANG HENG - ROB. MANILA"/>
        <s v="TIMELESS BAR AND RESTAURANT CONCEPTS INC - DILLINGER - GENERIC"/>
        <s v="CHICKEN DELI - M &amp; W - GENERIC"/>
        <s v="SB RESTAURANTS INC - STEAK BREAK - GENERIC"/>
        <s v="RAFAEL PUA TONILENE ESPINOZA - BC BOS' CHOW CARINDERIA - GENERIC"/>
        <s v="CHICKEN DELI - OMBU KUSINA - GENERIC"/>
        <s v="METROMART NO COR YET - METROMART - VERMOSA"/>
        <s v="WISHLEAF CAF INC - SERENITEA - GENERIC"/>
        <s v="SARI SARI AI CORPORATION - TOMORO - PAVILLION MALL LAGUNA"/>
        <s v="CMISS CORPORATION - CMISS CORPORATION - BULACAN"/>
        <s v="CERRA DENTAL HEALTH CORPORATION - DENTAL SMILES - GENERIC"/>
        <s v="PUA JOHN PAUL BANGUG - SIZZLE MANIA (BOS' CHOW) - SM CENTER TUGUEGARAO DOWNTOWN"/>
        <s v="CHICKINGS RESTAURANT - CHICKINGS RESTAURANT - MANILA BAY"/>
        <s v="PENACERRADA CHRISTIAN DELA CRUZ - ISDANG PULO - GENERIC"/>
        <s v="CHICKEN DELI - BLANC NUE - GENERIC"/>
        <s v="GREEN LIFE ECOBAGS INC - ZARAH JUAN - GENERIC"/>
        <s v="JUST SIMPLE BAKE HOUSE INC - LORD STOW'S BAKERY - GENERIC"/>
        <s v="METROMART - METROMART - VERMOSA"/>
        <s v="AURORA CHARLIE FOOD VENTURES INC - MAMOU - GREENBELT 5"/>
        <s v="PUA JOHN PAUL BANGUG - SIZZLE MANIA (BOS' CHOW) - ROBINSONS PLACE TUGUEGARAO"/>
        <s v="BALDEVIA APRIL JOY LEDESMA - SAMU ADVERTISEMENT MARKETING - SM CITY BACOLOD"/>
        <s v="CHICKEN DELI - HUE PALAWAN - GENERIC"/>
        <s v="MCMANA TRADING AND SERVICES INC - MCMANA TRADING - GENERIC"/>
        <s v="CHICKEN DELI - HUE SIARGAO - GENERIC"/>
        <s v="MCMANA TRADING AND SERVICES INC - MCMANA TRADING - MANILA GOLD COUNTRY CLUB (S LOUNGE)"/>
        <s v="MCMANA TRADING AND SERVICES INC - MCMANA TRADING - MANILA GOLD COUNTRY CLUB"/>
        <s v="ROCKWELL LAND CORPORATION - ROCKWELL LAND CORPORATION - ROCKWELL MAKATI"/>
        <s v="CHICKEN DELI - SUPERBOWL - GENERIC"/>
        <s v="LJ ROMANTIC RESTAURANT CORPORATION - ROMANTIC BABOY - GENERIC"/>
        <s v="SENA MA DIANNE ABIGAIL GAMBOA - YOOHOO - GENERIC"/>
        <s v="CHICKEN DELI - FRANCESCO REST. - GENERIC"/>
        <s v="JIBRILS SPECIALTY FOODS INC - JSFI CHICKEN BACOLOD - GLORIETTA 4"/>
        <s v="CRUZ MIRAFLOR DOMINGO - ARTISAN EMPORIUM - GENERIC"/>
        <s v="JIBRILS SPECIALTY FOODS INC - JSFI CHICKEN BACOLOD - MARKET MARKET"/>
        <s v="JUST SIMPLE BAKE HOUSE INC - LORD STOW'S BAKERY - TRINOMA"/>
        <s v="MY GOLDEN TEA LEAF INC - SERENITEA - ROB. MANILA"/>
        <s v="SJ SHAW FOOD CORP - FAMOUS AMOS - GENERIC"/>
        <s v="BERTULFO NEIL AGUILAR - NEIL'S LECHON CEBU - GENERIC"/>
        <s v="TEA CRAFT CORP - YIFANG TAIWAN FRUIT TEA - GENERIC"/>
        <s v="CHICKEN DELI - THE VIEW REST. - GENERIC"/>
        <s v="CHICKEN DELI - PAPA DOMS BAR &amp; REST. - GENERIC"/>
        <s v="CHICKEN DELI - MORIBIZ RESTAURANT - GENERIC"/>
        <s v="JIBRILS SPECIALTY FOODS INC - JSFI CHICKEN BACOLOD - NORTH EXCHANGE"/>
        <s v="CHICKEN DELI - ROB.ERMITA - GENERIC"/>
        <s v="ROKUGROUP INC - NARA THAI - GENERIC"/>
        <s v="ARTHUR S PRIME MANILA INC - ARTHUR'S PRIME MANILA INC. - MANILA GOLF FAIRWAYS"/>
        <s v="CHICKEN DELI - BAGUIO - GENERIC"/>
        <s v="ETHERNAL BRIGHT SANCTUARY INC - LALA'S RESTAURANT - GENERIC"/>
        <s v="THREE STARS VENTURES INC - FLUFF PANCAKES &amp;  COFFEE - ROB. MANILA"/>
        <s v="CANELLE FOOD CORPORATION - CINNABON - ES:"/>
        <s v="2SWR GROUPS INC - CINNABON - ES:"/>
        <s v="CINNALAND FOOD CORPORATION - CINNABON - ES:"/>
        <s v="CINNAROLL BAKERY CORPORATION - CINNABON - ES:"/>
        <s v="FROSTED BAKED BUNS CORP - CINNABON - ES:"/>
        <s v="FROSTED ROLLS INC - CINNABON - ES:"/>
        <s v="FROSTING ON ROLLS INC - CINNABON - ES:"/>
        <s v="IGO WAFU FOOD CORP - CINNABON - ES:"/>
        <s v="ILO CANELLA FOOD CORPORATION - CINNABON - ES:"/>
        <s v="LNF FOOD INC - CINNABON - ES:"/>
        <s v="ROADSIDE ROLLS FOOD CORP - CINNABON - ES:"/>
        <s v="SWEET AND FROSTED INC - CINNABON - ES:"/>
        <s v="SWEET STOP STATION INC - CINNABON - ES:"/>
        <s v="SYM2PLY DELICIOUS CORP - CINNABON - ES:"/>
        <s v="VILLAVIZ CORPORATION - BACOLOD CHICKEN - GENERIC"/>
        <s v="CHICKEN DELI - UMBO KUSINA - GENERIC"/>
        <s v="CHICKEN DELI - COSTA SOLANA - GENERIC"/>
        <s v="GREEN HORIZON FORTUNE TRADING CO - 5-11 TACTICAL - TRINOMA"/>
        <s v="ELEGANT TRIO COLORS CORPORATION - JAZZY FRANCE - AYALA MALLS FELIZ"/>
        <s v="TIONG BAHRU PHILIPPINES INC - TIONG BAHRU - GENERIC"/>
        <s v="JUAMALU COUTURE - RHETT EALA - GENERIC"/>
        <s v="GRIMALKIN CORPORATION - NINETYGO - SM BICUTAN"/>
        <s v="ROSANNA OCAMPO - ROSANNA OCAMPO - ROCKWELL POWERPLANT"/>
        <s v="LIGHTERS GALORE - LIGHTERS GALORE - GATEWAY"/>
        <s v="EXTREME OUTDOOR ADVENTURE CORP - EXTREME OUTDOOR ADVENTURES - GENERIC"/>
        <s v="BIG BRANDS CLOTHING OUTLET CORP - BIG BRANDS - GENERIC"/>
        <s v="RHETT EALA - RHETT EALA - ROCKWELL"/>
        <s v="LEAL JESSICA JOYCE LAO - SHOP SAMAHAN - AYALA MALLS CAPITOL CENTRAL BACOLOD"/>
        <s v="W R I WELLNESS RETAIL INNOVATIONS INC - DR. KONG - GENERIC"/>
        <s v="TIONG BAHRU PHILIPPINES INC - TIONG BAHRU - ATC"/>
        <s v="TIONG BAHRU PHILIPPINES INC - TIONG BAHRU - ESTANCIA"/>
        <s v="STAR 360 PHILIPPINES INC - YANKEE CANDLES - SM NORTH EDSA"/>
        <s v="RAJO - RAJO - ROCKWELL &amp; SHNAG"/>
        <s v="HET STROOPWAFEL HUIS - STOOP &amp; ZO - GENERIC"/>
        <s v="KANEFIL GLOBE ENTERPRISES CORPORATION - KANEBO - GENERIC"/>
        <s v="TIONG BAHRU PHILIPPINES INC - TIONG BAHRU - GREENHILLS"/>
        <s v="BIG BRANDS CLOTHING OUTLET CORP - BIG BRANDS - ROBINSONS IMUS"/>
        <s v="HOUSE OF OBAGI - HOUSE OF OBAGI - ROBINSONS PLACE MANILA"/>
        <s v="W R I WELLNESS RETAIL INNOVATIONS INC - DR. KONG - TRINOMA"/>
        <s v="METROCLE ALLIANCE CORP - SIGNET - GENERIC"/>
        <s v="ANONYMOUS - FUN CITY - CIRCUIT MAKATI"/>
        <s v="ANONYMOUS - FUN CITY - AYALA MALLS MANILA BAY"/>
        <s v="ANONYMOUS - FUN CITY - VERTIS NORTH"/>
        <s v="JASANNE INCORPORATED - TERRIE FASHION BOUTIQUE - GENERIC"/>
        <s v="STATEMENT THEORY - STATEMENT THEORY - ROCKWELL"/>
        <s v="ANONYMOUS - DERMA 360° - GENERIC"/>
        <s v="W R I WELLNESS RETAIL INNOVATIONS INC - DR. KONG - GRAND CENTRAL"/>
        <s v="PHARMASAFE INC - MUSTELA - SM MEGAMALL"/>
        <s v="PHARMASAFE INC - MUSTELA - SM MOA"/>
        <s v="PHARMASAFE INC - MUSTELA - AYALA CEBU"/>
        <s v="BIG BRANDS CLOTHING OUTLET CORP - BIG BRANDS - ROBINSONS STA ROSA"/>
        <s v="MIRANDA MICHAEL BORBON - MICHAEL &amp; CELEST - 168 SHOPPING MALL C1"/>
        <s v="MIRANDA MICHAEL BORBON - MICHAEL &amp; CELEST - 168 SHOPPING MALL C3"/>
        <s v="TANTEASE INC - TANTEASE - POWERPLANT MALL ROCKWELL"/>
        <s v="ANONYMOUS - FUN CITY - AYALA MALLS FELIZ"/>
        <s v="INSPIRA PRIME INTERNATIONAL CORPORATION - AQUAFLASK - GENERIC"/>
        <s v="HAPPY CREATIVE VENTURES INC - THE HAPPY STATION - GENERIC"/>
        <s v="ALLURE EMPIRE CORPORATION - CHU CHU BEAUTY (HOS) - TONDO MANILA"/>
        <s v="ALLURE EMPIRE CORPORATION - CHU CHU BEAUTY - GREENHILLS"/>
        <s v="ALLURE EMPIRE CORPORATION - CHU CHU BEAUTY - FESTIVAL MALL"/>
        <s v="ALLURE EMPIRE CORPORATION - CHU CHU BEAUTY - GLORIETTA"/>
        <s v="W R I WELLNESS RETAIL INNOVATIONS INC - DR. KONG - HEAD OFFICE"/>
        <s v="CCGC TRADING CORPORATION - LIGHTERS GALORE - GATEWAY"/>
        <s v="OLAES CHRISTIAN GERALD TORRES - THE CRUNCH - GENERIC"/>
        <s v="MMG TRUE ENTERPRISE INCORPORATED - TRUE VISION - GENERIC"/>
        <s v="INSPIRA PRIME INTERNATIONAL CORPORATION - MOTO - GENERIC"/>
        <s v="CORTEZ IAN CARL CORPUZ - FERINO'S CAFÉ - GENERIC"/>
        <s v="DAN S BIKE - DAN'S BIKE - ATC"/>
        <s v="SIAPNO TADA OPTICAL INC - SIAPNO-TADA OPTICAL - GENERIC"/>
        <s v="FRANKIE GENERAL STORE - FRANKIE GENERAL STORE - GENERIC"/>
        <s v="INSPIRA PRIME INTERNATIONAL CORPORATION - AQUAFLASK DESIGN - GENERIC"/>
        <s v="THE VALLEY STORE PH - THE VALLEY - AYALA MALLS THE 30TH"/>
        <s v="STAR 360 PHILIPPINES INC - YANKEE CANDLES - SM MOA"/>
        <s v="DERMA 360 CORP - DERMA 360° - GENERIC"/>
        <s v="THE DAYKEEPER INC - FRANKIE GENERAL STORE - GENERIC"/>
        <s v="COCOON INC - NAIL SPA - GENERIC"/>
        <s v="W R I WELLNESS RETAIL INNOVATIONS INC - DR. KONG - FAIVIEW TERRACES"/>
        <s v="W R I WELLNESS RETAIL INNOVATIONS INC - DR. KONG - MARKET MARKET"/>
        <s v="DAN S BIKESHOP INC - DAN'S BIKESHOP - GENERIC"/>
        <s v="WHITE PERUGIA OPC - RHETT EALA - ROCKWELL"/>
        <s v="ALLURE EMPIRE CORPORATION - CHU CHU BEAUTY - MARKET! MARKET!"/>
        <s v="ALLURE EMPIRE CORPORATION - CHU CHU BEAUTY - ARCA SOUTH"/>
        <s v="TRE FIL HOLDINGS CORPORATION - COLONIAL CREAMERY - AYALA MALLS MANILA BAY"/>
        <s v="CHUA BEVERLY SANTOS - HOMIE PET - GENERIC"/>
        <s v="GENMAICHA TEA CORPORATION - SERENITEA - NLEX"/>
        <s v="CHICKEN DELI - VICE COSMETICS - GENERIC"/>
        <s v="SEVILLA MARLON JR GUANO - MASTER SIOMAI - GENERIC"/>
        <s v="SHIN CLARA FOOD CORPORATION - SHIN CLARA FOOD CORP. - MARKET! MARKET!"/>
        <s v="CHICKEN DELI - PAOTSIN ERMITA - GENERIC"/>
        <s v="ARTWORK INCORPORATED - ARTWORK INCORPORATED - ES:"/>
        <s v="KCC HTS PTE LTP CORP NO COR YET - KAJIKEN - GENERIC"/>
        <s v="ETHERNAL BRIGHT SANCTUARY INC - LALA'S RESTAURANT - QUEZON CITY"/>
        <s v="JINWEI ENTERPRISES CORP - ARKEN - GENERIC"/>
        <s v="STEAKS AND MORE OPC - MELOS - SOUTH TRIANGLE QC"/>
        <s v="TAN JANUARIO JR ABAD - JICATA ENTERPRISES - JO FRANGCO - GENERIC"/>
        <s v="CHICKEN DELI - CHARLIES RESTAURANT - GENERIC"/>
        <s v="BALBERO PAUL ANTHONY NO COR YET - NEXSCENTS HOME CARE PRODUCTS - SM MOA"/>
        <s v="CHICKEN DELI - LIAMS BEACH CAFÉ - GENERIC"/>
        <s v="MIZAN FOOD OPC - ARYA - GENERIC"/>
        <s v="TIMELESS BAR AND RESTAURANT CONCEPTS INC - DILLINGER - GREENBELT 3"/>
        <s v="TIU MADONNA PEACE ONGPAUCO - MY HAPPY HOME - GREENHILLS"/>
        <s v="CANTILLON JOHN JERIC SUMANG - POTATO GIANT - SM DASMARINAS"/>
        <s v="ELEVATED FOOD RECIPES INC - HEALTHY SHABU SHABU - ROB. MANILA"/>
        <s v="CHICKEN DELI - UNAROSA - GENERIC"/>
        <s v="MEGA GOLDTOWN PAN INC - PANDE MANILA - GENERIC"/>
        <s v="GOLDEN PAN DE SAL INC - PANDE MANILA - GENERIC"/>
        <s v="PAN DE MANILA FOOD CO INC - PANDE MANILA - ES:"/>
        <s v="FERRER PEDRO JR BACOLINAO - SIGNA DRUGSTORE - ALABANG MUNTINLUPA"/>
        <s v="BARBAZA MULTI PURPOSE COOPERATIVE - COOP OCEAN VIEW RESORT - POBLACION ANTIQUE"/>
        <s v="CHICKEN DELI - LIAM'S LOMI HOUSE - GENERIC"/>
        <s v="CHICKEN DELI - CHOW UNLIMITED  CORP. - GENERIC"/>
        <s v="AURORA CHARLIE FOOD VENTURES INC - MAMOU - GENERIC"/>
        <s v="ELEMIE NATURALS INC - ELEMIE NATURALS INC - GENERIC"/>
        <s v="BARBAZA MULTI PURPOSE COOPERATIVE - BARBAZA PHARMACY - GEN LUNA ANTIQUE"/>
        <s v="RBQ FOOD SPECIALISTS INC - REYES BARBECUE - SAN JUAN"/>
        <s v="HET STROOPWAFEL HUIS - STROOP &amp; ZO - OBINSONS GALLERIA"/>
        <s v="TAN CHARISSE MESINA - THE ECO SHIFT - ATC"/>
        <s v="TERO RAQUEL HARALVE - KARYL TOY STORE - GENERIC"/>
        <s v="INSPIRA PRIME INTERNATIONAL CORPORATION - AQUAFLASK - UPTOWN MALL"/>
        <s v="FERCUI VENTURES CORPORATION - FLEXISPOT PH - GENERIC"/>
        <s v="UNIMEDS DRUGSTORE OPC - UNIMEDS DRUGSTORE OPC - SORSOGON"/>
        <s v="MAXICOLLECTOR VENTURES INC - MAXIWORKS - GENERIC"/>
        <s v="W R I WELLNESS RETAIL INNOVATIONS INC - DR. KONG - NUVALI"/>
        <s v="RAJO - RAJO - ROCKWELL"/>
        <s v="ALLURE EMPIRE CORPORATION - CHU CHU BEAUTY - AYALA MALLS CAPITOL CENTRAL BACOLOD"/>
        <s v="ALLURE EMPIRE CORPORATION - CHU CHU BEAUTY - AYALA MALLS MANILA BAY"/>
        <s v="ANONYMOUS - TANTEASE - POWERPLANT MALL ROCKWELL"/>
        <s v="BJW CONCEPT - WHISENHUNT - GENERIC"/>
        <s v="ONE POTATO TWO POTATO - COMME CI - GENERIC"/>
        <s v="RIVERO SAMSON TAN - ANSON SHOE PLAZA - GENERIC"/>
      </sharedItems>
    </cacheField>
    <cacheField name="Order ID" numFmtId="0">
      <sharedItems/>
    </cacheField>
    <cacheField name="SO Number" numFmtId="0">
      <sharedItems/>
    </cacheField>
    <cacheField name="Company Name" numFmtId="0">
      <sharedItems/>
    </cacheField>
    <cacheField name="Store Name" numFmtId="0">
      <sharedItems/>
    </cacheField>
    <cacheField name="Store Branch / Address" numFmtId="0">
      <sharedItems/>
    </cacheField>
    <cacheField name="Terms of Payment" numFmtId="0">
      <sharedItems/>
    </cacheField>
    <cacheField name="Order Date" numFmtId="0">
      <sharedItems/>
    </cacheField>
    <cacheField name="Description / Particulars" numFmtId="0">
      <sharedItems longText="1"/>
    </cacheField>
    <cacheField name="Qty" numFmtId="0">
      <sharedItems containsSemiMixedTypes="0" containsString="0" containsNumber="1" containsInteger="1" minValue="1" maxValue="1500"/>
    </cacheField>
    <cacheField name="Unit Cost" numFmtId="0">
      <sharedItems containsSemiMixedTypes="0" containsString="0" containsNumber="1" minValue="0" maxValue="250000"/>
    </cacheField>
    <cacheField name="Selling Price" numFmtId="0">
      <sharedItems containsSemiMixedTypes="0" containsString="0" containsNumber="1" minValue="0" maxValue="298000"/>
    </cacheField>
    <cacheField name="Total Amount" numFmtId="0">
      <sharedItems containsSemiMixedTypes="0" containsString="0" containsNumber="1" minValue="0" maxValue="3808500"/>
    </cacheField>
    <cacheField name="Staff compil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elo" refreshedDate="46163.389156481484" backgroundQuery="1" createdVersion="8" refreshedVersion="8" minRefreshableVersion="3" recordCount="0" supportSubquery="1" supportAdvancedDrill="1" xr:uid="{78CD6C90-2889-4970-9623-4ABFC7380036}">
  <cacheSource type="external" connectionId="1"/>
  <cacheFields count="3">
    <cacheField name="[Table3].[Client ID].[Client ID]" caption="Client ID" numFmtId="0" level="1">
      <sharedItems count="10">
        <s v="CHICKEN DELI - CHARLIES RESTAURANT - GENERIC"/>
        <s v="CHICKEN DELI - GONGCHA - GENERIC"/>
        <s v="CHICKEN DELI - HUE BORACAY - GENERIC"/>
        <s v="CHICKEN DELI - HUE SIARGAO - GENERIC"/>
        <s v="CHICKEN DELI - ISSY &amp;CO. - GENERIC"/>
        <s v="CHICKEN DELI - KITCHEN CITY - GENERIC"/>
        <s v="CHICKEN DELI - M &amp; W - GENERIC"/>
        <s v="LIPA GRILLE RESTAURANT CO - LIPA GRILLE - GENERIC"/>
        <s v="M W TOWNSTORE - M &amp; W - GENERIC"/>
        <s v="TIONG BAHRU PHILIPPINES INC - TIONG BAHRU - GENERIC"/>
      </sharedItems>
    </cacheField>
    <cacheField name="[Measures].[Sum of Total Amount]" caption="Sum of Total Amount" numFmtId="0" hierarchy="17" level="32767"/>
    <cacheField name="[Measures].[Distinct Count of Order ID]" caption="Distinct Count of Order ID" numFmtId="0" hierarchy="18" level="32767"/>
  </cacheFields>
  <cacheHierarchies count="19">
    <cacheHierarchy uniqueName="[Table3].[Client ID]" caption="Client ID" attribute="1" defaultMemberUniqueName="[Table3].[Client ID].[All]" allUniqueName="[Table3].[Client ID].[All]" dimensionUniqueName="[Table3]" displayFolder="" count="2" memberValueDatatype="130" unbalanced="0">
      <fieldsUsage count="2">
        <fieldUsage x="-1"/>
        <fieldUsage x="0"/>
      </fieldsUsage>
    </cacheHierarchy>
    <cacheHierarchy uniqueName="[Table3].[Order ID]" caption="Order ID" attribute="1" defaultMemberUniqueName="[Table3].[Order ID].[All]" allUniqueName="[Table3].[Order ID].[All]" dimensionUniqueName="[Table3]" displayFolder="" count="0" memberValueDatatype="130" unbalanced="0"/>
    <cacheHierarchy uniqueName="[Table3].[SO Number]" caption="SO Number" attribute="1" defaultMemberUniqueName="[Table3].[SO Number].[All]" allUniqueName="[Table3].[SO Number].[All]" dimensionUniqueName="[Table3]" displayFolder="" count="0" memberValueDatatype="130" unbalanced="0"/>
    <cacheHierarchy uniqueName="[Table3].[Company Name]" caption="Company Name" attribute="1" defaultMemberUniqueName="[Table3].[Company Name].[All]" allUniqueName="[Table3].[Company Name].[All]" dimensionUniqueName="[Table3]" displayFolder="" count="0" memberValueDatatype="130" unbalanced="0"/>
    <cacheHierarchy uniqueName="[Table3].[Store Name]" caption="Store Name" attribute="1" defaultMemberUniqueName="[Table3].[Store Name].[All]" allUniqueName="[Table3].[Store Name].[All]" dimensionUniqueName="[Table3]" displayFolder="" count="0" memberValueDatatype="130" unbalanced="0"/>
    <cacheHierarchy uniqueName="[Table3].[Store Branch / Address]" caption="Store Branch / Address" attribute="1" defaultMemberUniqueName="[Table3].[Store Branch / Address].[All]" allUniqueName="[Table3].[Store Branch / Address].[All]" dimensionUniqueName="[Table3]" displayFolder="" count="0" memberValueDatatype="130" unbalanced="0"/>
    <cacheHierarchy uniqueName="[Table3].[Terms of Payment]" caption="Terms of Payment" attribute="1" defaultMemberUniqueName="[Table3].[Terms of Payment].[All]" allUniqueName="[Table3].[Terms of Payment].[All]" dimensionUniqueName="[Table3]" displayFolder="" count="0" memberValueDatatype="130" unbalanced="0"/>
    <cacheHierarchy uniqueName="[Table3].[Order Date]" caption="Order Date" attribute="1" defaultMemberUniqueName="[Table3].[Order Date].[All]" allUniqueName="[Table3].[Order Date].[All]" dimensionUniqueName="[Table3]" displayFolder="" count="0" memberValueDatatype="130" unbalanced="0"/>
    <cacheHierarchy uniqueName="[Table3].[Description / Particulars]" caption="Description / Particulars" attribute="1" defaultMemberUniqueName="[Table3].[Description / Particulars].[All]" allUniqueName="[Table3].[Description / Particulars].[All]" dimensionUniqueName="[Table3]" displayFolder="" count="0" memberValueDatatype="130" unbalanced="0"/>
    <cacheHierarchy uniqueName="[Table3].[Qty]" caption="Qty" attribute="1" defaultMemberUniqueName="[Table3].[Qty].[All]" allUniqueName="[Table3].[Qty].[All]" dimensionUniqueName="[Table3]" displayFolder="" count="0" memberValueDatatype="20" unbalanced="0"/>
    <cacheHierarchy uniqueName="[Table3].[Unit Cost]" caption="Unit Cost" attribute="1" defaultMemberUniqueName="[Table3].[Unit Cost].[All]" allUniqueName="[Table3].[Unit Cost].[All]" dimensionUniqueName="[Table3]" displayFolder="" count="0" memberValueDatatype="5" unbalanced="0"/>
    <cacheHierarchy uniqueName="[Table3].[Selling Price]" caption="Selling Price" attribute="1" defaultMemberUniqueName="[Table3].[Selling Price].[All]" allUniqueName="[Table3].[Selling Price].[All]" dimensionUniqueName="[Table3]" displayFolder="" count="0" memberValueDatatype="5" unbalanced="0"/>
    <cacheHierarchy uniqueName="[Table3].[Total Amount]" caption="Total Amount" attribute="1" defaultMemberUniqueName="[Table3].[Total Amount].[All]" allUniqueName="[Table3].[Total Amount].[All]" dimensionUniqueName="[Table3]" displayFolder="" count="0" memberValueDatatype="5" unbalanced="0"/>
    <cacheHierarchy uniqueName="[Table3].[Staff compiler]" caption="Staff compiler" attribute="1" defaultMemberUniqueName="[Table3].[Staff compiler].[All]" allUniqueName="[Table3].[Staff compiler].[All]" dimensionUniqueName="[Table3]" displayFolder="" count="0" memberValueDatatype="13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Order ID]" caption="Count of Order ID" measure="1" displayFolder="" measureGroup="Table3" count="0" hidden="1">
      <extLst>
        <ext xmlns:x15="http://schemas.microsoft.com/office/spreadsheetml/2010/11/main" uri="{B97F6D7D-B522-45F9-BDA1-12C45D357490}">
          <x15:cacheHierarchy aggregatedColumn="1"/>
        </ext>
      </extLst>
    </cacheHierarchy>
    <cacheHierarchy uniqueName="[Measures].[Sum of Total Amount]" caption="Sum of Total Amount" measure="1" displayFolder="" measureGroup="Table3" count="0" oneField="1" hidden="1">
      <fieldsUsage count="1">
        <fieldUsage x="1"/>
      </fieldsUsage>
      <extLst>
        <ext xmlns:x15="http://schemas.microsoft.com/office/spreadsheetml/2010/11/main" uri="{B97F6D7D-B522-45F9-BDA1-12C45D357490}">
          <x15:cacheHierarchy aggregatedColumn="12"/>
        </ext>
      </extLst>
    </cacheHierarchy>
    <cacheHierarchy uniqueName="[Measures].[Distinct Count of Order ID]" caption="Distinct Count of Order ID" measure="1" displayFolder="" measureGroup="Table3"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2">
  <r>
    <x v="0"/>
    <s v="ARIZONA ICE CREAM CORPORATION - SO-001"/>
    <s v="SO-001"/>
    <s v="ARIZONA ICE CREAM CORPORATION"/>
    <s v="COLDSTONE"/>
    <s v="GENERIC"/>
    <s v="50% DOWNPAYMENT, 50% 35 DAYS PDC"/>
    <s v="2025-01-06"/>
    <s v="PREVENTIVE MAINTENANCE ( DEC. 31, 2024 - DEC. 30, 2025)"/>
    <n v="3"/>
    <n v="8500"/>
    <n v="8500"/>
    <n v="25500"/>
    <s v="MARITESS"/>
  </r>
  <r>
    <x v="1"/>
    <s v="CHICKEN DELI - SO-001"/>
    <s v="SO-001"/>
    <s v="CHICKEN DELI"/>
    <s v="KITCHEN CITY"/>
    <s v="GENERIC"/>
    <s v="N/A"/>
    <s v="2025-01-06"/>
    <s v="TSCERES SQL"/>
    <n v="1"/>
    <n v="3675"/>
    <n v="10500"/>
    <n v="10500"/>
    <s v="MARITESS"/>
  </r>
  <r>
    <x v="1"/>
    <s v="CHICKEN DELI - SO-001"/>
    <s v="SO-001"/>
    <s v="CHICKEN DELI"/>
    <s v="KITCHEN CITY"/>
    <s v="GENERIC"/>
    <s v="N/A"/>
    <s v="2025-01-06"/>
    <s v="ONE YEAR WARRANTY"/>
    <n v="1"/>
    <n v="12000"/>
    <n v="12000"/>
    <n v="12000"/>
    <s v="MARITESS"/>
  </r>
  <r>
    <x v="1"/>
    <s v="CHICKEN DELI - SO-001"/>
    <s v="SO-001"/>
    <s v="CHICKEN DELI"/>
    <s v="KITCHEN CITY"/>
    <s v="GENERIC"/>
    <s v="N/A"/>
    <s v="2025-01-06"/>
    <s v="IMPLEMENTATION"/>
    <n v="1"/>
    <n v="12000"/>
    <n v="12000"/>
    <n v="12000"/>
    <s v="MARITESS"/>
  </r>
  <r>
    <x v="1"/>
    <s v="CHICKEN DELI - SO-001"/>
    <s v="SO-001"/>
    <s v="CHICKEN DELI"/>
    <s v="KITCHEN CITY"/>
    <s v="GENERIC"/>
    <s v="N/A"/>
    <s v="2025-01-06"/>
    <s v="BIR REGISTRATION"/>
    <n v="1"/>
    <n v="500"/>
    <n v="0"/>
    <n v="0"/>
    <s v="MARITESS"/>
  </r>
  <r>
    <x v="1"/>
    <s v="CHICKEN DELI - SO-001"/>
    <s v="SO-001"/>
    <s v="CHICKEN DELI"/>
    <s v="KITCHEN CITY"/>
    <s v="GENERIC"/>
    <s v="N/A"/>
    <s v="2025-01-06"/>
    <s v="KITCHEN DISPLAY PROGRAM"/>
    <n v="1"/>
    <n v="10500"/>
    <n v="0"/>
    <n v="0"/>
    <s v="MARITESS"/>
  </r>
  <r>
    <x v="1"/>
    <s v="CHICKEN DELI - SO-001"/>
    <s v="SO-001"/>
    <s v="CHICKEN DELI"/>
    <s v="KITCHEN CITY"/>
    <s v="GENERIC"/>
    <s v="N/A"/>
    <s v="2025-01-06"/>
    <s v="TOUCHSCREEN MOONITOR"/>
    <n v="3"/>
    <n v="10750"/>
    <n v="49500"/>
    <n v="148500"/>
    <s v="MARITESS"/>
  </r>
  <r>
    <x v="1"/>
    <s v="CHICKEN DELI - SO-001"/>
    <s v="SO-001"/>
    <s v="CHICKEN DELI"/>
    <s v="KITCHEN CITY"/>
    <s v="GENERIC"/>
    <s v="N/A"/>
    <s v="2025-01-06"/>
    <s v="EPSON PRINTER TMU 220D ( 1 ) USB ( 1 ) LAN"/>
    <n v="2"/>
    <n v="8500"/>
    <n v="0"/>
    <n v="0"/>
    <s v="MARITESS"/>
  </r>
  <r>
    <x v="2"/>
    <s v="CHICKEN DELI - SO-002"/>
    <s v="SO-002"/>
    <s v="CHICKEN DELI"/>
    <s v="GONGCHA"/>
    <s v="GENERIC"/>
    <s v="N/A"/>
    <s v="2025-01-08"/>
    <s v="PREVENTIVE MAINTENANCE"/>
    <n v="1"/>
    <n v="6500"/>
    <n v="6500"/>
    <n v="6500"/>
    <s v="MARITESS"/>
  </r>
  <r>
    <x v="3"/>
    <s v="ELEVATED FOOD RECIPE INC - SO-002"/>
    <s v="SO-002"/>
    <s v="ELEVATED FOOD RECIPE INC"/>
    <s v="HEALTHY SHABUSHABU"/>
    <s v="ROCKWELL"/>
    <s v="COD"/>
    <s v="2025-01-06"/>
    <s v="EPSON TMU220D USB PRINTER"/>
    <n v="1"/>
    <n v="8500"/>
    <n v="12500"/>
    <n v="12500"/>
    <s v="RUDELYN"/>
  </r>
  <r>
    <x v="2"/>
    <s v="CHICKEN DELI - SO-003"/>
    <s v="SO-003"/>
    <s v="CHICKEN DELI"/>
    <s v="GONGCHA"/>
    <s v="GENERIC"/>
    <s v="N/A"/>
    <s v="2025-01-08"/>
    <s v="PREVENTIVE MAINTENANCE"/>
    <n v="3"/>
    <n v="6500"/>
    <n v="19500"/>
    <n v="58500"/>
    <s v="MARITESS"/>
  </r>
  <r>
    <x v="4"/>
    <s v="SAINT MICHAEL FOOD OPC - SO-003"/>
    <s v="SO-003"/>
    <s v="SAINT MICHAEL FOOD OPC"/>
    <s v="MALAYA'S CAFÉ"/>
    <s v="GENERIC"/>
    <s v="COD"/>
    <s v="2025-01-06"/>
    <s v="EPSON ERC -38B RIBBON"/>
    <n v="10"/>
    <n v="70"/>
    <n v="250"/>
    <n v="2500"/>
    <s v="MARITESS"/>
  </r>
  <r>
    <x v="5"/>
    <s v="TAN THOMAS DIAN - SO-004"/>
    <s v="SO-004"/>
    <s v="TAN THOMAS DIAN"/>
    <s v="OON"/>
    <s v="GENERIC"/>
    <s v="N/A"/>
    <s v="2025-01-06"/>
    <s v="BACCHUS SQL VER 7"/>
    <n v="1"/>
    <n v="2275"/>
    <n v="6500"/>
    <n v="6500"/>
    <s v="MARITESS"/>
  </r>
  <r>
    <x v="5"/>
    <s v="TAN THOMAS DIAN - SO-004"/>
    <s v="SO-004"/>
    <s v="TAN THOMAS DIAN"/>
    <s v="OON"/>
    <s v="GENERIC"/>
    <s v="N/A"/>
    <s v="2025-01-06"/>
    <s v="ROLLOUT IMPLEMENTATION"/>
    <n v="1"/>
    <n v="2275"/>
    <n v="6500"/>
    <n v="6500"/>
    <s v="MARITESS"/>
  </r>
  <r>
    <x v="5"/>
    <s v="TAN THOMAS DIAN - SO-004"/>
    <s v="SO-004"/>
    <s v="TAN THOMAS DIAN"/>
    <s v="OON"/>
    <s v="GENERIC"/>
    <s v="N/A"/>
    <s v="2025-01-06"/>
    <s v="6 MONTHS WARRANTY"/>
    <n v="1"/>
    <n v="2275"/>
    <n v="6500"/>
    <n v="6500"/>
    <s v="MARITESS"/>
  </r>
  <r>
    <x v="5"/>
    <s v="TAN THOMAS DIAN - SO-004"/>
    <s v="SO-004"/>
    <s v="TAN THOMAS DIAN"/>
    <s v="OON"/>
    <s v="GENERIC"/>
    <s v="N/A"/>
    <s v="2025-01-06"/>
    <s v="BIR APPLICATION"/>
    <n v="1"/>
    <n v="500"/>
    <n v="500"/>
    <n v="500"/>
    <s v="MARITESS"/>
  </r>
  <r>
    <x v="2"/>
    <s v="CHICKEN DELI - SO-004"/>
    <s v="SO-004"/>
    <s v="CHICKEN DELI"/>
    <s v="GONGCHA"/>
    <s v="GENERIC"/>
    <s v="N/A"/>
    <s v="2025-01-08"/>
    <s v="PREVENTIVE MAINTENANCE"/>
    <n v="2"/>
    <n v="6500"/>
    <n v="6500"/>
    <n v="13000"/>
    <s v="MARITESS"/>
  </r>
  <r>
    <x v="6"/>
    <s v="RRH FOOD GROUP INC - SO-005"/>
    <s v="SO-005"/>
    <s v="RRH FOOD GROUP INC"/>
    <s v="QUEENS AT BOLLYWOOD"/>
    <s v="GENERIC"/>
    <s v="N/A"/>
    <s v="2025-01-07"/>
    <s v="EPSON PRINTER ADAPTER"/>
    <n v="1"/>
    <n v="1229"/>
    <n v="2000"/>
    <n v="2000"/>
    <s v="MARITESS"/>
  </r>
  <r>
    <x v="2"/>
    <s v="CHICKEN DELI - SO-005"/>
    <s v="SO-005"/>
    <s v="CHICKEN DELI"/>
    <s v="GONGCHA"/>
    <s v="GENERIC"/>
    <s v="N/A"/>
    <s v="2025-01-08"/>
    <s v="PREVENTIVE MAINTENANCE"/>
    <n v="2"/>
    <n v="6500"/>
    <n v="6500"/>
    <n v="13000"/>
    <s v="MARITESS"/>
  </r>
  <r>
    <x v="7"/>
    <s v="POL S MOM S PLACE INC - SO-006"/>
    <s v="SO-006"/>
    <s v="POL S MOM S PLACE INC"/>
    <s v="MAMOU"/>
    <s v="AYALA MALLS 30TH"/>
    <s v="50% DOWNPAYMENT, 50% 35 DAYS PDC"/>
    <s v="2025-01-07"/>
    <s v="15&quot; TOUCHSCREEN MONITOR"/>
    <n v="1"/>
    <n v="10750"/>
    <n v="16000"/>
    <n v="16000"/>
    <s v="RUDELYN"/>
  </r>
  <r>
    <x v="7"/>
    <s v="POL S MOM S PLACE INC - SO-006"/>
    <s v="SO-006"/>
    <s v="POL S MOM S PLACE INC"/>
    <s v="MAMOU"/>
    <s v="AYALA MALLS 30TH"/>
    <s v="50% DOWNPAYMENT, 50% 35 DAYS PDC"/>
    <s v="2025-01-07"/>
    <s v="EPSON TM-T82X THERMAL PRINTER (USB)"/>
    <n v="1"/>
    <n v="7500"/>
    <n v="11650"/>
    <n v="11650"/>
    <s v="RUDELYN"/>
  </r>
  <r>
    <x v="7"/>
    <s v="POL S MOM S PLACE INC - SO-006"/>
    <s v="SO-006"/>
    <s v="POL S MOM S PLACE INC"/>
    <s v="MAMOU"/>
    <s v="AYALA MALLS 30TH"/>
    <s v="50% DOWNPAYMENT, 50% 35 DAYS PDC"/>
    <s v="2025-01-07"/>
    <s v="THERMAL PAPER"/>
    <n v="5"/>
    <n v="47"/>
    <n v="70"/>
    <n v="350"/>
    <s v="RUDELYN"/>
  </r>
  <r>
    <x v="7"/>
    <s v="POL S MOM S PLACE INC - SO-006"/>
    <s v="SO-006"/>
    <s v="POL S MOM S PLACE INC"/>
    <s v="MAMOU"/>
    <s v="AYALA MALLS 30TH"/>
    <s v="50% DOWNPAYMENT, 50% 35 DAYS PDC"/>
    <s v="2025-01-07"/>
    <s v="DELIVERY FEE"/>
    <n v="1"/>
    <n v="500"/>
    <n v="500"/>
    <n v="500"/>
    <s v="RUDELYN"/>
  </r>
  <r>
    <x v="2"/>
    <s v="CHICKEN DELI - SO-006"/>
    <s v="SO-006"/>
    <s v="CHICKEN DELI"/>
    <s v="GONGCHA"/>
    <s v="GENERIC"/>
    <s v="N/A"/>
    <s v="2025-01-08"/>
    <s v="PREVENTIVE MAINTENANCE"/>
    <n v="1"/>
    <n v="6500"/>
    <n v="6500"/>
    <n v="6500"/>
    <s v="MARITESS"/>
  </r>
  <r>
    <x v="6"/>
    <s v="RRH FOOD GROUP INC - SO-007"/>
    <s v="SO-007"/>
    <s v="RRH FOOD GROUP INC"/>
    <s v="QUEENS AT BOLLYWOOD"/>
    <s v="GENERIC"/>
    <s v="N/A"/>
    <s v="2025-01-07"/>
    <s v="EPSON ERC 38 RIBBON"/>
    <n v="2"/>
    <n v="70"/>
    <n v="300"/>
    <n v="600"/>
    <s v="MARITESS"/>
  </r>
  <r>
    <x v="2"/>
    <s v="CHICKEN DELI - SO-007"/>
    <s v="SO-007"/>
    <s v="CHICKEN DELI"/>
    <s v="GONGCHA"/>
    <s v="GENERIC"/>
    <s v="N/A"/>
    <s v="2025-01-08"/>
    <s v="PREVENTIVE MAINTENANCE"/>
    <n v="1"/>
    <n v="6500"/>
    <n v="6500"/>
    <n v="6500"/>
    <s v="MARITESS"/>
  </r>
  <r>
    <x v="8"/>
    <s v="ITULID GERARDO ICOTANIM - SO-008"/>
    <s v="SO-008"/>
    <s v="ITULID GERARDO ICOTANIM"/>
    <s v="DAJA FOOD SERVICES"/>
    <s v="GENERIC"/>
    <s v="COD"/>
    <s v="2025-01-09"/>
    <s v="EPSON TMU220D USB PRINTER"/>
    <n v="1"/>
    <n v="8500"/>
    <n v="12500"/>
    <n v="12500"/>
    <s v="MARITESS"/>
  </r>
  <r>
    <x v="9"/>
    <s v="CHICKEN DELI - SO-008"/>
    <s v="SO-008"/>
    <s v="CHICKEN DELI"/>
    <s v="OJO EYEWEAR"/>
    <s v="GENERIC"/>
    <s v="N/A"/>
    <s v="2025-01-09"/>
    <s v="EOS POWER ADAPTER"/>
    <n v="1"/>
    <n v="700"/>
    <n v="1700"/>
    <n v="1700"/>
    <s v="MARITESS"/>
  </r>
  <r>
    <x v="10"/>
    <s v="CHICKEN DELI - SO-009"/>
    <s v="SO-009"/>
    <s v="CHICKEN DELI"/>
    <s v="MAGOOS"/>
    <s v="GENERIC"/>
    <s v="N/A"/>
    <s v="2025-01-13"/>
    <s v="EPSON PRINTER TMU220A ( USB )"/>
    <n v="1"/>
    <n v="10900"/>
    <n v="15500"/>
    <n v="15500"/>
    <s v="MARITESS"/>
  </r>
  <r>
    <x v="10"/>
    <s v="CHICKEN DELI - SO-009"/>
    <s v="SO-009"/>
    <s v="CHICKEN DELI"/>
    <s v="MAGOOS"/>
    <s v="GENERIC"/>
    <s v="N/A"/>
    <s v="2025-01-13"/>
    <s v="DELIVERY CHARGE"/>
    <n v="1"/>
    <n v="500"/>
    <n v="500"/>
    <n v="500"/>
    <s v="MARITESS"/>
  </r>
  <r>
    <x v="11"/>
    <s v="BLT GREAT FOOD DINE INC - SO-009"/>
    <s v="SO-009"/>
    <s v="BLT GREAT FOOD DINE INC"/>
    <s v="SIMPLY THAI"/>
    <s v="GENERIC"/>
    <s v="COD"/>
    <s v="2025-01-09"/>
    <s v="15&quot; POSTECH TOUCHSCREEN MONITOR"/>
    <n v="1"/>
    <n v="10750"/>
    <n v="15500"/>
    <n v="15500"/>
    <s v="MARITESS"/>
  </r>
  <r>
    <x v="12"/>
    <s v="CHICKEN DELI - SO-010"/>
    <s v="SO-010"/>
    <s v="CHICKEN DELI"/>
    <s v="CASA REYES"/>
    <s v="GENERIC"/>
    <s v="N/A"/>
    <s v="2025-01-13"/>
    <s v="UNINTERRUPTIBLE POWER SUPPLY"/>
    <n v="1"/>
    <n v="2250"/>
    <n v="4200"/>
    <n v="4200"/>
    <s v="MARITESS"/>
  </r>
  <r>
    <x v="12"/>
    <s v="CHICKEN DELI - SO-010"/>
    <s v="SO-010"/>
    <s v="CHICKEN DELI"/>
    <s v="CASA REYES"/>
    <s v="GENERIC"/>
    <s v="N/A"/>
    <s v="2025-01-13"/>
    <s v="DELIVERY CHARGE"/>
    <n v="1"/>
    <n v="500"/>
    <n v="500"/>
    <n v="500"/>
    <s v="MARITESS"/>
  </r>
  <r>
    <x v="13"/>
    <s v="COSEIP PHILIP PATRICK TAN - SO-010"/>
    <s v="SO-010"/>
    <s v="COSEIP PHILIP PATRICK TAN"/>
    <s v="POTATO KING"/>
    <s v="GENERIC"/>
    <s v="COD"/>
    <s v="2025-01-13"/>
    <s v="MINI CASH DRAWER"/>
    <n v="1"/>
    <n v="1350"/>
    <n v="2500"/>
    <n v="2500"/>
    <s v="MARITESS"/>
  </r>
  <r>
    <x v="14"/>
    <s v="HUZZAH - SO-011"/>
    <s v="SO-011"/>
    <s v="HUZZAH"/>
    <s v="HUZZAH"/>
    <s v="GENERIC"/>
    <s v="COD"/>
    <s v="2024-01-14"/>
    <s v="JOURNAL PAPER - DOUBLE PLY"/>
    <n v="50"/>
    <n v="32"/>
    <n v="50"/>
    <n v="2500"/>
    <s v="RUDELYN"/>
  </r>
  <r>
    <x v="1"/>
    <s v="CHICKEN DELI - SO-011"/>
    <s v="SO-011"/>
    <s v="CHICKEN DELI"/>
    <s v="KITCHEN CITY"/>
    <s v="GENERIC"/>
    <s v="N/A"/>
    <s v="2025-01-20"/>
    <s v="BACCHUS SQL"/>
    <n v="2"/>
    <n v="3675"/>
    <n v="10500"/>
    <n v="21000"/>
    <s v="MARITESS"/>
  </r>
  <r>
    <x v="1"/>
    <s v="CHICKEN DELI - SO-011"/>
    <s v="SO-011"/>
    <s v="CHICKEN DELI"/>
    <s v="KITCHEN CITY"/>
    <s v="GENERIC"/>
    <s v="N/A"/>
    <s v="2025-01-20"/>
    <s v="ROLL OUT/ IMPLEMETATION"/>
    <n v="2"/>
    <n v="11000"/>
    <n v="11000"/>
    <n v="22000"/>
    <s v="MARITESS"/>
  </r>
  <r>
    <x v="1"/>
    <s v="CHICKEN DELI - SO-011"/>
    <s v="SO-011"/>
    <s v="CHICKEN DELI"/>
    <s v="KITCHEN CITY"/>
    <s v="GENERIC"/>
    <s v="N/A"/>
    <s v="2025-01-20"/>
    <s v="ONE YEAR WARRANTY"/>
    <n v="2"/>
    <n v="11000"/>
    <n v="11000"/>
    <n v="22000"/>
    <s v="MARITESS"/>
  </r>
  <r>
    <x v="1"/>
    <s v="CHICKEN DELI - SO-011"/>
    <s v="SO-011"/>
    <s v="CHICKEN DELI"/>
    <s v="KITCHEN CITY"/>
    <s v="GENERIC"/>
    <s v="N/A"/>
    <s v="2025-01-20"/>
    <s v="BIR REGISTRATION"/>
    <n v="2"/>
    <n v="500"/>
    <n v="500"/>
    <n v="1000"/>
    <s v="MARITESS"/>
  </r>
  <r>
    <x v="1"/>
    <s v="CHICKEN DELI - SO-011"/>
    <s v="SO-011"/>
    <s v="CHICKEN DELI"/>
    <s v="KITCHEN CITY"/>
    <s v="GENERIC"/>
    <s v="N/A"/>
    <s v="2025-01-20"/>
    <s v="POSTECH TOUCHSCREEN MONITOR"/>
    <n v="2"/>
    <n v="10750"/>
    <n v="15000"/>
    <n v="30000"/>
    <s v="MARITESS"/>
  </r>
  <r>
    <x v="1"/>
    <s v="CHICKEN DELI - SO-011"/>
    <s v="SO-011"/>
    <s v="CHICKEN DELI"/>
    <s v="KITCHEN CITY"/>
    <s v="GENERIC"/>
    <s v="N/A"/>
    <s v="2025-01-20"/>
    <s v="EOS MINI CPU W/ COMPLETE ACCESSORIES"/>
    <n v="2"/>
    <n v="24250"/>
    <n v="34500"/>
    <n v="69000"/>
    <s v="MARITESS"/>
  </r>
  <r>
    <x v="1"/>
    <s v="CHICKEN DELI - SO-011"/>
    <s v="SO-011"/>
    <s v="CHICKEN DELI"/>
    <s v="KITCHEN CITY"/>
    <s v="GENERIC"/>
    <s v="N/A"/>
    <s v="2025-01-20"/>
    <s v="EPSON PRINTER TMU 220D ( USB )"/>
    <n v="2"/>
    <n v="8500"/>
    <n v="12500"/>
    <n v="25000"/>
    <s v="MARITESS"/>
  </r>
  <r>
    <x v="1"/>
    <s v="CHICKEN DELI - SO-011"/>
    <s v="SO-011"/>
    <s v="CHICKEN DELI"/>
    <s v="KITCHEN CITY"/>
    <s v="GENERIC"/>
    <s v="N/A"/>
    <s v="2025-01-20"/>
    <s v="EPSON PRINTER TMU 220D ( USB )"/>
    <n v="2"/>
    <n v="8500"/>
    <n v="12500"/>
    <n v="25000"/>
    <s v="MARITESS"/>
  </r>
  <r>
    <x v="1"/>
    <s v="CHICKEN DELI - SO-011"/>
    <s v="SO-011"/>
    <s v="CHICKEN DELI"/>
    <s v="KITCHEN CITY"/>
    <s v="GENERIC"/>
    <s v="N/A"/>
    <s v="2025-01-20"/>
    <s v="MINI CASH BOX"/>
    <n v="2"/>
    <n v="1350"/>
    <n v="2000"/>
    <n v="4000"/>
    <s v="MARITESS"/>
  </r>
  <r>
    <x v="1"/>
    <s v="CHICKEN DELI - SO-011"/>
    <s v="SO-011"/>
    <s v="CHICKEN DELI"/>
    <s v="KITCHEN CITY"/>
    <s v="GENERIC"/>
    <s v="N/A"/>
    <s v="2025-01-20"/>
    <s v="APC UPS"/>
    <n v="2"/>
    <n v="2250"/>
    <n v="3500"/>
    <n v="7000"/>
    <s v="MARITESS"/>
  </r>
  <r>
    <x v="1"/>
    <s v="CHICKEN DELI - SO-011"/>
    <s v="SO-011"/>
    <s v="CHICKEN DELI"/>
    <s v="KITCHEN CITY"/>
    <s v="GENERIC"/>
    <s v="N/A"/>
    <s v="2025-01-20"/>
    <s v="KASPERSKY ANTI VIRUS"/>
    <n v="2"/>
    <n v="970"/>
    <n v="1500"/>
    <n v="3000"/>
    <s v="MARITESS"/>
  </r>
  <r>
    <x v="1"/>
    <s v="CHICKEN DELI - SO-011"/>
    <s v="SO-011"/>
    <s v="CHICKEN DELI"/>
    <s v="KITCHEN CITY"/>
    <s v="GENERIC"/>
    <s v="N/A"/>
    <s v="2025-01-20"/>
    <s v="WINDOWS 11"/>
    <n v="2"/>
    <n v="2800"/>
    <n v="4000"/>
    <n v="8000"/>
    <s v="MARITESS"/>
  </r>
  <r>
    <x v="1"/>
    <s v="CHICKEN DELI - SO-011"/>
    <s v="SO-011"/>
    <s v="CHICKEN DELI"/>
    <s v="KITCHEN CITY"/>
    <s v="GENERIC"/>
    <s v="N/A"/>
    <s v="2025-01-20"/>
    <s v="DELIVERY CHARGE"/>
    <n v="1"/>
    <n v="800"/>
    <n v="800"/>
    <n v="800"/>
    <s v="MARITESS"/>
  </r>
  <r>
    <x v="15"/>
    <s v="POL S MOM S PLACE INC - SO-012"/>
    <s v="SO-012"/>
    <s v="POL S MOM S PLACE INC"/>
    <s v="MAMOU"/>
    <s v="GREENBELT 5"/>
    <s v="COD"/>
    <s v="2025-01-14"/>
    <s v="EPSON PRINTER ADAPTER"/>
    <n v="1"/>
    <n v="1200"/>
    <n v="2000"/>
    <n v="2000"/>
    <s v="RUDELYN"/>
  </r>
  <r>
    <x v="16"/>
    <s v="CHICKEN DELI - SO-012"/>
    <s v="SO-012"/>
    <s v="CHICKEN DELI"/>
    <s v="BOWLING"/>
    <s v="GENERIC"/>
    <s v="N/A"/>
    <s v="2025-01-20"/>
    <s v="MINI CASH BOX"/>
    <n v="1"/>
    <n v="1350"/>
    <n v="2600"/>
    <n v="2600"/>
    <s v="MARITESS"/>
  </r>
  <r>
    <x v="16"/>
    <s v="CHICKEN DELI - SO-012"/>
    <s v="SO-012"/>
    <s v="CHICKEN DELI"/>
    <s v="BOWLING"/>
    <s v="GENERIC"/>
    <s v="N/A"/>
    <s v="2025-01-20"/>
    <s v="DELIVERY CHARGE"/>
    <n v="1"/>
    <n v="500"/>
    <n v="500"/>
    <n v="500"/>
    <s v="MARITESS"/>
  </r>
  <r>
    <x v="17"/>
    <s v="CHICKEN DELI - SO-013"/>
    <s v="SO-013"/>
    <s v="CHICKEN DELI"/>
    <s v="FOODEXPRESS"/>
    <s v="GENERIC"/>
    <s v="N/A"/>
    <s v="2025-01-22"/>
    <s v="POSTECH TOUCHSCREEN MONITOR"/>
    <n v="1"/>
    <n v="10750"/>
    <n v="16500"/>
    <n v="16500"/>
    <s v="MARITESS"/>
  </r>
  <r>
    <x v="18"/>
    <s v="SUNSHINE SUPERMART INC - SO-013"/>
    <s v="SO-013"/>
    <s v="SUNSHINE SUPERMART INC"/>
    <s v="SUNSHINE SUPERMART"/>
    <s v="GENERIC"/>
    <s v="50% DOWNPAYMENT, 50% 35 DAYS PDC"/>
    <s v="2025-01-17"/>
    <s v="SOFTWARE LICENSE UPGRADE"/>
    <n v="2"/>
    <n v="5075"/>
    <n v="17500"/>
    <n v="35000"/>
    <s v="MARITESS"/>
  </r>
  <r>
    <x v="18"/>
    <s v="SUNSHINE SUPERMART INC - SO-013"/>
    <s v="SO-013"/>
    <s v="SUNSHINE SUPERMART INC"/>
    <s v="SUNSHINE SUPERMART"/>
    <s v="GENERIC"/>
    <s v="50% DOWNPAYMENT, 50% 35 DAYS PDC"/>
    <s v="2025-01-17"/>
    <s v="BIR REGISTRATION"/>
    <n v="2"/>
    <n v="500"/>
    <n v="500"/>
    <n v="1000"/>
    <s v="MARITESS"/>
  </r>
  <r>
    <x v="19"/>
    <s v="SAINT MICHAEL FOODS OPC NO COR YET - SO-014"/>
    <s v="SO-014"/>
    <s v="SAINT MICHAEL FOODS OPC NO COR YET"/>
    <s v="MALAYA'S CAFÉ"/>
    <s v="GENERIC"/>
    <s v="50% DOWNPAMENT UPON CONFORME/"/>
    <s v="2025-01-20"/>
    <s v="TSCERES SQL VER. 6"/>
    <n v="1"/>
    <n v="3675"/>
    <n v="10500"/>
    <n v="10500"/>
    <s v="MARITESS"/>
  </r>
  <r>
    <x v="19"/>
    <s v="SAINT MICHAEL FOODS OPC NO COR YET - SO-014"/>
    <s v="SO-014"/>
    <s v="SAINT MICHAEL FOODS OPC NO COR YET"/>
    <s v="MALAYA'S CAFÉ"/>
    <s v="GENERIC"/>
    <s v="50% DOWNPAMENT UPON CONFORME/"/>
    <s v="2025-01-20"/>
    <s v="ROLLOUT IMPLEMENTATION"/>
    <n v="1"/>
    <n v="2975"/>
    <n v="8500"/>
    <n v="8500"/>
    <s v="MARITESS"/>
  </r>
  <r>
    <x v="19"/>
    <s v="SAINT MICHAEL FOODS OPC NO COR YET - SO-014"/>
    <s v="SO-014"/>
    <s v="SAINT MICHAEL FOODS OPC NO COR YET"/>
    <s v="MALAYA'S CAFÉ"/>
    <s v="GENERIC"/>
    <s v="50% DOWNPAMENT UPON CONFORME/"/>
    <s v="2025-01-20"/>
    <s v="ONE YEAR WARRANTY"/>
    <n v="1"/>
    <n v="2975"/>
    <n v="8500"/>
    <n v="8500"/>
    <s v="MARITESS"/>
  </r>
  <r>
    <x v="19"/>
    <s v="SAINT MICHAEL FOODS OPC NO COR YET - SO-014"/>
    <s v="SO-014"/>
    <s v="SAINT MICHAEL FOODS OPC NO COR YET"/>
    <s v="MALAYA'S CAFÉ"/>
    <s v="GENERIC"/>
    <s v="50% DOWNPAMENT UPON CONFORME/"/>
    <s v="2025-01-20"/>
    <s v="BIR REGISTRATION"/>
    <n v="1"/>
    <n v="500"/>
    <n v="500"/>
    <n v="500"/>
    <s v="MARITESS"/>
  </r>
  <r>
    <x v="19"/>
    <s v="SAINT MICHAEL FOODS OPC NO COR YET - SO-014"/>
    <s v="SO-014"/>
    <s v="SAINT MICHAEL FOODS OPC NO COR YET"/>
    <s v="MALAYA'S CAFÉ"/>
    <s v="GENERIC"/>
    <s v="50% DOWNPAMENT UPON CONFORME/"/>
    <s v="2025-01-20"/>
    <s v="APC UPS"/>
    <n v="1"/>
    <n v="2250"/>
    <n v="3000"/>
    <n v="3000"/>
    <s v="MARITESS"/>
  </r>
  <r>
    <x v="19"/>
    <s v="SAINT MICHAEL FOODS OPC NO COR YET - SO-014"/>
    <s v="SO-014"/>
    <s v="SAINT MICHAEL FOODS OPC NO COR YET"/>
    <s v="MALAYA'S CAFÉ"/>
    <s v="GENERIC"/>
    <s v="50% DOWNPAMENT UPON CONFORME/"/>
    <s v="2025-01-20"/>
    <s v="EPSON TMU220D USB PRINTER"/>
    <n v="1"/>
    <n v="8500"/>
    <n v="11500"/>
    <n v="11500"/>
    <s v="MARITESS"/>
  </r>
  <r>
    <x v="19"/>
    <s v="SAINT MICHAEL FOODS OPC NO COR YET - SO-014"/>
    <s v="SO-014"/>
    <s v="SAINT MICHAEL FOODS OPC NO COR YET"/>
    <s v="MALAYA'S CAFÉ"/>
    <s v="GENERIC"/>
    <s v="50% DOWNPAMENT UPON CONFORME/"/>
    <s v="2025-01-20"/>
    <s v="POSHTECH 15&quot; TOUCHSCREEN MONITOR"/>
    <n v="1"/>
    <n v="10750"/>
    <n v="15000"/>
    <n v="15000"/>
    <s v="MARITESS"/>
  </r>
  <r>
    <x v="19"/>
    <s v="SAINT MICHAEL FOODS OPC NO COR YET - SO-014"/>
    <s v="SO-014"/>
    <s v="SAINT MICHAEL FOODS OPC NO COR YET"/>
    <s v="MALAYA'S CAFÉ"/>
    <s v="GENERIC"/>
    <s v="50% DOWNPAMENT UPON CONFORME/"/>
    <s v="2025-01-20"/>
    <s v="CASH DRAWER"/>
    <n v="1"/>
    <n v="2185"/>
    <n v="3000"/>
    <n v="3000"/>
    <s v="MARITESS"/>
  </r>
  <r>
    <x v="19"/>
    <s v="SAINT MICHAEL FOODS OPC NO COR YET - SO-014"/>
    <s v="SO-014"/>
    <s v="SAINT MICHAEL FOODS OPC NO COR YET"/>
    <s v="MALAYA'S CAFÉ"/>
    <s v="GENERIC"/>
    <s v="50% DOWNPAMENT UPON CONFORME/"/>
    <s v="2025-01-20"/>
    <s v="DESKTOP CPU I5, 8GB RAM, 480 GB SSD"/>
    <n v="1"/>
    <n v="21500"/>
    <n v="32000"/>
    <n v="32000"/>
    <s v="MARITESS"/>
  </r>
  <r>
    <x v="19"/>
    <s v="SAINT MICHAEL FOODS OPC NO COR YET - SO-014"/>
    <s v="SO-014"/>
    <s v="SAINT MICHAEL FOODS OPC NO COR YET"/>
    <s v="MALAYA'S CAFÉ"/>
    <s v="GENERIC"/>
    <s v="50% DOWNPAMENT UPON CONFORME/"/>
    <s v="2025-01-20"/>
    <s v="WINDOWS 10 PRO"/>
    <n v="1"/>
    <n v="2500"/>
    <n v="3500"/>
    <n v="3500"/>
    <s v="MARITESS"/>
  </r>
  <r>
    <x v="20"/>
    <s v="CHICKEN DELI - SO-014"/>
    <s v="SO-014"/>
    <s v="CHICKEN DELI"/>
    <s v="MN+LA APPAREL"/>
    <s v="GENERIC"/>
    <s v="N/A"/>
    <s v="2025-01-23"/>
    <s v="JOURNAL PAPER ( DOUBLE PLY"/>
    <n v="50"/>
    <n v="32"/>
    <n v="50"/>
    <n v="2500"/>
    <s v="MARITESS"/>
  </r>
  <r>
    <x v="21"/>
    <s v="LIPA GRILLE RESTAURANT CO - SO-015"/>
    <s v="SO-015"/>
    <s v="LIPA GRILLE RESTAURANT CO"/>
    <s v="LIPA GRILLE"/>
    <s v="GENERIC"/>
    <s v="50% DOWNPAYMENT, 50% 35 DAYS PDC"/>
    <s v="2025-01-22"/>
    <s v="BACCHUS SQL VER. 7"/>
    <n v="2"/>
    <n v="7350"/>
    <n v="10500"/>
    <n v="21000"/>
    <s v="MARITESS"/>
  </r>
  <r>
    <x v="21"/>
    <s v="LIPA GRILLE RESTAURANT CO - SO-015"/>
    <s v="SO-015"/>
    <s v="LIPA GRILLE RESTAURANT CO"/>
    <s v="LIPA GRILLE"/>
    <s v="GENERIC"/>
    <s v="50% DOWNPAYMENT, 50% 35 DAYS PDC"/>
    <s v="2025-01-22"/>
    <s v="ROLLOUT IMPLEMENTATION"/>
    <n v="2"/>
    <n v="10150"/>
    <n v="14500"/>
    <n v="29000"/>
    <s v="MARITESS"/>
  </r>
  <r>
    <x v="21"/>
    <s v="LIPA GRILLE RESTAURANT CO - SO-015"/>
    <s v="SO-015"/>
    <s v="LIPA GRILLE RESTAURANT CO"/>
    <s v="LIPA GRILLE"/>
    <s v="GENERIC"/>
    <s v="50% DOWNPAYMENT, 50% 35 DAYS PDC"/>
    <s v="2025-01-22"/>
    <s v="1 YEAR WARRANTY"/>
    <n v="2"/>
    <n v="10150"/>
    <n v="14500"/>
    <n v="29000"/>
    <s v="MARITESS"/>
  </r>
  <r>
    <x v="21"/>
    <s v="LIPA GRILLE RESTAURANT CO - SO-015"/>
    <s v="SO-015"/>
    <s v="LIPA GRILLE RESTAURANT CO"/>
    <s v="LIPA GRILLE"/>
    <s v="GENERIC"/>
    <s v="50% DOWNPAYMENT, 50% 35 DAYS PDC"/>
    <s v="2025-01-22"/>
    <s v="BIR APPLICATION"/>
    <n v="2"/>
    <n v="500"/>
    <n v="500"/>
    <n v="1000"/>
    <s v="MARITESS"/>
  </r>
  <r>
    <x v="21"/>
    <s v="LIPA GRILLE RESTAURANT CO - SO-015"/>
    <s v="SO-015"/>
    <s v="LIPA GRILLE RESTAURANT CO"/>
    <s v="LIPA GRILLE"/>
    <s v="GENERIC"/>
    <s v="50% DOWNPAYMENT, 50% 35 DAYS PDC"/>
    <s v="2025-01-22"/>
    <s v="ORDERING STATION"/>
    <n v="1"/>
    <n v="7000"/>
    <n v="20000"/>
    <n v="20000"/>
    <s v="MARITESS"/>
  </r>
  <r>
    <x v="21"/>
    <s v="LIPA GRILLE RESTAURANT CO - SO-015"/>
    <s v="SO-015"/>
    <s v="LIPA GRILLE RESTAURANT CO"/>
    <s v="LIPA GRILLE"/>
    <s v="GENERIC"/>
    <s v="50% DOWNPAYMENT, 50% 35 DAYS PDC"/>
    <s v="2025-01-22"/>
    <s v="15&quot; TOUCHSCREEN MONITOR"/>
    <n v="3"/>
    <n v="10750"/>
    <n v="16500"/>
    <n v="49500"/>
    <s v="MARITESS"/>
  </r>
  <r>
    <x v="21"/>
    <s v="LIPA GRILLE RESTAURANT CO - SO-015"/>
    <s v="SO-015"/>
    <s v="LIPA GRILLE RESTAURANT CO"/>
    <s v="LIPA GRILLE"/>
    <s v="GENERIC"/>
    <s v="50% DOWNPAYMENT, 50% 35 DAYS PDC"/>
    <s v="2025-01-22"/>
    <s v="AOC MONITOR"/>
    <n v="1"/>
    <n v="4250"/>
    <n v="6000"/>
    <n v="6000"/>
    <s v="MARITESS"/>
  </r>
  <r>
    <x v="21"/>
    <s v="LIPA GRILLE RESTAURANT CO - SO-015"/>
    <s v="SO-015"/>
    <s v="LIPA GRILLE RESTAURANT CO"/>
    <s v="LIPA GRILLE"/>
    <s v="GENERIC"/>
    <s v="50% DOWNPAYMENT, 50% 35 DAYS PDC"/>
    <s v="2025-01-22"/>
    <s v="CASH DRAWER"/>
    <n v="2"/>
    <n v="2185"/>
    <n v="3000"/>
    <n v="6000"/>
    <s v="MARITESS"/>
  </r>
  <r>
    <x v="21"/>
    <s v="LIPA GRILLE RESTAURANT CO - SO-015"/>
    <s v="SO-015"/>
    <s v="LIPA GRILLE RESTAURANT CO"/>
    <s v="LIPA GRILLE"/>
    <s v="GENERIC"/>
    <s v="50% DOWNPAYMENT, 50% 35 DAYS PDC"/>
    <s v="2025-01-22"/>
    <s v="APC UPS"/>
    <n v="4"/>
    <n v="2200"/>
    <n v="3500"/>
    <n v="14000"/>
    <s v="MARITESS"/>
  </r>
  <r>
    <x v="21"/>
    <s v="LIPA GRILLE RESTAURANT CO - SO-015"/>
    <s v="SO-015"/>
    <s v="LIPA GRILLE RESTAURANT CO"/>
    <s v="LIPA GRILLE"/>
    <s v="GENERIC"/>
    <s v="50% DOWNPAYMENT, 50% 35 DAYS PDC"/>
    <s v="2025-01-22"/>
    <s v="POSIFLEX MR-21064 MAGNETIC CARD READER"/>
    <n v="2"/>
    <n v="5740.5"/>
    <n v="8000"/>
    <n v="16000"/>
    <s v="MARITESS"/>
  </r>
  <r>
    <x v="21"/>
    <s v="LIPA GRILLE RESTAURANT CO - SO-015"/>
    <s v="SO-015"/>
    <s v="LIPA GRILLE RESTAURANT CO"/>
    <s v="LIPA GRILLE"/>
    <s v="GENERIC"/>
    <s v="50% DOWNPAYMENT, 50% 35 DAYS PDC"/>
    <s v="2025-01-22"/>
    <s v="EPSON TMU220B USB PRINTER (AUTO CUT)"/>
    <n v="2"/>
    <n v="9500"/>
    <n v="13000"/>
    <n v="26000"/>
    <s v="MARITESS"/>
  </r>
  <r>
    <x v="21"/>
    <s v="LIPA GRILLE RESTAURANT CO - SO-015"/>
    <s v="SO-015"/>
    <s v="LIPA GRILLE RESTAURANT CO"/>
    <s v="LIPA GRILLE"/>
    <s v="GENERIC"/>
    <s v="50% DOWNPAYMENT, 50% 35 DAYS PDC"/>
    <s v="2025-01-22"/>
    <s v="EPSON TMU220B LAN PRINTER (AUTO CUT)"/>
    <n v="1"/>
    <n v="9500"/>
    <n v="13000"/>
    <n v="13000"/>
    <s v="MARITESS"/>
  </r>
  <r>
    <x v="21"/>
    <s v="LIPA GRILLE RESTAURANT CO - SO-015"/>
    <s v="SO-015"/>
    <s v="LIPA GRILLE RESTAURANT CO"/>
    <s v="LIPA GRILLE"/>
    <s v="GENERIC"/>
    <s v="50% DOWNPAYMENT, 50% 35 DAYS PDC"/>
    <s v="2025-01-22"/>
    <s v="DESKTOP CPU I5, 8GB RAM, 480 GB SSD"/>
    <n v="4"/>
    <n v="21500"/>
    <n v="31075"/>
    <n v="124300"/>
    <s v="MARITESS"/>
  </r>
  <r>
    <x v="22"/>
    <s v="CHICKEN DELI - SO-015"/>
    <s v="SO-015"/>
    <s v="CHICKEN DELI"/>
    <s v="ISSY &amp;CO."/>
    <s v="GENERIC"/>
    <s v="N/A"/>
    <s v="2025-01-23"/>
    <s v="RDMS V3+"/>
    <n v="1"/>
    <n v="3675"/>
    <n v="10500"/>
    <n v="10500"/>
    <s v="MARITESS"/>
  </r>
  <r>
    <x v="22"/>
    <s v="CHICKEN DELI - SO-015"/>
    <s v="SO-015"/>
    <s v="CHICKEN DELI"/>
    <s v="ISSY &amp;CO."/>
    <s v="GENERIC"/>
    <s v="N/A"/>
    <s v="2025-01-23"/>
    <s v="IMPLEMENTATION"/>
    <n v="1"/>
    <n v="12800"/>
    <n v="12800"/>
    <n v="12800"/>
    <s v="MARITESS"/>
  </r>
  <r>
    <x v="22"/>
    <s v="CHICKEN DELI - SO-015"/>
    <s v="SO-015"/>
    <s v="CHICKEN DELI"/>
    <s v="ISSY &amp;CO."/>
    <s v="GENERIC"/>
    <s v="N/A"/>
    <s v="2025-01-23"/>
    <s v="ONE YEAR WARRANTY"/>
    <n v="1"/>
    <n v="12800"/>
    <n v="12800"/>
    <n v="12800"/>
    <s v="MARITESS"/>
  </r>
  <r>
    <x v="22"/>
    <s v="CHICKEN DELI - SO-015"/>
    <s v="SO-015"/>
    <s v="CHICKEN DELI"/>
    <s v="ISSY &amp;CO."/>
    <s v="GENERIC"/>
    <s v="N/A"/>
    <s v="2025-01-23"/>
    <s v="BIR REG."/>
    <n v="1"/>
    <n v="500"/>
    <n v="500"/>
    <n v="500"/>
    <s v="MARITESS"/>
  </r>
  <r>
    <x v="22"/>
    <s v="CHICKEN DELI - SO-015"/>
    <s v="SO-015"/>
    <s v="CHICKEN DELI"/>
    <s v="ISSY &amp;CO."/>
    <s v="GENERIC"/>
    <s v="N/A"/>
    <s v="2025-01-23"/>
    <s v="ACER LCD MONITOR"/>
    <n v="1"/>
    <n v="4550"/>
    <n v="6500"/>
    <n v="6500"/>
    <s v="MARITESS"/>
  </r>
  <r>
    <x v="22"/>
    <s v="CHICKEN DELI - SO-015"/>
    <s v="SO-015"/>
    <s v="CHICKEN DELI"/>
    <s v="ISSY &amp;CO."/>
    <s v="GENERIC"/>
    <s v="N/A"/>
    <s v="2025-01-23"/>
    <s v="EPSON PRINTER TMU220D ( USB )"/>
    <n v="1"/>
    <n v="8500"/>
    <n v="12000"/>
    <n v="12000"/>
    <s v="MARITESS"/>
  </r>
  <r>
    <x v="22"/>
    <s v="CHICKEN DELI - SO-015"/>
    <s v="SO-015"/>
    <s v="CHICKEN DELI"/>
    <s v="ISSY &amp;CO."/>
    <s v="GENERIC"/>
    <s v="N/A"/>
    <s v="2025-01-23"/>
    <s v="KASPERSKY ANTI VIRUS"/>
    <n v="1"/>
    <n v="935"/>
    <n v="1300"/>
    <n v="1300"/>
    <s v="MARITESS"/>
  </r>
  <r>
    <x v="22"/>
    <s v="CHICKEN DELI - SO-015"/>
    <s v="SO-015"/>
    <s v="CHICKEN DELI"/>
    <s v="ISSY &amp;CO."/>
    <s v="GENERIC"/>
    <s v="N/A"/>
    <s v="2025-01-23"/>
    <s v="CASH DRAWER"/>
    <n v="1"/>
    <n v="2185"/>
    <n v="3500"/>
    <n v="3500"/>
    <s v="MARITESS"/>
  </r>
  <r>
    <x v="22"/>
    <s v="CHICKEN DELI - SO-015"/>
    <s v="SO-015"/>
    <s v="CHICKEN DELI"/>
    <s v="ISSY &amp;CO."/>
    <s v="GENERIC"/>
    <s v="N/A"/>
    <s v="2025-01-23"/>
    <s v="UPS APC"/>
    <n v="1"/>
    <n v="2200"/>
    <n v="3100"/>
    <n v="3100"/>
    <s v="MARITESS"/>
  </r>
  <r>
    <x v="22"/>
    <s v="CHICKEN DELI - SO-015"/>
    <s v="SO-015"/>
    <s v="CHICKEN DELI"/>
    <s v="ISSY &amp;CO."/>
    <s v="GENERIC"/>
    <s v="N/A"/>
    <s v="2025-01-23"/>
    <s v="DESKTOP INTEL CORE I5 (8GB NO SSD )"/>
    <n v="1"/>
    <n v="18700"/>
    <n v="27000"/>
    <n v="27000"/>
    <s v="MARITESS"/>
  </r>
  <r>
    <x v="22"/>
    <s v="CHICKEN DELI - SO-015"/>
    <s v="SO-015"/>
    <s v="CHICKEN DELI"/>
    <s v="ISSY &amp;CO."/>
    <s v="GENERIC"/>
    <s v="N/A"/>
    <s v="2025-01-23"/>
    <s v="NVN M.2"/>
    <n v="1"/>
    <n v="2800"/>
    <n v="4000"/>
    <n v="4000"/>
    <s v="MARITESS"/>
  </r>
  <r>
    <x v="22"/>
    <s v="CHICKEN DELI - SO-015"/>
    <s v="SO-015"/>
    <s v="CHICKEN DELI"/>
    <s v="ISSY &amp;CO."/>
    <s v="GENERIC"/>
    <s v="N/A"/>
    <s v="2025-01-23"/>
    <s v="WINDOWS 11"/>
    <n v="1"/>
    <n v="2800"/>
    <n v="4000"/>
    <n v="4000"/>
    <s v="MARITESS"/>
  </r>
  <r>
    <x v="22"/>
    <s v="CHICKEN DELI - SO-015"/>
    <s v="SO-015"/>
    <s v="CHICKEN DELI"/>
    <s v="ISSY &amp;CO."/>
    <s v="GENERIC"/>
    <s v="N/A"/>
    <s v="2025-01-23"/>
    <s v="DELIVERY CHARGE"/>
    <n v="1"/>
    <n v="500"/>
    <n v="500"/>
    <n v="500"/>
    <s v="MARITESS"/>
  </r>
  <r>
    <x v="23"/>
    <s v="GCU FOOD SERVICES NO COR YET - SO-016"/>
    <s v="SO-016"/>
    <s v="GCU FOOD SERVICES NO COR YET"/>
    <s v="KRAKEN TAKOYAKI"/>
    <s v="GENERIC"/>
    <s v="N/A"/>
    <s v="2025-01-22"/>
    <s v="TSCERES LITE VER. 6"/>
    <n v="1"/>
    <n v="2975"/>
    <n v="8500"/>
    <n v="8500"/>
    <s v="MARITESS"/>
  </r>
  <r>
    <x v="23"/>
    <s v="GCU FOOD SERVICES NO COR YET - SO-016"/>
    <s v="SO-016"/>
    <s v="GCU FOOD SERVICES NO COR YET"/>
    <s v="KRAKEN TAKOYAKI"/>
    <s v="GENERIC"/>
    <s v="N/A"/>
    <s v="2025-01-22"/>
    <s v="ROLLOUT IMPLEMENTATION"/>
    <n v="1"/>
    <n v="1925"/>
    <n v="5500"/>
    <n v="5500"/>
    <s v="MARITESS"/>
  </r>
  <r>
    <x v="23"/>
    <s v="GCU FOOD SERVICES NO COR YET - SO-016"/>
    <s v="SO-016"/>
    <s v="GCU FOOD SERVICES NO COR YET"/>
    <s v="KRAKEN TAKOYAKI"/>
    <s v="GENERIC"/>
    <s v="N/A"/>
    <s v="2025-01-22"/>
    <s v="ONE YEAR WARRANTY"/>
    <n v="1"/>
    <n v="1925"/>
    <n v="5500"/>
    <n v="5500"/>
    <s v="MARITESS"/>
  </r>
  <r>
    <x v="23"/>
    <s v="GCU FOOD SERVICES NO COR YET - SO-016"/>
    <s v="SO-016"/>
    <s v="GCU FOOD SERVICES NO COR YET"/>
    <s v="KRAKEN TAKOYAKI"/>
    <s v="GENERIC"/>
    <s v="N/A"/>
    <s v="2025-01-22"/>
    <s v="BIR REGISTRATION"/>
    <n v="1"/>
    <n v="500"/>
    <n v="500"/>
    <n v="500"/>
    <s v="MARITESS"/>
  </r>
  <r>
    <x v="23"/>
    <s v="GCU FOOD SERVICES NO COR YET - SO-016"/>
    <s v="SO-016"/>
    <s v="GCU FOOD SERVICES NO COR YET"/>
    <s v="KRAKEN TAKOYAKI"/>
    <s v="GENERIC"/>
    <s v="N/A"/>
    <s v="2025-01-22"/>
    <s v="CASH DRAWER"/>
    <n v="1"/>
    <n v="2185"/>
    <n v="3500"/>
    <n v="3500"/>
    <s v="MARITESS"/>
  </r>
  <r>
    <x v="23"/>
    <s v="GCU FOOD SERVICES NO COR YET - SO-016"/>
    <s v="SO-016"/>
    <s v="GCU FOOD SERVICES NO COR YET"/>
    <s v="KRAKEN TAKOYAKI"/>
    <s v="GENERIC"/>
    <s v="N/A"/>
    <s v="2025-01-22"/>
    <s v="EPSON TMU220D USB PRINTER"/>
    <n v="1"/>
    <n v="8500"/>
    <n v="12500"/>
    <n v="12500"/>
    <s v="MARITESS"/>
  </r>
  <r>
    <x v="24"/>
    <s v="CHICKEN DELI - SO-016"/>
    <s v="SO-016"/>
    <s v="CHICKEN DELI"/>
    <s v="ASIAN KITCHEN"/>
    <s v="GENERIC"/>
    <s v="N/A"/>
    <s v="2025-01-23"/>
    <s v="TSCERES"/>
    <n v="1"/>
    <n v="2975"/>
    <n v="8500"/>
    <n v="8500"/>
    <s v="MARITESS"/>
  </r>
  <r>
    <x v="24"/>
    <s v="CHICKEN DELI - SO-016"/>
    <s v="SO-016"/>
    <s v="CHICKEN DELI"/>
    <s v="ASIAN KITCHEN"/>
    <s v="GENERIC"/>
    <s v="N/A"/>
    <s v="2025-01-23"/>
    <s v="IMPLEMENTATION"/>
    <n v="1"/>
    <n v="8000"/>
    <n v="8000"/>
    <n v="8000"/>
    <s v="MARITESS"/>
  </r>
  <r>
    <x v="24"/>
    <s v="CHICKEN DELI - SO-016"/>
    <s v="SO-016"/>
    <s v="CHICKEN DELI"/>
    <s v="ASIAN KITCHEN"/>
    <s v="GENERIC"/>
    <s v="N/A"/>
    <s v="2025-01-23"/>
    <s v="ONE YEAR WARRANTY"/>
    <n v="1"/>
    <n v="8000"/>
    <n v="8000"/>
    <n v="8000"/>
    <s v="MARITESS"/>
  </r>
  <r>
    <x v="24"/>
    <s v="CHICKEN DELI - SO-016"/>
    <s v="SO-016"/>
    <s v="CHICKEN DELI"/>
    <s v="ASIAN KITCHEN"/>
    <s v="GENERIC"/>
    <s v="N/A"/>
    <s v="2025-01-23"/>
    <s v="BIR REG."/>
    <n v="1"/>
    <n v="500"/>
    <n v="500"/>
    <n v="500"/>
    <s v="MARITESS"/>
  </r>
  <r>
    <x v="24"/>
    <s v="CHICKEN DELI - SO-016"/>
    <s v="SO-016"/>
    <s v="CHICKEN DELI"/>
    <s v="ASIAN KITCHEN"/>
    <s v="GENERIC"/>
    <s v="N/A"/>
    <s v="2025-01-23"/>
    <s v="EPSON PRINTER TMU220B ( USB )"/>
    <n v="1"/>
    <n v="10900"/>
    <n v="15500"/>
    <n v="15500"/>
    <s v="MARITESS"/>
  </r>
  <r>
    <x v="24"/>
    <s v="CHICKEN DELI - SO-016"/>
    <s v="SO-016"/>
    <s v="CHICKEN DELI"/>
    <s v="ASIAN KITCHEN"/>
    <s v="GENERIC"/>
    <s v="N/A"/>
    <s v="2025-01-23"/>
    <s v="MINI CASH BOX"/>
    <n v="1"/>
    <n v="2185"/>
    <n v="3100"/>
    <n v="3100"/>
    <s v="MARITESS"/>
  </r>
  <r>
    <x v="24"/>
    <s v="CHICKEN DELI - SO-016"/>
    <s v="SO-016"/>
    <s v="CHICKEN DELI"/>
    <s v="ASIAN KITCHEN"/>
    <s v="GENERIC"/>
    <s v="N/A"/>
    <s v="2025-01-23"/>
    <s v="DELIVERY CHARGE"/>
    <n v="1"/>
    <n v="500"/>
    <n v="500"/>
    <n v="500"/>
    <s v="MARITESS"/>
  </r>
  <r>
    <x v="25"/>
    <s v="VISUAL MIX INC - SO-017"/>
    <s v="SO-017"/>
    <s v="VISUAL MIX INC"/>
    <s v="BOOKSALE BOOKSTORE"/>
    <s v="GENERIC"/>
    <s v="N/A"/>
    <s v="2024-01-23"/>
    <s v="SOFTWARE LICENSE UPGRADE"/>
    <n v="1"/>
    <n v="6825"/>
    <n v="19500"/>
    <n v="19500"/>
    <s v="MARITESS"/>
  </r>
  <r>
    <x v="25"/>
    <s v="VISUAL MIX INC - SO-017"/>
    <s v="SO-017"/>
    <s v="VISUAL MIX INC"/>
    <s v="BOOKSALE BOOKSTORE"/>
    <s v="GENERIC"/>
    <s v="N/A"/>
    <s v="2024-01-23"/>
    <s v="BIR REGISTRATION"/>
    <n v="1"/>
    <n v="500"/>
    <n v="500"/>
    <n v="500"/>
    <s v="MARITESS"/>
  </r>
  <r>
    <x v="25"/>
    <s v="VISUAL MIX INC - SO-017"/>
    <s v="SO-017"/>
    <s v="VISUAL MIX INC"/>
    <s v="BOOKSALE BOOKSTORE"/>
    <s v="GENERIC"/>
    <s v="N/A"/>
    <s v="2024-01-23"/>
    <s v="WINDOWS 11 PRO"/>
    <n v="1"/>
    <n v="2800"/>
    <n v="3500"/>
    <n v="3500"/>
    <s v="MARITESS"/>
  </r>
  <r>
    <x v="25"/>
    <s v="VISUAL MIX INC - SO-017"/>
    <s v="SO-017"/>
    <s v="VISUAL MIX INC"/>
    <s v="BOOKSALE BOOKSTORE"/>
    <s v="GENERIC"/>
    <s v="N/A"/>
    <s v="2024-01-23"/>
    <s v="8GB RAM DDR3"/>
    <n v="1"/>
    <n v="1900"/>
    <n v="2500"/>
    <n v="2500"/>
    <s v="MARITESS"/>
  </r>
  <r>
    <x v="2"/>
    <s v="CHICKEN DELI - SO-017"/>
    <s v="SO-017"/>
    <s v="CHICKEN DELI"/>
    <s v="GONGCHA"/>
    <s v="GENERIC"/>
    <s v="N/A"/>
    <s v="2025-01-24"/>
    <s v="PRINTER HEAD"/>
    <n v="5"/>
    <n v="965"/>
    <n v="1300"/>
    <n v="6500"/>
    <s v="MARITESS"/>
  </r>
  <r>
    <x v="26"/>
    <s v="ICE CULINARY - SO-018"/>
    <s v="SO-018"/>
    <s v="ICE CULINARY"/>
    <s v="CHINESE  INT'L SCHOOL"/>
    <s v="GENERIC"/>
    <s v="N/A"/>
    <s v="2025-01-27"/>
    <s v="PREVENTIVE MAINTENANCE"/>
    <n v="1"/>
    <n v="10000"/>
    <n v="10000"/>
    <n v="10000"/>
    <s v="MARITESS"/>
  </r>
  <r>
    <x v="27"/>
    <s v="KERDAR NIK INC - SO-018"/>
    <s v="SO-018"/>
    <s v="KERDAR NIK INC"/>
    <s v="ARYA"/>
    <s v="GENERIC"/>
    <s v="N/A"/>
    <s v="2025-01-27"/>
    <s v="EPSON TMU220D LAN PRINTER"/>
    <n v="4"/>
    <n v="8500"/>
    <n v="12000"/>
    <n v="48000"/>
    <s v="MARITESS"/>
  </r>
  <r>
    <x v="27"/>
    <s v="KERDAR NIK INC - SO-018"/>
    <s v="SO-018"/>
    <s v="KERDAR NIK INC"/>
    <s v="ARYA"/>
    <s v="GENERIC"/>
    <s v="N/A"/>
    <s v="2025-01-27"/>
    <s v="DELIVERY FEE"/>
    <n v="1"/>
    <n v="500"/>
    <n v="500"/>
    <n v="500"/>
    <s v="MARITESS"/>
  </r>
  <r>
    <x v="28"/>
    <s v="PAMANA AND TSOKOLATERIA CONCEPT FOOD CORPORATION - SO-019"/>
    <s v="SO-019"/>
    <s v="PAMANA AND TSOKOLATERIA CONCEPT FOOD CORPORATION"/>
    <s v="PAMANA AND TSOKOLATERIA"/>
    <s v="GENERIC"/>
    <s v="COD"/>
    <s v="2025-01-28"/>
    <s v="SOFTWARE: ORDERING STATION"/>
    <n v="1"/>
    <n v="7000"/>
    <n v="20000"/>
    <n v="20000"/>
    <s v="MARITESS"/>
  </r>
  <r>
    <x v="28"/>
    <s v="PAMANA AND TSOKOLATERIA CONCEPT FOOD CORPORATION - SO-019"/>
    <s v="SO-019"/>
    <s v="PAMANA AND TSOKOLATERIA CONCEPT FOOD CORPORATION"/>
    <s v="PAMANA AND TSOKOLATERIA"/>
    <s v="GENERIC"/>
    <s v="COD"/>
    <s v="2025-01-28"/>
    <s v="CHUWI-2024 HI10 MAX TABLET"/>
    <n v="1"/>
    <n v="25995"/>
    <n v="32000"/>
    <n v="32000"/>
    <s v="MARITESS"/>
  </r>
  <r>
    <x v="29"/>
    <s v="CHICKEN DELI - SO-019"/>
    <s v="SO-019"/>
    <s v="CHICKEN DELI"/>
    <s v="APT8"/>
    <s v="GENERIC"/>
    <s v="N/A"/>
    <s v="2025-01-27"/>
    <s v="RDMS  NEW VERSION 3+"/>
    <n v="1"/>
    <n v="3675"/>
    <n v="10500"/>
    <n v="10500"/>
    <s v="MARITESS"/>
  </r>
  <r>
    <x v="29"/>
    <s v="CHICKEN DELI - SO-019"/>
    <s v="SO-019"/>
    <s v="CHICKEN DELI"/>
    <s v="APT8"/>
    <s v="GENERIC"/>
    <s v="N/A"/>
    <s v="2025-01-27"/>
    <s v="ROLL OUT/ IMPLEMENTATION"/>
    <n v="1"/>
    <n v="4000"/>
    <n v="4000"/>
    <n v="4000"/>
    <s v="MARITESS"/>
  </r>
  <r>
    <x v="29"/>
    <s v="CHICKEN DELI - SO-019"/>
    <s v="SO-019"/>
    <s v="CHICKEN DELI"/>
    <s v="APT8"/>
    <s v="GENERIC"/>
    <s v="N/A"/>
    <s v="2025-01-27"/>
    <s v="ONE YEAR WARRANTY"/>
    <n v="1"/>
    <n v="4000"/>
    <n v="4000"/>
    <n v="4000"/>
    <s v="MARITESS"/>
  </r>
  <r>
    <x v="29"/>
    <s v="CHICKEN DELI - SO-019"/>
    <s v="SO-019"/>
    <s v="CHICKEN DELI"/>
    <s v="APT8"/>
    <s v="GENERIC"/>
    <s v="N/A"/>
    <s v="2025-01-27"/>
    <s v="BIR"/>
    <n v="1"/>
    <n v="500"/>
    <n v="500"/>
    <n v="500"/>
    <s v="MARITESS"/>
  </r>
  <r>
    <x v="29"/>
    <s v="CHICKEN DELI - SO-020"/>
    <s v="SO-020"/>
    <s v="CHICKEN DELI"/>
    <s v="APT8"/>
    <s v="GENERIC"/>
    <s v="N/A"/>
    <s v="2025-01-27"/>
    <s v="RDMS  NEW VERSION 3+"/>
    <n v="1"/>
    <n v="3675"/>
    <n v="10500"/>
    <n v="10500"/>
    <s v="MARITESS"/>
  </r>
  <r>
    <x v="29"/>
    <s v="CHICKEN DELI - SO-020"/>
    <s v="SO-020"/>
    <s v="CHICKEN DELI"/>
    <s v="APT8"/>
    <s v="GENERIC"/>
    <s v="N/A"/>
    <s v="2025-01-27"/>
    <s v="ROLL OUT/ IMPLEMENTATION"/>
    <n v="1"/>
    <n v="4000"/>
    <n v="4000"/>
    <n v="4000"/>
    <s v="MARITESS"/>
  </r>
  <r>
    <x v="29"/>
    <s v="CHICKEN DELI - SO-020"/>
    <s v="SO-020"/>
    <s v="CHICKEN DELI"/>
    <s v="APT8"/>
    <s v="GENERIC"/>
    <s v="N/A"/>
    <s v="2025-01-27"/>
    <s v="ONE YEAR WARRANTY"/>
    <n v="1"/>
    <n v="4000"/>
    <n v="4000"/>
    <n v="4000"/>
    <s v="MARITESS"/>
  </r>
  <r>
    <x v="29"/>
    <s v="CHICKEN DELI - SO-020"/>
    <s v="SO-020"/>
    <s v="CHICKEN DELI"/>
    <s v="APT8"/>
    <s v="GENERIC"/>
    <s v="N/A"/>
    <s v="2025-01-27"/>
    <s v="BIR"/>
    <n v="1"/>
    <n v="500"/>
    <n v="500"/>
    <n v="500"/>
    <s v="MARITESS"/>
  </r>
  <r>
    <x v="30"/>
    <s v="MELO S WESTGATE FINE DINING - SO-020"/>
    <s v="SO-020"/>
    <s v="MELO S WESTGATE FINE DINING"/>
    <s v="MELOS"/>
    <s v="GENERIC"/>
    <s v="N/A"/>
    <s v="2025-02-04"/>
    <s v="EPSON TMU220B LAN PRINTER"/>
    <n v="1"/>
    <n v="9500"/>
    <n v="13250"/>
    <n v="13250"/>
    <s v="MARITESS"/>
  </r>
  <r>
    <x v="30"/>
    <s v="MELO S WESTGATE FINE DINING - SO-020"/>
    <s v="SO-020"/>
    <s v="MELO S WESTGATE FINE DINING"/>
    <s v="MELOS"/>
    <s v="GENERIC"/>
    <s v="N/A"/>
    <s v="2025-02-04"/>
    <s v="EPSON TMU220B USB PRINTER"/>
    <n v="1"/>
    <n v="9500"/>
    <n v="13250"/>
    <n v="13250"/>
    <s v="MARITESS"/>
  </r>
  <r>
    <x v="30"/>
    <s v="MELO S WESTGATE FINE DINING - SO-020"/>
    <s v="SO-020"/>
    <s v="MELO S WESTGATE FINE DINING"/>
    <s v="MELOS"/>
    <s v="GENERIC"/>
    <s v="N/A"/>
    <s v="2025-02-04"/>
    <s v="DELIVERY FEE"/>
    <n v="1"/>
    <n v="500"/>
    <n v="500"/>
    <n v="500"/>
    <s v="MARITESS"/>
  </r>
  <r>
    <x v="29"/>
    <s v="CHICKEN DELI - SO-021"/>
    <s v="SO-021"/>
    <s v="CHICKEN DELI"/>
    <s v="APT8"/>
    <s v="GENERIC"/>
    <s v="N/A"/>
    <s v="2025-01-27"/>
    <s v="RDMS  NEW VERSION 3+"/>
    <n v="1"/>
    <n v="3675"/>
    <n v="10500"/>
    <n v="10500"/>
    <s v="MARITESS"/>
  </r>
  <r>
    <x v="29"/>
    <s v="CHICKEN DELI - SO-021"/>
    <s v="SO-021"/>
    <s v="CHICKEN DELI"/>
    <s v="APT8"/>
    <s v="GENERIC"/>
    <s v="N/A"/>
    <s v="2025-01-27"/>
    <s v="ROLL OUT/ IMPLEMENTATION"/>
    <n v="1"/>
    <n v="4750"/>
    <n v="4750"/>
    <n v="4750"/>
    <s v="MARITESS"/>
  </r>
  <r>
    <x v="29"/>
    <s v="CHICKEN DELI - SO-021"/>
    <s v="SO-021"/>
    <s v="CHICKEN DELI"/>
    <s v="APT8"/>
    <s v="GENERIC"/>
    <s v="N/A"/>
    <s v="2025-01-27"/>
    <s v="ONE YEAR WARRANTY"/>
    <n v="1"/>
    <n v="4750"/>
    <n v="4750"/>
    <n v="4750"/>
    <s v="MARITESS"/>
  </r>
  <r>
    <x v="31"/>
    <s v="ELEVATED FOOD RECIPES INC - SO-021"/>
    <s v="SO-021"/>
    <s v="ELEVATED FOOD RECIPES INC"/>
    <s v="HEALTHY SHABU SHABU"/>
    <s v="GENERIC"/>
    <s v="N/A"/>
    <s v="2025-02-06"/>
    <s v="*ANNAUAL PREVENTIVE MAINTENANCE COVERED DATE: JANUARY 1, 2025 - DECEMBER 31, 2025 BRANCHES: 1. ROCKWELL 2. ATC 3. PODIUM 4. ROB. ERMITA 5. EDSA SHANGRILA"/>
    <n v="5"/>
    <n v="8000"/>
    <n v="8000"/>
    <n v="40000"/>
    <s v="RUDELYN"/>
  </r>
  <r>
    <x v="31"/>
    <s v="ELEVATED FOOD RECIPES INC - SO-021"/>
    <s v="SO-021"/>
    <s v="ELEVATED FOOD RECIPES INC"/>
    <s v="HEALTHY SHABU SHABU"/>
    <s v="GENERIC"/>
    <s v="N/A"/>
    <s v="2025-02-06"/>
    <s v="*SEMI-ANNUAL MAINTENANCE COVERED DATE: JULY 1, 2025 - DECEMBER 31, 2015 BRANCHES: 1. SM AURA"/>
    <n v="1"/>
    <n v="4000"/>
    <n v="4000"/>
    <n v="4000"/>
    <s v="RUDELYN"/>
  </r>
  <r>
    <x v="32"/>
    <s v="PAMANA AND TSOKOLATERIA CONCEPT FOOD CORP - SO-022"/>
    <s v="SO-022"/>
    <s v="PAMANA AND TSOKOLATERIA CONCEPT FOOD CORP"/>
    <s v="PAMANA AND TSOKOLATERIA"/>
    <s v="GENERIC"/>
    <s v="50% DOWNPAYMENT, 50% 35 DAYS PDC"/>
    <s v="2025-02-07"/>
    <s v="BACCHUS SQL VER 7"/>
    <n v="1"/>
    <n v="3675"/>
    <n v="10500"/>
    <n v="10500"/>
    <s v="MARITESS"/>
  </r>
  <r>
    <x v="32"/>
    <s v="PAMANA AND TSOKOLATERIA CONCEPT FOOD CORP - SO-022"/>
    <s v="SO-022"/>
    <s v="PAMANA AND TSOKOLATERIA CONCEPT FOOD CORP"/>
    <s v="PAMANA AND TSOKOLATERIA"/>
    <s v="GENERIC"/>
    <s v="50% DOWNPAYMENT, 50% 35 DAYS PDC"/>
    <s v="2025-02-07"/>
    <s v="ROLLOUT IMPLEMENTATION"/>
    <n v="1"/>
    <n v="3220"/>
    <n v="9200"/>
    <n v="9200"/>
    <s v="MARITESS"/>
  </r>
  <r>
    <x v="32"/>
    <s v="PAMANA AND TSOKOLATERIA CONCEPT FOOD CORP - SO-022"/>
    <s v="SO-022"/>
    <s v="PAMANA AND TSOKOLATERIA CONCEPT FOOD CORP"/>
    <s v="PAMANA AND TSOKOLATERIA"/>
    <s v="GENERIC"/>
    <s v="50% DOWNPAYMENT, 50% 35 DAYS PDC"/>
    <s v="2025-02-07"/>
    <s v="1 YEAR WARRANTY"/>
    <n v="1"/>
    <n v="3220"/>
    <n v="9200"/>
    <n v="9200"/>
    <s v="MARITESS"/>
  </r>
  <r>
    <x v="32"/>
    <s v="PAMANA AND TSOKOLATERIA CONCEPT FOOD CORP - SO-022"/>
    <s v="SO-022"/>
    <s v="PAMANA AND TSOKOLATERIA CONCEPT FOOD CORP"/>
    <s v="PAMANA AND TSOKOLATERIA"/>
    <s v="GENERIC"/>
    <s v="50% DOWNPAYMENT, 50% 35 DAYS PDC"/>
    <s v="2025-02-07"/>
    <s v="BIR APPLICATION"/>
    <n v="1"/>
    <n v="500"/>
    <n v="500"/>
    <n v="500"/>
    <s v="MARITESS"/>
  </r>
  <r>
    <x v="32"/>
    <s v="PAMANA AND TSOKOLATERIA CONCEPT FOOD CORP - SO-022"/>
    <s v="SO-022"/>
    <s v="PAMANA AND TSOKOLATERIA CONCEPT FOOD CORP"/>
    <s v="PAMANA AND TSOKOLATERIA"/>
    <s v="GENERIC"/>
    <s v="50% DOWNPAYMENT, 50% 35 DAYS PDC"/>
    <s v="2025-02-07"/>
    <s v="EPSON TMU220D LAN PRINTER"/>
    <n v="2"/>
    <n v="8500"/>
    <n v="10700"/>
    <n v="21400"/>
    <s v="MARITESS"/>
  </r>
  <r>
    <x v="32"/>
    <s v="PAMANA AND TSOKOLATERIA CONCEPT FOOD CORP - SO-022"/>
    <s v="SO-022"/>
    <s v="PAMANA AND TSOKOLATERIA CONCEPT FOOD CORP"/>
    <s v="PAMANA AND TSOKOLATERIA"/>
    <s v="GENERIC"/>
    <s v="50% DOWNPAYMENT, 50% 35 DAYS PDC"/>
    <s v="2025-02-07"/>
    <s v="EPSON TMU220D USB PRINTER"/>
    <n v="1"/>
    <n v="8500"/>
    <n v="10700"/>
    <n v="10700"/>
    <s v="MARITESS"/>
  </r>
  <r>
    <x v="32"/>
    <s v="PAMANA AND TSOKOLATERIA CONCEPT FOOD CORP - SO-022"/>
    <s v="SO-022"/>
    <s v="PAMANA AND TSOKOLATERIA CONCEPT FOOD CORP"/>
    <s v="PAMANA AND TSOKOLATERIA"/>
    <s v="GENERIC"/>
    <s v="50% DOWNPAYMENT, 50% 35 DAYS PDC"/>
    <s v="2025-02-07"/>
    <s v="CASH DRAWER"/>
    <n v="1"/>
    <n v="2185"/>
    <n v="3100"/>
    <n v="3100"/>
    <s v="MARITESS"/>
  </r>
  <r>
    <x v="32"/>
    <s v="PAMANA AND TSOKOLATERIA CONCEPT FOOD CORP - SO-022"/>
    <s v="SO-022"/>
    <s v="PAMANA AND TSOKOLATERIA CONCEPT FOOD CORP"/>
    <s v="PAMANA AND TSOKOLATERIA"/>
    <s v="GENERIC"/>
    <s v="50% DOWNPAYMENT, 50% 35 DAYS PDC"/>
    <s v="2025-02-07"/>
    <s v="15&quot; POSTECH TOUCHSCREEN MONITOR"/>
    <n v="1"/>
    <n v="10750"/>
    <n v="14700"/>
    <n v="14700"/>
    <s v="MARITESS"/>
  </r>
  <r>
    <x v="32"/>
    <s v="PAMANA AND TSOKOLATERIA CONCEPT FOOD CORP - SO-022"/>
    <s v="SO-022"/>
    <s v="PAMANA AND TSOKOLATERIA CONCEPT FOOD CORP"/>
    <s v="PAMANA AND TSOKOLATERIA"/>
    <s v="GENERIC"/>
    <s v="50% DOWNPAYMENT, 50% 35 DAYS PDC"/>
    <s v="2025-02-07"/>
    <s v="UPS APC"/>
    <n v="1"/>
    <n v="2200"/>
    <n v="3100"/>
    <n v="3100"/>
    <s v="MARITESS"/>
  </r>
  <r>
    <x v="32"/>
    <s v="PAMANA AND TSOKOLATERIA CONCEPT FOOD CORP - SO-022"/>
    <s v="SO-022"/>
    <s v="PAMANA AND TSOKOLATERIA CONCEPT FOOD CORP"/>
    <s v="PAMANA AND TSOKOLATERIA"/>
    <s v="GENERIC"/>
    <s v="50% DOWNPAYMENT, 50% 35 DAYS PDC"/>
    <s v="2025-02-07"/>
    <s v="8 PORT SWITCH HUB"/>
    <n v="1"/>
    <n v="850"/>
    <n v="890"/>
    <n v="890"/>
    <s v="MARITESS"/>
  </r>
  <r>
    <x v="32"/>
    <s v="PAMANA AND TSOKOLATERIA CONCEPT FOOD CORP - SO-022"/>
    <s v="SO-022"/>
    <s v="PAMANA AND TSOKOLATERIA CONCEPT FOOD CORP"/>
    <s v="PAMANA AND TSOKOLATERIA"/>
    <s v="GENERIC"/>
    <s v="50% DOWNPAYMENT, 50% 35 DAYS PDC"/>
    <s v="2025-02-07"/>
    <s v="MINI CPU I5, 8GB RAM, 480GB SSD"/>
    <n v="1"/>
    <n v="23450"/>
    <n v="28900"/>
    <n v="28900"/>
    <s v="MARITESS"/>
  </r>
  <r>
    <x v="32"/>
    <s v="PAMANA AND TSOKOLATERIA CONCEPT FOOD CORP - SO-022"/>
    <s v="SO-022"/>
    <s v="PAMANA AND TSOKOLATERIA CONCEPT FOOD CORP"/>
    <s v="PAMANA AND TSOKOLATERIA"/>
    <s v="GENERIC"/>
    <s v="50% DOWNPAYMENT, 50% 35 DAYS PDC"/>
    <s v="2025-02-07"/>
    <s v="KEYBOARD AND MOUSE"/>
    <n v="1"/>
    <n v="500"/>
    <n v="600"/>
    <n v="600"/>
    <s v="MARITESS"/>
  </r>
  <r>
    <x v="32"/>
    <s v="PAMANA AND TSOKOLATERIA CONCEPT FOOD CORP - SO-022"/>
    <s v="SO-022"/>
    <s v="PAMANA AND TSOKOLATERIA CONCEPT FOOD CORP"/>
    <s v="PAMANA AND TSOKOLATERIA"/>
    <s v="GENERIC"/>
    <s v="50% DOWNPAYMENT, 50% 35 DAYS PDC"/>
    <s v="2025-02-07"/>
    <s v="EOS FAN WITH FAN GRILL"/>
    <n v="1"/>
    <n v="350"/>
    <n v="500"/>
    <n v="500"/>
    <s v="MARITESS"/>
  </r>
  <r>
    <x v="32"/>
    <s v="PAMANA AND TSOKOLATERIA CONCEPT FOOD CORP - SO-022"/>
    <s v="SO-022"/>
    <s v="PAMANA AND TSOKOLATERIA CONCEPT FOOD CORP"/>
    <s v="PAMANA AND TSOKOLATERIA"/>
    <s v="GENERIC"/>
    <s v="50% DOWNPAYMENT, 50% 35 DAYS PDC"/>
    <s v="2025-02-07"/>
    <s v="WINDOWS 11 PRO"/>
    <n v="1"/>
    <n v="2800"/>
    <n v="3500"/>
    <n v="3500"/>
    <s v="MARITESS"/>
  </r>
  <r>
    <x v="32"/>
    <s v="PAMANA AND TSOKOLATERIA CONCEPT FOOD CORP - SO-022"/>
    <s v="SO-022"/>
    <s v="PAMANA AND TSOKOLATERIA CONCEPT FOOD CORP"/>
    <s v="PAMANA AND TSOKOLATERIA"/>
    <s v="GENERIC"/>
    <s v="50% DOWNPAYMENT, 50% 35 DAYS PDC"/>
    <s v="2025-02-07"/>
    <s v="DELIVERY FEE"/>
    <n v="1"/>
    <n v="500"/>
    <n v="600"/>
    <n v="600"/>
    <s v="MARITESS"/>
  </r>
  <r>
    <x v="33"/>
    <s v="M W TOWNSTORE - SO-022"/>
    <s v="SO-022"/>
    <s v="M W TOWNSTORE"/>
    <s v="M &amp; W"/>
    <s v="GENERIC"/>
    <s v="N/A"/>
    <s v="2025-01-30"/>
    <s v="DELL POWEREDGE T360 - HEAD OFFICE SERVER"/>
    <n v="1"/>
    <n v="250000"/>
    <n v="298000"/>
    <n v="298000"/>
    <s v="MARITESS"/>
  </r>
  <r>
    <x v="33"/>
    <s v="M W TOWNSTORE - SO-022"/>
    <s v="SO-022"/>
    <s v="M W TOWNSTORE"/>
    <s v="M &amp; W"/>
    <s v="GENERIC"/>
    <s v="N/A"/>
    <s v="2025-01-30"/>
    <s v="INTEL CORE I5 12400 ( CASHIER 8GB / BACK OFFICE 16GB )"/>
    <n v="6"/>
    <n v="20000"/>
    <n v="25333"/>
    <n v="151998"/>
    <s v="MARITESS"/>
  </r>
  <r>
    <x v="33"/>
    <s v="M W TOWNSTORE - SO-022"/>
    <s v="SO-022"/>
    <s v="M W TOWNSTORE"/>
    <s v="M &amp; W"/>
    <s v="GENERIC"/>
    <s v="N/A"/>
    <s v="2025-01-30"/>
    <s v="BIR REGISTRATION"/>
    <n v="5"/>
    <n v="500"/>
    <n v="500"/>
    <n v="2500"/>
    <s v="MARITESS"/>
  </r>
  <r>
    <x v="33"/>
    <s v="M W TOWNSTORE - SO-022"/>
    <s v="SO-022"/>
    <s v="M W TOWNSTORE"/>
    <s v="M &amp; W"/>
    <s v="GENERIC"/>
    <s v="N/A"/>
    <s v="2025-01-30"/>
    <s v="ADDITIONAL : DELL 2TB HARDDRIVE"/>
    <n v="1"/>
    <n v="19000"/>
    <n v="25000"/>
    <n v="25000"/>
    <s v="MARITESS"/>
  </r>
  <r>
    <x v="33"/>
    <s v="M W TOWNSTORE - SO-022"/>
    <s v="SO-022"/>
    <s v="M W TOWNSTORE"/>
    <s v="M &amp; W"/>
    <s v="GENERIC"/>
    <s v="N/A"/>
    <s v="2025-01-30"/>
    <s v="DELIVERY VIA TRANSPORTIFY"/>
    <n v="1"/>
    <n v="1500"/>
    <n v="1500"/>
    <n v="1500"/>
    <s v="MARITESS"/>
  </r>
  <r>
    <x v="34"/>
    <s v="RBQ FOOD SPECIALISTS INC - SO-023"/>
    <s v="SO-023"/>
    <s v="RBQ FOOD SPECIALISTS INC"/>
    <s v="REYES BARBECUE"/>
    <s v="SM MOA"/>
    <s v="N/A"/>
    <s v="2025-02-11"/>
    <s v="MINI CPU I5, 8GB RAM, 480GB SSD"/>
    <n v="1"/>
    <n v="23450"/>
    <n v="29900"/>
    <n v="29900"/>
    <s v="RUDELYN"/>
  </r>
  <r>
    <x v="34"/>
    <s v="RBQ FOOD SPECIALISTS INC - SO-023"/>
    <s v="SO-023"/>
    <s v="RBQ FOOD SPECIALISTS INC"/>
    <s v="REYES BARBECUE"/>
    <s v="SM MOA"/>
    <s v="N/A"/>
    <s v="2025-02-11"/>
    <s v="KEYBOARD AND MOUSE"/>
    <n v="1"/>
    <n v="500"/>
    <n v="700"/>
    <n v="700"/>
    <s v="RUDELYN"/>
  </r>
  <r>
    <x v="34"/>
    <s v="RBQ FOOD SPECIALISTS INC - SO-023"/>
    <s v="SO-023"/>
    <s v="RBQ FOOD SPECIALISTS INC"/>
    <s v="REYES BARBECUE"/>
    <s v="SM MOA"/>
    <s v="N/A"/>
    <s v="2025-02-11"/>
    <s v="EOS FAN WITH FAN GRILL DELIVERY FEE"/>
    <n v="1"/>
    <n v="350"/>
    <n v="500"/>
    <n v="500"/>
    <s v="RUDELYN"/>
  </r>
  <r>
    <x v="35"/>
    <s v="FEDERAL PROTECTION SYSTEMS INC - SO-023"/>
    <s v="SO-023"/>
    <s v="FEDERAL PROTECTION SYSTEMS INC"/>
    <s v="INST.OF CULINARY MNGT.INC."/>
    <s v="GENERIC"/>
    <s v="N/A"/>
    <s v="2025-01-30"/>
    <s v="PREVENTIVE MAINTENANCE"/>
    <n v="3"/>
    <n v="10000"/>
    <n v="10000"/>
    <n v="30000"/>
    <s v="MARITESS"/>
  </r>
  <r>
    <x v="14"/>
    <s v="HUZZAH - SO-024"/>
    <s v="SO-024"/>
    <s v="HUZZAH"/>
    <s v="HUZZAH"/>
    <s v="GENERIC"/>
    <s v="COD"/>
    <s v="2025-02-12"/>
    <s v="JOURNAL PAPER - DOUBLE PLY"/>
    <n v="50"/>
    <n v="32"/>
    <n v="50"/>
    <n v="2500"/>
    <s v="RUDELYN"/>
  </r>
  <r>
    <x v="2"/>
    <s v="CHICKEN DELI - SO-024"/>
    <s v="SO-024"/>
    <s v="CHICKEN DELI"/>
    <s v="GONGCHA"/>
    <s v="GENERIC"/>
    <s v="N/A"/>
    <s v="2025-02-04"/>
    <s v="PREVENTIVE MAINTENANCE"/>
    <n v="1"/>
    <n v="6500"/>
    <n v="6500"/>
    <n v="6500"/>
    <s v="MARITESS"/>
  </r>
  <r>
    <x v="2"/>
    <s v="CHICKEN DELI - SO-025"/>
    <s v="SO-025"/>
    <s v="CHICKEN DELI"/>
    <s v="GONGCHA"/>
    <s v="GENERIC"/>
    <s v="N/A"/>
    <s v="2025-02-04"/>
    <s v="PREVENTIVE MAINTENANCE"/>
    <n v="3"/>
    <n v="6500"/>
    <n v="6500"/>
    <n v="19500"/>
    <s v="MARITESS"/>
  </r>
  <r>
    <x v="36"/>
    <s v="ELEVATED FOOD RECIPE INC - SO-025"/>
    <s v="SO-025"/>
    <s v="ELEVATED FOOD RECIPE INC"/>
    <s v="HEALTHY SHABUSHABU"/>
    <s v="GENERIC"/>
    <s v="COD"/>
    <s v="2025-02-12"/>
    <s v="EOS MINI CPU I5, 8GB RAM, 512 GB SSD"/>
    <n v="1"/>
    <n v="23450"/>
    <n v="30400"/>
    <n v="30400"/>
    <s v="MARITESS"/>
  </r>
  <r>
    <x v="36"/>
    <s v="ELEVATED FOOD RECIPE INC - SO-025"/>
    <s v="SO-025"/>
    <s v="ELEVATED FOOD RECIPE INC"/>
    <s v="HEALTHY SHABUSHABU"/>
    <s v="GENERIC"/>
    <s v="COD"/>
    <s v="2025-02-12"/>
    <s v="WINDOWS 11 PRO"/>
    <n v="1"/>
    <n v="2800"/>
    <n v="4000"/>
    <n v="4000"/>
    <s v="MARITESS"/>
  </r>
  <r>
    <x v="36"/>
    <s v="ELEVATED FOOD RECIPE INC - SO-025"/>
    <s v="SO-025"/>
    <s v="ELEVATED FOOD RECIPE INC"/>
    <s v="HEALTHY SHABUSHABU"/>
    <s v="GENERIC"/>
    <s v="COD"/>
    <s v="2025-02-12"/>
    <s v="KEYBOARD &amp; MOUSE"/>
    <n v="1"/>
    <n v="530"/>
    <n v="700"/>
    <n v="700"/>
    <s v="MARITESS"/>
  </r>
  <r>
    <x v="36"/>
    <s v="ELEVATED FOOD RECIPE INC - SO-025"/>
    <s v="SO-025"/>
    <s v="ELEVATED FOOD RECIPE INC"/>
    <s v="HEALTHY SHABUSHABU"/>
    <s v="GENERIC"/>
    <s v="COD"/>
    <s v="2025-02-12"/>
    <s v="EOS FAN WITH FAN COVER"/>
    <n v="1"/>
    <n v="350"/>
    <n v="500"/>
    <n v="500"/>
    <s v="MARITESS"/>
  </r>
  <r>
    <x v="36"/>
    <s v="ELEVATED FOOD RECIPE INC - SO-025"/>
    <s v="SO-025"/>
    <s v="ELEVATED FOOD RECIPE INC"/>
    <s v="HEALTHY SHABUSHABU"/>
    <s v="GENERIC"/>
    <s v="COD"/>
    <s v="2025-02-12"/>
    <s v="KASPERSKY ANTI VIRUS"/>
    <n v="1"/>
    <n v="935"/>
    <n v="1500"/>
    <n v="1500"/>
    <s v="MARITESS"/>
  </r>
  <r>
    <x v="36"/>
    <s v="ELEVATED FOOD RECIPE INC - SO-025"/>
    <s v="SO-025"/>
    <s v="ELEVATED FOOD RECIPE INC"/>
    <s v="HEALTHY SHABUSHABU"/>
    <s v="GENERIC"/>
    <s v="COD"/>
    <s v="2025-02-12"/>
    <s v="BIR APPLICATION"/>
    <n v="1"/>
    <n v="500"/>
    <n v="500"/>
    <n v="500"/>
    <s v="MARITESS"/>
  </r>
  <r>
    <x v="36"/>
    <s v="ELEVATED FOOD RECIPE INC - SO-025"/>
    <s v="SO-025"/>
    <s v="ELEVATED FOOD RECIPE INC"/>
    <s v="HEALTHY SHABUSHABU"/>
    <s v="GENERIC"/>
    <s v="COD"/>
    <s v="2025-02-12"/>
    <s v="DELIVERY FEE"/>
    <n v="1"/>
    <n v="400"/>
    <n v="400"/>
    <n v="400"/>
    <s v="MARITESS"/>
  </r>
  <r>
    <x v="37"/>
    <s v="OUT OF NOWHERE KITCHEN INC - SO-026"/>
    <s v="SO-026"/>
    <s v="OUT OF NOWHERE KITCHEN INC"/>
    <s v="OON"/>
    <s v="GENERIC"/>
    <s v="N/A"/>
    <s v="2025-02-19"/>
    <s v="BACCHUS SQL VER 7"/>
    <n v="1"/>
    <n v="2275"/>
    <n v="6500"/>
    <n v="6500"/>
    <s v="MARITESS"/>
  </r>
  <r>
    <x v="37"/>
    <s v="OUT OF NOWHERE KITCHEN INC - SO-026"/>
    <s v="SO-026"/>
    <s v="OUT OF NOWHERE KITCHEN INC"/>
    <s v="OON"/>
    <s v="GENERIC"/>
    <s v="N/A"/>
    <s v="2025-02-19"/>
    <s v="ROLLOUT IMPLEMENTATION"/>
    <n v="1"/>
    <n v="2275"/>
    <n v="6500"/>
    <n v="6500"/>
    <s v="MARITESS"/>
  </r>
  <r>
    <x v="37"/>
    <s v="OUT OF NOWHERE KITCHEN INC - SO-026"/>
    <s v="SO-026"/>
    <s v="OUT OF NOWHERE KITCHEN INC"/>
    <s v="OON"/>
    <s v="GENERIC"/>
    <s v="N/A"/>
    <s v="2025-02-19"/>
    <s v="6 MONTHS WARRANTY"/>
    <n v="1"/>
    <n v="2275"/>
    <n v="6500"/>
    <n v="6500"/>
    <s v="MARITESS"/>
  </r>
  <r>
    <x v="37"/>
    <s v="OUT OF NOWHERE KITCHEN INC - SO-026"/>
    <s v="SO-026"/>
    <s v="OUT OF NOWHERE KITCHEN INC"/>
    <s v="OON"/>
    <s v="GENERIC"/>
    <s v="N/A"/>
    <s v="2025-02-19"/>
    <s v="BIR APPLICATION"/>
    <n v="1"/>
    <n v="500"/>
    <n v="500"/>
    <n v="500"/>
    <s v="MARITESS"/>
  </r>
  <r>
    <x v="2"/>
    <s v="CHICKEN DELI - SO-026"/>
    <s v="SO-026"/>
    <s v="CHICKEN DELI"/>
    <s v="GONGCHA"/>
    <s v="GENERIC"/>
    <s v="N/A"/>
    <s v="2025-02-04"/>
    <s v="PREVENTIVE MAINTENANCE"/>
    <n v="2"/>
    <n v="6500"/>
    <n v="6500"/>
    <n v="13000"/>
    <s v="MARITESS"/>
  </r>
  <r>
    <x v="38"/>
    <s v="HEXAGON LOUNGE INC - SO-027"/>
    <s v="SO-027"/>
    <s v="HEXAGON LOUNGE INC"/>
    <s v="HEXAGON LOUNGE INC."/>
    <s v="GENERIC"/>
    <s v="COD"/>
    <s v="2025-02-21"/>
    <s v="JOURNAL PAPER - DOUBLE PLY"/>
    <n v="50"/>
    <n v="32"/>
    <n v="50"/>
    <n v="2500"/>
    <s v="RUDELYN"/>
  </r>
  <r>
    <x v="2"/>
    <s v="CHICKEN DELI - SO-027"/>
    <s v="SO-027"/>
    <s v="CHICKEN DELI"/>
    <s v="GONGCHA"/>
    <s v="GENERIC"/>
    <s v="N/A"/>
    <s v="2025-02-04"/>
    <s v="PREVENTIVE MAINTENANCE"/>
    <n v="2"/>
    <n v="6500"/>
    <n v="6500"/>
    <n v="13000"/>
    <s v="MARITESS"/>
  </r>
  <r>
    <x v="39"/>
    <s v="SIMPLY GOURMET FOOD CORP NO COR YET - SO-028"/>
    <s v="SO-028"/>
    <s v="SIMPLY GOURMET FOOD CORP NO COR YET"/>
    <s v="CHA TRA MUE"/>
    <s v="SM MOA"/>
    <s v="50% DOWNPAYMENT, 50% 35 DAYS PDC"/>
    <s v="2025-02-24"/>
    <s v="TSCERES SQL VER. 6"/>
    <n v="1"/>
    <n v="3675"/>
    <n v="10500"/>
    <n v="10500"/>
    <s v="RUDELYN"/>
  </r>
  <r>
    <x v="39"/>
    <s v="SIMPLY GOURMET FOOD CORP NO COR YET - SO-028"/>
    <s v="SO-028"/>
    <s v="SIMPLY GOURMET FOOD CORP NO COR YET"/>
    <s v="CHA TRA MUE"/>
    <s v="SM MOA"/>
    <s v="50% DOWNPAYMENT, 50% 35 DAYS PDC"/>
    <s v="2025-02-24"/>
    <s v="ROLLOUT IMPLEMENTATION"/>
    <n v="1"/>
    <n v="4095"/>
    <n v="11700"/>
    <n v="11700"/>
    <s v="RUDELYN"/>
  </r>
  <r>
    <x v="39"/>
    <s v="SIMPLY GOURMET FOOD CORP NO COR YET - SO-028"/>
    <s v="SO-028"/>
    <s v="SIMPLY GOURMET FOOD CORP NO COR YET"/>
    <s v="CHA TRA MUE"/>
    <s v="SM MOA"/>
    <s v="50% DOWNPAYMENT, 50% 35 DAYS PDC"/>
    <s v="2025-02-24"/>
    <s v="1 YEAR WARRANTY"/>
    <n v="1"/>
    <n v="4095"/>
    <n v="11700"/>
    <n v="11700"/>
    <s v="RUDELYN"/>
  </r>
  <r>
    <x v="39"/>
    <s v="SIMPLY GOURMET FOOD CORP NO COR YET - SO-028"/>
    <s v="SO-028"/>
    <s v="SIMPLY GOURMET FOOD CORP NO COR YET"/>
    <s v="CHA TRA MUE"/>
    <s v="SM MOA"/>
    <s v="50% DOWNPAYMENT, 50% 35 DAYS PDC"/>
    <s v="2025-02-24"/>
    <s v="BIR REGISTRATION"/>
    <n v="1"/>
    <n v="500"/>
    <n v="500"/>
    <n v="500"/>
    <s v="RUDELYN"/>
  </r>
  <r>
    <x v="39"/>
    <s v="SIMPLY GOURMET FOOD CORP NO COR YET - SO-028"/>
    <s v="SO-028"/>
    <s v="SIMPLY GOURMET FOOD CORP NO COR YET"/>
    <s v="CHA TRA MUE"/>
    <s v="SM MOA"/>
    <s v="50% DOWNPAYMENT, 50% 35 DAYS PDC"/>
    <s v="2025-02-24"/>
    <s v="EPSON TMU220D USB PRINTER"/>
    <n v="1"/>
    <n v="8500"/>
    <n v="12500"/>
    <n v="12500"/>
    <s v="RUDELYN"/>
  </r>
  <r>
    <x v="39"/>
    <s v="SIMPLY GOURMET FOOD CORP NO COR YET - SO-028"/>
    <s v="SO-028"/>
    <s v="SIMPLY GOURMET FOOD CORP NO COR YET"/>
    <s v="CHA TRA MUE"/>
    <s v="SM MOA"/>
    <s v="50% DOWNPAYMENT, 50% 35 DAYS PDC"/>
    <s v="2025-02-24"/>
    <s v="APC UPS"/>
    <n v="1"/>
    <n v="2200"/>
    <n v="3000"/>
    <n v="3000"/>
    <s v="RUDELYN"/>
  </r>
  <r>
    <x v="39"/>
    <s v="SIMPLY GOURMET FOOD CORP NO COR YET - SO-028"/>
    <s v="SO-028"/>
    <s v="SIMPLY GOURMET FOOD CORP NO COR YET"/>
    <s v="CHA TRA MUE"/>
    <s v="SM MOA"/>
    <s v="50% DOWNPAYMENT, 50% 35 DAYS PDC"/>
    <s v="2025-02-24"/>
    <s v="POSHTECH 15&quot; TOUCHSCREEN MONITOR"/>
    <n v="1"/>
    <n v="11000"/>
    <n v="16000"/>
    <n v="16000"/>
    <s v="RUDELYN"/>
  </r>
  <r>
    <x v="39"/>
    <s v="SIMPLY GOURMET FOOD CORP NO COR YET - SO-028"/>
    <s v="SO-028"/>
    <s v="SIMPLY GOURMET FOOD CORP NO COR YET"/>
    <s v="CHA TRA MUE"/>
    <s v="SM MOA"/>
    <s v="50% DOWNPAYMENT, 50% 35 DAYS PDC"/>
    <s v="2025-02-24"/>
    <s v="CASH DRAWER"/>
    <n v="1"/>
    <n v="2185"/>
    <n v="3500"/>
    <n v="3500"/>
    <s v="RUDELYN"/>
  </r>
  <r>
    <x v="39"/>
    <s v="SIMPLY GOURMET FOOD CORP NO COR YET - SO-028"/>
    <s v="SO-028"/>
    <s v="SIMPLY GOURMET FOOD CORP NO COR YET"/>
    <s v="CHA TRA MUE"/>
    <s v="SM MOA"/>
    <s v="50% DOWNPAYMENT, 50% 35 DAYS PDC"/>
    <s v="2025-02-24"/>
    <s v="EOS MINI CPU I5, 8GB RAM, 512 GB SSD"/>
    <n v="1"/>
    <n v="23450"/>
    <n v="30300"/>
    <n v="30300"/>
    <s v="RUDELYN"/>
  </r>
  <r>
    <x v="39"/>
    <s v="SIMPLY GOURMET FOOD CORP NO COR YET - SO-028"/>
    <s v="SO-028"/>
    <s v="SIMPLY GOURMET FOOD CORP NO COR YET"/>
    <s v="CHA TRA MUE"/>
    <s v="SM MOA"/>
    <s v="50% DOWNPAYMENT, 50% 35 DAYS PDC"/>
    <s v="2025-02-24"/>
    <s v="WINDOWS 11 PRO"/>
    <n v="1"/>
    <n v="2800"/>
    <n v="4000"/>
    <n v="4000"/>
    <s v="RUDELYN"/>
  </r>
  <r>
    <x v="39"/>
    <s v="SIMPLY GOURMET FOOD CORP NO COR YET - SO-028"/>
    <s v="SO-028"/>
    <s v="SIMPLY GOURMET FOOD CORP NO COR YET"/>
    <s v="CHA TRA MUE"/>
    <s v="SM MOA"/>
    <s v="50% DOWNPAYMENT, 50% 35 DAYS PDC"/>
    <s v="2025-02-24"/>
    <s v="KEYBOARD &amp; MOUSE"/>
    <n v="1"/>
    <n v="530"/>
    <n v="700"/>
    <n v="700"/>
    <s v="RUDELYN"/>
  </r>
  <r>
    <x v="39"/>
    <s v="SIMPLY GOURMET FOOD CORP NO COR YET - SO-028"/>
    <s v="SO-028"/>
    <s v="SIMPLY GOURMET FOOD CORP NO COR YET"/>
    <s v="CHA TRA MUE"/>
    <s v="SM MOA"/>
    <s v="50% DOWNPAYMENT, 50% 35 DAYS PDC"/>
    <s v="2025-02-24"/>
    <s v="EOS FAN WITH FAN COVER"/>
    <n v="1"/>
    <n v="350"/>
    <n v="500"/>
    <n v="500"/>
    <s v="RUDELYN"/>
  </r>
  <r>
    <x v="39"/>
    <s v="SIMPLY GOURMET FOOD CORP NO COR YET - SO-028"/>
    <s v="SO-028"/>
    <s v="SIMPLY GOURMET FOOD CORP NO COR YET"/>
    <s v="CHA TRA MUE"/>
    <s v="SM MOA"/>
    <s v="50% DOWNPAYMENT, 50% 35 DAYS PDC"/>
    <s v="2025-02-24"/>
    <s v="KASPERSKY ANTI VIRUS"/>
    <n v="1"/>
    <n v="970"/>
    <n v="1500"/>
    <n v="1500"/>
    <s v="RUDELYN"/>
  </r>
  <r>
    <x v="39"/>
    <s v="SIMPLY GOURMET FOOD CORP NO COR YET - SO-028"/>
    <s v="SO-028"/>
    <s v="SIMPLY GOURMET FOOD CORP NO COR YET"/>
    <s v="CHA TRA MUE"/>
    <s v="SM MOA"/>
    <s v="50% DOWNPAYMENT, 50% 35 DAYS PDC"/>
    <s v="2025-02-24"/>
    <s v="DELIVERY FEE"/>
    <n v="1"/>
    <n v="600"/>
    <n v="600"/>
    <n v="600"/>
    <s v="RUDELYN"/>
  </r>
  <r>
    <x v="2"/>
    <s v="CHICKEN DELI - SO-028"/>
    <s v="SO-028"/>
    <s v="CHICKEN DELI"/>
    <s v="GONGCHA"/>
    <s v="GENERIC"/>
    <s v="N/A"/>
    <s v="2025-02-04"/>
    <s v="PREVENTIVE MAINTENANCE"/>
    <n v="1"/>
    <n v="6500"/>
    <n v="6500"/>
    <n v="6500"/>
    <s v="MARITESS"/>
  </r>
  <r>
    <x v="40"/>
    <s v="PARAW RESTAURANT INC - SO-029"/>
    <s v="SO-029"/>
    <s v="PARAW RESTAURANT INC"/>
    <s v="MOLAVE"/>
    <s v="EL NIDO PALAWAN"/>
    <s v="COD"/>
    <s v="2025-02-27"/>
    <s v="THERMAL PAPER *80MM X 80MM"/>
    <n v="2"/>
    <n v="2350"/>
    <n v="3750"/>
    <n v="7500"/>
    <s v="RUDELYN"/>
  </r>
  <r>
    <x v="41"/>
    <s v="CHICKEN DELI - SO-029"/>
    <s v="SO-029"/>
    <s v="CHICKEN DELI"/>
    <s v="TILLO"/>
    <s v="GENERIC"/>
    <s v="N/A"/>
    <s v="2025-02-10"/>
    <s v="RDMSV3+"/>
    <n v="1"/>
    <n v="3675"/>
    <n v="10500"/>
    <n v="10500"/>
    <s v="MARITESS"/>
  </r>
  <r>
    <x v="41"/>
    <s v="CHICKEN DELI - SO-029"/>
    <s v="SO-029"/>
    <s v="CHICKEN DELI"/>
    <s v="TILLO"/>
    <s v="GENERIC"/>
    <s v="N/A"/>
    <s v="2025-02-10"/>
    <s v="ROLL OUT/ IMPLENTATION"/>
    <n v="1"/>
    <n v="13100"/>
    <n v="13100"/>
    <n v="13100"/>
    <s v="MARITESS"/>
  </r>
  <r>
    <x v="41"/>
    <s v="CHICKEN DELI - SO-029"/>
    <s v="SO-029"/>
    <s v="CHICKEN DELI"/>
    <s v="TILLO"/>
    <s v="GENERIC"/>
    <s v="N/A"/>
    <s v="2025-02-10"/>
    <s v="ONE YEAR WARRANTY"/>
    <n v="1"/>
    <n v="13100"/>
    <n v="13100"/>
    <n v="13100"/>
    <s v="MARITESS"/>
  </r>
  <r>
    <x v="41"/>
    <s v="CHICKEN DELI - SO-029"/>
    <s v="SO-029"/>
    <s v="CHICKEN DELI"/>
    <s v="TILLO"/>
    <s v="GENERIC"/>
    <s v="N/A"/>
    <s v="2025-02-10"/>
    <s v="BIR REGISTRATION"/>
    <n v="1"/>
    <n v="500"/>
    <n v="500"/>
    <n v="500"/>
    <s v="MARITESS"/>
  </r>
  <r>
    <x v="41"/>
    <s v="CHICKEN DELI - SO-029"/>
    <s v="SO-029"/>
    <s v="CHICKEN DELI"/>
    <s v="TILLO"/>
    <s v="GENERIC"/>
    <s v="N/A"/>
    <s v="2025-02-10"/>
    <s v="EPSON TMU220D"/>
    <n v="1"/>
    <n v="8500"/>
    <n v="12100"/>
    <n v="12100"/>
    <s v="MARITESS"/>
  </r>
  <r>
    <x v="41"/>
    <s v="CHICKEN DELI - SO-029"/>
    <s v="SO-029"/>
    <s v="CHICKEN DELI"/>
    <s v="TILLO"/>
    <s v="GENERIC"/>
    <s v="N/A"/>
    <s v="2025-02-10"/>
    <s v="KASPERSKY ANTI VIRUS"/>
    <n v="1"/>
    <n v="935"/>
    <n v="1500"/>
    <n v="1500"/>
    <s v="MARITESS"/>
  </r>
  <r>
    <x v="41"/>
    <s v="CHICKEN DELI - SO-029"/>
    <s v="SO-029"/>
    <s v="CHICKEN DELI"/>
    <s v="TILLO"/>
    <s v="GENERIC"/>
    <s v="N/A"/>
    <s v="2025-02-10"/>
    <s v="SCANNER ZEBRA 2208"/>
    <n v="1"/>
    <n v="4800"/>
    <n v="7000"/>
    <n v="7000"/>
    <s v="MARITESS"/>
  </r>
  <r>
    <x v="41"/>
    <s v="CHICKEN DELI - SO-029"/>
    <s v="SO-029"/>
    <s v="CHICKEN DELI"/>
    <s v="TILLO"/>
    <s v="GENERIC"/>
    <s v="N/A"/>
    <s v="2025-02-10"/>
    <s v="CASH BOX"/>
    <n v="1"/>
    <n v="1350"/>
    <n v="2000"/>
    <n v="2000"/>
    <s v="MARITESS"/>
  </r>
  <r>
    <x v="41"/>
    <s v="CHICKEN DELI - SO-029"/>
    <s v="SO-029"/>
    <s v="CHICKEN DELI"/>
    <s v="TILLO"/>
    <s v="GENERIC"/>
    <s v="N/A"/>
    <s v="2025-02-10"/>
    <s v="UPS"/>
    <n v="1"/>
    <n v="2100"/>
    <n v="3100"/>
    <n v="3100"/>
    <s v="MARITESS"/>
  </r>
  <r>
    <x v="41"/>
    <s v="CHICKEN DELI - SO-029"/>
    <s v="SO-029"/>
    <s v="CHICKEN DELI"/>
    <s v="TILLO"/>
    <s v="GENERIC"/>
    <s v="N/A"/>
    <s v="2025-02-10"/>
    <s v="DELIVERY CHARGE"/>
    <n v="1"/>
    <n v="500"/>
    <n v="500"/>
    <n v="500"/>
    <s v="MARITESS"/>
  </r>
  <r>
    <x v="42"/>
    <s v="DRAGONWELL TEA INC - SO-30"/>
    <s v="SO-30"/>
    <s v="DRAGONWELL TEA INC"/>
    <s v="SERENITEA"/>
    <s v="GENERIC"/>
    <s v="50% DOWNPAYMENT, 50% 35 DAYS PDC"/>
    <s v="2025-03-03"/>
    <s v="GODEX EZ120 BARCODE PRINTER"/>
    <n v="1"/>
    <n v="8000"/>
    <n v="11100"/>
    <n v="11100"/>
    <s v="MARITESS"/>
  </r>
  <r>
    <x v="42"/>
    <s v="DRAGONWELL TEA INC - SO-30"/>
    <s v="SO-30"/>
    <s v="DRAGONWELL TEA INC"/>
    <s v="SERENITEA"/>
    <s v="GENERIC"/>
    <s v="50% DOWNPAYMENT, 50% 35 DAYS PDC"/>
    <s v="2025-03-03"/>
    <s v="BARCODE STICKER (4X3)CM"/>
    <n v="3"/>
    <n v="30"/>
    <n v="45"/>
    <n v="135"/>
    <s v="MARITESS"/>
  </r>
  <r>
    <x v="42"/>
    <s v="DRAGONWELL TEA INC - SO-30"/>
    <s v="SO-30"/>
    <s v="DRAGONWELL TEA INC"/>
    <s v="SERENITEA"/>
    <s v="GENERIC"/>
    <s v="50% DOWNPAYMENT, 50% 35 DAYS PDC"/>
    <s v="2025-03-03"/>
    <s v="DELIVERY FEE"/>
    <n v="1"/>
    <n v="400"/>
    <n v="400"/>
    <n v="400"/>
    <s v="MARITESS"/>
  </r>
  <r>
    <x v="43"/>
    <s v="CHICKEN DELI - SO-030"/>
    <s v="SO-030"/>
    <s v="CHICKEN DELI"/>
    <s v="GOOD MOLECULES"/>
    <s v="GENERIC"/>
    <s v="N/A"/>
    <s v="2025-02-10"/>
    <s v="RDMSV3+"/>
    <n v="1"/>
    <n v="3675"/>
    <n v="10500"/>
    <n v="10500"/>
    <s v="MARITESS"/>
  </r>
  <r>
    <x v="43"/>
    <s v="CHICKEN DELI - SO-030"/>
    <s v="SO-030"/>
    <s v="CHICKEN DELI"/>
    <s v="GOOD MOLECULES"/>
    <s v="GENERIC"/>
    <s v="N/A"/>
    <s v="2025-02-10"/>
    <s v="ROLL OUT/ IMPLENTATION"/>
    <n v="1"/>
    <n v="13100"/>
    <n v="13100"/>
    <n v="13100"/>
    <s v="MARITESS"/>
  </r>
  <r>
    <x v="43"/>
    <s v="CHICKEN DELI - SO-030"/>
    <s v="SO-030"/>
    <s v="CHICKEN DELI"/>
    <s v="GOOD MOLECULES"/>
    <s v="GENERIC"/>
    <s v="N/A"/>
    <s v="2025-02-10"/>
    <s v="ONE YEAR WARRANTY"/>
    <n v="1"/>
    <n v="13100"/>
    <n v="13100"/>
    <n v="13100"/>
    <s v="MARITESS"/>
  </r>
  <r>
    <x v="43"/>
    <s v="CHICKEN DELI - SO-030"/>
    <s v="SO-030"/>
    <s v="CHICKEN DELI"/>
    <s v="GOOD MOLECULES"/>
    <s v="GENERIC"/>
    <s v="N/A"/>
    <s v="2025-02-10"/>
    <s v="BIR REGISTRATION"/>
    <n v="1"/>
    <n v="500"/>
    <n v="500"/>
    <n v="500"/>
    <s v="MARITESS"/>
  </r>
  <r>
    <x v="43"/>
    <s v="CHICKEN DELI - SO-030"/>
    <s v="SO-030"/>
    <s v="CHICKEN DELI"/>
    <s v="GOOD MOLECULES"/>
    <s v="GENERIC"/>
    <s v="N/A"/>
    <s v="2025-02-10"/>
    <s v="EPSON TMU220D"/>
    <n v="1"/>
    <n v="8500"/>
    <n v="12100"/>
    <n v="12100"/>
    <s v="MARITESS"/>
  </r>
  <r>
    <x v="43"/>
    <s v="CHICKEN DELI - SO-030"/>
    <s v="SO-030"/>
    <s v="CHICKEN DELI"/>
    <s v="GOOD MOLECULES"/>
    <s v="GENERIC"/>
    <s v="N/A"/>
    <s v="2025-02-10"/>
    <s v="KASPERSKY ANTI VIRUS"/>
    <n v="1"/>
    <n v="935"/>
    <n v="1500"/>
    <n v="1500"/>
    <s v="MARITESS"/>
  </r>
  <r>
    <x v="43"/>
    <s v="CHICKEN DELI - SO-030"/>
    <s v="SO-030"/>
    <s v="CHICKEN DELI"/>
    <s v="GOOD MOLECULES"/>
    <s v="GENERIC"/>
    <s v="N/A"/>
    <s v="2025-02-10"/>
    <s v="SCANNER ZEBRA 2208"/>
    <n v="1"/>
    <n v="4800"/>
    <n v="7000"/>
    <n v="7000"/>
    <s v="MARITESS"/>
  </r>
  <r>
    <x v="43"/>
    <s v="CHICKEN DELI - SO-030"/>
    <s v="SO-030"/>
    <s v="CHICKEN DELI"/>
    <s v="GOOD MOLECULES"/>
    <s v="GENERIC"/>
    <s v="N/A"/>
    <s v="2025-02-10"/>
    <s v="CASH BOX"/>
    <n v="1"/>
    <n v="1350"/>
    <n v="2000"/>
    <n v="2000"/>
    <s v="MARITESS"/>
  </r>
  <r>
    <x v="43"/>
    <s v="CHICKEN DELI - SO-030"/>
    <s v="SO-030"/>
    <s v="CHICKEN DELI"/>
    <s v="GOOD MOLECULES"/>
    <s v="GENERIC"/>
    <s v="N/A"/>
    <s v="2025-02-10"/>
    <s v="UPS"/>
    <n v="1"/>
    <n v="2100"/>
    <n v="3100"/>
    <n v="3100"/>
    <s v="MARITESS"/>
  </r>
  <r>
    <x v="43"/>
    <s v="CHICKEN DELI - SO-030"/>
    <s v="SO-030"/>
    <s v="CHICKEN DELI"/>
    <s v="GOOD MOLECULES"/>
    <s v="GENERIC"/>
    <s v="N/A"/>
    <s v="2025-02-10"/>
    <s v="DELIVERY CHARGE"/>
    <n v="1"/>
    <n v="500"/>
    <n v="500"/>
    <n v="500"/>
    <s v="MARITESS"/>
  </r>
  <r>
    <x v="44"/>
    <s v="TATAY S GRILL INC - SO-031"/>
    <s v="SO-031"/>
    <s v="TATAY S GRILL INC"/>
    <s v="TATAY'S GRILL INC"/>
    <s v="GENERIC"/>
    <s v="50% DOWNPAYMENT, 50% 35 DAYS PDC"/>
    <s v="2025-03-03"/>
    <s v="SOFTWARE: ORDERING STATION"/>
    <n v="1"/>
    <n v="7000"/>
    <n v="20000"/>
    <n v="20000"/>
    <s v="MARITESS"/>
  </r>
  <r>
    <x v="44"/>
    <s v="TATAY S GRILL INC - SO-031"/>
    <s v="SO-031"/>
    <s v="TATAY S GRILL INC"/>
    <s v="TATAY'S GRILL INC"/>
    <s v="GENERIC"/>
    <s v="50% DOWNPAYMENT, 50% 35 DAYS PDC"/>
    <s v="2025-03-03"/>
    <s v="EPSON TMU220D USB PRINTER (MANUAL CUT)"/>
    <n v="1"/>
    <n v="8500"/>
    <n v="12000"/>
    <n v="12000"/>
    <s v="MARITESS"/>
  </r>
  <r>
    <x v="44"/>
    <s v="TATAY S GRILL INC - SO-031"/>
    <s v="SO-031"/>
    <s v="TATAY S GRILL INC"/>
    <s v="TATAY'S GRILL INC"/>
    <s v="GENERIC"/>
    <s v="50% DOWNPAYMENT, 50% 35 DAYS PDC"/>
    <s v="2025-03-03"/>
    <s v="15&quot; TOUCHSCREEN MONITOR"/>
    <n v="1"/>
    <n v="11000"/>
    <n v="16000"/>
    <n v="16000"/>
    <s v="MARITESS"/>
  </r>
  <r>
    <x v="44"/>
    <s v="TATAY S GRILL INC - SO-031"/>
    <s v="SO-031"/>
    <s v="TATAY S GRILL INC"/>
    <s v="TATAY'S GRILL INC"/>
    <s v="GENERIC"/>
    <s v="50% DOWNPAYMENT, 50% 35 DAYS PDC"/>
    <s v="2025-03-03"/>
    <s v="APC UPS"/>
    <n v="1"/>
    <n v="2200"/>
    <n v="3000"/>
    <n v="3000"/>
    <s v="MARITESS"/>
  </r>
  <r>
    <x v="44"/>
    <s v="TATAY S GRILL INC - SO-031"/>
    <s v="SO-031"/>
    <s v="TATAY S GRILL INC"/>
    <s v="TATAY'S GRILL INC"/>
    <s v="GENERIC"/>
    <s v="50% DOWNPAYMENT, 50% 35 DAYS PDC"/>
    <s v="2025-03-03"/>
    <s v="DESKTOP CPU I5, 8GB RAM, 512 GB SSD"/>
    <n v="1"/>
    <n v="21500"/>
    <n v="30000"/>
    <n v="30000"/>
    <s v="MARITESS"/>
  </r>
  <r>
    <x v="45"/>
    <s v="CHICKEN DELI - SO-031"/>
    <s v="SO-031"/>
    <s v="CHICKEN DELI"/>
    <s v="LUCKY BEAUTY  1"/>
    <s v="GENERIC"/>
    <s v="N/A"/>
    <s v="2025-02-10"/>
    <s v="RDMSV3+"/>
    <n v="1"/>
    <n v="3675"/>
    <n v="10500"/>
    <n v="10500"/>
    <s v="MARITESS"/>
  </r>
  <r>
    <x v="45"/>
    <s v="CHICKEN DELI - SO-031"/>
    <s v="SO-031"/>
    <s v="CHICKEN DELI"/>
    <s v="LUCKY BEAUTY  1"/>
    <s v="GENERIC"/>
    <s v="N/A"/>
    <s v="2025-02-10"/>
    <s v="ROLL OUT/ IMPLENTATION"/>
    <n v="1"/>
    <n v="13100"/>
    <n v="13100"/>
    <n v="13100"/>
    <s v="MARITESS"/>
  </r>
  <r>
    <x v="45"/>
    <s v="CHICKEN DELI - SO-031"/>
    <s v="SO-031"/>
    <s v="CHICKEN DELI"/>
    <s v="LUCKY BEAUTY  1"/>
    <s v="GENERIC"/>
    <s v="N/A"/>
    <s v="2025-02-10"/>
    <s v="ONE YEAR WARRANTY"/>
    <n v="1"/>
    <n v="13100"/>
    <n v="13100"/>
    <n v="13100"/>
    <s v="MARITESS"/>
  </r>
  <r>
    <x v="45"/>
    <s v="CHICKEN DELI - SO-031"/>
    <s v="SO-031"/>
    <s v="CHICKEN DELI"/>
    <s v="LUCKY BEAUTY  1"/>
    <s v="GENERIC"/>
    <s v="N/A"/>
    <s v="2025-02-10"/>
    <s v="BIR REGISTRATION"/>
    <n v="1"/>
    <n v="500"/>
    <n v="500"/>
    <n v="500"/>
    <s v="MARITESS"/>
  </r>
  <r>
    <x v="45"/>
    <s v="CHICKEN DELI - SO-031"/>
    <s v="SO-031"/>
    <s v="CHICKEN DELI"/>
    <s v="LUCKY BEAUTY  1"/>
    <s v="GENERIC"/>
    <s v="N/A"/>
    <s v="2025-02-10"/>
    <s v="EPSON TMU220D"/>
    <n v="1"/>
    <n v="8500"/>
    <n v="12100"/>
    <n v="12100"/>
    <s v="MARITESS"/>
  </r>
  <r>
    <x v="45"/>
    <s v="CHICKEN DELI - SO-031"/>
    <s v="SO-031"/>
    <s v="CHICKEN DELI"/>
    <s v="LUCKY BEAUTY  1"/>
    <s v="GENERIC"/>
    <s v="N/A"/>
    <s v="2025-02-10"/>
    <s v="KASPERSKY ANTI VIRUS"/>
    <n v="1"/>
    <n v="935"/>
    <n v="1500"/>
    <n v="1500"/>
    <s v="MARITESS"/>
  </r>
  <r>
    <x v="45"/>
    <s v="CHICKEN DELI - SO-031"/>
    <s v="SO-031"/>
    <s v="CHICKEN DELI"/>
    <s v="LUCKY BEAUTY  1"/>
    <s v="GENERIC"/>
    <s v="N/A"/>
    <s v="2025-02-10"/>
    <s v="SCANNER ZEBRA 2208"/>
    <n v="1"/>
    <n v="4800"/>
    <n v="7000"/>
    <n v="7000"/>
    <s v="MARITESS"/>
  </r>
  <r>
    <x v="45"/>
    <s v="CHICKEN DELI - SO-031"/>
    <s v="SO-031"/>
    <s v="CHICKEN DELI"/>
    <s v="LUCKY BEAUTY  1"/>
    <s v="GENERIC"/>
    <s v="N/A"/>
    <s v="2025-02-10"/>
    <s v="CASH BOX"/>
    <n v="1"/>
    <n v="1350"/>
    <n v="2000"/>
    <n v="2000"/>
    <s v="MARITESS"/>
  </r>
  <r>
    <x v="45"/>
    <s v="CHICKEN DELI - SO-031"/>
    <s v="SO-031"/>
    <s v="CHICKEN DELI"/>
    <s v="LUCKY BEAUTY  1"/>
    <s v="GENERIC"/>
    <s v="N/A"/>
    <s v="2025-02-10"/>
    <s v="UPS"/>
    <n v="1"/>
    <n v="2100"/>
    <n v="3100"/>
    <n v="3100"/>
    <s v="MARITESS"/>
  </r>
  <r>
    <x v="45"/>
    <s v="CHICKEN DELI - SO-031"/>
    <s v="SO-031"/>
    <s v="CHICKEN DELI"/>
    <s v="LUCKY BEAUTY  1"/>
    <s v="GENERIC"/>
    <s v="N/A"/>
    <s v="2025-02-10"/>
    <s v="DELIVERY CHARGE"/>
    <n v="1"/>
    <n v="500"/>
    <n v="500"/>
    <n v="500"/>
    <s v="MARITESS"/>
  </r>
  <r>
    <x v="46"/>
    <s v="CHICKEN DELI - SO-032"/>
    <s v="SO-032"/>
    <s v="CHICKEN DELI"/>
    <s v="LUCKY BEAUTY 2"/>
    <s v="GENERIC"/>
    <s v="N/A"/>
    <s v="2025-02-10"/>
    <s v="RDMSV3+"/>
    <n v="1"/>
    <n v="3675"/>
    <n v="10500"/>
    <n v="10500"/>
    <s v="MARITESS"/>
  </r>
  <r>
    <x v="46"/>
    <s v="CHICKEN DELI - SO-032"/>
    <s v="SO-032"/>
    <s v="CHICKEN DELI"/>
    <s v="LUCKY BEAUTY 2"/>
    <s v="GENERIC"/>
    <s v="N/A"/>
    <s v="2025-02-10"/>
    <s v="ROLL OUT/ IMPLENTATION"/>
    <n v="1"/>
    <n v="13100"/>
    <n v="13100"/>
    <n v="13100"/>
    <s v="MARITESS"/>
  </r>
  <r>
    <x v="46"/>
    <s v="CHICKEN DELI - SO-032"/>
    <s v="SO-032"/>
    <s v="CHICKEN DELI"/>
    <s v="LUCKY BEAUTY 2"/>
    <s v="GENERIC"/>
    <s v="N/A"/>
    <s v="2025-02-10"/>
    <s v="ONE YEAR WARRANTY"/>
    <n v="1"/>
    <n v="13100"/>
    <n v="13100"/>
    <n v="13100"/>
    <s v="MARITESS"/>
  </r>
  <r>
    <x v="46"/>
    <s v="CHICKEN DELI - SO-032"/>
    <s v="SO-032"/>
    <s v="CHICKEN DELI"/>
    <s v="LUCKY BEAUTY 2"/>
    <s v="GENERIC"/>
    <s v="N/A"/>
    <s v="2025-02-10"/>
    <s v="BIR REGISTRATION"/>
    <n v="1"/>
    <n v="500"/>
    <n v="500"/>
    <n v="500"/>
    <s v="MARITESS"/>
  </r>
  <r>
    <x v="46"/>
    <s v="CHICKEN DELI - SO-032"/>
    <s v="SO-032"/>
    <s v="CHICKEN DELI"/>
    <s v="LUCKY BEAUTY 2"/>
    <s v="GENERIC"/>
    <s v="N/A"/>
    <s v="2025-02-10"/>
    <s v="EPSON TMU220D"/>
    <n v="1"/>
    <n v="8500"/>
    <n v="12100"/>
    <n v="12100"/>
    <s v="MARITESS"/>
  </r>
  <r>
    <x v="46"/>
    <s v="CHICKEN DELI - SO-032"/>
    <s v="SO-032"/>
    <s v="CHICKEN DELI"/>
    <s v="LUCKY BEAUTY 2"/>
    <s v="GENERIC"/>
    <s v="N/A"/>
    <s v="2025-02-10"/>
    <s v="KASPERSKY ANTI VIRUS"/>
    <n v="1"/>
    <n v="935"/>
    <n v="1500"/>
    <n v="1500"/>
    <s v="MARITESS"/>
  </r>
  <r>
    <x v="46"/>
    <s v="CHICKEN DELI - SO-032"/>
    <s v="SO-032"/>
    <s v="CHICKEN DELI"/>
    <s v="LUCKY BEAUTY 2"/>
    <s v="GENERIC"/>
    <s v="N/A"/>
    <s v="2025-02-10"/>
    <s v="SCANNER ZEBRA 2208"/>
    <n v="1"/>
    <n v="4800"/>
    <n v="7000"/>
    <n v="7000"/>
    <s v="MARITESS"/>
  </r>
  <r>
    <x v="46"/>
    <s v="CHICKEN DELI - SO-032"/>
    <s v="SO-032"/>
    <s v="CHICKEN DELI"/>
    <s v="LUCKY BEAUTY 2"/>
    <s v="GENERIC"/>
    <s v="N/A"/>
    <s v="2025-02-10"/>
    <s v="CASH BOX"/>
    <n v="1"/>
    <n v="1350"/>
    <n v="2000"/>
    <n v="2000"/>
    <s v="MARITESS"/>
  </r>
  <r>
    <x v="46"/>
    <s v="CHICKEN DELI - SO-032"/>
    <s v="SO-032"/>
    <s v="CHICKEN DELI"/>
    <s v="LUCKY BEAUTY 2"/>
    <s v="GENERIC"/>
    <s v="N/A"/>
    <s v="2025-02-10"/>
    <s v="UPS"/>
    <n v="1"/>
    <n v="2100"/>
    <n v="3100"/>
    <n v="3100"/>
    <s v="MARITESS"/>
  </r>
  <r>
    <x v="46"/>
    <s v="CHICKEN DELI - SO-032"/>
    <s v="SO-032"/>
    <s v="CHICKEN DELI"/>
    <s v="LUCKY BEAUTY 2"/>
    <s v="GENERIC"/>
    <s v="N/A"/>
    <s v="2025-02-10"/>
    <s v="DELIVERY CHARGE"/>
    <n v="1"/>
    <n v="500"/>
    <n v="500"/>
    <n v="500"/>
    <s v="MARITESS"/>
  </r>
  <r>
    <x v="47"/>
    <s v="JASMINE BLOOM TEA INC - SO-032"/>
    <s v="SO-032"/>
    <s v="JASMINE BLOOM TEA INC"/>
    <s v="SERENITEA"/>
    <s v="GENERIC"/>
    <s v="50% DOWNPAYMENT, 50% 35 DAYS PDC"/>
    <s v="2025-03-03"/>
    <s v="PREVENTIVE MAINTENANCE"/>
    <n v="1"/>
    <n v="20000"/>
    <n v="20000"/>
    <n v="20000"/>
    <s v="MARITESS"/>
  </r>
  <r>
    <x v="47"/>
    <s v="JASMINE BLOOM TEA INC - SO-032"/>
    <s v="SO-032"/>
    <s v="JASMINE BLOOM TEA INC"/>
    <s v="SERENITEA"/>
    <s v="GENERIC"/>
    <s v="50% DOWNPAYMENT, 50% 35 DAYS PDC"/>
    <s v="2025-03-03"/>
    <s v="POSEIDON EZ202 CUSTOMER DISPLAY"/>
    <n v="1"/>
    <n v="3000"/>
    <n v="4500"/>
    <n v="4500"/>
    <s v="MARITESS"/>
  </r>
  <r>
    <x v="47"/>
    <s v="JASMINE BLOOM TEA INC - SO-032"/>
    <s v="SO-032"/>
    <s v="JASMINE BLOOM TEA INC"/>
    <s v="SERENITEA"/>
    <s v="GENERIC"/>
    <s v="50% DOWNPAYMENT, 50% 35 DAYS PDC"/>
    <s v="2025-03-03"/>
    <s v="EPSON TMU220D USB PRINTER"/>
    <n v="1"/>
    <n v="8500"/>
    <n v="12500"/>
    <n v="12500"/>
    <s v="MARITESS"/>
  </r>
  <r>
    <x v="47"/>
    <s v="JASMINE BLOOM TEA INC - SO-032"/>
    <s v="SO-032"/>
    <s v="JASMINE BLOOM TEA INC"/>
    <s v="SERENITEA"/>
    <s v="GENERIC"/>
    <s v="50% DOWNPAYMENT, 50% 35 DAYS PDC"/>
    <s v="2025-03-03"/>
    <s v="GODEX EZ120 BARCODE PRINTER"/>
    <n v="1"/>
    <n v="8000"/>
    <n v="11100"/>
    <n v="11100"/>
    <s v="MARITESS"/>
  </r>
  <r>
    <x v="47"/>
    <s v="JASMINE BLOOM TEA INC - SO-032"/>
    <s v="SO-032"/>
    <s v="JASMINE BLOOM TEA INC"/>
    <s v="SERENITEA"/>
    <s v="GENERIC"/>
    <s v="50% DOWNPAYMENT, 50% 35 DAYS PDC"/>
    <s v="2025-03-03"/>
    <s v="BARCODE STICKER (4X3)CM"/>
    <n v="3"/>
    <n v="30"/>
    <n v="45"/>
    <n v="135"/>
    <s v="MARITESS"/>
  </r>
  <r>
    <x v="47"/>
    <s v="JASMINE BLOOM TEA INC - SO-032"/>
    <s v="SO-032"/>
    <s v="JASMINE BLOOM TEA INC"/>
    <s v="SERENITEA"/>
    <s v="GENERIC"/>
    <s v="50% DOWNPAYMENT, 50% 35 DAYS PDC"/>
    <s v="2025-03-03"/>
    <s v="KEYBOARD AND MOUSE"/>
    <n v="1"/>
    <n v="500"/>
    <n v="800"/>
    <n v="800"/>
    <s v="MARITESS"/>
  </r>
  <r>
    <x v="47"/>
    <s v="JASMINE BLOOM TEA INC - SO-032"/>
    <s v="SO-032"/>
    <s v="JASMINE BLOOM TEA INC"/>
    <s v="SERENITEA"/>
    <s v="GENERIC"/>
    <s v="50% DOWNPAYMENT, 50% 35 DAYS PDC"/>
    <s v="2025-03-03"/>
    <s v="DELIVERY FEE"/>
    <n v="1"/>
    <n v="400"/>
    <n v="400"/>
    <n v="400"/>
    <s v="MARITESS"/>
  </r>
  <r>
    <x v="48"/>
    <s v="ARTWORK INCORPORATED - SO-033"/>
    <s v="SO-033"/>
    <s v="ARTWORK INCORPORATED"/>
    <s v="ARTWORK INCORPORATED"/>
    <s v="GENERIC"/>
    <s v="N/A"/>
    <s v="2025-03-11"/>
    <s v="*ANNAUAL PREVENTIVE MAINTENANCE COVERED DATE: JANUARY 1, 2025 - DECEMBER 31, 2025 BRANCHES: 1. HEAD OFFICE SERVER 2. ECOMMERCE (SHOPEE) 3. ECOMMERCE (LAZADA) 4. SM BACOLOD 5. SM BAGUIO 6. SM CLARK 7. SM DASMARINAS 8. SM DAVAO 9. SM ILOILO 10. SM LIPA 11. SM LUCENA 12.SM STA. ROSA 13. GLORIETTA 4 14. TRINOMA (KIOSK)"/>
    <n v="19"/>
    <n v="8000"/>
    <n v="8000"/>
    <n v="152000"/>
    <s v="RUDELYN"/>
  </r>
  <r>
    <x v="49"/>
    <s v="MYL SKIN CARE - SO-033"/>
    <s v="SO-033"/>
    <s v="MYL SKIN CARE"/>
    <s v="VMV MEGAMALL"/>
    <s v="GENERIC"/>
    <s v="N/A"/>
    <s v="2025-02-11"/>
    <s v="ZEBRA 2208 BARCODE SCANNER"/>
    <n v="1"/>
    <n v="4800"/>
    <n v="8000"/>
    <n v="8000"/>
    <s v="MARITESS"/>
  </r>
  <r>
    <x v="50"/>
    <s v="CHICKEN DELI - SO-034"/>
    <s v="SO-034"/>
    <s v="CHICKEN DELI"/>
    <s v="KARIMADON"/>
    <s v="GENERIC"/>
    <s v="N/A"/>
    <s v="2025-02-11"/>
    <s v="EOS POWER ADAPTOR"/>
    <n v="1"/>
    <n v="1200"/>
    <n v="1700"/>
    <n v="1700"/>
    <s v="MARITESS"/>
  </r>
  <r>
    <x v="51"/>
    <s v="SERENITEA CO - SO-034"/>
    <s v="SO-034"/>
    <s v="SERENITEA CO"/>
    <s v="SERENITEA"/>
    <s v="ES:"/>
    <s v="50% DOWNPAYMENT, 50% 35 DAYS PDC"/>
    <s v="2025-03-11"/>
    <s v="*ANNAUAL PREVENTIVE MAINTENANCE"/>
    <n v="2"/>
    <n v="10000"/>
    <n v="10000"/>
    <n v="20000"/>
    <s v="MARITESS"/>
  </r>
  <r>
    <x v="52"/>
    <s v="ALI SHAN TEA CORP - SO-035"/>
    <s v="SO-035"/>
    <s v="ALI SHAN TEA CORP"/>
    <s v="SERENITEA"/>
    <s v="ES:"/>
    <s v="50% DOWNPAYMENT, 50% 35 DAYS PDC"/>
    <s v="2025-03-11"/>
    <s v="*ANNAUAL PREVENTIVE MAINTENANCE"/>
    <n v="3"/>
    <n v="10000"/>
    <n v="10000"/>
    <n v="30000"/>
    <s v="MARITESS"/>
  </r>
  <r>
    <x v="53"/>
    <s v="CHICKEN DELI - SO-035"/>
    <s v="SO-035"/>
    <s v="CHICKEN DELI"/>
    <s v="LUCKY BEAUTY 3"/>
    <s v="GENERIC"/>
    <s v="N/A"/>
    <s v="2025-02-14"/>
    <s v="RDMSV3+"/>
    <n v="1"/>
    <n v="3675"/>
    <n v="10500"/>
    <n v="10500"/>
    <s v="MARITESS"/>
  </r>
  <r>
    <x v="53"/>
    <s v="CHICKEN DELI - SO-035"/>
    <s v="SO-035"/>
    <s v="CHICKEN DELI"/>
    <s v="LUCKY BEAUTY 3"/>
    <s v="GENERIC"/>
    <s v="N/A"/>
    <s v="2025-02-14"/>
    <s v="ROLL OUT/ IMPLENTATION"/>
    <n v="1"/>
    <n v="13100"/>
    <n v="13100"/>
    <n v="13100"/>
    <s v="MARITESS"/>
  </r>
  <r>
    <x v="53"/>
    <s v="CHICKEN DELI - SO-035"/>
    <s v="SO-035"/>
    <s v="CHICKEN DELI"/>
    <s v="LUCKY BEAUTY 3"/>
    <s v="GENERIC"/>
    <s v="N/A"/>
    <s v="2025-02-14"/>
    <s v="ONE YEAR WARRANTY"/>
    <n v="1"/>
    <n v="13100"/>
    <n v="13100"/>
    <n v="13100"/>
    <s v="MARITESS"/>
  </r>
  <r>
    <x v="53"/>
    <s v="CHICKEN DELI - SO-035"/>
    <s v="SO-035"/>
    <s v="CHICKEN DELI"/>
    <s v="LUCKY BEAUTY 3"/>
    <s v="GENERIC"/>
    <s v="N/A"/>
    <s v="2025-02-14"/>
    <s v="BIR REGISTRATION"/>
    <n v="1"/>
    <n v="500"/>
    <n v="500"/>
    <n v="500"/>
    <s v="MARITESS"/>
  </r>
  <r>
    <x v="53"/>
    <s v="CHICKEN DELI - SO-035"/>
    <s v="SO-035"/>
    <s v="CHICKEN DELI"/>
    <s v="LUCKY BEAUTY 3"/>
    <s v="GENERIC"/>
    <s v="N/A"/>
    <s v="2025-02-14"/>
    <s v="EPSON TMU220D"/>
    <n v="1"/>
    <n v="8500"/>
    <n v="12100"/>
    <n v="12100"/>
    <s v="MARITESS"/>
  </r>
  <r>
    <x v="53"/>
    <s v="CHICKEN DELI - SO-035"/>
    <s v="SO-035"/>
    <s v="CHICKEN DELI"/>
    <s v="LUCKY BEAUTY 3"/>
    <s v="GENERIC"/>
    <s v="N/A"/>
    <s v="2025-02-14"/>
    <s v="KASPERSKY ANTI VIRUS"/>
    <n v="1"/>
    <n v="935"/>
    <n v="1500"/>
    <n v="1500"/>
    <s v="MARITESS"/>
  </r>
  <r>
    <x v="53"/>
    <s v="CHICKEN DELI - SO-035"/>
    <s v="SO-035"/>
    <s v="CHICKEN DELI"/>
    <s v="LUCKY BEAUTY 3"/>
    <s v="GENERIC"/>
    <s v="N/A"/>
    <s v="2025-02-14"/>
    <s v="SCANNER ZEBRA 2208"/>
    <n v="1"/>
    <n v="4800"/>
    <n v="7000"/>
    <n v="7000"/>
    <s v="MARITESS"/>
  </r>
  <r>
    <x v="53"/>
    <s v="CHICKEN DELI - SO-035"/>
    <s v="SO-035"/>
    <s v="CHICKEN DELI"/>
    <s v="LUCKY BEAUTY 3"/>
    <s v="GENERIC"/>
    <s v="N/A"/>
    <s v="2025-02-14"/>
    <s v="CASH BOX"/>
    <n v="1"/>
    <n v="1350"/>
    <n v="2000"/>
    <n v="2000"/>
    <s v="MARITESS"/>
  </r>
  <r>
    <x v="53"/>
    <s v="CHICKEN DELI - SO-035"/>
    <s v="SO-035"/>
    <s v="CHICKEN DELI"/>
    <s v="LUCKY BEAUTY 3"/>
    <s v="GENERIC"/>
    <s v="N/A"/>
    <s v="2025-02-14"/>
    <s v="UPS"/>
    <n v="1"/>
    <n v="2100"/>
    <n v="3100"/>
    <n v="3100"/>
    <s v="MARITESS"/>
  </r>
  <r>
    <x v="53"/>
    <s v="CHICKEN DELI - SO-035"/>
    <s v="SO-035"/>
    <s v="CHICKEN DELI"/>
    <s v="LUCKY BEAUTY 3"/>
    <s v="GENERIC"/>
    <s v="N/A"/>
    <s v="2025-02-14"/>
    <s v="DELIVERY CHARGE"/>
    <n v="1"/>
    <n v="500"/>
    <n v="500"/>
    <n v="500"/>
    <s v="MARITESS"/>
  </r>
  <r>
    <x v="54"/>
    <s v="DRAGONWELL TEA INC - SO-036"/>
    <s v="SO-036"/>
    <s v="DRAGONWELL TEA INC"/>
    <s v="SERENITEA"/>
    <s v="ES:"/>
    <s v="50% DOWNPAYMENT, 50% 35 DAYS PDC"/>
    <s v="2025-03-11"/>
    <s v="*ANNAUAL PREVENTIVE MAINTENANCE"/>
    <n v="3"/>
    <n v="10000"/>
    <n v="10000"/>
    <n v="30000"/>
    <s v="MARITESS"/>
  </r>
  <r>
    <x v="55"/>
    <s v="CHICKEN DELI - SO-036"/>
    <s v="SO-036"/>
    <s v="CHICKEN DELI"/>
    <s v="WORLD CHIX"/>
    <s v="GENERIC"/>
    <s v="N/A"/>
    <s v="2025-02-14"/>
    <s v="POSTECH TOUCHSCREEN MONITOR"/>
    <n v="1"/>
    <n v="10750"/>
    <n v="16000"/>
    <n v="16000"/>
    <s v="MARITESS"/>
  </r>
  <r>
    <x v="55"/>
    <s v="CHICKEN DELI - SO-036"/>
    <s v="SO-036"/>
    <s v="CHICKEN DELI"/>
    <s v="WORLD CHIX"/>
    <s v="GENERIC"/>
    <s v="N/A"/>
    <s v="2025-02-14"/>
    <s v="DELIVERY CHARGE"/>
    <n v="1"/>
    <n v="500"/>
    <n v="500"/>
    <n v="500"/>
    <s v="MARITESS"/>
  </r>
  <r>
    <x v="56"/>
    <s v="JASMINE BLOOM TEA INC - SO-037"/>
    <s v="SO-037"/>
    <s v="JASMINE BLOOM TEA INC"/>
    <s v="SERENITEA"/>
    <s v="ES:"/>
    <s v="50% DOWNPAYMENT, 50% 35 DAYS PDC"/>
    <s v="2025-03-11"/>
    <s v="*ANNAUAL PREVENTIVE MAINTENANCE"/>
    <n v="4"/>
    <n v="10000"/>
    <n v="10000"/>
    <n v="40000"/>
    <s v="MARITESS"/>
  </r>
  <r>
    <x v="9"/>
    <s v="CHICKEN DELI - SO-037"/>
    <s v="SO-037"/>
    <s v="CHICKEN DELI"/>
    <s v="OJO EYEWEAR"/>
    <s v="GENERIC"/>
    <s v="N/A"/>
    <s v="2025-02-14"/>
    <s v="RDMS  NEW VERSION 3+"/>
    <n v="1"/>
    <n v="3675"/>
    <n v="10500"/>
    <n v="10500"/>
    <s v="MARITESS"/>
  </r>
  <r>
    <x v="9"/>
    <s v="CHICKEN DELI - SO-037"/>
    <s v="SO-037"/>
    <s v="CHICKEN DELI"/>
    <s v="OJO EYEWEAR"/>
    <s v="GENERIC"/>
    <s v="N/A"/>
    <s v="2025-02-14"/>
    <s v="ROLL OUT/ IMPLEMENTATION"/>
    <n v="1"/>
    <n v="3500"/>
    <n v="3500"/>
    <n v="3500"/>
    <s v="MARITESS"/>
  </r>
  <r>
    <x v="9"/>
    <s v="CHICKEN DELI - SO-037"/>
    <s v="SO-037"/>
    <s v="CHICKEN DELI"/>
    <s v="OJO EYEWEAR"/>
    <s v="GENERIC"/>
    <s v="N/A"/>
    <s v="2025-02-14"/>
    <s v="ONE YEAR WARRANTY"/>
    <n v="1"/>
    <n v="3500"/>
    <n v="3500"/>
    <n v="3500"/>
    <s v="MARITESS"/>
  </r>
  <r>
    <x v="9"/>
    <s v="CHICKEN DELI - SO-037"/>
    <s v="SO-037"/>
    <s v="CHICKEN DELI"/>
    <s v="OJO EYEWEAR"/>
    <s v="GENERIC"/>
    <s v="N/A"/>
    <s v="2025-02-14"/>
    <s v="BIR REGISTRATION"/>
    <n v="1"/>
    <n v="500"/>
    <n v="500"/>
    <n v="500"/>
    <s v="MARITESS"/>
  </r>
  <r>
    <x v="9"/>
    <s v="CHICKEN DELI - SO-037"/>
    <s v="SO-037"/>
    <s v="CHICKEN DELI"/>
    <s v="OJO EYEWEAR"/>
    <s v="GENERIC"/>
    <s v="N/A"/>
    <s v="2025-02-14"/>
    <s v="WINDOWS 11 PRO 64 BIT"/>
    <n v="1"/>
    <n v="2800"/>
    <n v="4000"/>
    <n v="4000"/>
    <s v="MARITESS"/>
  </r>
  <r>
    <x v="14"/>
    <s v="HUZZAH - SO-038"/>
    <s v="SO-038"/>
    <s v="HUZZAH"/>
    <s v="HUZZAH"/>
    <s v="GENERIC"/>
    <s v="COD"/>
    <s v="2025-03-11"/>
    <s v="JOURNAL PAPER - DOUBLE PLY"/>
    <n v="50"/>
    <n v="32"/>
    <n v="50"/>
    <n v="2500"/>
    <s v="RUDELYN"/>
  </r>
  <r>
    <x v="9"/>
    <s v="CHICKEN DELI - SO-038"/>
    <s v="SO-038"/>
    <s v="CHICKEN DELI"/>
    <s v="OJO EYEWEAR"/>
    <s v="GENERIC"/>
    <s v="N/A"/>
    <s v="2025-02-14"/>
    <s v="RDMS  NEW VERSION 3+"/>
    <n v="1"/>
    <n v="3675"/>
    <n v="10500"/>
    <n v="10500"/>
    <s v="MARITESS"/>
  </r>
  <r>
    <x v="9"/>
    <s v="CHICKEN DELI - SO-038"/>
    <s v="SO-038"/>
    <s v="CHICKEN DELI"/>
    <s v="OJO EYEWEAR"/>
    <s v="GENERIC"/>
    <s v="N/A"/>
    <s v="2025-02-14"/>
    <s v="ROLL OUT/ IMPLEMENTATION"/>
    <n v="1"/>
    <n v="3500"/>
    <n v="3500"/>
    <n v="3500"/>
    <s v="MARITESS"/>
  </r>
  <r>
    <x v="9"/>
    <s v="CHICKEN DELI - SO-038"/>
    <s v="SO-038"/>
    <s v="CHICKEN DELI"/>
    <s v="OJO EYEWEAR"/>
    <s v="GENERIC"/>
    <s v="N/A"/>
    <s v="2025-02-14"/>
    <s v="ONE YEAR WARRANTY"/>
    <n v="1"/>
    <n v="3500"/>
    <n v="3500"/>
    <n v="3500"/>
    <s v="MARITESS"/>
  </r>
  <r>
    <x v="9"/>
    <s v="CHICKEN DELI - SO-038"/>
    <s v="SO-038"/>
    <s v="CHICKEN DELI"/>
    <s v="OJO EYEWEAR"/>
    <s v="GENERIC"/>
    <s v="N/A"/>
    <s v="2025-02-14"/>
    <s v="BIR REGISTRATION"/>
    <n v="1"/>
    <n v="500"/>
    <n v="500"/>
    <n v="500"/>
    <s v="MARITESS"/>
  </r>
  <r>
    <x v="9"/>
    <s v="CHICKEN DELI - SO-038"/>
    <s v="SO-038"/>
    <s v="CHICKEN DELI"/>
    <s v="OJO EYEWEAR"/>
    <s v="GENERIC"/>
    <s v="N/A"/>
    <s v="2025-02-14"/>
    <s v="WINDOWS 11 PRO 64 BIT"/>
    <n v="1"/>
    <n v="2800"/>
    <n v="4000"/>
    <n v="4000"/>
    <s v="MARITESS"/>
  </r>
  <r>
    <x v="57"/>
    <s v="POL S MOM S PLACE INC - SO-039"/>
    <s v="SO-039"/>
    <s v="POL S MOM S PLACE INC"/>
    <s v="MAMOU"/>
    <s v="GENERIC"/>
    <s v="50% DOWNPAYMENT, 50% 35 DAYS PDC"/>
    <s v="2025-03-14"/>
    <s v="BACCHUS SQL VER. 7"/>
    <n v="1"/>
    <n v="3675"/>
    <n v="10500"/>
    <n v="10500"/>
    <s v="MARITESS"/>
  </r>
  <r>
    <x v="57"/>
    <s v="POL S MOM S PLACE INC - SO-039"/>
    <s v="SO-039"/>
    <s v="POL S MOM S PLACE INC"/>
    <s v="MAMOU"/>
    <s v="GENERIC"/>
    <s v="50% DOWNPAYMENT, 50% 35 DAYS PDC"/>
    <s v="2025-03-14"/>
    <s v="ROLLOUT IMPLEMENTATION"/>
    <n v="1"/>
    <n v="4095"/>
    <n v="13000"/>
    <n v="13000"/>
    <s v="MARITESS"/>
  </r>
  <r>
    <x v="57"/>
    <s v="POL S MOM S PLACE INC - SO-039"/>
    <s v="SO-039"/>
    <s v="POL S MOM S PLACE INC"/>
    <s v="MAMOU"/>
    <s v="GENERIC"/>
    <s v="50% DOWNPAYMENT, 50% 35 DAYS PDC"/>
    <s v="2025-03-14"/>
    <s v="1 YEAR WARRANTY"/>
    <n v="1"/>
    <n v="4095"/>
    <n v="13000"/>
    <n v="13000"/>
    <s v="MARITESS"/>
  </r>
  <r>
    <x v="57"/>
    <s v="POL S MOM S PLACE INC - SO-039"/>
    <s v="SO-039"/>
    <s v="POL S MOM S PLACE INC"/>
    <s v="MAMOU"/>
    <s v="GENERIC"/>
    <s v="50% DOWNPAYMENT, 50% 35 DAYS PDC"/>
    <s v="2025-03-14"/>
    <s v="BIR APPLICATION"/>
    <n v="1"/>
    <n v="500"/>
    <n v="500"/>
    <n v="500"/>
    <s v="MARITESS"/>
  </r>
  <r>
    <x v="57"/>
    <s v="POL S MOM S PLACE INC - SO-039"/>
    <s v="SO-039"/>
    <s v="POL S MOM S PLACE INC"/>
    <s v="MAMOU"/>
    <s v="GENERIC"/>
    <s v="50% DOWNPAYMENT, 50% 35 DAYS PDC"/>
    <s v="2025-03-14"/>
    <s v="15&quot; TOUCHSCREEN MONITOR"/>
    <n v="1"/>
    <n v="10500"/>
    <n v="16500"/>
    <n v="16500"/>
    <s v="MARITESS"/>
  </r>
  <r>
    <x v="57"/>
    <s v="POL S MOM S PLACE INC - SO-039"/>
    <s v="SO-039"/>
    <s v="POL S MOM S PLACE INC"/>
    <s v="MAMOU"/>
    <s v="GENERIC"/>
    <s v="50% DOWNPAYMENT, 50% 35 DAYS PDC"/>
    <s v="2025-03-14"/>
    <s v="CASH DRAWER"/>
    <n v="1"/>
    <n v="2185"/>
    <n v="3500"/>
    <n v="3500"/>
    <s v="MARITESS"/>
  </r>
  <r>
    <x v="57"/>
    <s v="POL S MOM S PLACE INC - SO-039"/>
    <s v="SO-039"/>
    <s v="POL S MOM S PLACE INC"/>
    <s v="MAMOU"/>
    <s v="GENERIC"/>
    <s v="50% DOWNPAYMENT, 50% 35 DAYS PDC"/>
    <s v="2025-03-14"/>
    <s v="EPSON TM-T82X THERMAL PRINTER (LAN)"/>
    <n v="1"/>
    <n v="8500"/>
    <n v="12000"/>
    <n v="12000"/>
    <s v="MARITESS"/>
  </r>
  <r>
    <x v="57"/>
    <s v="POL S MOM S PLACE INC - SO-039"/>
    <s v="SO-039"/>
    <s v="POL S MOM S PLACE INC"/>
    <s v="MAMOU"/>
    <s v="GENERIC"/>
    <s v="50% DOWNPAYMENT, 50% 35 DAYS PDC"/>
    <s v="2025-03-14"/>
    <s v="EPSON TM-T82X THERMAL PRINTER (USB)"/>
    <n v="1"/>
    <n v="8500"/>
    <n v="12000"/>
    <n v="12000"/>
    <s v="MARITESS"/>
  </r>
  <r>
    <x v="57"/>
    <s v="POL S MOM S PLACE INC - SO-039"/>
    <s v="SO-039"/>
    <s v="POL S MOM S PLACE INC"/>
    <s v="MAMOU"/>
    <s v="GENERIC"/>
    <s v="50% DOWNPAYMENT, 50% 35 DAYS PDC"/>
    <s v="2025-03-14"/>
    <s v="THERMAL PAPER"/>
    <n v="5"/>
    <n v="47"/>
    <n v="70"/>
    <n v="350"/>
    <s v="MARITESS"/>
  </r>
  <r>
    <x v="57"/>
    <s v="POL S MOM S PLACE INC - SO-039"/>
    <s v="SO-039"/>
    <s v="POL S MOM S PLACE INC"/>
    <s v="MAMOU"/>
    <s v="GENERIC"/>
    <s v="50% DOWNPAYMENT, 50% 35 DAYS PDC"/>
    <s v="2025-03-14"/>
    <s v="SWITCH HUB"/>
    <n v="1"/>
    <n v="850"/>
    <n v="1200"/>
    <n v="1200"/>
    <s v="MARITESS"/>
  </r>
  <r>
    <x v="57"/>
    <s v="POL S MOM S PLACE INC - SO-039"/>
    <s v="SO-039"/>
    <s v="POL S MOM S PLACE INC"/>
    <s v="MAMOU"/>
    <s v="GENERIC"/>
    <s v="50% DOWNPAYMENT, 50% 35 DAYS PDC"/>
    <s v="2025-03-14"/>
    <s v="APC UPS"/>
    <n v="1"/>
    <n v="2200"/>
    <n v="3200"/>
    <n v="3200"/>
    <s v="MARITESS"/>
  </r>
  <r>
    <x v="57"/>
    <s v="POL S MOM S PLACE INC - SO-039"/>
    <s v="SO-039"/>
    <s v="POL S MOM S PLACE INC"/>
    <s v="MAMOU"/>
    <s v="GENERIC"/>
    <s v="50% DOWNPAYMENT, 50% 35 DAYS PDC"/>
    <s v="2025-03-14"/>
    <s v="EOS MINI CPU I5, 8GB RAM, 512 GB SSD"/>
    <n v="1"/>
    <n v="23450"/>
    <n v="30550"/>
    <n v="30550"/>
    <s v="MARITESS"/>
  </r>
  <r>
    <x v="57"/>
    <s v="POL S MOM S PLACE INC - SO-039"/>
    <s v="SO-039"/>
    <s v="POL S MOM S PLACE INC"/>
    <s v="MAMOU"/>
    <s v="GENERIC"/>
    <s v="50% DOWNPAYMENT, 50% 35 DAYS PDC"/>
    <s v="2025-03-14"/>
    <s v="WINDOWS 11 PRO"/>
    <n v="1"/>
    <n v="2800"/>
    <n v="4000"/>
    <n v="4000"/>
    <s v="MARITESS"/>
  </r>
  <r>
    <x v="57"/>
    <s v="POL S MOM S PLACE INC - SO-039"/>
    <s v="SO-039"/>
    <s v="POL S MOM S PLACE INC"/>
    <s v="MAMOU"/>
    <s v="GENERIC"/>
    <s v="50% DOWNPAYMENT, 50% 35 DAYS PDC"/>
    <s v="2025-03-14"/>
    <s v="KEYBOARD &amp; MOUSE"/>
    <n v="1"/>
    <n v="530"/>
    <n v="700"/>
    <n v="700"/>
    <s v="MARITESS"/>
  </r>
  <r>
    <x v="57"/>
    <s v="POL S MOM S PLACE INC - SO-039"/>
    <s v="SO-039"/>
    <s v="POL S MOM S PLACE INC"/>
    <s v="MAMOU"/>
    <s v="GENERIC"/>
    <s v="50% DOWNPAYMENT, 50% 35 DAYS PDC"/>
    <s v="2025-03-14"/>
    <s v="EOS FAN WITH FAN COVER"/>
    <n v="1"/>
    <n v="350"/>
    <n v="500"/>
    <n v="500"/>
    <s v="MARITESS"/>
  </r>
  <r>
    <x v="57"/>
    <s v="POL S MOM S PLACE INC - SO-039"/>
    <s v="SO-039"/>
    <s v="POL S MOM S PLACE INC"/>
    <s v="MAMOU"/>
    <s v="GENERIC"/>
    <s v="50% DOWNPAYMENT, 50% 35 DAYS PDC"/>
    <s v="2025-03-14"/>
    <s v="KASPERSKY ANTI VIRUS"/>
    <n v="1"/>
    <n v="935"/>
    <n v="1300"/>
    <n v="1300"/>
    <s v="MARITESS"/>
  </r>
  <r>
    <x v="57"/>
    <s v="POL S MOM S PLACE INC - SO-039"/>
    <s v="SO-039"/>
    <s v="POL S MOM S PLACE INC"/>
    <s v="MAMOU"/>
    <s v="GENERIC"/>
    <s v="50% DOWNPAYMENT, 50% 35 DAYS PDC"/>
    <s v="2025-03-14"/>
    <s v="DELIVERY FEE"/>
    <n v="1"/>
    <n v="500"/>
    <n v="500"/>
    <n v="500"/>
    <s v="MARITESS"/>
  </r>
  <r>
    <x v="9"/>
    <s v="CHICKEN DELI - SO-039"/>
    <s v="SO-039"/>
    <s v="CHICKEN DELI"/>
    <s v="OJO EYEWEAR"/>
    <s v="GENERIC"/>
    <s v="N/A"/>
    <s v="N/A"/>
    <s v="RDMS  NEW VERSION 3+"/>
    <n v="1"/>
    <n v="3675"/>
    <n v="10500"/>
    <n v="10500"/>
    <s v="MARITESS"/>
  </r>
  <r>
    <x v="9"/>
    <s v="CHICKEN DELI - SO-039"/>
    <s v="SO-039"/>
    <s v="CHICKEN DELI"/>
    <s v="OJO EYEWEAR"/>
    <s v="GENERIC"/>
    <s v="N/A"/>
    <s v="N/A"/>
    <s v="ROLL OUT/ IMPLEMENTATION"/>
    <n v="1"/>
    <n v="4000"/>
    <n v="4000"/>
    <n v="4000"/>
    <s v="MARITESS"/>
  </r>
  <r>
    <x v="9"/>
    <s v="CHICKEN DELI - SO-039"/>
    <s v="SO-039"/>
    <s v="CHICKEN DELI"/>
    <s v="OJO EYEWEAR"/>
    <s v="GENERIC"/>
    <s v="N/A"/>
    <s v="N/A"/>
    <s v="ONE YEAR WARRANTY"/>
    <n v="1"/>
    <n v="4000"/>
    <n v="4000"/>
    <n v="4000"/>
    <s v="MARITESS"/>
  </r>
  <r>
    <x v="9"/>
    <s v="CHICKEN DELI - SO-039"/>
    <s v="SO-039"/>
    <s v="CHICKEN DELI"/>
    <s v="OJO EYEWEAR"/>
    <s v="GENERIC"/>
    <s v="N/A"/>
    <s v="N/A"/>
    <s v="BIR REGISTRATION"/>
    <n v="1"/>
    <n v="500"/>
    <n v="500"/>
    <n v="500"/>
    <s v="MARITESS"/>
  </r>
  <r>
    <x v="9"/>
    <s v="CHICKEN DELI - SO-039"/>
    <s v="SO-039"/>
    <s v="CHICKEN DELI"/>
    <s v="OJO EYEWEAR"/>
    <s v="GENERIC"/>
    <s v="N/A"/>
    <s v="N/A"/>
    <s v="EOS 8G DDR3"/>
    <n v="1"/>
    <n v="1600"/>
    <n v="2000"/>
    <n v="2000"/>
    <s v="MARITESS"/>
  </r>
  <r>
    <x v="9"/>
    <s v="CHICKEN DELI - SO-039"/>
    <s v="SO-039"/>
    <s v="CHICKEN DELI"/>
    <s v="OJO EYEWEAR"/>
    <s v="GENERIC"/>
    <s v="N/A"/>
    <s v="N/A"/>
    <s v="WINDOWS 11 PRO 64 BIT"/>
    <n v="1"/>
    <n v="2800"/>
    <n v="4000"/>
    <n v="4000"/>
    <s v="MARITESS"/>
  </r>
  <r>
    <x v="57"/>
    <s v="POL S MOM S PLACE INC - SO-040"/>
    <s v="SO-040"/>
    <s v="POL S MOM S PLACE INC"/>
    <s v="MAMOU"/>
    <s v="GENERIC"/>
    <s v="50% DOWNPAYMENT, 50% 35 DAYS PDC"/>
    <s v="2025-03-14"/>
    <s v="BACCHUS SQL VER. 7"/>
    <n v="1"/>
    <n v="3675"/>
    <n v="10500"/>
    <n v="10500"/>
    <s v="MARITESS"/>
  </r>
  <r>
    <x v="57"/>
    <s v="POL S MOM S PLACE INC - SO-040"/>
    <s v="SO-040"/>
    <s v="POL S MOM S PLACE INC"/>
    <s v="MAMOU"/>
    <s v="GENERIC"/>
    <s v="50% DOWNPAYMENT, 50% 35 DAYS PDC"/>
    <s v="2025-03-14"/>
    <s v="ROLLOUT IMPLEMENTATION"/>
    <n v="1"/>
    <n v="4095"/>
    <n v="11700"/>
    <n v="11700"/>
    <s v="MARITESS"/>
  </r>
  <r>
    <x v="57"/>
    <s v="POL S MOM S PLACE INC - SO-040"/>
    <s v="SO-040"/>
    <s v="POL S MOM S PLACE INC"/>
    <s v="MAMOU"/>
    <s v="GENERIC"/>
    <s v="50% DOWNPAYMENT, 50% 35 DAYS PDC"/>
    <s v="2025-03-14"/>
    <s v="1 YEAR WARRANTY"/>
    <n v="1"/>
    <n v="4095"/>
    <n v="11700"/>
    <n v="11700"/>
    <s v="MARITESS"/>
  </r>
  <r>
    <x v="57"/>
    <s v="POL S MOM S PLACE INC - SO-040"/>
    <s v="SO-040"/>
    <s v="POL S MOM S PLACE INC"/>
    <s v="MAMOU"/>
    <s v="GENERIC"/>
    <s v="50% DOWNPAYMENT, 50% 35 DAYS PDC"/>
    <s v="2025-03-14"/>
    <s v="BIR APPLICATION"/>
    <n v="1"/>
    <n v="500"/>
    <n v="500"/>
    <n v="500"/>
    <s v="MARITESS"/>
  </r>
  <r>
    <x v="57"/>
    <s v="POL S MOM S PLACE INC - SO-040"/>
    <s v="SO-040"/>
    <s v="POL S MOM S PLACE INC"/>
    <s v="MAMOU"/>
    <s v="GENERIC"/>
    <s v="50% DOWNPAYMENT, 50% 35 DAYS PDC"/>
    <s v="2025-03-14"/>
    <s v="ORDEING STATION"/>
    <n v="1"/>
    <n v="7000"/>
    <n v="20000"/>
    <n v="20000"/>
    <s v="MARITESS"/>
  </r>
  <r>
    <x v="57"/>
    <s v="POL S MOM S PLACE INC - SO-040"/>
    <s v="SO-040"/>
    <s v="POL S MOM S PLACE INC"/>
    <s v="MAMOU"/>
    <s v="GENERIC"/>
    <s v="50% DOWNPAYMENT, 50% 35 DAYS PDC"/>
    <s v="2025-03-14"/>
    <s v="POSTECH 15&quot; TOUCHSCREEN MONITOR"/>
    <n v="1"/>
    <n v="11000"/>
    <n v="16500"/>
    <n v="16500"/>
    <s v="MARITESS"/>
  </r>
  <r>
    <x v="57"/>
    <s v="POL S MOM S PLACE INC - SO-040"/>
    <s v="SO-040"/>
    <s v="POL S MOM S PLACE INC"/>
    <s v="MAMOU"/>
    <s v="GENERIC"/>
    <s v="50% DOWNPAYMENT, 50% 35 DAYS PDC"/>
    <s v="2025-03-14"/>
    <s v="CASH DRAWER"/>
    <n v="1"/>
    <n v="2185"/>
    <n v="3500"/>
    <n v="3500"/>
    <s v="MARITESS"/>
  </r>
  <r>
    <x v="57"/>
    <s v="POL S MOM S PLACE INC - SO-040"/>
    <s v="SO-040"/>
    <s v="POL S MOM S PLACE INC"/>
    <s v="MAMOU"/>
    <s v="GENERIC"/>
    <s v="50% DOWNPAYMENT, 50% 35 DAYS PDC"/>
    <s v="2025-03-14"/>
    <s v="EPSON TM-T82X THERMAL PRINTER (LAN)"/>
    <n v="3"/>
    <n v="8500"/>
    <n v="12000"/>
    <n v="36000"/>
    <s v="MARITESS"/>
  </r>
  <r>
    <x v="57"/>
    <s v="POL S MOM S PLACE INC - SO-040"/>
    <s v="SO-040"/>
    <s v="POL S MOM S PLACE INC"/>
    <s v="MAMOU"/>
    <s v="GENERIC"/>
    <s v="50% DOWNPAYMENT, 50% 35 DAYS PDC"/>
    <s v="2025-03-14"/>
    <s v="EPSON TM-T82X THERMAL PRINTER (USB)"/>
    <n v="1"/>
    <n v="8500"/>
    <n v="12000"/>
    <n v="12000"/>
    <s v="MARITESS"/>
  </r>
  <r>
    <x v="57"/>
    <s v="POL S MOM S PLACE INC - SO-040"/>
    <s v="SO-040"/>
    <s v="POL S MOM S PLACE INC"/>
    <s v="MAMOU"/>
    <s v="GENERIC"/>
    <s v="50% DOWNPAYMENT, 50% 35 DAYS PDC"/>
    <s v="2025-03-14"/>
    <s v="THERMAL PAPER"/>
    <n v="10"/>
    <n v="47"/>
    <n v="70"/>
    <n v="700"/>
    <s v="MARITESS"/>
  </r>
  <r>
    <x v="57"/>
    <s v="POL S MOM S PLACE INC - SO-040"/>
    <s v="SO-040"/>
    <s v="POL S MOM S PLACE INC"/>
    <s v="MAMOU"/>
    <s v="GENERIC"/>
    <s v="50% DOWNPAYMENT, 50% 35 DAYS PDC"/>
    <s v="2025-03-14"/>
    <s v="SWITCH HUB"/>
    <n v="1"/>
    <n v="850"/>
    <n v="1200"/>
    <n v="1200"/>
    <s v="MARITESS"/>
  </r>
  <r>
    <x v="57"/>
    <s v="POL S MOM S PLACE INC - SO-040"/>
    <s v="SO-040"/>
    <s v="POL S MOM S PLACE INC"/>
    <s v="MAMOU"/>
    <s v="GENERIC"/>
    <s v="50% DOWNPAYMENT, 50% 35 DAYS PDC"/>
    <s v="2025-03-14"/>
    <s v="APC UPS"/>
    <n v="1"/>
    <n v="2200"/>
    <n v="3500"/>
    <n v="3500"/>
    <s v="MARITESS"/>
  </r>
  <r>
    <x v="57"/>
    <s v="POL S MOM S PLACE INC - SO-040"/>
    <s v="SO-040"/>
    <s v="POL S MOM S PLACE INC"/>
    <s v="MAMOU"/>
    <s v="GENERIC"/>
    <s v="50% DOWNPAYMENT, 50% 35 DAYS PDC"/>
    <s v="2025-03-14"/>
    <s v="DESKTOP CPU I5, 8GB RAM, 512 GB SSD"/>
    <n v="1"/>
    <n v="23450"/>
    <n v="31200"/>
    <n v="31200"/>
    <s v="MARITESS"/>
  </r>
  <r>
    <x v="9"/>
    <s v="CHICKEN DELI - SO-040"/>
    <s v="SO-040"/>
    <s v="CHICKEN DELI"/>
    <s v="OJO EYEWEAR"/>
    <s v="GENERIC"/>
    <s v="N/A"/>
    <s v="N/A"/>
    <s v="RDMS  NEW VERSION 3+"/>
    <n v="1"/>
    <n v="3675"/>
    <n v="10500"/>
    <n v="10500"/>
    <s v="MARITESS"/>
  </r>
  <r>
    <x v="9"/>
    <s v="CHICKEN DELI - SO-040"/>
    <s v="SO-040"/>
    <s v="CHICKEN DELI"/>
    <s v="OJO EYEWEAR"/>
    <s v="GENERIC"/>
    <s v="N/A"/>
    <s v="N/A"/>
    <s v="ROLL OUT/ IMPLEMENTATION"/>
    <n v="1"/>
    <n v="4000"/>
    <n v="4000"/>
    <n v="4000"/>
    <s v="MARITESS"/>
  </r>
  <r>
    <x v="9"/>
    <s v="CHICKEN DELI - SO-040"/>
    <s v="SO-040"/>
    <s v="CHICKEN DELI"/>
    <s v="OJO EYEWEAR"/>
    <s v="GENERIC"/>
    <s v="N/A"/>
    <s v="N/A"/>
    <s v="ONE YEAR WARRANTY"/>
    <n v="1"/>
    <n v="4000"/>
    <n v="4000"/>
    <n v="4000"/>
    <s v="MARITESS"/>
  </r>
  <r>
    <x v="9"/>
    <s v="CHICKEN DELI - SO-040"/>
    <s v="SO-040"/>
    <s v="CHICKEN DELI"/>
    <s v="OJO EYEWEAR"/>
    <s v="GENERIC"/>
    <s v="N/A"/>
    <s v="N/A"/>
    <s v="BIR REGISTRATION"/>
    <n v="1"/>
    <n v="500"/>
    <n v="500"/>
    <n v="500"/>
    <s v="MARITESS"/>
  </r>
  <r>
    <x v="9"/>
    <s v="CHICKEN DELI - SO-040"/>
    <s v="SO-040"/>
    <s v="CHICKEN DELI"/>
    <s v="OJO EYEWEAR"/>
    <s v="GENERIC"/>
    <s v="N/A"/>
    <s v="N/A"/>
    <s v="EOS 8G DDR3"/>
    <n v="1"/>
    <n v="1600"/>
    <n v="2000"/>
    <n v="2000"/>
    <s v="MARITESS"/>
  </r>
  <r>
    <x v="9"/>
    <s v="CHICKEN DELI - SO-040"/>
    <s v="SO-040"/>
    <s v="CHICKEN DELI"/>
    <s v="OJO EYEWEAR"/>
    <s v="GENERIC"/>
    <s v="N/A"/>
    <s v="N/A"/>
    <s v="WINDOWS 11 PRO 64 BIT"/>
    <n v="1"/>
    <n v="2800"/>
    <n v="4000"/>
    <n v="4000"/>
    <s v="MARITESS"/>
  </r>
  <r>
    <x v="58"/>
    <s v="CHICKEN DELI - SO-041"/>
    <s v="SO-041"/>
    <s v="CHICKEN DELI"/>
    <s v="SHISEIDO"/>
    <s v="GENERIC"/>
    <s v="N/A"/>
    <s v="2025-02-19"/>
    <s v="RDMS NEW VERSION"/>
    <n v="1"/>
    <n v="3745"/>
    <n v="10000"/>
    <n v="10000"/>
    <s v="MARITESS"/>
  </r>
  <r>
    <x v="58"/>
    <s v="CHICKEN DELI - SO-041"/>
    <s v="SO-041"/>
    <s v="CHICKEN DELI"/>
    <s v="SHISEIDO"/>
    <s v="GENERIC"/>
    <s v="N/A"/>
    <s v="2025-02-19"/>
    <s v="BIR REG."/>
    <n v="1"/>
    <n v="500"/>
    <n v="500"/>
    <n v="500"/>
    <s v="MARITESS"/>
  </r>
  <r>
    <x v="58"/>
    <s v="CHICKEN DELI - SO-041"/>
    <s v="SO-041"/>
    <s v="CHICKEN DELI"/>
    <s v="SHISEIDO"/>
    <s v="GENERIC"/>
    <s v="N/A"/>
    <s v="2025-02-19"/>
    <s v="ONE YEAR WARRANTY"/>
    <n v="1"/>
    <n v="13000"/>
    <n v="13000"/>
    <n v="13000"/>
    <s v="MARITESS"/>
  </r>
  <r>
    <x v="58"/>
    <s v="CHICKEN DELI - SO-041"/>
    <s v="SO-041"/>
    <s v="CHICKEN DELI"/>
    <s v="SHISEIDO"/>
    <s v="GENERIC"/>
    <s v="N/A"/>
    <s v="2025-02-19"/>
    <s v="ROLL OUT/ IMPLENENTATION"/>
    <n v="1"/>
    <n v="13000"/>
    <n v="13000"/>
    <n v="13000"/>
    <s v="MARITESS"/>
  </r>
  <r>
    <x v="58"/>
    <s v="CHICKEN DELI - SO-041"/>
    <s v="SO-041"/>
    <s v="CHICKEN DELI"/>
    <s v="SHISEIDO"/>
    <s v="GENERIC"/>
    <s v="N/A"/>
    <s v="2025-02-19"/>
    <s v="KASPERSKY"/>
    <n v="1"/>
    <n v="935"/>
    <n v="1300"/>
    <n v="1300"/>
    <s v="MARITESS"/>
  </r>
  <r>
    <x v="58"/>
    <s v="CHICKEN DELI - SO-041"/>
    <s v="SO-041"/>
    <s v="CHICKEN DELI"/>
    <s v="SHISEIDO"/>
    <s v="GENERIC"/>
    <s v="N/A"/>
    <s v="2025-02-19"/>
    <s v="EOS H7-I5 KINGSTON SATA SSD"/>
    <n v="1"/>
    <n v="23450"/>
    <n v="33500"/>
    <n v="33500"/>
    <s v="MARITESS"/>
  </r>
  <r>
    <x v="58"/>
    <s v="CHICKEN DELI - SO-041"/>
    <s v="SO-041"/>
    <s v="CHICKEN DELI"/>
    <s v="SHISEIDO"/>
    <s v="GENERIC"/>
    <s v="N/A"/>
    <s v="2025-02-19"/>
    <s v="KEYBOARD/ MOUSE &amp; FAN"/>
    <n v="1"/>
    <n v="880"/>
    <n v="1300"/>
    <n v="1300"/>
    <s v="MARITESS"/>
  </r>
  <r>
    <x v="58"/>
    <s v="CHICKEN DELI - SO-041"/>
    <s v="SO-041"/>
    <s v="CHICKEN DELI"/>
    <s v="SHISEIDO"/>
    <s v="GENERIC"/>
    <s v="N/A"/>
    <s v="2025-02-19"/>
    <s v="WINDOWS 11 PRO 64 BIT"/>
    <n v="1"/>
    <n v="2500"/>
    <n v="4000"/>
    <n v="4000"/>
    <s v="MARITESS"/>
  </r>
  <r>
    <x v="58"/>
    <s v="CHICKEN DELI - SO-041"/>
    <s v="SO-041"/>
    <s v="CHICKEN DELI"/>
    <s v="SHISEIDO"/>
    <s v="GENERIC"/>
    <s v="N/A"/>
    <s v="2025-02-19"/>
    <s v="DELIVERY CHARGE"/>
    <n v="1"/>
    <n v="500"/>
    <n v="500"/>
    <n v="500"/>
    <s v="MARITESS"/>
  </r>
  <r>
    <x v="59"/>
    <s v="MYHAPPYHOME LIFESTYLE WARES TRADING - SO-041"/>
    <s v="SO-041"/>
    <s v="MYHAPPYHOME LIFESTYLE WARES TRADING"/>
    <s v="MY HAPPY HOME"/>
    <s v="GREENHILLS"/>
    <s v="COD"/>
    <s v="2025-03-14"/>
    <s v="JOURNAL PAPER - DOUBLE PLY"/>
    <n v="20"/>
    <n v="32"/>
    <n v="50"/>
    <n v="1000"/>
    <s v="RUDELYN"/>
  </r>
  <r>
    <x v="60"/>
    <s v="ROCKWELL LAND CORPORATION - SO-042"/>
    <s v="SO-042"/>
    <s v="ROCKWELL LAND CORPORATION"/>
    <s v="ROCKWELL LAND CORPORATION"/>
    <s v="GENERIC"/>
    <s v="COD"/>
    <s v="2025-03-17"/>
    <s v="EPSON TMU220B USB PRINTER"/>
    <n v="3"/>
    <n v="9500"/>
    <n v="12800"/>
    <n v="38400"/>
    <s v="MARITESS"/>
  </r>
  <r>
    <x v="60"/>
    <s v="ROCKWELL LAND CORPORATION - SO-042"/>
    <s v="SO-042"/>
    <s v="ROCKWELL LAND CORPORATION"/>
    <s v="ROCKWELL LAND CORPORATION"/>
    <s v="GENERIC"/>
    <s v="COD"/>
    <s v="2025-03-17"/>
    <s v="POSTECH TOUCH SCREEN MONITOR"/>
    <n v="2"/>
    <n v="11000"/>
    <n v="15250"/>
    <n v="30500"/>
    <s v="MARITESS"/>
  </r>
  <r>
    <x v="60"/>
    <s v="ROCKWELL LAND CORPORATION - SO-042"/>
    <s v="SO-042"/>
    <s v="ROCKWELL LAND CORPORATION"/>
    <s v="ROCKWELL LAND CORPORATION"/>
    <s v="GENERIC"/>
    <s v="COD"/>
    <s v="2025-03-17"/>
    <s v="APC UPS"/>
    <n v="8"/>
    <n v="2200"/>
    <n v="2800"/>
    <n v="22400"/>
    <s v="MARITESS"/>
  </r>
  <r>
    <x v="60"/>
    <s v="ROCKWELL LAND CORPORATION - SO-042"/>
    <s v="SO-042"/>
    <s v="ROCKWELL LAND CORPORATION"/>
    <s v="ROCKWELL LAND CORPORATION"/>
    <s v="GENERIC"/>
    <s v="COD"/>
    <s v="2025-03-17"/>
    <s v="DELIVERY CHARGE"/>
    <n v="1"/>
    <n v="500"/>
    <n v="500"/>
    <n v="500"/>
    <s v="MARITESS"/>
  </r>
  <r>
    <x v="2"/>
    <s v="CHICKEN DELI - SO-042"/>
    <s v="SO-042"/>
    <s v="CHICKEN DELI"/>
    <s v="GONGCHA"/>
    <s v="GENERIC"/>
    <s v="N/A"/>
    <s v="2025-02-19"/>
    <s v="TSCERES"/>
    <n v="1"/>
    <n v="2975"/>
    <n v="8500"/>
    <n v="8500"/>
    <s v="MARITESS"/>
  </r>
  <r>
    <x v="2"/>
    <s v="CHICKEN DELI - SO-042"/>
    <s v="SO-042"/>
    <s v="CHICKEN DELI"/>
    <s v="GONGCHA"/>
    <s v="GENERIC"/>
    <s v="N/A"/>
    <s v="2025-02-19"/>
    <s v="ROLL OUT"/>
    <n v="1"/>
    <n v="8675"/>
    <n v="8675"/>
    <n v="8675"/>
    <s v="MARITESS"/>
  </r>
  <r>
    <x v="2"/>
    <s v="CHICKEN DELI - SO-042"/>
    <s v="SO-042"/>
    <s v="CHICKEN DELI"/>
    <s v="GONGCHA"/>
    <s v="GENERIC"/>
    <s v="N/A"/>
    <s v="2025-02-19"/>
    <s v="IMPLEMENTATION"/>
    <n v="1"/>
    <n v="8675"/>
    <n v="8675"/>
    <n v="8675"/>
    <s v="MARITESS"/>
  </r>
  <r>
    <x v="2"/>
    <s v="CHICKEN DELI - SO-042"/>
    <s v="SO-042"/>
    <s v="CHICKEN DELI"/>
    <s v="GONGCHA"/>
    <s v="GENERIC"/>
    <s v="N/A"/>
    <s v="2025-02-19"/>
    <s v="BIR REG."/>
    <n v="1"/>
    <n v="500"/>
    <n v="500"/>
    <n v="500"/>
    <s v="MARITESS"/>
  </r>
  <r>
    <x v="2"/>
    <s v="CHICKEN DELI - SO-042"/>
    <s v="SO-042"/>
    <s v="CHICKEN DELI"/>
    <s v="GONGCHA"/>
    <s v="GENERIC"/>
    <s v="N/A"/>
    <s v="2025-02-19"/>
    <s v="TSCERES ROLL OUT IMPLEMENTATION"/>
    <n v="1"/>
    <n v="5000"/>
    <n v="14300"/>
    <n v="14300"/>
    <s v="MARITESS"/>
  </r>
  <r>
    <x v="2"/>
    <s v="CHICKEN DELI - SO-042"/>
    <s v="SO-042"/>
    <s v="CHICKEN DELI"/>
    <s v="GONGCHA"/>
    <s v="GENERIC"/>
    <s v="N/A"/>
    <s v="2025-02-19"/>
    <s v="SWAN 1 ( 4GB + 32GB )"/>
    <n v="1"/>
    <n v="21500"/>
    <n v="31000"/>
    <n v="31000"/>
    <s v="MARITESS"/>
  </r>
  <r>
    <x v="2"/>
    <s v="CHICKEN DELI - SO-042"/>
    <s v="SO-042"/>
    <s v="CHICKEN DELI"/>
    <s v="GONGCHA"/>
    <s v="GENERIC"/>
    <s v="N/A"/>
    <s v="2025-02-19"/>
    <s v="SWAN DUAL DISPLAY"/>
    <n v="1"/>
    <n v="3808"/>
    <n v="5500"/>
    <n v="5500"/>
    <s v="MARITESS"/>
  </r>
  <r>
    <x v="2"/>
    <s v="CHICKEN DELI - SO-042"/>
    <s v="SO-042"/>
    <s v="CHICKEN DELI"/>
    <s v="GONGCHA"/>
    <s v="GENERIC"/>
    <s v="N/A"/>
    <s v="2025-02-19"/>
    <s v="EPSON TMU 220D"/>
    <n v="1"/>
    <n v="8500"/>
    <n v="12100"/>
    <n v="12100"/>
    <s v="MARITESS"/>
  </r>
  <r>
    <x v="2"/>
    <s v="CHICKEN DELI - SO-042"/>
    <s v="SO-042"/>
    <s v="CHICKEN DELI"/>
    <s v="GONGCHA"/>
    <s v="GENERIC"/>
    <s v="N/A"/>
    <s v="2025-02-19"/>
    <s v="MINI CASH BOX"/>
    <n v="1"/>
    <n v="1350"/>
    <n v="2100"/>
    <n v="2100"/>
    <s v="MARITESS"/>
  </r>
  <r>
    <x v="2"/>
    <s v="CHICKEN DELI - SO-042"/>
    <s v="SO-042"/>
    <s v="CHICKEN DELI"/>
    <s v="GONGCHA"/>
    <s v="GENERIC"/>
    <s v="N/A"/>
    <s v="2025-02-19"/>
    <s v="DELIVERY CHARGE"/>
    <n v="1"/>
    <n v="500"/>
    <n v="500"/>
    <n v="500"/>
    <s v="MARITESS"/>
  </r>
  <r>
    <x v="61"/>
    <s v="GINTONG PATATAS ENTERPRISES INC - SO-043"/>
    <s v="SO-043"/>
    <s v="GINTONG PATATAS ENTERPRISES INC"/>
    <s v="POTATO GIANT"/>
    <s v="SM CABANATUAN"/>
    <s v="COD"/>
    <s v="2025-01-14"/>
    <s v="EOS -HUBTKEY POWER ADAPTOR"/>
    <n v="1"/>
    <n v="1200"/>
    <n v="2000"/>
    <n v="2000"/>
    <s v="RUDELYN"/>
  </r>
  <r>
    <x v="2"/>
    <s v="CHICKEN DELI - SO-043"/>
    <s v="SO-043"/>
    <s v="CHICKEN DELI"/>
    <s v="GONGCHA"/>
    <s v="GENERIC"/>
    <s v="N/A"/>
    <s v="2025-02-19"/>
    <s v="TSCERES"/>
    <n v="1"/>
    <n v="2975"/>
    <n v="8500"/>
    <n v="8500"/>
    <s v="MARITESS"/>
  </r>
  <r>
    <x v="2"/>
    <s v="CHICKEN DELI - SO-043"/>
    <s v="SO-043"/>
    <s v="CHICKEN DELI"/>
    <s v="GONGCHA"/>
    <s v="GENERIC"/>
    <s v="N/A"/>
    <s v="2025-02-19"/>
    <s v="ROLL OUT"/>
    <n v="1"/>
    <n v="8675"/>
    <n v="8675"/>
    <n v="8675"/>
    <s v="MARITESS"/>
  </r>
  <r>
    <x v="2"/>
    <s v="CHICKEN DELI - SO-043"/>
    <s v="SO-043"/>
    <s v="CHICKEN DELI"/>
    <s v="GONGCHA"/>
    <s v="GENERIC"/>
    <s v="N/A"/>
    <s v="2025-02-19"/>
    <s v="IMPLEMENTATION"/>
    <n v="1"/>
    <n v="8675"/>
    <n v="8675"/>
    <n v="8675"/>
    <s v="MARITESS"/>
  </r>
  <r>
    <x v="2"/>
    <s v="CHICKEN DELI - SO-043"/>
    <s v="SO-043"/>
    <s v="CHICKEN DELI"/>
    <s v="GONGCHA"/>
    <s v="GENERIC"/>
    <s v="N/A"/>
    <s v="2025-02-19"/>
    <s v="BIR REG."/>
    <n v="1"/>
    <n v="500"/>
    <n v="500"/>
    <n v="500"/>
    <s v="MARITESS"/>
  </r>
  <r>
    <x v="2"/>
    <s v="CHICKEN DELI - SO-043"/>
    <s v="SO-043"/>
    <s v="CHICKEN DELI"/>
    <s v="GONGCHA"/>
    <s v="GENERIC"/>
    <s v="N/A"/>
    <s v="2025-02-19"/>
    <s v="TSCERES ROLL OUT IMPLEMENTATION"/>
    <n v="1"/>
    <n v="5000"/>
    <n v="14300"/>
    <n v="14300"/>
    <s v="MARITESS"/>
  </r>
  <r>
    <x v="2"/>
    <s v="CHICKEN DELI - SO-043"/>
    <s v="SO-043"/>
    <s v="CHICKEN DELI"/>
    <s v="GONGCHA"/>
    <s v="GENERIC"/>
    <s v="N/A"/>
    <s v="2025-02-19"/>
    <s v="SWAN 1 ( 4GB + 32GB )"/>
    <n v="1"/>
    <n v="21500"/>
    <n v="31000"/>
    <n v="31000"/>
    <s v="MARITESS"/>
  </r>
  <r>
    <x v="2"/>
    <s v="CHICKEN DELI - SO-043"/>
    <s v="SO-043"/>
    <s v="CHICKEN DELI"/>
    <s v="GONGCHA"/>
    <s v="GENERIC"/>
    <s v="N/A"/>
    <s v="2025-02-19"/>
    <s v="SWAN DUAL DISPLAY"/>
    <n v="1"/>
    <n v="3808"/>
    <n v="5500"/>
    <n v="5500"/>
    <s v="MARITESS"/>
  </r>
  <r>
    <x v="2"/>
    <s v="CHICKEN DELI - SO-043"/>
    <s v="SO-043"/>
    <s v="CHICKEN DELI"/>
    <s v="GONGCHA"/>
    <s v="GENERIC"/>
    <s v="N/A"/>
    <s v="2025-02-19"/>
    <s v="EPSON TMU 220D"/>
    <n v="1"/>
    <n v="8500"/>
    <n v="12100"/>
    <n v="12100"/>
    <s v="MARITESS"/>
  </r>
  <r>
    <x v="2"/>
    <s v="CHICKEN DELI - SO-043"/>
    <s v="SO-043"/>
    <s v="CHICKEN DELI"/>
    <s v="GONGCHA"/>
    <s v="GENERIC"/>
    <s v="N/A"/>
    <s v="2025-02-19"/>
    <s v="MINI CASH BOX"/>
    <n v="1"/>
    <n v="1350"/>
    <n v="2100"/>
    <n v="2100"/>
    <s v="MARITESS"/>
  </r>
  <r>
    <x v="2"/>
    <s v="CHICKEN DELI - SO-043"/>
    <s v="SO-043"/>
    <s v="CHICKEN DELI"/>
    <s v="GONGCHA"/>
    <s v="GENERIC"/>
    <s v="N/A"/>
    <s v="2025-02-19"/>
    <s v="DELIVERY CHARGE"/>
    <n v="1"/>
    <n v="500"/>
    <n v="500"/>
    <n v="500"/>
    <s v="MARITESS"/>
  </r>
  <r>
    <x v="62"/>
    <s v="BERNABE PAOLO CAJILI - SO-044"/>
    <s v="SO-044"/>
    <s v="BERNABE PAOLO CAJILI"/>
    <s v="BACOLOD CHICKEN"/>
    <s v="GENERIC"/>
    <s v="N/A"/>
    <s v="2025-03-31"/>
    <s v="TSCERES SQL VER. 6"/>
    <n v="1"/>
    <n v="3675"/>
    <n v="10500"/>
    <n v="10500"/>
    <s v="MARITESS"/>
  </r>
  <r>
    <x v="62"/>
    <s v="BERNABE PAOLO CAJILI - SO-044"/>
    <s v="SO-044"/>
    <s v="BERNABE PAOLO CAJILI"/>
    <s v="BACOLOD CHICKEN"/>
    <s v="GENERIC"/>
    <s v="N/A"/>
    <s v="2025-03-31"/>
    <s v="ROLLOUT IMPLEMENTATION"/>
    <n v="1"/>
    <n v="4970"/>
    <n v="14200"/>
    <n v="14200"/>
    <s v="MARITESS"/>
  </r>
  <r>
    <x v="62"/>
    <s v="BERNABE PAOLO CAJILI - SO-044"/>
    <s v="SO-044"/>
    <s v="BERNABE PAOLO CAJILI"/>
    <s v="BACOLOD CHICKEN"/>
    <s v="GENERIC"/>
    <s v="N/A"/>
    <s v="2025-03-31"/>
    <s v="ONE YEAR WARRANTY"/>
    <n v="1"/>
    <n v="4970"/>
    <n v="14200"/>
    <n v="14200"/>
    <s v="MARITESS"/>
  </r>
  <r>
    <x v="62"/>
    <s v="BERNABE PAOLO CAJILI - SO-044"/>
    <s v="SO-044"/>
    <s v="BERNABE PAOLO CAJILI"/>
    <s v="BACOLOD CHICKEN"/>
    <s v="GENERIC"/>
    <s v="N/A"/>
    <s v="2025-03-31"/>
    <s v="BIR REGISTRATION"/>
    <n v="1"/>
    <n v="500"/>
    <n v="500"/>
    <n v="500"/>
    <s v="MARITESS"/>
  </r>
  <r>
    <x v="62"/>
    <s v="BERNABE PAOLO CAJILI - SO-044"/>
    <s v="SO-044"/>
    <s v="BERNABE PAOLO CAJILI"/>
    <s v="BACOLOD CHICKEN"/>
    <s v="GENERIC"/>
    <s v="N/A"/>
    <s v="2025-03-31"/>
    <s v="APC UPS"/>
    <n v="1"/>
    <n v="2200"/>
    <n v="3500"/>
    <n v="3500"/>
    <s v="MARITESS"/>
  </r>
  <r>
    <x v="62"/>
    <s v="BERNABE PAOLO CAJILI - SO-044"/>
    <s v="SO-044"/>
    <s v="BERNABE PAOLO CAJILI"/>
    <s v="BACOLOD CHICKEN"/>
    <s v="GENERIC"/>
    <s v="N/A"/>
    <s v="2025-03-31"/>
    <s v="EPSON TMU220D USB PRINTER"/>
    <n v="1"/>
    <n v="8500"/>
    <n v="12500"/>
    <n v="12500"/>
    <s v="MARITESS"/>
  </r>
  <r>
    <x v="62"/>
    <s v="BERNABE PAOLO CAJILI - SO-044"/>
    <s v="SO-044"/>
    <s v="BERNABE PAOLO CAJILI"/>
    <s v="BACOLOD CHICKEN"/>
    <s v="GENERIC"/>
    <s v="N/A"/>
    <s v="2025-03-31"/>
    <s v="EPSON TMU220D LAN PRINTER"/>
    <n v="1"/>
    <n v="8500"/>
    <n v="12500"/>
    <n v="12500"/>
    <s v="MARITESS"/>
  </r>
  <r>
    <x v="62"/>
    <s v="BERNABE PAOLO CAJILI - SO-044"/>
    <s v="SO-044"/>
    <s v="BERNABE PAOLO CAJILI"/>
    <s v="BACOLOD CHICKEN"/>
    <s v="GENERIC"/>
    <s v="N/A"/>
    <s v="2025-03-31"/>
    <s v="SWITCH HUB"/>
    <n v="1"/>
    <n v="850"/>
    <n v="1500"/>
    <n v="1500"/>
    <s v="MARITESS"/>
  </r>
  <r>
    <x v="62"/>
    <s v="BERNABE PAOLO CAJILI - SO-044"/>
    <s v="SO-044"/>
    <s v="BERNABE PAOLO CAJILI"/>
    <s v="BACOLOD CHICKEN"/>
    <s v="GENERIC"/>
    <s v="N/A"/>
    <s v="2025-03-31"/>
    <s v="POSHTECH 15&quot; TOUCHSCREEN MONITOR"/>
    <n v="1"/>
    <n v="11000"/>
    <n v="16500"/>
    <n v="16500"/>
    <s v="MARITESS"/>
  </r>
  <r>
    <x v="62"/>
    <s v="BERNABE PAOLO CAJILI - SO-044"/>
    <s v="SO-044"/>
    <s v="BERNABE PAOLO CAJILI"/>
    <s v="BACOLOD CHICKEN"/>
    <s v="GENERIC"/>
    <s v="N/A"/>
    <s v="2025-03-31"/>
    <s v="CASH DRAWER"/>
    <n v="1"/>
    <n v="2185"/>
    <n v="3500"/>
    <n v="3500"/>
    <s v="MARITESS"/>
  </r>
  <r>
    <x v="62"/>
    <s v="BERNABE PAOLO CAJILI - SO-044"/>
    <s v="SO-044"/>
    <s v="BERNABE PAOLO CAJILI"/>
    <s v="BACOLOD CHICKEN"/>
    <s v="GENERIC"/>
    <s v="N/A"/>
    <s v="2025-03-31"/>
    <s v="POSEIDON EZ202 CUSTOMER DISPLAY"/>
    <n v="1"/>
    <n v="3300"/>
    <n v="4500"/>
    <n v="4500"/>
    <s v="MARITESS"/>
  </r>
  <r>
    <x v="62"/>
    <s v="BERNABE PAOLO CAJILI - SO-044"/>
    <s v="SO-044"/>
    <s v="BERNABE PAOLO CAJILI"/>
    <s v="BACOLOD CHICKEN"/>
    <s v="GENERIC"/>
    <s v="N/A"/>
    <s v="2025-03-31"/>
    <s v="DESKTOP CPU I5, 8GB RAM, 512 GB SSD"/>
    <n v="1"/>
    <n v="21500"/>
    <n v="32500"/>
    <n v="32500"/>
    <s v="MARITESS"/>
  </r>
  <r>
    <x v="63"/>
    <s v="CHICKEN DELI - SO-044"/>
    <s v="SO-044"/>
    <s v="CHICKEN DELI"/>
    <s v="THE TEA HOUSE"/>
    <s v="GENERIC"/>
    <s v="N/A"/>
    <s v="2025-02-20"/>
    <s v="TSCERES SQL FULL VERSION"/>
    <n v="2"/>
    <n v="3675"/>
    <n v="10500"/>
    <n v="21000"/>
    <s v="MARITESS"/>
  </r>
  <r>
    <x v="63"/>
    <s v="CHICKEN DELI - SO-044"/>
    <s v="SO-044"/>
    <s v="CHICKEN DELI"/>
    <s v="THE TEA HOUSE"/>
    <s v="GENERIC"/>
    <s v="N/A"/>
    <s v="2025-02-20"/>
    <s v="ROLL OUT/ IMPLEMENTATION"/>
    <n v="2"/>
    <n v="2500"/>
    <n v="2500"/>
    <n v="5000"/>
    <s v="MARITESS"/>
  </r>
  <r>
    <x v="63"/>
    <s v="CHICKEN DELI - SO-044"/>
    <s v="SO-044"/>
    <s v="CHICKEN DELI"/>
    <s v="THE TEA HOUSE"/>
    <s v="GENERIC"/>
    <s v="N/A"/>
    <s v="2025-02-20"/>
    <s v="ONE YEAR WARRANTY"/>
    <n v="2"/>
    <n v="2500"/>
    <n v="2500"/>
    <n v="5000"/>
    <s v="MARITESS"/>
  </r>
  <r>
    <x v="63"/>
    <s v="CHICKEN DELI - SO-044"/>
    <s v="SO-044"/>
    <s v="CHICKEN DELI"/>
    <s v="THE TEA HOUSE"/>
    <s v="GENERIC"/>
    <s v="N/A"/>
    <s v="2025-02-20"/>
    <s v="NEW BIR REGISTRATION"/>
    <n v="2"/>
    <n v="500"/>
    <n v="500"/>
    <n v="1000"/>
    <s v="MARITESS"/>
  </r>
  <r>
    <x v="63"/>
    <s v="CHICKEN DELI - SO-044"/>
    <s v="SO-044"/>
    <s v="CHICKEN DELI"/>
    <s v="THE TEA HOUSE"/>
    <s v="GENERIC"/>
    <s v="N/A"/>
    <s v="2025-02-20"/>
    <s v="BACK OFFICE"/>
    <n v="1"/>
    <n v="3675"/>
    <n v="10500"/>
    <n v="10500"/>
    <s v="MARITESS"/>
  </r>
  <r>
    <x v="63"/>
    <s v="CHICKEN DELI - SO-044"/>
    <s v="SO-044"/>
    <s v="CHICKEN DELI"/>
    <s v="THE TEA HOUSE"/>
    <s v="GENERIC"/>
    <s v="N/A"/>
    <s v="2025-02-20"/>
    <s v="ROLL OUT/ IMPLEMENTATION"/>
    <n v="1"/>
    <n v="3900"/>
    <n v="3900"/>
    <n v="3900"/>
    <s v="MARITESS"/>
  </r>
  <r>
    <x v="63"/>
    <s v="CHICKEN DELI - SO-044"/>
    <s v="SO-044"/>
    <s v="CHICKEN DELI"/>
    <s v="THE TEA HOUSE"/>
    <s v="GENERIC"/>
    <s v="N/A"/>
    <s v="2025-02-20"/>
    <s v="ONE YEAR WARRANTY"/>
    <n v="1"/>
    <n v="3900"/>
    <n v="3900"/>
    <n v="3900"/>
    <s v="MARITESS"/>
  </r>
  <r>
    <x v="63"/>
    <s v="CHICKEN DELI - SO-044"/>
    <s v="SO-044"/>
    <s v="CHICKEN DELI"/>
    <s v="THE TEA HOUSE"/>
    <s v="GENERIC"/>
    <s v="N/A"/>
    <s v="2025-02-20"/>
    <s v="KITCHEN DISPLAY &amp; QUIENG SYSTEM"/>
    <n v="1"/>
    <n v="10500"/>
    <n v="30000"/>
    <n v="30000"/>
    <s v="MARITESS"/>
  </r>
  <r>
    <x v="63"/>
    <s v="CHICKEN DELI - SO-044"/>
    <s v="SO-044"/>
    <s v="CHICKEN DELI"/>
    <s v="THE TEA HOUSE"/>
    <s v="GENERIC"/>
    <s v="N/A"/>
    <s v="2025-02-20"/>
    <s v="EC LINE TOUCHSCREEN"/>
    <n v="5"/>
    <n v="11000"/>
    <n v="15700"/>
    <n v="78500"/>
    <s v="MARITESS"/>
  </r>
  <r>
    <x v="64"/>
    <s v="CHICKEN DELI - SO-045"/>
    <s v="SO-045"/>
    <s v="CHICKEN DELI"/>
    <s v="HARVEST HOTEL"/>
    <s v="GENERIC"/>
    <s v="N/A"/>
    <s v="2025-02-20"/>
    <s v="BACCHUS ANDROID"/>
    <n v="1"/>
    <n v="3675"/>
    <n v="10500"/>
    <n v="10500"/>
    <s v="MARITESS"/>
  </r>
  <r>
    <x v="64"/>
    <s v="CHICKEN DELI - SO-045"/>
    <s v="SO-045"/>
    <s v="CHICKEN DELI"/>
    <s v="HARVEST HOTEL"/>
    <s v="GENERIC"/>
    <s v="N/A"/>
    <s v="2025-02-20"/>
    <s v="ROLL OUT/ IMPLEMENTATION"/>
    <n v="1"/>
    <n v="10000"/>
    <n v="10000"/>
    <n v="10000"/>
    <s v="MARITESS"/>
  </r>
  <r>
    <x v="64"/>
    <s v="CHICKEN DELI - SO-045"/>
    <s v="SO-045"/>
    <s v="CHICKEN DELI"/>
    <s v="HARVEST HOTEL"/>
    <s v="GENERIC"/>
    <s v="N/A"/>
    <s v="2025-02-20"/>
    <s v="ONE YEAR WARRANTY"/>
    <n v="1"/>
    <n v="10000"/>
    <n v="10000"/>
    <n v="10000"/>
    <s v="MARITESS"/>
  </r>
  <r>
    <x v="64"/>
    <s v="CHICKEN DELI - SO-045"/>
    <s v="SO-045"/>
    <s v="CHICKEN DELI"/>
    <s v="HARVEST HOTEL"/>
    <s v="GENERIC"/>
    <s v="N/A"/>
    <s v="2025-02-20"/>
    <s v="NEW BIR REGISTRATION"/>
    <n v="1"/>
    <n v="500"/>
    <n v="500"/>
    <n v="500"/>
    <s v="MARITESS"/>
  </r>
  <r>
    <x v="64"/>
    <s v="CHICKEN DELI - SO-045"/>
    <s v="SO-045"/>
    <s v="CHICKEN DELI"/>
    <s v="HARVEST HOTEL"/>
    <s v="GENERIC"/>
    <s v="N/A"/>
    <s v="2025-02-20"/>
    <s v="WAITER/ ORDERING STATTION"/>
    <n v="1"/>
    <n v="6055"/>
    <n v="17300"/>
    <n v="17300"/>
    <s v="MARITESS"/>
  </r>
  <r>
    <x v="64"/>
    <s v="CHICKEN DELI - SO-045"/>
    <s v="SO-045"/>
    <s v="CHICKEN DELI"/>
    <s v="HARVEST HOTEL"/>
    <s v="GENERIC"/>
    <s v="N/A"/>
    <s v="2025-02-20"/>
    <s v="BACK OFFICE ANDROID"/>
    <n v="1"/>
    <n v="28000"/>
    <n v="80000"/>
    <n v="80000"/>
    <s v="MARITESS"/>
  </r>
  <r>
    <x v="64"/>
    <s v="CHICKEN DELI - SO-045"/>
    <s v="SO-045"/>
    <s v="CHICKEN DELI"/>
    <s v="HARVEST HOTEL"/>
    <s v="GENERIC"/>
    <s v="N/A"/>
    <s v="2025-02-20"/>
    <s v="ROLL OUT/ IMPLEMENTATION"/>
    <n v="1"/>
    <n v="10000"/>
    <n v="10000"/>
    <n v="10000"/>
    <s v="MARITESS"/>
  </r>
  <r>
    <x v="64"/>
    <s v="CHICKEN DELI - SO-045"/>
    <s v="SO-045"/>
    <s v="CHICKEN DELI"/>
    <s v="HARVEST HOTEL"/>
    <s v="GENERIC"/>
    <s v="N/A"/>
    <s v="2025-02-20"/>
    <s v="ONE YEAR WARRANTY"/>
    <n v="1"/>
    <n v="10000"/>
    <n v="10000"/>
    <n v="10000"/>
    <s v="MARITESS"/>
  </r>
  <r>
    <x v="64"/>
    <s v="CHICKEN DELI - SO-045"/>
    <s v="SO-045"/>
    <s v="CHICKEN DELI"/>
    <s v="HARVEST HOTEL"/>
    <s v="GENERIC"/>
    <s v="N/A"/>
    <s v="2025-02-20"/>
    <s v="IMIN SWAN 1 ( 4GB +32GB )"/>
    <n v="1"/>
    <n v="21500"/>
    <n v="31000"/>
    <n v="31000"/>
    <s v="MARITESS"/>
  </r>
  <r>
    <x v="64"/>
    <s v="CHICKEN DELI - SO-045"/>
    <s v="SO-045"/>
    <s v="CHICKEN DELI"/>
    <s v="HARVEST HOTEL"/>
    <s v="GENERIC"/>
    <s v="N/A"/>
    <s v="2025-02-20"/>
    <s v="IMIN FALCON 2 ( 4GB /32GB )"/>
    <n v="1"/>
    <n v="27010"/>
    <n v="38000"/>
    <n v="38000"/>
    <s v="MARITESS"/>
  </r>
  <r>
    <x v="64"/>
    <s v="CHICKEN DELI - SO-045"/>
    <s v="SO-045"/>
    <s v="CHICKEN DELI"/>
    <s v="HARVEST HOTEL"/>
    <s v="GENERIC"/>
    <s v="N/A"/>
    <s v="2025-02-20"/>
    <s v="CASH DRAWER"/>
    <n v="1"/>
    <n v="1350"/>
    <n v="2000"/>
    <n v="2000"/>
    <s v="MARITESS"/>
  </r>
  <r>
    <x v="64"/>
    <s v="CHICKEN DELI - SO-045"/>
    <s v="SO-045"/>
    <s v="CHICKEN DELI"/>
    <s v="HARVEST HOTEL"/>
    <s v="GENERIC"/>
    <s v="N/A"/>
    <s v="2025-02-20"/>
    <s v="STAR PRINTER LAN"/>
    <n v="2"/>
    <n v="11500"/>
    <n v="16500"/>
    <n v="33000"/>
    <s v="MARITESS"/>
  </r>
  <r>
    <x v="64"/>
    <s v="CHICKEN DELI - SO-045"/>
    <s v="SO-045"/>
    <s v="CHICKEN DELI"/>
    <s v="HARVEST HOTEL"/>
    <s v="GENERIC"/>
    <s v="N/A"/>
    <s v="2025-02-20"/>
    <s v="APC UPS"/>
    <n v="3"/>
    <n v="2200"/>
    <n v="3100"/>
    <n v="9300"/>
    <s v="MARITESS"/>
  </r>
  <r>
    <x v="64"/>
    <s v="CHICKEN DELI - SO-045"/>
    <s v="SO-045"/>
    <s v="CHICKEN DELI"/>
    <s v="HARVEST HOTEL"/>
    <s v="GENERIC"/>
    <s v="N/A"/>
    <s v="2025-02-20"/>
    <s v="EOS W/ COMPLETE ACCESSORIES"/>
    <n v="1"/>
    <n v="24330"/>
    <n v="34000"/>
    <n v="34000"/>
    <s v="MARITESS"/>
  </r>
  <r>
    <x v="64"/>
    <s v="CHICKEN DELI - SO-045"/>
    <s v="SO-045"/>
    <s v="CHICKEN DELI"/>
    <s v="HARVEST HOTEL"/>
    <s v="GENERIC"/>
    <s v="N/A"/>
    <s v="2025-02-20"/>
    <s v="ACER MONITOR 19.5&quot;"/>
    <n v="1"/>
    <n v="4250"/>
    <n v="6000"/>
    <n v="6000"/>
    <s v="MARITESS"/>
  </r>
  <r>
    <x v="64"/>
    <s v="CHICKEN DELI - SO-045"/>
    <s v="SO-045"/>
    <s v="CHICKEN DELI"/>
    <s v="HARVEST HOTEL"/>
    <s v="GENERIC"/>
    <s v="N/A"/>
    <s v="2025-02-20"/>
    <s v="MISCELLANEOUS"/>
    <n v="1"/>
    <n v="6400"/>
    <n v="6400"/>
    <n v="6400"/>
    <s v="MARITESS"/>
  </r>
  <r>
    <x v="64"/>
    <s v="CHICKEN DELI - SO-045"/>
    <s v="SO-045"/>
    <s v="CHICKEN DELI"/>
    <s v="HARVEST HOTEL"/>
    <s v="GENERIC"/>
    <s v="N/A"/>
    <s v="2025-02-20"/>
    <s v="MODIFICATION"/>
    <n v="1"/>
    <n v="50000"/>
    <n v="50000"/>
    <n v="50000"/>
    <s v="MARITESS"/>
  </r>
  <r>
    <x v="65"/>
    <s v="SERENITEA - SO-045"/>
    <s v="SO-045"/>
    <s v="SERENITEA"/>
    <s v="SERENITEA"/>
    <s v="GENERIC"/>
    <s v="COD"/>
    <s v="2025-04-03"/>
    <s v="PRINTER HEAD"/>
    <n v="3"/>
    <n v="965"/>
    <n v="1300"/>
    <n v="3900"/>
    <s v="MARITESS"/>
  </r>
  <r>
    <x v="65"/>
    <s v="SERENITEA - SO-045"/>
    <s v="SO-045"/>
    <s v="SERENITEA"/>
    <s v="SERENITEA"/>
    <s v="GENERIC"/>
    <s v="COD"/>
    <s v="2025-04-03"/>
    <s v="PRINTER HEAD CABLE"/>
    <n v="3"/>
    <n v="20"/>
    <n v="100"/>
    <n v="300"/>
    <s v="MARITESS"/>
  </r>
  <r>
    <x v="66"/>
    <s v="AAJ IT SOLUTIONS INC - SO-046"/>
    <s v="SO-046"/>
    <s v="AAJ IT SOLUTIONS INC"/>
    <s v="AAJ IT SOLUTIONS INC"/>
    <s v="GENERIC"/>
    <s v="COD"/>
    <s v="2025-04-03"/>
    <s v="POSTECH TOUCH SCREEN MONITOR"/>
    <n v="3"/>
    <n v="11000"/>
    <n v="16500"/>
    <n v="49500"/>
    <s v="MARITESS"/>
  </r>
  <r>
    <x v="1"/>
    <s v="CHICKEN DELI - SO-046"/>
    <s v="SO-046"/>
    <s v="CHICKEN DELI"/>
    <s v="KITCHEN CITY"/>
    <s v="GENERIC"/>
    <s v="N/A"/>
    <s v="2025-02-21"/>
    <s v="MINI CASH BOX"/>
    <n v="1"/>
    <n v="1350"/>
    <n v="2000"/>
    <n v="2000"/>
    <s v="MARITESS"/>
  </r>
  <r>
    <x v="1"/>
    <s v="CHICKEN DELI - SO-046"/>
    <s v="SO-046"/>
    <s v="CHICKEN DELI"/>
    <s v="KITCHEN CITY"/>
    <s v="GENERIC"/>
    <s v="N/A"/>
    <s v="2025-02-21"/>
    <s v="APC UPS"/>
    <n v="3"/>
    <n v="2200"/>
    <n v="3500"/>
    <n v="10500"/>
    <s v="MARITESS"/>
  </r>
  <r>
    <x v="1"/>
    <s v="CHICKEN DELI - SO-046"/>
    <s v="SO-046"/>
    <s v="CHICKEN DELI"/>
    <s v="KITCHEN CITY"/>
    <s v="GENERIC"/>
    <s v="N/A"/>
    <s v="2025-02-21"/>
    <s v="KASPERSKY ANTI VIRUS"/>
    <n v="3"/>
    <n v="935"/>
    <n v="1300"/>
    <n v="3900"/>
    <s v="MARITESS"/>
  </r>
  <r>
    <x v="1"/>
    <s v="CHICKEN DELI - SO-046"/>
    <s v="SO-046"/>
    <s v="CHICKEN DELI"/>
    <s v="KITCHEN CITY"/>
    <s v="GENERIC"/>
    <s v="N/A"/>
    <s v="2025-02-21"/>
    <s v="WINDOWS 11"/>
    <n v="3"/>
    <n v="2800"/>
    <n v="4000"/>
    <n v="12000"/>
    <s v="MARITESS"/>
  </r>
  <r>
    <x v="1"/>
    <s v="CHICKEN DELI - SO-046"/>
    <s v="SO-046"/>
    <s v="CHICKEN DELI"/>
    <s v="KITCHEN CITY"/>
    <s v="GENERIC"/>
    <s v="N/A"/>
    <s v="2025-02-21"/>
    <s v="DELIVERY CHARGE"/>
    <n v="1"/>
    <n v="600"/>
    <n v="600"/>
    <n v="600"/>
    <s v="MARITESS"/>
  </r>
  <r>
    <x v="67"/>
    <s v="CALEDIAN INC - SO-047"/>
    <s v="SO-047"/>
    <s v="CALEDIAN INC"/>
    <s v="CALEDIAN INC"/>
    <s v="GENERIC"/>
    <s v="50% DOWNPAYMENT, 50% 35 DAYS PDC"/>
    <s v="2025-04-03"/>
    <s v="PREVENTIVE MAINTENANCE"/>
    <n v="1"/>
    <n v="20000"/>
    <n v="20000"/>
    <n v="20000"/>
    <s v="MARITESS"/>
  </r>
  <r>
    <x v="67"/>
    <s v="CALEDIAN INC - SO-047"/>
    <s v="SO-047"/>
    <s v="CALEDIAN INC"/>
    <s v="CALEDIAN INC"/>
    <s v="GENERIC"/>
    <s v="50% DOWNPAYMENT, 50% 35 DAYS PDC"/>
    <s v="2025-04-03"/>
    <s v="WINDOWS 11 PRO"/>
    <n v="1"/>
    <n v="2800"/>
    <n v="4000"/>
    <n v="4000"/>
    <s v="MARITESS"/>
  </r>
  <r>
    <x v="2"/>
    <s v="CHICKEN DELI - SO-047"/>
    <s v="SO-047"/>
    <s v="CHICKEN DELI"/>
    <s v="GONGCHA"/>
    <s v="GENERIC"/>
    <s v="N/A"/>
    <s v="2025-02-24"/>
    <s v="EPSON PRINTER TMU220D USB"/>
    <n v="1"/>
    <n v="8500"/>
    <n v="11500"/>
    <n v="11500"/>
    <s v="MARITESS"/>
  </r>
  <r>
    <x v="2"/>
    <s v="CHICKEN DELI - SO-047"/>
    <s v="SO-047"/>
    <s v="CHICKEN DELI"/>
    <s v="GONGCHA"/>
    <s v="GENERIC"/>
    <s v="N/A"/>
    <s v="2025-02-24"/>
    <s v="DELIVERY CHARGE"/>
    <n v="1"/>
    <n v="500"/>
    <n v="500"/>
    <n v="500"/>
    <s v="MARITESS"/>
  </r>
  <r>
    <x v="68"/>
    <s v="SJ SHAW FOOD CORP - SO-48"/>
    <s v="SO-48"/>
    <s v="SJ SHAW FOOD CORP"/>
    <s v="FAMOUS AMOS"/>
    <s v="SM STA ROSA"/>
    <s v="COD"/>
    <s v="2025-04-04"/>
    <s v="TSCERES LITE VER. 6"/>
    <n v="1"/>
    <n v="2975"/>
    <n v="8500"/>
    <n v="8500"/>
    <s v="RUDELYN"/>
  </r>
  <r>
    <x v="68"/>
    <s v="SJ SHAW FOOD CORP - SO-48"/>
    <s v="SO-48"/>
    <s v="SJ SHAW FOOD CORP"/>
    <s v="FAMOUS AMOS"/>
    <s v="SM STA ROSA"/>
    <s v="COD"/>
    <s v="2025-04-04"/>
    <s v="ROLLOUT IMPLEMENTATION"/>
    <n v="1"/>
    <n v="1645"/>
    <n v="4700"/>
    <n v="4700"/>
    <s v="RUDELYN"/>
  </r>
  <r>
    <x v="68"/>
    <s v="SJ SHAW FOOD CORP - SO-48"/>
    <s v="SO-48"/>
    <s v="SJ SHAW FOOD CORP"/>
    <s v="FAMOUS AMOS"/>
    <s v="SM STA ROSA"/>
    <s v="COD"/>
    <s v="2025-04-04"/>
    <s v="ONE YEAR WARRANTY"/>
    <n v="1"/>
    <n v="1680"/>
    <n v="4800"/>
    <n v="4800"/>
    <s v="RUDELYN"/>
  </r>
  <r>
    <x v="68"/>
    <s v="SJ SHAW FOOD CORP - SO-48"/>
    <s v="SO-48"/>
    <s v="SJ SHAW FOOD CORP"/>
    <s v="FAMOUS AMOS"/>
    <s v="SM STA ROSA"/>
    <s v="COD"/>
    <s v="2025-04-04"/>
    <s v="BIR REGISTRATION"/>
    <n v="1"/>
    <n v="500"/>
    <n v="500"/>
    <n v="500"/>
    <s v="RUDELYN"/>
  </r>
  <r>
    <x v="2"/>
    <s v="CHICKEN DELI - SO-048"/>
    <s v="SO-048"/>
    <s v="CHICKEN DELI"/>
    <s v="GONGCHA"/>
    <s v="GENERIC"/>
    <s v="N/A"/>
    <s v="2025-02-24"/>
    <s v="EPSON PRINTER TMU220D USB"/>
    <n v="1"/>
    <n v="8500"/>
    <n v="11500"/>
    <n v="11500"/>
    <s v="MARITESS"/>
  </r>
  <r>
    <x v="2"/>
    <s v="CHICKEN DELI - SO-048"/>
    <s v="SO-048"/>
    <s v="CHICKEN DELI"/>
    <s v="GONGCHA"/>
    <s v="GENERIC"/>
    <s v="N/A"/>
    <s v="2025-02-24"/>
    <s v="DELIVERY CHARGE"/>
    <n v="1"/>
    <n v="500"/>
    <n v="500"/>
    <n v="500"/>
    <s v="MARITESS"/>
  </r>
  <r>
    <x v="62"/>
    <s v="BERNABE PAOLO CAJILI - SO-049"/>
    <s v="SO-049"/>
    <s v="BERNABE PAOLO CAJILI"/>
    <s v="BACOLOD CHICKEN"/>
    <s v="GENERIC"/>
    <s v="N/A"/>
    <s v="2025-04-04"/>
    <s v="CASH DRAWER"/>
    <n v="1"/>
    <n v="2185"/>
    <n v="3500"/>
    <n v="3500"/>
    <s v="MARITESS"/>
  </r>
  <r>
    <x v="2"/>
    <s v="CHICKEN DELI - SO-049"/>
    <s v="SO-049"/>
    <s v="CHICKEN DELI"/>
    <s v="GONGCHA"/>
    <s v="GENERIC"/>
    <s v="N/A"/>
    <s v="2025-02-24"/>
    <s v="EPSON PRINTER TMU220D USB"/>
    <n v="1"/>
    <n v="8500"/>
    <n v="11500"/>
    <n v="11500"/>
    <s v="MARITESS"/>
  </r>
  <r>
    <x v="2"/>
    <s v="CHICKEN DELI - SO-049"/>
    <s v="SO-049"/>
    <s v="CHICKEN DELI"/>
    <s v="GONGCHA"/>
    <s v="GENERIC"/>
    <s v="N/A"/>
    <s v="2025-02-24"/>
    <s v="DELIVERY CHARGE"/>
    <n v="1"/>
    <n v="500"/>
    <n v="500"/>
    <n v="500"/>
    <s v="MARITESS"/>
  </r>
  <r>
    <x v="69"/>
    <s v="GINTONG PATATAS ENTERPRISES INC - SO-050"/>
    <s v="SO-050"/>
    <s v="GINTONG PATATAS ENTERPRISES INC"/>
    <s v="POTATO GIANT"/>
    <s v="GENERIC"/>
    <s v="COD"/>
    <s v="2025-04-08"/>
    <s v="EPSON TMU220D USB PRINTER"/>
    <n v="1"/>
    <n v="8500"/>
    <n v="12000"/>
    <n v="12000"/>
    <s v="MARITESS"/>
  </r>
  <r>
    <x v="69"/>
    <s v="GINTONG PATATAS ENTERPRISES INC - SO-050"/>
    <s v="SO-050"/>
    <s v="GINTONG PATATAS ENTERPRISES INC"/>
    <s v="POTATO GIANT"/>
    <s v="GENERIC"/>
    <s v="COD"/>
    <s v="2025-04-08"/>
    <s v="DELIVERY CHARGE"/>
    <n v="1"/>
    <n v="500"/>
    <n v="500"/>
    <n v="500"/>
    <s v="MARITESS"/>
  </r>
  <r>
    <x v="70"/>
    <s v="CHICKEN DELI - SO-050"/>
    <s v="SO-050"/>
    <s v="CHICKEN DELI"/>
    <s v="LOBBY 385"/>
    <s v="GENERIC"/>
    <s v="N/A"/>
    <s v="2025-02-25"/>
    <s v="EPSON PRINTER TMU 220B ( USB )"/>
    <n v="1"/>
    <n v="9500"/>
    <n v="13500"/>
    <n v="13500"/>
    <s v="MARITESS"/>
  </r>
  <r>
    <x v="70"/>
    <s v="CHICKEN DELI - SO-050"/>
    <s v="SO-050"/>
    <s v="CHICKEN DELI"/>
    <s v="LOBBY 385"/>
    <s v="GENERIC"/>
    <s v="N/A"/>
    <s v="2025-02-25"/>
    <s v="DELIVERY CHARGE"/>
    <n v="1"/>
    <n v="500"/>
    <n v="500"/>
    <n v="500"/>
    <s v="MARITESS"/>
  </r>
  <r>
    <x v="14"/>
    <s v="HUZZAH - SO-051"/>
    <s v="SO-051"/>
    <s v="HUZZAH"/>
    <s v="HUZZAH"/>
    <s v="GENERIC"/>
    <s v="COD"/>
    <s v="2025-04-08"/>
    <s v="JOURNAL PAPER - DOUBLE PLY"/>
    <n v="50"/>
    <n v="32"/>
    <n v="50"/>
    <n v="2500"/>
    <s v="RUDELYN"/>
  </r>
  <r>
    <x v="2"/>
    <s v="CHICKEN DELI - SO-051"/>
    <s v="SO-051"/>
    <s v="CHICKEN DELI"/>
    <s v="GONGCHA"/>
    <s v="GENERIC"/>
    <s v="N/A"/>
    <s v="2025-03-04"/>
    <s v="PREVENTIVE MAINTENANCE"/>
    <n v="2"/>
    <n v="6500"/>
    <n v="6500"/>
    <n v="13000"/>
    <s v="MARITESS"/>
  </r>
  <r>
    <x v="71"/>
    <s v="SERENITEA CHA KITCHEN INC - SO-052"/>
    <s v="SO-052"/>
    <s v="SERENITEA CHA KITCHEN INC"/>
    <s v="SERENITEA"/>
    <s v="GENERIC"/>
    <s v="COD"/>
    <s v="2025-04-15"/>
    <s v="EPSON TMU220D USB PRINTER"/>
    <n v="1"/>
    <n v="8500"/>
    <n v="12000"/>
    <n v="12000"/>
    <s v="MARITESS"/>
  </r>
  <r>
    <x v="71"/>
    <s v="SERENITEA CHA KITCHEN INC - SO-052"/>
    <s v="SO-052"/>
    <s v="SERENITEA CHA KITCHEN INC"/>
    <s v="SERENITEA"/>
    <s v="GENERIC"/>
    <s v="COD"/>
    <s v="2025-04-15"/>
    <s v="DELIVERY CHARGE"/>
    <n v="1"/>
    <n v="500"/>
    <n v="500"/>
    <n v="500"/>
    <s v="MARITESS"/>
  </r>
  <r>
    <x v="2"/>
    <s v="CHICKEN DELI - SO-052"/>
    <s v="SO-052"/>
    <s v="CHICKEN DELI"/>
    <s v="GONGCHA"/>
    <s v="GENERIC"/>
    <s v="N/A"/>
    <s v="2025-03-04"/>
    <s v="PREVENTIVE MAINTENANCE"/>
    <n v="3"/>
    <n v="6500"/>
    <n v="6500"/>
    <n v="19500"/>
    <s v="MARITESS"/>
  </r>
  <r>
    <x v="2"/>
    <s v="CHICKEN DELI - SO-053"/>
    <s v="SO-053"/>
    <s v="CHICKEN DELI"/>
    <s v="GONGCHA"/>
    <s v="GENERIC"/>
    <s v="N/A"/>
    <s v="2025-03-04"/>
    <s v="PREVENTIVE MAINTENANCE"/>
    <n v="1"/>
    <n v="6500"/>
    <n v="6500"/>
    <n v="6500"/>
    <s v="MARITESS"/>
  </r>
  <r>
    <x v="72"/>
    <s v="SAN BROS PHARMACY CORP - SO-053"/>
    <s v="SO-053"/>
    <s v="SAN BROS PHARMACY CORP"/>
    <s v="TGP FRANCHISE"/>
    <s v="GENERIC"/>
    <s v="COD"/>
    <s v="2025-04-16"/>
    <s v="RDMS SQL + VERSION 3"/>
    <n v="1"/>
    <n v="3675"/>
    <n v="10500"/>
    <n v="10500"/>
    <s v="MARITESS"/>
  </r>
  <r>
    <x v="72"/>
    <s v="SAN BROS PHARMACY CORP - SO-053"/>
    <s v="SO-053"/>
    <s v="SAN BROS PHARMACY CORP"/>
    <s v="TGP FRANCHISE"/>
    <s v="GENERIC"/>
    <s v="COD"/>
    <s v="2025-04-16"/>
    <s v="ROLLOUT IMPLEMENTATION"/>
    <n v="1"/>
    <n v="4620"/>
    <n v="13200"/>
    <n v="13200"/>
    <s v="MARITESS"/>
  </r>
  <r>
    <x v="72"/>
    <s v="SAN BROS PHARMACY CORP - SO-053"/>
    <s v="SO-053"/>
    <s v="SAN BROS PHARMACY CORP"/>
    <s v="TGP FRANCHISE"/>
    <s v="GENERIC"/>
    <s v="COD"/>
    <s v="2025-04-16"/>
    <s v="1 YEAR WARRANTY"/>
    <n v="1"/>
    <n v="4620"/>
    <n v="13200"/>
    <n v="13200"/>
    <s v="MARITESS"/>
  </r>
  <r>
    <x v="72"/>
    <s v="SAN BROS PHARMACY CORP - SO-053"/>
    <s v="SO-053"/>
    <s v="SAN BROS PHARMACY CORP"/>
    <s v="TGP FRANCHISE"/>
    <s v="GENERIC"/>
    <s v="COD"/>
    <s v="2025-04-16"/>
    <s v="BIR APPLICATION"/>
    <n v="1"/>
    <n v="500"/>
    <n v="500"/>
    <n v="500"/>
    <s v="MARITESS"/>
  </r>
  <r>
    <x v="72"/>
    <s v="SAN BROS PHARMACY CORP - SO-053"/>
    <s v="SO-053"/>
    <s v="SAN BROS PHARMACY CORP"/>
    <s v="TGP FRANCHISE"/>
    <s v="GENERIC"/>
    <s v="COD"/>
    <s v="2025-04-16"/>
    <s v="CASH DRAWER"/>
    <n v="1"/>
    <n v="2185"/>
    <n v="3500"/>
    <n v="3500"/>
    <s v="MARITESS"/>
  </r>
  <r>
    <x v="72"/>
    <s v="SAN BROS PHARMACY CORP - SO-053"/>
    <s v="SO-053"/>
    <s v="SAN BROS PHARMACY CORP"/>
    <s v="TGP FRANCHISE"/>
    <s v="GENERIC"/>
    <s v="COD"/>
    <s v="2025-04-16"/>
    <s v="EPSON TMU220D PRINTER USB"/>
    <n v="1"/>
    <n v="8500"/>
    <n v="12500"/>
    <n v="12500"/>
    <s v="MARITESS"/>
  </r>
  <r>
    <x v="72"/>
    <s v="SAN BROS PHARMACY CORP - SO-053"/>
    <s v="SO-053"/>
    <s v="SAN BROS PHARMACY CORP"/>
    <s v="TGP FRANCHISE"/>
    <s v="GENERIC"/>
    <s v="COD"/>
    <s v="2025-04-16"/>
    <s v="DELIVERY FEE"/>
    <n v="1"/>
    <n v="600"/>
    <n v="600"/>
    <n v="600"/>
    <s v="MARITESS"/>
  </r>
  <r>
    <x v="73"/>
    <s v="CANELLE FOOD CORPORATION - SO-054"/>
    <s v="SO-054"/>
    <s v="CANELLE FOOD CORPORATION"/>
    <s v="CINNABON"/>
    <s v="GENERIC"/>
    <s v="N/A"/>
    <s v="2025-04-22"/>
    <s v="PRINTER HEAD"/>
    <n v="10"/>
    <n v="1100"/>
    <n v="1325"/>
    <n v="13250"/>
    <s v="MARITESS"/>
  </r>
  <r>
    <x v="73"/>
    <s v="CANELLE FOOD CORPORATION - SO-054"/>
    <s v="SO-054"/>
    <s v="CANELLE FOOD CORPORATION"/>
    <s v="CINNABON"/>
    <s v="GENERIC"/>
    <s v="N/A"/>
    <s v="2025-04-22"/>
    <s v="RIBBON GEAR"/>
    <n v="5"/>
    <n v="65"/>
    <n v="100"/>
    <n v="500"/>
    <s v="MARITESS"/>
  </r>
  <r>
    <x v="2"/>
    <s v="CHICKEN DELI - SO-054"/>
    <s v="SO-054"/>
    <s v="CHICKEN DELI"/>
    <s v="GONGCHA"/>
    <s v="GENERIC"/>
    <s v="N/A"/>
    <s v="2025-03-04"/>
    <s v="PREVENTIVE MAINTENANCE"/>
    <n v="1"/>
    <n v="6500"/>
    <n v="6500"/>
    <n v="6500"/>
    <s v="MARITESS"/>
  </r>
  <r>
    <x v="47"/>
    <s v="JASMINE BLOOM TEA INC - SO-55"/>
    <s v="SO-55"/>
    <s v="JASMINE BLOOM TEA INC"/>
    <s v="SERENITEA"/>
    <s v="GENERIC"/>
    <s v="COD"/>
    <s v="2025-04-22"/>
    <s v="WINDOWS 11 PRO"/>
    <n v="1"/>
    <n v="2800"/>
    <n v="4000"/>
    <n v="4000"/>
    <s v="MARITESS"/>
  </r>
  <r>
    <x v="2"/>
    <s v="CHICKEN DELI - SO-055"/>
    <s v="SO-055"/>
    <s v="CHICKEN DELI"/>
    <s v="GONGCHA"/>
    <s v="GENERIC"/>
    <s v="N/A"/>
    <s v="2025-03-04"/>
    <s v="PREVENTIVE MAINTENANCE"/>
    <n v="3"/>
    <n v="6500"/>
    <n v="6500"/>
    <n v="19500"/>
    <s v="MARITESS"/>
  </r>
  <r>
    <x v="21"/>
    <s v="LIPA GRILLE RESTAURANT CO - SO-056"/>
    <s v="SO-056"/>
    <s v="LIPA GRILLE RESTAURANT CO"/>
    <s v="LIPA GRILLE"/>
    <s v="GENERIC"/>
    <s v="COD"/>
    <s v="2025-04-24"/>
    <s v="JOURNAL PAPER - DOUBLE PLY DELIVERY FEE"/>
    <n v="1000"/>
    <n v="32"/>
    <n v="50"/>
    <n v="50000"/>
    <s v="MARITESS"/>
  </r>
  <r>
    <x v="35"/>
    <s v="FEDERAL PROTECTION SYSTEMS INC - SO-056"/>
    <s v="SO-056"/>
    <s v="FEDERAL PROTECTION SYSTEMS INC"/>
    <s v="INST.OF CULINARY MNGT.INC."/>
    <s v="GENERIC"/>
    <s v="N/A"/>
    <s v="2025-03-12"/>
    <s v="PREVENTIVE MAINTENANCE ( CASHIER / LOADING )"/>
    <n v="2"/>
    <n v="10000"/>
    <n v="10000"/>
    <n v="20000"/>
    <s v="MARITESS"/>
  </r>
  <r>
    <x v="35"/>
    <s v="FEDERAL PROTECTION SYSTEMS INC - SO-056"/>
    <s v="SO-056"/>
    <s v="FEDERAL PROTECTION SYSTEMS INC"/>
    <s v="INST.OF CULINARY MNGT.INC."/>
    <s v="GENERIC"/>
    <s v="N/A"/>
    <s v="2025-03-12"/>
    <s v="EOS MINI CPU W/ COMPLETE ACCESSORIES ( CASHIER )"/>
    <n v="1"/>
    <n v="24330"/>
    <n v="35800"/>
    <n v="35800"/>
    <s v="MARITESS"/>
  </r>
  <r>
    <x v="35"/>
    <s v="FEDERAL PROTECTION SYSTEMS INC - SO-056"/>
    <s v="SO-056"/>
    <s v="FEDERAL PROTECTION SYSTEMS INC"/>
    <s v="INST.OF CULINARY MNGT.INC."/>
    <s v="GENERIC"/>
    <s v="N/A"/>
    <s v="2025-03-12"/>
    <s v="DESKTOP W/ COMPLETE ACCESSORIES ( LOADING )"/>
    <n v="1"/>
    <n v="22000"/>
    <n v="32700"/>
    <n v="32700"/>
    <s v="MARITESS"/>
  </r>
  <r>
    <x v="35"/>
    <s v="FEDERAL PROTECTION SYSTEMS INC - SO-056"/>
    <s v="SO-056"/>
    <s v="FEDERAL PROTECTION SYSTEMS INC"/>
    <s v="INST.OF CULINARY MNGT.INC."/>
    <s v="GENERIC"/>
    <s v="N/A"/>
    <s v="2025-03-12"/>
    <s v="DELIVERY CHARGES"/>
    <n v="1"/>
    <n v="500"/>
    <n v="500"/>
    <n v="500"/>
    <s v="MARITESS"/>
  </r>
  <r>
    <x v="44"/>
    <s v="TATAY S GRILL INC - SO-057"/>
    <s v="SO-057"/>
    <s v="TATAY S GRILL INC"/>
    <s v="TATAY'S GRILL INC"/>
    <s v="GENERIC"/>
    <s v="5COD"/>
    <s v="2025-04-24"/>
    <s v="JOURNAL PAPER - DOUBLE PLY DELIVERY FEE"/>
    <n v="250"/>
    <n v="32"/>
    <n v="50"/>
    <n v="12500"/>
    <s v="MARITESS"/>
  </r>
  <r>
    <x v="74"/>
    <s v="CHICKEN DELI - SO-057"/>
    <s v="SO-057"/>
    <s v="CHICKEN DELI"/>
    <s v="SM MASINAG"/>
    <s v="GENERIC"/>
    <s v="N/A"/>
    <s v="2025-03-13"/>
    <s v="JOURNAL PAPER SINGLE PLY"/>
    <n v="1"/>
    <n v="17"/>
    <n v="1250"/>
    <n v="1250"/>
    <s v="MARITESS"/>
  </r>
  <r>
    <x v="21"/>
    <s v="LIPA GRILLE RESTAURANT CO - SO-058"/>
    <s v="SO-058"/>
    <s v="LIPA GRILLE RESTAURANT CO"/>
    <s v="LIPA GRILLE"/>
    <s v="GENERIC"/>
    <s v="50% DOWNPAYMENT, 50% 35 DAYS PDC"/>
    <s v="2025-04-24"/>
    <s v="BACCHUS SQL VER. 7"/>
    <n v="2"/>
    <n v="7350"/>
    <n v="10500"/>
    <n v="21000"/>
    <s v="MARITESS"/>
  </r>
  <r>
    <x v="21"/>
    <s v="LIPA GRILLE RESTAURANT CO - SO-058"/>
    <s v="SO-058"/>
    <s v="LIPA GRILLE RESTAURANT CO"/>
    <s v="LIPA GRILLE"/>
    <s v="GENERIC"/>
    <s v="50% DOWNPAYMENT, 50% 35 DAYS PDC"/>
    <s v="2025-04-24"/>
    <s v="ROLLOUT IMPLEMENTATION"/>
    <n v="2"/>
    <n v="11900"/>
    <n v="17000"/>
    <n v="34000"/>
    <s v="MARITESS"/>
  </r>
  <r>
    <x v="21"/>
    <s v="LIPA GRILLE RESTAURANT CO - SO-058"/>
    <s v="SO-058"/>
    <s v="LIPA GRILLE RESTAURANT CO"/>
    <s v="LIPA GRILLE"/>
    <s v="GENERIC"/>
    <s v="50% DOWNPAYMENT, 50% 35 DAYS PDC"/>
    <s v="2025-04-24"/>
    <s v="1 YEAR WARRANTY"/>
    <n v="2"/>
    <n v="11900"/>
    <n v="17000"/>
    <n v="34000"/>
    <s v="MARITESS"/>
  </r>
  <r>
    <x v="21"/>
    <s v="LIPA GRILLE RESTAURANT CO - SO-058"/>
    <s v="SO-058"/>
    <s v="LIPA GRILLE RESTAURANT CO"/>
    <s v="LIPA GRILLE"/>
    <s v="GENERIC"/>
    <s v="50% DOWNPAYMENT, 50% 35 DAYS PDC"/>
    <s v="2025-04-24"/>
    <s v="BIR APPLICATION"/>
    <n v="2"/>
    <n v="500"/>
    <n v="500"/>
    <n v="1000"/>
    <s v="MARITESS"/>
  </r>
  <r>
    <x v="21"/>
    <s v="LIPA GRILLE RESTAURANT CO - SO-058"/>
    <s v="SO-058"/>
    <s v="LIPA GRILLE RESTAURANT CO"/>
    <s v="LIPA GRILLE"/>
    <s v="GENERIC"/>
    <s v="50% DOWNPAYMENT, 50% 35 DAYS PDC"/>
    <s v="2025-04-24"/>
    <s v="ORDERING STATION"/>
    <n v="1"/>
    <n v="3500"/>
    <n v="10000"/>
    <n v="10000"/>
    <s v="MARITESS"/>
  </r>
  <r>
    <x v="21"/>
    <s v="LIPA GRILLE RESTAURANT CO - SO-058"/>
    <s v="SO-058"/>
    <s v="LIPA GRILLE RESTAURANT CO"/>
    <s v="LIPA GRILLE"/>
    <s v="GENERIC"/>
    <s v="50% DOWNPAYMENT, 50% 35 DAYS PDC"/>
    <s v="2025-04-24"/>
    <s v="15&quot; TOUCHSCREEN MONITOR"/>
    <n v="3"/>
    <n v="11000"/>
    <n v="16500"/>
    <n v="49500"/>
    <s v="MARITESS"/>
  </r>
  <r>
    <x v="21"/>
    <s v="LIPA GRILLE RESTAURANT CO - SO-058"/>
    <s v="SO-058"/>
    <s v="LIPA GRILLE RESTAURANT CO"/>
    <s v="LIPA GRILLE"/>
    <s v="GENERIC"/>
    <s v="50% DOWNPAYMENT, 50% 35 DAYS PDC"/>
    <s v="2025-04-24"/>
    <s v="ACER MONITOR"/>
    <n v="1"/>
    <n v="4250"/>
    <n v="6000"/>
    <n v="6000"/>
    <s v="MARITESS"/>
  </r>
  <r>
    <x v="21"/>
    <s v="LIPA GRILLE RESTAURANT CO - SO-058"/>
    <s v="SO-058"/>
    <s v="LIPA GRILLE RESTAURANT CO"/>
    <s v="LIPA GRILLE"/>
    <s v="GENERIC"/>
    <s v="50% DOWNPAYMENT, 50% 35 DAYS PDC"/>
    <s v="2025-04-24"/>
    <s v="CASH DRAWER"/>
    <n v="2"/>
    <n v="2185"/>
    <n v="3000"/>
    <n v="6000"/>
    <s v="MARITESS"/>
  </r>
  <r>
    <x v="21"/>
    <s v="LIPA GRILLE RESTAURANT CO - SO-058"/>
    <s v="SO-058"/>
    <s v="LIPA GRILLE RESTAURANT CO"/>
    <s v="LIPA GRILLE"/>
    <s v="GENERIC"/>
    <s v="50% DOWNPAYMENT, 50% 35 DAYS PDC"/>
    <s v="2025-04-24"/>
    <s v="APC UPS"/>
    <n v="4"/>
    <n v="2200"/>
    <n v="3500"/>
    <n v="14000"/>
    <s v="MARITESS"/>
  </r>
  <r>
    <x v="21"/>
    <s v="LIPA GRILLE RESTAURANT CO - SO-058"/>
    <s v="SO-058"/>
    <s v="LIPA GRILLE RESTAURANT CO"/>
    <s v="LIPA GRILLE"/>
    <s v="GENERIC"/>
    <s v="50% DOWNPAYMENT, 50% 35 DAYS PDC"/>
    <s v="2025-04-24"/>
    <s v="POSIFLEX MR-21064 MAGNETIC CARD READER"/>
    <n v="2"/>
    <n v="5740.5"/>
    <n v="8000"/>
    <n v="16000"/>
    <s v="MARITESS"/>
  </r>
  <r>
    <x v="21"/>
    <s v="LIPA GRILLE RESTAURANT CO - SO-058"/>
    <s v="SO-058"/>
    <s v="LIPA GRILLE RESTAURANT CO"/>
    <s v="LIPA GRILLE"/>
    <s v="GENERIC"/>
    <s v="50% DOWNPAYMENT, 50% 35 DAYS PDC"/>
    <s v="2025-04-24"/>
    <s v="EPSON TMU220D USB PRINTER (MANUAL CUT)"/>
    <n v="2"/>
    <n v="8500"/>
    <n v="13000"/>
    <n v="26000"/>
    <s v="MARITESS"/>
  </r>
  <r>
    <x v="21"/>
    <s v="LIPA GRILLE RESTAURANT CO - SO-058"/>
    <s v="SO-058"/>
    <s v="LIPA GRILLE RESTAURANT CO"/>
    <s v="LIPA GRILLE"/>
    <s v="GENERIC"/>
    <s v="50% DOWNPAYMENT, 50% 35 DAYS PDC"/>
    <s v="2025-04-24"/>
    <s v="EPSON TMU220D LAN PRINTER (MANUAL CUT)"/>
    <n v="1"/>
    <n v="8500"/>
    <n v="13000"/>
    <n v="13000"/>
    <s v="MARITESS"/>
  </r>
  <r>
    <x v="21"/>
    <s v="LIPA GRILLE RESTAURANT CO - SO-058"/>
    <s v="SO-058"/>
    <s v="LIPA GRILLE RESTAURANT CO"/>
    <s v="LIPA GRILLE"/>
    <s v="GENERIC"/>
    <s v="50% DOWNPAYMENT, 50% 35 DAYS PDC"/>
    <s v="2025-04-24"/>
    <s v="DESKTOP CPU I5, 8GB RAM, 512 GB SSD"/>
    <n v="4"/>
    <n v="21500"/>
    <n v="31075"/>
    <n v="124300"/>
    <s v="MARITESS"/>
  </r>
  <r>
    <x v="46"/>
    <s v="CHICKEN DELI - SO-058"/>
    <s v="SO-058"/>
    <s v="CHICKEN DELI"/>
    <s v="LUCKY BEAUTY 2"/>
    <s v="GENERIC"/>
    <s v="N/A"/>
    <s v="2025-03-13"/>
    <s v="JOURNAL PAPER ( DOUBLE PLY )"/>
    <n v="30"/>
    <n v="960"/>
    <n v="1500"/>
    <n v="45000"/>
    <s v="MARITESS"/>
  </r>
  <r>
    <x v="73"/>
    <s v="CANELLE FOOD CORPORATION - SO-059"/>
    <s v="SO-059"/>
    <s v="CANELLE FOOD CORPORATION"/>
    <s v="CINNABON"/>
    <s v="GENERIC"/>
    <s v="N/A"/>
    <s v="2025-04-29"/>
    <s v="WINDOWS 11 PRO"/>
    <n v="3"/>
    <n v="2800"/>
    <n v="4268"/>
    <n v="12804"/>
    <s v="MARITESS"/>
  </r>
  <r>
    <x v="22"/>
    <s v="CHICKEN DELI - SO-059"/>
    <s v="SO-059"/>
    <s v="CHICKEN DELI"/>
    <s v="ISSY &amp;CO."/>
    <s v="GENERIC"/>
    <s v="N/A"/>
    <s v="2025-03-20"/>
    <s v="RDMS V3+"/>
    <n v="1"/>
    <n v="3675"/>
    <n v="10500"/>
    <n v="10500"/>
    <s v="MARITESS"/>
  </r>
  <r>
    <x v="22"/>
    <s v="CHICKEN DELI - SO-059"/>
    <s v="SO-059"/>
    <s v="CHICKEN DELI"/>
    <s v="ISSY &amp;CO."/>
    <s v="GENERIC"/>
    <s v="N/A"/>
    <s v="2025-03-20"/>
    <s v="IMPLEMENTATION"/>
    <n v="1"/>
    <n v="12800"/>
    <n v="12800"/>
    <n v="12800"/>
    <s v="MARITESS"/>
  </r>
  <r>
    <x v="22"/>
    <s v="CHICKEN DELI - SO-059"/>
    <s v="SO-059"/>
    <s v="CHICKEN DELI"/>
    <s v="ISSY &amp;CO."/>
    <s v="GENERIC"/>
    <s v="N/A"/>
    <s v="2025-03-20"/>
    <s v="ONE YEAR WARRANTY"/>
    <n v="1"/>
    <n v="12800"/>
    <n v="12800"/>
    <n v="12800"/>
    <s v="MARITESS"/>
  </r>
  <r>
    <x v="22"/>
    <s v="CHICKEN DELI - SO-059"/>
    <s v="SO-059"/>
    <s v="CHICKEN DELI"/>
    <s v="ISSY &amp;CO."/>
    <s v="GENERIC"/>
    <s v="N/A"/>
    <s v="2025-03-20"/>
    <s v="BIR REG."/>
    <n v="1"/>
    <n v="500"/>
    <n v="500"/>
    <n v="500"/>
    <s v="MARITESS"/>
  </r>
  <r>
    <x v="22"/>
    <s v="CHICKEN DELI - SO-059"/>
    <s v="SO-059"/>
    <s v="CHICKEN DELI"/>
    <s v="ISSY &amp;CO."/>
    <s v="GENERIC"/>
    <s v="N/A"/>
    <s v="2025-03-20"/>
    <s v="ACER LCD MONITOR"/>
    <n v="1"/>
    <n v="4550"/>
    <n v="6500"/>
    <n v="6500"/>
    <s v="MARITESS"/>
  </r>
  <r>
    <x v="22"/>
    <s v="CHICKEN DELI - SO-059"/>
    <s v="SO-059"/>
    <s v="CHICKEN DELI"/>
    <s v="ISSY &amp;CO."/>
    <s v="GENERIC"/>
    <s v="N/A"/>
    <s v="2025-03-20"/>
    <s v="EPSON PRINTER TMU220D ( USB )"/>
    <n v="1"/>
    <n v="8500"/>
    <n v="12000"/>
    <n v="12000"/>
    <s v="MARITESS"/>
  </r>
  <r>
    <x v="22"/>
    <s v="CHICKEN DELI - SO-059"/>
    <s v="SO-059"/>
    <s v="CHICKEN DELI"/>
    <s v="ISSY &amp;CO."/>
    <s v="GENERIC"/>
    <s v="N/A"/>
    <s v="2025-03-20"/>
    <s v="KASPERSKY ANTI VIRUS"/>
    <n v="1"/>
    <n v="935"/>
    <n v="1300"/>
    <n v="1300"/>
    <s v="MARITESS"/>
  </r>
  <r>
    <x v="22"/>
    <s v="CHICKEN DELI - SO-059"/>
    <s v="SO-059"/>
    <s v="CHICKEN DELI"/>
    <s v="ISSY &amp;CO."/>
    <s v="GENERIC"/>
    <s v="N/A"/>
    <s v="2025-03-20"/>
    <s v="CASH DRAWER"/>
    <n v="1"/>
    <n v="2185"/>
    <n v="3500"/>
    <n v="3500"/>
    <s v="MARITESS"/>
  </r>
  <r>
    <x v="22"/>
    <s v="CHICKEN DELI - SO-059"/>
    <s v="SO-059"/>
    <s v="CHICKEN DELI"/>
    <s v="ISSY &amp;CO."/>
    <s v="GENERIC"/>
    <s v="N/A"/>
    <s v="2025-03-20"/>
    <s v="UPS APC"/>
    <n v="1"/>
    <n v="2200"/>
    <n v="3100"/>
    <n v="3100"/>
    <s v="MARITESS"/>
  </r>
  <r>
    <x v="22"/>
    <s v="CHICKEN DELI - SO-059"/>
    <s v="SO-059"/>
    <s v="CHICKEN DELI"/>
    <s v="ISSY &amp;CO."/>
    <s v="GENERIC"/>
    <s v="N/A"/>
    <s v="2025-03-20"/>
    <s v="DESKTOP INTEL CORE I5 (8GB NO SSD )"/>
    <n v="1"/>
    <n v="18700"/>
    <n v="27000"/>
    <n v="27000"/>
    <s v="MARITESS"/>
  </r>
  <r>
    <x v="22"/>
    <s v="CHICKEN DELI - SO-059"/>
    <s v="SO-059"/>
    <s v="CHICKEN DELI"/>
    <s v="ISSY &amp;CO."/>
    <s v="GENERIC"/>
    <s v="N/A"/>
    <s v="2025-03-20"/>
    <s v="NVN M.2"/>
    <n v="1"/>
    <n v="2800"/>
    <n v="4000"/>
    <n v="4000"/>
    <s v="MARITESS"/>
  </r>
  <r>
    <x v="22"/>
    <s v="CHICKEN DELI - SO-059"/>
    <s v="SO-059"/>
    <s v="CHICKEN DELI"/>
    <s v="ISSY &amp;CO."/>
    <s v="GENERIC"/>
    <s v="N/A"/>
    <s v="2025-03-20"/>
    <s v="WINDOWS 11"/>
    <n v="1"/>
    <n v="2800"/>
    <n v="4000"/>
    <n v="4000"/>
    <s v="MARITESS"/>
  </r>
  <r>
    <x v="22"/>
    <s v="CHICKEN DELI - SO-059"/>
    <s v="SO-059"/>
    <s v="CHICKEN DELI"/>
    <s v="ISSY &amp;CO."/>
    <s v="GENERIC"/>
    <s v="N/A"/>
    <s v="2025-03-20"/>
    <s v="DELIVERY CHARGE"/>
    <n v="1"/>
    <n v="500"/>
    <n v="500"/>
    <n v="500"/>
    <s v="MARITESS"/>
  </r>
  <r>
    <x v="42"/>
    <s v="DRAGONWELL TEA INC - SO-60"/>
    <s v="SO-60"/>
    <s v="DRAGONWELL TEA INC"/>
    <s v="SERENITEA"/>
    <s v="GENERIC"/>
    <s v="COD"/>
    <s v="2025-04-30"/>
    <s v="EOS MINI CPU I5, 8GB RAM, 512 GB SSD"/>
    <n v="1"/>
    <n v="23450"/>
    <n v="31100"/>
    <n v="31100"/>
    <s v="MARITESS"/>
  </r>
  <r>
    <x v="42"/>
    <s v="DRAGONWELL TEA INC - SO-60"/>
    <s v="SO-60"/>
    <s v="DRAGONWELL TEA INC"/>
    <s v="SERENITEA"/>
    <s v="GENERIC"/>
    <s v="COD"/>
    <s v="2025-04-30"/>
    <s v="WINDOWS 11 PRO"/>
    <n v="1"/>
    <n v="2800"/>
    <n v="4000"/>
    <n v="4000"/>
    <s v="MARITESS"/>
  </r>
  <r>
    <x v="42"/>
    <s v="DRAGONWELL TEA INC - SO-60"/>
    <s v="SO-60"/>
    <s v="DRAGONWELL TEA INC"/>
    <s v="SERENITEA"/>
    <s v="GENERIC"/>
    <s v="COD"/>
    <s v="2025-04-30"/>
    <s v="KEYBOARD &amp; MOUSE"/>
    <n v="1"/>
    <n v="530"/>
    <n v="700"/>
    <n v="700"/>
    <s v="MARITESS"/>
  </r>
  <r>
    <x v="42"/>
    <s v="DRAGONWELL TEA INC - SO-60"/>
    <s v="SO-60"/>
    <s v="DRAGONWELL TEA INC"/>
    <s v="SERENITEA"/>
    <s v="GENERIC"/>
    <s v="COD"/>
    <s v="2025-04-30"/>
    <s v="EOS FAN WITH FAN COVER"/>
    <n v="1"/>
    <n v="350"/>
    <n v="500"/>
    <n v="500"/>
    <s v="MARITESS"/>
  </r>
  <r>
    <x v="42"/>
    <s v="DRAGONWELL TEA INC - SO-60"/>
    <s v="SO-60"/>
    <s v="DRAGONWELL TEA INC"/>
    <s v="SERENITEA"/>
    <s v="GENERIC"/>
    <s v="COD"/>
    <s v="2025-04-30"/>
    <s v="POSTECH TOUCH SCREEN MONITOR"/>
    <n v="1"/>
    <n v="11000"/>
    <n v="16000"/>
    <n v="16000"/>
    <s v="MARITESS"/>
  </r>
  <r>
    <x v="42"/>
    <s v="DRAGONWELL TEA INC - SO-60"/>
    <s v="SO-60"/>
    <s v="DRAGONWELL TEA INC"/>
    <s v="SERENITEA"/>
    <s v="GENERIC"/>
    <s v="COD"/>
    <s v="2025-04-30"/>
    <s v="BIR APPLICATION"/>
    <n v="1"/>
    <n v="500"/>
    <n v="500"/>
    <n v="500"/>
    <s v="MARITESS"/>
  </r>
  <r>
    <x v="42"/>
    <s v="DRAGONWELL TEA INC - SO-60"/>
    <s v="SO-60"/>
    <s v="DRAGONWELL TEA INC"/>
    <s v="SERENITEA"/>
    <s v="GENERIC"/>
    <s v="COD"/>
    <s v="2025-04-30"/>
    <s v="DELIVERY FEE"/>
    <n v="1"/>
    <n v="700"/>
    <n v="700"/>
    <n v="700"/>
    <s v="MARITESS"/>
  </r>
  <r>
    <x v="33"/>
    <s v="M W TOWNSTORE - SO-060"/>
    <s v="SO-060"/>
    <s v="M W TOWNSTORE"/>
    <s v="M &amp; W"/>
    <s v="GENERIC"/>
    <s v="N/A"/>
    <s v="2025-03-31"/>
    <s v="POSEIDON PSD86"/>
    <n v="2"/>
    <n v="3360"/>
    <n v="5300"/>
    <n v="10600"/>
    <s v="MARITESS"/>
  </r>
  <r>
    <x v="33"/>
    <s v="M W TOWNSTORE - SO-060"/>
    <s v="SO-060"/>
    <s v="M W TOWNSTORE"/>
    <s v="M &amp; W"/>
    <s v="GENERIC"/>
    <s v="N/A"/>
    <s v="2025-03-31"/>
    <s v="DELIVERY"/>
    <n v="1"/>
    <n v="1000"/>
    <n v="1000"/>
    <n v="1000"/>
    <s v="MARITESS"/>
  </r>
  <r>
    <x v="75"/>
    <s v="MANDARIN SKY EXPRESS INC - SO-61"/>
    <s v="SO-61"/>
    <s v="MANDARIN SKY EXPRESS INC"/>
    <s v="MANDARIN SKY EXPRESS INC."/>
    <s v="GENERIC"/>
    <s v="COD"/>
    <s v="2025-05-02"/>
    <s v="APC UPS"/>
    <n v="1"/>
    <n v="2200"/>
    <n v="3500"/>
    <n v="3500"/>
    <s v="MARITESS"/>
  </r>
  <r>
    <x v="9"/>
    <s v="CHICKEN DELI - SO-061"/>
    <s v="SO-061"/>
    <s v="CHICKEN DELI"/>
    <s v="OJO EYEWEAR"/>
    <s v="GENERIC"/>
    <s v="N/A"/>
    <s v="2025-03-26"/>
    <s v="TMU220D JOURNAL PAPER ( SINGLE PLY )"/>
    <n v="100"/>
    <n v="17"/>
    <n v="25"/>
    <n v="2500"/>
    <s v="MARITESS"/>
  </r>
  <r>
    <x v="9"/>
    <s v="CHICKEN DELI - SO-061"/>
    <s v="SO-061"/>
    <s v="CHICKEN DELI"/>
    <s v="OJO EYEWEAR"/>
    <s v="GENERIC"/>
    <s v="N/A"/>
    <s v="2025-03-26"/>
    <s v="THERMAL  JOURNAL PAPER"/>
    <n v="100"/>
    <n v="47"/>
    <n v="80"/>
    <n v="8000"/>
    <s v="MARITESS"/>
  </r>
  <r>
    <x v="2"/>
    <s v="CHICKEN DELI - SO-062"/>
    <s v="SO-062"/>
    <s v="CHICKEN DELI"/>
    <s v="GONGCHA"/>
    <s v="GENERIC"/>
    <s v="N/A"/>
    <s v="2025-04-16"/>
    <s v="PREVENTIVE MAINTENANCE"/>
    <n v="3"/>
    <n v="6500"/>
    <n v="6500"/>
    <n v="19500"/>
    <s v="MARITESS"/>
  </r>
  <r>
    <x v="76"/>
    <s v="B R I M M I N G ENTERPRISES INC - SO-062"/>
    <s v="SO-062"/>
    <s v="B R I M M I N G ENTERPRISES INC"/>
    <s v="REYES BARBECUE"/>
    <s v="GENERIC"/>
    <s v="N/A"/>
    <s v="2025-05-07"/>
    <s v="PRINTER HEAD"/>
    <n v="1"/>
    <n v="1100"/>
    <n v="1600"/>
    <n v="1600"/>
    <s v="MARITESS"/>
  </r>
  <r>
    <x v="76"/>
    <s v="B R I M M I N G ENTERPRISES INC - SO-062"/>
    <s v="SO-062"/>
    <s v="B R I M M I N G ENTERPRISES INC"/>
    <s v="REYES BARBECUE"/>
    <s v="GENERIC"/>
    <s v="N/A"/>
    <s v="2025-05-07"/>
    <s v="PRINTER HEAD CABLE"/>
    <n v="1"/>
    <n v="20"/>
    <n v="100"/>
    <n v="100"/>
    <s v="MARITESS"/>
  </r>
  <r>
    <x v="14"/>
    <s v="HUZZAH - SO-063"/>
    <s v="SO-063"/>
    <s v="HUZZAH"/>
    <s v="HUZZAH"/>
    <s v="GENERIC"/>
    <s v="COD"/>
    <s v="2025-05-08"/>
    <s v="JOURNAL PAPER - DOUBLE PLY"/>
    <n v="50"/>
    <n v="32"/>
    <n v="50"/>
    <n v="2500"/>
    <s v="RUDELYN"/>
  </r>
  <r>
    <x v="2"/>
    <s v="CHICKEN DELI - SO-063"/>
    <s v="SO-063"/>
    <s v="CHICKEN DELI"/>
    <s v="GONGCHA"/>
    <s v="GENERIC"/>
    <s v="N/A"/>
    <s v="2025-04-16"/>
    <s v="PREVENTIVE MAINTENANCE"/>
    <n v="1"/>
    <n v="6500"/>
    <n v="6500"/>
    <n v="6500"/>
    <s v="MARITESS"/>
  </r>
  <r>
    <x v="42"/>
    <s v="DRAGONWELL TEA INC - SO-64"/>
    <s v="SO-64"/>
    <s v="DRAGONWELL TEA INC"/>
    <s v="SERENITEA"/>
    <s v="GENERIC"/>
    <s v="COD"/>
    <s v="2025-05-15"/>
    <s v="EPSON TMU220D USB PRINTER"/>
    <n v="1"/>
    <n v="8500"/>
    <n v="12500"/>
    <n v="12500"/>
    <s v="MARITESS"/>
  </r>
  <r>
    <x v="2"/>
    <s v="CHICKEN DELI - SO-064"/>
    <s v="SO-064"/>
    <s v="CHICKEN DELI"/>
    <s v="GONGCHA"/>
    <s v="GENERIC"/>
    <s v="N/A"/>
    <s v="2025-04-16"/>
    <s v="PREVENTIVE MAINTENANCE"/>
    <n v="1"/>
    <n v="6500"/>
    <n v="6500"/>
    <n v="6500"/>
    <s v="MARITESS"/>
  </r>
  <r>
    <x v="2"/>
    <s v="CHICKEN DELI - SO-065"/>
    <s v="SO-065"/>
    <s v="CHICKEN DELI"/>
    <s v="GONGCHA"/>
    <s v="GENERIC"/>
    <s v="N/A"/>
    <s v="2025-04-16"/>
    <s v="PREVENTIVE MAINTENANCE"/>
    <n v="5"/>
    <n v="6500"/>
    <n v="6500"/>
    <n v="32500"/>
    <s v="MARITESS"/>
  </r>
  <r>
    <x v="77"/>
    <s v="VA BENE PASTA DELI - SO-065"/>
    <s v="SO-065"/>
    <s v="VA BENE PASTA DELI"/>
    <s v="VA BENE PASTA DELI"/>
    <s v="GENERIC"/>
    <s v="N/A"/>
    <s v="2025-05-20"/>
    <s v="PRINTER HEAD"/>
    <n v="1"/>
    <n v="1100"/>
    <n v="1600"/>
    <n v="1600"/>
    <s v="MARITESS"/>
  </r>
  <r>
    <x v="77"/>
    <s v="VA BENE PASTA DELI - SO-065"/>
    <s v="SO-065"/>
    <s v="VA BENE PASTA DELI"/>
    <s v="VA BENE PASTA DELI"/>
    <s v="GENERIC"/>
    <s v="N/A"/>
    <s v="2025-05-20"/>
    <s v="PRINTER HEAD CABLE"/>
    <n v="1"/>
    <n v="20"/>
    <n v="100"/>
    <n v="100"/>
    <s v="MARITESS"/>
  </r>
  <r>
    <x v="2"/>
    <s v="CHICKEN DELI - SO-066"/>
    <s v="SO-066"/>
    <s v="CHICKEN DELI"/>
    <s v="GONGCHA"/>
    <s v="GENERIC"/>
    <s v="N/A"/>
    <s v="2025-04-16"/>
    <s v="PREVENTIVE MAINTENANCE"/>
    <n v="2"/>
    <n v="6500"/>
    <n v="6500"/>
    <n v="13000"/>
    <s v="MARITESS"/>
  </r>
  <r>
    <x v="78"/>
    <s v="HARRY S CAF - SO-066"/>
    <s v="SO-066"/>
    <s v="HARRY S CAF"/>
    <s v="HARRY'S CAFÉ"/>
    <s v="GENERIC"/>
    <s v="N/A"/>
    <s v="2025-05-22"/>
    <s v="PRINTER HEAD"/>
    <n v="1"/>
    <n v="1100"/>
    <n v="1600"/>
    <n v="1600"/>
    <s v="MARITESS"/>
  </r>
  <r>
    <x v="78"/>
    <s v="HARRY S CAF - SO-066"/>
    <s v="SO-066"/>
    <s v="HARRY S CAF"/>
    <s v="HARRY'S CAFÉ"/>
    <s v="GENERIC"/>
    <s v="N/A"/>
    <s v="2025-05-22"/>
    <s v="PRINTER HEAD CABLE"/>
    <n v="1"/>
    <n v="20"/>
    <n v="100"/>
    <n v="100"/>
    <s v="MARITESS"/>
  </r>
  <r>
    <x v="79"/>
    <s v="UPWARD IDEAS APPAREL CORP - SO-67"/>
    <s v="SO-67"/>
    <s v="UPWARD IDEAS APPAREL CORP"/>
    <s v="KLEAN KANTEEN"/>
    <s v="SM MEGAMALL"/>
    <s v="COD"/>
    <s v="2025-05-26"/>
    <s v="RDMS V4.3.0"/>
    <n v="1"/>
    <n v="3675"/>
    <n v="10500"/>
    <n v="10500"/>
    <s v="RUDELYN"/>
  </r>
  <r>
    <x v="79"/>
    <s v="UPWARD IDEAS APPAREL CORP - SO-67"/>
    <s v="SO-67"/>
    <s v="UPWARD IDEAS APPAREL CORP"/>
    <s v="KLEAN KANTEEN"/>
    <s v="SM MEGAMALL"/>
    <s v="COD"/>
    <s v="2025-05-26"/>
    <s v="ROLLOUT IMPLEMENTATION"/>
    <n v="1"/>
    <n v="4095"/>
    <n v="11700"/>
    <n v="11700"/>
    <s v="RUDELYN"/>
  </r>
  <r>
    <x v="79"/>
    <s v="UPWARD IDEAS APPAREL CORP - SO-67"/>
    <s v="SO-67"/>
    <s v="UPWARD IDEAS APPAREL CORP"/>
    <s v="KLEAN KANTEEN"/>
    <s v="SM MEGAMALL"/>
    <s v="COD"/>
    <s v="2025-05-26"/>
    <s v="1 YEAR WARRANTY"/>
    <n v="1"/>
    <n v="4095"/>
    <n v="11700"/>
    <n v="11700"/>
    <s v="RUDELYN"/>
  </r>
  <r>
    <x v="79"/>
    <s v="UPWARD IDEAS APPAREL CORP - SO-67"/>
    <s v="SO-67"/>
    <s v="UPWARD IDEAS APPAREL CORP"/>
    <s v="KLEAN KANTEEN"/>
    <s v="SM MEGAMALL"/>
    <s v="COD"/>
    <s v="2025-05-26"/>
    <s v="BIR APPLICATION"/>
    <n v="1"/>
    <n v="600"/>
    <n v="600"/>
    <n v="600"/>
    <s v="RUDELYN"/>
  </r>
  <r>
    <x v="79"/>
    <s v="UPWARD IDEAS APPAREL CORP - SO-67"/>
    <s v="SO-67"/>
    <s v="UPWARD IDEAS APPAREL CORP"/>
    <s v="KLEAN KANTEEN"/>
    <s v="SM MEGAMALL"/>
    <s v="COD"/>
    <s v="2025-05-26"/>
    <s v="EOS MINI CPU I5, 8GB RAM, 500 NVME M.2 SSD"/>
    <n v="1"/>
    <n v="23450"/>
    <n v="31300"/>
    <n v="31300"/>
    <s v="RUDELYN"/>
  </r>
  <r>
    <x v="79"/>
    <s v="UPWARD IDEAS APPAREL CORP - SO-67"/>
    <s v="SO-67"/>
    <s v="UPWARD IDEAS APPAREL CORP"/>
    <s v="KLEAN KANTEEN"/>
    <s v="SM MEGAMALL"/>
    <s v="COD"/>
    <s v="2025-05-26"/>
    <s v="WINDOWS 11 PRO"/>
    <n v="1"/>
    <n v="2800"/>
    <n v="4000"/>
    <n v="4000"/>
    <s v="RUDELYN"/>
  </r>
  <r>
    <x v="79"/>
    <s v="UPWARD IDEAS APPAREL CORP - SO-67"/>
    <s v="SO-67"/>
    <s v="UPWARD IDEAS APPAREL CORP"/>
    <s v="KLEAN KANTEEN"/>
    <s v="SM MEGAMALL"/>
    <s v="COD"/>
    <s v="2025-05-26"/>
    <s v="KEYBOARD &amp; MOUSE"/>
    <n v="1"/>
    <n v="530"/>
    <n v="700"/>
    <n v="700"/>
    <s v="RUDELYN"/>
  </r>
  <r>
    <x v="79"/>
    <s v="UPWARD IDEAS APPAREL CORP - SO-67"/>
    <s v="SO-67"/>
    <s v="UPWARD IDEAS APPAREL CORP"/>
    <s v="KLEAN KANTEEN"/>
    <s v="SM MEGAMALL"/>
    <s v="COD"/>
    <s v="2025-05-26"/>
    <s v="EOS FAN WITH FAN COVER"/>
    <n v="1"/>
    <n v="350"/>
    <n v="500"/>
    <n v="500"/>
    <s v="RUDELYN"/>
  </r>
  <r>
    <x v="79"/>
    <s v="UPWARD IDEAS APPAREL CORP - SO-67"/>
    <s v="SO-67"/>
    <s v="UPWARD IDEAS APPAREL CORP"/>
    <s v="KLEAN KANTEEN"/>
    <s v="SM MEGAMALL"/>
    <s v="COD"/>
    <s v="2025-05-26"/>
    <s v="DELIVERY FEE"/>
    <n v="1"/>
    <n v="500"/>
    <n v="500"/>
    <n v="500"/>
    <s v="RUDELYN"/>
  </r>
  <r>
    <x v="2"/>
    <s v="CHICKEN DELI - SO-067"/>
    <s v="SO-067"/>
    <s v="CHICKEN DELI"/>
    <s v="GONGCHA"/>
    <s v="GENERIC"/>
    <s v="N/A"/>
    <s v="2025-04-16"/>
    <s v="PREVENTIVE MAINTENANCE"/>
    <n v="1"/>
    <n v="6500"/>
    <n v="6500"/>
    <n v="6500"/>
    <s v="MARITESS"/>
  </r>
  <r>
    <x v="80"/>
    <s v="HEXAGON LOUNGE INC - SO-68"/>
    <s v="SO-68"/>
    <s v="HEXAGON LOUNGE INC"/>
    <s v="HEXAGON"/>
    <s v="GENERIC"/>
    <s v="COD"/>
    <s v="2025-05-27"/>
    <s v="EPSON TMU220B USB PRINTER"/>
    <n v="1"/>
    <n v="9500"/>
    <n v="13500"/>
    <n v="13500"/>
    <s v="MARITESS"/>
  </r>
  <r>
    <x v="80"/>
    <s v="HEXAGON LOUNGE INC - SO-68"/>
    <s v="SO-68"/>
    <s v="HEXAGON LOUNGE INC"/>
    <s v="HEXAGON"/>
    <s v="GENERIC"/>
    <s v="COD"/>
    <s v="2025-05-27"/>
    <s v="EPSON ERC-38 B RIBBON CARTRIDGE"/>
    <n v="1"/>
    <n v="70"/>
    <n v="300"/>
    <n v="300"/>
    <s v="MARITESS"/>
  </r>
  <r>
    <x v="20"/>
    <s v="CHICKEN DELI - SO-068"/>
    <s v="SO-068"/>
    <s v="CHICKEN DELI"/>
    <s v="MN+LA APPAREL"/>
    <s v="GENERIC"/>
    <s v="N/A"/>
    <s v="2025-04-16"/>
    <s v="JOURNAL PAPER ( DOUBLE PLY"/>
    <n v="50"/>
    <n v="32"/>
    <n v="50"/>
    <n v="2500"/>
    <s v="MARITESS"/>
  </r>
  <r>
    <x v="81"/>
    <s v="MY GOLDEN TEA LEAF INC - SO-69"/>
    <s v="SO-69"/>
    <s v="MY GOLDEN TEA LEAF INC"/>
    <s v="SERENITEA"/>
    <s v="PETRON DON-ANTONIO"/>
    <s v="COD"/>
    <s v="2025-05-27"/>
    <s v="EPSON TMU220D USB PRINTER"/>
    <n v="1"/>
    <n v="8500"/>
    <n v="12300"/>
    <n v="12300"/>
    <s v="RUDELYN"/>
  </r>
  <r>
    <x v="81"/>
    <s v="MY GOLDEN TEA LEAF INC - SO-69"/>
    <s v="SO-69"/>
    <s v="MY GOLDEN TEA LEAF INC"/>
    <s v="SERENITEA"/>
    <s v="PETRON DON-ANTONIO"/>
    <s v="COD"/>
    <s v="2025-05-27"/>
    <s v="GODEX EZ120 BARCODE PRINTER"/>
    <n v="1"/>
    <n v="8000"/>
    <n v="11165"/>
    <n v="11165"/>
    <s v="RUDELYN"/>
  </r>
  <r>
    <x v="81"/>
    <s v="MY GOLDEN TEA LEAF INC - SO-69"/>
    <s v="SO-69"/>
    <s v="MY GOLDEN TEA LEAF INC"/>
    <s v="SERENITEA"/>
    <s v="PETRON DON-ANTONIO"/>
    <s v="COD"/>
    <s v="2025-05-27"/>
    <s v="BARCODE STICKER (4X3)CM"/>
    <n v="3"/>
    <n v="30"/>
    <n v="45"/>
    <n v="135"/>
    <s v="RUDELYN"/>
  </r>
  <r>
    <x v="81"/>
    <s v="MY GOLDEN TEA LEAF INC - SO-69"/>
    <s v="SO-69"/>
    <s v="MY GOLDEN TEA LEAF INC"/>
    <s v="SERENITEA"/>
    <s v="PETRON DON-ANTONIO"/>
    <s v="COD"/>
    <s v="2025-05-27"/>
    <s v="DELIVERY FEE"/>
    <n v="1"/>
    <n v="400"/>
    <n v="400"/>
    <n v="400"/>
    <s v="RUDELYN"/>
  </r>
  <r>
    <x v="82"/>
    <s v="CHICKEN DELI - SO-069"/>
    <s v="SO-069"/>
    <s v="CHICKEN DELI"/>
    <s v="PROSHOP"/>
    <s v="GENERIC"/>
    <s v="N/A"/>
    <s v="2025-04-16"/>
    <s v="TSCERES"/>
    <n v="1"/>
    <n v="2975"/>
    <n v="8500"/>
    <n v="8500"/>
    <s v="MARITESS"/>
  </r>
  <r>
    <x v="82"/>
    <s v="CHICKEN DELI - SO-069"/>
    <s v="SO-069"/>
    <s v="CHICKEN DELI"/>
    <s v="PROSHOP"/>
    <s v="GENERIC"/>
    <s v="N/A"/>
    <s v="2025-04-16"/>
    <s v="IMPLEMENTATION"/>
    <n v="1"/>
    <n v="8000"/>
    <n v="8000"/>
    <n v="8000"/>
    <s v="MARITESS"/>
  </r>
  <r>
    <x v="82"/>
    <s v="CHICKEN DELI - SO-069"/>
    <s v="SO-069"/>
    <s v="CHICKEN DELI"/>
    <s v="PROSHOP"/>
    <s v="GENERIC"/>
    <s v="N/A"/>
    <s v="2025-04-16"/>
    <s v="ONE YEAR WARRANTY"/>
    <n v="1"/>
    <n v="8000"/>
    <n v="8000"/>
    <n v="8000"/>
    <s v="MARITESS"/>
  </r>
  <r>
    <x v="82"/>
    <s v="CHICKEN DELI - SO-069"/>
    <s v="SO-069"/>
    <s v="CHICKEN DELI"/>
    <s v="PROSHOP"/>
    <s v="GENERIC"/>
    <s v="N/A"/>
    <s v="2025-04-16"/>
    <s v="BIR REG."/>
    <n v="1"/>
    <n v="500"/>
    <n v="500"/>
    <n v="500"/>
    <s v="MARITESS"/>
  </r>
  <r>
    <x v="83"/>
    <s v="BOOKSALE CEBU INC - SO-70"/>
    <s v="SO-70"/>
    <s v="BOOKSALE CEBU INC"/>
    <s v="BOOKSALE"/>
    <s v="ES:"/>
    <s v="N/A"/>
    <s v="2025-05-27"/>
    <s v="PREVENTIVE MAINTENANCE"/>
    <n v="4"/>
    <n v="7500"/>
    <n v="7500"/>
    <n v="30000"/>
    <s v="MARITESS"/>
  </r>
  <r>
    <x v="2"/>
    <s v="CHICKEN DELI - SO-070"/>
    <s v="SO-070"/>
    <s v="CHICKEN DELI"/>
    <s v="GONGCHA"/>
    <s v="GENERIC"/>
    <s v="N/A"/>
    <s v="2025-04-16"/>
    <s v="PRINTER HEAD"/>
    <n v="5"/>
    <n v="1100"/>
    <n v="1700"/>
    <n v="8500"/>
    <s v="MARITESS"/>
  </r>
  <r>
    <x v="33"/>
    <s v="M W TOWNSTORE - SO-071"/>
    <s v="SO-071"/>
    <s v="M W TOWNSTORE"/>
    <s v="M &amp; W"/>
    <s v="GENERIC"/>
    <s v="N/A"/>
    <s v="2025-04-16"/>
    <s v="EPSON TMU 220B AUTO CUT USB"/>
    <n v="3"/>
    <n v="9500"/>
    <n v="13500"/>
    <n v="40500"/>
    <s v="MARITESS"/>
  </r>
  <r>
    <x v="84"/>
    <s v="VISUAL MIX INC - SO-071"/>
    <s v="SO-071"/>
    <s v="VISUAL MIX INC"/>
    <s v="BOOKSALE"/>
    <s v="GENERIC"/>
    <s v="50% DOWNPAYMENT, 50% 35 DAYS PDC"/>
    <s v="2025-05-27"/>
    <s v="PREVENTIVE MAINTENANCE COVERED DATE: MAY 1, 2025 TO APRIL 30, 2026 1. ROBINSON'S IMUS 2. ROBINSON'S LIPA 3. ROBINSON'S STARMILLS 4. SM BACOLOD 5. SM BICUTAN 6. SM CALAMBA 7. SM SAN MATEO"/>
    <n v="7"/>
    <n v="7500"/>
    <n v="7500"/>
    <n v="52500"/>
    <s v="RUDELYN"/>
  </r>
  <r>
    <x v="84"/>
    <s v="VISUAL MIX INC - SO-071"/>
    <s v="SO-071"/>
    <s v="VISUAL MIX INC"/>
    <s v="BOOKSALE"/>
    <s v="GENERIC"/>
    <s v="50% DOWNPAYMENT, 50% 35 DAYS PDC"/>
    <s v="2025-05-27"/>
    <s v="SEMI- ANNUAL MAINTENANCE COVERED DATE: MAY 1, 2025 TO OCTOBER 30, 2026 1. ROBINSON'S CAGAYAN"/>
    <n v="1"/>
    <n v="3750"/>
    <n v="3750"/>
    <n v="3750"/>
    <s v="RUDELYN"/>
  </r>
  <r>
    <x v="10"/>
    <s v="CHICKEN DELI - SO-072"/>
    <s v="SO-072"/>
    <s v="CHICKEN DELI"/>
    <s v="MAGOOS"/>
    <s v="GENERIC"/>
    <s v="N/A"/>
    <s v="2025-01-13"/>
    <s v="EPSON PRINTER TMU220A ( USB )"/>
    <n v="1"/>
    <n v="10900"/>
    <n v="15500"/>
    <n v="15500"/>
    <s v="MARITESS"/>
  </r>
  <r>
    <x v="10"/>
    <s v="CHICKEN DELI - SO-072"/>
    <s v="SO-072"/>
    <s v="CHICKEN DELI"/>
    <s v="MAGOOS"/>
    <s v="GENERIC"/>
    <s v="N/A"/>
    <s v="2025-01-13"/>
    <s v="DELIVERY CHARGE"/>
    <n v="1"/>
    <n v="500"/>
    <n v="500"/>
    <n v="500"/>
    <s v="MARITESS"/>
  </r>
  <r>
    <x v="85"/>
    <s v="PAMIS ELSA CAPUNO - SO-072"/>
    <s v="SO-072"/>
    <s v="PAMIS ELSA CAPUNO"/>
    <s v="ELS TREN DS APPAREL STORE"/>
    <s v="GENERIC"/>
    <s v="COD"/>
    <s v="2025-05-28"/>
    <s v="PREVENTIVE MAINTENANCE COVERED DATE: MAY 29, 2025 TO MAY 28, 2026"/>
    <n v="1"/>
    <n v="18000"/>
    <n v="18000"/>
    <n v="18000"/>
    <s v="RUDELYN"/>
  </r>
  <r>
    <x v="85"/>
    <s v="PAMIS ELSA CAPUNO - SO-072"/>
    <s v="SO-072"/>
    <s v="PAMIS ELSA CAPUNO"/>
    <s v="ELS TREN DS APPAREL STORE"/>
    <s v="GENERIC"/>
    <s v="COD"/>
    <s v="2025-05-28"/>
    <s v="BIR REGISTRATION"/>
    <n v="1"/>
    <n v="500"/>
    <n v="500"/>
    <n v="500"/>
    <s v="RUDELYN"/>
  </r>
  <r>
    <x v="57"/>
    <s v="POL S MOM S PLACE INC - SO-073"/>
    <s v="SO-073"/>
    <s v="POL S MOM S PLACE INC"/>
    <s v="MAMOU"/>
    <s v="GENERIC"/>
    <s v="COD"/>
    <s v="2025-05-29"/>
    <s v="POSTECH 15&quot; TOUCHSCREEN MONITOR"/>
    <n v="1"/>
    <n v="11000"/>
    <n v="16500"/>
    <n v="16500"/>
    <s v="MARITESS"/>
  </r>
  <r>
    <x v="10"/>
    <s v="CHICKEN DELI - SO-073"/>
    <s v="SO-073"/>
    <s v="CHICKEN DELI"/>
    <s v="MAGOOS"/>
    <s v="GENERIC"/>
    <s v="N/A"/>
    <s v="2025-04-24"/>
    <s v="CASH BOX"/>
    <n v="1"/>
    <n v="1350"/>
    <n v="2600"/>
    <n v="2600"/>
    <s v="MARITESS"/>
  </r>
  <r>
    <x v="10"/>
    <s v="CHICKEN DELI - SO-073"/>
    <s v="SO-073"/>
    <s v="CHICKEN DELI"/>
    <s v="MAGOOS"/>
    <s v="GENERIC"/>
    <s v="N/A"/>
    <s v="2025-04-24"/>
    <s v="DELIVERY CHARGE"/>
    <n v="1"/>
    <n v="500"/>
    <n v="500"/>
    <n v="500"/>
    <s v="MARITESS"/>
  </r>
  <r>
    <x v="86"/>
    <s v="VILLSIBS INC - SO-074"/>
    <s v="SO-074"/>
    <s v="VILLSIBS INC"/>
    <s v="POTATO CORNER"/>
    <s v="GENERIC"/>
    <s v="COD"/>
    <s v="2025-05-29"/>
    <s v="JOURNAL PAPER - SINGLY PLY"/>
    <n v="50"/>
    <n v="17"/>
    <n v="25"/>
    <n v="1250"/>
    <s v="MARITESS"/>
  </r>
  <r>
    <x v="87"/>
    <s v="CHICKEN DELI - SO-074"/>
    <s v="SO-074"/>
    <s v="CHICKEN DELI"/>
    <s v="GENERIC"/>
    <s v="GENERIC"/>
    <s v="N/A"/>
    <s v="2025-04-25"/>
    <s v="TERMINALS : SYSTEM UPGRADE"/>
    <n v="10"/>
    <n v="5075"/>
    <n v="14500"/>
    <n v="145000"/>
    <s v="MARITESS"/>
  </r>
  <r>
    <x v="87"/>
    <s v="CHICKEN DELI - SO-074"/>
    <s v="SO-074"/>
    <s v="CHICKEN DELI"/>
    <s v="GENERIC"/>
    <s v="GENERIC"/>
    <s v="N/A"/>
    <s v="2025-04-25"/>
    <s v="BACK OFFICE: SYSTEM UPGRADE"/>
    <n v="1"/>
    <n v="7000"/>
    <n v="20000"/>
    <n v="20000"/>
    <s v="MARITESS"/>
  </r>
  <r>
    <x v="87"/>
    <s v="CHICKEN DELI - SO-074"/>
    <s v="SO-074"/>
    <s v="CHICKEN DELI"/>
    <s v="GENERIC"/>
    <s v="GENERIC"/>
    <s v="N/A"/>
    <s v="2025-04-25"/>
    <s v="BIR REGISTRATION"/>
    <n v="10"/>
    <n v="5000"/>
    <n v="5000"/>
    <n v="50000"/>
    <s v="MARITESS"/>
  </r>
  <r>
    <x v="73"/>
    <s v="CANELLE FOOD CORPORATION - SO-075"/>
    <s v="SO-075"/>
    <s v="CANELLE FOOD CORPORATION"/>
    <s v="CINNABON"/>
    <s v="GENERIC"/>
    <s v="N/A"/>
    <s v="2025-06-02"/>
    <s v="WINDOWS 11 PRO"/>
    <n v="2"/>
    <n v="2800"/>
    <n v="4268"/>
    <n v="8536"/>
    <s v="MARITESS"/>
  </r>
  <r>
    <x v="2"/>
    <s v="CHICKEN DELI - SO-075"/>
    <s v="SO-075"/>
    <s v="CHICKEN DELI"/>
    <s v="GONGCHA"/>
    <s v="GENERIC"/>
    <s v="N/A"/>
    <s v="2025-04-25"/>
    <s v="TSCERES"/>
    <n v="1"/>
    <n v="3675"/>
    <n v="10500"/>
    <n v="10500"/>
    <s v="MARITESS"/>
  </r>
  <r>
    <x v="2"/>
    <s v="CHICKEN DELI - SO-075"/>
    <s v="SO-075"/>
    <s v="CHICKEN DELI"/>
    <s v="GONGCHA"/>
    <s v="GENERIC"/>
    <s v="N/A"/>
    <s v="2025-04-25"/>
    <s v="ROLL OUT"/>
    <n v="1"/>
    <n v="9500"/>
    <n v="9500"/>
    <n v="9500"/>
    <s v="MARITESS"/>
  </r>
  <r>
    <x v="2"/>
    <s v="CHICKEN DELI - SO-075"/>
    <s v="SO-075"/>
    <s v="CHICKEN DELI"/>
    <s v="GONGCHA"/>
    <s v="GENERIC"/>
    <s v="N/A"/>
    <s v="2025-04-25"/>
    <s v="IMPLEMENTATION"/>
    <n v="1"/>
    <n v="9500"/>
    <n v="9500"/>
    <n v="9500"/>
    <s v="MARITESS"/>
  </r>
  <r>
    <x v="2"/>
    <s v="CHICKEN DELI - SO-075"/>
    <s v="SO-075"/>
    <s v="CHICKEN DELI"/>
    <s v="GONGCHA"/>
    <s v="GENERIC"/>
    <s v="N/A"/>
    <s v="2025-04-25"/>
    <s v="BIR REG."/>
    <n v="1"/>
    <n v="500"/>
    <n v="500"/>
    <n v="500"/>
    <s v="MARITESS"/>
  </r>
  <r>
    <x v="88"/>
    <s v="WK PRIME SUPREME HOLDINGS INC - SO-076"/>
    <s v="SO-076"/>
    <s v="WK PRIME SUPREME HOLDINGS INC"/>
    <s v="PRETZEL MAKER"/>
    <s v="ZAMBOANGA"/>
    <s v="COD"/>
    <s v="2025-06-02"/>
    <s v="EOS -HUNTKEY POWER ADAPTOR"/>
    <n v="1"/>
    <n v="1200"/>
    <n v="2500"/>
    <n v="2500"/>
    <s v="RUDELYN"/>
  </r>
  <r>
    <x v="29"/>
    <s v="CHICKEN DELI - SO-076"/>
    <s v="SO-076"/>
    <s v="CHICKEN DELI"/>
    <s v="APT8"/>
    <s v="GENERIC"/>
    <s v="N/A"/>
    <s v="2025-04-30"/>
    <s v="RDMS  NEW VERSION 3+"/>
    <n v="1"/>
    <n v="3675"/>
    <n v="10500"/>
    <n v="10500"/>
    <s v="MARITESS"/>
  </r>
  <r>
    <x v="29"/>
    <s v="CHICKEN DELI - SO-076"/>
    <s v="SO-076"/>
    <s v="CHICKEN DELI"/>
    <s v="APT8"/>
    <s v="GENERIC"/>
    <s v="N/A"/>
    <s v="2025-04-30"/>
    <s v="ROLL OUT/ IMPLEMENTATION"/>
    <n v="1"/>
    <n v="4000"/>
    <n v="4000"/>
    <n v="4000"/>
    <s v="MARITESS"/>
  </r>
  <r>
    <x v="29"/>
    <s v="CHICKEN DELI - SO-076"/>
    <s v="SO-076"/>
    <s v="CHICKEN DELI"/>
    <s v="APT8"/>
    <s v="GENERIC"/>
    <s v="N/A"/>
    <s v="2025-04-30"/>
    <s v="ONE YEAR WARRANTY"/>
    <n v="1"/>
    <n v="4000"/>
    <n v="4000"/>
    <n v="4000"/>
    <s v="MARITESS"/>
  </r>
  <r>
    <x v="29"/>
    <s v="CHICKEN DELI - SO-076"/>
    <s v="SO-076"/>
    <s v="CHICKEN DELI"/>
    <s v="APT8"/>
    <s v="GENERIC"/>
    <s v="N/A"/>
    <s v="2025-04-30"/>
    <s v="BIR"/>
    <n v="1"/>
    <n v="500"/>
    <n v="500"/>
    <n v="500"/>
    <s v="MARITESS"/>
  </r>
  <r>
    <x v="71"/>
    <s v="SERENITEA CHA KITCHEN INC - SO-77"/>
    <s v="SO-77"/>
    <s v="SERENITEA CHA KITCHEN INC"/>
    <s v="SERENITEA"/>
    <s v="GENERIC"/>
    <s v="COD"/>
    <s v="2025-06-02"/>
    <s v="PREVENTIVE MAINTENANCE COVERED DATE: MAY 31, 2025 - MAY 30, 2026 BRANCHES: 1. SAN JUAN LITTLE BAGUIO"/>
    <n v="1"/>
    <n v="8000"/>
    <n v="8000"/>
    <n v="8000"/>
    <s v="RUDELYN"/>
  </r>
  <r>
    <x v="29"/>
    <s v="CHICKEN DELI - SO-077"/>
    <s v="SO-077"/>
    <s v="CHICKEN DELI"/>
    <s v="APT8"/>
    <s v="GENERIC"/>
    <s v="N/A"/>
    <s v="2025-04-30"/>
    <s v="RDMS  NEW VERSION 3+"/>
    <n v="1"/>
    <n v="3675"/>
    <n v="10500"/>
    <n v="10500"/>
    <s v="MARITESS"/>
  </r>
  <r>
    <x v="29"/>
    <s v="CHICKEN DELI - SO-077"/>
    <s v="SO-077"/>
    <s v="CHICKEN DELI"/>
    <s v="APT8"/>
    <s v="GENERIC"/>
    <s v="N/A"/>
    <s v="2025-04-30"/>
    <s v="ROLL OUT/ IMPLEMENTATION"/>
    <n v="1"/>
    <n v="4000"/>
    <n v="4000"/>
    <n v="4000"/>
    <s v="MARITESS"/>
  </r>
  <r>
    <x v="29"/>
    <s v="CHICKEN DELI - SO-077"/>
    <s v="SO-077"/>
    <s v="CHICKEN DELI"/>
    <s v="APT8"/>
    <s v="GENERIC"/>
    <s v="N/A"/>
    <s v="2025-04-30"/>
    <s v="ONE YEAR WARRANTY"/>
    <n v="1"/>
    <n v="4000"/>
    <n v="4000"/>
    <n v="4000"/>
    <s v="MARITESS"/>
  </r>
  <r>
    <x v="29"/>
    <s v="CHICKEN DELI - SO-077"/>
    <s v="SO-077"/>
    <s v="CHICKEN DELI"/>
    <s v="APT8"/>
    <s v="GENERIC"/>
    <s v="N/A"/>
    <s v="2025-04-30"/>
    <s v="BIR"/>
    <n v="1"/>
    <n v="500"/>
    <n v="500"/>
    <n v="500"/>
    <s v="MARITESS"/>
  </r>
  <r>
    <x v="89"/>
    <s v="ASSAM TEA CORPORATION - SO-78"/>
    <s v="SO-78"/>
    <s v="ASSAM TEA CORPORATION"/>
    <s v="SERENITEA"/>
    <s v="GENERIC"/>
    <s v="COD"/>
    <s v="2025-06-02"/>
    <s v="PREVENTIVE MAINTENANCE COVERED DATE: MAY 31, 2025 - MAY 30, 2026 BRANCHES: 1. CONGRESSIONAL TOWN CENTER 2. SM CLARK 3. SM LIGHT 4. GLORIETTA 4"/>
    <n v="4"/>
    <n v="8000"/>
    <n v="8000"/>
    <n v="32000"/>
    <s v="RUDELYN"/>
  </r>
  <r>
    <x v="29"/>
    <s v="CHICKEN DELI - SO-078"/>
    <s v="SO-078"/>
    <s v="CHICKEN DELI"/>
    <s v="APT8"/>
    <s v="GENERIC"/>
    <s v="N/A"/>
    <s v="2025-04-30"/>
    <s v="RDMS  NEW VERSION 3+"/>
    <n v="1"/>
    <n v="3675"/>
    <n v="10500"/>
    <n v="10500"/>
    <s v="MARITESS"/>
  </r>
  <r>
    <x v="29"/>
    <s v="CHICKEN DELI - SO-078"/>
    <s v="SO-078"/>
    <s v="CHICKEN DELI"/>
    <s v="APT8"/>
    <s v="GENERIC"/>
    <s v="N/A"/>
    <s v="2025-04-30"/>
    <s v="ROLL OUT/ IMPLEMENTATION"/>
    <n v="1"/>
    <n v="4000"/>
    <n v="4000"/>
    <n v="4000"/>
    <s v="MARITESS"/>
  </r>
  <r>
    <x v="29"/>
    <s v="CHICKEN DELI - SO-078"/>
    <s v="SO-078"/>
    <s v="CHICKEN DELI"/>
    <s v="APT8"/>
    <s v="GENERIC"/>
    <s v="N/A"/>
    <s v="2025-04-30"/>
    <s v="ONE YEAR WARRANTY"/>
    <n v="1"/>
    <n v="4000"/>
    <n v="4000"/>
    <n v="4000"/>
    <s v="MARITESS"/>
  </r>
  <r>
    <x v="29"/>
    <s v="CHICKEN DELI - SO-078"/>
    <s v="SO-078"/>
    <s v="CHICKEN DELI"/>
    <s v="APT8"/>
    <s v="GENERIC"/>
    <s v="N/A"/>
    <s v="2025-04-30"/>
    <s v="BIR"/>
    <n v="1"/>
    <n v="500"/>
    <n v="500"/>
    <n v="500"/>
    <s v="MARITESS"/>
  </r>
  <r>
    <x v="90"/>
    <s v="OSMANTHUS TEA CORPORATION - SO-79"/>
    <s v="SO-79"/>
    <s v="OSMANTHUS TEA CORPORATION"/>
    <s v="SERENITEA"/>
    <s v="GENERIC"/>
    <s v="COD"/>
    <s v="2025-06-02"/>
    <s v="PREVENTIVE MAINTENANCE COVERED DATE: MAY 31, 2025 - MAY 30, 2026 BRANCHES: 1. TOMAS MORATO 2. FAIRVIEW BELFAST 3. UP TOWN CENTER"/>
    <n v="3"/>
    <n v="8000"/>
    <n v="8000"/>
    <n v="24000"/>
    <s v="RUDELYN"/>
  </r>
  <r>
    <x v="29"/>
    <s v="CHICKEN DELI - SO-079"/>
    <s v="SO-079"/>
    <s v="CHICKEN DELI"/>
    <s v="APT8"/>
    <s v="GENERIC"/>
    <s v="N/A"/>
    <s v="2025-04-30"/>
    <s v="RDMS  NEW VERSION 3+"/>
    <n v="1"/>
    <n v="3675"/>
    <n v="10500"/>
    <n v="10500"/>
    <s v="MARITESS"/>
  </r>
  <r>
    <x v="29"/>
    <s v="CHICKEN DELI - SO-079"/>
    <s v="SO-079"/>
    <s v="CHICKEN DELI"/>
    <s v="APT8"/>
    <s v="GENERIC"/>
    <s v="N/A"/>
    <s v="2025-04-30"/>
    <s v="ROLL OUT/ IMPLEMENTATION"/>
    <n v="1"/>
    <n v="4000"/>
    <n v="4000"/>
    <n v="4000"/>
    <s v="MARITESS"/>
  </r>
  <r>
    <x v="29"/>
    <s v="CHICKEN DELI - SO-079"/>
    <s v="SO-079"/>
    <s v="CHICKEN DELI"/>
    <s v="APT8"/>
    <s v="GENERIC"/>
    <s v="N/A"/>
    <s v="2025-04-30"/>
    <s v="ONE YEAR WARRANTY"/>
    <n v="1"/>
    <n v="4000"/>
    <n v="4000"/>
    <n v="4000"/>
    <s v="MARITESS"/>
  </r>
  <r>
    <x v="29"/>
    <s v="CHICKEN DELI - SO-079"/>
    <s v="SO-079"/>
    <s v="CHICKEN DELI"/>
    <s v="APT8"/>
    <s v="GENERIC"/>
    <s v="N/A"/>
    <s v="2025-04-30"/>
    <s v="BIR"/>
    <n v="1"/>
    <n v="500"/>
    <n v="500"/>
    <n v="500"/>
    <s v="MARITESS"/>
  </r>
  <r>
    <x v="91"/>
    <s v="MY GOLDEN TEA LEAF INC - SO-80"/>
    <s v="SO-80"/>
    <s v="MY GOLDEN TEA LEAF INC"/>
    <s v="SERENITEA"/>
    <s v="GENERIC"/>
    <s v="COD"/>
    <s v="2025-06-02"/>
    <s v="PREVENTIVE MAINTENANCE COVERED DATE: MAY 31, 2025 - MAY 30, 2026 BRANCHES: 1. ROBINSON'S PLACE MANILA 2. GREENBELT 3 3. ASEANA 4. VERTIS NORTH 5. SM MARILAO BULACAN 6. GREENFIELD 7. PETRON MAKATI/BEL AIR 8. CENTRAL SQUARE MATALINO"/>
    <n v="8"/>
    <n v="8000"/>
    <n v="8000"/>
    <n v="64000"/>
    <s v="RUDELYN"/>
  </r>
  <r>
    <x v="29"/>
    <s v="CHICKEN DELI - SO-080"/>
    <s v="SO-080"/>
    <s v="CHICKEN DELI"/>
    <s v="APT8"/>
    <s v="GENERIC"/>
    <s v="N/A"/>
    <s v="2025-04-30"/>
    <s v="RDMS  NEW VERSION 3+"/>
    <n v="1"/>
    <n v="3675"/>
    <n v="10500"/>
    <n v="10500"/>
    <s v="MARITESS"/>
  </r>
  <r>
    <x v="29"/>
    <s v="CHICKEN DELI - SO-080"/>
    <s v="SO-080"/>
    <s v="CHICKEN DELI"/>
    <s v="APT8"/>
    <s v="GENERIC"/>
    <s v="N/A"/>
    <s v="2025-04-30"/>
    <s v="ROLL OUT/ IMPLEMENTATION"/>
    <n v="1"/>
    <n v="4000"/>
    <n v="4000"/>
    <n v="4000"/>
    <s v="MARITESS"/>
  </r>
  <r>
    <x v="29"/>
    <s v="CHICKEN DELI - SO-080"/>
    <s v="SO-080"/>
    <s v="CHICKEN DELI"/>
    <s v="APT8"/>
    <s v="GENERIC"/>
    <s v="N/A"/>
    <s v="2025-04-30"/>
    <s v="ONE YEAR WARRANTY"/>
    <n v="1"/>
    <n v="4000"/>
    <n v="4000"/>
    <n v="4000"/>
    <s v="MARITESS"/>
  </r>
  <r>
    <x v="29"/>
    <s v="CHICKEN DELI - SO-080"/>
    <s v="SO-080"/>
    <s v="CHICKEN DELI"/>
    <s v="APT8"/>
    <s v="GENERIC"/>
    <s v="N/A"/>
    <s v="2025-04-30"/>
    <s v="BIR"/>
    <n v="1"/>
    <n v="500"/>
    <n v="500"/>
    <n v="500"/>
    <s v="MARITESS"/>
  </r>
  <r>
    <x v="92"/>
    <s v="DARJEELING TEA CORPORATION - SO-81"/>
    <s v="SO-81"/>
    <s v="DARJEELING TEA CORPORATION"/>
    <s v="SERENITEA"/>
    <s v="GENERIC"/>
    <s v="COD"/>
    <s v="2025-06-02"/>
    <s v="PREVENTIVE MAINTENANCE COVERED DATE: MAY 31, 2025 - MAY 30, 2026 BRANCHES: 1. UST LACSON 2. AYALA CLOVERLEAF"/>
    <n v="2"/>
    <n v="8000"/>
    <n v="8000"/>
    <n v="16000"/>
    <s v="RUDELYN"/>
  </r>
  <r>
    <x v="29"/>
    <s v="CHICKEN DELI - SO-081"/>
    <s v="SO-081"/>
    <s v="CHICKEN DELI"/>
    <s v="APT8"/>
    <s v="GENERIC"/>
    <s v="N/A"/>
    <s v="2025-04-30"/>
    <s v="RDMS  NEW VERSION 3+"/>
    <n v="1"/>
    <n v="3675"/>
    <n v="10500"/>
    <n v="10500"/>
    <s v="MARITESS"/>
  </r>
  <r>
    <x v="29"/>
    <s v="CHICKEN DELI - SO-081"/>
    <s v="SO-081"/>
    <s v="CHICKEN DELI"/>
    <s v="APT8"/>
    <s v="GENERIC"/>
    <s v="N/A"/>
    <s v="2025-04-30"/>
    <s v="ROLL OUT/ IMPLEMENTATION"/>
    <n v="1"/>
    <n v="4000"/>
    <n v="4000"/>
    <n v="4000"/>
    <s v="MARITESS"/>
  </r>
  <r>
    <x v="29"/>
    <s v="CHICKEN DELI - SO-081"/>
    <s v="SO-081"/>
    <s v="CHICKEN DELI"/>
    <s v="APT8"/>
    <s v="GENERIC"/>
    <s v="N/A"/>
    <s v="2025-04-30"/>
    <s v="ONE YEAR WARRANTY"/>
    <n v="1"/>
    <n v="4000"/>
    <n v="4000"/>
    <n v="4000"/>
    <s v="MARITESS"/>
  </r>
  <r>
    <x v="29"/>
    <s v="CHICKEN DELI - SO-081"/>
    <s v="SO-081"/>
    <s v="CHICKEN DELI"/>
    <s v="APT8"/>
    <s v="GENERIC"/>
    <s v="N/A"/>
    <s v="2025-04-30"/>
    <s v="BIR"/>
    <n v="1"/>
    <n v="500"/>
    <n v="500"/>
    <n v="500"/>
    <s v="MARITESS"/>
  </r>
  <r>
    <x v="93"/>
    <s v="GENMAICHA TEA CORPORATION - SO-82"/>
    <s v="SO-82"/>
    <s v="GENMAICHA TEA CORPORATION"/>
    <s v="SERENITEA"/>
    <s v="GENERIC"/>
    <s v="COD"/>
    <s v="2025-06-02"/>
    <s v="PREVENTIVE MAINTENANCE COVERED DATE: MAY 31, 2025 - MAY 30, 2026 BRANCHES: 1. BANAWE 2. ESTANCIA CAPITOL COMMONS 3. NLEX 4. ORTIGAS EXCHANGE REGENCY 5. GREENHILLS SAN JUAN 6. SM URDANETA"/>
    <n v="6"/>
    <n v="8000"/>
    <n v="8000"/>
    <n v="48000"/>
    <s v="RUDELYN"/>
  </r>
  <r>
    <x v="93"/>
    <s v="GENMAICHA TEA CORPORATION - SO-82"/>
    <s v="SO-82"/>
    <s v="GENMAICHA TEA CORPORATION"/>
    <s v="SERENITEA"/>
    <s v="GENERIC"/>
    <s v="COD"/>
    <s v="2025-06-02"/>
    <s v="MAINTENANCE COVERED DATE: JULY 23, 2025 - MAY 30, 2026 1. CALIFORNIA GARDEN"/>
    <n v="1"/>
    <n v="6600"/>
    <n v="6600"/>
    <n v="6600"/>
    <s v="RUDELYN"/>
  </r>
  <r>
    <x v="2"/>
    <s v="CHICKEN DELI - SO-082"/>
    <s v="SO-082"/>
    <s v="CHICKEN DELI"/>
    <s v="GONGCHA"/>
    <s v="GENERIC"/>
    <s v="N/A"/>
    <s v="2025-05-02"/>
    <s v="PREVENTIVE MAINTENANCE"/>
    <n v="2"/>
    <n v="6500"/>
    <n v="6500"/>
    <n v="130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BACCHUS SQL VER. 7"/>
    <n v="1"/>
    <n v="3675"/>
    <n v="10500"/>
    <n v="105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ROLLOUT IMPLEMENTATION"/>
    <n v="1"/>
    <n v="4935"/>
    <n v="14100"/>
    <n v="141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1 YEAR WARRANTY"/>
    <n v="1"/>
    <n v="4935"/>
    <n v="14100"/>
    <n v="141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BIR APPLICATION"/>
    <n v="1"/>
    <n v="500"/>
    <n v="500"/>
    <n v="5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POSTECH 15&quot; TOUCHSCREEN MONITOR"/>
    <n v="1"/>
    <n v="11000"/>
    <n v="16500"/>
    <n v="165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CASH DRAWER"/>
    <n v="1"/>
    <n v="2185"/>
    <n v="3500"/>
    <n v="35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EPSON TMU220D USB PRINTER"/>
    <n v="1"/>
    <n v="8500"/>
    <n v="12500"/>
    <n v="125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EPSON TMU220D LAN PRINTER"/>
    <n v="1"/>
    <n v="8500"/>
    <n v="12500"/>
    <n v="125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APC UPS"/>
    <n v="1"/>
    <n v="2200"/>
    <n v="3500"/>
    <n v="3500"/>
    <s v="MARITESS"/>
  </r>
  <r>
    <x v="94"/>
    <s v="DAGDAGAN MICHAEL ENRICO SY - SO-083"/>
    <s v="SO-083"/>
    <s v="DAGDAGAN MICHAEL ENRICO SY"/>
    <s v="KALBROS BAR AND RESTAURANT"/>
    <s v="GENERIC"/>
    <s v="50,000 DOWNPAYMENT, _x000d__x000a_38,250.00 30DAYS PCD CHECK AFTER INSTALLATION; 38,250.00 60DAYS PDC CHECK AFTER INSTALLATION"/>
    <s v="2025-06-04"/>
    <s v="DESKTOP CPU I5, 8GB RAM, 512 GB SSD"/>
    <n v="1"/>
    <n v="23450"/>
    <n v="32500"/>
    <n v="32500"/>
    <s v="MARITESS"/>
  </r>
  <r>
    <x v="2"/>
    <s v="CHICKEN DELI - SO-083"/>
    <s v="SO-083"/>
    <s v="CHICKEN DELI"/>
    <s v="GONGCHA"/>
    <s v="GENERIC"/>
    <s v="N/A"/>
    <s v="2025-05-02"/>
    <s v="PREVENTIVE MAINTENANCE"/>
    <n v="1"/>
    <n v="6500"/>
    <n v="6500"/>
    <n v="6500"/>
    <s v="MARITESS"/>
  </r>
  <r>
    <x v="57"/>
    <s v="POL S MOM S PLACE INC - SO-084"/>
    <s v="SO-084"/>
    <s v="POL S MOM S PLACE INC"/>
    <s v="MAMOU"/>
    <s v="GENERIC"/>
    <s v="COD"/>
    <s v="2025-06-13"/>
    <s v="EPSON TM-T82X THERMAL PRINTER (USB)"/>
    <n v="1"/>
    <n v="8500"/>
    <n v="12000"/>
    <n v="12000"/>
    <s v="MARITESS"/>
  </r>
  <r>
    <x v="2"/>
    <s v="CHICKEN DELI - SO-084"/>
    <s v="SO-084"/>
    <s v="CHICKEN DELI"/>
    <s v="GONGCHA"/>
    <s v="GENERIC"/>
    <s v="N/A"/>
    <s v="2025-05-02"/>
    <s v="PREVENTIVE MAINTENANCE"/>
    <n v="1"/>
    <n v="6500"/>
    <n v="6500"/>
    <n v="6500"/>
    <s v="MARITESS"/>
  </r>
  <r>
    <x v="91"/>
    <s v="MY GOLDEN TEA LEAF INC - SO-85"/>
    <s v="SO-85"/>
    <s v="MY GOLDEN TEA LEAF INC"/>
    <s v="SERENITEA"/>
    <s v="GENERIC"/>
    <s v="COD"/>
    <s v="2025-06-13"/>
    <s v="PREVENTIVE MAINTENANCE"/>
    <n v="1"/>
    <n v="8000"/>
    <n v="8000"/>
    <n v="8000"/>
    <s v="MARITESS"/>
  </r>
  <r>
    <x v="91"/>
    <s v="MY GOLDEN TEA LEAF INC - SO-85"/>
    <s v="SO-85"/>
    <s v="MY GOLDEN TEA LEAF INC"/>
    <s v="SERENITEA"/>
    <s v="GENERIC"/>
    <s v="COD"/>
    <s v="2025-06-13"/>
    <s v="BIR APPLICATION"/>
    <n v="1"/>
    <n v="500"/>
    <n v="500"/>
    <n v="500"/>
    <s v="MARITESS"/>
  </r>
  <r>
    <x v="91"/>
    <s v="MY GOLDEN TEA LEAF INC - SO-85"/>
    <s v="SO-85"/>
    <s v="MY GOLDEN TEA LEAF INC"/>
    <s v="SERENITEA"/>
    <s v="GENERIC"/>
    <s v="COD"/>
    <s v="2025-06-13"/>
    <s v="CASH DRAWER"/>
    <n v="1"/>
    <n v="2185"/>
    <n v="3100"/>
    <n v="3100"/>
    <s v="MARITESS"/>
  </r>
  <r>
    <x v="91"/>
    <s v="MY GOLDEN TEA LEAF INC - SO-85"/>
    <s v="SO-85"/>
    <s v="MY GOLDEN TEA LEAF INC"/>
    <s v="SERENITEA"/>
    <s v="GENERIC"/>
    <s v="COD"/>
    <s v="2025-06-13"/>
    <s v="KEYBOARD AND MOUSE"/>
    <n v="1"/>
    <n v="500"/>
    <n v="750"/>
    <n v="750"/>
    <s v="MARITESS"/>
  </r>
  <r>
    <x v="91"/>
    <s v="MY GOLDEN TEA LEAF INC - SO-85"/>
    <s v="SO-85"/>
    <s v="MY GOLDEN TEA LEAF INC"/>
    <s v="SERENITEA"/>
    <s v="GENERIC"/>
    <s v="COD"/>
    <s v="2025-06-13"/>
    <s v="APC UPS"/>
    <n v="1"/>
    <n v="2200"/>
    <n v="3000"/>
    <n v="3000"/>
    <s v="MARITESS"/>
  </r>
  <r>
    <x v="91"/>
    <s v="MY GOLDEN TEA LEAF INC - SO-85"/>
    <s v="SO-85"/>
    <s v="MY GOLDEN TEA LEAF INC"/>
    <s v="SERENITEA"/>
    <s v="GENERIC"/>
    <s v="COD"/>
    <s v="2025-06-13"/>
    <s v="DELIVERY FEE"/>
    <n v="1"/>
    <n v="400"/>
    <n v="400"/>
    <n v="400"/>
    <s v="MARITESS"/>
  </r>
  <r>
    <x v="2"/>
    <s v="CHICKEN DELI - SO-085"/>
    <s v="SO-085"/>
    <s v="CHICKEN DELI"/>
    <s v="GONGCHA"/>
    <s v="GENERIC"/>
    <s v="N/A"/>
    <s v="2025-05-02"/>
    <s v="PREVENTIVE MAINTENANCE"/>
    <n v="1"/>
    <n v="6500"/>
    <n v="6500"/>
    <n v="6500"/>
    <s v="MARITESS"/>
  </r>
  <r>
    <x v="95"/>
    <s v="TRE FIL HOLDINGS CORPORATION - SO-086"/>
    <s v="SO-086"/>
    <s v="TRE FIL HOLDINGS CORPORATION"/>
    <s v="COLONIAL CREAMERY"/>
    <s v="AYALA FAIRVIEW TERRACES"/>
    <s v="50% DOWNPAYMENT, 50% 35 DAYS PDC"/>
    <s v="2025-06-13"/>
    <s v="TSCERES SQL VER. 6"/>
    <n v="1"/>
    <n v="3675"/>
    <n v="10500"/>
    <n v="10500"/>
    <s v="RUDELYN"/>
  </r>
  <r>
    <x v="95"/>
    <s v="TRE FIL HOLDINGS CORPORATION - SO-086"/>
    <s v="SO-086"/>
    <s v="TRE FIL HOLDINGS CORPORATION"/>
    <s v="COLONIAL CREAMERY"/>
    <s v="AYALA FAIRVIEW TERRACES"/>
    <s v="50% DOWNPAYMENT, 50% 35 DAYS PDC"/>
    <s v="2025-06-13"/>
    <s v="ROLLOUT IMPLEMENTATION"/>
    <n v="1"/>
    <n v="3255"/>
    <n v="9300"/>
    <n v="9300"/>
    <s v="RUDELYN"/>
  </r>
  <r>
    <x v="95"/>
    <s v="TRE FIL HOLDINGS CORPORATION - SO-086"/>
    <s v="SO-086"/>
    <s v="TRE FIL HOLDINGS CORPORATION"/>
    <s v="COLONIAL CREAMERY"/>
    <s v="AYALA FAIRVIEW TERRACES"/>
    <s v="50% DOWNPAYMENT, 50% 35 DAYS PDC"/>
    <s v="2025-06-13"/>
    <s v="1 YEAR WARRANTY"/>
    <n v="1"/>
    <n v="3220"/>
    <n v="9200"/>
    <n v="9200"/>
    <s v="RUDELYN"/>
  </r>
  <r>
    <x v="95"/>
    <s v="TRE FIL HOLDINGS CORPORATION - SO-086"/>
    <s v="SO-086"/>
    <s v="TRE FIL HOLDINGS CORPORATION"/>
    <s v="COLONIAL CREAMERY"/>
    <s v="AYALA FAIRVIEW TERRACES"/>
    <s v="50% DOWNPAYMENT, 50% 35 DAYS PDC"/>
    <s v="2025-06-13"/>
    <s v="EPSON TMU220D USB PRINTER"/>
    <n v="1"/>
    <n v="8500"/>
    <n v="12000"/>
    <n v="12000"/>
    <s v="RUDELYN"/>
  </r>
  <r>
    <x v="95"/>
    <s v="TRE FIL HOLDINGS CORPORATION - SO-086"/>
    <s v="SO-086"/>
    <s v="TRE FIL HOLDINGS CORPORATION"/>
    <s v="COLONIAL CREAMERY"/>
    <s v="AYALA FAIRVIEW TERRACES"/>
    <s v="50% DOWNPAYMENT, 50% 35 DAYS PDC"/>
    <s v="2025-06-13"/>
    <s v="APC UPS"/>
    <n v="1"/>
    <n v="2200"/>
    <n v="3000"/>
    <n v="3000"/>
    <s v="RUDELYN"/>
  </r>
  <r>
    <x v="95"/>
    <s v="TRE FIL HOLDINGS CORPORATION - SO-086"/>
    <s v="SO-086"/>
    <s v="TRE FIL HOLDINGS CORPORATION"/>
    <s v="COLONIAL CREAMERY"/>
    <s v="AYALA FAIRVIEW TERRACES"/>
    <s v="50% DOWNPAYMENT, 50% 35 DAYS PDC"/>
    <s v="2025-06-13"/>
    <s v="POSHTECH 15&quot; TOUCHSCREEN MONITOR"/>
    <n v="1"/>
    <n v="10750"/>
    <n v="15000"/>
    <n v="15000"/>
    <s v="RUDELYN"/>
  </r>
  <r>
    <x v="95"/>
    <s v="TRE FIL HOLDINGS CORPORATION - SO-086"/>
    <s v="SO-086"/>
    <s v="TRE FIL HOLDINGS CORPORATION"/>
    <s v="COLONIAL CREAMERY"/>
    <s v="AYALA FAIRVIEW TERRACES"/>
    <s v="50% DOWNPAYMENT, 50% 35 DAYS PDC"/>
    <s v="2025-06-13"/>
    <s v="MINI CASH DRAWER"/>
    <n v="1"/>
    <n v="1350"/>
    <n v="2500"/>
    <n v="2500"/>
    <s v="RUDELYN"/>
  </r>
  <r>
    <x v="95"/>
    <s v="TRE FIL HOLDINGS CORPORATION - SO-086"/>
    <s v="SO-086"/>
    <s v="TRE FIL HOLDINGS CORPORATION"/>
    <s v="COLONIAL CREAMERY"/>
    <s v="AYALA FAIRVIEW TERRACES"/>
    <s v="50% DOWNPAYMENT, 50% 35 DAYS PDC"/>
    <s v="2025-06-13"/>
    <s v="EOS MINI CPU I5, 8GB RAM, 512 GB SSD"/>
    <n v="1"/>
    <n v="23450"/>
    <n v="32300"/>
    <n v="32300"/>
    <s v="RUDELYN"/>
  </r>
  <r>
    <x v="95"/>
    <s v="TRE FIL HOLDINGS CORPORATION - SO-086"/>
    <s v="SO-086"/>
    <s v="TRE FIL HOLDINGS CORPORATION"/>
    <s v="COLONIAL CREAMERY"/>
    <s v="AYALA FAIRVIEW TERRACES"/>
    <s v="50% DOWNPAYMENT, 50% 35 DAYS PDC"/>
    <s v="2025-06-13"/>
    <s v="WINDOWS 11 PRO"/>
    <n v="1"/>
    <n v="2800"/>
    <n v="4000"/>
    <n v="4000"/>
    <s v="RUDELYN"/>
  </r>
  <r>
    <x v="95"/>
    <s v="TRE FIL HOLDINGS CORPORATION - SO-086"/>
    <s v="SO-086"/>
    <s v="TRE FIL HOLDINGS CORPORATION"/>
    <s v="COLONIAL CREAMERY"/>
    <s v="AYALA FAIRVIEW TERRACES"/>
    <s v="50% DOWNPAYMENT, 50% 35 DAYS PDC"/>
    <s v="2025-06-13"/>
    <s v="KEYBOARD &amp; MOUSE"/>
    <n v="1"/>
    <n v="500"/>
    <n v="700"/>
    <n v="700"/>
    <s v="RUDELYN"/>
  </r>
  <r>
    <x v="95"/>
    <s v="TRE FIL HOLDINGS CORPORATION - SO-086"/>
    <s v="SO-086"/>
    <s v="TRE FIL HOLDINGS CORPORATION"/>
    <s v="COLONIAL CREAMERY"/>
    <s v="AYALA FAIRVIEW TERRACES"/>
    <s v="50% DOWNPAYMENT, 50% 35 DAYS PDC"/>
    <s v="2025-06-13"/>
    <s v="EOS FAN WITH FAN COVER"/>
    <n v="1"/>
    <n v="350"/>
    <n v="500"/>
    <n v="500"/>
    <s v="RUDELYN"/>
  </r>
  <r>
    <x v="95"/>
    <s v="TRE FIL HOLDINGS CORPORATION - SO-086"/>
    <s v="SO-086"/>
    <s v="TRE FIL HOLDINGS CORPORATION"/>
    <s v="COLONIAL CREAMERY"/>
    <s v="AYALA FAIRVIEW TERRACES"/>
    <s v="50% DOWNPAYMENT, 50% 35 DAYS PDC"/>
    <s v="2025-06-13"/>
    <s v="BIR REGISTRATION"/>
    <n v="1"/>
    <n v="500"/>
    <n v="500"/>
    <n v="500"/>
    <s v="RUDELYN"/>
  </r>
  <r>
    <x v="95"/>
    <s v="TRE FIL HOLDINGS CORPORATION - SO-086"/>
    <s v="SO-086"/>
    <s v="TRE FIL HOLDINGS CORPORATION"/>
    <s v="COLONIAL CREAMERY"/>
    <s v="AYALA FAIRVIEW TERRACES"/>
    <s v="50% DOWNPAYMENT, 50% 35 DAYS PDC"/>
    <s v="2025-06-13"/>
    <s v="DELIVERY FEE"/>
    <n v="1"/>
    <n v="500"/>
    <n v="500"/>
    <n v="500"/>
    <s v="RUDELYN"/>
  </r>
  <r>
    <x v="20"/>
    <s v="CHICKEN DELI - SO-086"/>
    <s v="SO-086"/>
    <s v="CHICKEN DELI"/>
    <s v="MN+LA APPAREL"/>
    <s v="GENERIC"/>
    <s v="N/A"/>
    <s v="2025-05-06"/>
    <s v="ERC RIBBON"/>
    <n v="10"/>
    <n v="67"/>
    <n v="250"/>
    <n v="2500"/>
    <s v="MARITESS"/>
  </r>
  <r>
    <x v="96"/>
    <s v="TERRISAN INC - SO-087"/>
    <s v="SO-087"/>
    <s v="TERRISAN INC"/>
    <s v="ISSHIN"/>
    <s v="MAKATI"/>
    <s v="COD"/>
    <s v="2025-06-17"/>
    <s v="POSTECH 15&quot; TOUCHSCREEN MONITOR"/>
    <n v="1"/>
    <n v="11000"/>
    <n v="16500"/>
    <n v="16500"/>
    <s v="RUDELYN"/>
  </r>
  <r>
    <x v="22"/>
    <s v="CHICKEN DELI - SO-087"/>
    <s v="SO-087"/>
    <s v="CHICKEN DELI"/>
    <s v="ISSY &amp;CO."/>
    <s v="GENERIC"/>
    <s v="N/A"/>
    <s v="2025-04-06"/>
    <s v="MODIFICATION : SALES PER SALESMAN"/>
    <n v="1"/>
    <n v="6000"/>
    <n v="6000"/>
    <n v="6000"/>
    <s v="MARITESS"/>
  </r>
  <r>
    <x v="97"/>
    <s v="GOLAMCO GRIFFIN MICHALE DEL ROSARIO - SO-088"/>
    <s v="SO-088"/>
    <s v="GOLAMCO GRIFFIN MICHALE DEL ROSARIO"/>
    <s v="MASTER AIRSOFT"/>
    <s v="GENERIC"/>
    <s v="N/A"/>
    <s v="2025-06-17"/>
    <s v="RDMS V4.3.0 - LITE"/>
    <n v="1"/>
    <n v="2975"/>
    <n v="8500"/>
    <n v="8500"/>
    <s v="MARITESS"/>
  </r>
  <r>
    <x v="97"/>
    <s v="GOLAMCO GRIFFIN MICHALE DEL ROSARIO - SO-088"/>
    <s v="SO-088"/>
    <s v="GOLAMCO GRIFFIN MICHALE DEL ROSARIO"/>
    <s v="MASTER AIRSOFT"/>
    <s v="GENERIC"/>
    <s v="N/A"/>
    <s v="2025-06-17"/>
    <s v="ROLLOUT IMPLEMENTATION"/>
    <n v="1"/>
    <n v="2800"/>
    <n v="8000"/>
    <n v="8000"/>
    <s v="MARITESS"/>
  </r>
  <r>
    <x v="97"/>
    <s v="GOLAMCO GRIFFIN MICHALE DEL ROSARIO - SO-088"/>
    <s v="SO-088"/>
    <s v="GOLAMCO GRIFFIN MICHALE DEL ROSARIO"/>
    <s v="MASTER AIRSOFT"/>
    <s v="GENERIC"/>
    <s v="N/A"/>
    <s v="2025-06-17"/>
    <s v="ONE YEAR WARRANTY"/>
    <n v="1"/>
    <n v="2800"/>
    <n v="8000"/>
    <n v="8000"/>
    <s v="MARITESS"/>
  </r>
  <r>
    <x v="97"/>
    <s v="GOLAMCO GRIFFIN MICHALE DEL ROSARIO - SO-088"/>
    <s v="SO-088"/>
    <s v="GOLAMCO GRIFFIN MICHALE DEL ROSARIO"/>
    <s v="MASTER AIRSOFT"/>
    <s v="GENERIC"/>
    <s v="N/A"/>
    <s v="2025-06-17"/>
    <s v="BIR REGISTRATION"/>
    <n v="1"/>
    <n v="500"/>
    <n v="500"/>
    <n v="500"/>
    <s v="MARITESS"/>
  </r>
  <r>
    <x v="1"/>
    <s v="CHICKEN DELI - SO-088"/>
    <s v="SO-088"/>
    <s v="CHICKEN DELI"/>
    <s v="KITCHEN CITY"/>
    <s v="GENERIC"/>
    <s v="N/A"/>
    <s v="2025-05-09"/>
    <s v="TSCERES SQL"/>
    <n v="1"/>
    <n v="3675"/>
    <n v="10500"/>
    <n v="10500"/>
    <s v="MARITESS"/>
  </r>
  <r>
    <x v="1"/>
    <s v="CHICKEN DELI - SO-088"/>
    <s v="SO-088"/>
    <s v="CHICKEN DELI"/>
    <s v="KITCHEN CITY"/>
    <s v="GENERIC"/>
    <s v="N/A"/>
    <s v="2025-05-09"/>
    <s v="ONE YEAR WARRANTY"/>
    <n v="1"/>
    <n v="10400"/>
    <n v="10400"/>
    <n v="10400"/>
    <s v="MARITESS"/>
  </r>
  <r>
    <x v="1"/>
    <s v="CHICKEN DELI - SO-088"/>
    <s v="SO-088"/>
    <s v="CHICKEN DELI"/>
    <s v="KITCHEN CITY"/>
    <s v="GENERIC"/>
    <s v="N/A"/>
    <s v="2025-05-09"/>
    <s v="IMPLEMENTATION"/>
    <n v="1"/>
    <n v="10400"/>
    <n v="10400"/>
    <n v="10400"/>
    <s v="MARITESS"/>
  </r>
  <r>
    <x v="1"/>
    <s v="CHICKEN DELI - SO-088"/>
    <s v="SO-088"/>
    <s v="CHICKEN DELI"/>
    <s v="KITCHEN CITY"/>
    <s v="GENERIC"/>
    <s v="N/A"/>
    <s v="2025-05-09"/>
    <s v="BIR REGISTRATION"/>
    <n v="1"/>
    <n v="500"/>
    <n v="0"/>
    <n v="0"/>
    <s v="MARITESS"/>
  </r>
  <r>
    <x v="1"/>
    <s v="CHICKEN DELI - SO-088"/>
    <s v="SO-088"/>
    <s v="CHICKEN DELI"/>
    <s v="KITCHEN CITY"/>
    <s v="GENERIC"/>
    <s v="N/A"/>
    <s v="2025-05-09"/>
    <s v="POSTECH MONITOR"/>
    <n v="1"/>
    <n v="11000"/>
    <n v="0"/>
    <n v="0"/>
    <s v="MARITESS"/>
  </r>
  <r>
    <x v="1"/>
    <s v="CHICKEN DELI - SO-088"/>
    <s v="SO-088"/>
    <s v="CHICKEN DELI"/>
    <s v="KITCHEN CITY"/>
    <s v="GENERIC"/>
    <s v="N/A"/>
    <s v="2025-05-09"/>
    <s v="EPSON TMU220D"/>
    <n v="1"/>
    <n v="8500"/>
    <n v="12100"/>
    <n v="12100"/>
    <s v="MARITESS"/>
  </r>
  <r>
    <x v="1"/>
    <s v="CHICKEN DELI - SO-088"/>
    <s v="SO-088"/>
    <s v="CHICKEN DELI"/>
    <s v="KITCHEN CITY"/>
    <s v="GENERIC"/>
    <s v="N/A"/>
    <s v="2025-05-09"/>
    <s v="UPS"/>
    <n v="1"/>
    <n v="2200"/>
    <n v="0"/>
    <n v="0"/>
    <s v="MARITESS"/>
  </r>
  <r>
    <x v="1"/>
    <s v="CHICKEN DELI - SO-088"/>
    <s v="SO-088"/>
    <s v="CHICKEN DELI"/>
    <s v="KITCHEN CITY"/>
    <s v="GENERIC"/>
    <s v="N/A"/>
    <s v="2025-05-09"/>
    <s v="KASPERSKY"/>
    <n v="1"/>
    <n v="900"/>
    <n v="0"/>
    <n v="0"/>
    <s v="MARITESS"/>
  </r>
  <r>
    <x v="1"/>
    <s v="CHICKEN DELI - SO-088"/>
    <s v="SO-088"/>
    <s v="CHICKEN DELI"/>
    <s v="KITCHEN CITY"/>
    <s v="GENERIC"/>
    <s v="N/A"/>
    <s v="2025-05-09"/>
    <s v="DELIVERY CHARGE"/>
    <n v="1"/>
    <n v="500"/>
    <n v="500"/>
    <n v="500"/>
    <s v="MARITESS"/>
  </r>
  <r>
    <x v="14"/>
    <s v="HUZZAH - SO-089"/>
    <s v="SO-089"/>
    <s v="HUZZAH"/>
    <s v="HUZZAH"/>
    <s v="GENERIC"/>
    <s v="COD"/>
    <s v="2025-06-17"/>
    <s v="JOURNAL PAPER - DOUBLE PLY"/>
    <n v="50"/>
    <n v="32"/>
    <n v="50"/>
    <n v="2500"/>
    <s v="RUDELYN"/>
  </r>
  <r>
    <x v="29"/>
    <s v="CHICKEN DELI - SO-089"/>
    <s v="SO-089"/>
    <s v="CHICKEN DELI"/>
    <s v="APT8"/>
    <s v="GENERIC"/>
    <s v="N/A"/>
    <s v="2025-05-13"/>
    <s v="RDMS  NEW VERSION 3+"/>
    <n v="1"/>
    <n v="3675"/>
    <n v="10500"/>
    <n v="10500"/>
    <s v="MARITESS"/>
  </r>
  <r>
    <x v="29"/>
    <s v="CHICKEN DELI - SO-089"/>
    <s v="SO-089"/>
    <s v="CHICKEN DELI"/>
    <s v="APT8"/>
    <s v="GENERIC"/>
    <s v="N/A"/>
    <s v="2025-05-13"/>
    <s v="ROLL OUT/ IMPLEMENTATION"/>
    <n v="1"/>
    <n v="4000"/>
    <n v="4000"/>
    <n v="4000"/>
    <s v="MARITESS"/>
  </r>
  <r>
    <x v="29"/>
    <s v="CHICKEN DELI - SO-089"/>
    <s v="SO-089"/>
    <s v="CHICKEN DELI"/>
    <s v="APT8"/>
    <s v="GENERIC"/>
    <s v="N/A"/>
    <s v="2025-05-13"/>
    <s v="ONE YEAR WARRANTY"/>
    <n v="1"/>
    <n v="4000"/>
    <n v="4000"/>
    <n v="4000"/>
    <s v="MARITESS"/>
  </r>
  <r>
    <x v="29"/>
    <s v="CHICKEN DELI - SO-089"/>
    <s v="SO-089"/>
    <s v="CHICKEN DELI"/>
    <s v="APT8"/>
    <s v="GENERIC"/>
    <s v="N/A"/>
    <s v="2025-05-13"/>
    <s v="BIR"/>
    <n v="1"/>
    <n v="500"/>
    <n v="500"/>
    <n v="500"/>
    <s v="MARITESS"/>
  </r>
  <r>
    <x v="29"/>
    <s v="CHICKEN DELI - SO-090"/>
    <s v="SO-090"/>
    <s v="CHICKEN DELI"/>
    <s v="APT8"/>
    <s v="GENERIC"/>
    <s v="N/A"/>
    <s v="2025-05-13"/>
    <s v="RDMS  NEW VERSION 3+"/>
    <n v="1"/>
    <n v="3675"/>
    <n v="10500"/>
    <n v="10500"/>
    <s v="MARITESS"/>
  </r>
  <r>
    <x v="29"/>
    <s v="CHICKEN DELI - SO-090"/>
    <s v="SO-090"/>
    <s v="CHICKEN DELI"/>
    <s v="APT8"/>
    <s v="GENERIC"/>
    <s v="N/A"/>
    <s v="2025-05-13"/>
    <s v="ROLL OUT/ IMPLEMENTATION"/>
    <n v="1"/>
    <n v="4000"/>
    <n v="4000"/>
    <n v="4000"/>
    <s v="MARITESS"/>
  </r>
  <r>
    <x v="29"/>
    <s v="CHICKEN DELI - SO-090"/>
    <s v="SO-090"/>
    <s v="CHICKEN DELI"/>
    <s v="APT8"/>
    <s v="GENERIC"/>
    <s v="N/A"/>
    <s v="2025-05-13"/>
    <s v="ONE YEAR WARRANTY"/>
    <n v="1"/>
    <n v="4000"/>
    <n v="4000"/>
    <n v="4000"/>
    <s v="MARITESS"/>
  </r>
  <r>
    <x v="29"/>
    <s v="CHICKEN DELI - SO-090"/>
    <s v="SO-090"/>
    <s v="CHICKEN DELI"/>
    <s v="APT8"/>
    <s v="GENERIC"/>
    <s v="N/A"/>
    <s v="2025-05-13"/>
    <s v="BIR"/>
    <n v="1"/>
    <n v="500"/>
    <n v="500"/>
    <n v="500"/>
    <s v="MARITESS"/>
  </r>
  <r>
    <x v="37"/>
    <s v="OUT OF NOWHERE KITCHEN INC - SO-090"/>
    <s v="SO-090"/>
    <s v="OUT OF NOWHERE KITCHEN INC"/>
    <s v="OON"/>
    <s v="GENERIC"/>
    <s v="N/A"/>
    <s v="2025-06-19"/>
    <s v="BACCHUS SQL VER 7"/>
    <n v="1"/>
    <n v="2975"/>
    <n v="8500"/>
    <n v="8500"/>
    <s v="MARITESS"/>
  </r>
  <r>
    <x v="37"/>
    <s v="OUT OF NOWHERE KITCHEN INC - SO-090"/>
    <s v="SO-090"/>
    <s v="OUT OF NOWHERE KITCHEN INC"/>
    <s v="OON"/>
    <s v="GENERIC"/>
    <s v="N/A"/>
    <s v="2025-06-19"/>
    <s v="ROLLOUT IMPLEMENTATION"/>
    <n v="1"/>
    <n v="1925"/>
    <n v="5500"/>
    <n v="5500"/>
    <s v="MARITESS"/>
  </r>
  <r>
    <x v="37"/>
    <s v="OUT OF NOWHERE KITCHEN INC - SO-090"/>
    <s v="SO-090"/>
    <s v="OUT OF NOWHERE KITCHEN INC"/>
    <s v="OON"/>
    <s v="GENERIC"/>
    <s v="N/A"/>
    <s v="2025-06-19"/>
    <s v="6 MONTHS WARRANTY"/>
    <n v="1"/>
    <n v="1925"/>
    <n v="5500"/>
    <n v="5500"/>
    <s v="MARITESS"/>
  </r>
  <r>
    <x v="37"/>
    <s v="OUT OF NOWHERE KITCHEN INC - SO-090"/>
    <s v="SO-090"/>
    <s v="OUT OF NOWHERE KITCHEN INC"/>
    <s v="OON"/>
    <s v="GENERIC"/>
    <s v="N/A"/>
    <s v="2025-06-19"/>
    <s v="BIR APPLICATION"/>
    <n v="1"/>
    <n v="500"/>
    <n v="500"/>
    <n v="500"/>
    <s v="MARITESS"/>
  </r>
  <r>
    <x v="98"/>
    <s v="OUT OF NOWHERE KITCHEN INC - SO-091"/>
    <s v="SO-091"/>
    <s v="OUT OF NOWHERE KITCHEN INC"/>
    <s v="TONALA (OON)"/>
    <s v="GENERIC"/>
    <s v="N/A"/>
    <s v="2025-06-19"/>
    <s v="BACCHUS SQL VER 7"/>
    <n v="1"/>
    <n v="2975"/>
    <n v="8500"/>
    <n v="8500"/>
    <s v="MARITESS"/>
  </r>
  <r>
    <x v="98"/>
    <s v="OUT OF NOWHERE KITCHEN INC - SO-091"/>
    <s v="SO-091"/>
    <s v="OUT OF NOWHERE KITCHEN INC"/>
    <s v="TONALA (OON)"/>
    <s v="GENERIC"/>
    <s v="N/A"/>
    <s v="2025-06-19"/>
    <s v="ROLLOUT IMPLEMENTATION"/>
    <n v="1"/>
    <n v="1925"/>
    <n v="5500"/>
    <n v="5500"/>
    <s v="MARITESS"/>
  </r>
  <r>
    <x v="98"/>
    <s v="OUT OF NOWHERE KITCHEN INC - SO-091"/>
    <s v="SO-091"/>
    <s v="OUT OF NOWHERE KITCHEN INC"/>
    <s v="TONALA (OON)"/>
    <s v="GENERIC"/>
    <s v="N/A"/>
    <s v="2025-06-19"/>
    <s v="6 MONTHS WARRANTY"/>
    <n v="1"/>
    <n v="1925"/>
    <n v="5500"/>
    <n v="5500"/>
    <s v="MARITESS"/>
  </r>
  <r>
    <x v="98"/>
    <s v="OUT OF NOWHERE KITCHEN INC - SO-091"/>
    <s v="SO-091"/>
    <s v="OUT OF NOWHERE KITCHEN INC"/>
    <s v="TONALA (OON)"/>
    <s v="GENERIC"/>
    <s v="N/A"/>
    <s v="2025-06-19"/>
    <s v="BIR APPLICATION"/>
    <n v="1"/>
    <n v="500"/>
    <n v="500"/>
    <n v="500"/>
    <s v="MARITESS"/>
  </r>
  <r>
    <x v="9"/>
    <s v="CHICKEN DELI - SO-091"/>
    <s v="SO-091"/>
    <s v="CHICKEN DELI"/>
    <s v="OJO EYEWEAR"/>
    <s v="GENERIC"/>
    <s v="N/A"/>
    <s v="2025-05-16"/>
    <s v="WINDOWS 11 PRO 64 BIT"/>
    <n v="2"/>
    <n v="2500"/>
    <n v="4000"/>
    <n v="8000"/>
    <s v="MARITESS"/>
  </r>
  <r>
    <x v="99"/>
    <s v="BEDA FOOD VENTURES INC - SO-092"/>
    <s v="SO-092"/>
    <s v="BEDA FOOD VENTURES INC"/>
    <s v="BACOLOD CHICKEN"/>
    <s v="GENERIC"/>
    <s v="N/A"/>
    <s v="2025-06-19"/>
    <s v="POSTECH 15&quot; TOUCHSCREEN MONITOR"/>
    <n v="1"/>
    <n v="11000"/>
    <n v="16100"/>
    <n v="16100"/>
    <s v="MARITESS"/>
  </r>
  <r>
    <x v="99"/>
    <s v="BEDA FOOD VENTURES INC - SO-092"/>
    <s v="SO-092"/>
    <s v="BEDA FOOD VENTURES INC"/>
    <s v="BACOLOD CHICKEN"/>
    <s v="GENERIC"/>
    <s v="N/A"/>
    <s v="2025-06-19"/>
    <s v="DELIVERY FEE"/>
    <n v="1"/>
    <n v="0"/>
    <n v="400"/>
    <n v="400"/>
    <s v="MARITESS"/>
  </r>
  <r>
    <x v="2"/>
    <s v="CHICKEN DELI - SO-092"/>
    <s v="SO-092"/>
    <s v="CHICKEN DELI"/>
    <s v="GONGCHA"/>
    <s v="GENERIC"/>
    <s v="N/A"/>
    <s v="2025-05-16"/>
    <s v="TSCERES"/>
    <n v="1"/>
    <n v="2975"/>
    <n v="8500"/>
    <n v="8500"/>
    <s v="MARITESS"/>
  </r>
  <r>
    <x v="2"/>
    <s v="CHICKEN DELI - SO-092"/>
    <s v="SO-092"/>
    <s v="CHICKEN DELI"/>
    <s v="GONGCHA"/>
    <s v="GENERIC"/>
    <s v="N/A"/>
    <s v="2025-05-16"/>
    <s v="ROLL OUT"/>
    <n v="1"/>
    <n v="10500"/>
    <n v="10500"/>
    <n v="10500"/>
    <s v="MARITESS"/>
  </r>
  <r>
    <x v="2"/>
    <s v="CHICKEN DELI - SO-092"/>
    <s v="SO-092"/>
    <s v="CHICKEN DELI"/>
    <s v="GONGCHA"/>
    <s v="GENERIC"/>
    <s v="N/A"/>
    <s v="2025-05-16"/>
    <s v="IMPLEMENTATION"/>
    <n v="1"/>
    <n v="10500"/>
    <n v="10500"/>
    <n v="10500"/>
    <s v="MARITESS"/>
  </r>
  <r>
    <x v="2"/>
    <s v="CHICKEN DELI - SO-092"/>
    <s v="SO-092"/>
    <s v="CHICKEN DELI"/>
    <s v="GONGCHA"/>
    <s v="GENERIC"/>
    <s v="N/A"/>
    <s v="2025-05-16"/>
    <s v="BIR REG."/>
    <n v="1"/>
    <n v="500"/>
    <n v="500"/>
    <n v="500"/>
    <s v="MARITESS"/>
  </r>
  <r>
    <x v="58"/>
    <s v="CHICKEN DELI - SO-093"/>
    <s v="SO-093"/>
    <s v="CHICKEN DELI"/>
    <s v="SHISEIDO"/>
    <s v="GENERIC"/>
    <s v="N/A"/>
    <s v="2025-05-26"/>
    <s v="PREVENTIVE MAINTENANCE:"/>
    <n v="1"/>
    <n v="12000"/>
    <n v="12000"/>
    <n v="12000"/>
    <s v="MARITESS"/>
  </r>
  <r>
    <x v="58"/>
    <s v="CHICKEN DELI - SO-093"/>
    <s v="SO-093"/>
    <s v="CHICKEN DELI"/>
    <s v="SHISEIDO"/>
    <s v="GENERIC"/>
    <s v="N/A"/>
    <s v="2025-05-26"/>
    <s v="DIOR THE PODIUM"/>
    <n v="1"/>
    <n v="12000"/>
    <n v="12000"/>
    <n v="12000"/>
    <s v="MARITESS"/>
  </r>
  <r>
    <x v="58"/>
    <s v="CHICKEN DELI - SO-093"/>
    <s v="SO-093"/>
    <s v="CHICKEN DELI"/>
    <s v="SHISEIDO"/>
    <s v="GENERIC"/>
    <s v="N/A"/>
    <s v="2025-05-26"/>
    <s v="DIOR SM AURA"/>
    <n v="1"/>
    <n v="12000"/>
    <n v="12000"/>
    <n v="12000"/>
    <s v="MARITESS"/>
  </r>
  <r>
    <x v="58"/>
    <s v="CHICKEN DELI - SO-093"/>
    <s v="SO-093"/>
    <s v="CHICKEN DELI"/>
    <s v="SHISEIDO"/>
    <s v="GENERIC"/>
    <s v="N/A"/>
    <s v="2025-05-26"/>
    <s v="DIOR SM MOA"/>
    <n v="1"/>
    <n v="12000"/>
    <n v="12000"/>
    <n v="12000"/>
    <s v="MARITESS"/>
  </r>
  <r>
    <x v="58"/>
    <s v="CHICKEN DELI - SO-093"/>
    <s v="SO-093"/>
    <s v="CHICKEN DELI"/>
    <s v="SHISEIDO"/>
    <s v="GENERIC"/>
    <s v="N/A"/>
    <s v="2025-05-26"/>
    <s v="BENEFIT SM MEGAMALL"/>
    <n v="1"/>
    <n v="12000"/>
    <n v="12000"/>
    <n v="12000"/>
    <s v="MARITESS"/>
  </r>
  <r>
    <x v="58"/>
    <s v="CHICKEN DELI - SO-093"/>
    <s v="SO-093"/>
    <s v="CHICKEN DELI"/>
    <s v="SHISEIDO"/>
    <s v="GENERIC"/>
    <s v="N/A"/>
    <s v="2025-05-26"/>
    <s v="SHISEIDO MEGAMALL"/>
    <n v="1"/>
    <n v="12000"/>
    <n v="12000"/>
    <n v="12000"/>
    <s v="MARITESS"/>
  </r>
  <r>
    <x v="100"/>
    <s v="SIMBAJON ROEL MARALA - SO-093"/>
    <s v="SO-093"/>
    <s v="SIMBAJON ROEL MARALA"/>
    <s v="FRUITS IN ICE CREAM"/>
    <s v="GENERIC"/>
    <s v="N/A"/>
    <s v="2025-06-23"/>
    <s v="TS CERES SQL VER. 6 - LITE"/>
    <n v="1"/>
    <n v="2975"/>
    <n v="8500"/>
    <n v="8500"/>
    <s v="MARITESS"/>
  </r>
  <r>
    <x v="100"/>
    <s v="SIMBAJON ROEL MARALA - SO-093"/>
    <s v="SO-093"/>
    <s v="SIMBAJON ROEL MARALA"/>
    <s v="FRUITS IN ICE CREAM"/>
    <s v="GENERIC"/>
    <s v="N/A"/>
    <s v="2025-06-23"/>
    <s v="ROLLOUT IMPLEMENTATION"/>
    <n v="1"/>
    <n v="2800"/>
    <n v="8000"/>
    <n v="8000"/>
    <s v="MARITESS"/>
  </r>
  <r>
    <x v="100"/>
    <s v="SIMBAJON ROEL MARALA - SO-093"/>
    <s v="SO-093"/>
    <s v="SIMBAJON ROEL MARALA"/>
    <s v="FRUITS IN ICE CREAM"/>
    <s v="GENERIC"/>
    <s v="N/A"/>
    <s v="2025-06-23"/>
    <s v="ONE YEAR WARRANTY"/>
    <n v="1"/>
    <n v="2800"/>
    <n v="8000"/>
    <n v="8000"/>
    <s v="MARITESS"/>
  </r>
  <r>
    <x v="100"/>
    <s v="SIMBAJON ROEL MARALA - SO-093"/>
    <s v="SO-093"/>
    <s v="SIMBAJON ROEL MARALA"/>
    <s v="FRUITS IN ICE CREAM"/>
    <s v="GENERIC"/>
    <s v="N/A"/>
    <s v="2025-06-23"/>
    <s v="BIR REGISTRATION"/>
    <n v="1"/>
    <n v="500"/>
    <n v="500"/>
    <n v="500"/>
    <s v="MARITESS"/>
  </r>
  <r>
    <x v="101"/>
    <s v="TRE FIL HOLDINGS CORPORATION - SO-094"/>
    <s v="SO-094"/>
    <s v="TRE FIL HOLDINGS CORPORATION"/>
    <s v="COLONIAL CREAMERY"/>
    <s v="SM MARIKINA"/>
    <s v="50% DOWNPAYMENT, 50% 35 DAYS PDC"/>
    <s v="2025-06-23"/>
    <s v="TSCERES SQL VER. 6"/>
    <n v="1"/>
    <n v="3675"/>
    <n v="10500"/>
    <n v="10500"/>
    <s v="RUDELYN"/>
  </r>
  <r>
    <x v="101"/>
    <s v="TRE FIL HOLDINGS CORPORATION - SO-094"/>
    <s v="SO-094"/>
    <s v="TRE FIL HOLDINGS CORPORATION"/>
    <s v="COLONIAL CREAMERY"/>
    <s v="SM MARIKINA"/>
    <s v="50% DOWNPAYMENT, 50% 35 DAYS PDC"/>
    <s v="2025-06-23"/>
    <s v="ROLLOUT IMPLEMENTATION"/>
    <n v="1"/>
    <n v="3255"/>
    <n v="9300"/>
    <n v="9300"/>
    <s v="RUDELYN"/>
  </r>
  <r>
    <x v="101"/>
    <s v="TRE FIL HOLDINGS CORPORATION - SO-094"/>
    <s v="SO-094"/>
    <s v="TRE FIL HOLDINGS CORPORATION"/>
    <s v="COLONIAL CREAMERY"/>
    <s v="SM MARIKINA"/>
    <s v="50% DOWNPAYMENT, 50% 35 DAYS PDC"/>
    <s v="2025-06-23"/>
    <s v="1 YEAR WARRANTY"/>
    <n v="1"/>
    <n v="3220"/>
    <n v="9200"/>
    <n v="9200"/>
    <s v="RUDELYN"/>
  </r>
  <r>
    <x v="101"/>
    <s v="TRE FIL HOLDINGS CORPORATION - SO-094"/>
    <s v="SO-094"/>
    <s v="TRE FIL HOLDINGS CORPORATION"/>
    <s v="COLONIAL CREAMERY"/>
    <s v="SM MARIKINA"/>
    <s v="50% DOWNPAYMENT, 50% 35 DAYS PDC"/>
    <s v="2025-06-23"/>
    <s v="EPSON TMU220D USB PRINTER"/>
    <n v="1"/>
    <n v="8500"/>
    <n v="12000"/>
    <n v="12000"/>
    <s v="RUDELYN"/>
  </r>
  <r>
    <x v="101"/>
    <s v="TRE FIL HOLDINGS CORPORATION - SO-094"/>
    <s v="SO-094"/>
    <s v="TRE FIL HOLDINGS CORPORATION"/>
    <s v="COLONIAL CREAMERY"/>
    <s v="SM MARIKINA"/>
    <s v="50% DOWNPAYMENT, 50% 35 DAYS PDC"/>
    <s v="2025-06-23"/>
    <s v="APC UPS"/>
    <n v="1"/>
    <n v="2200"/>
    <n v="3000"/>
    <n v="3000"/>
    <s v="RUDELYN"/>
  </r>
  <r>
    <x v="101"/>
    <s v="TRE FIL HOLDINGS CORPORATION - SO-094"/>
    <s v="SO-094"/>
    <s v="TRE FIL HOLDINGS CORPORATION"/>
    <s v="COLONIAL CREAMERY"/>
    <s v="SM MARIKINA"/>
    <s v="50% DOWNPAYMENT, 50% 35 DAYS PDC"/>
    <s v="2025-06-23"/>
    <s v="POSHTECH 15&quot; TOUCHSCREEN MONITOR"/>
    <n v="1"/>
    <n v="10750"/>
    <n v="15000"/>
    <n v="15000"/>
    <s v="RUDELYN"/>
  </r>
  <r>
    <x v="101"/>
    <s v="TRE FIL HOLDINGS CORPORATION - SO-094"/>
    <s v="SO-094"/>
    <s v="TRE FIL HOLDINGS CORPORATION"/>
    <s v="COLONIAL CREAMERY"/>
    <s v="SM MARIKINA"/>
    <s v="50% DOWNPAYMENT, 50% 35 DAYS PDC"/>
    <s v="2025-06-23"/>
    <s v="MINI CASH DRAWER"/>
    <n v="1"/>
    <n v="1350"/>
    <n v="2500"/>
    <n v="2500"/>
    <s v="RUDELYN"/>
  </r>
  <r>
    <x v="101"/>
    <s v="TRE FIL HOLDINGS CORPORATION - SO-094"/>
    <s v="SO-094"/>
    <s v="TRE FIL HOLDINGS CORPORATION"/>
    <s v="COLONIAL CREAMERY"/>
    <s v="SM MARIKINA"/>
    <s v="50% DOWNPAYMENT, 50% 35 DAYS PDC"/>
    <s v="2025-06-23"/>
    <s v="EOS MINI CPU I5, 8GB RAM, 512 GB SSD"/>
    <n v="1"/>
    <n v="23450"/>
    <n v="32300"/>
    <n v="32300"/>
    <s v="RUDELYN"/>
  </r>
  <r>
    <x v="101"/>
    <s v="TRE FIL HOLDINGS CORPORATION - SO-094"/>
    <s v="SO-094"/>
    <s v="TRE FIL HOLDINGS CORPORATION"/>
    <s v="COLONIAL CREAMERY"/>
    <s v="SM MARIKINA"/>
    <s v="50% DOWNPAYMENT, 50% 35 DAYS PDC"/>
    <s v="2025-06-23"/>
    <s v="WINDOWS 11 PRO"/>
    <n v="1"/>
    <n v="2800"/>
    <n v="4000"/>
    <n v="4000"/>
    <s v="RUDELYN"/>
  </r>
  <r>
    <x v="101"/>
    <s v="TRE FIL HOLDINGS CORPORATION - SO-094"/>
    <s v="SO-094"/>
    <s v="TRE FIL HOLDINGS CORPORATION"/>
    <s v="COLONIAL CREAMERY"/>
    <s v="SM MARIKINA"/>
    <s v="50% DOWNPAYMENT, 50% 35 DAYS PDC"/>
    <s v="2025-06-23"/>
    <s v="KEYBOARD &amp; MOUSE"/>
    <n v="1"/>
    <n v="500"/>
    <n v="700"/>
    <n v="700"/>
    <s v="RUDELYN"/>
  </r>
  <r>
    <x v="101"/>
    <s v="TRE FIL HOLDINGS CORPORATION - SO-094"/>
    <s v="SO-094"/>
    <s v="TRE FIL HOLDINGS CORPORATION"/>
    <s v="COLONIAL CREAMERY"/>
    <s v="SM MARIKINA"/>
    <s v="50% DOWNPAYMENT, 50% 35 DAYS PDC"/>
    <s v="2025-06-23"/>
    <s v="EOS FAN WITH FAN COVER"/>
    <n v="1"/>
    <n v="350"/>
    <n v="500"/>
    <n v="500"/>
    <s v="RUDELYN"/>
  </r>
  <r>
    <x v="101"/>
    <s v="TRE FIL HOLDINGS CORPORATION - SO-094"/>
    <s v="SO-094"/>
    <s v="TRE FIL HOLDINGS CORPORATION"/>
    <s v="COLONIAL CREAMERY"/>
    <s v="SM MARIKINA"/>
    <s v="50% DOWNPAYMENT, 50% 35 DAYS PDC"/>
    <s v="2025-06-23"/>
    <s v="BIR REGISTRATION"/>
    <n v="1"/>
    <n v="500"/>
    <n v="500"/>
    <n v="500"/>
    <s v="RUDELYN"/>
  </r>
  <r>
    <x v="101"/>
    <s v="TRE FIL HOLDINGS CORPORATION - SO-094"/>
    <s v="SO-094"/>
    <s v="TRE FIL HOLDINGS CORPORATION"/>
    <s v="COLONIAL CREAMERY"/>
    <s v="SM MARIKINA"/>
    <s v="50% DOWNPAYMENT, 50% 35 DAYS PDC"/>
    <s v="2025-06-23"/>
    <s v="DELIVERY FEE"/>
    <n v="1"/>
    <n v="500"/>
    <n v="500"/>
    <n v="500"/>
    <s v="RUDELYN"/>
  </r>
  <r>
    <x v="9"/>
    <s v="CHICKEN DELI - SO-094"/>
    <s v="SO-094"/>
    <s v="CHICKEN DELI"/>
    <s v="OJO EYEWEAR"/>
    <s v="GENERIC"/>
    <s v="N/A"/>
    <s v="2025-05-28"/>
    <s v="RDMSV3+"/>
    <n v="1"/>
    <n v="3675"/>
    <n v="10500"/>
    <n v="10500"/>
    <s v="MARITESS"/>
  </r>
  <r>
    <x v="9"/>
    <s v="CHICKEN DELI - SO-094"/>
    <s v="SO-094"/>
    <s v="CHICKEN DELI"/>
    <s v="OJO EYEWEAR"/>
    <s v="GENERIC"/>
    <s v="N/A"/>
    <s v="2025-05-28"/>
    <s v="ROLL OUT/IMPLEMENTATION"/>
    <n v="1"/>
    <n v="9750"/>
    <n v="9750"/>
    <n v="9750"/>
    <s v="MARITESS"/>
  </r>
  <r>
    <x v="9"/>
    <s v="CHICKEN DELI - SO-094"/>
    <s v="SO-094"/>
    <s v="CHICKEN DELI"/>
    <s v="OJO EYEWEAR"/>
    <s v="GENERIC"/>
    <s v="N/A"/>
    <s v="2025-05-28"/>
    <s v="ONE YEAR WARRANTY"/>
    <n v="1"/>
    <n v="9750"/>
    <n v="9750"/>
    <n v="9750"/>
    <s v="MARITESS"/>
  </r>
  <r>
    <x v="9"/>
    <s v="CHICKEN DELI - SO-094"/>
    <s v="SO-094"/>
    <s v="CHICKEN DELI"/>
    <s v="OJO EYEWEAR"/>
    <s v="GENERIC"/>
    <s v="N/A"/>
    <s v="2025-05-28"/>
    <s v="DESKTOP INTEL CORE I5 8GB"/>
    <n v="1"/>
    <n v="18700"/>
    <n v="27500"/>
    <n v="27500"/>
    <s v="MARITESS"/>
  </r>
  <r>
    <x v="9"/>
    <s v="CHICKEN DELI - SO-094"/>
    <s v="SO-094"/>
    <s v="CHICKEN DELI"/>
    <s v="OJO EYEWEAR"/>
    <s v="GENERIC"/>
    <s v="N/A"/>
    <s v="2025-05-28"/>
    <s v="KINGSTON NVM.2"/>
    <n v="1"/>
    <n v="2800"/>
    <n v="4000"/>
    <n v="4000"/>
    <s v="MARITESS"/>
  </r>
  <r>
    <x v="9"/>
    <s v="CHICKEN DELI - SO-094"/>
    <s v="SO-094"/>
    <s v="CHICKEN DELI"/>
    <s v="OJO EYEWEAR"/>
    <s v="GENERIC"/>
    <s v="N/A"/>
    <s v="2025-05-28"/>
    <s v="BIR REG."/>
    <n v="1"/>
    <n v="500"/>
    <n v="500"/>
    <n v="500"/>
    <s v="MARITESS"/>
  </r>
  <r>
    <x v="9"/>
    <s v="CHICKEN DELI - SO-094"/>
    <s v="SO-094"/>
    <s v="CHICKEN DELI"/>
    <s v="OJO EYEWEAR"/>
    <s v="GENERIC"/>
    <s v="N/A"/>
    <s v="2025-05-28"/>
    <s v="ACER LCD MONITOR"/>
    <n v="1"/>
    <n v="4250"/>
    <n v="6500"/>
    <n v="6500"/>
    <s v="MARITESS"/>
  </r>
  <r>
    <x v="9"/>
    <s v="CHICKEN DELI - SO-094"/>
    <s v="SO-094"/>
    <s v="CHICKEN DELI"/>
    <s v="OJO EYEWEAR"/>
    <s v="GENERIC"/>
    <s v="N/A"/>
    <s v="2025-05-28"/>
    <s v="EPSON TMU220D"/>
    <n v="1"/>
    <n v="8500"/>
    <n v="12100"/>
    <n v="12100"/>
    <s v="MARITESS"/>
  </r>
  <r>
    <x v="9"/>
    <s v="CHICKEN DELI - SO-094"/>
    <s v="SO-094"/>
    <s v="CHICKEN DELI"/>
    <s v="OJO EYEWEAR"/>
    <s v="GENERIC"/>
    <s v="N/A"/>
    <s v="2025-05-28"/>
    <s v="WINDOWS 11"/>
    <n v="1"/>
    <n v="2800"/>
    <n v="4000"/>
    <n v="4000"/>
    <s v="MARITESS"/>
  </r>
  <r>
    <x v="9"/>
    <s v="CHICKEN DELI - SO-094"/>
    <s v="SO-094"/>
    <s v="CHICKEN DELI"/>
    <s v="OJO EYEWEAR"/>
    <s v="GENERIC"/>
    <s v="N/A"/>
    <s v="2025-05-28"/>
    <s v="DELIVERY CHARGE"/>
    <n v="1"/>
    <n v="500"/>
    <n v="500"/>
    <n v="500"/>
    <s v="MARITESS"/>
  </r>
  <r>
    <x v="39"/>
    <s v="SIMPLY GOURMET FOOD CORP NO COR YET - SO-095"/>
    <s v="SO-095"/>
    <s v="SIMPLY GOURMET FOOD CORP NO COR YET"/>
    <s v="CHA TRA MUE"/>
    <s v="SM MOA"/>
    <s v="COD"/>
    <s v="2025-06-25"/>
    <s v="GODEX EZ120 BARCODE PRINTER"/>
    <n v="1"/>
    <n v="8000"/>
    <n v="11965"/>
    <n v="11965"/>
    <s v="RUDELYN"/>
  </r>
  <r>
    <x v="39"/>
    <s v="SIMPLY GOURMET FOOD CORP NO COR YET - SO-095"/>
    <s v="SO-095"/>
    <s v="SIMPLY GOURMET FOOD CORP NO COR YET"/>
    <s v="CHA TRA MUE"/>
    <s v="SM MOA"/>
    <s v="COD"/>
    <s v="2025-06-25"/>
    <s v="BARCODE STICKER (4X3)CM"/>
    <n v="3"/>
    <n v="30"/>
    <n v="45"/>
    <n v="135"/>
    <s v="RUDELYN"/>
  </r>
  <r>
    <x v="39"/>
    <s v="SIMPLY GOURMET FOOD CORP NO COR YET - SO-095"/>
    <s v="SO-095"/>
    <s v="SIMPLY GOURMET FOOD CORP NO COR YET"/>
    <s v="CHA TRA MUE"/>
    <s v="SM MOA"/>
    <s v="COD"/>
    <s v="2025-06-25"/>
    <s v="DELIVERY FEE"/>
    <n v="1"/>
    <n v="400"/>
    <n v="400"/>
    <n v="400"/>
    <s v="RUDELYN"/>
  </r>
  <r>
    <x v="9"/>
    <s v="CHICKEN DELI - SO-095"/>
    <s v="SO-095"/>
    <s v="CHICKEN DELI"/>
    <s v="OJO EYEWEAR"/>
    <s v="GENERIC"/>
    <s v="N/A"/>
    <s v="2025-05-28"/>
    <s v="RDMSV3+"/>
    <n v="1"/>
    <n v="3675"/>
    <n v="10500"/>
    <n v="10500"/>
    <s v="MARITESS"/>
  </r>
  <r>
    <x v="9"/>
    <s v="CHICKEN DELI - SO-095"/>
    <s v="SO-095"/>
    <s v="CHICKEN DELI"/>
    <s v="OJO EYEWEAR"/>
    <s v="GENERIC"/>
    <s v="N/A"/>
    <s v="2025-05-28"/>
    <s v="ROLL OUT/IMPLEMENTATION"/>
    <n v="1"/>
    <n v="9750"/>
    <n v="9750"/>
    <n v="9750"/>
    <s v="MARITESS"/>
  </r>
  <r>
    <x v="9"/>
    <s v="CHICKEN DELI - SO-095"/>
    <s v="SO-095"/>
    <s v="CHICKEN DELI"/>
    <s v="OJO EYEWEAR"/>
    <s v="GENERIC"/>
    <s v="N/A"/>
    <s v="2025-05-28"/>
    <s v="ONE YEAR WARRANTY"/>
    <n v="1"/>
    <n v="9750"/>
    <n v="9750"/>
    <n v="9750"/>
    <s v="MARITESS"/>
  </r>
  <r>
    <x v="9"/>
    <s v="CHICKEN DELI - SO-095"/>
    <s v="SO-095"/>
    <s v="CHICKEN DELI"/>
    <s v="OJO EYEWEAR"/>
    <s v="GENERIC"/>
    <s v="N/A"/>
    <s v="2025-05-28"/>
    <s v="DESKTOP INTEL CORE I5 8GB"/>
    <n v="1"/>
    <n v="18700"/>
    <n v="27500"/>
    <n v="27500"/>
    <s v="MARITESS"/>
  </r>
  <r>
    <x v="9"/>
    <s v="CHICKEN DELI - SO-095"/>
    <s v="SO-095"/>
    <s v="CHICKEN DELI"/>
    <s v="OJO EYEWEAR"/>
    <s v="GENERIC"/>
    <s v="N/A"/>
    <s v="2025-05-28"/>
    <s v="KINGSTON NVM.2"/>
    <n v="1"/>
    <n v="2800"/>
    <n v="4000"/>
    <n v="4000"/>
    <s v="MARITESS"/>
  </r>
  <r>
    <x v="9"/>
    <s v="CHICKEN DELI - SO-095"/>
    <s v="SO-095"/>
    <s v="CHICKEN DELI"/>
    <s v="OJO EYEWEAR"/>
    <s v="GENERIC"/>
    <s v="N/A"/>
    <s v="2025-05-28"/>
    <s v="BIR REG."/>
    <n v="1"/>
    <n v="500"/>
    <n v="500"/>
    <n v="500"/>
    <s v="MARITESS"/>
  </r>
  <r>
    <x v="9"/>
    <s v="CHICKEN DELI - SO-095"/>
    <s v="SO-095"/>
    <s v="CHICKEN DELI"/>
    <s v="OJO EYEWEAR"/>
    <s v="GENERIC"/>
    <s v="N/A"/>
    <s v="2025-05-28"/>
    <s v="ACER LCD MONITOR"/>
    <n v="1"/>
    <n v="4250"/>
    <n v="6500"/>
    <n v="6500"/>
    <s v="MARITESS"/>
  </r>
  <r>
    <x v="9"/>
    <s v="CHICKEN DELI - SO-095"/>
    <s v="SO-095"/>
    <s v="CHICKEN DELI"/>
    <s v="OJO EYEWEAR"/>
    <s v="GENERIC"/>
    <s v="N/A"/>
    <s v="2025-05-28"/>
    <s v="EPSON TMU220D"/>
    <n v="1"/>
    <n v="8500"/>
    <n v="12100"/>
    <n v="12100"/>
    <s v="MARITESS"/>
  </r>
  <r>
    <x v="9"/>
    <s v="CHICKEN DELI - SO-095"/>
    <s v="SO-095"/>
    <s v="CHICKEN DELI"/>
    <s v="OJO EYEWEAR"/>
    <s v="GENERIC"/>
    <s v="N/A"/>
    <s v="2025-05-28"/>
    <s v="WINDOWS 11"/>
    <n v="1"/>
    <n v="2800"/>
    <n v="4000"/>
    <n v="4000"/>
    <s v="MARITESS"/>
  </r>
  <r>
    <x v="9"/>
    <s v="CHICKEN DELI - SO-095"/>
    <s v="SO-095"/>
    <s v="CHICKEN DELI"/>
    <s v="OJO EYEWEAR"/>
    <s v="GENERIC"/>
    <s v="N/A"/>
    <s v="2025-05-28"/>
    <s v="DELIVERY CHARGE"/>
    <n v="1"/>
    <n v="500"/>
    <n v="500"/>
    <n v="500"/>
    <s v="MARITESS"/>
  </r>
  <r>
    <x v="2"/>
    <s v="CHICKEN DELI - SO-096"/>
    <s v="SO-096"/>
    <s v="CHICKEN DELI"/>
    <s v="GONGCHA"/>
    <s v="GENERIC"/>
    <s v="N/A"/>
    <s v="2025-06-03"/>
    <s v="PREVENTIVE MAINTENANCE"/>
    <n v="1"/>
    <n v="6500"/>
    <n v="6500"/>
    <n v="6500"/>
    <s v="MARITESS"/>
  </r>
  <r>
    <x v="102"/>
    <s v="SAINT MICHAEL FOODS OPC - SO-096"/>
    <s v="SO-096"/>
    <s v="SAINT MICHAEL FOODS OPC"/>
    <s v="MALAYA'S CAFÉ"/>
    <s v="GENERIC"/>
    <s v="50% DOWNPAMENT UPON CONFORME/"/>
    <s v="2025-06-26"/>
    <s v="TSCERES SQL VER. 6"/>
    <n v="1"/>
    <n v="3675"/>
    <n v="10500"/>
    <n v="10500"/>
    <s v="MARITESS"/>
  </r>
  <r>
    <x v="102"/>
    <s v="SAINT MICHAEL FOODS OPC - SO-096"/>
    <s v="SO-096"/>
    <s v="SAINT MICHAEL FOODS OPC"/>
    <s v="MALAYA'S CAFÉ"/>
    <s v="GENERIC"/>
    <s v="50% DOWNPAMENT UPON CONFORME/"/>
    <s v="2025-06-26"/>
    <s v="ROLLOUT IMPLEMENTATION"/>
    <n v="1"/>
    <n v="2975"/>
    <n v="8500"/>
    <n v="8500"/>
    <s v="MARITESS"/>
  </r>
  <r>
    <x v="102"/>
    <s v="SAINT MICHAEL FOODS OPC - SO-096"/>
    <s v="SO-096"/>
    <s v="SAINT MICHAEL FOODS OPC"/>
    <s v="MALAYA'S CAFÉ"/>
    <s v="GENERIC"/>
    <s v="50% DOWNPAMENT UPON CONFORME/"/>
    <s v="2025-06-26"/>
    <s v="ONE YEAR WARRANTY"/>
    <n v="1"/>
    <n v="2975"/>
    <n v="8500"/>
    <n v="8500"/>
    <s v="MARITESS"/>
  </r>
  <r>
    <x v="102"/>
    <s v="SAINT MICHAEL FOODS OPC - SO-096"/>
    <s v="SO-096"/>
    <s v="SAINT MICHAEL FOODS OPC"/>
    <s v="MALAYA'S CAFÉ"/>
    <s v="GENERIC"/>
    <s v="50% DOWNPAMENT UPON CONFORME/"/>
    <s v="2025-06-26"/>
    <s v="BIR REGISTRATION"/>
    <n v="1"/>
    <n v="500"/>
    <n v="500"/>
    <n v="500"/>
    <s v="MARITESS"/>
  </r>
  <r>
    <x v="102"/>
    <s v="SAINT MICHAEL FOODS OPC - SO-096"/>
    <s v="SO-096"/>
    <s v="SAINT MICHAEL FOODS OPC"/>
    <s v="MALAYA'S CAFÉ"/>
    <s v="GENERIC"/>
    <s v="50% DOWNPAMENT UPON CONFORME/"/>
    <s v="2025-06-26"/>
    <s v="DESKTOP CPU I5, 8GB RAM, 512 GB SSD"/>
    <n v="1"/>
    <n v="21500"/>
    <n v="31500"/>
    <n v="31500"/>
    <s v="MARITESS"/>
  </r>
  <r>
    <x v="102"/>
    <s v="SAINT MICHAEL FOODS OPC - SO-096"/>
    <s v="SO-096"/>
    <s v="SAINT MICHAEL FOODS OPC"/>
    <s v="MALAYA'S CAFÉ"/>
    <s v="GENERIC"/>
    <s v="50% DOWNPAMENT UPON CONFORME/"/>
    <s v="2025-06-26"/>
    <s v="WINDOWS 11 PRO"/>
    <n v="1"/>
    <n v="2800"/>
    <n v="4000"/>
    <n v="4000"/>
    <s v="MARITESS"/>
  </r>
  <r>
    <x v="103"/>
    <s v="SAINT MICHAEL FOODS OPC - SO-097"/>
    <s v="SO-097"/>
    <s v="SAINT MICHAEL FOODS OPC"/>
    <s v="DANIELITO'S HOME KITCHEN"/>
    <s v="GENERIC"/>
    <s v="50% DOWNPAMENT UPON CONFORME/"/>
    <s v="2025-06-26"/>
    <s v="SOFTWARE: BACCHUS SQL VER. 7"/>
    <n v="1"/>
    <n v="3675"/>
    <n v="10500"/>
    <n v="10500"/>
    <s v="MARITESS"/>
  </r>
  <r>
    <x v="103"/>
    <s v="SAINT MICHAEL FOODS OPC - SO-097"/>
    <s v="SO-097"/>
    <s v="SAINT MICHAEL FOODS OPC"/>
    <s v="DANIELITO'S HOME KITCHEN"/>
    <s v="GENERIC"/>
    <s v="50% DOWNPAMENT UPON CONFORME/"/>
    <s v="2025-06-26"/>
    <s v="ROLLOUT IMPLEMENTATION"/>
    <n v="1"/>
    <n v="2975"/>
    <n v="8500"/>
    <n v="8500"/>
    <s v="MARITESS"/>
  </r>
  <r>
    <x v="103"/>
    <s v="SAINT MICHAEL FOODS OPC - SO-097"/>
    <s v="SO-097"/>
    <s v="SAINT MICHAEL FOODS OPC"/>
    <s v="DANIELITO'S HOME KITCHEN"/>
    <s v="GENERIC"/>
    <s v="50% DOWNPAMENT UPON CONFORME/"/>
    <s v="2025-06-26"/>
    <s v="ONE YEAR WARRANTY"/>
    <n v="1"/>
    <n v="2975"/>
    <n v="8500"/>
    <n v="8500"/>
    <s v="MARITESS"/>
  </r>
  <r>
    <x v="103"/>
    <s v="SAINT MICHAEL FOODS OPC - SO-097"/>
    <s v="SO-097"/>
    <s v="SAINT MICHAEL FOODS OPC"/>
    <s v="DANIELITO'S HOME KITCHEN"/>
    <s v="GENERIC"/>
    <s v="50% DOWNPAMENT UPON CONFORME/"/>
    <s v="2025-06-26"/>
    <s v="BIR REGISTRATION"/>
    <n v="1"/>
    <n v="500"/>
    <n v="500"/>
    <n v="500"/>
    <s v="MARITESS"/>
  </r>
  <r>
    <x v="103"/>
    <s v="SAINT MICHAEL FOODS OPC - SO-097"/>
    <s v="SO-097"/>
    <s v="SAINT MICHAEL FOODS OPC"/>
    <s v="DANIELITO'S HOME KITCHEN"/>
    <s v="GENERIC"/>
    <s v="50% DOWNPAMENT UPON CONFORME/"/>
    <s v="2025-06-26"/>
    <s v="SOFTWARE: ORDERING STATION"/>
    <n v="1"/>
    <n v="3500"/>
    <n v="10000"/>
    <n v="10000"/>
    <s v="MARITESS"/>
  </r>
  <r>
    <x v="103"/>
    <s v="SAINT MICHAEL FOODS OPC - SO-097"/>
    <s v="SO-097"/>
    <s v="SAINT MICHAEL FOODS OPC"/>
    <s v="DANIELITO'S HOME KITCHEN"/>
    <s v="GENERIC"/>
    <s v="50% DOWNPAMENT UPON CONFORME/"/>
    <s v="2025-06-26"/>
    <s v="ROLLOUT IMPLEMENTATION"/>
    <n v="1"/>
    <n v="1750"/>
    <n v="5000"/>
    <n v="5000"/>
    <s v="MARITESS"/>
  </r>
  <r>
    <x v="103"/>
    <s v="SAINT MICHAEL FOODS OPC - SO-097"/>
    <s v="SO-097"/>
    <s v="SAINT MICHAEL FOODS OPC"/>
    <s v="DANIELITO'S HOME KITCHEN"/>
    <s v="GENERIC"/>
    <s v="50% DOWNPAMENT UPON CONFORME/"/>
    <s v="2025-06-26"/>
    <s v="ONE YEAR WARRANTY"/>
    <n v="1"/>
    <n v="1750"/>
    <n v="5000"/>
    <n v="5000"/>
    <s v="MARITESS"/>
  </r>
  <r>
    <x v="103"/>
    <s v="SAINT MICHAEL FOODS OPC - SO-097"/>
    <s v="SO-097"/>
    <s v="SAINT MICHAEL FOODS OPC"/>
    <s v="DANIELITO'S HOME KITCHEN"/>
    <s v="GENERIC"/>
    <s v="50% DOWNPAMENT UPON CONFORME/"/>
    <s v="2025-06-26"/>
    <s v="DESKTOP CPU I5, 8GB RAM, 512 GB SSD"/>
    <n v="1"/>
    <n v="21500"/>
    <n v="31500"/>
    <n v="31500"/>
    <s v="MARITESS"/>
  </r>
  <r>
    <x v="103"/>
    <s v="SAINT MICHAEL FOODS OPC - SO-097"/>
    <s v="SO-097"/>
    <s v="SAINT MICHAEL FOODS OPC"/>
    <s v="DANIELITO'S HOME KITCHEN"/>
    <s v="GENERIC"/>
    <s v="50% DOWNPAMENT UPON CONFORME/"/>
    <s v="2025-06-26"/>
    <s v="WINDOWS 11 PRO"/>
    <n v="1"/>
    <n v="2800"/>
    <n v="4000"/>
    <n v="4000"/>
    <s v="MARITESS"/>
  </r>
  <r>
    <x v="2"/>
    <s v="CHICKEN DELI - SO-097"/>
    <s v="SO-097"/>
    <s v="CHICKEN DELI"/>
    <s v="GONGCHA"/>
    <s v="GENERIC"/>
    <s v="N/A"/>
    <s v="2025-06-03"/>
    <s v="PREVENTIVE MAINTENANCE"/>
    <n v="2"/>
    <n v="6500"/>
    <n v="6500"/>
    <n v="13000"/>
    <s v="MARITESS"/>
  </r>
  <r>
    <x v="103"/>
    <s v="SAINT MICHAEL FOODS OPC - SO-098"/>
    <s v="SO-098"/>
    <s v="SAINT MICHAEL FOODS OPC"/>
    <s v="DANIELITO'S HOME KITCHEN"/>
    <s v="GENERIC"/>
    <s v="50% DOWNPAMENT UPON CONFORME/"/>
    <s v="2025-06-25"/>
    <s v="SOFTWARE: BACCHUS SQL VER. 7"/>
    <n v="1"/>
    <n v="3675"/>
    <n v="10500"/>
    <n v="10500"/>
    <s v="MARITESS"/>
  </r>
  <r>
    <x v="103"/>
    <s v="SAINT MICHAEL FOODS OPC - SO-098"/>
    <s v="SO-098"/>
    <s v="SAINT MICHAEL FOODS OPC"/>
    <s v="DANIELITO'S HOME KITCHEN"/>
    <s v="GENERIC"/>
    <s v="50% DOWNPAMENT UPON CONFORME/"/>
    <s v="2025-06-25"/>
    <s v="ROLLOUT IMPLEMENTATION"/>
    <n v="1"/>
    <n v="2975"/>
    <n v="8500"/>
    <n v="8500"/>
    <s v="MARITESS"/>
  </r>
  <r>
    <x v="103"/>
    <s v="SAINT MICHAEL FOODS OPC - SO-098"/>
    <s v="SO-098"/>
    <s v="SAINT MICHAEL FOODS OPC"/>
    <s v="DANIELITO'S HOME KITCHEN"/>
    <s v="GENERIC"/>
    <s v="50% DOWNPAMENT UPON CONFORME/"/>
    <s v="2025-06-25"/>
    <s v="ONE YEAR WARRANTY"/>
    <n v="1"/>
    <n v="2975"/>
    <n v="8500"/>
    <n v="8500"/>
    <s v="MARITESS"/>
  </r>
  <r>
    <x v="103"/>
    <s v="SAINT MICHAEL FOODS OPC - SO-098"/>
    <s v="SO-098"/>
    <s v="SAINT MICHAEL FOODS OPC"/>
    <s v="DANIELITO'S HOME KITCHEN"/>
    <s v="GENERIC"/>
    <s v="50% DOWNPAMENT UPON CONFORME/"/>
    <s v="2025-06-25"/>
    <s v="BIR REGISTRATION"/>
    <n v="1"/>
    <n v="500"/>
    <n v="500"/>
    <n v="500"/>
    <s v="MARITESS"/>
  </r>
  <r>
    <x v="103"/>
    <s v="SAINT MICHAEL FOODS OPC - SO-098"/>
    <s v="SO-098"/>
    <s v="SAINT MICHAEL FOODS OPC"/>
    <s v="DANIELITO'S HOME KITCHEN"/>
    <s v="GENERIC"/>
    <s v="50% DOWNPAMENT UPON CONFORME/"/>
    <s v="2025-06-25"/>
    <s v="SOFTWARE: ORDERING STATION"/>
    <n v="1"/>
    <n v="3500"/>
    <n v="10000"/>
    <n v="10000"/>
    <s v="MARITESS"/>
  </r>
  <r>
    <x v="103"/>
    <s v="SAINT MICHAEL FOODS OPC - SO-098"/>
    <s v="SO-098"/>
    <s v="SAINT MICHAEL FOODS OPC"/>
    <s v="DANIELITO'S HOME KITCHEN"/>
    <s v="GENERIC"/>
    <s v="50% DOWNPAMENT UPON CONFORME/"/>
    <s v="2025-06-25"/>
    <s v="ROLLOUT IMPLEMENTATION"/>
    <n v="1"/>
    <n v="1750"/>
    <n v="5000"/>
    <n v="5000"/>
    <s v="MARITESS"/>
  </r>
  <r>
    <x v="103"/>
    <s v="SAINT MICHAEL FOODS OPC - SO-098"/>
    <s v="SO-098"/>
    <s v="SAINT MICHAEL FOODS OPC"/>
    <s v="DANIELITO'S HOME KITCHEN"/>
    <s v="GENERIC"/>
    <s v="50% DOWNPAMENT UPON CONFORME/"/>
    <s v="2025-06-25"/>
    <s v="ONE YEAR WARRANTY"/>
    <n v="1"/>
    <n v="1750"/>
    <n v="5000"/>
    <n v="5000"/>
    <s v="MARITESS"/>
  </r>
  <r>
    <x v="103"/>
    <s v="SAINT MICHAEL FOODS OPC - SO-098"/>
    <s v="SO-098"/>
    <s v="SAINT MICHAEL FOODS OPC"/>
    <s v="DANIELITO'S HOME KITCHEN"/>
    <s v="GENERIC"/>
    <s v="50% DOWNPAMENT UPON CONFORME/"/>
    <s v="2025-06-25"/>
    <s v="POSTECH TOUCHSCREEN MONITOR"/>
    <n v="1"/>
    <n v="11000"/>
    <n v="16000"/>
    <n v="16000"/>
    <s v="MARITESS"/>
  </r>
  <r>
    <x v="103"/>
    <s v="SAINT MICHAEL FOODS OPC - SO-098"/>
    <s v="SO-098"/>
    <s v="SAINT MICHAEL FOODS OPC"/>
    <s v="DANIELITO'S HOME KITCHEN"/>
    <s v="GENERIC"/>
    <s v="50% DOWNPAMENT UPON CONFORME/"/>
    <s v="2025-06-25"/>
    <s v="EPSON TMU220B LAN PRINTER"/>
    <n v="1"/>
    <n v="9500"/>
    <n v="13500"/>
    <n v="13500"/>
    <s v="MARITESS"/>
  </r>
  <r>
    <x v="103"/>
    <s v="SAINT MICHAEL FOODS OPC - SO-098"/>
    <s v="SO-098"/>
    <s v="SAINT MICHAEL FOODS OPC"/>
    <s v="DANIELITO'S HOME KITCHEN"/>
    <s v="GENERIC"/>
    <s v="50% DOWNPAMENT UPON CONFORME/"/>
    <s v="2025-06-25"/>
    <s v="DESKTOP CPU I5, 8GB RAM, 512 GB SSD"/>
    <n v="1"/>
    <n v="21500"/>
    <n v="31500"/>
    <n v="31500"/>
    <s v="MARITESS"/>
  </r>
  <r>
    <x v="103"/>
    <s v="SAINT MICHAEL FOODS OPC - SO-098"/>
    <s v="SO-098"/>
    <s v="SAINT MICHAEL FOODS OPC"/>
    <s v="DANIELITO'S HOME KITCHEN"/>
    <s v="GENERIC"/>
    <s v="50% DOWNPAMENT UPON CONFORME/"/>
    <s v="2025-06-25"/>
    <s v="WINDOWS 11 PRO"/>
    <n v="1"/>
    <n v="2800"/>
    <n v="4000"/>
    <n v="4000"/>
    <s v="MARITESS"/>
  </r>
  <r>
    <x v="2"/>
    <s v="CHICKEN DELI - SO-098"/>
    <s v="SO-098"/>
    <s v="CHICKEN DELI"/>
    <s v="GONGCHA"/>
    <s v="GENERIC"/>
    <s v="N/A"/>
    <s v="2025-06-03"/>
    <s v="PREVENTIVE MAINTENANCE"/>
    <n v="4"/>
    <n v="6500"/>
    <n v="6500"/>
    <n v="26000"/>
    <s v="MARITESS"/>
  </r>
  <r>
    <x v="2"/>
    <s v="CHICKEN DELI - SO-099"/>
    <s v="SO-099"/>
    <s v="CHICKEN DELI"/>
    <s v="GONGCHA"/>
    <s v="GENERIC"/>
    <s v="N/A"/>
    <s v="2025-06-03"/>
    <s v="PREVENTIVE MAINTENANCE"/>
    <n v="3"/>
    <n v="6500"/>
    <n v="6500"/>
    <n v="19500"/>
    <s v="MARITESS"/>
  </r>
  <r>
    <x v="91"/>
    <s v="MY GOLDEN TEA LEAF INC - SO-99"/>
    <s v="SO-99"/>
    <s v="MY GOLDEN TEA LEAF INC"/>
    <s v="SERENITEA"/>
    <s v="GENERIC"/>
    <s v="COD"/>
    <s v="2025-06-27"/>
    <s v="PRINTER HEAD"/>
    <n v="1"/>
    <n v="1100"/>
    <n v="1600"/>
    <n v="1600"/>
    <s v="MARITESS"/>
  </r>
  <r>
    <x v="91"/>
    <s v="MY GOLDEN TEA LEAF INC - SO-99"/>
    <s v="SO-99"/>
    <s v="MY GOLDEN TEA LEAF INC"/>
    <s v="SERENITEA"/>
    <s v="GENERIC"/>
    <s v="COD"/>
    <s v="2025-06-27"/>
    <s v="PRINTER HEAD CABLE"/>
    <n v="1"/>
    <n v="20"/>
    <n v="100"/>
    <n v="100"/>
    <s v="MARITESS"/>
  </r>
  <r>
    <x v="2"/>
    <s v="CHICKEN DELI - SO-100"/>
    <s v="SO-100"/>
    <s v="CHICKEN DELI"/>
    <s v="GONGCHA"/>
    <s v="GENERIC"/>
    <s v="N/A"/>
    <s v="2025-06-03"/>
    <s v="PREVENTIVE MAINTENANCE"/>
    <n v="1"/>
    <n v="6500"/>
    <n v="6500"/>
    <n v="6500"/>
    <s v="MARITESS"/>
  </r>
  <r>
    <x v="91"/>
    <s v="MY GOLDEN TEA LEAF INC - SO-100"/>
    <s v="SO-100"/>
    <s v="MY GOLDEN TEA LEAF INC"/>
    <s v="SERENITEA"/>
    <s v="GENERIC"/>
    <s v="COD"/>
    <s v="2025-06-27"/>
    <s v="EOS -HUNTKEY POWER ADAPTOR"/>
    <n v="1"/>
    <n v="1200"/>
    <n v="2000"/>
    <n v="2000"/>
    <s v="MARITESS"/>
  </r>
  <r>
    <x v="21"/>
    <s v="LIPA GRILLE RESTAURANT CO - SO-101"/>
    <s v="SO-101"/>
    <s v="LIPA GRILLE RESTAURANT CO"/>
    <s v="LIPA GRILLE"/>
    <s v="GENERIC"/>
    <s v="COD"/>
    <s v="2025-07-01"/>
    <s v="JOURNAL PAPER - DOUBLE PLY DELIVERY FEE"/>
    <n v="1500"/>
    <n v="32"/>
    <n v="50"/>
    <n v="75000"/>
    <s v="MARITESS"/>
  </r>
  <r>
    <x v="2"/>
    <s v="CHICKEN DELI - SO-101"/>
    <s v="SO-101"/>
    <s v="CHICKEN DELI"/>
    <s v="GONGCHA"/>
    <s v="GENERIC"/>
    <s v="N/A"/>
    <s v="2025-06-03"/>
    <s v="PREVENTIVE MAINTENANCE"/>
    <n v="1"/>
    <n v="6500"/>
    <n v="6500"/>
    <n v="6500"/>
    <s v="MARITESS"/>
  </r>
  <r>
    <x v="104"/>
    <s v="MADE NICE INC - SO-102"/>
    <s v="SO-102"/>
    <s v="MADE NICE INC"/>
    <s v="MADE NICE INC. - MAMOU"/>
    <s v="ROCKWELL"/>
    <s v="50% DOWNPAYMENT, 50% 35 DAYS PDC"/>
    <s v="2025-07-01"/>
    <s v="BACCHUS SQL VER. 7"/>
    <n v="1"/>
    <n v="3675"/>
    <n v="10500"/>
    <n v="10500"/>
    <s v="RUDELYN"/>
  </r>
  <r>
    <x v="104"/>
    <s v="MADE NICE INC - SO-102"/>
    <s v="SO-102"/>
    <s v="MADE NICE INC"/>
    <s v="MADE NICE INC. - MAMOU"/>
    <s v="ROCKWELL"/>
    <s v="50% DOWNPAYMENT, 50% 35 DAYS PDC"/>
    <s v="2025-07-01"/>
    <s v="ROLLOUT IMPLEMENTATION"/>
    <n v="1"/>
    <n v="4095"/>
    <n v="11700"/>
    <n v="11700"/>
    <s v="RUDELYN"/>
  </r>
  <r>
    <x v="104"/>
    <s v="MADE NICE INC - SO-102"/>
    <s v="SO-102"/>
    <s v="MADE NICE INC"/>
    <s v="MADE NICE INC. - MAMOU"/>
    <s v="ROCKWELL"/>
    <s v="50% DOWNPAYMENT, 50% 35 DAYS PDC"/>
    <s v="2025-07-01"/>
    <s v="1 YEAR WARRANTY"/>
    <n v="1"/>
    <n v="4095"/>
    <n v="11700"/>
    <n v="11700"/>
    <s v="RUDELYN"/>
  </r>
  <r>
    <x v="104"/>
    <s v="MADE NICE INC - SO-102"/>
    <s v="SO-102"/>
    <s v="MADE NICE INC"/>
    <s v="MADE NICE INC. - MAMOU"/>
    <s v="ROCKWELL"/>
    <s v="50% DOWNPAYMENT, 50% 35 DAYS PDC"/>
    <s v="2025-07-01"/>
    <s v="BIR APPLICATION"/>
    <n v="1"/>
    <n v="500"/>
    <n v="500"/>
    <n v="500"/>
    <s v="RUDELYN"/>
  </r>
  <r>
    <x v="104"/>
    <s v="MADE NICE INC - SO-102"/>
    <s v="SO-102"/>
    <s v="MADE NICE INC"/>
    <s v="MADE NICE INC. - MAMOU"/>
    <s v="ROCKWELL"/>
    <s v="50% DOWNPAYMENT, 50% 35 DAYS PDC"/>
    <s v="2025-07-01"/>
    <s v="15&quot; TOUCHSCREEN MONITOR"/>
    <n v="1"/>
    <n v="11000"/>
    <n v="16500"/>
    <n v="16500"/>
    <s v="RUDELYN"/>
  </r>
  <r>
    <x v="104"/>
    <s v="MADE NICE INC - SO-102"/>
    <s v="SO-102"/>
    <s v="MADE NICE INC"/>
    <s v="MADE NICE INC. - MAMOU"/>
    <s v="ROCKWELL"/>
    <s v="50% DOWNPAYMENT, 50% 35 DAYS PDC"/>
    <s v="2025-07-01"/>
    <s v="EPSON TM-T82X THERMAL PRINTER (LAN)"/>
    <n v="1"/>
    <n v="8500"/>
    <n v="12000"/>
    <n v="12000"/>
    <s v="RUDELYN"/>
  </r>
  <r>
    <x v="104"/>
    <s v="MADE NICE INC - SO-102"/>
    <s v="SO-102"/>
    <s v="MADE NICE INC"/>
    <s v="MADE NICE INC. - MAMOU"/>
    <s v="ROCKWELL"/>
    <s v="50% DOWNPAYMENT, 50% 35 DAYS PDC"/>
    <s v="2025-07-01"/>
    <s v="EPSON TM-T82X THERMAL PRINTER (USB)"/>
    <n v="1"/>
    <n v="8500"/>
    <n v="12000"/>
    <n v="12000"/>
    <s v="RUDELYN"/>
  </r>
  <r>
    <x v="104"/>
    <s v="MADE NICE INC - SO-102"/>
    <s v="SO-102"/>
    <s v="MADE NICE INC"/>
    <s v="MADE NICE INC. - MAMOU"/>
    <s v="ROCKWELL"/>
    <s v="50% DOWNPAYMENT, 50% 35 DAYS PDC"/>
    <s v="2025-07-01"/>
    <s v="THERMAL PAPER"/>
    <n v="5"/>
    <n v="47"/>
    <n v="70"/>
    <n v="350"/>
    <s v="RUDELYN"/>
  </r>
  <r>
    <x v="104"/>
    <s v="MADE NICE INC - SO-102"/>
    <s v="SO-102"/>
    <s v="MADE NICE INC"/>
    <s v="MADE NICE INC. - MAMOU"/>
    <s v="ROCKWELL"/>
    <s v="50% DOWNPAYMENT, 50% 35 DAYS PDC"/>
    <s v="2025-07-01"/>
    <s v="SWITCH HUB"/>
    <n v="1"/>
    <n v="850"/>
    <n v="1200"/>
    <n v="1200"/>
    <s v="RUDELYN"/>
  </r>
  <r>
    <x v="104"/>
    <s v="MADE NICE INC - SO-102"/>
    <s v="SO-102"/>
    <s v="MADE NICE INC"/>
    <s v="MADE NICE INC. - MAMOU"/>
    <s v="ROCKWELL"/>
    <s v="50% DOWNPAYMENT, 50% 35 DAYS PDC"/>
    <s v="2025-07-01"/>
    <s v="APC UPS"/>
    <n v="1"/>
    <n v="2200"/>
    <n v="3200"/>
    <n v="3200"/>
    <s v="RUDELYN"/>
  </r>
  <r>
    <x v="104"/>
    <s v="MADE NICE INC - SO-102"/>
    <s v="SO-102"/>
    <s v="MADE NICE INC"/>
    <s v="MADE NICE INC. - MAMOU"/>
    <s v="ROCKWELL"/>
    <s v="50% DOWNPAYMENT, 50% 35 DAYS PDC"/>
    <s v="2025-07-01"/>
    <s v="DESKTOP CPU I5, 8GB RAM, 512 GB SSD"/>
    <n v="1"/>
    <n v="23450"/>
    <n v="30550"/>
    <n v="30550"/>
    <s v="RUDELYN"/>
  </r>
  <r>
    <x v="104"/>
    <s v="MADE NICE INC - SO-102"/>
    <s v="SO-102"/>
    <s v="MADE NICE INC"/>
    <s v="MADE NICE INC. - MAMOU"/>
    <s v="ROCKWELL"/>
    <s v="50% DOWNPAYMENT, 50% 35 DAYS PDC"/>
    <s v="2025-07-01"/>
    <s v="KEYBOARD &amp; MOUSE"/>
    <n v="1"/>
    <n v="0"/>
    <n v="0"/>
    <n v="0"/>
    <s v="RUDELYN"/>
  </r>
  <r>
    <x v="104"/>
    <s v="MADE NICE INC - SO-102"/>
    <s v="SO-102"/>
    <s v="MADE NICE INC"/>
    <s v="MADE NICE INC. - MAMOU"/>
    <s v="ROCKWELL"/>
    <s v="50% DOWNPAYMENT, 50% 35 DAYS PDC"/>
    <s v="2025-07-01"/>
    <s v="WINDOWS 11 PRO"/>
    <n v="1"/>
    <n v="2800"/>
    <n v="4000"/>
    <n v="4000"/>
    <s v="RUDELYN"/>
  </r>
  <r>
    <x v="104"/>
    <s v="MADE NICE INC - SO-102"/>
    <s v="SO-102"/>
    <s v="MADE NICE INC"/>
    <s v="MADE NICE INC. - MAMOU"/>
    <s v="ROCKWELL"/>
    <s v="50% DOWNPAYMENT, 50% 35 DAYS PDC"/>
    <s v="2025-07-01"/>
    <s v="KASPERSKY ANTI VIRUS"/>
    <n v="1"/>
    <n v="935"/>
    <n v="1500"/>
    <n v="1500"/>
    <s v="RUDELYN"/>
  </r>
  <r>
    <x v="104"/>
    <s v="MADE NICE INC - SO-102"/>
    <s v="SO-102"/>
    <s v="MADE NICE INC"/>
    <s v="MADE NICE INC. - MAMOU"/>
    <s v="ROCKWELL"/>
    <s v="50% DOWNPAYMENT, 50% 35 DAYS PDC"/>
    <s v="2025-07-01"/>
    <s v="USB TO LAN"/>
    <n v="1"/>
    <n v="650"/>
    <n v="900"/>
    <n v="900"/>
    <s v="RUDELYN"/>
  </r>
  <r>
    <x v="104"/>
    <s v="MADE NICE INC - SO-102"/>
    <s v="SO-102"/>
    <s v="MADE NICE INC"/>
    <s v="MADE NICE INC. - MAMOU"/>
    <s v="ROCKWELL"/>
    <s v="50% DOWNPAYMENT, 50% 35 DAYS PDC"/>
    <s v="2025-07-01"/>
    <s v="DELIVERY FEE"/>
    <n v="1"/>
    <n v="600"/>
    <n v="600"/>
    <n v="600"/>
    <s v="RUDELYN"/>
  </r>
  <r>
    <x v="12"/>
    <s v="CHICKEN DELI - SO-102"/>
    <s v="SO-102"/>
    <s v="CHICKEN DELI"/>
    <s v="CASA REYES"/>
    <s v="GENERIC"/>
    <s v="N/A"/>
    <s v="2025-06-09"/>
    <s v="EPSON PRINTER TMU 220 D ( USB )"/>
    <n v="1"/>
    <n v="8500"/>
    <n v="12100"/>
    <n v="12100"/>
    <s v="MARITESS"/>
  </r>
  <r>
    <x v="12"/>
    <s v="CHICKEN DELI - SO-102"/>
    <s v="SO-102"/>
    <s v="CHICKEN DELI"/>
    <s v="CASA REYES"/>
    <s v="GENERIC"/>
    <s v="N/A"/>
    <s v="2025-06-09"/>
    <s v="DELIVERY CHARGE"/>
    <n v="1"/>
    <n v="400"/>
    <n v="400"/>
    <n v="400"/>
    <s v="MARITESS"/>
  </r>
  <r>
    <x v="60"/>
    <s v="ROCKWELL LAND CORPORATION - SO-103"/>
    <s v="SO-103"/>
    <s v="ROCKWELL LAND CORPORATION"/>
    <s v="ROCKWELL LAND CORPORATION"/>
    <s v="GENERIC"/>
    <s v="COD"/>
    <s v="2025-07-03"/>
    <s v="EPSON TMU220B USB PRINTER"/>
    <n v="5"/>
    <n v="9500"/>
    <n v="12800"/>
    <n v="64000"/>
    <s v="MARITESS"/>
  </r>
  <r>
    <x v="60"/>
    <s v="ROCKWELL LAND CORPORATION - SO-103"/>
    <s v="SO-103"/>
    <s v="ROCKWELL LAND CORPORATION"/>
    <s v="ROCKWELL LAND CORPORATION"/>
    <s v="GENERIC"/>
    <s v="COD"/>
    <s v="2025-07-03"/>
    <s v="DELIVERY CHARGE"/>
    <n v="1"/>
    <n v="500"/>
    <n v="500"/>
    <n v="500"/>
    <s v="MARITESS"/>
  </r>
  <r>
    <x v="12"/>
    <s v="CHICKEN DELI - SO-103"/>
    <s v="SO-103"/>
    <s v="CHICKEN DELI"/>
    <s v="CASA REYES"/>
    <s v="GENERIC"/>
    <s v="N/A"/>
    <s v="2025-06-09"/>
    <s v="EPSON PRINTER TMU 220 D ( USB )"/>
    <n v="1"/>
    <n v="8500"/>
    <n v="12100"/>
    <n v="12100"/>
    <s v="MARITESS"/>
  </r>
  <r>
    <x v="12"/>
    <s v="CHICKEN DELI - SO-103"/>
    <s v="SO-103"/>
    <s v="CHICKEN DELI"/>
    <s v="CASA REYES"/>
    <s v="GENERIC"/>
    <s v="N/A"/>
    <s v="2025-06-09"/>
    <s v="DELIVERY CHARGE"/>
    <n v="1"/>
    <n v="400"/>
    <n v="400"/>
    <n v="400"/>
    <s v="MARITESS"/>
  </r>
  <r>
    <x v="105"/>
    <s v="CALERO NINA RAMOS - SO-104"/>
    <s v="SO-104"/>
    <s v="CALERO NINA RAMOS"/>
    <s v="EUROBAKE RESTAURANT BAKESHOP"/>
    <s v="SHOPPESVILLE"/>
    <s v="COD"/>
    <s v="2025-07-04"/>
    <s v="JOURNAL PAPER -1 PLY"/>
    <n v="50"/>
    <n v="17"/>
    <n v="25"/>
    <n v="1250"/>
    <s v="RUDELYN"/>
  </r>
  <r>
    <x v="20"/>
    <s v="CHICKEN DELI - SO-104"/>
    <s v="SO-104"/>
    <s v="CHICKEN DELI"/>
    <s v="MN+LA APPAREL"/>
    <s v="GENERIC"/>
    <s v="N/A"/>
    <s v="2025-06-10"/>
    <s v="MODIFICATION : API INTEGRATION"/>
    <n v="1"/>
    <n v="52000"/>
    <n v="52000"/>
    <n v="52000"/>
    <s v="MARITESS"/>
  </r>
  <r>
    <x v="14"/>
    <s v="HUZZAH - SO-105"/>
    <s v="SO-105"/>
    <s v="HUZZAH"/>
    <s v="HUZZAH"/>
    <s v="GENERIC"/>
    <s v="COD"/>
    <s v="2025-07-04"/>
    <s v="JOURNAL PAPER - DOUBLE PLY"/>
    <n v="50"/>
    <n v="32"/>
    <n v="50"/>
    <n v="2500"/>
    <s v="RUDELYN"/>
  </r>
  <r>
    <x v="106"/>
    <s v="CHICKEN DELI - SO-105"/>
    <s v="SO-105"/>
    <s v="CHICKEN DELI"/>
    <s v="BABY NATHAN'S KITCHEN CORP."/>
    <s v="GENERIC"/>
    <s v="N/A"/>
    <s v="2025-06-10"/>
    <s v="TSCERES ANDROID"/>
    <n v="1"/>
    <n v="2975"/>
    <n v="8500"/>
    <n v="8500"/>
    <s v="MARITESS"/>
  </r>
  <r>
    <x v="106"/>
    <s v="CHICKEN DELI - SO-105"/>
    <s v="SO-105"/>
    <s v="CHICKEN DELI"/>
    <s v="BABY NATHAN'S KITCHEN CORP."/>
    <s v="GENERIC"/>
    <s v="N/A"/>
    <s v="2025-06-10"/>
    <s v="ROLL OUT / IMPLEMENTATION"/>
    <n v="1"/>
    <n v="4700"/>
    <n v="4700"/>
    <n v="4700"/>
    <s v="MARITESS"/>
  </r>
  <r>
    <x v="106"/>
    <s v="CHICKEN DELI - SO-105"/>
    <s v="SO-105"/>
    <s v="CHICKEN DELI"/>
    <s v="BABY NATHAN'S KITCHEN CORP."/>
    <s v="GENERIC"/>
    <s v="N/A"/>
    <s v="2025-06-10"/>
    <s v="ONE YEAR WARRANTY"/>
    <n v="1"/>
    <n v="4700"/>
    <n v="4700"/>
    <n v="4700"/>
    <s v="MARITESS"/>
  </r>
  <r>
    <x v="106"/>
    <s v="CHICKEN DELI - SO-105"/>
    <s v="SO-105"/>
    <s v="CHICKEN DELI"/>
    <s v="BABY NATHAN'S KITCHEN CORP."/>
    <s v="GENERIC"/>
    <s v="N/A"/>
    <s v="2025-06-10"/>
    <s v="IMIN SWAN I"/>
    <n v="1"/>
    <n v="21000"/>
    <n v="30000"/>
    <n v="30000"/>
    <s v="MARITESS"/>
  </r>
  <r>
    <x v="106"/>
    <s v="CHICKEN DELI - SO-105"/>
    <s v="SO-105"/>
    <s v="CHICKEN DELI"/>
    <s v="BABY NATHAN'S KITCHEN CORP."/>
    <s v="GENERIC"/>
    <s v="N/A"/>
    <s v="2025-06-10"/>
    <s v="STAR BSC10"/>
    <n v="1"/>
    <n v="11700"/>
    <n v="17000"/>
    <n v="17000"/>
    <s v="MARITESS"/>
  </r>
  <r>
    <x v="106"/>
    <s v="CHICKEN DELI - SO-105"/>
    <s v="SO-105"/>
    <s v="CHICKEN DELI"/>
    <s v="BABY NATHAN'S KITCHEN CORP."/>
    <s v="GENERIC"/>
    <s v="N/A"/>
    <s v="2025-06-10"/>
    <s v="UPS"/>
    <n v="1"/>
    <n v="2200"/>
    <n v="3100"/>
    <n v="3100"/>
    <s v="MARITESS"/>
  </r>
  <r>
    <x v="106"/>
    <s v="CHICKEN DELI - SO-105"/>
    <s v="SO-105"/>
    <s v="CHICKEN DELI"/>
    <s v="BABY NATHAN'S KITCHEN CORP."/>
    <s v="GENERIC"/>
    <s v="N/A"/>
    <s v="2025-06-10"/>
    <s v="CASH BOX"/>
    <n v="1"/>
    <n v="1350"/>
    <n v="2000"/>
    <n v="2000"/>
    <s v="MARITESS"/>
  </r>
  <r>
    <x v="106"/>
    <s v="CHICKEN DELI - SO-105"/>
    <s v="SO-105"/>
    <s v="CHICKEN DELI"/>
    <s v="BABY NATHAN'S KITCHEN CORP."/>
    <s v="GENERIC"/>
    <s v="N/A"/>
    <s v="2025-06-10"/>
    <s v="BIR"/>
    <n v="1"/>
    <n v="500"/>
    <n v="500"/>
    <n v="500"/>
    <s v="MARITESS"/>
  </r>
  <r>
    <x v="106"/>
    <s v="CHICKEN DELI - SO-105"/>
    <s v="SO-105"/>
    <s v="CHICKEN DELI"/>
    <s v="BABY NATHAN'S KITCHEN CORP."/>
    <s v="GENERIC"/>
    <s v="N/A"/>
    <s v="2025-06-10"/>
    <s v="DELIVERY"/>
    <n v="1"/>
    <n v="500"/>
    <n v="500"/>
    <n v="500"/>
    <s v="MARITESS"/>
  </r>
  <r>
    <x v="21"/>
    <s v="LIPA GRILLE RESTAURANT CO - SO-106"/>
    <s v="SO-106"/>
    <s v="LIPA GRILLE RESTAURANT CO"/>
    <s v="LIPA GRILLE"/>
    <s v="GENERIC"/>
    <s v="COD"/>
    <s v="2025-07-04"/>
    <s v="EPSON TMU220D USB PRINTER DELIVERY FEE"/>
    <n v="1"/>
    <n v="8500"/>
    <n v="12000"/>
    <n v="12000"/>
    <s v="MARITESS"/>
  </r>
  <r>
    <x v="33"/>
    <s v="M W TOWNSTORE - SO-106"/>
    <s v="SO-106"/>
    <s v="M W TOWNSTORE"/>
    <s v="M &amp; W"/>
    <s v="GENERIC"/>
    <s v="N/A"/>
    <s v="2025-01-10"/>
    <s v="POSEIDON PSD86"/>
    <n v="3"/>
    <n v="3360"/>
    <n v="5800"/>
    <n v="17400"/>
    <s v="MARITESS"/>
  </r>
  <r>
    <x v="33"/>
    <s v="M W TOWNSTORE - SO-106"/>
    <s v="SO-106"/>
    <s v="M W TOWNSTORE"/>
    <s v="M &amp; W"/>
    <s v="GENERIC"/>
    <s v="N/A"/>
    <s v="2025-01-10"/>
    <s v="EPSON TMU 220B PRINTER"/>
    <n v="1"/>
    <n v="9500"/>
    <n v="13500"/>
    <n v="13500"/>
    <s v="MARITESS"/>
  </r>
  <r>
    <x v="73"/>
    <s v="CANELLE FOOD CORPORATION - SO-107"/>
    <s v="SO-107"/>
    <s v="CANELLE FOOD CORPORATION"/>
    <s v="CINNABON"/>
    <s v="GENERIC"/>
    <s v="N/A"/>
    <s v="2025-07-07"/>
    <s v="WINDOWS 11 PRO"/>
    <n v="1"/>
    <n v="2800"/>
    <n v="4267.8599999999997"/>
    <n v="4267.8599999999997"/>
    <s v="MARITESS"/>
  </r>
  <r>
    <x v="2"/>
    <s v="CHICKEN DELI - SO-107"/>
    <s v="SO-107"/>
    <s v="CHICKEN DELI"/>
    <s v="GONGCHA"/>
    <s v="GENERIC"/>
    <s v="N/A"/>
    <s v="2025-06-11"/>
    <s v="EPSON KITCHEN PRINTER T82X ( LAN )"/>
    <n v="1"/>
    <n v="8500"/>
    <n v="12100"/>
    <n v="12100"/>
    <s v="MARITESS"/>
  </r>
  <r>
    <x v="2"/>
    <s v="CHICKEN DELI - SO-107"/>
    <s v="SO-107"/>
    <s v="CHICKEN DELI"/>
    <s v="GONGCHA"/>
    <s v="GENERIC"/>
    <s v="N/A"/>
    <s v="2025-06-11"/>
    <s v="DELIVERY CHARGE"/>
    <n v="1"/>
    <n v="400"/>
    <n v="400"/>
    <n v="400"/>
    <s v="MARITESS"/>
  </r>
  <r>
    <x v="99"/>
    <s v="BEDA FOOD VENTURES INC - SO-108"/>
    <s v="SO-108"/>
    <s v="BEDA FOOD VENTURES INC"/>
    <s v="BACOLOD CHICKEN"/>
    <s v="GENERIC"/>
    <s v="N/A"/>
    <s v="2025-07-07"/>
    <s v="EOS MINI CPU I5, 8GB RAM, 512 GB SSD"/>
    <n v="1"/>
    <n v="23450"/>
    <n v="31000"/>
    <n v="31000"/>
    <s v="MARITESS"/>
  </r>
  <r>
    <x v="99"/>
    <s v="BEDA FOOD VENTURES INC - SO-108"/>
    <s v="SO-108"/>
    <s v="BEDA FOOD VENTURES INC"/>
    <s v="BACOLOD CHICKEN"/>
    <s v="GENERIC"/>
    <s v="N/A"/>
    <s v="2025-07-07"/>
    <s v="WINDOWS 11 PRO"/>
    <n v="1"/>
    <n v="2800"/>
    <n v="4000"/>
    <n v="4000"/>
    <s v="MARITESS"/>
  </r>
  <r>
    <x v="99"/>
    <s v="BEDA FOOD VENTURES INC - SO-108"/>
    <s v="SO-108"/>
    <s v="BEDA FOOD VENTURES INC"/>
    <s v="BACOLOD CHICKEN"/>
    <s v="GENERIC"/>
    <s v="N/A"/>
    <s v="2025-07-07"/>
    <s v="KEYBOARD &amp; MOUSE"/>
    <n v="1"/>
    <n v="530"/>
    <n v="700"/>
    <n v="700"/>
    <s v="MARITESS"/>
  </r>
  <r>
    <x v="99"/>
    <s v="BEDA FOOD VENTURES INC - SO-108"/>
    <s v="SO-108"/>
    <s v="BEDA FOOD VENTURES INC"/>
    <s v="BACOLOD CHICKEN"/>
    <s v="GENERIC"/>
    <s v="N/A"/>
    <s v="2025-07-07"/>
    <s v="EOS FAN WITH FAN COVER"/>
    <n v="1"/>
    <n v="350"/>
    <n v="500"/>
    <n v="500"/>
    <s v="MARITESS"/>
  </r>
  <r>
    <x v="99"/>
    <s v="BEDA FOOD VENTURES INC - SO-108"/>
    <s v="SO-108"/>
    <s v="BEDA FOOD VENTURES INC"/>
    <s v="BACOLOD CHICKEN"/>
    <s v="GENERIC"/>
    <s v="N/A"/>
    <s v="2025-07-07"/>
    <s v="KASPERSKY ANTI VIRUS"/>
    <n v="1"/>
    <n v="935"/>
    <n v="1300"/>
    <n v="1300"/>
    <s v="MARITESS"/>
  </r>
  <r>
    <x v="99"/>
    <s v="BEDA FOOD VENTURES INC - SO-108"/>
    <s v="SO-108"/>
    <s v="BEDA FOOD VENTURES INC"/>
    <s v="BACOLOD CHICKEN"/>
    <s v="GENERIC"/>
    <s v="N/A"/>
    <s v="2025-07-07"/>
    <s v="DELIVERY FEE"/>
    <n v="1"/>
    <n v="500"/>
    <n v="500"/>
    <n v="500"/>
    <s v="MARITESS"/>
  </r>
  <r>
    <x v="107"/>
    <s v="CHICKEN DELI - SO-108"/>
    <s v="SO-108"/>
    <s v="CHICKEN DELI"/>
    <s v="J&amp;G"/>
    <s v="GENERIC"/>
    <s v="N/A"/>
    <s v="2025-06-11"/>
    <s v="EPSON KITCHEN PRINTER T82X ( LAN )"/>
    <n v="1"/>
    <n v="8500"/>
    <n v="12100"/>
    <n v="12100"/>
    <s v="MARITESS"/>
  </r>
  <r>
    <x v="107"/>
    <s v="CHICKEN DELI - SO-108"/>
    <s v="SO-108"/>
    <s v="CHICKEN DELI"/>
    <s v="J&amp;G"/>
    <s v="GENERIC"/>
    <s v="N/A"/>
    <s v="2025-06-11"/>
    <s v="DELIVERY CHARGE"/>
    <n v="1"/>
    <n v="400"/>
    <n v="400"/>
    <n v="400"/>
    <s v="MARITESS"/>
  </r>
  <r>
    <x v="108"/>
    <s v="CHICKEN DELI - SO-109"/>
    <s v="SO-109"/>
    <s v="CHICKEN DELI"/>
    <s v="GONGCHA PHILS."/>
    <s v="GENERIC"/>
    <s v="N/A"/>
    <s v="2025-06-11"/>
    <s v="EPSON PRINTER CABLE"/>
    <n v="10"/>
    <n v="20"/>
    <n v="100"/>
    <n v="1000"/>
    <s v="MARITESS"/>
  </r>
  <r>
    <x v="109"/>
    <s v="POTATO GIANT NO COR YET - SO-109"/>
    <s v="SO-109"/>
    <s v="POTATO GIANT NO COR YET"/>
    <s v="POTATO GIANT"/>
    <s v="SM BALIWAG"/>
    <s v="50% DOWNPAYMENT, 50% 35 DAYS PDC"/>
    <s v="2025-07-08"/>
    <s v="TSCERES LITE VER. 6"/>
    <n v="1"/>
    <n v="2975"/>
    <n v="8500"/>
    <n v="8500"/>
    <s v="RUDELYN"/>
  </r>
  <r>
    <x v="109"/>
    <s v="POTATO GIANT NO COR YET - SO-109"/>
    <s v="SO-109"/>
    <s v="POTATO GIANT NO COR YET"/>
    <s v="POTATO GIANT"/>
    <s v="SM BALIWAG"/>
    <s v="50% DOWNPAYMENT, 50% 35 DAYS PDC"/>
    <s v="2025-07-08"/>
    <s v="ROLLOUT IMPLEMENTATION"/>
    <n v="1"/>
    <n v="1925"/>
    <n v="5500"/>
    <n v="5500"/>
    <s v="RUDELYN"/>
  </r>
  <r>
    <x v="109"/>
    <s v="POTATO GIANT NO COR YET - SO-109"/>
    <s v="SO-109"/>
    <s v="POTATO GIANT NO COR YET"/>
    <s v="POTATO GIANT"/>
    <s v="SM BALIWAG"/>
    <s v="50% DOWNPAYMENT, 50% 35 DAYS PDC"/>
    <s v="2025-07-08"/>
    <s v="1 YEAR WARRANTY"/>
    <n v="1"/>
    <n v="1925"/>
    <n v="5500"/>
    <n v="5500"/>
    <s v="RUDELYN"/>
  </r>
  <r>
    <x v="109"/>
    <s v="POTATO GIANT NO COR YET - SO-109"/>
    <s v="SO-109"/>
    <s v="POTATO GIANT NO COR YET"/>
    <s v="POTATO GIANT"/>
    <s v="SM BALIWAG"/>
    <s v="50% DOWNPAYMENT, 50% 35 DAYS PDC"/>
    <s v="2025-07-08"/>
    <s v="BIR REGISTRATION"/>
    <n v="1"/>
    <n v="500"/>
    <n v="500"/>
    <n v="500"/>
    <s v="RUDELYN"/>
  </r>
  <r>
    <x v="109"/>
    <s v="POTATO GIANT NO COR YET - SO-109"/>
    <s v="SO-109"/>
    <s v="POTATO GIANT NO COR YET"/>
    <s v="POTATO GIANT"/>
    <s v="SM BALIWAG"/>
    <s v="50% DOWNPAYMENT, 50% 35 DAYS PDC"/>
    <s v="2025-07-08"/>
    <s v="EPSON TMU220D USB PRINTER"/>
    <n v="1"/>
    <n v="8500"/>
    <n v="12500"/>
    <n v="12500"/>
    <s v="RUDELYN"/>
  </r>
  <r>
    <x v="109"/>
    <s v="POTATO GIANT NO COR YET - SO-109"/>
    <s v="SO-109"/>
    <s v="POTATO GIANT NO COR YET"/>
    <s v="POTATO GIANT"/>
    <s v="SM BALIWAG"/>
    <s v="50% DOWNPAYMENT, 50% 35 DAYS PDC"/>
    <s v="2025-07-08"/>
    <s v="APC UPS"/>
    <n v="1"/>
    <n v="2200"/>
    <n v="3000"/>
    <n v="3000"/>
    <s v="RUDELYN"/>
  </r>
  <r>
    <x v="109"/>
    <s v="POTATO GIANT NO COR YET - SO-109"/>
    <s v="SO-109"/>
    <s v="POTATO GIANT NO COR YET"/>
    <s v="POTATO GIANT"/>
    <s v="SM BALIWAG"/>
    <s v="50% DOWNPAYMENT, 50% 35 DAYS PDC"/>
    <s v="2025-07-08"/>
    <s v="POSTECH 15&quot; TOUCHSCREEN MONITOR"/>
    <n v="1"/>
    <n v="11000"/>
    <n v="16000"/>
    <n v="16000"/>
    <s v="RUDELYN"/>
  </r>
  <r>
    <x v="109"/>
    <s v="POTATO GIANT NO COR YET - SO-109"/>
    <s v="SO-109"/>
    <s v="POTATO GIANT NO COR YET"/>
    <s v="POTATO GIANT"/>
    <s v="SM BALIWAG"/>
    <s v="50% DOWNPAYMENT, 50% 35 DAYS PDC"/>
    <s v="2025-07-08"/>
    <s v="MINI CASH DRAWER"/>
    <n v="1"/>
    <n v="1350"/>
    <n v="2500"/>
    <n v="2500"/>
    <s v="RUDELYN"/>
  </r>
  <r>
    <x v="109"/>
    <s v="POTATO GIANT NO COR YET - SO-109"/>
    <s v="SO-109"/>
    <s v="POTATO GIANT NO COR YET"/>
    <s v="POTATO GIANT"/>
    <s v="SM BALIWAG"/>
    <s v="50% DOWNPAYMENT, 50% 35 DAYS PDC"/>
    <s v="2025-07-08"/>
    <s v="EOS MINI CPU I5, 8GB RAM, 512 GB SSD"/>
    <n v="1"/>
    <n v="23450"/>
    <n v="31300"/>
    <n v="31300"/>
    <s v="RUDELYN"/>
  </r>
  <r>
    <x v="109"/>
    <s v="POTATO GIANT NO COR YET - SO-109"/>
    <s v="SO-109"/>
    <s v="POTATO GIANT NO COR YET"/>
    <s v="POTATO GIANT"/>
    <s v="SM BALIWAG"/>
    <s v="50% DOWNPAYMENT, 50% 35 DAYS PDC"/>
    <s v="2025-07-08"/>
    <s v="WINDOWS 11 PRO"/>
    <n v="1"/>
    <n v="2800"/>
    <n v="4000"/>
    <n v="4000"/>
    <s v="RUDELYN"/>
  </r>
  <r>
    <x v="109"/>
    <s v="POTATO GIANT NO COR YET - SO-109"/>
    <s v="SO-109"/>
    <s v="POTATO GIANT NO COR YET"/>
    <s v="POTATO GIANT"/>
    <s v="SM BALIWAG"/>
    <s v="50% DOWNPAYMENT, 50% 35 DAYS PDC"/>
    <s v="2025-07-08"/>
    <s v="KEYBOARD &amp; MOUSE"/>
    <n v="1"/>
    <n v="500"/>
    <n v="700"/>
    <n v="700"/>
    <s v="RUDELYN"/>
  </r>
  <r>
    <x v="109"/>
    <s v="POTATO GIANT NO COR YET - SO-109"/>
    <s v="SO-109"/>
    <s v="POTATO GIANT NO COR YET"/>
    <s v="POTATO GIANT"/>
    <s v="SM BALIWAG"/>
    <s v="50% DOWNPAYMENT, 50% 35 DAYS PDC"/>
    <s v="2025-07-08"/>
    <s v="EOS FAN WITH FAN COVER"/>
    <n v="1"/>
    <n v="350"/>
    <n v="500"/>
    <n v="500"/>
    <s v="RUDELYN"/>
  </r>
  <r>
    <x v="110"/>
    <s v="PANDE MANILA FOOD CO INC - SO-110"/>
    <s v="SO-110"/>
    <s v="PANDE MANILA FOOD CO INC"/>
    <s v="PANDE MANILA"/>
    <s v="SANTOLAN TOWN PLAZA"/>
    <s v="COD"/>
    <s v="2025-07-15"/>
    <s v="8PORT USB HUB"/>
    <n v="1"/>
    <n v="850"/>
    <n v="1200"/>
    <n v="1200"/>
    <s v="RUDELYN"/>
  </r>
  <r>
    <x v="110"/>
    <s v="PANDE MANILA FOOD CO INC - SO-110"/>
    <s v="SO-110"/>
    <s v="PANDE MANILA FOOD CO INC"/>
    <s v="PANDE MANILA"/>
    <s v="SANTOLAN TOWN PLAZA"/>
    <s v="COD"/>
    <s v="2025-07-15"/>
    <s v="TPLINK USB TO LAN ETHERNET"/>
    <n v="1"/>
    <n v="650"/>
    <n v="900"/>
    <n v="900"/>
    <s v="RUDELYN"/>
  </r>
  <r>
    <x v="111"/>
    <s v="JUST SIMPLE BAKE HOUSE INC - SO-111"/>
    <s v="SO-111"/>
    <s v="JUST SIMPLE BAKE HOUSE INC"/>
    <s v="LORD STOW'S BAKERY"/>
    <s v="SKY GARDEN ONGPIN"/>
    <s v="50% DOWNPAYMENT, 50% 35 DAYS PDC"/>
    <s v="2025-07-16"/>
    <s v="TSCERES SQL VER. 6"/>
    <n v="1"/>
    <n v="3675"/>
    <n v="10500"/>
    <n v="10500"/>
    <s v="RUDELYN"/>
  </r>
  <r>
    <x v="111"/>
    <s v="JUST SIMPLE BAKE HOUSE INC - SO-111"/>
    <s v="SO-111"/>
    <s v="JUST SIMPLE BAKE HOUSE INC"/>
    <s v="LORD STOW'S BAKERY"/>
    <s v="SKY GARDEN ONGPIN"/>
    <s v="50% DOWNPAYMENT, 50% 35 DAYS PDC"/>
    <s v="2025-07-16"/>
    <s v="ROLLOUT IMPLEMENTATION"/>
    <n v="1"/>
    <n v="4375"/>
    <n v="12500"/>
    <n v="12500"/>
    <s v="RUDELYN"/>
  </r>
  <r>
    <x v="111"/>
    <s v="JUST SIMPLE BAKE HOUSE INC - SO-111"/>
    <s v="SO-111"/>
    <s v="JUST SIMPLE BAKE HOUSE INC"/>
    <s v="LORD STOW'S BAKERY"/>
    <s v="SKY GARDEN ONGPIN"/>
    <s v="50% DOWNPAYMENT, 50% 35 DAYS PDC"/>
    <s v="2025-07-16"/>
    <s v="1 YEAR WARRANTY"/>
    <n v="1"/>
    <n v="4375"/>
    <n v="12500"/>
    <n v="12500"/>
    <s v="RUDELYN"/>
  </r>
  <r>
    <x v="111"/>
    <s v="JUST SIMPLE BAKE HOUSE INC - SO-111"/>
    <s v="SO-111"/>
    <s v="JUST SIMPLE BAKE HOUSE INC"/>
    <s v="LORD STOW'S BAKERY"/>
    <s v="SKY GARDEN ONGPIN"/>
    <s v="50% DOWNPAYMENT, 50% 35 DAYS PDC"/>
    <s v="2025-07-16"/>
    <s v="BIR REGISTRATION"/>
    <n v="1"/>
    <n v="500"/>
    <n v="500"/>
    <n v="500"/>
    <s v="RUDELYN"/>
  </r>
  <r>
    <x v="111"/>
    <s v="JUST SIMPLE BAKE HOUSE INC - SO-111"/>
    <s v="SO-111"/>
    <s v="JUST SIMPLE BAKE HOUSE INC"/>
    <s v="LORD STOW'S BAKERY"/>
    <s v="SKY GARDEN ONGPIN"/>
    <s v="50% DOWNPAYMENT, 50% 35 DAYS PDC"/>
    <s v="2025-07-16"/>
    <s v="EPSON TMU220D USB PRINTER"/>
    <n v="1"/>
    <n v="8500"/>
    <n v="12500"/>
    <n v="12500"/>
    <s v="RUDELYN"/>
  </r>
  <r>
    <x v="111"/>
    <s v="JUST SIMPLE BAKE HOUSE INC - SO-111"/>
    <s v="SO-111"/>
    <s v="JUST SIMPLE BAKE HOUSE INC"/>
    <s v="LORD STOW'S BAKERY"/>
    <s v="SKY GARDEN ONGPIN"/>
    <s v="50% DOWNPAYMENT, 50% 35 DAYS PDC"/>
    <s v="2025-07-16"/>
    <s v="DELIVERY FEE"/>
    <n v="1"/>
    <n v="500"/>
    <n v="500"/>
    <n v="500"/>
    <s v="RUDELYN"/>
  </r>
  <r>
    <x v="20"/>
    <s v="CHICKEN DELI - SO-111"/>
    <s v="SO-111"/>
    <s v="CHICKEN DELI"/>
    <s v="MN+LA APPAREL"/>
    <s v="GENERIC"/>
    <s v="N/A"/>
    <s v="2025-06-13"/>
    <s v="JOURNAL PAPER ( DOUBLE PLY"/>
    <n v="50"/>
    <n v="32"/>
    <n v="50"/>
    <n v="2500"/>
    <s v="MARITESS"/>
  </r>
  <r>
    <x v="31"/>
    <s v="ELEVATED FOOD RECIPES INC - SO-112"/>
    <s v="SO-112"/>
    <s v="ELEVATED FOOD RECIPES INC"/>
    <s v="HEALTHY SHABU SHABU"/>
    <s v="GENERIC"/>
    <s v="COD"/>
    <s v="2025-07-17"/>
    <s v="APC UPS"/>
    <n v="1"/>
    <n v="2200"/>
    <n v="3500"/>
    <n v="3500"/>
    <s v="RUDELYN"/>
  </r>
  <r>
    <x v="112"/>
    <s v="CHICKEN DELI - SO-112"/>
    <s v="SO-112"/>
    <s v="CHICKEN DELI"/>
    <s v="HENLIN"/>
    <s v="GENERIC"/>
    <s v="N/A"/>
    <s v="2025-06-18"/>
    <s v="STAR BSC10 USB"/>
    <n v="1"/>
    <n v="11500"/>
    <n v="16500"/>
    <n v="16500"/>
    <s v="MARITESS"/>
  </r>
  <r>
    <x v="113"/>
    <s v="HENLIN OUTLET LIPA NO COR YET - SO-113"/>
    <s v="SO-113"/>
    <s v="HENLIN OUTLET LIPA NO COR YET"/>
    <s v="HENLIN"/>
    <s v="OUTLET LIPA"/>
    <s v="50% DOWNPAYMENT, 50% 35 DAYS PDC"/>
    <s v="2025-07-18"/>
    <s v="TSCERES SQL + MOBILE APPS VER. 2 - ANDROID"/>
    <n v="1"/>
    <n v="2975"/>
    <n v="8500"/>
    <n v="8500"/>
    <s v="RUDELYN"/>
  </r>
  <r>
    <x v="113"/>
    <s v="HENLIN OUTLET LIPA NO COR YET - SO-113"/>
    <s v="SO-113"/>
    <s v="HENLIN OUTLET LIPA NO COR YET"/>
    <s v="HENLIN"/>
    <s v="OUTLET LIPA"/>
    <s v="50% DOWNPAYMENT, 50% 35 DAYS PDC"/>
    <s v="2025-07-18"/>
    <s v="ROLLOUT IMPLEMENTATION"/>
    <n v="1"/>
    <n v="1050"/>
    <n v="3000"/>
    <n v="3000"/>
    <s v="RUDELYN"/>
  </r>
  <r>
    <x v="113"/>
    <s v="HENLIN OUTLET LIPA NO COR YET - SO-113"/>
    <s v="SO-113"/>
    <s v="HENLIN OUTLET LIPA NO COR YET"/>
    <s v="HENLIN"/>
    <s v="OUTLET LIPA"/>
    <s v="50% DOWNPAYMENT, 50% 35 DAYS PDC"/>
    <s v="2025-07-18"/>
    <s v="1 YEAR WARRANTY"/>
    <n v="1"/>
    <n v="1050"/>
    <n v="3000"/>
    <n v="3000"/>
    <s v="RUDELYN"/>
  </r>
  <r>
    <x v="113"/>
    <s v="HENLIN OUTLET LIPA NO COR YET - SO-113"/>
    <s v="SO-113"/>
    <s v="HENLIN OUTLET LIPA NO COR YET"/>
    <s v="HENLIN"/>
    <s v="OUTLET LIPA"/>
    <s v="50% DOWNPAYMENT, 50% 35 DAYS PDC"/>
    <s v="2025-07-18"/>
    <s v="BIR REGISTRATION"/>
    <n v="1"/>
    <n v="500"/>
    <n v="500"/>
    <n v="500"/>
    <s v="RUDELYN"/>
  </r>
  <r>
    <x v="113"/>
    <s v="HENLIN OUTLET LIPA NO COR YET - SO-113"/>
    <s v="SO-113"/>
    <s v="HENLIN OUTLET LIPA NO COR YET"/>
    <s v="HENLIN"/>
    <s v="OUTLET LIPA"/>
    <s v="50% DOWNPAYMENT, 50% 35 DAYS PDC"/>
    <s v="2025-07-18"/>
    <s v="IMIN D2"/>
    <n v="1"/>
    <n v="9500"/>
    <n v="15500"/>
    <n v="15500"/>
    <s v="RUDELYN"/>
  </r>
  <r>
    <x v="74"/>
    <s v="CHICKEN DELI - SO-113"/>
    <s v="SO-113"/>
    <s v="CHICKEN DELI"/>
    <s v="SM MASINAG"/>
    <s v="GENERIC"/>
    <s v="N/A"/>
    <s v="2025-06-20"/>
    <s v="JOURNAL PAPER SINGLE PLY"/>
    <n v="1"/>
    <n v="17"/>
    <n v="1250"/>
    <n v="1250"/>
    <s v="MARITESS"/>
  </r>
  <r>
    <x v="0"/>
    <s v="ARIZONA ICE CREAM CORPORATION - SO-114"/>
    <s v="SO-114"/>
    <s v="ARIZONA ICE CREAM CORPORATION"/>
    <s v="COLDSTONE"/>
    <s v="GENERIC"/>
    <s v="50% DOWNPAYMENT, 50% 35 DAYS PDC"/>
    <s v="2025-07-24"/>
    <s v="PREVENTIVE MAINTENANCE ( MARCH 21, 2025 TO MARCH 20, 2026)"/>
    <n v="4"/>
    <n v="8500"/>
    <n v="8500"/>
    <n v="34000"/>
    <s v="MARITESS"/>
  </r>
  <r>
    <x v="2"/>
    <s v="CHICKEN DELI - SO-114"/>
    <s v="SO-114"/>
    <s v="CHICKEN DELI"/>
    <s v="GONGCHA"/>
    <s v="GENERIC"/>
    <s v="N/A"/>
    <s v="2025-06-20"/>
    <s v="POSTECH TOUCHSCREEN MONITOR"/>
    <n v="1"/>
    <n v="11000"/>
    <n v="16500"/>
    <n v="16500"/>
    <s v="MARITESS"/>
  </r>
  <r>
    <x v="2"/>
    <s v="CHICKEN DELI - SO-114"/>
    <s v="SO-114"/>
    <s v="CHICKEN DELI"/>
    <s v="GONGCHA"/>
    <s v="GENERIC"/>
    <s v="N/A"/>
    <s v="2025-06-20"/>
    <s v="DELIVERY CHARGE"/>
    <n v="1"/>
    <n v="500"/>
    <n v="500"/>
    <n v="500"/>
    <s v="MARITESS"/>
  </r>
  <r>
    <x v="14"/>
    <s v="HUZZAH - SO-115"/>
    <s v="SO-115"/>
    <s v="HUZZAH"/>
    <s v="HUZZAH"/>
    <s v="GENERIC"/>
    <s v="COD"/>
    <s v="2025-07-28"/>
    <s v="JOURNAL PAPER - DOUBLE PLY"/>
    <n v="50"/>
    <n v="32"/>
    <n v="50"/>
    <n v="2500"/>
    <s v="RUDELYN"/>
  </r>
  <r>
    <x v="114"/>
    <s v="CHICKEN DELI - SO-115"/>
    <s v="SO-115"/>
    <s v="CHICKEN DELI"/>
    <s v="PAOTSIN"/>
    <s v="GENERIC"/>
    <s v="N/A"/>
    <s v="2025-06-23"/>
    <s v="UPS APC"/>
    <n v="1"/>
    <n v="2200"/>
    <n v="4200"/>
    <n v="4200"/>
    <s v="MARITESS"/>
  </r>
  <r>
    <x v="114"/>
    <s v="CHICKEN DELI - SO-115"/>
    <s v="SO-115"/>
    <s v="CHICKEN DELI"/>
    <s v="PAOTSIN"/>
    <s v="GENERIC"/>
    <s v="N/A"/>
    <s v="2025-06-23"/>
    <s v="USB FAN"/>
    <n v="1"/>
    <n v="350"/>
    <n v="500"/>
    <n v="500"/>
    <s v="MARITESS"/>
  </r>
  <r>
    <x v="114"/>
    <s v="CHICKEN DELI - SO-115"/>
    <s v="SO-115"/>
    <s v="CHICKEN DELI"/>
    <s v="PAOTSIN"/>
    <s v="GENERIC"/>
    <s v="N/A"/>
    <s v="2025-06-23"/>
    <s v="DELIVERY CHARGE"/>
    <n v="1"/>
    <n v="500"/>
    <n v="500"/>
    <n v="500"/>
    <s v="MARITESS"/>
  </r>
  <r>
    <x v="115"/>
    <s v="IZZA CABONCE MARQUEZ - SO-116"/>
    <s v="SO-116"/>
    <s v="IZZA CABONCE MARQUEZ"/>
    <s v="LUTONG ILOCANO"/>
    <s v="GENERIC"/>
    <s v="COD"/>
    <s v="2025-08-01"/>
    <s v="EPSON TMU220D USB PRINTER"/>
    <n v="1"/>
    <n v="8500"/>
    <n v="13000"/>
    <n v="13000"/>
    <s v="MARITESS"/>
  </r>
  <r>
    <x v="33"/>
    <s v="M W TOWNSTORE - SO-116"/>
    <s v="SO-116"/>
    <s v="M W TOWNSTORE"/>
    <s v="M &amp; W"/>
    <s v="GENERIC"/>
    <s v="N/A"/>
    <s v="2025-07-01"/>
    <s v="EPSON TMU 220B PRINTER"/>
    <n v="1"/>
    <n v="9500"/>
    <n v="13500"/>
    <n v="13500"/>
    <s v="MARITESS"/>
  </r>
  <r>
    <x v="116"/>
    <s v="AZIAN CRYSTAL CORPORATION - SO-117"/>
    <s v="SO-117"/>
    <s v="AZIAN CRYSTAL CORPORATION"/>
    <s v="AZIAN CRYSTAL CORPORATION"/>
    <s v="SM MOA"/>
    <s v="50% DOWNPAYMENT, 50% 35 DAYS PDC"/>
    <s v="2025-08-07"/>
    <s v="TSCERES SQL VER. 6"/>
    <n v="1"/>
    <n v="3675"/>
    <n v="10500"/>
    <n v="10500"/>
    <s v="RUDELYN"/>
  </r>
  <r>
    <x v="116"/>
    <s v="AZIAN CRYSTAL CORPORATION - SO-117"/>
    <s v="SO-117"/>
    <s v="AZIAN CRYSTAL CORPORATION"/>
    <s v="AZIAN CRYSTAL CORPORATION"/>
    <s v="SM MOA"/>
    <s v="50% DOWNPAYMENT, 50% 35 DAYS PDC"/>
    <s v="2025-08-07"/>
    <s v="ROLLOUT IMPLEMENTATION"/>
    <n v="1"/>
    <n v="4095"/>
    <n v="11700"/>
    <n v="11700"/>
    <s v="RUDELYN"/>
  </r>
  <r>
    <x v="116"/>
    <s v="AZIAN CRYSTAL CORPORATION - SO-117"/>
    <s v="SO-117"/>
    <s v="AZIAN CRYSTAL CORPORATION"/>
    <s v="AZIAN CRYSTAL CORPORATION"/>
    <s v="SM MOA"/>
    <s v="50% DOWNPAYMENT, 50% 35 DAYS PDC"/>
    <s v="2025-08-07"/>
    <s v="1 YEAR WARRANTY"/>
    <n v="1"/>
    <n v="4095"/>
    <n v="11700"/>
    <n v="11700"/>
    <s v="RUDELYN"/>
  </r>
  <r>
    <x v="116"/>
    <s v="AZIAN CRYSTAL CORPORATION - SO-117"/>
    <s v="SO-117"/>
    <s v="AZIAN CRYSTAL CORPORATION"/>
    <s v="AZIAN CRYSTAL CORPORATION"/>
    <s v="SM MOA"/>
    <s v="50% DOWNPAYMENT, 50% 35 DAYS PDC"/>
    <s v="2025-08-07"/>
    <s v="BIR REGISTRATION"/>
    <n v="1"/>
    <n v="500"/>
    <n v="500"/>
    <n v="500"/>
    <s v="RUDELYN"/>
  </r>
  <r>
    <x v="116"/>
    <s v="AZIAN CRYSTAL CORPORATION - SO-117"/>
    <s v="SO-117"/>
    <s v="AZIAN CRYSTAL CORPORATION"/>
    <s v="AZIAN CRYSTAL CORPORATION"/>
    <s v="SM MOA"/>
    <s v="50% DOWNPAYMENT, 50% 35 DAYS PDC"/>
    <s v="2025-08-07"/>
    <s v="EPSON TMU220D USB PRINTER"/>
    <n v="1"/>
    <n v="8500"/>
    <n v="12500"/>
    <n v="12500"/>
    <s v="RUDELYN"/>
  </r>
  <r>
    <x v="116"/>
    <s v="AZIAN CRYSTAL CORPORATION - SO-117"/>
    <s v="SO-117"/>
    <s v="AZIAN CRYSTAL CORPORATION"/>
    <s v="AZIAN CRYSTAL CORPORATION"/>
    <s v="SM MOA"/>
    <s v="50% DOWNPAYMENT, 50% 35 DAYS PDC"/>
    <s v="2025-08-07"/>
    <s v="APC UPS"/>
    <n v="1"/>
    <n v="2200"/>
    <n v="3000"/>
    <n v="3000"/>
    <s v="RUDELYN"/>
  </r>
  <r>
    <x v="116"/>
    <s v="AZIAN CRYSTAL CORPORATION - SO-117"/>
    <s v="SO-117"/>
    <s v="AZIAN CRYSTAL CORPORATION"/>
    <s v="AZIAN CRYSTAL CORPORATION"/>
    <s v="SM MOA"/>
    <s v="50% DOWNPAYMENT, 50% 35 DAYS PDC"/>
    <s v="2025-08-07"/>
    <s v="POSHTECH 15&quot; TOUCHSCREEN MONITOR"/>
    <n v="1"/>
    <n v="11000"/>
    <n v="16000"/>
    <n v="16000"/>
    <s v="RUDELYN"/>
  </r>
  <r>
    <x v="116"/>
    <s v="AZIAN CRYSTAL CORPORATION - SO-117"/>
    <s v="SO-117"/>
    <s v="AZIAN CRYSTAL CORPORATION"/>
    <s v="AZIAN CRYSTAL CORPORATION"/>
    <s v="SM MOA"/>
    <s v="50% DOWNPAYMENT, 50% 35 DAYS PDC"/>
    <s v="2025-08-07"/>
    <s v="CASH DRAWER"/>
    <n v="1"/>
    <n v="2185"/>
    <n v="3500"/>
    <n v="3500"/>
    <s v="RUDELYN"/>
  </r>
  <r>
    <x v="116"/>
    <s v="AZIAN CRYSTAL CORPORATION - SO-117"/>
    <s v="SO-117"/>
    <s v="AZIAN CRYSTAL CORPORATION"/>
    <s v="AZIAN CRYSTAL CORPORATION"/>
    <s v="SM MOA"/>
    <s v="50% DOWNPAYMENT, 50% 35 DAYS PDC"/>
    <s v="2025-08-07"/>
    <s v="EOS MINI CPU I5, 8GB RAM, 512 GB SSD"/>
    <n v="1"/>
    <n v="23450"/>
    <n v="30300"/>
    <n v="30300"/>
    <s v="RUDELYN"/>
  </r>
  <r>
    <x v="116"/>
    <s v="AZIAN CRYSTAL CORPORATION - SO-117"/>
    <s v="SO-117"/>
    <s v="AZIAN CRYSTAL CORPORATION"/>
    <s v="AZIAN CRYSTAL CORPORATION"/>
    <s v="SM MOA"/>
    <s v="50% DOWNPAYMENT, 50% 35 DAYS PDC"/>
    <s v="2025-08-07"/>
    <s v="WINDOWS 11 PRO"/>
    <n v="1"/>
    <n v="2800"/>
    <n v="4000"/>
    <n v="4000"/>
    <s v="RUDELYN"/>
  </r>
  <r>
    <x v="116"/>
    <s v="AZIAN CRYSTAL CORPORATION - SO-117"/>
    <s v="SO-117"/>
    <s v="AZIAN CRYSTAL CORPORATION"/>
    <s v="AZIAN CRYSTAL CORPORATION"/>
    <s v="SM MOA"/>
    <s v="50% DOWNPAYMENT, 50% 35 DAYS PDC"/>
    <s v="2025-08-07"/>
    <s v="KEYBOARD &amp; MOUSE"/>
    <n v="1"/>
    <n v="530"/>
    <n v="700"/>
    <n v="700"/>
    <s v="RUDELYN"/>
  </r>
  <r>
    <x v="116"/>
    <s v="AZIAN CRYSTAL CORPORATION - SO-117"/>
    <s v="SO-117"/>
    <s v="AZIAN CRYSTAL CORPORATION"/>
    <s v="AZIAN CRYSTAL CORPORATION"/>
    <s v="SM MOA"/>
    <s v="50% DOWNPAYMENT, 50% 35 DAYS PDC"/>
    <s v="2025-08-07"/>
    <s v="EOS FAN WITH FAN COVER"/>
    <n v="1"/>
    <n v="350"/>
    <n v="500"/>
    <n v="500"/>
    <s v="RUDELYN"/>
  </r>
  <r>
    <x v="116"/>
    <s v="AZIAN CRYSTAL CORPORATION - SO-117"/>
    <s v="SO-117"/>
    <s v="AZIAN CRYSTAL CORPORATION"/>
    <s v="AZIAN CRYSTAL CORPORATION"/>
    <s v="SM MOA"/>
    <s v="50% DOWNPAYMENT, 50% 35 DAYS PDC"/>
    <s v="2025-08-07"/>
    <s v="KASPERSKY ANTI VIRUS"/>
    <n v="1"/>
    <n v="970"/>
    <n v="1500"/>
    <n v="1500"/>
    <s v="RUDELYN"/>
  </r>
  <r>
    <x v="116"/>
    <s v="AZIAN CRYSTAL CORPORATION - SO-117"/>
    <s v="SO-117"/>
    <s v="AZIAN CRYSTAL CORPORATION"/>
    <s v="AZIAN CRYSTAL CORPORATION"/>
    <s v="SM MOA"/>
    <s v="50% DOWNPAYMENT, 50% 35 DAYS PDC"/>
    <s v="2025-08-07"/>
    <s v="DELIVERY FEE"/>
    <n v="1"/>
    <n v="600"/>
    <n v="600"/>
    <n v="600"/>
    <s v="RUDELYN"/>
  </r>
  <r>
    <x v="9"/>
    <s v="CHICKEN DELI - SO-117"/>
    <s v="SO-117"/>
    <s v="CHICKEN DELI"/>
    <s v="OJO EYEWEAR"/>
    <s v="GENERIC"/>
    <s v="N/A"/>
    <s v="2025-07-03"/>
    <s v="TMU220D JOURNAL PAPER ( SINGLE PLY )"/>
    <n v="100"/>
    <n v="17"/>
    <n v="25"/>
    <n v="2500"/>
    <s v="MARITESS"/>
  </r>
  <r>
    <x v="117"/>
    <s v="HRT VENTURES CORPORATION - SO-118"/>
    <s v="SO-118"/>
    <s v="HRT VENTURES CORPORATION"/>
    <s v="BARISTART COFFEE CAFÉ (LICENSEE)"/>
    <s v="GENERIC"/>
    <s v="COD"/>
    <s v="2027-08-07"/>
    <s v="POSTECH ADAPTER WITH CORD"/>
    <n v="1"/>
    <n v="2500"/>
    <n v="3500"/>
    <n v="3500"/>
    <s v="MARITESS"/>
  </r>
  <r>
    <x v="2"/>
    <s v="CHICKEN DELI - SO-118"/>
    <s v="SO-118"/>
    <s v="CHICKEN DELI"/>
    <s v="GONGCHA"/>
    <s v="GENERIC"/>
    <s v="N/A"/>
    <s v="2025-07-03"/>
    <s v="PREVENTIVE MAINTENANCE"/>
    <n v="2"/>
    <n v="6500"/>
    <n v="6500"/>
    <n v="13000"/>
    <s v="MARITESS"/>
  </r>
  <r>
    <x v="73"/>
    <s v="CANELLE FOOD CORPORATION - SO-119"/>
    <s v="SO-119"/>
    <s v="CANELLE FOOD CORPORATION"/>
    <s v="CINNABON"/>
    <s v="GENERIC"/>
    <s v="N/A"/>
    <s v="2025-08-14"/>
    <s v="MODIFICATION"/>
    <n v="1"/>
    <n v="5000"/>
    <n v="10000"/>
    <n v="10000"/>
    <s v="MARITESS"/>
  </r>
  <r>
    <x v="2"/>
    <s v="CHICKEN DELI - SO-119"/>
    <s v="SO-119"/>
    <s v="CHICKEN DELI"/>
    <s v="GONGCHA"/>
    <s v="GENERIC"/>
    <s v="N/A"/>
    <s v="2025-07-03"/>
    <s v="PREVENTIVE MAINTENANCE"/>
    <n v="3"/>
    <n v="6500"/>
    <n v="6500"/>
    <n v="19500"/>
    <s v="MARITESS"/>
  </r>
  <r>
    <x v="118"/>
    <s v="SIMPLY GOURMET FOOD CORP NO COR YET - SO-120"/>
    <s v="SO-120"/>
    <s v="SIMPLY GOURMET FOOD CORP NO COR YET"/>
    <s v="CHA TRA MUE"/>
    <s v="ROB. GALLERIA"/>
    <s v="50% DOWNPAYMENT, 50% 35 DAYS PDC"/>
    <s v="2025-08-18"/>
    <s v="BACCHUS SQL + VERSION 2"/>
    <n v="1"/>
    <n v="3675"/>
    <n v="10500"/>
    <n v="10500"/>
    <s v="RUDELYN"/>
  </r>
  <r>
    <x v="118"/>
    <s v="SIMPLY GOURMET FOOD CORP NO COR YET - SO-120"/>
    <s v="SO-120"/>
    <s v="SIMPLY GOURMET FOOD CORP NO COR YET"/>
    <s v="CHA TRA MUE"/>
    <s v="ROB. GALLERIA"/>
    <s v="50% DOWNPAYMENT, 50% 35 DAYS PDC"/>
    <s v="2025-08-18"/>
    <s v="ROLLOUT IMPLEMENTATION"/>
    <n v="1"/>
    <n v="3255"/>
    <n v="9300"/>
    <n v="9300"/>
    <s v="RUDELYN"/>
  </r>
  <r>
    <x v="118"/>
    <s v="SIMPLY GOURMET FOOD CORP NO COR YET - SO-120"/>
    <s v="SO-120"/>
    <s v="SIMPLY GOURMET FOOD CORP NO COR YET"/>
    <s v="CHA TRA MUE"/>
    <s v="ROB. GALLERIA"/>
    <s v="50% DOWNPAYMENT, 50% 35 DAYS PDC"/>
    <s v="2025-08-18"/>
    <s v="1 YEAR WARRANTY"/>
    <n v="1"/>
    <n v="3255"/>
    <n v="9300"/>
    <n v="9300"/>
    <s v="RUDELYN"/>
  </r>
  <r>
    <x v="118"/>
    <s v="SIMPLY GOURMET FOOD CORP NO COR YET - SO-120"/>
    <s v="SO-120"/>
    <s v="SIMPLY GOURMET FOOD CORP NO COR YET"/>
    <s v="CHA TRA MUE"/>
    <s v="ROB. GALLERIA"/>
    <s v="50% DOWNPAYMENT, 50% 35 DAYS PDC"/>
    <s v="2025-08-18"/>
    <s v="BIR REGISTRATION"/>
    <n v="1"/>
    <n v="500"/>
    <n v="500"/>
    <n v="500"/>
    <s v="RUDELYN"/>
  </r>
  <r>
    <x v="118"/>
    <s v="SIMPLY GOURMET FOOD CORP NO COR YET - SO-120"/>
    <s v="SO-120"/>
    <s v="SIMPLY GOURMET FOOD CORP NO COR YET"/>
    <s v="CHA TRA MUE"/>
    <s v="ROB. GALLERIA"/>
    <s v="50% DOWNPAYMENT, 50% 35 DAYS PDC"/>
    <s v="2025-08-18"/>
    <s v="EPSON TMU220D USB PRINTER"/>
    <n v="1"/>
    <n v="8500"/>
    <n v="12500"/>
    <n v="12500"/>
    <s v="RUDELYN"/>
  </r>
  <r>
    <x v="118"/>
    <s v="SIMPLY GOURMET FOOD CORP NO COR YET - SO-120"/>
    <s v="SO-120"/>
    <s v="SIMPLY GOURMET FOOD CORP NO COR YET"/>
    <s v="CHA TRA MUE"/>
    <s v="ROB. GALLERIA"/>
    <s v="50% DOWNPAYMENT, 50% 35 DAYS PDC"/>
    <s v="2025-08-18"/>
    <s v="APC UPS"/>
    <n v="1"/>
    <n v="2200"/>
    <n v="3000"/>
    <n v="3000"/>
    <s v="RUDELYN"/>
  </r>
  <r>
    <x v="118"/>
    <s v="SIMPLY GOURMET FOOD CORP NO COR YET - SO-120"/>
    <s v="SO-120"/>
    <s v="SIMPLY GOURMET FOOD CORP NO COR YET"/>
    <s v="CHA TRA MUE"/>
    <s v="ROB. GALLERIA"/>
    <s v="50% DOWNPAYMENT, 50% 35 DAYS PDC"/>
    <s v="2025-08-18"/>
    <s v="POSTECH TOUCHSCREEN MONITOR"/>
    <n v="1"/>
    <n v="11000"/>
    <n v="16000"/>
    <n v="16000"/>
    <s v="RUDELYN"/>
  </r>
  <r>
    <x v="118"/>
    <s v="SIMPLY GOURMET FOOD CORP NO COR YET - SO-120"/>
    <s v="SO-120"/>
    <s v="SIMPLY GOURMET FOOD CORP NO COR YET"/>
    <s v="CHA TRA MUE"/>
    <s v="ROB. GALLERIA"/>
    <s v="50% DOWNPAYMENT, 50% 35 DAYS PDC"/>
    <s v="2025-08-18"/>
    <s v="CASH DRAWER"/>
    <n v="1"/>
    <n v="2185"/>
    <n v="3500"/>
    <n v="3500"/>
    <s v="RUDELYN"/>
  </r>
  <r>
    <x v="118"/>
    <s v="SIMPLY GOURMET FOOD CORP NO COR YET - SO-120"/>
    <s v="SO-120"/>
    <s v="SIMPLY GOURMET FOOD CORP NO COR YET"/>
    <s v="CHA TRA MUE"/>
    <s v="ROB. GALLERIA"/>
    <s v="50% DOWNPAYMENT, 50% 35 DAYS PDC"/>
    <s v="2025-08-18"/>
    <s v="EOS MINI CPU I5, 8GB RAM, 512 GB SSD"/>
    <n v="1"/>
    <n v="23450"/>
    <n v="30300"/>
    <n v="30300"/>
    <s v="RUDELYN"/>
  </r>
  <r>
    <x v="118"/>
    <s v="SIMPLY GOURMET FOOD CORP NO COR YET - SO-120"/>
    <s v="SO-120"/>
    <s v="SIMPLY GOURMET FOOD CORP NO COR YET"/>
    <s v="CHA TRA MUE"/>
    <s v="ROB. GALLERIA"/>
    <s v="50% DOWNPAYMENT, 50% 35 DAYS PDC"/>
    <s v="2025-08-18"/>
    <s v="WINDOWS 11 PRO"/>
    <n v="1"/>
    <n v="2800"/>
    <n v="4000"/>
    <n v="4000"/>
    <s v="RUDELYN"/>
  </r>
  <r>
    <x v="118"/>
    <s v="SIMPLY GOURMET FOOD CORP NO COR YET - SO-120"/>
    <s v="SO-120"/>
    <s v="SIMPLY GOURMET FOOD CORP NO COR YET"/>
    <s v="CHA TRA MUE"/>
    <s v="ROB. GALLERIA"/>
    <s v="50% DOWNPAYMENT, 50% 35 DAYS PDC"/>
    <s v="2025-08-18"/>
    <s v="KEYBOARD &amp; MOUSE"/>
    <n v="1"/>
    <n v="530"/>
    <n v="700"/>
    <n v="700"/>
    <s v="RUDELYN"/>
  </r>
  <r>
    <x v="118"/>
    <s v="SIMPLY GOURMET FOOD CORP NO COR YET - SO-120"/>
    <s v="SO-120"/>
    <s v="SIMPLY GOURMET FOOD CORP NO COR YET"/>
    <s v="CHA TRA MUE"/>
    <s v="ROB. GALLERIA"/>
    <s v="50% DOWNPAYMENT, 50% 35 DAYS PDC"/>
    <s v="2025-08-18"/>
    <s v="EOS FAN WITH FAN COVER"/>
    <n v="1"/>
    <n v="350"/>
    <n v="500"/>
    <n v="500"/>
    <s v="RUDELYN"/>
  </r>
  <r>
    <x v="118"/>
    <s v="SIMPLY GOURMET FOOD CORP NO COR YET - SO-120"/>
    <s v="SO-120"/>
    <s v="SIMPLY GOURMET FOOD CORP NO COR YET"/>
    <s v="CHA TRA MUE"/>
    <s v="ROB. GALLERIA"/>
    <s v="50% DOWNPAYMENT, 50% 35 DAYS PDC"/>
    <s v="2025-08-18"/>
    <s v="KASPERSKY ANTI VIRUS"/>
    <n v="1"/>
    <n v="970"/>
    <n v="1500"/>
    <n v="1500"/>
    <s v="RUDELYN"/>
  </r>
  <r>
    <x v="118"/>
    <s v="SIMPLY GOURMET FOOD CORP NO COR YET - SO-120"/>
    <s v="SO-120"/>
    <s v="SIMPLY GOURMET FOOD CORP NO COR YET"/>
    <s v="CHA TRA MUE"/>
    <s v="ROB. GALLERIA"/>
    <s v="50% DOWNPAYMENT, 50% 35 DAYS PDC"/>
    <s v="2025-08-18"/>
    <s v="DELIVERY FEE"/>
    <n v="1"/>
    <n v="400"/>
    <n v="400"/>
    <n v="400"/>
    <s v="RUDELYN"/>
  </r>
  <r>
    <x v="2"/>
    <s v="CHICKEN DELI - SO-120"/>
    <s v="SO-120"/>
    <s v="CHICKEN DELI"/>
    <s v="GONGCHA"/>
    <s v="GENERIC"/>
    <s v="N/A"/>
    <s v="2025-07-03"/>
    <s v="PREVENTIVE MAINTENANCE"/>
    <n v="2"/>
    <n v="6500"/>
    <n v="6500"/>
    <n v="13000"/>
    <s v="MARITESS"/>
  </r>
  <r>
    <x v="119"/>
    <s v="SIMPLY GOURMET FOOD CORP NO COR YET - SO-121"/>
    <s v="SO-121"/>
    <s v="SIMPLY GOURMET FOOD CORP NO COR YET"/>
    <s v="CHA TRA MUE"/>
    <s v="ROB. ANTIPOLO"/>
    <s v="50% DOWNPAYMENT, 50% 35 DAYS PDC"/>
    <s v="2025-08-18"/>
    <s v="BACCHUS SQL + VERSION 2"/>
    <n v="1"/>
    <n v="3675"/>
    <n v="10500"/>
    <n v="10500"/>
    <s v="RUDELYN"/>
  </r>
  <r>
    <x v="119"/>
    <s v="SIMPLY GOURMET FOOD CORP NO COR YET - SO-121"/>
    <s v="SO-121"/>
    <s v="SIMPLY GOURMET FOOD CORP NO COR YET"/>
    <s v="CHA TRA MUE"/>
    <s v="ROB. ANTIPOLO"/>
    <s v="50% DOWNPAYMENT, 50% 35 DAYS PDC"/>
    <s v="2025-08-18"/>
    <s v="ROLLOUT IMPLEMENTATION"/>
    <n v="1"/>
    <n v="3220"/>
    <n v="9200"/>
    <n v="9200"/>
    <s v="RUDELYN"/>
  </r>
  <r>
    <x v="119"/>
    <s v="SIMPLY GOURMET FOOD CORP NO COR YET - SO-121"/>
    <s v="SO-121"/>
    <s v="SIMPLY GOURMET FOOD CORP NO COR YET"/>
    <s v="CHA TRA MUE"/>
    <s v="ROB. ANTIPOLO"/>
    <s v="50% DOWNPAYMENT, 50% 35 DAYS PDC"/>
    <s v="2025-08-18"/>
    <s v="1 YEAR WARRANTY"/>
    <n v="1"/>
    <n v="3220"/>
    <n v="9200"/>
    <n v="9200"/>
    <s v="RUDELYN"/>
  </r>
  <r>
    <x v="119"/>
    <s v="SIMPLY GOURMET FOOD CORP NO COR YET - SO-121"/>
    <s v="SO-121"/>
    <s v="SIMPLY GOURMET FOOD CORP NO COR YET"/>
    <s v="CHA TRA MUE"/>
    <s v="ROB. ANTIPOLO"/>
    <s v="50% DOWNPAYMENT, 50% 35 DAYS PDC"/>
    <s v="2025-08-18"/>
    <s v="BIR REGISTRATION"/>
    <n v="1"/>
    <n v="500"/>
    <n v="500"/>
    <n v="500"/>
    <s v="RUDELYN"/>
  </r>
  <r>
    <x v="119"/>
    <s v="SIMPLY GOURMET FOOD CORP NO COR YET - SO-121"/>
    <s v="SO-121"/>
    <s v="SIMPLY GOURMET FOOD CORP NO COR YET"/>
    <s v="CHA TRA MUE"/>
    <s v="ROB. ANTIPOLO"/>
    <s v="50% DOWNPAYMENT, 50% 35 DAYS PDC"/>
    <s v="2025-08-18"/>
    <s v="EPSON TMU220D USB PRINTER"/>
    <n v="1"/>
    <n v="8500"/>
    <n v="12500"/>
    <n v="12500"/>
    <s v="RUDELYN"/>
  </r>
  <r>
    <x v="119"/>
    <s v="SIMPLY GOURMET FOOD CORP NO COR YET - SO-121"/>
    <s v="SO-121"/>
    <s v="SIMPLY GOURMET FOOD CORP NO COR YET"/>
    <s v="CHA TRA MUE"/>
    <s v="ROB. ANTIPOLO"/>
    <s v="50% DOWNPAYMENT, 50% 35 DAYS PDC"/>
    <s v="2025-08-18"/>
    <s v="APC UPS"/>
    <n v="1"/>
    <n v="2200"/>
    <n v="3000"/>
    <n v="3000"/>
    <s v="RUDELYN"/>
  </r>
  <r>
    <x v="119"/>
    <s v="SIMPLY GOURMET FOOD CORP NO COR YET - SO-121"/>
    <s v="SO-121"/>
    <s v="SIMPLY GOURMET FOOD CORP NO COR YET"/>
    <s v="CHA TRA MUE"/>
    <s v="ROB. ANTIPOLO"/>
    <s v="50% DOWNPAYMENT, 50% 35 DAYS PDC"/>
    <s v="2025-08-18"/>
    <s v="POSTECH TOUCHSCREEN MONITOR"/>
    <n v="1"/>
    <n v="11000"/>
    <n v="16000"/>
    <n v="16000"/>
    <s v="RUDELYN"/>
  </r>
  <r>
    <x v="119"/>
    <s v="SIMPLY GOURMET FOOD CORP NO COR YET - SO-121"/>
    <s v="SO-121"/>
    <s v="SIMPLY GOURMET FOOD CORP NO COR YET"/>
    <s v="CHA TRA MUE"/>
    <s v="ROB. ANTIPOLO"/>
    <s v="50% DOWNPAYMENT, 50% 35 DAYS PDC"/>
    <s v="2025-08-18"/>
    <s v="CASH DRAWER"/>
    <n v="1"/>
    <n v="2185"/>
    <n v="3500"/>
    <n v="3500"/>
    <s v="RUDELYN"/>
  </r>
  <r>
    <x v="119"/>
    <s v="SIMPLY GOURMET FOOD CORP NO COR YET - SO-121"/>
    <s v="SO-121"/>
    <s v="SIMPLY GOURMET FOOD CORP NO COR YET"/>
    <s v="CHA TRA MUE"/>
    <s v="ROB. ANTIPOLO"/>
    <s v="50% DOWNPAYMENT, 50% 35 DAYS PDC"/>
    <s v="2025-08-18"/>
    <s v="EOS MINI CPU I5, 8GB RAM, 512 GB SSD"/>
    <n v="1"/>
    <n v="23450"/>
    <n v="30300"/>
    <n v="30300"/>
    <s v="RUDELYN"/>
  </r>
  <r>
    <x v="119"/>
    <s v="SIMPLY GOURMET FOOD CORP NO COR YET - SO-121"/>
    <s v="SO-121"/>
    <s v="SIMPLY GOURMET FOOD CORP NO COR YET"/>
    <s v="CHA TRA MUE"/>
    <s v="ROB. ANTIPOLO"/>
    <s v="50% DOWNPAYMENT, 50% 35 DAYS PDC"/>
    <s v="2025-08-18"/>
    <s v="WINDOWS 11 PRO"/>
    <n v="1"/>
    <n v="2800"/>
    <n v="4000"/>
    <n v="4000"/>
    <s v="RUDELYN"/>
  </r>
  <r>
    <x v="119"/>
    <s v="SIMPLY GOURMET FOOD CORP NO COR YET - SO-121"/>
    <s v="SO-121"/>
    <s v="SIMPLY GOURMET FOOD CORP NO COR YET"/>
    <s v="CHA TRA MUE"/>
    <s v="ROB. ANTIPOLO"/>
    <s v="50% DOWNPAYMENT, 50% 35 DAYS PDC"/>
    <s v="2025-08-18"/>
    <s v="KEYBOARD &amp; MOUSE"/>
    <n v="1"/>
    <n v="530"/>
    <n v="700"/>
    <n v="700"/>
    <s v="RUDELYN"/>
  </r>
  <r>
    <x v="119"/>
    <s v="SIMPLY GOURMET FOOD CORP NO COR YET - SO-121"/>
    <s v="SO-121"/>
    <s v="SIMPLY GOURMET FOOD CORP NO COR YET"/>
    <s v="CHA TRA MUE"/>
    <s v="ROB. ANTIPOLO"/>
    <s v="50% DOWNPAYMENT, 50% 35 DAYS PDC"/>
    <s v="2025-08-18"/>
    <s v="EOS FAN WITH FAN COVER"/>
    <n v="1"/>
    <n v="350"/>
    <n v="500"/>
    <n v="500"/>
    <s v="RUDELYN"/>
  </r>
  <r>
    <x v="119"/>
    <s v="SIMPLY GOURMET FOOD CORP NO COR YET - SO-121"/>
    <s v="SO-121"/>
    <s v="SIMPLY GOURMET FOOD CORP NO COR YET"/>
    <s v="CHA TRA MUE"/>
    <s v="ROB. ANTIPOLO"/>
    <s v="50% DOWNPAYMENT, 50% 35 DAYS PDC"/>
    <s v="2025-08-18"/>
    <s v="KASPERSKY ANTI VIRUS"/>
    <n v="1"/>
    <n v="970"/>
    <n v="1500"/>
    <n v="1500"/>
    <s v="RUDELYN"/>
  </r>
  <r>
    <x v="119"/>
    <s v="SIMPLY GOURMET FOOD CORP NO COR YET - SO-121"/>
    <s v="SO-121"/>
    <s v="SIMPLY GOURMET FOOD CORP NO COR YET"/>
    <s v="CHA TRA MUE"/>
    <s v="ROB. ANTIPOLO"/>
    <s v="50% DOWNPAYMENT, 50% 35 DAYS PDC"/>
    <s v="2025-08-18"/>
    <s v="DELIVERY FEE"/>
    <n v="1"/>
    <n v="600"/>
    <n v="600"/>
    <n v="600"/>
    <s v="RUDELYN"/>
  </r>
  <r>
    <x v="2"/>
    <s v="CHICKEN DELI - SO-121"/>
    <s v="SO-121"/>
    <s v="CHICKEN DELI"/>
    <s v="GONGCHA"/>
    <s v="GENERIC"/>
    <s v="N/A"/>
    <s v="2025-07-03"/>
    <s v="PREVENTIVE MAINTENANCE"/>
    <n v="2"/>
    <n v="6500"/>
    <n v="6500"/>
    <n v="13000"/>
    <s v="MARITESS"/>
  </r>
  <r>
    <x v="120"/>
    <s v="AURORA CHARLIE FOOD VENTURES INC - SO-122"/>
    <s v="SO-122"/>
    <s v="AURORA CHARLIE FOOD VENTURES INC"/>
    <s v="MAMOU"/>
    <s v="GATEWAY"/>
    <s v="COD"/>
    <s v="2025-08-20"/>
    <s v="EPSON TM-T82X THERMAL PRINTER (LAN)"/>
    <n v="1"/>
    <n v="7500"/>
    <n v="12000"/>
    <n v="12000"/>
    <s v="RUDELYN"/>
  </r>
  <r>
    <x v="2"/>
    <s v="CHICKEN DELI - SO-122"/>
    <s v="SO-122"/>
    <s v="CHICKEN DELI"/>
    <s v="GONGCHA"/>
    <s v="GENERIC"/>
    <s v="N/A"/>
    <s v="2025-07-03"/>
    <s v="PREVENTIVE MAINTENANCE"/>
    <n v="1"/>
    <n v="6500"/>
    <n v="6500"/>
    <n v="6500"/>
    <s v="MARITESS"/>
  </r>
  <r>
    <x v="121"/>
    <s v="VERONES CAROLYN GONZALEZ - SO-123"/>
    <s v="SO-123"/>
    <s v="VERONES CAROLYN GONZALEZ"/>
    <s v="VA BENE PASTA DELI"/>
    <s v="BGC"/>
    <s v="50% DOWNPAYMENT, 50% 35 DAYS PDC"/>
    <s v="2025-08-20"/>
    <s v="DESKTOP CPU I5, 8GB RAM, 512 GB SSD"/>
    <n v="1"/>
    <n v="23450"/>
    <n v="30600"/>
    <n v="30600"/>
    <s v="RUDELYN"/>
  </r>
  <r>
    <x v="121"/>
    <s v="VERONES CAROLYN GONZALEZ - SO-123"/>
    <s v="SO-123"/>
    <s v="VERONES CAROLYN GONZALEZ"/>
    <s v="VA BENE PASTA DELI"/>
    <s v="BGC"/>
    <s v="50% DOWNPAYMENT, 50% 35 DAYS PDC"/>
    <s v="2025-08-20"/>
    <s v="KEYBOARD &amp; MOUSE"/>
    <n v="1"/>
    <n v="0"/>
    <n v="0"/>
    <n v="0"/>
    <s v="RUDELYN"/>
  </r>
  <r>
    <x v="121"/>
    <s v="VERONES CAROLYN GONZALEZ - SO-123"/>
    <s v="SO-123"/>
    <s v="VERONES CAROLYN GONZALEZ"/>
    <s v="VA BENE PASTA DELI"/>
    <s v="BGC"/>
    <s v="50% DOWNPAYMENT, 50% 35 DAYS PDC"/>
    <s v="2025-08-20"/>
    <s v="WINDOWS 11 PRO"/>
    <n v="1"/>
    <n v="2800"/>
    <n v="4000"/>
    <n v="4000"/>
    <s v="RUDELYN"/>
  </r>
  <r>
    <x v="121"/>
    <s v="VERONES CAROLYN GONZALEZ - SO-123"/>
    <s v="SO-123"/>
    <s v="VERONES CAROLYN GONZALEZ"/>
    <s v="VA BENE PASTA DELI"/>
    <s v="BGC"/>
    <s v="50% DOWNPAYMENT, 50% 35 DAYS PDC"/>
    <s v="2025-08-20"/>
    <s v="DELIVERY FEE"/>
    <n v="1"/>
    <n v="400"/>
    <n v="400"/>
    <n v="400"/>
    <s v="RUDELYN"/>
  </r>
  <r>
    <x v="2"/>
    <s v="CHICKEN DELI - SO-123"/>
    <s v="SO-123"/>
    <s v="CHICKEN DELI"/>
    <s v="GONGCHA"/>
    <s v="GENERIC"/>
    <s v="N/A"/>
    <s v="2025-07-03"/>
    <s v="PREVENTIVE MAINTENANCE"/>
    <n v="1"/>
    <n v="6500"/>
    <n v="6500"/>
    <n v="6500"/>
    <s v="MARITESS"/>
  </r>
  <r>
    <x v="121"/>
    <s v="VERONES CAROLYN GONZALEZ - SO-124"/>
    <s v="SO-124"/>
    <s v="VERONES CAROLYN GONZALEZ"/>
    <s v="VA BENE PASTA DELI"/>
    <s v="BGC"/>
    <s v="50% DOWNPAYMENT, 50% 35 DAYS PDC"/>
    <s v="2025-08-20"/>
    <s v="PREVENTIVE MAINTENANCE * AUGUST 8, 2025 - AUGUST 7, 2026"/>
    <n v="1"/>
    <n v="15000"/>
    <n v="15000"/>
    <n v="15000"/>
    <s v="RUDELYN"/>
  </r>
  <r>
    <x v="2"/>
    <s v="CHICKEN DELI - SO-124"/>
    <s v="SO-124"/>
    <s v="CHICKEN DELI"/>
    <s v="GONGCHA"/>
    <s v="GENERIC"/>
    <s v="N/A"/>
    <s v="2025-07-03"/>
    <s v="PREVENTIVE MAINTENANCE"/>
    <n v="1"/>
    <n v="6500"/>
    <n v="6500"/>
    <n v="6500"/>
    <s v="MARITESS"/>
  </r>
  <r>
    <x v="14"/>
    <s v="HUZZAH - SO-125"/>
    <s v="SO-125"/>
    <s v="HUZZAH"/>
    <s v="HUZZAH"/>
    <s v="GENERIC"/>
    <s v="COD"/>
    <s v="2025-08-20"/>
    <s v="JOURNAL PAPER - DOUBLE PLY"/>
    <n v="50"/>
    <n v="32"/>
    <n v="50"/>
    <n v="2500"/>
    <s v="RUDELYN"/>
  </r>
  <r>
    <x v="22"/>
    <s v="CHICKEN DELI - SO-125"/>
    <s v="SO-125"/>
    <s v="CHICKEN DELI"/>
    <s v="ISSY &amp;CO."/>
    <s v="GENERIC"/>
    <s v="N/A"/>
    <s v="2025-07-04"/>
    <s v="RDMS V3+"/>
    <n v="1"/>
    <n v="3675"/>
    <n v="10500"/>
    <n v="10500"/>
    <s v="MARITESS"/>
  </r>
  <r>
    <x v="22"/>
    <s v="CHICKEN DELI - SO-125"/>
    <s v="SO-125"/>
    <s v="CHICKEN DELI"/>
    <s v="ISSY &amp;CO."/>
    <s v="GENERIC"/>
    <s v="N/A"/>
    <s v="2025-07-04"/>
    <s v="IMPLEMENTATION"/>
    <n v="1"/>
    <n v="10550"/>
    <n v="10550"/>
    <n v="10550"/>
    <s v="MARITESS"/>
  </r>
  <r>
    <x v="22"/>
    <s v="CHICKEN DELI - SO-125"/>
    <s v="SO-125"/>
    <s v="CHICKEN DELI"/>
    <s v="ISSY &amp;CO."/>
    <s v="GENERIC"/>
    <s v="N/A"/>
    <s v="2025-07-04"/>
    <s v="ONE YEAR WARRANTY"/>
    <n v="1"/>
    <n v="10550"/>
    <n v="10550"/>
    <n v="10550"/>
    <s v="MARITESS"/>
  </r>
  <r>
    <x v="22"/>
    <s v="CHICKEN DELI - SO-125"/>
    <s v="SO-125"/>
    <s v="CHICKEN DELI"/>
    <s v="ISSY &amp;CO."/>
    <s v="GENERIC"/>
    <s v="N/A"/>
    <s v="2025-07-04"/>
    <s v="BIR REG."/>
    <n v="1"/>
    <n v="500"/>
    <n v="500"/>
    <n v="500"/>
    <s v="MARITESS"/>
  </r>
  <r>
    <x v="22"/>
    <s v="CHICKEN DELI - SO-125"/>
    <s v="SO-125"/>
    <s v="CHICKEN DELI"/>
    <s v="ISSY &amp;CO."/>
    <s v="GENERIC"/>
    <s v="N/A"/>
    <s v="2025-07-04"/>
    <s v="ACER LCD MONITOR"/>
    <n v="1"/>
    <n v="4550"/>
    <n v="6500"/>
    <n v="6500"/>
    <s v="MARITESS"/>
  </r>
  <r>
    <x v="22"/>
    <s v="CHICKEN DELI - SO-125"/>
    <s v="SO-125"/>
    <s v="CHICKEN DELI"/>
    <s v="ISSY &amp;CO."/>
    <s v="GENERIC"/>
    <s v="N/A"/>
    <s v="2025-07-04"/>
    <s v="EPSON PRINTER TMU220D ( USB )"/>
    <n v="1"/>
    <n v="8500"/>
    <n v="12000"/>
    <n v="12000"/>
    <s v="MARITESS"/>
  </r>
  <r>
    <x v="22"/>
    <s v="CHICKEN DELI - SO-125"/>
    <s v="SO-125"/>
    <s v="CHICKEN DELI"/>
    <s v="ISSY &amp;CO."/>
    <s v="GENERIC"/>
    <s v="N/A"/>
    <s v="2025-07-04"/>
    <s v="KASPERSKY ANTI VIRUS"/>
    <n v="1"/>
    <n v="935"/>
    <n v="1300"/>
    <n v="1300"/>
    <s v="MARITESS"/>
  </r>
  <r>
    <x v="22"/>
    <s v="CHICKEN DELI - SO-125"/>
    <s v="SO-125"/>
    <s v="CHICKEN DELI"/>
    <s v="ISSY &amp;CO."/>
    <s v="GENERIC"/>
    <s v="N/A"/>
    <s v="2025-07-04"/>
    <s v="CASH DRAWER"/>
    <n v="1"/>
    <n v="2185"/>
    <n v="3500"/>
    <n v="3500"/>
    <s v="MARITESS"/>
  </r>
  <r>
    <x v="22"/>
    <s v="CHICKEN DELI - SO-125"/>
    <s v="SO-125"/>
    <s v="CHICKEN DELI"/>
    <s v="ISSY &amp;CO."/>
    <s v="GENERIC"/>
    <s v="N/A"/>
    <s v="2025-07-04"/>
    <s v="UPS APC"/>
    <n v="1"/>
    <n v="2200"/>
    <n v="3100"/>
    <n v="3100"/>
    <s v="MARITESS"/>
  </r>
  <r>
    <x v="22"/>
    <s v="CHICKEN DELI - SO-125"/>
    <s v="SO-125"/>
    <s v="CHICKEN DELI"/>
    <s v="ISSY &amp;CO."/>
    <s v="GENERIC"/>
    <s v="N/A"/>
    <s v="2025-07-04"/>
    <s v="EOS MINI CPU NV.M2 8GB"/>
    <n v="1"/>
    <n v="24800"/>
    <n v="35500"/>
    <n v="35500"/>
    <s v="MARITESS"/>
  </r>
  <r>
    <x v="22"/>
    <s v="CHICKEN DELI - SO-125"/>
    <s v="SO-125"/>
    <s v="CHICKEN DELI"/>
    <s v="ISSY &amp;CO."/>
    <s v="GENERIC"/>
    <s v="N/A"/>
    <s v="2025-07-04"/>
    <s v="WINDOWS 11"/>
    <n v="1"/>
    <n v="2800"/>
    <n v="4000"/>
    <n v="4000"/>
    <s v="MARITESS"/>
  </r>
  <r>
    <x v="22"/>
    <s v="CHICKEN DELI - SO-125"/>
    <s v="SO-125"/>
    <s v="CHICKEN DELI"/>
    <s v="ISSY &amp;CO."/>
    <s v="GENERIC"/>
    <s v="N/A"/>
    <s v="2025-07-04"/>
    <s v="DELIVERY CHARGE"/>
    <n v="1"/>
    <n v="500"/>
    <n v="500"/>
    <n v="500"/>
    <s v="MARITESS"/>
  </r>
  <r>
    <x v="112"/>
    <s v="CHICKEN DELI - SO-126"/>
    <s v="SO-126"/>
    <s v="CHICKEN DELI"/>
    <s v="HENLIN"/>
    <s v="GENERIC"/>
    <s v="N/A"/>
    <s v="2025-07-07"/>
    <s v="CLUTCH GEAR"/>
    <n v="1"/>
    <n v="800"/>
    <n v="1500"/>
    <n v="1500"/>
    <s v="MARITESS"/>
  </r>
  <r>
    <x v="122"/>
    <s v="SHIN CLARA FOOD CORPORATION - SO-126"/>
    <s v="SO-126"/>
    <s v="SHIN CLARA FOOD CORPORATION"/>
    <s v="SHIN CLARA FOOD CORP."/>
    <s v="GENERIC"/>
    <s v="N/A"/>
    <s v="2025-08-22"/>
    <s v="RDMS V4.3.0"/>
    <n v="1"/>
    <n v="3675"/>
    <n v="10500"/>
    <n v="10500"/>
    <s v="MARITESS"/>
  </r>
  <r>
    <x v="122"/>
    <s v="SHIN CLARA FOOD CORPORATION - SO-126"/>
    <s v="SO-126"/>
    <s v="SHIN CLARA FOOD CORPORATION"/>
    <s v="SHIN CLARA FOOD CORP."/>
    <s v="GENERIC"/>
    <s v="N/A"/>
    <s v="2025-08-22"/>
    <s v="ROLLOUT IMPLEMENTATION"/>
    <n v="1"/>
    <n v="3255"/>
    <n v="9300"/>
    <n v="9300"/>
    <s v="MARITESS"/>
  </r>
  <r>
    <x v="122"/>
    <s v="SHIN CLARA FOOD CORPORATION - SO-126"/>
    <s v="SO-126"/>
    <s v="SHIN CLARA FOOD CORPORATION"/>
    <s v="SHIN CLARA FOOD CORP."/>
    <s v="GENERIC"/>
    <s v="N/A"/>
    <s v="2025-08-22"/>
    <s v="ONE YEAR WARRANTY"/>
    <n v="1"/>
    <n v="3255"/>
    <n v="9300"/>
    <n v="9300"/>
    <s v="MARITESS"/>
  </r>
  <r>
    <x v="122"/>
    <s v="SHIN CLARA FOOD CORPORATION - SO-126"/>
    <s v="SO-126"/>
    <s v="SHIN CLARA FOOD CORPORATION"/>
    <s v="SHIN CLARA FOOD CORP."/>
    <s v="GENERIC"/>
    <s v="N/A"/>
    <s v="2025-08-22"/>
    <s v="BIR REGISTRATION"/>
    <n v="1"/>
    <n v="500"/>
    <n v="500"/>
    <n v="500"/>
    <s v="MARITESS"/>
  </r>
  <r>
    <x v="122"/>
    <s v="SHIN CLARA FOOD CORPORATION - SO-126"/>
    <s v="SO-126"/>
    <s v="SHIN CLARA FOOD CORPORATION"/>
    <s v="SHIN CLARA FOOD CORP."/>
    <s v="GENERIC"/>
    <s v="N/A"/>
    <s v="2025-08-22"/>
    <s v="APC UPS"/>
    <n v="1"/>
    <n v="2200"/>
    <n v="3500"/>
    <n v="3500"/>
    <s v="MARITESS"/>
  </r>
  <r>
    <x v="122"/>
    <s v="SHIN CLARA FOOD CORPORATION - SO-126"/>
    <s v="SO-126"/>
    <s v="SHIN CLARA FOOD CORPORATION"/>
    <s v="SHIN CLARA FOOD CORP."/>
    <s v="GENERIC"/>
    <s v="N/A"/>
    <s v="2025-08-22"/>
    <s v="ACER MONITOR"/>
    <n v="1"/>
    <n v="4250"/>
    <n v="6000"/>
    <n v="6000"/>
    <s v="MARITESS"/>
  </r>
  <r>
    <x v="122"/>
    <s v="SHIN CLARA FOOD CORPORATION - SO-126"/>
    <s v="SO-126"/>
    <s v="SHIN CLARA FOOD CORPORATION"/>
    <s v="SHIN CLARA FOOD CORP."/>
    <s v="GENERIC"/>
    <s v="N/A"/>
    <s v="2025-08-22"/>
    <s v="EPSON PRINTER TMU220D USB"/>
    <n v="1"/>
    <n v="8500"/>
    <n v="12500"/>
    <n v="12500"/>
    <s v="MARITESS"/>
  </r>
  <r>
    <x v="122"/>
    <s v="SHIN CLARA FOOD CORPORATION - SO-126"/>
    <s v="SO-126"/>
    <s v="SHIN CLARA FOOD CORPORATION"/>
    <s v="SHIN CLARA FOOD CORP."/>
    <s v="GENERIC"/>
    <s v="N/A"/>
    <s v="2025-08-22"/>
    <s v="CASH DRAWER"/>
    <n v="1"/>
    <n v="2185"/>
    <n v="3500"/>
    <n v="3500"/>
    <s v="MARITESS"/>
  </r>
  <r>
    <x v="122"/>
    <s v="SHIN CLARA FOOD CORPORATION - SO-126"/>
    <s v="SO-126"/>
    <s v="SHIN CLARA FOOD CORPORATION"/>
    <s v="SHIN CLARA FOOD CORP."/>
    <s v="GENERIC"/>
    <s v="N/A"/>
    <s v="2025-08-22"/>
    <s v="2D ZEBR2208 BARCODE SCANNER"/>
    <n v="1"/>
    <n v="4800"/>
    <n v="7000"/>
    <n v="7000"/>
    <s v="MARITESS"/>
  </r>
  <r>
    <x v="122"/>
    <s v="SHIN CLARA FOOD CORPORATION - SO-126"/>
    <s v="SO-126"/>
    <s v="SHIN CLARA FOOD CORPORATION"/>
    <s v="SHIN CLARA FOOD CORP."/>
    <s v="GENERIC"/>
    <s v="N/A"/>
    <s v="2025-08-22"/>
    <s v="DESKTOP CPU I5, 8GB RAM, 512 GB NVME M.2"/>
    <n v="1"/>
    <n v="23450"/>
    <n v="35500"/>
    <n v="35500"/>
    <s v="MARITESS"/>
  </r>
  <r>
    <x v="123"/>
    <s v="ARTWORK INCORPORATED - SO-127"/>
    <s v="SO-127"/>
    <s v="ARTWORK INCORPORATED"/>
    <s v="ARTWORK INC"/>
    <s v="GENERIC"/>
    <s v="COD"/>
    <s v="2025-08-26"/>
    <s v="PREVENTIVE MAINTENANCE"/>
    <n v="1"/>
    <n v="4375"/>
    <n v="12500"/>
    <n v="12500"/>
    <s v="MARITESS"/>
  </r>
  <r>
    <x v="123"/>
    <s v="ARTWORK INCORPORATED - SO-127"/>
    <s v="SO-127"/>
    <s v="ARTWORK INCORPORATED"/>
    <s v="ARTWORK INC"/>
    <s v="GENERIC"/>
    <s v="COD"/>
    <s v="2025-08-26"/>
    <s v="BIR REGISTRATION"/>
    <n v="1"/>
    <n v="500"/>
    <n v="500"/>
    <n v="500"/>
    <s v="MARITESS"/>
  </r>
  <r>
    <x v="124"/>
    <s v="CHICKEN DELI - SO-127"/>
    <s v="SO-127"/>
    <s v="CHICKEN DELI"/>
    <s v="VMV"/>
    <s v="GENERIC"/>
    <s v="N/A"/>
    <s v="2025-07-07"/>
    <s v="APC UPS"/>
    <n v="1"/>
    <n v="2200"/>
    <n v="4200"/>
    <n v="4200"/>
    <s v="MARITESS"/>
  </r>
  <r>
    <x v="124"/>
    <s v="CHICKEN DELI - SO-127"/>
    <s v="SO-127"/>
    <s v="CHICKEN DELI"/>
    <s v="VMV"/>
    <s v="GENERIC"/>
    <s v="N/A"/>
    <s v="2025-07-07"/>
    <s v="DELIVERY CHARGE"/>
    <n v="1"/>
    <n v="500"/>
    <n v="500"/>
    <n v="500"/>
    <s v="MARITESS"/>
  </r>
  <r>
    <x v="123"/>
    <s v="ARTWORK INCORPORATED - SO-128"/>
    <s v="SO-128"/>
    <s v="ARTWORK INCORPORATED"/>
    <s v="ARTWORK INC"/>
    <s v="GENERIC"/>
    <s v="COD"/>
    <s v="2025-08-26"/>
    <s v="PREVENTIVE MAINTENANCE"/>
    <n v="1"/>
    <n v="4375"/>
    <n v="12500"/>
    <n v="12500"/>
    <s v="MARITESS"/>
  </r>
  <r>
    <x v="123"/>
    <s v="ARTWORK INCORPORATED - SO-128"/>
    <s v="SO-128"/>
    <s v="ARTWORK INCORPORATED"/>
    <s v="ARTWORK INC"/>
    <s v="GENERIC"/>
    <s v="COD"/>
    <s v="2025-08-26"/>
    <s v="BIR REGISTRATION"/>
    <n v="1"/>
    <n v="500"/>
    <n v="500"/>
    <n v="500"/>
    <s v="MARITESS"/>
  </r>
  <r>
    <x v="125"/>
    <s v="CHICKEN DELI - SO-128"/>
    <s v="SO-128"/>
    <s v="CHICKEN DELI"/>
    <s v="HIT BY THE ROAD"/>
    <s v="GENERIC"/>
    <s v="N/A"/>
    <s v="2025-07-07"/>
    <s v="POWER"/>
    <n v="1"/>
    <n v="650"/>
    <n v="1500"/>
    <n v="1500"/>
    <s v="MARITESS"/>
  </r>
  <r>
    <x v="126"/>
    <s v="TRE FIL HOLDINGS CORPORATION - SO-129"/>
    <s v="SO-129"/>
    <s v="TRE FIL HOLDINGS CORPORATION"/>
    <s v="COLONIAL CREAMERY"/>
    <s v="AYALA MALLS CLOVERLEAF"/>
    <s v="50% DOWNPAYMENT, 50% 35 DAYS PDC"/>
    <s v="2025-08-27"/>
    <s v="BACCHUS SQL + VERSION 2"/>
    <n v="1"/>
    <n v="3675"/>
    <n v="10500"/>
    <n v="10500"/>
    <s v="RUDELYN"/>
  </r>
  <r>
    <x v="126"/>
    <s v="TRE FIL HOLDINGS CORPORATION - SO-129"/>
    <s v="SO-129"/>
    <s v="TRE FIL HOLDINGS CORPORATION"/>
    <s v="COLONIAL CREAMERY"/>
    <s v="AYALA MALLS CLOVERLEAF"/>
    <s v="50% DOWNPAYMENT, 50% 35 DAYS PDC"/>
    <s v="2025-08-27"/>
    <s v="ROLLOUT IMPLEMENTATION"/>
    <n v="1"/>
    <n v="3255"/>
    <n v="9300"/>
    <n v="9300"/>
    <s v="RUDELYN"/>
  </r>
  <r>
    <x v="126"/>
    <s v="TRE FIL HOLDINGS CORPORATION - SO-129"/>
    <s v="SO-129"/>
    <s v="TRE FIL HOLDINGS CORPORATION"/>
    <s v="COLONIAL CREAMERY"/>
    <s v="AYALA MALLS CLOVERLEAF"/>
    <s v="50% DOWNPAYMENT, 50% 35 DAYS PDC"/>
    <s v="2025-08-27"/>
    <s v="1 YEAR WARRANTY"/>
    <n v="1"/>
    <n v="3220"/>
    <n v="9200"/>
    <n v="9200"/>
    <s v="RUDELYN"/>
  </r>
  <r>
    <x v="126"/>
    <s v="TRE FIL HOLDINGS CORPORATION - SO-129"/>
    <s v="SO-129"/>
    <s v="TRE FIL HOLDINGS CORPORATION"/>
    <s v="COLONIAL CREAMERY"/>
    <s v="AYALA MALLS CLOVERLEAF"/>
    <s v="50% DOWNPAYMENT, 50% 35 DAYS PDC"/>
    <s v="2025-08-27"/>
    <s v="EPSON TMU220D USB PRINTER"/>
    <n v="1"/>
    <n v="8500"/>
    <n v="12000"/>
    <n v="12000"/>
    <s v="RUDELYN"/>
  </r>
  <r>
    <x v="126"/>
    <s v="TRE FIL HOLDINGS CORPORATION - SO-129"/>
    <s v="SO-129"/>
    <s v="TRE FIL HOLDINGS CORPORATION"/>
    <s v="COLONIAL CREAMERY"/>
    <s v="AYALA MALLS CLOVERLEAF"/>
    <s v="50% DOWNPAYMENT, 50% 35 DAYS PDC"/>
    <s v="2025-08-27"/>
    <s v="APC UPS"/>
    <n v="1"/>
    <n v="2200"/>
    <n v="3000"/>
    <n v="3000"/>
    <s v="RUDELYN"/>
  </r>
  <r>
    <x v="126"/>
    <s v="TRE FIL HOLDINGS CORPORATION - SO-129"/>
    <s v="SO-129"/>
    <s v="TRE FIL HOLDINGS CORPORATION"/>
    <s v="COLONIAL CREAMERY"/>
    <s v="AYALA MALLS CLOVERLEAF"/>
    <s v="50% DOWNPAYMENT, 50% 35 DAYS PDC"/>
    <s v="2025-08-27"/>
    <s v="POSTECH 15&quot; TOUCHSCREEN MONITOR"/>
    <n v="1"/>
    <n v="10750"/>
    <n v="15000"/>
    <n v="15000"/>
    <s v="RUDELYN"/>
  </r>
  <r>
    <x v="126"/>
    <s v="TRE FIL HOLDINGS CORPORATION - SO-129"/>
    <s v="SO-129"/>
    <s v="TRE FIL HOLDINGS CORPORATION"/>
    <s v="COLONIAL CREAMERY"/>
    <s v="AYALA MALLS CLOVERLEAF"/>
    <s v="50% DOWNPAYMENT, 50% 35 DAYS PDC"/>
    <s v="2025-08-27"/>
    <s v="MINI CASH DRAWER"/>
    <n v="1"/>
    <n v="1350"/>
    <n v="2500"/>
    <n v="2500"/>
    <s v="RUDELYN"/>
  </r>
  <r>
    <x v="126"/>
    <s v="TRE FIL HOLDINGS CORPORATION - SO-129"/>
    <s v="SO-129"/>
    <s v="TRE FIL HOLDINGS CORPORATION"/>
    <s v="COLONIAL CREAMERY"/>
    <s v="AYALA MALLS CLOVERLEAF"/>
    <s v="50% DOWNPAYMENT, 50% 35 DAYS PDC"/>
    <s v="2025-08-27"/>
    <s v="EOS MINI CPU I5, 8GB RAM, 512 GB SSD"/>
    <n v="1"/>
    <n v="23450"/>
    <n v="32300"/>
    <n v="32300"/>
    <s v="RUDELYN"/>
  </r>
  <r>
    <x v="126"/>
    <s v="TRE FIL HOLDINGS CORPORATION - SO-129"/>
    <s v="SO-129"/>
    <s v="TRE FIL HOLDINGS CORPORATION"/>
    <s v="COLONIAL CREAMERY"/>
    <s v="AYALA MALLS CLOVERLEAF"/>
    <s v="50% DOWNPAYMENT, 50% 35 DAYS PDC"/>
    <s v="2025-08-27"/>
    <s v="WINDOWS 11 PRO"/>
    <n v="1"/>
    <n v="2800"/>
    <n v="4000"/>
    <n v="4000"/>
    <s v="RUDELYN"/>
  </r>
  <r>
    <x v="126"/>
    <s v="TRE FIL HOLDINGS CORPORATION - SO-129"/>
    <s v="SO-129"/>
    <s v="TRE FIL HOLDINGS CORPORATION"/>
    <s v="COLONIAL CREAMERY"/>
    <s v="AYALA MALLS CLOVERLEAF"/>
    <s v="50% DOWNPAYMENT, 50% 35 DAYS PDC"/>
    <s v="2025-08-27"/>
    <s v="KEYBOARD &amp; MOUSE"/>
    <n v="1"/>
    <n v="500"/>
    <n v="700"/>
    <n v="700"/>
    <s v="RUDELYN"/>
  </r>
  <r>
    <x v="126"/>
    <s v="TRE FIL HOLDINGS CORPORATION - SO-129"/>
    <s v="SO-129"/>
    <s v="TRE FIL HOLDINGS CORPORATION"/>
    <s v="COLONIAL CREAMERY"/>
    <s v="AYALA MALLS CLOVERLEAF"/>
    <s v="50% DOWNPAYMENT, 50% 35 DAYS PDC"/>
    <s v="2025-08-27"/>
    <s v="EOS FAN WITH FAN COVER"/>
    <n v="1"/>
    <n v="350"/>
    <n v="500"/>
    <n v="500"/>
    <s v="RUDELYN"/>
  </r>
  <r>
    <x v="126"/>
    <s v="TRE FIL HOLDINGS CORPORATION - SO-129"/>
    <s v="SO-129"/>
    <s v="TRE FIL HOLDINGS CORPORATION"/>
    <s v="COLONIAL CREAMERY"/>
    <s v="AYALA MALLS CLOVERLEAF"/>
    <s v="50% DOWNPAYMENT, 50% 35 DAYS PDC"/>
    <s v="2025-08-27"/>
    <s v="BIR REGISTRATION"/>
    <n v="1"/>
    <n v="500"/>
    <n v="500"/>
    <n v="500"/>
    <s v="RUDELYN"/>
  </r>
  <r>
    <x v="126"/>
    <s v="TRE FIL HOLDINGS CORPORATION - SO-129"/>
    <s v="SO-129"/>
    <s v="TRE FIL HOLDINGS CORPORATION"/>
    <s v="COLONIAL CREAMERY"/>
    <s v="AYALA MALLS CLOVERLEAF"/>
    <s v="50% DOWNPAYMENT, 50% 35 DAYS PDC"/>
    <s v="2025-08-27"/>
    <s v="DELIVERY FEE"/>
    <n v="1"/>
    <n v="500"/>
    <n v="500"/>
    <n v="500"/>
    <s v="RUDELYN"/>
  </r>
  <r>
    <x v="127"/>
    <s v="ROMAN CULINARY GROUP INC - SO-129"/>
    <s v="SO-129"/>
    <s v="ROMAN CULINARY GROUP INC"/>
    <s v="ROMAN RESTAURANT"/>
    <s v="GENERIC"/>
    <s v="N/A"/>
    <s v="2025-07-08"/>
    <s v="BACCHUS"/>
    <n v="1"/>
    <n v="3675"/>
    <n v="10500"/>
    <n v="10500"/>
    <s v="MARITESS"/>
  </r>
  <r>
    <x v="127"/>
    <s v="ROMAN CULINARY GROUP INC - SO-129"/>
    <s v="SO-129"/>
    <s v="ROMAN CULINARY GROUP INC"/>
    <s v="ROMAN RESTAURANT"/>
    <s v="GENERIC"/>
    <s v="N/A"/>
    <s v="2025-07-08"/>
    <s v="ROLL OUT/ IMPLEMENTATION"/>
    <n v="1"/>
    <n v="12250"/>
    <n v="12250"/>
    <n v="12250"/>
    <s v="MARITESS"/>
  </r>
  <r>
    <x v="127"/>
    <s v="ROMAN CULINARY GROUP INC - SO-129"/>
    <s v="SO-129"/>
    <s v="ROMAN CULINARY GROUP INC"/>
    <s v="ROMAN RESTAURANT"/>
    <s v="GENERIC"/>
    <s v="N/A"/>
    <s v="2025-07-08"/>
    <s v="ONE YEAR WARRANTY"/>
    <n v="1"/>
    <n v="12250"/>
    <n v="12250"/>
    <n v="12250"/>
    <s v="MARITESS"/>
  </r>
  <r>
    <x v="127"/>
    <s v="ROMAN CULINARY GROUP INC - SO-129"/>
    <s v="SO-129"/>
    <s v="ROMAN CULINARY GROUP INC"/>
    <s v="ROMAN RESTAURANT"/>
    <s v="GENERIC"/>
    <s v="N/A"/>
    <s v="2025-07-08"/>
    <s v="BIR REGISTRATION"/>
    <n v="1"/>
    <n v="500"/>
    <n v="500"/>
    <n v="500"/>
    <s v="MARITESS"/>
  </r>
  <r>
    <x v="127"/>
    <s v="ROMAN CULINARY GROUP INC - SO-129"/>
    <s v="SO-129"/>
    <s v="ROMAN CULINARY GROUP INC"/>
    <s v="ROMAN RESTAURANT"/>
    <s v="GENERIC"/>
    <s v="N/A"/>
    <s v="2025-07-08"/>
    <s v="MINI CASH BOX"/>
    <n v="1"/>
    <n v="1350"/>
    <n v="2000"/>
    <n v="2000"/>
    <s v="MARITESS"/>
  </r>
  <r>
    <x v="127"/>
    <s v="ROMAN CULINARY GROUP INC - SO-129"/>
    <s v="SO-129"/>
    <s v="ROMAN CULINARY GROUP INC"/>
    <s v="ROMAN RESTAURANT"/>
    <s v="GENERIC"/>
    <s v="N/A"/>
    <s v="2025-07-08"/>
    <s v="MINI CPU EOS"/>
    <n v="1"/>
    <n v="24330"/>
    <n v="34800"/>
    <n v="34800"/>
    <s v="MARITESS"/>
  </r>
  <r>
    <x v="127"/>
    <s v="ROMAN CULINARY GROUP INC - SO-129"/>
    <s v="SO-129"/>
    <s v="ROMAN CULINARY GROUP INC"/>
    <s v="ROMAN RESTAURANT"/>
    <s v="GENERIC"/>
    <s v="N/A"/>
    <s v="2025-07-08"/>
    <s v="WINDOWS 11"/>
    <n v="1"/>
    <n v="2800"/>
    <n v="4000"/>
    <n v="4000"/>
    <s v="MARITESS"/>
  </r>
  <r>
    <x v="127"/>
    <s v="ROMAN CULINARY GROUP INC - SO-129"/>
    <s v="SO-129"/>
    <s v="ROMAN CULINARY GROUP INC"/>
    <s v="ROMAN RESTAURANT"/>
    <s v="GENERIC"/>
    <s v="N/A"/>
    <s v="2025-07-08"/>
    <s v="DELIVERY CHARGE"/>
    <n v="1"/>
    <n v="500"/>
    <n v="500"/>
    <n v="500"/>
    <s v="MARITESS"/>
  </r>
  <r>
    <x v="33"/>
    <s v="M W TOWNSTORE - SO-130"/>
    <s v="SO-130"/>
    <s v="M W TOWNSTORE"/>
    <s v="M &amp; W"/>
    <s v="GENERIC"/>
    <s v="N/A"/>
    <s v="2025-07-08"/>
    <s v="POSEIDON PSD86"/>
    <n v="1"/>
    <n v="3360"/>
    <n v="5800"/>
    <n v="5800"/>
    <s v="MARITESS"/>
  </r>
  <r>
    <x v="128"/>
    <s v="GENMAICHA TEA CORP - SO-130"/>
    <s v="SO-130"/>
    <s v="GENMAICHA TEA CORP"/>
    <s v="SERENITEA"/>
    <s v="GENERIC"/>
    <s v="COD"/>
    <s v="2025-09-01"/>
    <s v="WINDOWS 11 PRO"/>
    <n v="1"/>
    <n v="2800"/>
    <n v="4000"/>
    <n v="4000"/>
    <s v="MARITESS"/>
  </r>
  <r>
    <x v="129"/>
    <s v="THE BIG CHILL INC - SO-131"/>
    <s v="SO-131"/>
    <s v="THE BIG CHILL INC"/>
    <s v="THE BIG CHILL INC"/>
    <s v="ROCKWELL"/>
    <s v="COD"/>
    <s v="2025-09-01"/>
    <s v="PREVENTIVE MAINTENANCE * AUGUST 29, 2025 - AUGUST 28, 2026"/>
    <n v="1"/>
    <n v="15000"/>
    <n v="15000"/>
    <n v="15000"/>
    <s v="RUDELYN"/>
  </r>
  <r>
    <x v="2"/>
    <s v="CHICKEN DELI - SO-131"/>
    <s v="SO-131"/>
    <s v="CHICKEN DELI"/>
    <s v="GONGCHA"/>
    <s v="GENERIC"/>
    <s v="N/A"/>
    <s v="2025-07-11"/>
    <s v="PREVENTIVE MAINTENANCE"/>
    <n v="1"/>
    <n v="6500"/>
    <n v="6500"/>
    <n v="6500"/>
    <s v="MARITESS"/>
  </r>
  <r>
    <x v="130"/>
    <s v="CINNALAND FOOD CORPORATION - SO-132"/>
    <s v="SO-132"/>
    <s v="CINNALAND FOOD CORPORATION"/>
    <s v="CINNABON"/>
    <s v="SM DAVAO"/>
    <s v="N/A"/>
    <s v="2025-09-01"/>
    <s v="TS CERES SQL VER. 6 * NOTE: BIR REGISTRATION: BACCHUS SQL+ VERSION 2"/>
    <n v="1"/>
    <n v="3675"/>
    <n v="10500"/>
    <n v="10500"/>
    <s v="RUDELYN"/>
  </r>
  <r>
    <x v="130"/>
    <s v="CINNALAND FOOD CORPORATION - SO-132"/>
    <s v="SO-132"/>
    <s v="CINNALAND FOOD CORPORATION"/>
    <s v="CINNABON"/>
    <s v="SM DAVAO"/>
    <s v="N/A"/>
    <s v="2025-09-01"/>
    <s v="ROLLOUT IMPLEMENTATION"/>
    <n v="1"/>
    <n v="1866.67"/>
    <n v="5333.33"/>
    <n v="5333.33"/>
    <s v="RUDELYN"/>
  </r>
  <r>
    <x v="130"/>
    <s v="CINNALAND FOOD CORPORATION - SO-132"/>
    <s v="SO-132"/>
    <s v="CINNALAND FOOD CORPORATION"/>
    <s v="CINNABON"/>
    <s v="SM DAVAO"/>
    <s v="N/A"/>
    <s v="2025-09-01"/>
    <s v="ONE YEAR WARRANTY"/>
    <n v="1"/>
    <n v="1866.67"/>
    <n v="5333.33"/>
    <n v="5333.33"/>
    <s v="RUDELYN"/>
  </r>
  <r>
    <x v="130"/>
    <s v="CINNALAND FOOD CORPORATION - SO-132"/>
    <s v="SO-132"/>
    <s v="CINNALAND FOOD CORPORATION"/>
    <s v="CINNABON"/>
    <s v="SM DAVAO"/>
    <s v="N/A"/>
    <s v="2025-09-01"/>
    <s v="BIR REGISTRATION"/>
    <n v="1"/>
    <n v="500"/>
    <n v="500"/>
    <n v="500"/>
    <s v="RUDELYN"/>
  </r>
  <r>
    <x v="22"/>
    <s v="CHICKEN DELI - SO-132"/>
    <s v="SO-132"/>
    <s v="CHICKEN DELI"/>
    <s v="ISSY &amp;CO."/>
    <s v="GENERIC"/>
    <s v="N/A"/>
    <s v="2025-07-14"/>
    <s v="RDMS V3+"/>
    <n v="1"/>
    <n v="3675"/>
    <n v="10500"/>
    <n v="10500"/>
    <s v="MARITESS"/>
  </r>
  <r>
    <x v="22"/>
    <s v="CHICKEN DELI - SO-132"/>
    <s v="SO-132"/>
    <s v="CHICKEN DELI"/>
    <s v="ISSY &amp;CO."/>
    <s v="GENERIC"/>
    <s v="N/A"/>
    <s v="2025-07-14"/>
    <s v="IMPLEMENTATION"/>
    <n v="1"/>
    <n v="10550"/>
    <n v="10550"/>
    <n v="10550"/>
    <s v="MARITESS"/>
  </r>
  <r>
    <x v="22"/>
    <s v="CHICKEN DELI - SO-132"/>
    <s v="SO-132"/>
    <s v="CHICKEN DELI"/>
    <s v="ISSY &amp;CO."/>
    <s v="GENERIC"/>
    <s v="N/A"/>
    <s v="2025-07-14"/>
    <s v="ONE YEAR WARRANTY"/>
    <n v="1"/>
    <n v="10550"/>
    <n v="10550"/>
    <n v="10550"/>
    <s v="MARITESS"/>
  </r>
  <r>
    <x v="22"/>
    <s v="CHICKEN DELI - SO-132"/>
    <s v="SO-132"/>
    <s v="CHICKEN DELI"/>
    <s v="ISSY &amp;CO."/>
    <s v="GENERIC"/>
    <s v="N/A"/>
    <s v="2025-07-14"/>
    <s v="BIR REG."/>
    <n v="1"/>
    <n v="500"/>
    <n v="500"/>
    <n v="500"/>
    <s v="MARITESS"/>
  </r>
  <r>
    <x v="22"/>
    <s v="CHICKEN DELI - SO-132"/>
    <s v="SO-132"/>
    <s v="CHICKEN DELI"/>
    <s v="ISSY &amp;CO."/>
    <s v="GENERIC"/>
    <s v="N/A"/>
    <s v="2025-07-14"/>
    <s v="ACER LCD MONITOR"/>
    <n v="1"/>
    <n v="4550"/>
    <n v="6500"/>
    <n v="6500"/>
    <s v="MARITESS"/>
  </r>
  <r>
    <x v="22"/>
    <s v="CHICKEN DELI - SO-132"/>
    <s v="SO-132"/>
    <s v="CHICKEN DELI"/>
    <s v="ISSY &amp;CO."/>
    <s v="GENERIC"/>
    <s v="N/A"/>
    <s v="2025-07-14"/>
    <s v="EPSON PRINTER TMU220D ( USB )"/>
    <n v="1"/>
    <n v="8500"/>
    <n v="12000"/>
    <n v="12000"/>
    <s v="MARITESS"/>
  </r>
  <r>
    <x v="22"/>
    <s v="CHICKEN DELI - SO-132"/>
    <s v="SO-132"/>
    <s v="CHICKEN DELI"/>
    <s v="ISSY &amp;CO."/>
    <s v="GENERIC"/>
    <s v="N/A"/>
    <s v="2025-07-14"/>
    <s v="KASPERSKY ANTI VIRUS"/>
    <n v="1"/>
    <n v="935"/>
    <n v="1300"/>
    <n v="1300"/>
    <s v="MARITESS"/>
  </r>
  <r>
    <x v="22"/>
    <s v="CHICKEN DELI - SO-132"/>
    <s v="SO-132"/>
    <s v="CHICKEN DELI"/>
    <s v="ISSY &amp;CO."/>
    <s v="GENERIC"/>
    <s v="N/A"/>
    <s v="2025-07-14"/>
    <s v="CASH DRAWER"/>
    <n v="1"/>
    <n v="2185"/>
    <n v="3500"/>
    <n v="3500"/>
    <s v="MARITESS"/>
  </r>
  <r>
    <x v="22"/>
    <s v="CHICKEN DELI - SO-132"/>
    <s v="SO-132"/>
    <s v="CHICKEN DELI"/>
    <s v="ISSY &amp;CO."/>
    <s v="GENERIC"/>
    <s v="N/A"/>
    <s v="2025-07-14"/>
    <s v="UPS APC"/>
    <n v="1"/>
    <n v="2200"/>
    <n v="3100"/>
    <n v="3100"/>
    <s v="MARITESS"/>
  </r>
  <r>
    <x v="22"/>
    <s v="CHICKEN DELI - SO-132"/>
    <s v="SO-132"/>
    <s v="CHICKEN DELI"/>
    <s v="ISSY &amp;CO."/>
    <s v="GENERIC"/>
    <s v="N/A"/>
    <s v="2025-07-14"/>
    <s v="EOS MINI CPU NV.M2 8GB"/>
    <n v="1"/>
    <n v="24800"/>
    <n v="35500"/>
    <n v="35500"/>
    <s v="MARITESS"/>
  </r>
  <r>
    <x v="22"/>
    <s v="CHICKEN DELI - SO-132"/>
    <s v="SO-132"/>
    <s v="CHICKEN DELI"/>
    <s v="ISSY &amp;CO."/>
    <s v="GENERIC"/>
    <s v="N/A"/>
    <s v="2025-07-14"/>
    <s v="WINDOWS 11"/>
    <n v="1"/>
    <n v="2800"/>
    <n v="4000"/>
    <n v="4000"/>
    <s v="MARITESS"/>
  </r>
  <r>
    <x v="22"/>
    <s v="CHICKEN DELI - SO-132"/>
    <s v="SO-132"/>
    <s v="CHICKEN DELI"/>
    <s v="ISSY &amp;CO."/>
    <s v="GENERIC"/>
    <s v="N/A"/>
    <s v="2025-07-14"/>
    <s v="DELIVERY CHARGE"/>
    <n v="1"/>
    <n v="500"/>
    <n v="500"/>
    <n v="500"/>
    <s v="MARITESS"/>
  </r>
  <r>
    <x v="131"/>
    <s v="CHICKEN DELI - SO-133"/>
    <s v="SO-133"/>
    <s v="CHICKEN DELI"/>
    <s v="HUE BORACAY"/>
    <s v="GENERIC"/>
    <s v="N/A"/>
    <s v="2025-07-15"/>
    <s v="BACCHUS ANDROID"/>
    <n v="2"/>
    <n v="3675"/>
    <n v="10500"/>
    <n v="21000"/>
    <s v="MARITESS"/>
  </r>
  <r>
    <x v="131"/>
    <s v="CHICKEN DELI - SO-133"/>
    <s v="SO-133"/>
    <s v="CHICKEN DELI"/>
    <s v="HUE BORACAY"/>
    <s v="GENERIC"/>
    <s v="N/A"/>
    <s v="2025-07-15"/>
    <s v="ROLL OUT/ IMPLEMENTATION"/>
    <n v="2"/>
    <n v="30000"/>
    <n v="30000"/>
    <n v="60000"/>
    <s v="MARITESS"/>
  </r>
  <r>
    <x v="131"/>
    <s v="CHICKEN DELI - SO-133"/>
    <s v="SO-133"/>
    <s v="CHICKEN DELI"/>
    <s v="HUE BORACAY"/>
    <s v="GENERIC"/>
    <s v="N/A"/>
    <s v="2025-07-15"/>
    <s v="ONE YEAR WARRANTY"/>
    <n v="2"/>
    <n v="30000"/>
    <n v="30000"/>
    <n v="60000"/>
    <s v="MARITESS"/>
  </r>
  <r>
    <x v="131"/>
    <s v="CHICKEN DELI - SO-133"/>
    <s v="SO-133"/>
    <s v="CHICKEN DELI"/>
    <s v="HUE BORACAY"/>
    <s v="GENERIC"/>
    <s v="N/A"/>
    <s v="2025-07-15"/>
    <s v="NEW BIR REGISTRATION"/>
    <n v="2"/>
    <n v="500"/>
    <n v="500"/>
    <n v="1000"/>
    <s v="MARITESS"/>
  </r>
  <r>
    <x v="131"/>
    <s v="CHICKEN DELI - SO-133"/>
    <s v="SO-133"/>
    <s v="CHICKEN DELI"/>
    <s v="HUE BORACAY"/>
    <s v="GENERIC"/>
    <s v="N/A"/>
    <s v="2025-07-15"/>
    <s v="WAITER/ ORDERING STATTION"/>
    <n v="2"/>
    <n v="3500"/>
    <n v="10000"/>
    <n v="20000"/>
    <s v="MARITESS"/>
  </r>
  <r>
    <x v="131"/>
    <s v="CHICKEN DELI - SO-133"/>
    <s v="SO-133"/>
    <s v="CHICKEN DELI"/>
    <s v="HUE BORACAY"/>
    <s v="GENERIC"/>
    <s v="N/A"/>
    <s v="2025-07-15"/>
    <s v="BACK OFFICE ANDROID"/>
    <n v="1"/>
    <n v="17500"/>
    <n v="50000"/>
    <n v="50000"/>
    <s v="MARITESS"/>
  </r>
  <r>
    <x v="131"/>
    <s v="CHICKEN DELI - SO-133"/>
    <s v="SO-133"/>
    <s v="CHICKEN DELI"/>
    <s v="HUE BORACAY"/>
    <s v="GENERIC"/>
    <s v="N/A"/>
    <s v="2025-07-15"/>
    <s v="ROLL OUT/ IMPLEMENTATION"/>
    <n v="1"/>
    <n v="30000"/>
    <n v="30000"/>
    <n v="30000"/>
    <s v="MARITESS"/>
  </r>
  <r>
    <x v="131"/>
    <s v="CHICKEN DELI - SO-133"/>
    <s v="SO-133"/>
    <s v="CHICKEN DELI"/>
    <s v="HUE BORACAY"/>
    <s v="GENERIC"/>
    <s v="N/A"/>
    <s v="2025-07-15"/>
    <s v="ONE YEAR WARRANTY"/>
    <n v="1"/>
    <n v="30000"/>
    <n v="30000"/>
    <n v="30000"/>
    <s v="MARITESS"/>
  </r>
  <r>
    <x v="131"/>
    <s v="CHICKEN DELI - SO-133"/>
    <s v="SO-133"/>
    <s v="CHICKEN DELI"/>
    <s v="HUE BORACAY"/>
    <s v="GENERIC"/>
    <s v="N/A"/>
    <s v="2025-07-15"/>
    <s v="IMIN SWAN 1 ( 4GB +32GB )"/>
    <n v="2"/>
    <n v="21500"/>
    <n v="31000"/>
    <n v="62000"/>
    <s v="MARITESS"/>
  </r>
  <r>
    <x v="131"/>
    <s v="CHICKEN DELI - SO-133"/>
    <s v="SO-133"/>
    <s v="CHICKEN DELI"/>
    <s v="HUE BORACAY"/>
    <s v="GENERIC"/>
    <s v="N/A"/>
    <s v="2025-07-15"/>
    <s v="IMIN FALCON 2 ( 4GB /32GB )"/>
    <n v="2"/>
    <n v="18500"/>
    <n v="26500"/>
    <n v="53000"/>
    <s v="MARITESS"/>
  </r>
  <r>
    <x v="131"/>
    <s v="CHICKEN DELI - SO-133"/>
    <s v="SO-133"/>
    <s v="CHICKEN DELI"/>
    <s v="HUE BORACAY"/>
    <s v="GENERIC"/>
    <s v="N/A"/>
    <s v="2025-07-15"/>
    <s v="CASH DRAWER"/>
    <n v="2"/>
    <n v="1350"/>
    <n v="2000"/>
    <n v="4000"/>
    <s v="MARITESS"/>
  </r>
  <r>
    <x v="131"/>
    <s v="CHICKEN DELI - SO-133"/>
    <s v="SO-133"/>
    <s v="CHICKEN DELI"/>
    <s v="HUE BORACAY"/>
    <s v="GENERIC"/>
    <s v="N/A"/>
    <s v="2025-07-15"/>
    <s v="EPSON TMU 220 B ( 2 )  USB"/>
    <n v="3"/>
    <n v="9500"/>
    <n v="13500"/>
    <n v="40500"/>
    <s v="MARITESS"/>
  </r>
  <r>
    <x v="131"/>
    <s v="CHICKEN DELI - SO-133"/>
    <s v="SO-133"/>
    <s v="CHICKEN DELI"/>
    <s v="HUE BORACAY"/>
    <s v="GENERIC"/>
    <s v="N/A"/>
    <s v="2025-07-15"/>
    <s v="EOS W/ COMPLETE ACCESSORIES"/>
    <n v="1"/>
    <n v="24330"/>
    <n v="34000"/>
    <n v="34000"/>
    <s v="MARITESS"/>
  </r>
  <r>
    <x v="131"/>
    <s v="CHICKEN DELI - SO-133"/>
    <s v="SO-133"/>
    <s v="CHICKEN DELI"/>
    <s v="HUE BORACAY"/>
    <s v="GENERIC"/>
    <s v="N/A"/>
    <s v="2025-07-15"/>
    <s v="ACER MONITOR 19.5&quot;"/>
    <n v="1"/>
    <n v="4250"/>
    <n v="6000"/>
    <n v="6000"/>
    <s v="MARITESS"/>
  </r>
  <r>
    <x v="131"/>
    <s v="CHICKEN DELI - SO-133"/>
    <s v="SO-133"/>
    <s v="CHICKEN DELI"/>
    <s v="HUE BORACAY"/>
    <s v="GENERIC"/>
    <s v="N/A"/>
    <s v="2025-07-15"/>
    <s v="DELIVERY CHARGE"/>
    <n v="1"/>
    <n v="1100"/>
    <n v="1100"/>
    <n v="1100"/>
    <s v="MARITESS"/>
  </r>
  <r>
    <x v="131"/>
    <s v="CHICKEN DELI - SO-133"/>
    <s v="SO-133"/>
    <s v="CHICKEN DELI"/>
    <s v="HUE BORACAY"/>
    <s v="GENERIC"/>
    <s v="N/A"/>
    <s v="2025-07-15"/>
    <s v="MODIFICATION"/>
    <n v="1"/>
    <n v="40000"/>
    <n v="40000"/>
    <n v="40000"/>
    <s v="MARITESS"/>
  </r>
  <r>
    <x v="131"/>
    <s v="CHICKEN DELI - SO-133"/>
    <s v="SO-133"/>
    <s v="CHICKEN DELI"/>
    <s v="HUE BORACAY"/>
    <s v="GENERIC"/>
    <s v="N/A"/>
    <s v="2025-07-15"/>
    <s v="SD CARD"/>
    <n v="3"/>
    <n v="550"/>
    <n v="800"/>
    <n v="2400"/>
    <s v="MARITESS"/>
  </r>
  <r>
    <x v="132"/>
    <s v="DE LA PENA MARICAR LANASA - SO-133"/>
    <s v="SO-133"/>
    <s v="DE LA PENA MARICAR LANASA"/>
    <s v="MANNY'S SEAFOOD AND GRILL"/>
    <s v="AYALA MALL BACOLOD"/>
    <s v="N/A"/>
    <s v="2025-09-02"/>
    <s v="TS CERES SQL VER. 6 * NOTE: BIR REGISTRATION: BACCHUS SQL+ VERSION 2"/>
    <n v="1"/>
    <n v="3675"/>
    <n v="10500"/>
    <n v="10500"/>
    <s v="RUDELYN"/>
  </r>
  <r>
    <x v="132"/>
    <s v="DE LA PENA MARICAR LANASA - SO-133"/>
    <s v="SO-133"/>
    <s v="DE LA PENA MARICAR LANASA"/>
    <s v="MANNY'S SEAFOOD AND GRILL"/>
    <s v="AYALA MALL BACOLOD"/>
    <s v="N/A"/>
    <s v="2025-09-02"/>
    <s v="ROLLOUT IMPLEMENTATION"/>
    <n v="1"/>
    <n v="4200"/>
    <n v="12000"/>
    <n v="12000"/>
    <s v="RUDELYN"/>
  </r>
  <r>
    <x v="132"/>
    <s v="DE LA PENA MARICAR LANASA - SO-133"/>
    <s v="SO-133"/>
    <s v="DE LA PENA MARICAR LANASA"/>
    <s v="MANNY'S SEAFOOD AND GRILL"/>
    <s v="AYALA MALL BACOLOD"/>
    <s v="N/A"/>
    <s v="2025-09-02"/>
    <s v="ONE YEAR WARRANTY"/>
    <n v="1"/>
    <n v="4200"/>
    <n v="12000"/>
    <n v="12000"/>
    <s v="RUDELYN"/>
  </r>
  <r>
    <x v="132"/>
    <s v="DE LA PENA MARICAR LANASA - SO-133"/>
    <s v="SO-133"/>
    <s v="DE LA PENA MARICAR LANASA"/>
    <s v="MANNY'S SEAFOOD AND GRILL"/>
    <s v="AYALA MALL BACOLOD"/>
    <s v="N/A"/>
    <s v="2025-09-02"/>
    <s v="BIR REGISTRATION"/>
    <n v="1"/>
    <n v="500"/>
    <n v="500"/>
    <n v="500"/>
    <s v="RUDELYN"/>
  </r>
  <r>
    <x v="133"/>
    <s v="NEW BOMBAY FOODS INC - SO-134"/>
    <s v="SO-134"/>
    <s v="NEW BOMBAY FOODS INC"/>
    <s v="NEW BOMBAY"/>
    <s v="GENERIC"/>
    <s v="N/A"/>
    <s v="2025-09-05"/>
    <s v="8GB RAM DDR4 (EOS)"/>
    <n v="1"/>
    <n v="1900"/>
    <n v="2800"/>
    <n v="2800"/>
    <s v="MARITESS"/>
  </r>
  <r>
    <x v="50"/>
    <s v="CHICKEN DELI - SO-134"/>
    <s v="SO-134"/>
    <s v="CHICKEN DELI"/>
    <s v="KARIMADON"/>
    <s v="GENERIC"/>
    <s v="N/A"/>
    <s v="2025-07-16"/>
    <s v="RDMS V3+"/>
    <n v="1"/>
    <n v="3675"/>
    <n v="10500"/>
    <n v="10500"/>
    <s v="MARITESS"/>
  </r>
  <r>
    <x v="50"/>
    <s v="CHICKEN DELI - SO-134"/>
    <s v="SO-134"/>
    <s v="CHICKEN DELI"/>
    <s v="KARIMADON"/>
    <s v="GENERIC"/>
    <s v="N/A"/>
    <s v="2025-07-16"/>
    <s v="IMPLEMENTATION"/>
    <n v="1"/>
    <n v="11000"/>
    <n v="11000"/>
    <n v="11000"/>
    <s v="MARITESS"/>
  </r>
  <r>
    <x v="50"/>
    <s v="CHICKEN DELI - SO-134"/>
    <s v="SO-134"/>
    <s v="CHICKEN DELI"/>
    <s v="KARIMADON"/>
    <s v="GENERIC"/>
    <s v="N/A"/>
    <s v="2025-07-16"/>
    <s v="ONE YEAR WARRANTY"/>
    <n v="1"/>
    <n v="11000"/>
    <n v="11000"/>
    <n v="11000"/>
    <s v="MARITESS"/>
  </r>
  <r>
    <x v="50"/>
    <s v="CHICKEN DELI - SO-134"/>
    <s v="SO-134"/>
    <s v="CHICKEN DELI"/>
    <s v="KARIMADON"/>
    <s v="GENERIC"/>
    <s v="N/A"/>
    <s v="2025-07-16"/>
    <s v="BIR REG."/>
    <n v="1"/>
    <n v="500"/>
    <n v="500"/>
    <n v="500"/>
    <s v="MARITESS"/>
  </r>
  <r>
    <x v="50"/>
    <s v="CHICKEN DELI - SO-134"/>
    <s v="SO-134"/>
    <s v="CHICKEN DELI"/>
    <s v="KARIMADON"/>
    <s v="GENERIC"/>
    <s v="N/A"/>
    <s v="2025-07-16"/>
    <s v="KASPERSKY ANTI VIRUS"/>
    <n v="1"/>
    <n v="935"/>
    <n v="1500"/>
    <n v="1500"/>
    <s v="MARITESS"/>
  </r>
  <r>
    <x v="50"/>
    <s v="CHICKEN DELI - SO-134"/>
    <s v="SO-134"/>
    <s v="CHICKEN DELI"/>
    <s v="KARIMADON"/>
    <s v="GENERIC"/>
    <s v="N/A"/>
    <s v="2025-07-16"/>
    <s v="UPS APC"/>
    <n v="1"/>
    <n v="2200"/>
    <n v="3200"/>
    <n v="3200"/>
    <s v="MARITESS"/>
  </r>
  <r>
    <x v="50"/>
    <s v="CHICKEN DELI - SO-134"/>
    <s v="SO-134"/>
    <s v="CHICKEN DELI"/>
    <s v="KARIMADON"/>
    <s v="GENERIC"/>
    <s v="N/A"/>
    <s v="2025-07-16"/>
    <s v="DESKTOP INTEL CORE I5 (8GB NO SSD )"/>
    <n v="1"/>
    <n v="18700"/>
    <n v="27000"/>
    <n v="27000"/>
    <s v="MARITESS"/>
  </r>
  <r>
    <x v="50"/>
    <s v="CHICKEN DELI - SO-134"/>
    <s v="SO-134"/>
    <s v="CHICKEN DELI"/>
    <s v="KARIMADON"/>
    <s v="GENERIC"/>
    <s v="N/A"/>
    <s v="2025-07-16"/>
    <s v="NVN M.2"/>
    <n v="1"/>
    <n v="2800"/>
    <n v="4000"/>
    <n v="4000"/>
    <s v="MARITESS"/>
  </r>
  <r>
    <x v="50"/>
    <s v="CHICKEN DELI - SO-134"/>
    <s v="SO-134"/>
    <s v="CHICKEN DELI"/>
    <s v="KARIMADON"/>
    <s v="GENERIC"/>
    <s v="N/A"/>
    <s v="2025-07-16"/>
    <s v="WINDOWS 11"/>
    <n v="1"/>
    <n v="2800"/>
    <n v="4000"/>
    <n v="4000"/>
    <s v="MARITESS"/>
  </r>
  <r>
    <x v="50"/>
    <s v="CHICKEN DELI - SO-134"/>
    <s v="SO-134"/>
    <s v="CHICKEN DELI"/>
    <s v="KARIMADON"/>
    <s v="GENERIC"/>
    <s v="N/A"/>
    <s v="2025-07-16"/>
    <s v="DELIVERY CHARGE"/>
    <n v="1"/>
    <n v="500"/>
    <n v="500"/>
    <n v="500"/>
    <s v="MARITESS"/>
  </r>
  <r>
    <x v="50"/>
    <s v="CHICKEN DELI - SO-135"/>
    <s v="SO-135"/>
    <s v="CHICKEN DELI"/>
    <s v="KARIMADON"/>
    <s v="GENERIC"/>
    <s v="N/A"/>
    <s v="2025-07-16"/>
    <s v="RDMS V3+"/>
    <n v="1"/>
    <n v="3675"/>
    <n v="10500"/>
    <n v="10500"/>
    <s v="MARITESS"/>
  </r>
  <r>
    <x v="50"/>
    <s v="CHICKEN DELI - SO-135"/>
    <s v="SO-135"/>
    <s v="CHICKEN DELI"/>
    <s v="KARIMADON"/>
    <s v="GENERIC"/>
    <s v="N/A"/>
    <s v="2025-07-16"/>
    <s v="IMPLEMENTATION"/>
    <n v="1"/>
    <n v="9000"/>
    <n v="9000"/>
    <n v="9000"/>
    <s v="MARITESS"/>
  </r>
  <r>
    <x v="50"/>
    <s v="CHICKEN DELI - SO-135"/>
    <s v="SO-135"/>
    <s v="CHICKEN DELI"/>
    <s v="KARIMADON"/>
    <s v="GENERIC"/>
    <s v="N/A"/>
    <s v="2025-07-16"/>
    <s v="ONE YEAR WARRANTY"/>
    <n v="1"/>
    <n v="9000"/>
    <n v="9000"/>
    <n v="9000"/>
    <s v="MARITESS"/>
  </r>
  <r>
    <x v="50"/>
    <s v="CHICKEN DELI - SO-135"/>
    <s v="SO-135"/>
    <s v="CHICKEN DELI"/>
    <s v="KARIMADON"/>
    <s v="GENERIC"/>
    <s v="N/A"/>
    <s v="2025-07-16"/>
    <s v="BIR REG."/>
    <n v="1"/>
    <n v="500"/>
    <n v="500"/>
    <n v="500"/>
    <s v="MARITESS"/>
  </r>
  <r>
    <x v="50"/>
    <s v="CHICKEN DELI - SO-135"/>
    <s v="SO-135"/>
    <s v="CHICKEN DELI"/>
    <s v="KARIMADON"/>
    <s v="GENERIC"/>
    <s v="N/A"/>
    <s v="2025-07-16"/>
    <s v="VIEWSONIC MONITOR"/>
    <n v="1"/>
    <n v="4600"/>
    <n v="6500"/>
    <n v="6500"/>
    <s v="MARITESS"/>
  </r>
  <r>
    <x v="50"/>
    <s v="CHICKEN DELI - SO-135"/>
    <s v="SO-135"/>
    <s v="CHICKEN DELI"/>
    <s v="KARIMADON"/>
    <s v="GENERIC"/>
    <s v="N/A"/>
    <s v="2025-07-16"/>
    <s v="EPSON TMU220D USB"/>
    <n v="1"/>
    <n v="8500"/>
    <n v="12100"/>
    <n v="12100"/>
    <s v="MARITESS"/>
  </r>
  <r>
    <x v="50"/>
    <s v="CHICKEN DELI - SO-135"/>
    <s v="SO-135"/>
    <s v="CHICKEN DELI"/>
    <s v="KARIMADON"/>
    <s v="GENERIC"/>
    <s v="N/A"/>
    <s v="2025-07-16"/>
    <s v="KASPERSKY ANTI VIRUS"/>
    <n v="1"/>
    <n v="935"/>
    <n v="1500"/>
    <n v="1500"/>
    <s v="MARITESS"/>
  </r>
  <r>
    <x v="50"/>
    <s v="CHICKEN DELI - SO-135"/>
    <s v="SO-135"/>
    <s v="CHICKEN DELI"/>
    <s v="KARIMADON"/>
    <s v="GENERIC"/>
    <s v="N/A"/>
    <s v="2025-07-16"/>
    <s v="UPS APC"/>
    <n v="1"/>
    <n v="2200"/>
    <n v="3200"/>
    <n v="3200"/>
    <s v="MARITESS"/>
  </r>
  <r>
    <x v="50"/>
    <s v="CHICKEN DELI - SO-135"/>
    <s v="SO-135"/>
    <s v="CHICKEN DELI"/>
    <s v="KARIMADON"/>
    <s v="GENERIC"/>
    <s v="N/A"/>
    <s v="2025-07-16"/>
    <s v="EOS MINI CPU NV.M2"/>
    <n v="1"/>
    <n v="24800"/>
    <n v="35000"/>
    <n v="35000"/>
    <s v="MARITESS"/>
  </r>
  <r>
    <x v="50"/>
    <s v="CHICKEN DELI - SO-135"/>
    <s v="SO-135"/>
    <s v="CHICKEN DELI"/>
    <s v="KARIMADON"/>
    <s v="GENERIC"/>
    <s v="N/A"/>
    <s v="2025-07-16"/>
    <s v="WINDOWS 11"/>
    <n v="1"/>
    <n v="2800"/>
    <n v="4000"/>
    <n v="4000"/>
    <s v="MARITESS"/>
  </r>
  <r>
    <x v="50"/>
    <s v="CHICKEN DELI - SO-135"/>
    <s v="SO-135"/>
    <s v="CHICKEN DELI"/>
    <s v="KARIMADON"/>
    <s v="GENERIC"/>
    <s v="N/A"/>
    <s v="2025-07-16"/>
    <s v="DELIVERY CHARGE"/>
    <n v="1"/>
    <n v="500"/>
    <n v="500"/>
    <n v="500"/>
    <s v="MARITESS"/>
  </r>
  <r>
    <x v="134"/>
    <s v="SWEET STOP STATION INC - SO-135"/>
    <s v="SO-135"/>
    <s v="SWEET STOP STATION INC"/>
    <s v="CINNABON"/>
    <s v="GENERIC"/>
    <s v="N/A"/>
    <s v="2025-09-05"/>
    <s v="WINDOWS 11 PRO"/>
    <n v="1"/>
    <n v="2800"/>
    <n v="4267.8599999999997"/>
    <n v="4267.8599999999997"/>
    <s v="MARITESS"/>
  </r>
  <r>
    <x v="135"/>
    <s v="AZIAN CRYSTAL CORPORATION NO COR YET - SO-136"/>
    <s v="SO-136"/>
    <s v="AZIAN CRYSTAL CORPORATION NO COR YET"/>
    <s v="KUANG HENG"/>
    <s v="ROB. MANILA"/>
    <s v="50% DOWNPAYMENT, 50% 35 DAYS PDC"/>
    <s v="2025-09-08"/>
    <s v="TS CERES SQL VER. 6 * NOTE: BIR REGISTRATION: BACCHUS SQL+ VERSION 2"/>
    <n v="1"/>
    <n v="3675"/>
    <n v="10500"/>
    <n v="10500"/>
    <s v="RUDELYN"/>
  </r>
  <r>
    <x v="135"/>
    <s v="AZIAN CRYSTAL CORPORATION NO COR YET - SO-136"/>
    <s v="SO-136"/>
    <s v="AZIAN CRYSTAL CORPORATION NO COR YET"/>
    <s v="KUANG HENG"/>
    <s v="ROB. MANILA"/>
    <s v="50% DOWNPAYMENT, 50% 35 DAYS PDC"/>
    <s v="2025-09-08"/>
    <s v="ROLLOUT IMPLEMENTATION"/>
    <n v="1"/>
    <n v="3220"/>
    <n v="9200"/>
    <n v="9200"/>
    <s v="RUDELYN"/>
  </r>
  <r>
    <x v="135"/>
    <s v="AZIAN CRYSTAL CORPORATION NO COR YET - SO-136"/>
    <s v="SO-136"/>
    <s v="AZIAN CRYSTAL CORPORATION NO COR YET"/>
    <s v="KUANG HENG"/>
    <s v="ROB. MANILA"/>
    <s v="50% DOWNPAYMENT, 50% 35 DAYS PDC"/>
    <s v="2025-09-08"/>
    <s v="1 YEAR WARRANTY"/>
    <n v="1"/>
    <n v="3220"/>
    <n v="9200"/>
    <n v="9200"/>
    <s v="RUDELYN"/>
  </r>
  <r>
    <x v="135"/>
    <s v="AZIAN CRYSTAL CORPORATION NO COR YET - SO-136"/>
    <s v="SO-136"/>
    <s v="AZIAN CRYSTAL CORPORATION NO COR YET"/>
    <s v="KUANG HENG"/>
    <s v="ROB. MANILA"/>
    <s v="50% DOWNPAYMENT, 50% 35 DAYS PDC"/>
    <s v="2025-09-08"/>
    <s v="BIR REGISTRATION"/>
    <n v="1"/>
    <n v="500"/>
    <n v="500"/>
    <n v="500"/>
    <s v="RUDELYN"/>
  </r>
  <r>
    <x v="135"/>
    <s v="AZIAN CRYSTAL CORPORATION NO COR YET - SO-136"/>
    <s v="SO-136"/>
    <s v="AZIAN CRYSTAL CORPORATION NO COR YET"/>
    <s v="KUANG HENG"/>
    <s v="ROB. MANILA"/>
    <s v="50% DOWNPAYMENT, 50% 35 DAYS PDC"/>
    <s v="2025-09-08"/>
    <s v="EPSON TMU220D USB PRINTER"/>
    <n v="1"/>
    <n v="8500"/>
    <n v="12500"/>
    <n v="12500"/>
    <s v="RUDELYN"/>
  </r>
  <r>
    <x v="135"/>
    <s v="AZIAN CRYSTAL CORPORATION NO COR YET - SO-136"/>
    <s v="SO-136"/>
    <s v="AZIAN CRYSTAL CORPORATION NO COR YET"/>
    <s v="KUANG HENG"/>
    <s v="ROB. MANILA"/>
    <s v="50% DOWNPAYMENT, 50% 35 DAYS PDC"/>
    <s v="2025-09-08"/>
    <s v="APC UPS"/>
    <n v="1"/>
    <n v="2200"/>
    <n v="3000"/>
    <n v="3000"/>
    <s v="RUDELYN"/>
  </r>
  <r>
    <x v="135"/>
    <s v="AZIAN CRYSTAL CORPORATION NO COR YET - SO-136"/>
    <s v="SO-136"/>
    <s v="AZIAN CRYSTAL CORPORATION NO COR YET"/>
    <s v="KUANG HENG"/>
    <s v="ROB. MANILA"/>
    <s v="50% DOWNPAYMENT, 50% 35 DAYS PDC"/>
    <s v="2025-09-08"/>
    <s v="POSTECH TOUCHSCREEN MONITOR"/>
    <n v="1"/>
    <n v="11000"/>
    <n v="16000"/>
    <n v="16000"/>
    <s v="RUDELYN"/>
  </r>
  <r>
    <x v="135"/>
    <s v="AZIAN CRYSTAL CORPORATION NO COR YET - SO-136"/>
    <s v="SO-136"/>
    <s v="AZIAN CRYSTAL CORPORATION NO COR YET"/>
    <s v="KUANG HENG"/>
    <s v="ROB. MANILA"/>
    <s v="50% DOWNPAYMENT, 50% 35 DAYS PDC"/>
    <s v="2025-09-08"/>
    <s v="CASH DRAWER"/>
    <n v="1"/>
    <n v="2185"/>
    <n v="3500"/>
    <n v="3500"/>
    <s v="RUDELYN"/>
  </r>
  <r>
    <x v="135"/>
    <s v="AZIAN CRYSTAL CORPORATION NO COR YET - SO-136"/>
    <s v="SO-136"/>
    <s v="AZIAN CRYSTAL CORPORATION NO COR YET"/>
    <s v="KUANG HENG"/>
    <s v="ROB. MANILA"/>
    <s v="50% DOWNPAYMENT, 50% 35 DAYS PDC"/>
    <s v="2025-09-08"/>
    <s v="DESKTOP CPU I5, 8GB RAM, 512 GB SSD"/>
    <n v="1"/>
    <n v="23450"/>
    <n v="31500"/>
    <n v="31500"/>
    <s v="RUDELYN"/>
  </r>
  <r>
    <x v="135"/>
    <s v="AZIAN CRYSTAL CORPORATION NO COR YET - SO-136"/>
    <s v="SO-136"/>
    <s v="AZIAN CRYSTAL CORPORATION NO COR YET"/>
    <s v="KUANG HENG"/>
    <s v="ROB. MANILA"/>
    <s v="50% DOWNPAYMENT, 50% 35 DAYS PDC"/>
    <s v="2025-09-08"/>
    <s v="KEYBOARD &amp; MOUSE"/>
    <n v="1"/>
    <n v="0"/>
    <n v="0"/>
    <n v="0"/>
    <s v="RUDELYN"/>
  </r>
  <r>
    <x v="135"/>
    <s v="AZIAN CRYSTAL CORPORATION NO COR YET - SO-136"/>
    <s v="SO-136"/>
    <s v="AZIAN CRYSTAL CORPORATION NO COR YET"/>
    <s v="KUANG HENG"/>
    <s v="ROB. MANILA"/>
    <s v="50% DOWNPAYMENT, 50% 35 DAYS PDC"/>
    <s v="2025-09-08"/>
    <s v="WINDOWS 11 PRO"/>
    <n v="1"/>
    <n v="2800"/>
    <n v="4000"/>
    <n v="4000"/>
    <s v="RUDELYN"/>
  </r>
  <r>
    <x v="135"/>
    <s v="AZIAN CRYSTAL CORPORATION NO COR YET - SO-136"/>
    <s v="SO-136"/>
    <s v="AZIAN CRYSTAL CORPORATION NO COR YET"/>
    <s v="KUANG HENG"/>
    <s v="ROB. MANILA"/>
    <s v="50% DOWNPAYMENT, 50% 35 DAYS PDC"/>
    <s v="2025-09-08"/>
    <s v="KASPERSKY ANTI VIRUS"/>
    <n v="1"/>
    <n v="970"/>
    <n v="1500"/>
    <n v="1500"/>
    <s v="RUDELYN"/>
  </r>
  <r>
    <x v="135"/>
    <s v="AZIAN CRYSTAL CORPORATION NO COR YET - SO-136"/>
    <s v="SO-136"/>
    <s v="AZIAN CRYSTAL CORPORATION NO COR YET"/>
    <s v="KUANG HENG"/>
    <s v="ROB. MANILA"/>
    <s v="50% DOWNPAYMENT, 50% 35 DAYS PDC"/>
    <s v="2025-09-08"/>
    <s v="DELIVERY FEE"/>
    <n v="1"/>
    <n v="600"/>
    <n v="600"/>
    <n v="600"/>
    <s v="RUDELYN"/>
  </r>
  <r>
    <x v="50"/>
    <s v="CHICKEN DELI - SO-136"/>
    <s v="SO-136"/>
    <s v="CHICKEN DELI"/>
    <s v="KARIMADON"/>
    <s v="GENERIC"/>
    <s v="N/A"/>
    <s v="2025-07-16"/>
    <s v="RDMS V3+"/>
    <n v="1"/>
    <n v="3675"/>
    <n v="10500"/>
    <n v="10500"/>
    <s v="MARITESS"/>
  </r>
  <r>
    <x v="50"/>
    <s v="CHICKEN DELI - SO-136"/>
    <s v="SO-136"/>
    <s v="CHICKEN DELI"/>
    <s v="KARIMADON"/>
    <s v="GENERIC"/>
    <s v="N/A"/>
    <s v="2025-07-16"/>
    <s v="IMPLEMENTATION"/>
    <n v="1"/>
    <n v="4500"/>
    <n v="4500"/>
    <n v="4500"/>
    <s v="MARITESS"/>
  </r>
  <r>
    <x v="50"/>
    <s v="CHICKEN DELI - SO-136"/>
    <s v="SO-136"/>
    <s v="CHICKEN DELI"/>
    <s v="KARIMADON"/>
    <s v="GENERIC"/>
    <s v="N/A"/>
    <s v="2025-07-16"/>
    <s v="ONE YEAR WARRANTY"/>
    <n v="1"/>
    <n v="4500"/>
    <n v="4500"/>
    <n v="4500"/>
    <s v="MARITESS"/>
  </r>
  <r>
    <x v="50"/>
    <s v="CHICKEN DELI - SO-136"/>
    <s v="SO-136"/>
    <s v="CHICKEN DELI"/>
    <s v="KARIMADON"/>
    <s v="GENERIC"/>
    <s v="N/A"/>
    <s v="2025-07-16"/>
    <s v="BIR REG."/>
    <n v="1"/>
    <n v="500"/>
    <n v="500"/>
    <n v="500"/>
    <s v="MARITESS"/>
  </r>
  <r>
    <x v="50"/>
    <s v="CHICKEN DELI - SO-136"/>
    <s v="SO-136"/>
    <s v="CHICKEN DELI"/>
    <s v="KARIMADON"/>
    <s v="GENERIC"/>
    <s v="N/A"/>
    <s v="2025-07-16"/>
    <s v="VIEWSONIC MONITOR"/>
    <n v="1"/>
    <n v="4600"/>
    <n v="6500"/>
    <n v="6500"/>
    <s v="MARITESS"/>
  </r>
  <r>
    <x v="50"/>
    <s v="CHICKEN DELI - SO-136"/>
    <s v="SO-136"/>
    <s v="CHICKEN DELI"/>
    <s v="KARIMADON"/>
    <s v="GENERIC"/>
    <s v="N/A"/>
    <s v="2025-07-16"/>
    <s v="EPSON TMU220D USB"/>
    <n v="1"/>
    <n v="8500"/>
    <n v="12100"/>
    <n v="12100"/>
    <s v="MARITESS"/>
  </r>
  <r>
    <x v="50"/>
    <s v="CHICKEN DELI - SO-136"/>
    <s v="SO-136"/>
    <s v="CHICKEN DELI"/>
    <s v="KARIMADON"/>
    <s v="GENERIC"/>
    <s v="N/A"/>
    <s v="2025-07-16"/>
    <s v="KASPERSKY ANTI VIRUS"/>
    <n v="1"/>
    <n v="935"/>
    <n v="1500"/>
    <n v="1500"/>
    <s v="MARITESS"/>
  </r>
  <r>
    <x v="50"/>
    <s v="CHICKEN DELI - SO-136"/>
    <s v="SO-136"/>
    <s v="CHICKEN DELI"/>
    <s v="KARIMADON"/>
    <s v="GENERIC"/>
    <s v="N/A"/>
    <s v="2025-07-16"/>
    <s v="UPS APC"/>
    <n v="1"/>
    <n v="2200"/>
    <n v="3200"/>
    <n v="3200"/>
    <s v="MARITESS"/>
  </r>
  <r>
    <x v="50"/>
    <s v="CHICKEN DELI - SO-136"/>
    <s v="SO-136"/>
    <s v="CHICKEN DELI"/>
    <s v="KARIMADON"/>
    <s v="GENERIC"/>
    <s v="N/A"/>
    <s v="2025-07-16"/>
    <s v="EOS MINI CPU NV.M2"/>
    <n v="1"/>
    <n v="24800"/>
    <n v="34000"/>
    <n v="34000"/>
    <s v="MARITESS"/>
  </r>
  <r>
    <x v="50"/>
    <s v="CHICKEN DELI - SO-136"/>
    <s v="SO-136"/>
    <s v="CHICKEN DELI"/>
    <s v="KARIMADON"/>
    <s v="GENERIC"/>
    <s v="N/A"/>
    <s v="2025-07-16"/>
    <s v="WINDOWS 11"/>
    <n v="1"/>
    <n v="2800"/>
    <n v="4000"/>
    <n v="4000"/>
    <s v="MARITESS"/>
  </r>
  <r>
    <x v="50"/>
    <s v="CHICKEN DELI - SO-136"/>
    <s v="SO-136"/>
    <s v="CHICKEN DELI"/>
    <s v="KARIMADON"/>
    <s v="GENERIC"/>
    <s v="N/A"/>
    <s v="2025-07-16"/>
    <s v="DELIVERY CHARGE"/>
    <n v="1"/>
    <n v="500"/>
    <n v="500"/>
    <n v="500"/>
    <s v="MARITESS"/>
  </r>
  <r>
    <x v="136"/>
    <s v="TIMELESS BAR AND RESTAURANT CONCEPTS INC - SO-137"/>
    <s v="SO-137"/>
    <s v="TIMELESS BAR AND RESTAURANT CONCEPTS INC"/>
    <s v="DILLINGER"/>
    <s v="GENERIC"/>
    <s v="COD"/>
    <s v="2025-09-08"/>
    <s v="PRINTER HEAD"/>
    <n v="1"/>
    <n v="1100"/>
    <n v="1500"/>
    <n v="1500"/>
    <s v="MARITESS"/>
  </r>
  <r>
    <x v="20"/>
    <s v="CHICKEN DELI - SO-137"/>
    <s v="SO-137"/>
    <s v="CHICKEN DELI"/>
    <s v="MN+LA APPAREL"/>
    <s v="GENERIC"/>
    <s v="N/A"/>
    <s v="2025-07-17"/>
    <s v="JOURNAL PAPER ( SINGLE PLY )"/>
    <n v="50"/>
    <n v="17"/>
    <n v="25"/>
    <n v="1250"/>
    <s v="MARITESS"/>
  </r>
  <r>
    <x v="39"/>
    <s v="SIMPLY GOURMET FOOD CORP NO COR YET - SO-138"/>
    <s v="SO-138"/>
    <s v="SIMPLY GOURMET FOOD CORP NO COR YET"/>
    <s v="CHA TRA MUE"/>
    <s v="SM MOA"/>
    <s v="COD"/>
    <s v="2025-09-09"/>
    <s v="BARCODE STICKER (4X3)CM"/>
    <n v="100"/>
    <n v="44.5"/>
    <n v="56"/>
    <n v="5600"/>
    <s v="RUDELYN"/>
  </r>
  <r>
    <x v="39"/>
    <s v="SIMPLY GOURMET FOOD CORP NO COR YET - SO-138"/>
    <s v="SO-138"/>
    <s v="SIMPLY GOURMET FOOD CORP NO COR YET"/>
    <s v="CHA TRA MUE"/>
    <s v="SM MOA"/>
    <s v="COD"/>
    <s v="2025-09-09"/>
    <s v="DELIVERY FEE"/>
    <n v="1"/>
    <n v="400"/>
    <n v="400"/>
    <n v="400"/>
    <s v="RUDELYN"/>
  </r>
  <r>
    <x v="2"/>
    <s v="CHICKEN DELI - SO-138"/>
    <s v="SO-138"/>
    <s v="CHICKEN DELI"/>
    <s v="GONGCHA"/>
    <s v="GENERIC"/>
    <s v="N/A"/>
    <s v="2025-07-18"/>
    <s v="PREVENTIVE MAINTENANCE"/>
    <n v="1"/>
    <n v="6500"/>
    <n v="6500"/>
    <n v="6500"/>
    <s v="MARITESS"/>
  </r>
  <r>
    <x v="14"/>
    <s v="HUZZAH - SO-139"/>
    <s v="SO-139"/>
    <s v="HUZZAH"/>
    <s v="HUZZAH"/>
    <s v="GENERIC"/>
    <s v="COD"/>
    <s v="2025-09-11"/>
    <s v="JOURNAL PAPER - DOUBLE PLY"/>
    <n v="50"/>
    <n v="32"/>
    <n v="50"/>
    <n v="2500"/>
    <s v="RUDELYN"/>
  </r>
  <r>
    <x v="137"/>
    <s v="CHICKEN DELI - SO-139"/>
    <s v="SO-139"/>
    <s v="CHICKEN DELI"/>
    <s v="M &amp; W"/>
    <s v="GENERIC"/>
    <s v="N/A"/>
    <s v="2025-07-30"/>
    <s v="INTEL CORE I5 ( 5) CASHIER 8GB / ( 1) BACK OFFICE 16GB"/>
    <n v="6"/>
    <n v="21500"/>
    <n v="25283"/>
    <n v="151698"/>
    <s v="MARITESS"/>
  </r>
  <r>
    <x v="137"/>
    <s v="CHICKEN DELI - SO-139"/>
    <s v="SO-139"/>
    <s v="CHICKEN DELI"/>
    <s v="M &amp; W"/>
    <s v="GENERIC"/>
    <s v="N/A"/>
    <s v="2025-07-30"/>
    <s v="RDMSV3 + BACK OFFICE"/>
    <n v="1"/>
    <n v="3500"/>
    <n v="10000"/>
    <n v="10000"/>
    <s v="MARITESS"/>
  </r>
  <r>
    <x v="137"/>
    <s v="CHICKEN DELI - SO-139"/>
    <s v="SO-139"/>
    <s v="CHICKEN DELI"/>
    <s v="M &amp; W"/>
    <s v="GENERIC"/>
    <s v="N/A"/>
    <s v="2025-07-30"/>
    <s v="RDMS V3+ NEW LICENSE"/>
    <n v="5"/>
    <n v="3500"/>
    <n v="10000"/>
    <n v="50000"/>
    <s v="MARITESS"/>
  </r>
  <r>
    <x v="137"/>
    <s v="CHICKEN DELI - SO-139"/>
    <s v="SO-139"/>
    <s v="CHICKEN DELI"/>
    <s v="M &amp; W"/>
    <s v="GENERIC"/>
    <s v="N/A"/>
    <s v="2025-07-30"/>
    <s v="WINDOWS 11"/>
    <n v="6"/>
    <n v="2000"/>
    <n v="2800"/>
    <n v="16800"/>
    <s v="MARITESS"/>
  </r>
  <r>
    <x v="137"/>
    <s v="CHICKEN DELI - SO-139"/>
    <s v="SO-139"/>
    <s v="CHICKEN DELI"/>
    <s v="M &amp; W"/>
    <s v="GENERIC"/>
    <s v="N/A"/>
    <s v="2025-07-30"/>
    <s v="BIR REG."/>
    <n v="5"/>
    <n v="440"/>
    <n v="440"/>
    <n v="2200"/>
    <s v="MARITESS"/>
  </r>
  <r>
    <x v="138"/>
    <s v="SB RESTAURANTS INC - SO-140"/>
    <s v="SO-140"/>
    <s v="SB RESTAURANTS INC"/>
    <s v="STEAK BREAK"/>
    <s v="GENERIC"/>
    <s v="50% DOWNPAYMENT, 50% 35 DAYS PDC"/>
    <s v="2025-09-15"/>
    <s v="TS CERES LITE VER 6"/>
    <n v="1"/>
    <n v="2975"/>
    <n v="8500"/>
    <n v="8500"/>
    <s v="MARITESS"/>
  </r>
  <r>
    <x v="33"/>
    <s v="M W TOWNSTORE - SO-140"/>
    <s v="SO-140"/>
    <s v="M W TOWNSTORE"/>
    <s v="M &amp; W"/>
    <s v="GENERIC"/>
    <s v="N/A"/>
    <s v="2025-07-30"/>
    <s v="EPSON TMU 220B PRINTER"/>
    <n v="3"/>
    <n v="9500"/>
    <n v="13500"/>
    <n v="40500"/>
    <s v="MARITESS"/>
  </r>
  <r>
    <x v="33"/>
    <s v="M W TOWNSTORE - SO-140"/>
    <s v="SO-140"/>
    <s v="M W TOWNSTORE"/>
    <s v="M &amp; W"/>
    <s v="GENERIC"/>
    <s v="N/A"/>
    <s v="2025-07-30"/>
    <s v="DELIVERY CHARGE"/>
    <n v="1"/>
    <n v="1500"/>
    <n v="1500"/>
    <n v="1500"/>
    <s v="MARITESS"/>
  </r>
  <r>
    <x v="139"/>
    <s v="RAFAEL PUA TONILENE ESPINOZA - SO-141"/>
    <s v="SO-141"/>
    <s v="RAFAEL PUA TONILENE ESPINOZA"/>
    <s v="BC BOS' CHOW CARINDERIA"/>
    <s v="GENERIC"/>
    <s v="COD"/>
    <s v="2025-09-17"/>
    <s v="EPSON TMU220B USB PRINTER"/>
    <n v="1"/>
    <n v="9500"/>
    <n v="13500"/>
    <n v="13500"/>
    <s v="MARITESS"/>
  </r>
  <r>
    <x v="139"/>
    <s v="RAFAEL PUA TONILENE ESPINOZA - SO-141"/>
    <s v="SO-141"/>
    <s v="RAFAEL PUA TONILENE ESPINOZA"/>
    <s v="BC BOS' CHOW CARINDERIA"/>
    <s v="GENERIC"/>
    <s v="COD"/>
    <s v="2025-09-17"/>
    <s v="DELIVERY"/>
    <n v="1"/>
    <n v="500"/>
    <n v="500"/>
    <n v="500"/>
    <s v="MARITESS"/>
  </r>
  <r>
    <x v="140"/>
    <s v="CHICKEN DELI - SO-141"/>
    <s v="SO-141"/>
    <s v="CHICKEN DELI"/>
    <s v="OMBU KUSINA"/>
    <s v="GENERIC"/>
    <s v="N/A"/>
    <s v="2025-08-04"/>
    <s v="EPSON T82X USB"/>
    <n v="1"/>
    <n v="7500"/>
    <n v="12000"/>
    <n v="12000"/>
    <s v="MARITESS"/>
  </r>
  <r>
    <x v="140"/>
    <s v="CHICKEN DELI - SO-141"/>
    <s v="SO-141"/>
    <s v="CHICKEN DELI"/>
    <s v="OMBU KUSINA"/>
    <s v="GENERIC"/>
    <s v="N/A"/>
    <s v="2025-08-04"/>
    <s v="DELIVERY CHARGE"/>
    <n v="1"/>
    <n v="500"/>
    <n v="500"/>
    <n v="500"/>
    <s v="MARITESS"/>
  </r>
  <r>
    <x v="137"/>
    <s v="CHICKEN DELI - SO-142"/>
    <s v="SO-142"/>
    <s v="CHICKEN DELI"/>
    <s v="M &amp; W"/>
    <s v="GENERIC"/>
    <s v="N/A"/>
    <s v="2025-08-04"/>
    <s v="INTEL CORE I5 ( 5) CASHIER 8GB / ( 1) BACK OFFICE 16GB"/>
    <n v="6"/>
    <n v="21500"/>
    <n v="25283"/>
    <n v="151698"/>
    <s v="MARITESS"/>
  </r>
  <r>
    <x v="137"/>
    <s v="CHICKEN DELI - SO-142"/>
    <s v="SO-142"/>
    <s v="CHICKEN DELI"/>
    <s v="M &amp; W"/>
    <s v="GENERIC"/>
    <s v="N/A"/>
    <s v="2025-08-04"/>
    <s v="RDMSV3 + BACK OFFICE"/>
    <n v="1"/>
    <n v="3500"/>
    <n v="10000"/>
    <n v="10000"/>
    <s v="MARITESS"/>
  </r>
  <r>
    <x v="137"/>
    <s v="CHICKEN DELI - SO-142"/>
    <s v="SO-142"/>
    <s v="CHICKEN DELI"/>
    <s v="M &amp; W"/>
    <s v="GENERIC"/>
    <s v="N/A"/>
    <s v="2025-08-04"/>
    <s v="RDMS V3+ NEW LICENSE"/>
    <n v="5"/>
    <n v="3500"/>
    <n v="10000"/>
    <n v="50000"/>
    <s v="MARITESS"/>
  </r>
  <r>
    <x v="137"/>
    <s v="CHICKEN DELI - SO-142"/>
    <s v="SO-142"/>
    <s v="CHICKEN DELI"/>
    <s v="M &amp; W"/>
    <s v="GENERIC"/>
    <s v="N/A"/>
    <s v="2025-08-04"/>
    <s v="WINDOWS 11"/>
    <n v="6"/>
    <n v="2000"/>
    <n v="2800"/>
    <n v="16800"/>
    <s v="MARITESS"/>
  </r>
  <r>
    <x v="137"/>
    <s v="CHICKEN DELI - SO-142"/>
    <s v="SO-142"/>
    <s v="CHICKEN DELI"/>
    <s v="M &amp; W"/>
    <s v="GENERIC"/>
    <s v="N/A"/>
    <s v="2025-08-04"/>
    <s v="BIR REG."/>
    <n v="5"/>
    <n v="440"/>
    <n v="440"/>
    <n v="2200"/>
    <s v="MARITESS"/>
  </r>
  <r>
    <x v="141"/>
    <s v="METROMART NO COR YET - SO-142"/>
    <s v="SO-142"/>
    <s v="METROMART NO COR YET"/>
    <s v="METROMART"/>
    <s v="VERMOSA"/>
    <s v="N/A"/>
    <s v="2025-09-18"/>
    <s v="RDMS V4.3.0"/>
    <n v="1"/>
    <n v="3675"/>
    <n v="10500"/>
    <n v="10500"/>
    <s v="RUDELYN"/>
  </r>
  <r>
    <x v="141"/>
    <s v="METROMART NO COR YET - SO-142"/>
    <s v="SO-142"/>
    <s v="METROMART NO COR YET"/>
    <s v="METROMART"/>
    <s v="VERMOSA"/>
    <s v="N/A"/>
    <s v="2025-09-18"/>
    <s v="ROLLOUT IMPLEMENTATION"/>
    <n v="1"/>
    <n v="3325"/>
    <n v="9500"/>
    <n v="9500"/>
    <s v="RUDELYN"/>
  </r>
  <r>
    <x v="141"/>
    <s v="METROMART NO COR YET - SO-142"/>
    <s v="SO-142"/>
    <s v="METROMART NO COR YET"/>
    <s v="METROMART"/>
    <s v="VERMOSA"/>
    <s v="N/A"/>
    <s v="2025-09-18"/>
    <s v="ONE YEAR WARRANTY"/>
    <n v="1"/>
    <n v="3325"/>
    <n v="9500"/>
    <n v="9500"/>
    <s v="RUDELYN"/>
  </r>
  <r>
    <x v="141"/>
    <s v="METROMART NO COR YET - SO-142"/>
    <s v="SO-142"/>
    <s v="METROMART NO COR YET"/>
    <s v="METROMART"/>
    <s v="VERMOSA"/>
    <s v="N/A"/>
    <s v="2025-09-18"/>
    <s v="BIR REGISTRATION"/>
    <n v="1"/>
    <n v="500"/>
    <n v="500"/>
    <n v="500"/>
    <s v="RUDELYN"/>
  </r>
  <r>
    <x v="141"/>
    <s v="METROMART NO COR YET - SO-142"/>
    <s v="SO-142"/>
    <s v="METROMART NO COR YET"/>
    <s v="METROMART"/>
    <s v="VERMOSA"/>
    <s v="N/A"/>
    <s v="2025-09-18"/>
    <s v="APC UPS"/>
    <n v="1"/>
    <n v="2200"/>
    <n v="3000"/>
    <n v="3000"/>
    <s v="RUDELYN"/>
  </r>
  <r>
    <x v="141"/>
    <s v="METROMART NO COR YET - SO-142"/>
    <s v="SO-142"/>
    <s v="METROMART NO COR YET"/>
    <s v="METROMART"/>
    <s v="VERMOSA"/>
    <s v="N/A"/>
    <s v="2025-09-18"/>
    <s v="ACER MONITOR"/>
    <n v="1"/>
    <n v="4250"/>
    <n v="6000"/>
    <n v="6000"/>
    <s v="RUDELYN"/>
  </r>
  <r>
    <x v="141"/>
    <s v="METROMART NO COR YET - SO-142"/>
    <s v="SO-142"/>
    <s v="METROMART NO COR YET"/>
    <s v="METROMART"/>
    <s v="VERMOSA"/>
    <s v="N/A"/>
    <s v="2025-09-18"/>
    <s v="EPSON PRINTER TMU220D USB"/>
    <n v="1"/>
    <n v="8500"/>
    <n v="12000"/>
    <n v="12000"/>
    <s v="RUDELYN"/>
  </r>
  <r>
    <x v="141"/>
    <s v="METROMART NO COR YET - SO-142"/>
    <s v="SO-142"/>
    <s v="METROMART NO COR YET"/>
    <s v="METROMART"/>
    <s v="VERMOSA"/>
    <s v="N/A"/>
    <s v="2025-09-18"/>
    <s v="CASH DRAWER"/>
    <n v="1"/>
    <n v="2185"/>
    <n v="3000"/>
    <n v="3000"/>
    <s v="RUDELYN"/>
  </r>
  <r>
    <x v="141"/>
    <s v="METROMART NO COR YET - SO-142"/>
    <s v="SO-142"/>
    <s v="METROMART NO COR YET"/>
    <s v="METROMART"/>
    <s v="VERMOSA"/>
    <s v="N/A"/>
    <s v="2025-09-18"/>
    <s v="POSEIDON PSD86"/>
    <n v="1"/>
    <n v="3360"/>
    <n v="5500"/>
    <n v="5500"/>
    <s v="RUDELYN"/>
  </r>
  <r>
    <x v="141"/>
    <s v="METROMART NO COR YET - SO-142"/>
    <s v="SO-142"/>
    <s v="METROMART NO COR YET"/>
    <s v="METROMART"/>
    <s v="VERMOSA"/>
    <s v="N/A"/>
    <s v="2025-09-18"/>
    <s v="DESKTOP CPU I5, 8GB RAM, 512 GB NVME M.2"/>
    <n v="1"/>
    <n v="23450"/>
    <n v="30000"/>
    <n v="30000"/>
    <s v="RUDELYN"/>
  </r>
  <r>
    <x v="141"/>
    <s v="METROMART NO COR YET - SO-142"/>
    <s v="SO-142"/>
    <s v="METROMART NO COR YET"/>
    <s v="METROMART"/>
    <s v="VERMOSA"/>
    <s v="N/A"/>
    <s v="2025-09-18"/>
    <s v="KEYBOARD &amp; MOUSE"/>
    <n v="1"/>
    <n v="0"/>
    <n v="0"/>
    <n v="0"/>
    <s v="RUDELYN"/>
  </r>
  <r>
    <x v="141"/>
    <s v="METROMART NO COR YET - SO-142"/>
    <s v="SO-142"/>
    <s v="METROMART NO COR YET"/>
    <s v="METROMART"/>
    <s v="VERMOSA"/>
    <s v="N/A"/>
    <s v="2025-09-18"/>
    <s v="WINDOWS 11 PRO"/>
    <n v="1"/>
    <n v="2800"/>
    <n v="3500"/>
    <n v="3500"/>
    <s v="RUDELYN"/>
  </r>
  <r>
    <x v="30"/>
    <s v="MELO S WESTGATE FINE DINING - SO-143"/>
    <s v="SO-143"/>
    <s v="MELO S WESTGATE FINE DINING"/>
    <s v="MELOS"/>
    <s v="GENERIC"/>
    <s v="N/A"/>
    <s v="2025-09-18"/>
    <s v="PREVENTIVE MAINTENANCE"/>
    <n v="1"/>
    <n v="18000"/>
    <n v="18000"/>
    <n v="18000"/>
    <s v="MARITESS"/>
  </r>
  <r>
    <x v="2"/>
    <s v="CHICKEN DELI - SO-143"/>
    <s v="SO-143"/>
    <s v="CHICKEN DELI"/>
    <s v="GONGCHA"/>
    <s v="GENERIC"/>
    <s v="N/A"/>
    <s v="2025-08-04"/>
    <s v="PREVENTIVE MAINTENANCE"/>
    <n v="3"/>
    <n v="6500"/>
    <n v="6500"/>
    <n v="19500"/>
    <s v="MARITESS"/>
  </r>
  <r>
    <x v="142"/>
    <s v="WISHLEAF CAF INC - SO-144"/>
    <s v="SO-144"/>
    <s v="WISHLEAF CAF INC"/>
    <s v="SERENITEA"/>
    <s v="GENERIC"/>
    <s v="COD"/>
    <s v="2025-09-18"/>
    <s v="PREVENTIVE MAINTENANCE"/>
    <n v="1"/>
    <n v="19500"/>
    <n v="19500"/>
    <n v="19500"/>
    <s v="MARITESS"/>
  </r>
  <r>
    <x v="142"/>
    <s v="WISHLEAF CAF INC - SO-144"/>
    <s v="SO-144"/>
    <s v="WISHLEAF CAF INC"/>
    <s v="SERENITEA"/>
    <s v="GENERIC"/>
    <s v="COD"/>
    <s v="2025-09-18"/>
    <s v="BIR APPLICATION"/>
    <n v="1"/>
    <n v="500"/>
    <n v="500"/>
    <n v="500"/>
    <s v="MARITESS"/>
  </r>
  <r>
    <x v="142"/>
    <s v="WISHLEAF CAF INC - SO-144"/>
    <s v="SO-144"/>
    <s v="WISHLEAF CAF INC"/>
    <s v="SERENITEA"/>
    <s v="GENERIC"/>
    <s v="COD"/>
    <s v="2025-09-18"/>
    <s v="WINDOWS 11 PRO"/>
    <n v="1"/>
    <n v="2800"/>
    <n v="4000"/>
    <n v="4000"/>
    <s v="MARITESS"/>
  </r>
  <r>
    <x v="2"/>
    <s v="CHICKEN DELI - SO-144"/>
    <s v="SO-144"/>
    <s v="CHICKEN DELI"/>
    <s v="GONGCHA"/>
    <s v="GENERIC"/>
    <s v="N/A"/>
    <s v="2025-08-04"/>
    <s v="PREVENTIVE MAINTENANCE"/>
    <n v="2"/>
    <n v="6500"/>
    <n v="6500"/>
    <n v="13000"/>
    <s v="MARITESS"/>
  </r>
  <r>
    <x v="136"/>
    <s v="TIMELESS BAR AND RESTAURANT CONCEPTS INC - SO-145"/>
    <s v="SO-145"/>
    <s v="TIMELESS BAR AND RESTAURANT CONCEPTS INC"/>
    <s v="DILLINGER"/>
    <s v="GENERIC"/>
    <s v="COD"/>
    <s v="2025-09-22"/>
    <s v="THERMAL PAPER"/>
    <n v="10"/>
    <n v="47"/>
    <n v="80"/>
    <n v="800"/>
    <s v="MARITESS"/>
  </r>
  <r>
    <x v="2"/>
    <s v="CHICKEN DELI - SO-145"/>
    <s v="SO-145"/>
    <s v="CHICKEN DELI"/>
    <s v="GONGCHA"/>
    <s v="GENERIC"/>
    <s v="N/A"/>
    <s v="2025-08-04"/>
    <s v="SM CAUYAN 8-08-09"/>
    <n v="1"/>
    <n v="6500"/>
    <n v="6500"/>
    <n v="6500"/>
    <s v="MARITESS"/>
  </r>
  <r>
    <x v="2"/>
    <s v="CHICKEN DELI - SO-146"/>
    <s v="SO-146"/>
    <s v="CHICKEN DELI"/>
    <s v="GONGCHA"/>
    <s v="GENERIC"/>
    <s v="N/A"/>
    <s v="2025-08-04"/>
    <s v="PREVENTIVE MAINTENANCE"/>
    <n v="1"/>
    <n v="6500"/>
    <n v="6500"/>
    <n v="6500"/>
    <s v="MARITESS"/>
  </r>
  <r>
    <x v="143"/>
    <s v="SARI SARI AI CORPORATION - SO-146"/>
    <s v="SO-146"/>
    <s v="SARI SARI AI CORPORATION"/>
    <s v="TOMORO"/>
    <s v="PAVILLION MALL LAGUNA"/>
    <s v="50% DOWNPAYMENT, 50% 35 DAYS PDC"/>
    <s v="2025-09-22"/>
    <s v="TS CERES SQL VER. 6 * NOTE: BIR REGISTRATION: BACCHUS SQL+ VERSION 2"/>
    <n v="1"/>
    <n v="3675"/>
    <n v="10500"/>
    <n v="10500"/>
    <s v="RUDELYN"/>
  </r>
  <r>
    <x v="143"/>
    <s v="SARI SARI AI CORPORATION - SO-146"/>
    <s v="SO-146"/>
    <s v="SARI SARI AI CORPORATION"/>
    <s v="TOMORO"/>
    <s v="PAVILLION MALL LAGUNA"/>
    <s v="50% DOWNPAYMENT, 50% 35 DAYS PDC"/>
    <s v="2025-09-22"/>
    <s v="ROLLOUT IMPLEMENTATION"/>
    <n v="1"/>
    <n v="4200"/>
    <n v="12000"/>
    <n v="12000"/>
    <s v="RUDELYN"/>
  </r>
  <r>
    <x v="143"/>
    <s v="SARI SARI AI CORPORATION - SO-146"/>
    <s v="SO-146"/>
    <s v="SARI SARI AI CORPORATION"/>
    <s v="TOMORO"/>
    <s v="PAVILLION MALL LAGUNA"/>
    <s v="50% DOWNPAYMENT, 50% 35 DAYS PDC"/>
    <s v="2025-09-22"/>
    <s v="1 YEAR WARRANTY"/>
    <n v="1"/>
    <n v="4200"/>
    <n v="12000"/>
    <n v="12000"/>
    <s v="RUDELYN"/>
  </r>
  <r>
    <x v="143"/>
    <s v="SARI SARI AI CORPORATION - SO-146"/>
    <s v="SO-146"/>
    <s v="SARI SARI AI CORPORATION"/>
    <s v="TOMORO"/>
    <s v="PAVILLION MALL LAGUNA"/>
    <s v="50% DOWNPAYMENT, 50% 35 DAYS PDC"/>
    <s v="2025-09-22"/>
    <s v="BIR REGISTRATION"/>
    <n v="1"/>
    <n v="500"/>
    <n v="500"/>
    <n v="500"/>
    <s v="RUDELYN"/>
  </r>
  <r>
    <x v="143"/>
    <s v="SARI SARI AI CORPORATION - SO-146"/>
    <s v="SO-146"/>
    <s v="SARI SARI AI CORPORATION"/>
    <s v="TOMORO"/>
    <s v="PAVILLION MALL LAGUNA"/>
    <s v="50% DOWNPAYMENT, 50% 35 DAYS PDC"/>
    <s v="2025-09-22"/>
    <s v="APC UPS"/>
    <n v="1"/>
    <n v="2200"/>
    <n v="3500"/>
    <n v="3500"/>
    <s v="RUDELYN"/>
  </r>
  <r>
    <x v="143"/>
    <s v="SARI SARI AI CORPORATION - SO-146"/>
    <s v="SO-146"/>
    <s v="SARI SARI AI CORPORATION"/>
    <s v="TOMORO"/>
    <s v="PAVILLION MALL LAGUNA"/>
    <s v="50% DOWNPAYMENT, 50% 35 DAYS PDC"/>
    <s v="2025-09-22"/>
    <s v="POSTECH TOUCHSCREEN MONITOR"/>
    <n v="1"/>
    <n v="11000"/>
    <n v="16500"/>
    <n v="16500"/>
    <s v="RUDELYN"/>
  </r>
  <r>
    <x v="21"/>
    <s v="LIPA GRILLE RESTAURANT CO - SO-147"/>
    <s v="SO-147"/>
    <s v="LIPA GRILLE RESTAURANT CO"/>
    <s v="LIPA GRILLE"/>
    <s v="GENERIC"/>
    <s v="COD"/>
    <s v="2025-09-22"/>
    <s v="JOURNAL PAPER - DOUBLE PLY DELIVERY FEE"/>
    <n v="1500"/>
    <n v="32"/>
    <n v="50"/>
    <n v="75000"/>
    <s v="MARITESS"/>
  </r>
  <r>
    <x v="2"/>
    <s v="CHICKEN DELI - SO-147"/>
    <s v="SO-147"/>
    <s v="CHICKEN DELI"/>
    <s v="GONGCHA"/>
    <s v="GENERIC"/>
    <s v="N/A"/>
    <s v="2025-08-04"/>
    <s v="PREVENTIVE MAINTENANCE"/>
    <n v="3"/>
    <n v="6500"/>
    <n v="6500"/>
    <n v="19500"/>
    <s v="MARITESS"/>
  </r>
  <r>
    <x v="142"/>
    <s v="WISHLEAF CAF INC - SO-148"/>
    <s v="SO-148"/>
    <s v="WISHLEAF CAF INC"/>
    <s v="SERENITEA"/>
    <s v="GENERIC"/>
    <s v="COD"/>
    <s v="2025-09-22"/>
    <s v="ACER MONITOR"/>
    <n v="1"/>
    <n v="4250"/>
    <n v="7000"/>
    <n v="7000"/>
    <s v="MARITESS"/>
  </r>
  <r>
    <x v="142"/>
    <s v="WISHLEAF CAF INC - SO-148"/>
    <s v="SO-148"/>
    <s v="WISHLEAF CAF INC"/>
    <s v="SERENITEA"/>
    <s v="GENERIC"/>
    <s v="COD"/>
    <s v="2025-09-22"/>
    <s v="EOS -HUNTKEY POWER ADAPTOR"/>
    <n v="1"/>
    <n v="1200"/>
    <n v="2000"/>
    <n v="2000"/>
    <s v="MARITESS"/>
  </r>
  <r>
    <x v="142"/>
    <s v="WISHLEAF CAF INC - SO-148"/>
    <s v="SO-148"/>
    <s v="WISHLEAF CAF INC"/>
    <s v="SERENITEA"/>
    <s v="GENERIC"/>
    <s v="COD"/>
    <s v="2025-09-22"/>
    <s v="DELIVERY FEE"/>
    <n v="1"/>
    <n v="500"/>
    <n v="500"/>
    <n v="500"/>
    <s v="MARITESS"/>
  </r>
  <r>
    <x v="2"/>
    <s v="CHICKEN DELI - SO-148"/>
    <s v="SO-148"/>
    <s v="CHICKEN DELI"/>
    <s v="GONGCHA"/>
    <s v="GENERIC"/>
    <s v="N/A"/>
    <s v="2025-08-04"/>
    <s v="PREVENTIVE MAINTENANCE"/>
    <n v="1"/>
    <n v="6500"/>
    <n v="6500"/>
    <n v="6500"/>
    <s v="MARITESS"/>
  </r>
  <r>
    <x v="12"/>
    <s v="CHICKEN DELI - SO-149"/>
    <s v="SO-149"/>
    <s v="CHICKEN DELI"/>
    <s v="CASA REYES"/>
    <s v="GENERIC"/>
    <s v="N/A"/>
    <s v="2025-08-11"/>
    <s v="POSTECH TOUCHSCREEN MONITOR"/>
    <n v="1"/>
    <n v="11000"/>
    <n v="16500"/>
    <n v="16500"/>
    <s v="MARITESS"/>
  </r>
  <r>
    <x v="12"/>
    <s v="CHICKEN DELI - SO-149"/>
    <s v="SO-149"/>
    <s v="CHICKEN DELI"/>
    <s v="CASA REYES"/>
    <s v="GENERIC"/>
    <s v="N/A"/>
    <s v="2025-08-11"/>
    <s v="DELIVERY CHARGE"/>
    <n v="1"/>
    <n v="500"/>
    <n v="500"/>
    <n v="500"/>
    <s v="MARITESS"/>
  </r>
  <r>
    <x v="144"/>
    <s v="CMISS CORPORATION - SO-149"/>
    <s v="SO-149"/>
    <s v="CMISS CORPORATION"/>
    <s v="CMISS CORPORATION"/>
    <s v="BULACAN"/>
    <s v="N/A"/>
    <s v="2025-09-29"/>
    <s v="DESKTOP CPU I5, 8GB RAM, 512 GB NVME M.2"/>
    <n v="1"/>
    <n v="23450"/>
    <n v="31000"/>
    <n v="31000"/>
    <s v="RUDELYN"/>
  </r>
  <r>
    <x v="144"/>
    <s v="CMISS CORPORATION - SO-149"/>
    <s v="SO-149"/>
    <s v="CMISS CORPORATION"/>
    <s v="CMISS CORPORATION"/>
    <s v="BULACAN"/>
    <s v="N/A"/>
    <s v="2025-09-29"/>
    <s v="KEYBOARD &amp; MOUSE"/>
    <n v="1"/>
    <n v="0"/>
    <n v="0"/>
    <n v="0"/>
    <s v="RUDELYN"/>
  </r>
  <r>
    <x v="144"/>
    <s v="CMISS CORPORATION - SO-149"/>
    <s v="SO-149"/>
    <s v="CMISS CORPORATION"/>
    <s v="CMISS CORPORATION"/>
    <s v="BULACAN"/>
    <s v="N/A"/>
    <s v="2025-09-29"/>
    <s v="WINDOWS 11 PRO"/>
    <n v="1"/>
    <n v="2800"/>
    <n v="4000"/>
    <n v="4000"/>
    <s v="RUDELYN"/>
  </r>
  <r>
    <x v="145"/>
    <s v="CERRA DENTAL HEALTH CORPORATION - SO-150"/>
    <s v="SO-150"/>
    <s v="CERRA DENTAL HEALTH CORPORATION"/>
    <s v="DENTAL SMILES"/>
    <s v="GENERIC"/>
    <s v="COD"/>
    <s v="2025-09-29"/>
    <s v="PREVENTIVE MAINTENANCE"/>
    <n v="1"/>
    <n v="15000"/>
    <n v="15000"/>
    <n v="15000"/>
    <s v="MARITESS"/>
  </r>
  <r>
    <x v="114"/>
    <s v="CHICKEN DELI - SO-150"/>
    <s v="SO-150"/>
    <s v="CHICKEN DELI"/>
    <s v="PAOTSIN"/>
    <s v="GENERIC"/>
    <s v="N/A"/>
    <s v="2025-08-11"/>
    <s v="EPSON TMU220D ( USB )"/>
    <n v="1"/>
    <n v="8500"/>
    <n v="12000"/>
    <n v="12000"/>
    <s v="MARITESS"/>
  </r>
  <r>
    <x v="114"/>
    <s v="CHICKEN DELI - SO-150"/>
    <s v="SO-150"/>
    <s v="CHICKEN DELI"/>
    <s v="PAOTSIN"/>
    <s v="GENERIC"/>
    <s v="N/A"/>
    <s v="2025-08-11"/>
    <s v="DELIVERY CHARGE"/>
    <n v="1"/>
    <n v="500"/>
    <n v="500"/>
    <n v="500"/>
    <s v="MARITESS"/>
  </r>
  <r>
    <x v="146"/>
    <s v="PUA JOHN PAUL BANGUG - SO-151"/>
    <s v="SO-151"/>
    <s v="PUA JOHN PAUL BANGUG"/>
    <s v="SIZZLE MANIA (BOS' CHOW)"/>
    <s v="SM CENTER TUGUEGARAO DOWNTOWN"/>
    <s v="50% DOWNPAYMENT, 50% 35 DAYS PDC"/>
    <s v="2025-09-29"/>
    <s v="TS CERES SQL VER. 6 * NOTE: BIR REGISTRATION: BACCHUS SQL+ VERSION 2"/>
    <n v="1"/>
    <n v="3675"/>
    <n v="10500"/>
    <n v="10500"/>
    <s v="RUDELYN"/>
  </r>
  <r>
    <x v="146"/>
    <s v="PUA JOHN PAUL BANGUG - SO-151"/>
    <s v="SO-151"/>
    <s v="PUA JOHN PAUL BANGUG"/>
    <s v="SIZZLE MANIA (BOS' CHOW)"/>
    <s v="SM CENTER TUGUEGARAO DOWNTOWN"/>
    <s v="50% DOWNPAYMENT, 50% 35 DAYS PDC"/>
    <s v="2025-09-29"/>
    <s v="ROLLOUT IMPLEMENTATION"/>
    <n v="1"/>
    <n v="7700"/>
    <n v="22000"/>
    <n v="22000"/>
    <s v="RUDELYN"/>
  </r>
  <r>
    <x v="146"/>
    <s v="PUA JOHN PAUL BANGUG - SO-151"/>
    <s v="SO-151"/>
    <s v="PUA JOHN PAUL BANGUG"/>
    <s v="SIZZLE MANIA (BOS' CHOW)"/>
    <s v="SM CENTER TUGUEGARAO DOWNTOWN"/>
    <s v="50% DOWNPAYMENT, 50% 35 DAYS PDC"/>
    <s v="2025-09-29"/>
    <s v="1 YEAR WARRANTY"/>
    <n v="1"/>
    <n v="7700"/>
    <n v="22000"/>
    <n v="22000"/>
    <s v="RUDELYN"/>
  </r>
  <r>
    <x v="146"/>
    <s v="PUA JOHN PAUL BANGUG - SO-151"/>
    <s v="SO-151"/>
    <s v="PUA JOHN PAUL BANGUG"/>
    <s v="SIZZLE MANIA (BOS' CHOW)"/>
    <s v="SM CENTER TUGUEGARAO DOWNTOWN"/>
    <s v="50% DOWNPAYMENT, 50% 35 DAYS PDC"/>
    <s v="2025-09-29"/>
    <s v="BIR REGISTRATION"/>
    <n v="1"/>
    <n v="500"/>
    <n v="500"/>
    <n v="500"/>
    <s v="RUDELYN"/>
  </r>
  <r>
    <x v="146"/>
    <s v="PUA JOHN PAUL BANGUG - SO-151"/>
    <s v="SO-151"/>
    <s v="PUA JOHN PAUL BANGUG"/>
    <s v="SIZZLE MANIA (BOS' CHOW)"/>
    <s v="SM CENTER TUGUEGARAO DOWNTOWN"/>
    <s v="50% DOWNPAYMENT, 50% 35 DAYS PDC"/>
    <s v="2025-09-29"/>
    <s v="APC UPS"/>
    <n v="1"/>
    <n v="2200"/>
    <n v="3500"/>
    <n v="3500"/>
    <s v="RUDELYN"/>
  </r>
  <r>
    <x v="146"/>
    <s v="PUA JOHN PAUL BANGUG - SO-151"/>
    <s v="SO-151"/>
    <s v="PUA JOHN PAUL BANGUG"/>
    <s v="SIZZLE MANIA (BOS' CHOW)"/>
    <s v="SM CENTER TUGUEGARAO DOWNTOWN"/>
    <s v="50% DOWNPAYMENT, 50% 35 DAYS PDC"/>
    <s v="2025-09-29"/>
    <s v="POSTECH TOUCHSCREEN MONITOR"/>
    <n v="1"/>
    <n v="11000"/>
    <n v="16500"/>
    <n v="16500"/>
    <s v="RUDELYN"/>
  </r>
  <r>
    <x v="146"/>
    <s v="PUA JOHN PAUL BANGUG - SO-151"/>
    <s v="SO-151"/>
    <s v="PUA JOHN PAUL BANGUG"/>
    <s v="SIZZLE MANIA (BOS' CHOW)"/>
    <s v="SM CENTER TUGUEGARAO DOWNTOWN"/>
    <s v="50% DOWNPAYMENT, 50% 35 DAYS PDC"/>
    <s v="2025-09-29"/>
    <s v="CASH DRAWER"/>
    <n v="1"/>
    <n v="2185"/>
    <n v="3500"/>
    <n v="3500"/>
    <s v="RUDELYN"/>
  </r>
  <r>
    <x v="146"/>
    <s v="PUA JOHN PAUL BANGUG - SO-151"/>
    <s v="SO-151"/>
    <s v="PUA JOHN PAUL BANGUG"/>
    <s v="SIZZLE MANIA (BOS' CHOW)"/>
    <s v="SM CENTER TUGUEGARAO DOWNTOWN"/>
    <s v="50% DOWNPAYMENT, 50% 35 DAYS PDC"/>
    <s v="2025-09-29"/>
    <s v="EPSON TMU220B USB PRINTER"/>
    <n v="1"/>
    <n v="9500"/>
    <n v="13500"/>
    <n v="13500"/>
    <s v="RUDELYN"/>
  </r>
  <r>
    <x v="146"/>
    <s v="PUA JOHN PAUL BANGUG - SO-151"/>
    <s v="SO-151"/>
    <s v="PUA JOHN PAUL BANGUG"/>
    <s v="SIZZLE MANIA (BOS' CHOW)"/>
    <s v="SM CENTER TUGUEGARAO DOWNTOWN"/>
    <s v="50% DOWNPAYMENT, 50% 35 DAYS PDC"/>
    <s v="2025-09-29"/>
    <s v="EOS MINI CPU I5, 8GB RAM, 512 GB SSD"/>
    <n v="1"/>
    <n v="23450"/>
    <n v="32700"/>
    <n v="32700"/>
    <s v="RUDELYN"/>
  </r>
  <r>
    <x v="146"/>
    <s v="PUA JOHN PAUL BANGUG - SO-151"/>
    <s v="SO-151"/>
    <s v="PUA JOHN PAUL BANGUG"/>
    <s v="SIZZLE MANIA (BOS' CHOW)"/>
    <s v="SM CENTER TUGUEGARAO DOWNTOWN"/>
    <s v="50% DOWNPAYMENT, 50% 35 DAYS PDC"/>
    <s v="2025-09-29"/>
    <s v="WINDOWS 11 PRO"/>
    <n v="1"/>
    <n v="2800"/>
    <n v="4000"/>
    <n v="4000"/>
    <s v="RUDELYN"/>
  </r>
  <r>
    <x v="146"/>
    <s v="PUA JOHN PAUL BANGUG - SO-151"/>
    <s v="SO-151"/>
    <s v="PUA JOHN PAUL BANGUG"/>
    <s v="SIZZLE MANIA (BOS' CHOW)"/>
    <s v="SM CENTER TUGUEGARAO DOWNTOWN"/>
    <s v="50% DOWNPAYMENT, 50% 35 DAYS PDC"/>
    <s v="2025-09-29"/>
    <s v="KEYBOARD &amp; MOUSE"/>
    <n v="1"/>
    <n v="530"/>
    <n v="700"/>
    <n v="700"/>
    <s v="RUDELYN"/>
  </r>
  <r>
    <x v="146"/>
    <s v="PUA JOHN PAUL BANGUG - SO-151"/>
    <s v="SO-151"/>
    <s v="PUA JOHN PAUL BANGUG"/>
    <s v="SIZZLE MANIA (BOS' CHOW)"/>
    <s v="SM CENTER TUGUEGARAO DOWNTOWN"/>
    <s v="50% DOWNPAYMENT, 50% 35 DAYS PDC"/>
    <s v="2025-09-29"/>
    <s v="EOS FAN WITH FAN COVER"/>
    <n v="1"/>
    <n v="350"/>
    <n v="500"/>
    <n v="500"/>
    <s v="RUDELYN"/>
  </r>
  <r>
    <x v="146"/>
    <s v="PUA JOHN PAUL BANGUG - SO-151"/>
    <s v="SO-151"/>
    <s v="PUA JOHN PAUL BANGUG"/>
    <s v="SIZZLE MANIA (BOS' CHOW)"/>
    <s v="SM CENTER TUGUEGARAO DOWNTOWN"/>
    <s v="50% DOWNPAYMENT, 50% 35 DAYS PDC"/>
    <s v="2025-09-29"/>
    <s v="DELIVERY FEE"/>
    <n v="1"/>
    <n v="600"/>
    <n v="600"/>
    <n v="600"/>
    <s v="RUDELYN"/>
  </r>
  <r>
    <x v="87"/>
    <s v="CHICKEN DELI - SO-151"/>
    <s v="SO-151"/>
    <s v="CHICKEN DELI"/>
    <s v="GENERIC"/>
    <s v="GENERIC"/>
    <s v="N/A"/>
    <s v="2025-08-11"/>
    <s v="EPSON PRINTER TMU220D USB"/>
    <n v="1"/>
    <n v="8500"/>
    <n v="12000"/>
    <n v="12000"/>
    <s v="MARITESS"/>
  </r>
  <r>
    <x v="87"/>
    <s v="CHICKEN DELI - SO-151"/>
    <s v="SO-151"/>
    <s v="CHICKEN DELI"/>
    <s v="GENERIC"/>
    <s v="GENERIC"/>
    <s v="N/A"/>
    <s v="2025-08-11"/>
    <s v="DELIVERY CHARGE"/>
    <n v="1"/>
    <n v="500"/>
    <n v="500"/>
    <n v="500"/>
    <s v="MARITESS"/>
  </r>
  <r>
    <x v="147"/>
    <s v="CHICKINGS RESTAURANT - SO-152"/>
    <s v="SO-152"/>
    <s v="CHICKINGS RESTAURANT"/>
    <s v="CHICKINGS RESTAURANT"/>
    <s v="MANILA BAY"/>
    <s v="COD"/>
    <s v="2025-09-29"/>
    <s v="APC UPS"/>
    <n v="1"/>
    <n v="2200"/>
    <n v="3500"/>
    <n v="3500"/>
    <s v="RUDELYN"/>
  </r>
  <r>
    <x v="124"/>
    <s v="CHICKEN DELI - SO-152"/>
    <s v="SO-152"/>
    <s v="CHICKEN DELI"/>
    <s v="VMV"/>
    <s v="GENERIC"/>
    <s v="N/A"/>
    <s v="2025-08-12"/>
    <s v="BIRCH HANDHELD SCANNER"/>
    <n v="1"/>
    <n v="3000"/>
    <n v="5500"/>
    <n v="5500"/>
    <s v="MARITESS"/>
  </r>
  <r>
    <x v="124"/>
    <s v="CHICKEN DELI - SO-152"/>
    <s v="SO-152"/>
    <s v="CHICKEN DELI"/>
    <s v="VMV"/>
    <s v="GENERIC"/>
    <s v="N/A"/>
    <s v="2025-08-12"/>
    <s v="DELIVERY CHARGE"/>
    <n v="1"/>
    <n v="500"/>
    <n v="500"/>
    <n v="500"/>
    <s v="MARITESS"/>
  </r>
  <r>
    <x v="148"/>
    <s v="PENACERRADA CHRISTIAN DELA CRUZ - SO-153"/>
    <s v="SO-153"/>
    <s v="PENACERRADA CHRISTIAN DELA CRUZ"/>
    <s v="ISDANG PULO"/>
    <s v="GENERIC"/>
    <s v="COD"/>
    <s v="2025-10-02"/>
    <s v="PREVENTIVE MAINTENANCE"/>
    <n v="1"/>
    <n v="15000"/>
    <n v="15000"/>
    <n v="15000"/>
    <s v="MARITESS"/>
  </r>
  <r>
    <x v="149"/>
    <s v="CHICKEN DELI - SO-153"/>
    <s v="SO-153"/>
    <s v="CHICKEN DELI"/>
    <s v="BLANC NUE"/>
    <s v="GENERIC"/>
    <s v="N/A"/>
    <s v="2025-08-13"/>
    <s v="RDMS V3+"/>
    <n v="1"/>
    <n v="3675"/>
    <n v="10500"/>
    <n v="10500"/>
    <s v="MARITESS"/>
  </r>
  <r>
    <x v="149"/>
    <s v="CHICKEN DELI - SO-153"/>
    <s v="SO-153"/>
    <s v="CHICKEN DELI"/>
    <s v="BLANC NUE"/>
    <s v="GENERIC"/>
    <s v="N/A"/>
    <s v="2025-08-13"/>
    <s v="IMPLEMENTATION"/>
    <n v="1"/>
    <n v="9500"/>
    <n v="9500"/>
    <n v="9500"/>
    <s v="MARITESS"/>
  </r>
  <r>
    <x v="149"/>
    <s v="CHICKEN DELI - SO-153"/>
    <s v="SO-153"/>
    <s v="CHICKEN DELI"/>
    <s v="BLANC NUE"/>
    <s v="GENERIC"/>
    <s v="N/A"/>
    <s v="2025-08-13"/>
    <s v="ONE YEAR WARRANTY"/>
    <n v="1"/>
    <n v="9500"/>
    <n v="9500"/>
    <n v="9500"/>
    <s v="MARITESS"/>
  </r>
  <r>
    <x v="149"/>
    <s v="CHICKEN DELI - SO-153"/>
    <s v="SO-153"/>
    <s v="CHICKEN DELI"/>
    <s v="BLANC NUE"/>
    <s v="GENERIC"/>
    <s v="N/A"/>
    <s v="2025-08-13"/>
    <s v="BIR REG."/>
    <n v="1"/>
    <n v="500"/>
    <n v="500"/>
    <n v="500"/>
    <s v="MARITESS"/>
  </r>
  <r>
    <x v="117"/>
    <s v="HRT VENTURES CORPORATION - SO-154"/>
    <s v="SO-154"/>
    <s v="HRT VENTURES CORPORATION"/>
    <s v="BARISTART COFFEE CAFÉ (LICENSEE)"/>
    <s v="GENERIC"/>
    <s v="COD"/>
    <s v="2027-10-07"/>
    <s v="EOS POWER ADAPTOR"/>
    <n v="1"/>
    <n v="1200"/>
    <n v="2000"/>
    <n v="2000"/>
    <s v="MARITESS"/>
  </r>
  <r>
    <x v="2"/>
    <s v="CHICKEN DELI - SO-154"/>
    <s v="SO-154"/>
    <s v="CHICKEN DELI"/>
    <s v="GONGCHA"/>
    <s v="GENERIC"/>
    <s v="N/A"/>
    <s v="2025-08-19"/>
    <s v="TSCERES"/>
    <n v="1"/>
    <n v="3675"/>
    <n v="10500"/>
    <n v="10500"/>
    <s v="MARITESS"/>
  </r>
  <r>
    <x v="2"/>
    <s v="CHICKEN DELI - SO-154"/>
    <s v="SO-154"/>
    <s v="CHICKEN DELI"/>
    <s v="GONGCHA"/>
    <s v="GENERIC"/>
    <s v="N/A"/>
    <s v="2025-08-19"/>
    <s v="ROLL OUT"/>
    <n v="1"/>
    <n v="9500"/>
    <n v="9500"/>
    <n v="9500"/>
    <s v="MARITESS"/>
  </r>
  <r>
    <x v="2"/>
    <s v="CHICKEN DELI - SO-154"/>
    <s v="SO-154"/>
    <s v="CHICKEN DELI"/>
    <s v="GONGCHA"/>
    <s v="GENERIC"/>
    <s v="N/A"/>
    <s v="2025-08-19"/>
    <s v="IMPLEMENTATION"/>
    <n v="1"/>
    <n v="9500"/>
    <n v="9500"/>
    <n v="9500"/>
    <s v="MARITESS"/>
  </r>
  <r>
    <x v="2"/>
    <s v="CHICKEN DELI - SO-154"/>
    <s v="SO-154"/>
    <s v="CHICKEN DELI"/>
    <s v="GONGCHA"/>
    <s v="GENERIC"/>
    <s v="N/A"/>
    <s v="2025-08-19"/>
    <s v="BIR REG."/>
    <n v="1"/>
    <n v="500"/>
    <n v="500"/>
    <n v="500"/>
    <s v="MARITESS"/>
  </r>
  <r>
    <x v="2"/>
    <s v="CHICKEN DELI - SO-N/A"/>
    <s v="SO-N/A"/>
    <s v="CHICKEN DELI"/>
    <s v="GONGCHA"/>
    <s v="GENERIC"/>
    <s v="N/A"/>
    <s v="2025-08-19"/>
    <s v="TSCERES"/>
    <n v="1"/>
    <n v="3675"/>
    <n v="10500"/>
    <n v="10500"/>
    <s v="MARITESS"/>
  </r>
  <r>
    <x v="2"/>
    <s v="CHICKEN DELI - SO-N/A"/>
    <s v="SO-N/A"/>
    <s v="CHICKEN DELI"/>
    <s v="GONGCHA"/>
    <s v="GENERIC"/>
    <s v="N/A"/>
    <s v="2025-08-19"/>
    <s v="ROLL OUT"/>
    <n v="1"/>
    <n v="9500"/>
    <n v="9500"/>
    <n v="9500"/>
    <s v="MARITESS"/>
  </r>
  <r>
    <x v="2"/>
    <s v="CHICKEN DELI - SO-N/A"/>
    <s v="SO-N/A"/>
    <s v="CHICKEN DELI"/>
    <s v="GONGCHA"/>
    <s v="GENERIC"/>
    <s v="N/A"/>
    <s v="2025-08-19"/>
    <s v="IMPLEMENTATION"/>
    <n v="1"/>
    <n v="9500"/>
    <n v="9500"/>
    <n v="9500"/>
    <s v="MARITESS"/>
  </r>
  <r>
    <x v="2"/>
    <s v="CHICKEN DELI - SO-N/A"/>
    <s v="SO-N/A"/>
    <s v="CHICKEN DELI"/>
    <s v="GONGCHA"/>
    <s v="GENERIC"/>
    <s v="N/A"/>
    <s v="2025-08-19"/>
    <s v="BIR REG."/>
    <n v="1"/>
    <n v="500"/>
    <n v="500"/>
    <n v="500"/>
    <s v="MARITESS"/>
  </r>
  <r>
    <x v="84"/>
    <s v="VISUAL MIX INC - SO-155"/>
    <s v="SO-155"/>
    <s v="VISUAL MIX INC"/>
    <s v="BOOKSALE"/>
    <s v="GENERIC"/>
    <s v="COD"/>
    <s v="2025-10-08"/>
    <s v="PREVENTIVE MAINTENANCE COVERED DATE: SEPTEMBER 22, 2025 TO SEPTEMBER 21, 2026 1. SM DASMA 2. SM SOUTHMALL 3. MAKATI CINEMA SQUARE 4. NEPO MALL ANGELES 5. SM BAGUIO"/>
    <n v="5"/>
    <n v="7500"/>
    <n v="7500"/>
    <n v="37500"/>
    <s v="RUDELYN"/>
  </r>
  <r>
    <x v="83"/>
    <s v="BOOKSALE CEBU INC - SO-156"/>
    <s v="SO-156"/>
    <s v="BOOKSALE CEBU INC"/>
    <s v="BOOKSALE"/>
    <s v="ES:"/>
    <s v="COD"/>
    <s v="2025-10-08"/>
    <s v="PREVENTIVE MAINTENANCE"/>
    <n v="5"/>
    <n v="7500"/>
    <n v="7500"/>
    <n v="37500"/>
    <s v="MARITESS"/>
  </r>
  <r>
    <x v="2"/>
    <s v="CHICKEN DELI - SO-N/A"/>
    <s v="SO-N/A"/>
    <s v="CHICKEN DELI"/>
    <s v="GONGCHA"/>
    <s v="GENERIC"/>
    <s v="N/A"/>
    <s v="2025-08-19"/>
    <s v="TSCERES"/>
    <n v="1"/>
    <n v="3675"/>
    <n v="10500"/>
    <n v="10500"/>
    <s v="MARITESS"/>
  </r>
  <r>
    <x v="2"/>
    <s v="CHICKEN DELI - SO-N/A"/>
    <s v="SO-N/A"/>
    <s v="CHICKEN DELI"/>
    <s v="GONGCHA"/>
    <s v="GENERIC"/>
    <s v="N/A"/>
    <s v="2025-08-19"/>
    <s v="ROLL OUT"/>
    <n v="1"/>
    <n v="9500"/>
    <n v="9500"/>
    <n v="9500"/>
    <s v="MARITESS"/>
  </r>
  <r>
    <x v="2"/>
    <s v="CHICKEN DELI - SO-N/A"/>
    <s v="SO-N/A"/>
    <s v="CHICKEN DELI"/>
    <s v="GONGCHA"/>
    <s v="GENERIC"/>
    <s v="N/A"/>
    <s v="2025-08-19"/>
    <s v="IMPLEMENTATION"/>
    <n v="1"/>
    <n v="9500"/>
    <n v="9500"/>
    <n v="9500"/>
    <s v="MARITESS"/>
  </r>
  <r>
    <x v="2"/>
    <s v="CHICKEN DELI - SO-N/A"/>
    <s v="SO-N/A"/>
    <s v="CHICKEN DELI"/>
    <s v="GONGCHA"/>
    <s v="GENERIC"/>
    <s v="N/A"/>
    <s v="2025-08-19"/>
    <s v="BIR REG."/>
    <n v="1"/>
    <n v="500"/>
    <n v="500"/>
    <n v="500"/>
    <s v="MARITESS"/>
  </r>
  <r>
    <x v="150"/>
    <s v="GREEN LIFE ECOBAGS INC - SO-157"/>
    <s v="SO-157"/>
    <s v="GREEN LIFE ECOBAGS INC"/>
    <s v="ZARAH JUAN"/>
    <s v="GENERIC"/>
    <s v="COD"/>
    <s v="2025-10-08"/>
    <s v="PREVENTIVE MAINTENANCE"/>
    <n v="1"/>
    <n v="18000"/>
    <n v="18000"/>
    <n v="18000"/>
    <s v="MARITESS"/>
  </r>
  <r>
    <x v="12"/>
    <s v="CHICKEN DELI - SO-157"/>
    <s v="SO-157"/>
    <s v="CHICKEN DELI"/>
    <s v="CASA REYES"/>
    <s v="GENERIC"/>
    <s v="N/A"/>
    <s v="2025-08-22"/>
    <s v="PREVENTIVE MAINTENANCE"/>
    <n v="1"/>
    <n v="18000"/>
    <n v="18000"/>
    <n v="18000"/>
    <s v="MARITESS"/>
  </r>
  <r>
    <x v="14"/>
    <s v="HUZZAH - SO-158"/>
    <s v="SO-158"/>
    <s v="HUZZAH"/>
    <s v="HUZZAH"/>
    <s v="GENERIC"/>
    <s v="COD"/>
    <s v="2025-10-08"/>
    <s v="JOURNAL PAPER - DOUBLE PLY"/>
    <n v="50"/>
    <n v="32"/>
    <n v="50"/>
    <n v="2500"/>
    <s v="RUDELYN"/>
  </r>
  <r>
    <x v="12"/>
    <s v="CHICKEN DELI - SO-158"/>
    <s v="SO-158"/>
    <s v="CHICKEN DELI"/>
    <s v="CASA REYES"/>
    <s v="GENERIC"/>
    <s v="N/A"/>
    <s v="2025-08-22"/>
    <s v="PREVENTIVE MAINTENANCE"/>
    <n v="1"/>
    <n v="18000"/>
    <n v="18000"/>
    <n v="18000"/>
    <s v="MARITESS"/>
  </r>
  <r>
    <x v="136"/>
    <s v="TIMELESS BAR AND RESTAURANT CONCEPTS INC - SO-159"/>
    <s v="SO-159"/>
    <s v="TIMELESS BAR AND RESTAURANT CONCEPTS INC"/>
    <s v="DILLINGER"/>
    <s v="GENERIC"/>
    <s v="COD"/>
    <s v="2025-10-09"/>
    <s v="EPSON TMU220D LAN PRINTER"/>
    <n v="1"/>
    <n v="8500"/>
    <n v="12000"/>
    <n v="12000"/>
    <s v="MARITESS"/>
  </r>
  <r>
    <x v="136"/>
    <s v="TIMELESS BAR AND RESTAURANT CONCEPTS INC - SO-159"/>
    <s v="SO-159"/>
    <s v="TIMELESS BAR AND RESTAURANT CONCEPTS INC"/>
    <s v="DILLINGER"/>
    <s v="GENERIC"/>
    <s v="COD"/>
    <s v="2025-10-09"/>
    <s v="DELIVERY"/>
    <n v="1"/>
    <n v="500"/>
    <n v="500"/>
    <n v="500"/>
    <s v="MARITESS"/>
  </r>
  <r>
    <x v="74"/>
    <s v="CHICKEN DELI - SO-159"/>
    <s v="SO-159"/>
    <s v="CHICKEN DELI"/>
    <s v="SM MASINAG"/>
    <s v="GENERIC"/>
    <s v="N/A"/>
    <s v="2025-08-26"/>
    <s v="ERC RIBBON"/>
    <n v="10"/>
    <n v="70"/>
    <n v="250"/>
    <n v="2500"/>
    <s v="MARITESS"/>
  </r>
  <r>
    <x v="9"/>
    <s v="CHICKEN DELI - SO-160"/>
    <s v="SO-160"/>
    <s v="CHICKEN DELI"/>
    <s v="OJO EYEWEAR"/>
    <s v="GENERIC"/>
    <s v="N/A"/>
    <s v="2025-08-27"/>
    <s v="TMU220D JOURNAL PAPER ( SINGLE PLY )"/>
    <n v="100"/>
    <n v="17"/>
    <n v="25"/>
    <n v="2500"/>
    <s v="MARITESS"/>
  </r>
  <r>
    <x v="9"/>
    <s v="CHICKEN DELI - SO-160"/>
    <s v="SO-160"/>
    <s v="CHICKEN DELI"/>
    <s v="OJO EYEWEAR"/>
    <s v="GENERIC"/>
    <s v="N/A"/>
    <s v="2025-08-27"/>
    <s v="THERMAL PAPER"/>
    <n v="100"/>
    <n v="47"/>
    <n v="80"/>
    <n v="8000"/>
    <s v="MARITESS"/>
  </r>
  <r>
    <x v="151"/>
    <s v="JUST SIMPLE BAKE HOUSE INC - SO-160"/>
    <s v="SO-160"/>
    <s v="JUST SIMPLE BAKE HOUSE INC"/>
    <s v="LORD STOW'S BAKERY"/>
    <s v="GENERIC"/>
    <s v="N/A"/>
    <s v="2025-10-13"/>
    <s v="PREVENTIVE MAINTENANCE COVERED DATE: SEPT. 30, 2025 - SEPT. 29, 2026 BRANCHES: 1. MARKET! MARKET! 2. GLORIETTA 3. TRINOMA"/>
    <n v="3"/>
    <n v="13500"/>
    <n v="13500"/>
    <n v="40500"/>
    <s v="RUDELYN"/>
  </r>
  <r>
    <x v="152"/>
    <s v="METROMART - SO-161"/>
    <s v="SO-161"/>
    <s v="METROMART"/>
    <s v="METROMART"/>
    <s v="VERMOSA"/>
    <s v="N/A"/>
    <s v="2025-10-13"/>
    <s v="JOURNAL PAPER - SINGLE PLY"/>
    <n v="50"/>
    <n v="17"/>
    <n v="25"/>
    <n v="1250"/>
    <s v="RUDELYN"/>
  </r>
  <r>
    <x v="152"/>
    <s v="METROMART - SO-161"/>
    <s v="SO-161"/>
    <s v="METROMART"/>
    <s v="METROMART"/>
    <s v="VERMOSA"/>
    <s v="N/A"/>
    <s v="2025-10-13"/>
    <s v="EPSON ERC-38 B RIBBON CARTRIDGE"/>
    <n v="1"/>
    <n v="70"/>
    <n v="250"/>
    <n v="250"/>
    <s v="RUDELYN"/>
  </r>
  <r>
    <x v="2"/>
    <s v="CHICKEN DELI - SO-N/A"/>
    <s v="SO-N/A"/>
    <s v="CHICKEN DELI"/>
    <s v="GONGCHA"/>
    <s v="GENERIC"/>
    <s v="N/A"/>
    <s v="2025-08-28"/>
    <s v="TSCERES"/>
    <n v="1"/>
    <n v="3675"/>
    <n v="10500"/>
    <n v="10500"/>
    <s v="MARITESS"/>
  </r>
  <r>
    <x v="2"/>
    <s v="CHICKEN DELI - SO-N/A"/>
    <s v="SO-N/A"/>
    <s v="CHICKEN DELI"/>
    <s v="GONGCHA"/>
    <s v="GENERIC"/>
    <s v="N/A"/>
    <s v="2025-08-28"/>
    <s v="ROLL OUT"/>
    <n v="1"/>
    <n v="9500"/>
    <n v="9500"/>
    <n v="9500"/>
    <s v="MARITESS"/>
  </r>
  <r>
    <x v="2"/>
    <s v="CHICKEN DELI - SO-N/A"/>
    <s v="SO-N/A"/>
    <s v="CHICKEN DELI"/>
    <s v="GONGCHA"/>
    <s v="GENERIC"/>
    <s v="N/A"/>
    <s v="2025-08-28"/>
    <s v="IMPLEMENTATION"/>
    <n v="1"/>
    <n v="9500"/>
    <n v="9500"/>
    <n v="9500"/>
    <s v="MARITESS"/>
  </r>
  <r>
    <x v="2"/>
    <s v="CHICKEN DELI - SO-N/A"/>
    <s v="SO-N/A"/>
    <s v="CHICKEN DELI"/>
    <s v="GONGCHA"/>
    <s v="GENERIC"/>
    <s v="N/A"/>
    <s v="2025-08-28"/>
    <s v="BIR REG."/>
    <n v="1"/>
    <n v="500"/>
    <n v="500"/>
    <n v="500"/>
    <s v="MARITESS"/>
  </r>
  <r>
    <x v="153"/>
    <s v="AURORA CHARLIE FOOD VENTURES INC - SO-162"/>
    <s v="SO-162"/>
    <s v="AURORA CHARLIE FOOD VENTURES INC"/>
    <s v="MAMOU"/>
    <s v="GREENBELT 5"/>
    <s v="COD"/>
    <s v="2025-10-14"/>
    <s v="DESKTOP CPU I5, 8GB RAM, 512 GB SSD"/>
    <n v="1"/>
    <n v="23450"/>
    <n v="31100"/>
    <n v="31100"/>
    <s v="RUDELYN"/>
  </r>
  <r>
    <x v="153"/>
    <s v="AURORA CHARLIE FOOD VENTURES INC - SO-162"/>
    <s v="SO-162"/>
    <s v="AURORA CHARLIE FOOD VENTURES INC"/>
    <s v="MAMOU"/>
    <s v="GREENBELT 5"/>
    <s v="COD"/>
    <s v="2025-10-14"/>
    <s v="KEYBOARD &amp; MOUSE"/>
    <n v="1"/>
    <n v="0"/>
    <n v="0"/>
    <n v="0"/>
    <s v="RUDELYN"/>
  </r>
  <r>
    <x v="153"/>
    <s v="AURORA CHARLIE FOOD VENTURES INC - SO-162"/>
    <s v="SO-162"/>
    <s v="AURORA CHARLIE FOOD VENTURES INC"/>
    <s v="MAMOU"/>
    <s v="GREENBELT 5"/>
    <s v="COD"/>
    <s v="2025-10-14"/>
    <s v="WINDOWS 11 PRO"/>
    <n v="1"/>
    <n v="2800"/>
    <n v="4000"/>
    <n v="4000"/>
    <s v="RUDELYN"/>
  </r>
  <r>
    <x v="153"/>
    <s v="AURORA CHARLIE FOOD VENTURES INC - SO-162"/>
    <s v="SO-162"/>
    <s v="AURORA CHARLIE FOOD VENTURES INC"/>
    <s v="MAMOU"/>
    <s v="GREENBELT 5"/>
    <s v="COD"/>
    <s v="2025-10-14"/>
    <s v="KASPERSKY ANTI-VIRUS"/>
    <n v="1"/>
    <n v="935"/>
    <n v="1500"/>
    <n v="1500"/>
    <s v="RUDELYN"/>
  </r>
  <r>
    <x v="153"/>
    <s v="AURORA CHARLIE FOOD VENTURES INC - SO-162"/>
    <s v="SO-162"/>
    <s v="AURORA CHARLIE FOOD VENTURES INC"/>
    <s v="MAMOU"/>
    <s v="GREENBELT 5"/>
    <s v="COD"/>
    <s v="2025-10-14"/>
    <s v="DELIVERY FEE"/>
    <n v="1"/>
    <n v="400"/>
    <n v="400"/>
    <n v="400"/>
    <s v="RUDELYN"/>
  </r>
  <r>
    <x v="33"/>
    <s v="M W TOWNSTORE - SO-162"/>
    <s v="SO-162"/>
    <s v="M W TOWNSTORE"/>
    <s v="M &amp; W"/>
    <s v="GENERIC"/>
    <s v="N/A"/>
    <s v="2025-09-01"/>
    <s v="EPSON TMU 220B PRINTER"/>
    <n v="2"/>
    <n v="9500"/>
    <n v="13500"/>
    <n v="27000"/>
    <s v="MARITESS"/>
  </r>
  <r>
    <x v="33"/>
    <s v="M W TOWNSTORE - SO-162"/>
    <s v="SO-162"/>
    <s v="M W TOWNSTORE"/>
    <s v="M &amp; W"/>
    <s v="GENERIC"/>
    <s v="N/A"/>
    <s v="2025-09-01"/>
    <s v="DELIVERY CHARGE"/>
    <n v="1"/>
    <n v="1500"/>
    <n v="1500"/>
    <n v="1500"/>
    <s v="MARITESS"/>
  </r>
  <r>
    <x v="44"/>
    <s v="TATAY S GRILL INC - SO-163"/>
    <s v="SO-163"/>
    <s v="TATAY S GRILL INC"/>
    <s v="TATAY'S GRILL INC"/>
    <s v="GENERIC"/>
    <s v="50% DOWNPAYMENT, 50% 35 DAYS PDC"/>
    <s v="2025-10-15"/>
    <s v="BACCHUS SQL + VERSION 2"/>
    <n v="2"/>
    <n v="7350"/>
    <n v="10500"/>
    <n v="21000"/>
    <s v="MARITESS"/>
  </r>
  <r>
    <x v="44"/>
    <s v="TATAY S GRILL INC - SO-163"/>
    <s v="SO-163"/>
    <s v="TATAY S GRILL INC"/>
    <s v="TATAY'S GRILL INC"/>
    <s v="GENERIC"/>
    <s v="50% DOWNPAYMENT, 50% 35 DAYS PDC"/>
    <s v="2025-10-15"/>
    <s v="ROLLOUT IMPLEMENTATION"/>
    <n v="2"/>
    <n v="10750"/>
    <n v="11000"/>
    <n v="22000"/>
    <s v="MARITESS"/>
  </r>
  <r>
    <x v="44"/>
    <s v="TATAY S GRILL INC - SO-163"/>
    <s v="SO-163"/>
    <s v="TATAY S GRILL INC"/>
    <s v="TATAY'S GRILL INC"/>
    <s v="GENERIC"/>
    <s v="50% DOWNPAYMENT, 50% 35 DAYS PDC"/>
    <s v="2025-10-15"/>
    <s v="1 YEAR WARRANTY"/>
    <n v="2"/>
    <n v="10750"/>
    <n v="11000"/>
    <n v="22000"/>
    <s v="MARITESS"/>
  </r>
  <r>
    <x v="44"/>
    <s v="TATAY S GRILL INC - SO-163"/>
    <s v="SO-163"/>
    <s v="TATAY S GRILL INC"/>
    <s v="TATAY'S GRILL INC"/>
    <s v="GENERIC"/>
    <s v="50% DOWNPAYMENT, 50% 35 DAYS PDC"/>
    <s v="2025-10-15"/>
    <s v="BIR APPLICATION"/>
    <n v="2"/>
    <n v="500"/>
    <n v="500"/>
    <n v="1000"/>
    <s v="MARITESS"/>
  </r>
  <r>
    <x v="44"/>
    <s v="TATAY S GRILL INC - SO-163"/>
    <s v="SO-163"/>
    <s v="TATAY S GRILL INC"/>
    <s v="TATAY'S GRILL INC"/>
    <s v="GENERIC"/>
    <s v="50% DOWNPAYMENT, 50% 35 DAYS PDC"/>
    <s v="2025-10-15"/>
    <s v="ORDERING STATION"/>
    <n v="1"/>
    <n v="3500"/>
    <n v="10000"/>
    <n v="10000"/>
    <s v="MARITESS"/>
  </r>
  <r>
    <x v="44"/>
    <s v="TATAY S GRILL INC - SO-163"/>
    <s v="SO-163"/>
    <s v="TATAY S GRILL INC"/>
    <s v="TATAY'S GRILL INC"/>
    <s v="GENERIC"/>
    <s v="50% DOWNPAYMENT, 50% 35 DAYS PDC"/>
    <s v="2025-10-15"/>
    <s v="15&quot; TOUCHSCREEN MONITOR"/>
    <n v="3"/>
    <n v="11000"/>
    <n v="16500"/>
    <n v="49500"/>
    <s v="MARITESS"/>
  </r>
  <r>
    <x v="44"/>
    <s v="TATAY S GRILL INC - SO-163"/>
    <s v="SO-163"/>
    <s v="TATAY S GRILL INC"/>
    <s v="TATAY'S GRILL INC"/>
    <s v="GENERIC"/>
    <s v="50% DOWNPAYMENT, 50% 35 DAYS PDC"/>
    <s v="2025-10-15"/>
    <s v="ACER MONITOR"/>
    <n v="1"/>
    <n v="4250"/>
    <n v="6000"/>
    <n v="6000"/>
    <s v="MARITESS"/>
  </r>
  <r>
    <x v="44"/>
    <s v="TATAY S GRILL INC - SO-163"/>
    <s v="SO-163"/>
    <s v="TATAY S GRILL INC"/>
    <s v="TATAY'S GRILL INC"/>
    <s v="GENERIC"/>
    <s v="50% DOWNPAYMENT, 50% 35 DAYS PDC"/>
    <s v="2025-10-15"/>
    <s v="CASH DRAWER"/>
    <n v="2"/>
    <n v="2185"/>
    <n v="3000"/>
    <n v="6000"/>
    <s v="MARITESS"/>
  </r>
  <r>
    <x v="44"/>
    <s v="TATAY S GRILL INC - SO-163"/>
    <s v="SO-163"/>
    <s v="TATAY S GRILL INC"/>
    <s v="TATAY'S GRILL INC"/>
    <s v="GENERIC"/>
    <s v="50% DOWNPAYMENT, 50% 35 DAYS PDC"/>
    <s v="2025-10-15"/>
    <s v="APC UPS"/>
    <n v="4"/>
    <n v="2200"/>
    <n v="3500"/>
    <n v="14000"/>
    <s v="MARITESS"/>
  </r>
  <r>
    <x v="44"/>
    <s v="TATAY S GRILL INC - SO-163"/>
    <s v="SO-163"/>
    <s v="TATAY S GRILL INC"/>
    <s v="TATAY'S GRILL INC"/>
    <s v="GENERIC"/>
    <s v="50% DOWNPAYMENT, 50% 35 DAYS PDC"/>
    <s v="2025-10-15"/>
    <s v="POSIFLEX MR-21064 MAGNETIC CARD READER"/>
    <n v="1"/>
    <n v="5740.5"/>
    <n v="8000"/>
    <n v="8000"/>
    <s v="MARITESS"/>
  </r>
  <r>
    <x v="44"/>
    <s v="TATAY S GRILL INC - SO-163"/>
    <s v="SO-163"/>
    <s v="TATAY S GRILL INC"/>
    <s v="TATAY'S GRILL INC"/>
    <s v="GENERIC"/>
    <s v="50% DOWNPAYMENT, 50% 35 DAYS PDC"/>
    <s v="2025-10-15"/>
    <s v="EPSON TMU220D USB PRINTER (MANUAL CUT)"/>
    <n v="2"/>
    <n v="8500"/>
    <n v="12000"/>
    <n v="24000"/>
    <s v="MARITESS"/>
  </r>
  <r>
    <x v="44"/>
    <s v="TATAY S GRILL INC - SO-163"/>
    <s v="SO-163"/>
    <s v="TATAY S GRILL INC"/>
    <s v="TATAY'S GRILL INC"/>
    <s v="GENERIC"/>
    <s v="50% DOWNPAYMENT, 50% 35 DAYS PDC"/>
    <s v="2025-10-15"/>
    <s v="EPSON TMU220D LAN PRINTER (MANUAL CUT)"/>
    <n v="1"/>
    <n v="8500"/>
    <n v="12000"/>
    <n v="12000"/>
    <s v="MARITESS"/>
  </r>
  <r>
    <x v="44"/>
    <s v="TATAY S GRILL INC - SO-163"/>
    <s v="SO-163"/>
    <s v="TATAY S GRILL INC"/>
    <s v="TATAY'S GRILL INC"/>
    <s v="GENERIC"/>
    <s v="50% DOWNPAYMENT, 50% 35 DAYS PDC"/>
    <s v="2025-10-15"/>
    <s v="DESKTOP CPU I5, 8GB RAM, 512 GB SSD"/>
    <n v="4"/>
    <n v="21500"/>
    <n v="31075"/>
    <n v="124300"/>
    <s v="MARITESS"/>
  </r>
  <r>
    <x v="2"/>
    <s v="CHICKEN DELI - SO-163"/>
    <s v="SO-163"/>
    <s v="CHICKEN DELI"/>
    <s v="GONGCHA"/>
    <s v="GENERIC"/>
    <s v="N/A"/>
    <s v="2025-09-01"/>
    <s v="PREVENTIVE MAINTENANCE"/>
    <n v="1"/>
    <n v="6500"/>
    <n v="6500"/>
    <n v="6500"/>
    <s v="MARITESS"/>
  </r>
  <r>
    <x v="154"/>
    <s v="PUA JOHN PAUL BANGUG - SO-164"/>
    <s v="SO-164"/>
    <s v="PUA JOHN PAUL BANGUG"/>
    <s v="SIZZLE MANIA (BOS' CHOW)"/>
    <s v="ROBINSONS PLACE TUGUEGARAO"/>
    <s v="50% DOWNPAYMENT, 50% 35 DAYS PDC"/>
    <s v="2025-10-17"/>
    <s v="TS CERES SQL VER. 6 * NOTE: BIR REGISTRATION: BACCHUS SQL+ VERSION 2"/>
    <n v="1"/>
    <n v="3675"/>
    <n v="10500"/>
    <n v="10500"/>
    <s v="RUDELYN"/>
  </r>
  <r>
    <x v="154"/>
    <s v="PUA JOHN PAUL BANGUG - SO-164"/>
    <s v="SO-164"/>
    <s v="PUA JOHN PAUL BANGUG"/>
    <s v="SIZZLE MANIA (BOS' CHOW)"/>
    <s v="ROBINSONS PLACE TUGUEGARAO"/>
    <s v="50% DOWNPAYMENT, 50% 35 DAYS PDC"/>
    <s v="2025-10-17"/>
    <s v="ROLLOUT IMPLEMENTATION"/>
    <n v="1"/>
    <n v="7700"/>
    <n v="22000"/>
    <n v="22000"/>
    <s v="RUDELYN"/>
  </r>
  <r>
    <x v="154"/>
    <s v="PUA JOHN PAUL BANGUG - SO-164"/>
    <s v="SO-164"/>
    <s v="PUA JOHN PAUL BANGUG"/>
    <s v="SIZZLE MANIA (BOS' CHOW)"/>
    <s v="ROBINSONS PLACE TUGUEGARAO"/>
    <s v="50% DOWNPAYMENT, 50% 35 DAYS PDC"/>
    <s v="2025-10-17"/>
    <s v="1 YEAR WARRANTY"/>
    <n v="1"/>
    <n v="7700"/>
    <n v="22000"/>
    <n v="22000"/>
    <s v="RUDELYN"/>
  </r>
  <r>
    <x v="154"/>
    <s v="PUA JOHN PAUL BANGUG - SO-164"/>
    <s v="SO-164"/>
    <s v="PUA JOHN PAUL BANGUG"/>
    <s v="SIZZLE MANIA (BOS' CHOW)"/>
    <s v="ROBINSONS PLACE TUGUEGARAO"/>
    <s v="50% DOWNPAYMENT, 50% 35 DAYS PDC"/>
    <s v="2025-10-17"/>
    <s v="BIR REGISTRATION"/>
    <n v="1"/>
    <n v="500"/>
    <n v="500"/>
    <n v="500"/>
    <s v="RUDELYN"/>
  </r>
  <r>
    <x v="154"/>
    <s v="PUA JOHN PAUL BANGUG - SO-164"/>
    <s v="SO-164"/>
    <s v="PUA JOHN PAUL BANGUG"/>
    <s v="SIZZLE MANIA (BOS' CHOW)"/>
    <s v="ROBINSONS PLACE TUGUEGARAO"/>
    <s v="50% DOWNPAYMENT, 50% 35 DAYS PDC"/>
    <s v="2025-10-17"/>
    <s v="APC UPS"/>
    <n v="1"/>
    <n v="2200"/>
    <n v="3500"/>
    <n v="3500"/>
    <s v="RUDELYN"/>
  </r>
  <r>
    <x v="154"/>
    <s v="PUA JOHN PAUL BANGUG - SO-164"/>
    <s v="SO-164"/>
    <s v="PUA JOHN PAUL BANGUG"/>
    <s v="SIZZLE MANIA (BOS' CHOW)"/>
    <s v="ROBINSONS PLACE TUGUEGARAO"/>
    <s v="50% DOWNPAYMENT, 50% 35 DAYS PDC"/>
    <s v="2025-10-17"/>
    <s v="POSTECH TOUCHSCREEN MONITOR"/>
    <n v="1"/>
    <n v="11000"/>
    <n v="16500"/>
    <n v="16500"/>
    <s v="RUDELYN"/>
  </r>
  <r>
    <x v="154"/>
    <s v="PUA JOHN PAUL BANGUG - SO-164"/>
    <s v="SO-164"/>
    <s v="PUA JOHN PAUL BANGUG"/>
    <s v="SIZZLE MANIA (BOS' CHOW)"/>
    <s v="ROBINSONS PLACE TUGUEGARAO"/>
    <s v="50% DOWNPAYMENT, 50% 35 DAYS PDC"/>
    <s v="2025-10-17"/>
    <s v="CASH DRAWER"/>
    <n v="1"/>
    <n v="2185"/>
    <n v="3500"/>
    <n v="3500"/>
    <s v="RUDELYN"/>
  </r>
  <r>
    <x v="154"/>
    <s v="PUA JOHN PAUL BANGUG - SO-164"/>
    <s v="SO-164"/>
    <s v="PUA JOHN PAUL BANGUG"/>
    <s v="SIZZLE MANIA (BOS' CHOW)"/>
    <s v="ROBINSONS PLACE TUGUEGARAO"/>
    <s v="50% DOWNPAYMENT, 50% 35 DAYS PDC"/>
    <s v="2025-10-17"/>
    <s v="EPSON TMU220B USB PRINTER"/>
    <n v="1"/>
    <n v="9500"/>
    <n v="13500"/>
    <n v="13500"/>
    <s v="RUDELYN"/>
  </r>
  <r>
    <x v="154"/>
    <s v="PUA JOHN PAUL BANGUG - SO-164"/>
    <s v="SO-164"/>
    <s v="PUA JOHN PAUL BANGUG"/>
    <s v="SIZZLE MANIA (BOS' CHOW)"/>
    <s v="ROBINSONS PLACE TUGUEGARAO"/>
    <s v="50% DOWNPAYMENT, 50% 35 DAYS PDC"/>
    <s v="2025-10-17"/>
    <s v="DESKTOP CPU I5, 8GB RAM, 512 GB SSD"/>
    <n v="1"/>
    <n v="23450"/>
    <n v="33900"/>
    <n v="33900"/>
    <s v="RUDELYN"/>
  </r>
  <r>
    <x v="154"/>
    <s v="PUA JOHN PAUL BANGUG - SO-164"/>
    <s v="SO-164"/>
    <s v="PUA JOHN PAUL BANGUG"/>
    <s v="SIZZLE MANIA (BOS' CHOW)"/>
    <s v="ROBINSONS PLACE TUGUEGARAO"/>
    <s v="50% DOWNPAYMENT, 50% 35 DAYS PDC"/>
    <s v="2025-10-17"/>
    <s v="KEYBOARD &amp; MOUSE"/>
    <n v="1"/>
    <n v="0"/>
    <n v="0"/>
    <n v="0"/>
    <s v="RUDELYN"/>
  </r>
  <r>
    <x v="154"/>
    <s v="PUA JOHN PAUL BANGUG - SO-164"/>
    <s v="SO-164"/>
    <s v="PUA JOHN PAUL BANGUG"/>
    <s v="SIZZLE MANIA (BOS' CHOW)"/>
    <s v="ROBINSONS PLACE TUGUEGARAO"/>
    <s v="50% DOWNPAYMENT, 50% 35 DAYS PDC"/>
    <s v="2025-10-17"/>
    <s v="WINDOWS 11 PRO"/>
    <n v="1"/>
    <n v="2800"/>
    <n v="4000"/>
    <n v="4000"/>
    <s v="RUDELYN"/>
  </r>
  <r>
    <x v="154"/>
    <s v="PUA JOHN PAUL BANGUG - SO-164"/>
    <s v="SO-164"/>
    <s v="PUA JOHN PAUL BANGUG"/>
    <s v="SIZZLE MANIA (BOS' CHOW)"/>
    <s v="ROBINSONS PLACE TUGUEGARAO"/>
    <s v="50% DOWNPAYMENT, 50% 35 DAYS PDC"/>
    <s v="2025-10-17"/>
    <s v="DELIVERY FEE"/>
    <n v="1"/>
    <n v="600"/>
    <n v="600"/>
    <n v="600"/>
    <s v="RUDELYN"/>
  </r>
  <r>
    <x v="2"/>
    <s v="CHICKEN DELI - SO-164"/>
    <s v="SO-164"/>
    <s v="CHICKEN DELI"/>
    <s v="GONGCHA"/>
    <s v="GENERIC"/>
    <s v="N/A"/>
    <s v="2025-09-01"/>
    <s v="PREVENTIVE MAINTENANCE"/>
    <n v="1"/>
    <n v="6500"/>
    <n v="6500"/>
    <n v="6500"/>
    <s v="MARITESS"/>
  </r>
  <r>
    <x v="2"/>
    <s v="CHICKEN DELI - SO-165"/>
    <s v="SO-165"/>
    <s v="CHICKEN DELI"/>
    <s v="GONGCHA"/>
    <s v="GENERIC"/>
    <s v="N/A"/>
    <s v="2025-09-01"/>
    <s v="PREVENTIVE MAINTENANCE"/>
    <n v="1"/>
    <n v="6500"/>
    <n v="6500"/>
    <n v="6500"/>
    <s v="MARITESS"/>
  </r>
  <r>
    <x v="155"/>
    <s v="BALDEVIA APRIL JOY LEDESMA - SO-165"/>
    <s v="SO-165"/>
    <s v="BALDEVIA APRIL JOY LEDESMA"/>
    <s v="SAMU ADVERTISEMENT MARKETING"/>
    <s v="SM CITY BACOLOD"/>
    <s v="N/A"/>
    <s v="2025-10-17"/>
    <s v="RDMS V4.3.0 - LITE"/>
    <n v="1"/>
    <n v="2975"/>
    <n v="8500"/>
    <n v="8500"/>
    <s v="RUDELYN"/>
  </r>
  <r>
    <x v="155"/>
    <s v="BALDEVIA APRIL JOY LEDESMA - SO-165"/>
    <s v="SO-165"/>
    <s v="BALDEVIA APRIL JOY LEDESMA"/>
    <s v="SAMU ADVERTISEMENT MARKETING"/>
    <s v="SM CITY BACOLOD"/>
    <s v="N/A"/>
    <s v="2025-10-17"/>
    <s v="ROLLOUT IMPLEMENTATION"/>
    <n v="1"/>
    <n v="2800"/>
    <n v="8000"/>
    <n v="8000"/>
    <s v="RUDELYN"/>
  </r>
  <r>
    <x v="155"/>
    <s v="BALDEVIA APRIL JOY LEDESMA - SO-165"/>
    <s v="SO-165"/>
    <s v="BALDEVIA APRIL JOY LEDESMA"/>
    <s v="SAMU ADVERTISEMENT MARKETING"/>
    <s v="SM CITY BACOLOD"/>
    <s v="N/A"/>
    <s v="2025-10-17"/>
    <s v="ONE YEAR WARRANTY"/>
    <n v="1"/>
    <n v="2800"/>
    <n v="8000"/>
    <n v="8000"/>
    <s v="RUDELYN"/>
  </r>
  <r>
    <x v="155"/>
    <s v="BALDEVIA APRIL JOY LEDESMA - SO-165"/>
    <s v="SO-165"/>
    <s v="BALDEVIA APRIL JOY LEDESMA"/>
    <s v="SAMU ADVERTISEMENT MARKETING"/>
    <s v="SM CITY BACOLOD"/>
    <s v="N/A"/>
    <s v="2025-10-17"/>
    <s v="BIR REGISTRATION"/>
    <n v="1"/>
    <n v="500"/>
    <n v="500"/>
    <n v="500"/>
    <s v="RUDELYN"/>
  </r>
  <r>
    <x v="155"/>
    <s v="BALDEVIA APRIL JOY LEDESMA - SO-165"/>
    <s v="SO-165"/>
    <s v="BALDEVIA APRIL JOY LEDESMA"/>
    <s v="SAMU ADVERTISEMENT MARKETING"/>
    <s v="SM CITY BACOLOD"/>
    <s v="N/A"/>
    <s v="2025-10-17"/>
    <s v="ACER MONITOR"/>
    <n v="1"/>
    <n v="3195"/>
    <n v="7000"/>
    <n v="7000"/>
    <s v="RUDELYN"/>
  </r>
  <r>
    <x v="155"/>
    <s v="BALDEVIA APRIL JOY LEDESMA - SO-165"/>
    <s v="SO-165"/>
    <s v="BALDEVIA APRIL JOY LEDESMA"/>
    <s v="SAMU ADVERTISEMENT MARKETING"/>
    <s v="SM CITY BACOLOD"/>
    <s v="N/A"/>
    <s v="2025-10-17"/>
    <s v="EPSON PRINTER TMU220D USB"/>
    <n v="1"/>
    <n v="8500"/>
    <n v="12500"/>
    <n v="12500"/>
    <s v="RUDELYN"/>
  </r>
  <r>
    <x v="155"/>
    <s v="BALDEVIA APRIL JOY LEDESMA - SO-165"/>
    <s v="SO-165"/>
    <s v="BALDEVIA APRIL JOY LEDESMA"/>
    <s v="SAMU ADVERTISEMENT MARKETING"/>
    <s v="SM CITY BACOLOD"/>
    <s v="N/A"/>
    <s v="2025-10-17"/>
    <s v="CASH DRAWER"/>
    <n v="1"/>
    <n v="2185"/>
    <n v="3500"/>
    <n v="3500"/>
    <s v="RUDELYN"/>
  </r>
  <r>
    <x v="155"/>
    <s v="BALDEVIA APRIL JOY LEDESMA - SO-165"/>
    <s v="SO-165"/>
    <s v="BALDEVIA APRIL JOY LEDESMA"/>
    <s v="SAMU ADVERTISEMENT MARKETING"/>
    <s v="SM CITY BACOLOD"/>
    <s v="N/A"/>
    <s v="2025-10-17"/>
    <s v="EOS MINI CPU I5, 8GB RAM, 512 GB NVME M.2"/>
    <n v="1"/>
    <n v="23450"/>
    <n v="30800"/>
    <n v="30800"/>
    <s v="RUDELYN"/>
  </r>
  <r>
    <x v="155"/>
    <s v="BALDEVIA APRIL JOY LEDESMA - SO-165"/>
    <s v="SO-165"/>
    <s v="BALDEVIA APRIL JOY LEDESMA"/>
    <s v="SAMU ADVERTISEMENT MARKETING"/>
    <s v="SM CITY BACOLOD"/>
    <s v="N/A"/>
    <s v="2025-10-17"/>
    <s v="WINDOWS 11 PRO"/>
    <n v="1"/>
    <n v="2000"/>
    <n v="4000"/>
    <n v="4000"/>
    <s v="RUDELYN"/>
  </r>
  <r>
    <x v="155"/>
    <s v="BALDEVIA APRIL JOY LEDESMA - SO-165"/>
    <s v="SO-165"/>
    <s v="BALDEVIA APRIL JOY LEDESMA"/>
    <s v="SAMU ADVERTISEMENT MARKETING"/>
    <s v="SM CITY BACOLOD"/>
    <s v="N/A"/>
    <s v="2025-10-17"/>
    <s v="KEYBOARD &amp; MOUSE"/>
    <n v="1"/>
    <n v="530"/>
    <n v="700"/>
    <n v="700"/>
    <s v="RUDELYN"/>
  </r>
  <r>
    <x v="155"/>
    <s v="BALDEVIA APRIL JOY LEDESMA - SO-165"/>
    <s v="SO-165"/>
    <s v="BALDEVIA APRIL JOY LEDESMA"/>
    <s v="SAMU ADVERTISEMENT MARKETING"/>
    <s v="SM CITY BACOLOD"/>
    <s v="N/A"/>
    <s v="2025-10-17"/>
    <s v="EOS FAN WITH FAN COVER"/>
    <n v="1"/>
    <n v="350"/>
    <n v="500"/>
    <n v="500"/>
    <s v="RUDELYN"/>
  </r>
  <r>
    <x v="6"/>
    <s v="RRH FOOD GROUP INC - SO-166"/>
    <s v="SO-166"/>
    <s v="RRH FOOD GROUP INC"/>
    <s v="QUEENS AT BOLLYWOOD"/>
    <s v="GENERIC"/>
    <s v="COD"/>
    <s v="2025-10-24"/>
    <s v="EPSON ERC-38 B RIBBON CARTRIDGE"/>
    <n v="4"/>
    <n v="70"/>
    <n v="250"/>
    <n v="1000"/>
    <s v="RUDELYN"/>
  </r>
  <r>
    <x v="2"/>
    <s v="CHICKEN DELI - SO-166"/>
    <s v="SO-166"/>
    <s v="CHICKEN DELI"/>
    <s v="GONGCHA"/>
    <s v="GENERIC"/>
    <s v="N/A"/>
    <s v="2025-09-01"/>
    <s v="PREVENTIVE MAINTENANCE"/>
    <n v="2"/>
    <n v="6500"/>
    <n v="6500"/>
    <n v="13000"/>
    <s v="MARITESS"/>
  </r>
  <r>
    <x v="156"/>
    <s v="CHICKEN DELI - SO-167"/>
    <s v="SO-167"/>
    <s v="CHICKEN DELI"/>
    <s v="HUE PALAWAN"/>
    <s v="GENERIC"/>
    <s v="N/A"/>
    <s v="2025-09-02"/>
    <s v="BACCHUS ANDROID"/>
    <n v="2"/>
    <n v="3675"/>
    <n v="10500"/>
    <n v="21000"/>
    <s v="MARITESS"/>
  </r>
  <r>
    <x v="156"/>
    <s v="CHICKEN DELI - SO-167"/>
    <s v="SO-167"/>
    <s v="CHICKEN DELI"/>
    <s v="HUE PALAWAN"/>
    <s v="GENERIC"/>
    <s v="N/A"/>
    <s v="2025-09-02"/>
    <s v="ROLL OUT/ IMPLEMENTATION"/>
    <n v="2"/>
    <n v="30000"/>
    <n v="30000"/>
    <n v="60000"/>
    <s v="MARITESS"/>
  </r>
  <r>
    <x v="156"/>
    <s v="CHICKEN DELI - SO-167"/>
    <s v="SO-167"/>
    <s v="CHICKEN DELI"/>
    <s v="HUE PALAWAN"/>
    <s v="GENERIC"/>
    <s v="N/A"/>
    <s v="2025-09-02"/>
    <s v="ONE YEAR WARRANTY"/>
    <n v="2"/>
    <n v="30000"/>
    <n v="30000"/>
    <n v="60000"/>
    <s v="MARITESS"/>
  </r>
  <r>
    <x v="156"/>
    <s v="CHICKEN DELI - SO-167"/>
    <s v="SO-167"/>
    <s v="CHICKEN DELI"/>
    <s v="HUE PALAWAN"/>
    <s v="GENERIC"/>
    <s v="N/A"/>
    <s v="2025-09-02"/>
    <s v="NEW BIR REGISTRATION"/>
    <n v="2"/>
    <n v="500"/>
    <n v="500"/>
    <n v="1000"/>
    <s v="MARITESS"/>
  </r>
  <r>
    <x v="156"/>
    <s v="CHICKEN DELI - SO-167"/>
    <s v="SO-167"/>
    <s v="CHICKEN DELI"/>
    <s v="HUE PALAWAN"/>
    <s v="GENERIC"/>
    <s v="N/A"/>
    <s v="2025-09-02"/>
    <s v="WAITER/ ORDERING STATTION"/>
    <n v="2"/>
    <n v="3500"/>
    <n v="10000"/>
    <n v="20000"/>
    <s v="MARITESS"/>
  </r>
  <r>
    <x v="156"/>
    <s v="CHICKEN DELI - SO-167"/>
    <s v="SO-167"/>
    <s v="CHICKEN DELI"/>
    <s v="HUE PALAWAN"/>
    <s v="GENERIC"/>
    <s v="N/A"/>
    <s v="2025-09-02"/>
    <s v="BACK OFFICE ANDROID"/>
    <n v="1"/>
    <n v="17500"/>
    <n v="50000"/>
    <n v="50000"/>
    <s v="MARITESS"/>
  </r>
  <r>
    <x v="156"/>
    <s v="CHICKEN DELI - SO-167"/>
    <s v="SO-167"/>
    <s v="CHICKEN DELI"/>
    <s v="HUE PALAWAN"/>
    <s v="GENERIC"/>
    <s v="N/A"/>
    <s v="2025-09-02"/>
    <s v="ROLL OUT/ IMPLEMENTATION"/>
    <n v="1"/>
    <n v="25500"/>
    <n v="25500"/>
    <n v="25500"/>
    <s v="MARITESS"/>
  </r>
  <r>
    <x v="156"/>
    <s v="CHICKEN DELI - SO-167"/>
    <s v="SO-167"/>
    <s v="CHICKEN DELI"/>
    <s v="HUE PALAWAN"/>
    <s v="GENERIC"/>
    <s v="N/A"/>
    <s v="2025-09-02"/>
    <s v="ONE YEAR WARRANTY"/>
    <n v="1"/>
    <n v="25500"/>
    <n v="25500"/>
    <n v="25500"/>
    <s v="MARITESS"/>
  </r>
  <r>
    <x v="156"/>
    <s v="CHICKEN DELI - SO-167"/>
    <s v="SO-167"/>
    <s v="CHICKEN DELI"/>
    <s v="HUE PALAWAN"/>
    <s v="GENERIC"/>
    <s v="N/A"/>
    <s v="2025-09-02"/>
    <s v="IMIN SWAN 1 ( 4GB +32GB )"/>
    <n v="2"/>
    <n v="21500"/>
    <n v="31000"/>
    <n v="62000"/>
    <s v="MARITESS"/>
  </r>
  <r>
    <x v="156"/>
    <s v="CHICKEN DELI - SO-167"/>
    <s v="SO-167"/>
    <s v="CHICKEN DELI"/>
    <s v="HUE PALAWAN"/>
    <s v="GENERIC"/>
    <s v="N/A"/>
    <s v="2025-09-02"/>
    <s v="IMIN FALCON 2 ( 4GB /32GB )"/>
    <n v="2"/>
    <n v="18500"/>
    <n v="26500"/>
    <n v="53000"/>
    <s v="MARITESS"/>
  </r>
  <r>
    <x v="156"/>
    <s v="CHICKEN DELI - SO-167"/>
    <s v="SO-167"/>
    <s v="CHICKEN DELI"/>
    <s v="HUE PALAWAN"/>
    <s v="GENERIC"/>
    <s v="N/A"/>
    <s v="2025-09-02"/>
    <s v="CASH DRAWER"/>
    <n v="2"/>
    <n v="1350"/>
    <n v="2000"/>
    <n v="4000"/>
    <s v="MARITESS"/>
  </r>
  <r>
    <x v="156"/>
    <s v="CHICKEN DELI - SO-167"/>
    <s v="SO-167"/>
    <s v="CHICKEN DELI"/>
    <s v="HUE PALAWAN"/>
    <s v="GENERIC"/>
    <s v="N/A"/>
    <s v="2025-09-02"/>
    <s v="EPSON T82X LAN"/>
    <n v="1"/>
    <n v="7500"/>
    <n v="11500"/>
    <n v="11500"/>
    <s v="MARITESS"/>
  </r>
  <r>
    <x v="156"/>
    <s v="CHICKEN DELI - SO-167"/>
    <s v="SO-167"/>
    <s v="CHICKEN DELI"/>
    <s v="HUE PALAWAN"/>
    <s v="GENERIC"/>
    <s v="N/A"/>
    <s v="2025-09-02"/>
    <s v="EOS W/ COMPLETE ACCESSORIES"/>
    <n v="1"/>
    <n v="24330"/>
    <n v="34000"/>
    <n v="34000"/>
    <s v="MARITESS"/>
  </r>
  <r>
    <x v="156"/>
    <s v="CHICKEN DELI - SO-167"/>
    <s v="SO-167"/>
    <s v="CHICKEN DELI"/>
    <s v="HUE PALAWAN"/>
    <s v="GENERIC"/>
    <s v="N/A"/>
    <s v="2025-09-02"/>
    <s v="ACER MONITOR 19.5&quot;"/>
    <n v="1"/>
    <n v="4250"/>
    <n v="6000"/>
    <n v="6000"/>
    <s v="MARITESS"/>
  </r>
  <r>
    <x v="156"/>
    <s v="CHICKEN DELI - SO-167"/>
    <s v="SO-167"/>
    <s v="CHICKEN DELI"/>
    <s v="HUE PALAWAN"/>
    <s v="GENERIC"/>
    <s v="N/A"/>
    <s v="2025-09-02"/>
    <s v="DELIVERY CHARGE"/>
    <n v="1"/>
    <n v="1100"/>
    <n v="1100"/>
    <n v="1100"/>
    <s v="MARITESS"/>
  </r>
  <r>
    <x v="156"/>
    <s v="CHICKEN DELI - SO-167"/>
    <s v="SO-167"/>
    <s v="CHICKEN DELI"/>
    <s v="HUE PALAWAN"/>
    <s v="GENERIC"/>
    <s v="N/A"/>
    <s v="2025-09-02"/>
    <s v="MODIFICATION"/>
    <n v="1"/>
    <n v="40000"/>
    <n v="40000"/>
    <n v="40000"/>
    <s v="MARITESS"/>
  </r>
  <r>
    <x v="156"/>
    <s v="CHICKEN DELI - SO-167"/>
    <s v="SO-167"/>
    <s v="CHICKEN DELI"/>
    <s v="HUE PALAWAN"/>
    <s v="GENERIC"/>
    <s v="N/A"/>
    <s v="2025-09-02"/>
    <s v="SD CARD"/>
    <n v="3"/>
    <n v="550"/>
    <n v="800"/>
    <n v="2400"/>
    <s v="MARITESS"/>
  </r>
  <r>
    <x v="91"/>
    <s v="MY GOLDEN TEA LEAF INC - SO-167"/>
    <s v="SO-167"/>
    <s v="MY GOLDEN TEA LEAF INC"/>
    <s v="SERENITEA"/>
    <s v="GENERIC"/>
    <s v="COD"/>
    <s v="2025-10-27"/>
    <s v="EPSON TMU220D USB PRINTER"/>
    <n v="1"/>
    <n v="8500"/>
    <n v="12000"/>
    <n v="12000"/>
    <s v="MARITESS"/>
  </r>
  <r>
    <x v="91"/>
    <s v="MY GOLDEN TEA LEAF INC - SO-167"/>
    <s v="SO-167"/>
    <s v="MY GOLDEN TEA LEAF INC"/>
    <s v="SERENITEA"/>
    <s v="GENERIC"/>
    <s v="COD"/>
    <s v="2025-10-27"/>
    <s v="DELIVERY"/>
    <n v="1"/>
    <n v="500"/>
    <n v="500"/>
    <n v="500"/>
    <s v="MARITESS"/>
  </r>
  <r>
    <x v="157"/>
    <s v="MCMANA TRADING AND SERVICES INC - SO-168"/>
    <s v="SO-168"/>
    <s v="MCMANA TRADING AND SERVICES INC"/>
    <s v="MCMANA TRADING"/>
    <s v="GENERIC"/>
    <s v="50% DOWNPAYMENT, 50% 35 DAYS PDC"/>
    <s v="2025-10-28"/>
    <s v="15&quot; POSTECH TOUCHSCREEN MONITOR"/>
    <n v="1"/>
    <n v="11000"/>
    <n v="16000"/>
    <n v="16000"/>
    <s v="MARITESS"/>
  </r>
  <r>
    <x v="157"/>
    <s v="MCMANA TRADING AND SERVICES INC - SO-168"/>
    <s v="SO-168"/>
    <s v="MCMANA TRADING AND SERVICES INC"/>
    <s v="MCMANA TRADING"/>
    <s v="GENERIC"/>
    <s v="50% DOWNPAYMENT, 50% 35 DAYS PDC"/>
    <s v="2025-10-28"/>
    <s v="EPSON TMU220B USB PRINTER (AUTO CUT)"/>
    <n v="1"/>
    <n v="9500"/>
    <n v="12500"/>
    <n v="12500"/>
    <s v="MARITESS"/>
  </r>
  <r>
    <x v="157"/>
    <s v="MCMANA TRADING AND SERVICES INC - SO-168"/>
    <s v="SO-168"/>
    <s v="MCMANA TRADING AND SERVICES INC"/>
    <s v="MCMANA TRADING"/>
    <s v="GENERIC"/>
    <s v="50% DOWNPAYMENT, 50% 35 DAYS PDC"/>
    <s v="2025-10-28"/>
    <s v="EPSON TMU220B LAN PRINTER (AUTO CUT)"/>
    <n v="1"/>
    <n v="9500"/>
    <n v="12500"/>
    <n v="12500"/>
    <s v="MARITESS"/>
  </r>
  <r>
    <x v="157"/>
    <s v="MCMANA TRADING AND SERVICES INC - SO-168"/>
    <s v="SO-168"/>
    <s v="MCMANA TRADING AND SERVICES INC"/>
    <s v="MCMANA TRADING"/>
    <s v="GENERIC"/>
    <s v="50% DOWNPAYMENT, 50% 35 DAYS PDC"/>
    <s v="2025-10-28"/>
    <s v="8 PORT SWITCH HUB"/>
    <n v="1"/>
    <n v="850"/>
    <n v="1500"/>
    <n v="1500"/>
    <s v="MARITESS"/>
  </r>
  <r>
    <x v="157"/>
    <s v="MCMANA TRADING AND SERVICES INC - SO-168"/>
    <s v="SO-168"/>
    <s v="MCMANA TRADING AND SERVICES INC"/>
    <s v="MCMANA TRADING"/>
    <s v="GENERIC"/>
    <s v="50% DOWNPAYMENT, 50% 35 DAYS PDC"/>
    <s v="2025-10-28"/>
    <s v="APC UPS"/>
    <n v="1"/>
    <n v="2200"/>
    <n v="3500"/>
    <n v="3500"/>
    <s v="MARITESS"/>
  </r>
  <r>
    <x v="157"/>
    <s v="MCMANA TRADING AND SERVICES INC - SO-168"/>
    <s v="SO-168"/>
    <s v="MCMANA TRADING AND SERVICES INC"/>
    <s v="MCMANA TRADING"/>
    <s v="GENERIC"/>
    <s v="50% DOWNPAYMENT, 50% 35 DAYS PDC"/>
    <s v="2025-10-28"/>
    <s v="MINI CPU I5, 8GB RAM, 512GB SSD"/>
    <n v="1"/>
    <n v="23450"/>
    <n v="30900"/>
    <n v="30900"/>
    <s v="MARITESS"/>
  </r>
  <r>
    <x v="157"/>
    <s v="MCMANA TRADING AND SERVICES INC - SO-168"/>
    <s v="SO-168"/>
    <s v="MCMANA TRADING AND SERVICES INC"/>
    <s v="MCMANA TRADING"/>
    <s v="GENERIC"/>
    <s v="50% DOWNPAYMENT, 50% 35 DAYS PDC"/>
    <s v="2025-10-28"/>
    <s v="KEYBOARD AND MOUSE"/>
    <n v="1"/>
    <n v="500"/>
    <n v="700"/>
    <n v="700"/>
    <s v="MARITESS"/>
  </r>
  <r>
    <x v="157"/>
    <s v="MCMANA TRADING AND SERVICES INC - SO-168"/>
    <s v="SO-168"/>
    <s v="MCMANA TRADING AND SERVICES INC"/>
    <s v="MCMANA TRADING"/>
    <s v="GENERIC"/>
    <s v="50% DOWNPAYMENT, 50% 35 DAYS PDC"/>
    <s v="2025-10-28"/>
    <s v="EOS FAN WITH FAN GRILL"/>
    <n v="1"/>
    <n v="350"/>
    <n v="500"/>
    <n v="500"/>
    <s v="MARITESS"/>
  </r>
  <r>
    <x v="157"/>
    <s v="MCMANA TRADING AND SERVICES INC - SO-168"/>
    <s v="SO-168"/>
    <s v="MCMANA TRADING AND SERVICES INC"/>
    <s v="MCMANA TRADING"/>
    <s v="GENERIC"/>
    <s v="50% DOWNPAYMENT, 50% 35 DAYS PDC"/>
    <s v="2025-10-28"/>
    <s v="WINDOWS 11 PRO"/>
    <n v="1"/>
    <n v="2000"/>
    <n v="3000"/>
    <n v="3000"/>
    <s v="MARITESS"/>
  </r>
  <r>
    <x v="157"/>
    <s v="MCMANA TRADING AND SERVICES INC - SO-168"/>
    <s v="SO-168"/>
    <s v="MCMANA TRADING AND SERVICES INC"/>
    <s v="MCMANA TRADING"/>
    <s v="GENERIC"/>
    <s v="50% DOWNPAYMENT, 50% 35 DAYS PDC"/>
    <s v="2025-10-28"/>
    <s v="DELIVERY FEE"/>
    <n v="1"/>
    <n v="400"/>
    <n v="400"/>
    <n v="400"/>
    <s v="MARITESS"/>
  </r>
  <r>
    <x v="158"/>
    <s v="CHICKEN DELI - SO-168"/>
    <s v="SO-168"/>
    <s v="CHICKEN DELI"/>
    <s v="HUE SIARGAO"/>
    <s v="GENERIC"/>
    <s v="N/A"/>
    <s v="2025-09-02"/>
    <s v="BACCHUS ANDROID"/>
    <n v="2"/>
    <n v="3675"/>
    <n v="10500"/>
    <n v="21000"/>
    <s v="MARITESS"/>
  </r>
  <r>
    <x v="158"/>
    <s v="CHICKEN DELI - SO-168"/>
    <s v="SO-168"/>
    <s v="CHICKEN DELI"/>
    <s v="HUE SIARGAO"/>
    <s v="GENERIC"/>
    <s v="N/A"/>
    <s v="2025-09-02"/>
    <s v="ROLL OUT/ IMPLEMENTATION"/>
    <n v="2"/>
    <n v="30000"/>
    <n v="30000"/>
    <n v="60000"/>
    <s v="MARITESS"/>
  </r>
  <r>
    <x v="158"/>
    <s v="CHICKEN DELI - SO-168"/>
    <s v="SO-168"/>
    <s v="CHICKEN DELI"/>
    <s v="HUE SIARGAO"/>
    <s v="GENERIC"/>
    <s v="N/A"/>
    <s v="2025-09-02"/>
    <s v="ONE YEAR WARRANTY"/>
    <n v="2"/>
    <n v="30000"/>
    <n v="30000"/>
    <n v="60000"/>
    <s v="MARITESS"/>
  </r>
  <r>
    <x v="158"/>
    <s v="CHICKEN DELI - SO-168"/>
    <s v="SO-168"/>
    <s v="CHICKEN DELI"/>
    <s v="HUE SIARGAO"/>
    <s v="GENERIC"/>
    <s v="N/A"/>
    <s v="2025-09-02"/>
    <s v="NEW BIR REGISTRATION"/>
    <n v="2"/>
    <n v="500"/>
    <n v="500"/>
    <n v="1000"/>
    <s v="MARITESS"/>
  </r>
  <r>
    <x v="158"/>
    <s v="CHICKEN DELI - SO-168"/>
    <s v="SO-168"/>
    <s v="CHICKEN DELI"/>
    <s v="HUE SIARGAO"/>
    <s v="GENERIC"/>
    <s v="N/A"/>
    <s v="2025-09-02"/>
    <s v="WAITER/ ORDERING STATTION"/>
    <n v="2"/>
    <n v="3500"/>
    <n v="10000"/>
    <n v="20000"/>
    <s v="MARITESS"/>
  </r>
  <r>
    <x v="158"/>
    <s v="CHICKEN DELI - SO-168"/>
    <s v="SO-168"/>
    <s v="CHICKEN DELI"/>
    <s v="HUE SIARGAO"/>
    <s v="GENERIC"/>
    <s v="N/A"/>
    <s v="2025-09-02"/>
    <s v="BACK OFFICE ANDROID"/>
    <n v="1"/>
    <n v="17500"/>
    <n v="50000"/>
    <n v="50000"/>
    <s v="MARITESS"/>
  </r>
  <r>
    <x v="158"/>
    <s v="CHICKEN DELI - SO-168"/>
    <s v="SO-168"/>
    <s v="CHICKEN DELI"/>
    <s v="HUE SIARGAO"/>
    <s v="GENERIC"/>
    <s v="N/A"/>
    <s v="2025-09-02"/>
    <s v="ROLL OUT/ IMPLEMENTATION"/>
    <n v="1"/>
    <n v="32500"/>
    <n v="32500"/>
    <n v="32500"/>
    <s v="MARITESS"/>
  </r>
  <r>
    <x v="158"/>
    <s v="CHICKEN DELI - SO-168"/>
    <s v="SO-168"/>
    <s v="CHICKEN DELI"/>
    <s v="HUE SIARGAO"/>
    <s v="GENERIC"/>
    <s v="N/A"/>
    <s v="2025-09-02"/>
    <s v="ONE YEAR WARRANTY"/>
    <n v="1"/>
    <n v="32500"/>
    <n v="32500"/>
    <n v="32500"/>
    <s v="MARITESS"/>
  </r>
  <r>
    <x v="158"/>
    <s v="CHICKEN DELI - SO-168"/>
    <s v="SO-168"/>
    <s v="CHICKEN DELI"/>
    <s v="HUE SIARGAO"/>
    <s v="GENERIC"/>
    <s v="N/A"/>
    <s v="2025-09-02"/>
    <s v="IMIN SWAN 1 ( 4GB +32GB )"/>
    <n v="2"/>
    <n v="21500"/>
    <n v="31000"/>
    <n v="62000"/>
    <s v="MARITESS"/>
  </r>
  <r>
    <x v="158"/>
    <s v="CHICKEN DELI - SO-168"/>
    <s v="SO-168"/>
    <s v="CHICKEN DELI"/>
    <s v="HUE SIARGAO"/>
    <s v="GENERIC"/>
    <s v="N/A"/>
    <s v="2025-09-02"/>
    <s v="IMIN FALCON 2 ( 4GB /32GB )"/>
    <n v="2"/>
    <n v="18500"/>
    <n v="26500"/>
    <n v="53000"/>
    <s v="MARITESS"/>
  </r>
  <r>
    <x v="158"/>
    <s v="CHICKEN DELI - SO-168"/>
    <s v="SO-168"/>
    <s v="CHICKEN DELI"/>
    <s v="HUE SIARGAO"/>
    <s v="GENERIC"/>
    <s v="N/A"/>
    <s v="2025-09-02"/>
    <s v="CASH DRAWER"/>
    <n v="2"/>
    <n v="1350"/>
    <n v="2000"/>
    <n v="4000"/>
    <s v="MARITESS"/>
  </r>
  <r>
    <x v="158"/>
    <s v="CHICKEN DELI - SO-168"/>
    <s v="SO-168"/>
    <s v="CHICKEN DELI"/>
    <s v="HUE SIARGAO"/>
    <s v="GENERIC"/>
    <s v="N/A"/>
    <s v="2025-09-02"/>
    <s v="EPSON T82X LAN"/>
    <n v="1"/>
    <n v="7500"/>
    <n v="11500"/>
    <n v="11500"/>
    <s v="MARITESS"/>
  </r>
  <r>
    <x v="158"/>
    <s v="CHICKEN DELI - SO-168"/>
    <s v="SO-168"/>
    <s v="CHICKEN DELI"/>
    <s v="HUE SIARGAO"/>
    <s v="GENERIC"/>
    <s v="N/A"/>
    <s v="2025-09-02"/>
    <s v="EPSON TMU220D ( USB )"/>
    <n v="2"/>
    <n v="8500"/>
    <n v="12000"/>
    <n v="24000"/>
    <s v="MARITESS"/>
  </r>
  <r>
    <x v="158"/>
    <s v="CHICKEN DELI - SO-168"/>
    <s v="SO-168"/>
    <s v="CHICKEN DELI"/>
    <s v="HUE SIARGAO"/>
    <s v="GENERIC"/>
    <s v="N/A"/>
    <s v="2025-09-02"/>
    <s v="EOS W/ COMPLETE ACCESSORIES"/>
    <n v="1"/>
    <n v="24330"/>
    <n v="34000"/>
    <n v="34000"/>
    <s v="MARITESS"/>
  </r>
  <r>
    <x v="158"/>
    <s v="CHICKEN DELI - SO-168"/>
    <s v="SO-168"/>
    <s v="CHICKEN DELI"/>
    <s v="HUE SIARGAO"/>
    <s v="GENERIC"/>
    <s v="N/A"/>
    <s v="2025-09-02"/>
    <s v="ACER MONITOR 19.5&quot;"/>
    <n v="1"/>
    <n v="4250"/>
    <n v="6000"/>
    <n v="6000"/>
    <s v="MARITESS"/>
  </r>
  <r>
    <x v="158"/>
    <s v="CHICKEN DELI - SO-168"/>
    <s v="SO-168"/>
    <s v="CHICKEN DELI"/>
    <s v="HUE SIARGAO"/>
    <s v="GENERIC"/>
    <s v="N/A"/>
    <s v="2025-09-02"/>
    <s v="DELIVERY CHARGE"/>
    <n v="1"/>
    <n v="1100"/>
    <n v="1100"/>
    <n v="1100"/>
    <s v="MARITESS"/>
  </r>
  <r>
    <x v="158"/>
    <s v="CHICKEN DELI - SO-168"/>
    <s v="SO-168"/>
    <s v="CHICKEN DELI"/>
    <s v="HUE SIARGAO"/>
    <s v="GENERIC"/>
    <s v="N/A"/>
    <s v="2025-09-02"/>
    <s v="MODIFICATION"/>
    <n v="1"/>
    <n v="40000"/>
    <n v="40000"/>
    <n v="40000"/>
    <s v="MARITESS"/>
  </r>
  <r>
    <x v="158"/>
    <s v="CHICKEN DELI - SO-168"/>
    <s v="SO-168"/>
    <s v="CHICKEN DELI"/>
    <s v="HUE SIARGAO"/>
    <s v="GENERIC"/>
    <s v="N/A"/>
    <s v="2025-09-02"/>
    <s v="SD CARD"/>
    <n v="3"/>
    <n v="550"/>
    <n v="800"/>
    <n v="2400"/>
    <s v="MARITESS"/>
  </r>
  <r>
    <x v="159"/>
    <s v="MCMANA TRADING AND SERVICES INC - SO-169"/>
    <s v="SO-169"/>
    <s v="MCMANA TRADING AND SERVICES INC"/>
    <s v="MCMANA TRADING"/>
    <s v="MANILA GOLD COUNTRY CLUB (S LOUNGE)"/>
    <s v="50% DOWNPAYMENT, 50% 35 DAYS PDC"/>
    <s v="2025-10-28"/>
    <s v="15&quot; POSTECH TOUCHSCREEN MONITOR"/>
    <n v="1"/>
    <n v="11000"/>
    <n v="16000"/>
    <n v="16000"/>
    <s v="RUDELYN"/>
  </r>
  <r>
    <x v="159"/>
    <s v="MCMANA TRADING AND SERVICES INC - SO-169"/>
    <s v="SO-169"/>
    <s v="MCMANA TRADING AND SERVICES INC"/>
    <s v="MCMANA TRADING"/>
    <s v="MANILA GOLD COUNTRY CLUB (S LOUNGE)"/>
    <s v="50% DOWNPAYMENT, 50% 35 DAYS PDC"/>
    <s v="2025-10-28"/>
    <s v="EPSON TMU220B USB PRINTER (AUTO CUT)"/>
    <n v="1"/>
    <n v="9500"/>
    <n v="12500"/>
    <n v="12500"/>
    <s v="RUDELYN"/>
  </r>
  <r>
    <x v="159"/>
    <s v="MCMANA TRADING AND SERVICES INC - SO-169"/>
    <s v="SO-169"/>
    <s v="MCMANA TRADING AND SERVICES INC"/>
    <s v="MCMANA TRADING"/>
    <s v="MANILA GOLD COUNTRY CLUB (S LOUNGE)"/>
    <s v="50% DOWNPAYMENT, 50% 35 DAYS PDC"/>
    <s v="2025-10-28"/>
    <s v="APC UPS"/>
    <n v="1"/>
    <n v="2200"/>
    <n v="3500"/>
    <n v="3500"/>
    <s v="RUDELYN"/>
  </r>
  <r>
    <x v="159"/>
    <s v="MCMANA TRADING AND SERVICES INC - SO-169"/>
    <s v="SO-169"/>
    <s v="MCMANA TRADING AND SERVICES INC"/>
    <s v="MCMANA TRADING"/>
    <s v="MANILA GOLD COUNTRY CLUB (S LOUNGE)"/>
    <s v="50% DOWNPAYMENT, 50% 35 DAYS PDC"/>
    <s v="2025-10-28"/>
    <s v="MINI CPU I5, 8GB RAM, 512GB SSD"/>
    <n v="1"/>
    <n v="23450"/>
    <n v="30900"/>
    <n v="30900"/>
    <s v="RUDELYN"/>
  </r>
  <r>
    <x v="159"/>
    <s v="MCMANA TRADING AND SERVICES INC - SO-169"/>
    <s v="SO-169"/>
    <s v="MCMANA TRADING AND SERVICES INC"/>
    <s v="MCMANA TRADING"/>
    <s v="MANILA GOLD COUNTRY CLUB (S LOUNGE)"/>
    <s v="50% DOWNPAYMENT, 50% 35 DAYS PDC"/>
    <s v="2025-10-28"/>
    <s v="KEYBOARD AND MOUSE"/>
    <n v="1"/>
    <n v="500"/>
    <n v="700"/>
    <n v="700"/>
    <s v="RUDELYN"/>
  </r>
  <r>
    <x v="159"/>
    <s v="MCMANA TRADING AND SERVICES INC - SO-169"/>
    <s v="SO-169"/>
    <s v="MCMANA TRADING AND SERVICES INC"/>
    <s v="MCMANA TRADING"/>
    <s v="MANILA GOLD COUNTRY CLUB (S LOUNGE)"/>
    <s v="50% DOWNPAYMENT, 50% 35 DAYS PDC"/>
    <s v="2025-10-28"/>
    <s v="EOS FAN WITH FAN GRILL"/>
    <n v="1"/>
    <n v="350"/>
    <n v="500"/>
    <n v="500"/>
    <s v="RUDELYN"/>
  </r>
  <r>
    <x v="159"/>
    <s v="MCMANA TRADING AND SERVICES INC - SO-169"/>
    <s v="SO-169"/>
    <s v="MCMANA TRADING AND SERVICES INC"/>
    <s v="MCMANA TRADING"/>
    <s v="MANILA GOLD COUNTRY CLUB (S LOUNGE)"/>
    <s v="50% DOWNPAYMENT, 50% 35 DAYS PDC"/>
    <s v="2025-10-28"/>
    <s v="WINDOWS 11 PRO"/>
    <n v="1"/>
    <n v="2000"/>
    <n v="3000"/>
    <n v="3000"/>
    <s v="RUDELYN"/>
  </r>
  <r>
    <x v="159"/>
    <s v="MCMANA TRADING AND SERVICES INC - SO-169"/>
    <s v="SO-169"/>
    <s v="MCMANA TRADING AND SERVICES INC"/>
    <s v="MCMANA TRADING"/>
    <s v="MANILA GOLD COUNTRY CLUB (S LOUNGE)"/>
    <s v="50% DOWNPAYMENT, 50% 35 DAYS PDC"/>
    <s v="2025-10-28"/>
    <s v="DELIVERY FEE"/>
    <n v="1"/>
    <n v="400"/>
    <n v="400"/>
    <n v="400"/>
    <s v="RUDELYN"/>
  </r>
  <r>
    <x v="137"/>
    <s v="CHICKEN DELI - SO-169"/>
    <s v="SO-169"/>
    <s v="CHICKEN DELI"/>
    <s v="M &amp; W"/>
    <s v="GENERIC"/>
    <s v="N/A"/>
    <s v="2025-09-04"/>
    <s v="INTEL CORE I5 ( 5) CASHIER 8GB / ( 1) BACK OFFICE 16GB"/>
    <n v="6"/>
    <n v="21500"/>
    <n v="25283"/>
    <n v="151698"/>
    <s v="MARITESS"/>
  </r>
  <r>
    <x v="137"/>
    <s v="CHICKEN DELI - SO-169"/>
    <s v="SO-169"/>
    <s v="CHICKEN DELI"/>
    <s v="M &amp; W"/>
    <s v="GENERIC"/>
    <s v="N/A"/>
    <s v="2025-09-04"/>
    <s v="PREVENTIVE MAINTENANCE"/>
    <n v="6"/>
    <n v="10000"/>
    <n v="10000"/>
    <n v="60000"/>
    <s v="MARITESS"/>
  </r>
  <r>
    <x v="137"/>
    <s v="CHICKEN DELI - SO-169"/>
    <s v="SO-169"/>
    <s v="CHICKEN DELI"/>
    <s v="M &amp; W"/>
    <s v="GENERIC"/>
    <s v="N/A"/>
    <s v="2025-09-04"/>
    <s v="WINDOWS 11"/>
    <n v="6"/>
    <n v="2000"/>
    <n v="2800"/>
    <n v="16800"/>
    <s v="MARITESS"/>
  </r>
  <r>
    <x v="137"/>
    <s v="CHICKEN DELI - SO-169"/>
    <s v="SO-169"/>
    <s v="CHICKEN DELI"/>
    <s v="M &amp; W"/>
    <s v="GENERIC"/>
    <s v="N/A"/>
    <s v="2025-09-04"/>
    <s v="BIR REG."/>
    <n v="5"/>
    <n v="440"/>
    <n v="440"/>
    <n v="2200"/>
    <s v="MARITESS"/>
  </r>
  <r>
    <x v="160"/>
    <s v="MCMANA TRADING AND SERVICES INC - SO-170"/>
    <s v="SO-170"/>
    <s v="MCMANA TRADING AND SERVICES INC"/>
    <s v="MCMANA TRADING"/>
    <s v="MANILA GOLD COUNTRY CLUB"/>
    <s v="50% DOWNPAYMENT, 50% 35 DAYS PDC"/>
    <s v="2025-10-28"/>
    <s v="PREVENTIVE MAINTENANCE * NOVEMBER 3, 2025 - NOVEMBER 2, 2026"/>
    <n v="2"/>
    <n v="15000"/>
    <n v="15000"/>
    <n v="30000"/>
    <s v="RUDELYN"/>
  </r>
  <r>
    <x v="20"/>
    <s v="CHICKEN DELI - SO-170"/>
    <s v="SO-170"/>
    <s v="CHICKEN DELI"/>
    <s v="MN+LA APPAREL"/>
    <s v="GENERIC"/>
    <s v="N/A"/>
    <s v="2025-09-25"/>
    <s v="JOURNAL PAPER ( DOUBLE PLY"/>
    <n v="50"/>
    <n v="32"/>
    <n v="50"/>
    <n v="2500"/>
    <s v="MARITESS"/>
  </r>
  <r>
    <x v="161"/>
    <s v="ROCKWELL LAND CORPORATION - SO-171"/>
    <s v="SO-171"/>
    <s v="ROCKWELL LAND CORPORATION"/>
    <s v="ROCKWELL LAND CORPORATION"/>
    <s v="ROCKWELL MAKATI"/>
    <s v="THIRTY DAYS UPON DELIVERY"/>
    <s v="2025-10-29"/>
    <s v="CASH DRAWER"/>
    <n v="10"/>
    <n v="2185"/>
    <n v="3000"/>
    <n v="30000"/>
    <s v="RUDELYN"/>
  </r>
  <r>
    <x v="161"/>
    <s v="ROCKWELL LAND CORPORATION - SO-171"/>
    <s v="SO-171"/>
    <s v="ROCKWELL LAND CORPORATION"/>
    <s v="ROCKWELL LAND CORPORATION"/>
    <s v="ROCKWELL MAKATI"/>
    <s v="THIRTY DAYS UPON DELIVERY"/>
    <s v="2025-10-29"/>
    <s v="POSTECH TOUCHSCREEN MONITOR"/>
    <n v="2"/>
    <n v="11000"/>
    <n v="15250"/>
    <n v="30500"/>
    <s v="RUDELYN"/>
  </r>
  <r>
    <x v="161"/>
    <s v="ROCKWELL LAND CORPORATION - SO-171"/>
    <s v="SO-171"/>
    <s v="ROCKWELL LAND CORPORATION"/>
    <s v="ROCKWELL LAND CORPORATION"/>
    <s v="ROCKWELL MAKATI"/>
    <s v="THIRTY DAYS UPON DELIVERY"/>
    <s v="2025-10-29"/>
    <s v="DELIVERY CHARGE"/>
    <n v="1"/>
    <n v="500"/>
    <n v="500"/>
    <n v="500"/>
    <s v="RUDELYN"/>
  </r>
  <r>
    <x v="74"/>
    <s v="CHICKEN DELI - SO-171"/>
    <s v="SO-171"/>
    <s v="CHICKEN DELI"/>
    <s v="SM MASINAG"/>
    <s v="GENERIC"/>
    <s v="N/A"/>
    <s v="2025-09-15"/>
    <s v="JOURNAL PAPER SINGLE PLY"/>
    <n v="1"/>
    <n v="17"/>
    <n v="1250"/>
    <n v="1250"/>
    <s v="MARITESS"/>
  </r>
  <r>
    <x v="44"/>
    <s v="TATAY S GRILL INC - SO-172"/>
    <s v="SO-172"/>
    <s v="TATAY S GRILL INC"/>
    <s v="TATAY'S GRILL INC"/>
    <s v="GENERIC"/>
    <s v="50% DOWNPAYMENT, 50% 35 DAYS PDC"/>
    <s v="2025-11-06"/>
    <s v="POSIFLEX MR-21064 MAGNETIC CARD READER"/>
    <n v="1"/>
    <n v="5740.5"/>
    <n v="8000"/>
    <n v="8000"/>
    <s v="MARITESS"/>
  </r>
  <r>
    <x v="162"/>
    <s v="CHICKEN DELI - SO-172"/>
    <s v="SO-172"/>
    <s v="CHICKEN DELI"/>
    <s v="SUPERBOWL"/>
    <s v="GENERIC"/>
    <s v="N/A"/>
    <s v="2025-09-17"/>
    <s v="RDMS V3+"/>
    <n v="1"/>
    <n v="2975"/>
    <n v="8500"/>
    <n v="8500"/>
    <s v="MARITESS"/>
  </r>
  <r>
    <x v="162"/>
    <s v="CHICKEN DELI - SO-172"/>
    <s v="SO-172"/>
    <s v="CHICKEN DELI"/>
    <s v="SUPERBOWL"/>
    <s v="GENERIC"/>
    <s v="N/A"/>
    <s v="2025-09-17"/>
    <s v="ROLL OUT/ IMPLEMENTATION"/>
    <n v="1"/>
    <n v="8000"/>
    <n v="8000"/>
    <n v="8000"/>
    <s v="MARITESS"/>
  </r>
  <r>
    <x v="162"/>
    <s v="CHICKEN DELI - SO-172"/>
    <s v="SO-172"/>
    <s v="CHICKEN DELI"/>
    <s v="SUPERBOWL"/>
    <s v="GENERIC"/>
    <s v="N/A"/>
    <s v="2025-09-17"/>
    <s v="ONE YEAR WARRANTY"/>
    <n v="1"/>
    <n v="8000"/>
    <n v="8000"/>
    <n v="8000"/>
    <s v="MARITESS"/>
  </r>
  <r>
    <x v="162"/>
    <s v="CHICKEN DELI - SO-172"/>
    <s v="SO-172"/>
    <s v="CHICKEN DELI"/>
    <s v="SUPERBOWL"/>
    <s v="GENERIC"/>
    <s v="N/A"/>
    <s v="2025-09-17"/>
    <s v="BIR REGISTRATION"/>
    <n v="1"/>
    <n v="500"/>
    <n v="500"/>
    <n v="500"/>
    <s v="MARITESS"/>
  </r>
  <r>
    <x v="91"/>
    <s v="MY GOLDEN TEA LEAF INC - SO-173"/>
    <s v="SO-173"/>
    <s v="MY GOLDEN TEA LEAF INC"/>
    <s v="SERENITEA"/>
    <s v="GENERIC"/>
    <s v="COD"/>
    <s v="2025-11-07"/>
    <s v="PRINTER HEAD"/>
    <n v="1"/>
    <n v="1100"/>
    <n v="1300"/>
    <n v="1300"/>
    <s v="MARITESS"/>
  </r>
  <r>
    <x v="91"/>
    <s v="MY GOLDEN TEA LEAF INC - SO-173"/>
    <s v="SO-173"/>
    <s v="MY GOLDEN TEA LEAF INC"/>
    <s v="SERENITEA"/>
    <s v="GENERIC"/>
    <s v="COD"/>
    <s v="2025-11-07"/>
    <s v="PRINTER HEAD CABLE"/>
    <n v="1"/>
    <n v="20"/>
    <n v="100"/>
    <n v="100"/>
    <s v="MARITESS"/>
  </r>
  <r>
    <x v="162"/>
    <s v="CHICKEN DELI - SO-173"/>
    <s v="SO-173"/>
    <s v="CHICKEN DELI"/>
    <s v="SUPERBOWL"/>
    <s v="GENERIC"/>
    <s v="N/A"/>
    <s v="2025-09-17"/>
    <s v="TSCERES LITE ( BACCHUS REG. )"/>
    <n v="1"/>
    <n v="2975"/>
    <n v="8500"/>
    <n v="8500"/>
    <s v="MARITESS"/>
  </r>
  <r>
    <x v="162"/>
    <s v="CHICKEN DELI - SO-173"/>
    <s v="SO-173"/>
    <s v="CHICKEN DELI"/>
    <s v="SUPERBOWL"/>
    <s v="GENERIC"/>
    <s v="N/A"/>
    <s v="2025-09-17"/>
    <s v="ROLL OUT/ IMPLEMENTATION"/>
    <n v="1"/>
    <n v="8000"/>
    <n v="8000"/>
    <n v="8000"/>
    <s v="MARITESS"/>
  </r>
  <r>
    <x v="162"/>
    <s v="CHICKEN DELI - SO-173"/>
    <s v="SO-173"/>
    <s v="CHICKEN DELI"/>
    <s v="SUPERBOWL"/>
    <s v="GENERIC"/>
    <s v="N/A"/>
    <s v="2025-09-17"/>
    <s v="ONE YEAR WARRANTY"/>
    <n v="1"/>
    <n v="8000"/>
    <n v="8000"/>
    <n v="8000"/>
    <s v="MARITESS"/>
  </r>
  <r>
    <x v="162"/>
    <s v="CHICKEN DELI - SO-173"/>
    <s v="SO-173"/>
    <s v="CHICKEN DELI"/>
    <s v="SUPERBOWL"/>
    <s v="GENERIC"/>
    <s v="N/A"/>
    <s v="2025-09-17"/>
    <s v="BIR REGISTRATION"/>
    <n v="1"/>
    <n v="500"/>
    <n v="500"/>
    <n v="500"/>
    <s v="MARITESS"/>
  </r>
  <r>
    <x v="73"/>
    <s v="CANELLE FOOD CORPORATION - SO-174"/>
    <s v="SO-174"/>
    <s v="CANELLE FOOD CORPORATION"/>
    <s v="CINNABON"/>
    <s v="GENERIC"/>
    <s v="COD"/>
    <s v="2025-11-07"/>
    <s v="EPSON TMU220D USB PRINTER"/>
    <n v="1"/>
    <n v="8500"/>
    <n v="11600"/>
    <n v="11600"/>
    <s v="MARITESS"/>
  </r>
  <r>
    <x v="73"/>
    <s v="CANELLE FOOD CORPORATION - SO-174"/>
    <s v="SO-174"/>
    <s v="CANELLE FOOD CORPORATION"/>
    <s v="CINNABON"/>
    <s v="GENERIC"/>
    <s v="COD"/>
    <s v="2025-11-07"/>
    <s v="DELIVERY FEE"/>
    <n v="1"/>
    <n v="400"/>
    <n v="400"/>
    <n v="400"/>
    <s v="MARITESS"/>
  </r>
  <r>
    <x v="50"/>
    <s v="CHICKEN DELI - SO-174"/>
    <s v="SO-174"/>
    <s v="CHICKEN DELI"/>
    <s v="KARIMADON"/>
    <s v="GENERIC"/>
    <s v="N/A"/>
    <s v="2025-09-17"/>
    <s v="RDMS V3+"/>
    <n v="1"/>
    <n v="2975"/>
    <n v="8500"/>
    <n v="8500"/>
    <s v="MARITESS"/>
  </r>
  <r>
    <x v="50"/>
    <s v="CHICKEN DELI - SO-174"/>
    <s v="SO-174"/>
    <s v="CHICKEN DELI"/>
    <s v="KARIMADON"/>
    <s v="GENERIC"/>
    <s v="N/A"/>
    <s v="2025-09-17"/>
    <s v="IMPLEMENTATION"/>
    <n v="1"/>
    <n v="5500"/>
    <n v="5500"/>
    <n v="5500"/>
    <s v="MARITESS"/>
  </r>
  <r>
    <x v="50"/>
    <s v="CHICKEN DELI - SO-174"/>
    <s v="SO-174"/>
    <s v="CHICKEN DELI"/>
    <s v="KARIMADON"/>
    <s v="GENERIC"/>
    <s v="N/A"/>
    <s v="2025-09-17"/>
    <s v="ONE YEAR WARRANTY"/>
    <n v="1"/>
    <n v="5500"/>
    <n v="5500"/>
    <n v="5500"/>
    <s v="MARITESS"/>
  </r>
  <r>
    <x v="50"/>
    <s v="CHICKEN DELI - SO-174"/>
    <s v="SO-174"/>
    <s v="CHICKEN DELI"/>
    <s v="KARIMADON"/>
    <s v="GENERIC"/>
    <s v="N/A"/>
    <s v="2025-09-17"/>
    <s v="BIR REG."/>
    <n v="1"/>
    <n v="500"/>
    <n v="500"/>
    <n v="500"/>
    <s v="MARITESS"/>
  </r>
  <r>
    <x v="50"/>
    <s v="CHICKEN DELI - SO-174"/>
    <s v="SO-174"/>
    <s v="CHICKEN DELI"/>
    <s v="KARIMADON"/>
    <s v="GENERIC"/>
    <s v="N/A"/>
    <s v="2025-09-17"/>
    <s v="VIEWSONIC MONITOR ( YUNG MANIPIS TULAD NUNG DATI)."/>
    <n v="1"/>
    <n v="4250"/>
    <n v="6500"/>
    <n v="6500"/>
    <s v="MARITESS"/>
  </r>
  <r>
    <x v="50"/>
    <s v="CHICKEN DELI - SO-174"/>
    <s v="SO-174"/>
    <s v="CHICKEN DELI"/>
    <s v="KARIMADON"/>
    <s v="GENERIC"/>
    <s v="N/A"/>
    <s v="2025-09-17"/>
    <s v="KASPERSKY ANTI VIRUS"/>
    <n v="1"/>
    <n v="935"/>
    <n v="1500"/>
    <n v="1500"/>
    <s v="MARITESS"/>
  </r>
  <r>
    <x v="50"/>
    <s v="CHICKEN DELI - SO-174"/>
    <s v="SO-174"/>
    <s v="CHICKEN DELI"/>
    <s v="KARIMADON"/>
    <s v="GENERIC"/>
    <s v="N/A"/>
    <s v="2025-09-17"/>
    <s v="UPS APC"/>
    <n v="1"/>
    <n v="2200"/>
    <n v="3200"/>
    <n v="3200"/>
    <s v="MARITESS"/>
  </r>
  <r>
    <x v="50"/>
    <s v="CHICKEN DELI - SO-174"/>
    <s v="SO-174"/>
    <s v="CHICKEN DELI"/>
    <s v="KARIMADON"/>
    <s v="GENERIC"/>
    <s v="N/A"/>
    <s v="2025-09-17"/>
    <s v="EOS MINI CPU ( NV.M2 )"/>
    <n v="1"/>
    <n v="24800"/>
    <n v="34000"/>
    <n v="34000"/>
    <s v="MARITESS"/>
  </r>
  <r>
    <x v="50"/>
    <s v="CHICKEN DELI - SO-174"/>
    <s v="SO-174"/>
    <s v="CHICKEN DELI"/>
    <s v="KARIMADON"/>
    <s v="GENERIC"/>
    <s v="N/A"/>
    <s v="2025-09-17"/>
    <s v="WINDOWS 11"/>
    <n v="1"/>
    <n v="2800"/>
    <n v="4000"/>
    <n v="4000"/>
    <s v="MARITESS"/>
  </r>
  <r>
    <x v="50"/>
    <s v="CHICKEN DELI - SO-174"/>
    <s v="SO-174"/>
    <s v="CHICKEN DELI"/>
    <s v="KARIMADON"/>
    <s v="GENERIC"/>
    <s v="N/A"/>
    <s v="2025-09-17"/>
    <s v="DELIVERY CHARGE"/>
    <n v="1"/>
    <n v="500"/>
    <n v="500"/>
    <n v="500"/>
    <s v="MARITESS"/>
  </r>
  <r>
    <x v="134"/>
    <s v="SWEET STOP STATION INC - SO-175"/>
    <s v="SO-175"/>
    <s v="SWEET STOP STATION INC"/>
    <s v="CINNABON"/>
    <s v="GENERIC"/>
    <s v="COD"/>
    <s v="2025-11-07"/>
    <s v="EPSON TMU220D USB PRINTER"/>
    <n v="1"/>
    <n v="8500"/>
    <n v="11600"/>
    <n v="11600"/>
    <s v="MARITESS"/>
  </r>
  <r>
    <x v="134"/>
    <s v="SWEET STOP STATION INC - SO-175"/>
    <s v="SO-175"/>
    <s v="SWEET STOP STATION INC"/>
    <s v="CINNABON"/>
    <s v="GENERIC"/>
    <s v="COD"/>
    <s v="2025-11-07"/>
    <s v="DELIVERY FEE"/>
    <n v="1"/>
    <n v="400"/>
    <n v="400"/>
    <n v="400"/>
    <s v="MARITESS"/>
  </r>
  <r>
    <x v="114"/>
    <s v="CHICKEN DELI - SO-175"/>
    <s v="SO-175"/>
    <s v="CHICKEN DELI"/>
    <s v="PAOTSIN"/>
    <s v="GENERIC"/>
    <s v="N/A"/>
    <s v="2025-09-22"/>
    <s v="EPSON TMU220D ( USB )"/>
    <n v="1"/>
    <n v="8500"/>
    <n v="12000"/>
    <n v="12000"/>
    <s v="MARITESS"/>
  </r>
  <r>
    <x v="114"/>
    <s v="CHICKEN DELI - SO-175"/>
    <s v="SO-175"/>
    <s v="CHICKEN DELI"/>
    <s v="PAOTSIN"/>
    <s v="GENERIC"/>
    <s v="N/A"/>
    <s v="2025-09-22"/>
    <s v="DELIVERY CHARGE"/>
    <n v="1"/>
    <n v="500"/>
    <n v="500"/>
    <n v="500"/>
    <s v="MARITESS"/>
  </r>
  <r>
    <x v="2"/>
    <s v="CHICKEN DELI - SO-176"/>
    <s v="SO-176"/>
    <s v="CHICKEN DELI"/>
    <s v="GONGCHA"/>
    <s v="GENERIC"/>
    <s v="N/A"/>
    <s v="2025-09-22"/>
    <s v="PRINTER HEAD"/>
    <n v="5"/>
    <n v="965"/>
    <n v="1300"/>
    <n v="6500"/>
    <s v="MARITESS"/>
  </r>
  <r>
    <x v="163"/>
    <s v="LJ ROMANTIC RESTAURANT CORPORATION - SO-176"/>
    <s v="SO-176"/>
    <s v="LJ ROMANTIC RESTAURANT CORPORATION"/>
    <s v="ROMANTIC BABOY"/>
    <s v="GENERIC"/>
    <s v="N/A"/>
    <s v="2025-11-07"/>
    <s v="PREVENTIVE MAINTENANCE"/>
    <n v="1"/>
    <n v="18000"/>
    <n v="18000"/>
    <n v="18000"/>
    <s v="MARITESS"/>
  </r>
  <r>
    <x v="40"/>
    <s v="PARAW RESTAURANT INC - SO-177"/>
    <s v="SO-177"/>
    <s v="PARAW RESTAURANT INC"/>
    <s v="MOLAVE"/>
    <s v="EL NIDO PALAWAN"/>
    <s v="COD"/>
    <s v="2025-11-01"/>
    <s v="MODIFICATION"/>
    <n v="1"/>
    <n v="21000"/>
    <n v="21000"/>
    <n v="21000"/>
    <s v="RUDELYN"/>
  </r>
  <r>
    <x v="40"/>
    <s v="PARAW RESTAURANT INC - SO-177"/>
    <s v="SO-177"/>
    <s v="PARAW RESTAURANT INC"/>
    <s v="MOLAVE"/>
    <s v="EL NIDO PALAWAN"/>
    <s v="COD"/>
    <s v="2025-11-01"/>
    <s v="PREVENTIVE MAINTENANCE * NOVEMBER 11, 2025 - NOVEMBER 10, 2026"/>
    <n v="1"/>
    <n v="15000"/>
    <n v="15000"/>
    <n v="15000"/>
    <s v="RUDELYN"/>
  </r>
  <r>
    <x v="22"/>
    <s v="CHICKEN DELI - SO-177"/>
    <s v="SO-177"/>
    <s v="CHICKEN DELI"/>
    <s v="ISSY &amp;CO."/>
    <s v="GENERIC"/>
    <s v="N/A"/>
    <s v="2025-09-24"/>
    <s v="RDMS V4"/>
    <n v="1"/>
    <n v="3675"/>
    <n v="10500"/>
    <n v="10500"/>
    <s v="MARITESS"/>
  </r>
  <r>
    <x v="22"/>
    <s v="CHICKEN DELI - SO-177"/>
    <s v="SO-177"/>
    <s v="CHICKEN DELI"/>
    <s v="ISSY &amp;CO."/>
    <s v="GENERIC"/>
    <s v="N/A"/>
    <s v="2025-09-24"/>
    <s v="IMPLEMENTATION"/>
    <n v="1"/>
    <n v="11000"/>
    <n v="11000"/>
    <n v="11000"/>
    <s v="MARITESS"/>
  </r>
  <r>
    <x v="22"/>
    <s v="CHICKEN DELI - SO-177"/>
    <s v="SO-177"/>
    <s v="CHICKEN DELI"/>
    <s v="ISSY &amp;CO."/>
    <s v="GENERIC"/>
    <s v="N/A"/>
    <s v="2025-09-24"/>
    <s v="ONE YEAR WARRANTY"/>
    <n v="1"/>
    <n v="11000"/>
    <n v="11000"/>
    <n v="11000"/>
    <s v="MARITESS"/>
  </r>
  <r>
    <x v="22"/>
    <s v="CHICKEN DELI - SO-177"/>
    <s v="SO-177"/>
    <s v="CHICKEN DELI"/>
    <s v="ISSY &amp;CO."/>
    <s v="GENERIC"/>
    <s v="N/A"/>
    <s v="2025-09-24"/>
    <s v="BIR REG."/>
    <n v="1"/>
    <n v="500"/>
    <n v="500"/>
    <n v="500"/>
    <s v="MARITESS"/>
  </r>
  <r>
    <x v="22"/>
    <s v="CHICKEN DELI - SO-177"/>
    <s v="SO-177"/>
    <s v="CHICKEN DELI"/>
    <s v="ISSY &amp;CO."/>
    <s v="GENERIC"/>
    <s v="N/A"/>
    <s v="2025-09-24"/>
    <s v="ACER LCD MONITOR"/>
    <n v="1"/>
    <n v="4550"/>
    <n v="6500"/>
    <n v="6500"/>
    <s v="MARITESS"/>
  </r>
  <r>
    <x v="22"/>
    <s v="CHICKEN DELI - SO-177"/>
    <s v="SO-177"/>
    <s v="CHICKEN DELI"/>
    <s v="ISSY &amp;CO."/>
    <s v="GENERIC"/>
    <s v="N/A"/>
    <s v="2025-09-24"/>
    <s v="EPSON PRINTER TMU220D ( USB )"/>
    <n v="1"/>
    <n v="8500"/>
    <n v="12100"/>
    <n v="12100"/>
    <s v="MARITESS"/>
  </r>
  <r>
    <x v="22"/>
    <s v="CHICKEN DELI - SO-177"/>
    <s v="SO-177"/>
    <s v="CHICKEN DELI"/>
    <s v="ISSY &amp;CO."/>
    <s v="GENERIC"/>
    <s v="N/A"/>
    <s v="2025-09-24"/>
    <s v="KASPERSKY ANTI VIRUS"/>
    <n v="1"/>
    <n v="935"/>
    <n v="1500"/>
    <n v="1500"/>
    <s v="MARITESS"/>
  </r>
  <r>
    <x v="22"/>
    <s v="CHICKEN DELI - SO-177"/>
    <s v="SO-177"/>
    <s v="CHICKEN DELI"/>
    <s v="ISSY &amp;CO."/>
    <s v="GENERIC"/>
    <s v="N/A"/>
    <s v="2025-09-24"/>
    <s v="CASH DRAWER"/>
    <n v="1"/>
    <n v="2185"/>
    <n v="3500"/>
    <n v="3500"/>
    <s v="MARITESS"/>
  </r>
  <r>
    <x v="22"/>
    <s v="CHICKEN DELI - SO-177"/>
    <s v="SO-177"/>
    <s v="CHICKEN DELI"/>
    <s v="ISSY &amp;CO."/>
    <s v="GENERIC"/>
    <s v="N/A"/>
    <s v="2025-09-24"/>
    <s v="UPS APC"/>
    <n v="1"/>
    <n v="2200"/>
    <n v="3100"/>
    <n v="3100"/>
    <s v="MARITESS"/>
  </r>
  <r>
    <x v="22"/>
    <s v="CHICKEN DELI - SO-177"/>
    <s v="SO-177"/>
    <s v="CHICKEN DELI"/>
    <s v="ISSY &amp;CO."/>
    <s v="GENERIC"/>
    <s v="N/A"/>
    <s v="2025-09-24"/>
    <s v="DESKTOP"/>
    <n v="1"/>
    <n v="21500"/>
    <n v="31000"/>
    <n v="31000"/>
    <s v="MARITESS"/>
  </r>
  <r>
    <x v="22"/>
    <s v="CHICKEN DELI - SO-177"/>
    <s v="SO-177"/>
    <s v="CHICKEN DELI"/>
    <s v="ISSY &amp;CO."/>
    <s v="GENERIC"/>
    <s v="N/A"/>
    <s v="2025-09-24"/>
    <s v="WINDOWS 11"/>
    <n v="1"/>
    <n v="2800"/>
    <n v="4000"/>
    <n v="4000"/>
    <s v="MARITESS"/>
  </r>
  <r>
    <x v="22"/>
    <s v="CHICKEN DELI - SO-177"/>
    <s v="SO-177"/>
    <s v="CHICKEN DELI"/>
    <s v="ISSY &amp;CO."/>
    <s v="GENERIC"/>
    <s v="N/A"/>
    <s v="2025-09-24"/>
    <s v="DELIVERY CHARGE"/>
    <n v="1"/>
    <n v="500"/>
    <n v="500"/>
    <n v="500"/>
    <s v="MARITESS"/>
  </r>
  <r>
    <x v="161"/>
    <s v="ROCKWELL LAND CORPORATION - SO-178"/>
    <s v="SO-178"/>
    <s v="ROCKWELL LAND CORPORATION"/>
    <s v="ROCKWELL LAND CORPORATION"/>
    <s v="ROCKWELL MAKATI"/>
    <s v="THIRTY DAYS UPON DELIVERY"/>
    <s v="2025-11-11"/>
    <s v="THINKCENTRE M70S GEN 5- 512 GB SSD"/>
    <n v="3"/>
    <n v="56500"/>
    <n v="76200"/>
    <n v="228600"/>
    <s v="RUDELYN"/>
  </r>
  <r>
    <x v="161"/>
    <s v="ROCKWELL LAND CORPORATION - SO-178"/>
    <s v="SO-178"/>
    <s v="ROCKWELL LAND CORPORATION"/>
    <s v="ROCKWELL LAND CORPORATION"/>
    <s v="ROCKWELL MAKATI"/>
    <s v="THIRTY DAYS UPON DELIVERY"/>
    <s v="2025-11-11"/>
    <s v="KEYBOARD AND MOUSE"/>
    <n v="3"/>
    <n v="0"/>
    <n v="0"/>
    <n v="0"/>
    <s v="RUDELYN"/>
  </r>
  <r>
    <x v="161"/>
    <s v="ROCKWELL LAND CORPORATION - SO-178"/>
    <s v="SO-178"/>
    <s v="ROCKWELL LAND CORPORATION"/>
    <s v="ROCKWELL LAND CORPORATION"/>
    <s v="ROCKWELL MAKATI"/>
    <s v="THIRTY DAYS UPON DELIVERY"/>
    <s v="2025-11-11"/>
    <s v="DELIVERY CHARGE"/>
    <n v="1"/>
    <n v="900"/>
    <n v="900"/>
    <n v="900"/>
    <s v="RUDELYN"/>
  </r>
  <r>
    <x v="33"/>
    <s v="M W TOWNSTORE - SO-178"/>
    <s v="SO-178"/>
    <s v="M W TOWNSTORE"/>
    <s v="M &amp; W"/>
    <s v="GENERIC"/>
    <s v="N/A"/>
    <s v="2025-09-29"/>
    <s v="EPSON TMU 220B PRINTER"/>
    <n v="2"/>
    <n v="9500"/>
    <n v="13500"/>
    <n v="27000"/>
    <s v="MARITESS"/>
  </r>
  <r>
    <x v="33"/>
    <s v="M W TOWNSTORE - SO-178"/>
    <s v="SO-178"/>
    <s v="M W TOWNSTORE"/>
    <s v="M &amp; W"/>
    <s v="GENERIC"/>
    <s v="N/A"/>
    <s v="2025-09-29"/>
    <s v="DELIVERY CHARGE"/>
    <n v="1"/>
    <n v="1500"/>
    <n v="1500"/>
    <n v="1500"/>
    <s v="MARITESS"/>
  </r>
  <r>
    <x v="164"/>
    <s v="SENA MA DIANNE ABIGAIL GAMBOA - SO-179"/>
    <s v="SO-179"/>
    <s v="SENA MA DIANNE ABIGAIL GAMBOA"/>
    <s v="YOOHOO"/>
    <s v="GENERIC"/>
    <s v="50% DOWNPAYMENT, 50% 35 DAYS PDC"/>
    <s v="2025-11-11"/>
    <s v="TS CERES SQL VER 6"/>
    <n v="1"/>
    <n v="3675"/>
    <n v="10500"/>
    <n v="10500"/>
    <s v="MARITESS"/>
  </r>
  <r>
    <x v="149"/>
    <s v="CHICKEN DELI - SO-179"/>
    <s v="SO-179"/>
    <s v="CHICKEN DELI"/>
    <s v="BLANC NUE"/>
    <s v="GENERIC"/>
    <s v="N/A"/>
    <s v="2025-09-29"/>
    <s v="RDMS V3+"/>
    <n v="1"/>
    <n v="3675"/>
    <n v="10500"/>
    <n v="10500"/>
    <s v="MARITESS"/>
  </r>
  <r>
    <x v="149"/>
    <s v="CHICKEN DELI - SO-179"/>
    <s v="SO-179"/>
    <s v="CHICKEN DELI"/>
    <s v="BLANC NUE"/>
    <s v="GENERIC"/>
    <s v="N/A"/>
    <s v="2025-09-29"/>
    <s v="IMPLEMENTATION"/>
    <n v="1"/>
    <n v="9500"/>
    <n v="9500"/>
    <n v="9500"/>
    <s v="MARITESS"/>
  </r>
  <r>
    <x v="149"/>
    <s v="CHICKEN DELI - SO-179"/>
    <s v="SO-179"/>
    <s v="CHICKEN DELI"/>
    <s v="BLANC NUE"/>
    <s v="GENERIC"/>
    <s v="N/A"/>
    <s v="2025-09-29"/>
    <s v="ONE YEAR WARRANTY"/>
    <n v="1"/>
    <n v="9500"/>
    <n v="9500"/>
    <n v="9500"/>
    <s v="MARITESS"/>
  </r>
  <r>
    <x v="149"/>
    <s v="CHICKEN DELI - SO-179"/>
    <s v="SO-179"/>
    <s v="CHICKEN DELI"/>
    <s v="BLANC NUE"/>
    <s v="GENERIC"/>
    <s v="N/A"/>
    <s v="2025-09-29"/>
    <s v="BIR REG."/>
    <n v="1"/>
    <n v="500"/>
    <n v="500"/>
    <n v="500"/>
    <s v="MARITESS"/>
  </r>
  <r>
    <x v="14"/>
    <s v="HUZZAH - SO-180"/>
    <s v="SO-180"/>
    <s v="HUZZAH"/>
    <s v="HUZZAH"/>
    <s v="GENERIC"/>
    <s v="COD"/>
    <s v="2025-11-11"/>
    <s v="JOURNAL PAPER - DOUBLE PLY"/>
    <n v="50"/>
    <n v="32"/>
    <n v="50"/>
    <n v="2500"/>
    <s v="RUDELYN"/>
  </r>
  <r>
    <x v="165"/>
    <s v="CHICKEN DELI - SO-180"/>
    <s v="SO-180"/>
    <s v="CHICKEN DELI"/>
    <s v="FRANCESCO REST."/>
    <s v="GENERIC"/>
    <s v="N/A"/>
    <s v="2025-09-30"/>
    <s v="BACCHUS SQL"/>
    <n v="1"/>
    <n v="3675"/>
    <n v="10500"/>
    <n v="10500"/>
    <s v="MARITESS"/>
  </r>
  <r>
    <x v="165"/>
    <s v="CHICKEN DELI - SO-180"/>
    <s v="SO-180"/>
    <s v="CHICKEN DELI"/>
    <s v="FRANCESCO REST."/>
    <s v="GENERIC"/>
    <s v="N/A"/>
    <s v="2025-09-30"/>
    <s v="IMPLEMENTATION"/>
    <n v="1"/>
    <n v="12350"/>
    <n v="12350"/>
    <n v="12350"/>
    <s v="MARITESS"/>
  </r>
  <r>
    <x v="165"/>
    <s v="CHICKEN DELI - SO-180"/>
    <s v="SO-180"/>
    <s v="CHICKEN DELI"/>
    <s v="FRANCESCO REST."/>
    <s v="GENERIC"/>
    <s v="N/A"/>
    <s v="2025-09-30"/>
    <s v="ONE YEAR WARRANTY"/>
    <n v="1"/>
    <n v="12350"/>
    <n v="12350"/>
    <n v="12350"/>
    <s v="MARITESS"/>
  </r>
  <r>
    <x v="165"/>
    <s v="CHICKEN DELI - SO-180"/>
    <s v="SO-180"/>
    <s v="CHICKEN DELI"/>
    <s v="FRANCESCO REST."/>
    <s v="GENERIC"/>
    <s v="N/A"/>
    <s v="2025-09-30"/>
    <s v="BIR REG."/>
    <n v="1"/>
    <n v="500"/>
    <n v="500"/>
    <n v="500"/>
    <s v="MARITESS"/>
  </r>
  <r>
    <x v="165"/>
    <s v="CHICKEN DELI - SO-180"/>
    <s v="SO-180"/>
    <s v="CHICKEN DELI"/>
    <s v="FRANCESCO REST."/>
    <s v="GENERIC"/>
    <s v="N/A"/>
    <s v="2025-09-30"/>
    <s v="POSTECH TOUCHSCREEN MONITOR"/>
    <n v="1"/>
    <n v="11000"/>
    <n v="16000"/>
    <n v="16000"/>
    <s v="MARITESS"/>
  </r>
  <r>
    <x v="165"/>
    <s v="CHICKEN DELI - SO-180"/>
    <s v="SO-180"/>
    <s v="CHICKEN DELI"/>
    <s v="FRANCESCO REST."/>
    <s v="GENERIC"/>
    <s v="N/A"/>
    <s v="2025-09-30"/>
    <s v="KASPERSKY ANTI VIRUS"/>
    <n v="1"/>
    <n v="935"/>
    <n v="1300"/>
    <n v="1300"/>
    <s v="MARITESS"/>
  </r>
  <r>
    <x v="165"/>
    <s v="CHICKEN DELI - SO-180"/>
    <s v="SO-180"/>
    <s v="CHICKEN DELI"/>
    <s v="FRANCESCO REST."/>
    <s v="GENERIC"/>
    <s v="N/A"/>
    <s v="2025-09-30"/>
    <s v="DESKTOP INTEL CORE I5 ( 8GB / 512 SSD)"/>
    <n v="1"/>
    <n v="22000"/>
    <n v="31500"/>
    <n v="31500"/>
    <s v="MARITESS"/>
  </r>
  <r>
    <x v="165"/>
    <s v="CHICKEN DELI - SO-180"/>
    <s v="SO-180"/>
    <s v="CHICKEN DELI"/>
    <s v="FRANCESCO REST."/>
    <s v="GENERIC"/>
    <s v="N/A"/>
    <s v="2025-09-30"/>
    <s v="WINDOWS 11"/>
    <n v="1"/>
    <n v="2800"/>
    <n v="4000"/>
    <n v="4000"/>
    <s v="MARITESS"/>
  </r>
  <r>
    <x v="165"/>
    <s v="CHICKEN DELI - SO-180"/>
    <s v="SO-180"/>
    <s v="CHICKEN DELI"/>
    <s v="FRANCESCO REST."/>
    <s v="GENERIC"/>
    <s v="N/A"/>
    <s v="2025-09-30"/>
    <s v="DELIVERY CHARGE"/>
    <n v="1"/>
    <n v="500"/>
    <n v="500"/>
    <n v="500"/>
    <s v="MARITESS"/>
  </r>
  <r>
    <x v="166"/>
    <s v="JIBRILS SPECIALTY FOODS INC - SO-181"/>
    <s v="SO-181"/>
    <s v="JIBRILS SPECIALTY FOODS INC"/>
    <s v="JSFI CHICKEN BACOLOD"/>
    <s v="GLORIETTA 4"/>
    <s v="50% DOWNPAYMENT, 50% 35 DAYS PDC"/>
    <s v="2025-11-13"/>
    <s v="BACCHUS SQL + VERSION 2 - LITE"/>
    <n v="1"/>
    <n v="2975"/>
    <n v="8500"/>
    <n v="8500"/>
    <s v="RUDELYN"/>
  </r>
  <r>
    <x v="166"/>
    <s v="JIBRILS SPECIALTY FOODS INC - SO-181"/>
    <s v="SO-181"/>
    <s v="JIBRILS SPECIALTY FOODS INC"/>
    <s v="JSFI CHICKEN BACOLOD"/>
    <s v="GLORIETTA 4"/>
    <s v="50% DOWNPAYMENT, 50% 35 DAYS PDC"/>
    <s v="2025-11-13"/>
    <s v="ROLLOUT IMPLEMENTATION"/>
    <n v="1"/>
    <n v="8000"/>
    <n v="8000"/>
    <n v="8000"/>
    <s v="RUDELYN"/>
  </r>
  <r>
    <x v="166"/>
    <s v="JIBRILS SPECIALTY FOODS INC - SO-181"/>
    <s v="SO-181"/>
    <s v="JIBRILS SPECIALTY FOODS INC"/>
    <s v="JSFI CHICKEN BACOLOD"/>
    <s v="GLORIETTA 4"/>
    <s v="50% DOWNPAYMENT, 50% 35 DAYS PDC"/>
    <s v="2025-11-13"/>
    <s v="1 YEAR WARRANTY"/>
    <n v="1"/>
    <n v="8000"/>
    <n v="8000"/>
    <n v="8000"/>
    <s v="RUDELYN"/>
  </r>
  <r>
    <x v="166"/>
    <s v="JIBRILS SPECIALTY FOODS INC - SO-181"/>
    <s v="SO-181"/>
    <s v="JIBRILS SPECIALTY FOODS INC"/>
    <s v="JSFI CHICKEN BACOLOD"/>
    <s v="GLORIETTA 4"/>
    <s v="50% DOWNPAYMENT, 50% 35 DAYS PDC"/>
    <s v="2025-11-13"/>
    <s v="BIR REGISTRATION"/>
    <n v="1"/>
    <n v="500"/>
    <n v="500"/>
    <n v="500"/>
    <s v="RUDELYN"/>
  </r>
  <r>
    <x v="166"/>
    <s v="JIBRILS SPECIALTY FOODS INC - SO-181"/>
    <s v="SO-181"/>
    <s v="JIBRILS SPECIALTY FOODS INC"/>
    <s v="JSFI CHICKEN BACOLOD"/>
    <s v="GLORIETTA 4"/>
    <s v="50% DOWNPAYMENT, 50% 35 DAYS PDC"/>
    <s v="2025-11-13"/>
    <s v="CASH DRAWER"/>
    <n v="1"/>
    <n v="2185"/>
    <n v="3500"/>
    <n v="3500"/>
    <s v="RUDELYN"/>
  </r>
  <r>
    <x v="166"/>
    <s v="JIBRILS SPECIALTY FOODS INC - SO-181"/>
    <s v="SO-181"/>
    <s v="JIBRILS SPECIALTY FOODS INC"/>
    <s v="JSFI CHICKEN BACOLOD"/>
    <s v="GLORIETTA 4"/>
    <s v="50% DOWNPAYMENT, 50% 35 DAYS PDC"/>
    <s v="2025-11-13"/>
    <s v="EPSON TMU220D USB PRINTER"/>
    <n v="1"/>
    <n v="8500"/>
    <n v="12500"/>
    <n v="12500"/>
    <s v="RUDELYN"/>
  </r>
  <r>
    <x v="166"/>
    <s v="JIBRILS SPECIALTY FOODS INC - SO-181"/>
    <s v="SO-181"/>
    <s v="JIBRILS SPECIALTY FOODS INC"/>
    <s v="JSFI CHICKEN BACOLOD"/>
    <s v="GLORIETTA 4"/>
    <s v="50% DOWNPAYMENT, 50% 35 DAYS PDC"/>
    <s v="2025-11-13"/>
    <s v="APC UPS"/>
    <n v="1"/>
    <n v="2200"/>
    <n v="3500"/>
    <n v="3500"/>
    <s v="RUDELYN"/>
  </r>
  <r>
    <x v="166"/>
    <s v="JIBRILS SPECIALTY FOODS INC - SO-181"/>
    <s v="SO-181"/>
    <s v="JIBRILS SPECIALTY FOODS INC"/>
    <s v="JSFI CHICKEN BACOLOD"/>
    <s v="GLORIETTA 4"/>
    <s v="50% DOWNPAYMENT, 50% 35 DAYS PDC"/>
    <s v="2025-11-13"/>
    <s v="15&quot; POSTECH TOUCHSCREEN MONITOR"/>
    <n v="1"/>
    <n v="11000"/>
    <n v="16500"/>
    <n v="16500"/>
    <s v="RUDELYN"/>
  </r>
  <r>
    <x v="166"/>
    <s v="JIBRILS SPECIALTY FOODS INC - SO-181"/>
    <s v="SO-181"/>
    <s v="JIBRILS SPECIALTY FOODS INC"/>
    <s v="JSFI CHICKEN BACOLOD"/>
    <s v="GLORIETTA 4"/>
    <s v="50% DOWNPAYMENT, 50% 35 DAYS PDC"/>
    <s v="2025-11-13"/>
    <s v="DESKTOP CPU CORE I5, 8GB RAM, 512SSD"/>
    <n v="1"/>
    <n v="21500"/>
    <n v="31000"/>
    <n v="31000"/>
    <s v="RUDELYN"/>
  </r>
  <r>
    <x v="166"/>
    <s v="JIBRILS SPECIALTY FOODS INC - SO-181"/>
    <s v="SO-181"/>
    <s v="JIBRILS SPECIALTY FOODS INC"/>
    <s v="JSFI CHICKEN BACOLOD"/>
    <s v="GLORIETTA 4"/>
    <s v="50% DOWNPAYMENT, 50% 35 DAYS PDC"/>
    <s v="2025-11-13"/>
    <s v="WINDOWS 11 PRO KEYBOARD &amp; MOUSE"/>
    <n v="1"/>
    <n v="2000"/>
    <n v="3500"/>
    <n v="3500"/>
    <s v="RUDELYN"/>
  </r>
  <r>
    <x v="166"/>
    <s v="JIBRILS SPECIALTY FOODS INC - SO-181"/>
    <s v="SO-181"/>
    <s v="JIBRILS SPECIALTY FOODS INC"/>
    <s v="JSFI CHICKEN BACOLOD"/>
    <s v="GLORIETTA 4"/>
    <s v="50% DOWNPAYMENT, 50% 35 DAYS PDC"/>
    <s v="2025-11-13"/>
    <s v="DELIVERY FEE"/>
    <n v="1"/>
    <n v="500"/>
    <n v="500"/>
    <n v="500"/>
    <s v="RUDELYN"/>
  </r>
  <r>
    <x v="2"/>
    <s v="CHICKEN DELI - SO-N/A"/>
    <s v="SO-N/A"/>
    <s v="CHICKEN DELI"/>
    <s v="GONGCHA"/>
    <s v="GENERIC"/>
    <s v="N/A"/>
    <s v="2025-10-01"/>
    <s v="PREVENTIVE MAINTENANCE"/>
    <n v="4"/>
    <n v="6500"/>
    <n v="6500"/>
    <n v="26000"/>
    <s v="MARITESS"/>
  </r>
  <r>
    <x v="167"/>
    <s v="CRUZ MIRAFLOR DOMINGO - SO-182"/>
    <s v="SO-182"/>
    <s v="CRUZ MIRAFLOR DOMINGO"/>
    <s v="ARTISAN EMPORIUM"/>
    <s v="GENERIC"/>
    <s v="COD"/>
    <s v="2025-11-13"/>
    <s v="WINDOWS 11 PRO"/>
    <n v="1"/>
    <n v="2200"/>
    <n v="4000"/>
    <n v="4000"/>
    <s v="MARITESS"/>
  </r>
  <r>
    <x v="2"/>
    <s v="CHICKEN DELI - SO-182"/>
    <s v="SO-182"/>
    <s v="CHICKEN DELI"/>
    <s v="GONGCHA"/>
    <s v="GENERIC"/>
    <s v="N/A"/>
    <s v="2025-10-01"/>
    <s v="PREVENTIVE MAINTENANCE"/>
    <n v="2"/>
    <n v="6500"/>
    <n v="6500"/>
    <n v="13000"/>
    <s v="MARITESS"/>
  </r>
  <r>
    <x v="21"/>
    <s v="LIPA GRILLE RESTAURANT CO - SO-183"/>
    <s v="SO-183"/>
    <s v="LIPA GRILLE RESTAURANT CO"/>
    <s v="LIPA GRILLE"/>
    <s v="GENERIC"/>
    <s v="50% DOWNPAYMENT, 50% 35 DAYS PDC"/>
    <s v="2025-11-17"/>
    <s v="DESKTOP CPU I5, 8GB RAM, 512 GB SSD"/>
    <n v="1"/>
    <n v="21500"/>
    <n v="31000"/>
    <n v="31000"/>
    <s v="MARITESS"/>
  </r>
  <r>
    <x v="2"/>
    <s v="CHICKEN DELI - SO-183"/>
    <s v="SO-183"/>
    <s v="CHICKEN DELI"/>
    <s v="GONGCHA"/>
    <s v="GENERIC"/>
    <s v="N/A"/>
    <s v="2025-10-01"/>
    <s v="PREVENTIVE MAINTENANCE"/>
    <n v="1"/>
    <n v="6500"/>
    <n v="6500"/>
    <n v="6500"/>
    <s v="MARITESS"/>
  </r>
  <r>
    <x v="21"/>
    <s v="LIPA GRILLE RESTAURANT CO - SO-184"/>
    <s v="SO-184"/>
    <s v="LIPA GRILLE RESTAURANT CO"/>
    <s v="LIPA GRILLE"/>
    <s v="GENERIC"/>
    <s v="50% DOWNPAYMENT, 50% 35 DAYS PDC"/>
    <s v="2025-11-17"/>
    <s v="DESKTOP CPU I5, 8GB RAM, 512 GB SSD"/>
    <n v="1"/>
    <n v="21500"/>
    <n v="31000"/>
    <n v="31000"/>
    <s v="MARITESS"/>
  </r>
  <r>
    <x v="2"/>
    <s v="CHICKEN DELI - SO-184"/>
    <s v="SO-184"/>
    <s v="CHICKEN DELI"/>
    <s v="GONGCHA"/>
    <s v="GENERIC"/>
    <s v="N/A"/>
    <s v="2025-10-01"/>
    <s v="PREVENTIVE MAINTENANCE"/>
    <n v="2"/>
    <n v="6500"/>
    <n v="6500"/>
    <n v="13000"/>
    <s v="MARITESS"/>
  </r>
  <r>
    <x v="168"/>
    <s v="JIBRILS SPECIALTY FOODS INC - SO-185"/>
    <s v="SO-185"/>
    <s v="JIBRILS SPECIALTY FOODS INC"/>
    <s v="JSFI CHICKEN BACOLOD"/>
    <s v="MARKET MARKET"/>
    <s v="COD"/>
    <s v="2025-11-21"/>
    <s v="PREVENTIVE MAINTENANCE COVERED DATE: SEPT. 25, 2025 - SEPT. 24, 2026"/>
    <n v="1"/>
    <n v="15000"/>
    <n v="15000"/>
    <n v="15000"/>
    <s v="RUDELYN"/>
  </r>
  <r>
    <x v="2"/>
    <s v="CHICKEN DELI - SO-185"/>
    <s v="SO-185"/>
    <s v="CHICKEN DELI"/>
    <s v="GONGCHA"/>
    <s v="GENERIC"/>
    <s v="N/A"/>
    <s v="2025-10-01"/>
    <s v="PREVENTIVE MAINTENANCE"/>
    <n v="4"/>
    <n v="6500"/>
    <n v="6500"/>
    <n v="26000"/>
    <s v="MARITESS"/>
  </r>
  <r>
    <x v="2"/>
    <s v="CHICKEN DELI - SO-N/A"/>
    <s v="SO-N/A"/>
    <s v="CHICKEN DELI"/>
    <s v="GONGCHA"/>
    <s v="GENERIC"/>
    <s v="N/A"/>
    <s v="2025-10-01"/>
    <s v="PREVENTIVE MAINTENANCE"/>
    <n v="2"/>
    <n v="6500"/>
    <n v="6500"/>
    <n v="13000"/>
    <s v="MARITESS"/>
  </r>
  <r>
    <x v="169"/>
    <s v="JUST SIMPLE BAKE HOUSE INC - SO-186"/>
    <s v="SO-186"/>
    <s v="JUST SIMPLE BAKE HOUSE INC"/>
    <s v="LORD STOW'S BAKERY"/>
    <s v="TRINOMA"/>
    <s v="N/A"/>
    <s v="2025-11-21"/>
    <s v="WINDOWS 11 PRO"/>
    <n v="1"/>
    <n v="2000"/>
    <n v="3000"/>
    <n v="3000"/>
    <s v="RUDELYN"/>
  </r>
  <r>
    <x v="169"/>
    <s v="JUST SIMPLE BAKE HOUSE INC - SO-186"/>
    <s v="SO-186"/>
    <s v="JUST SIMPLE BAKE HOUSE INC"/>
    <s v="LORD STOW'S BAKERY"/>
    <s v="TRINOMA"/>
    <s v="N/A"/>
    <s v="2025-11-21"/>
    <s v="512GB SSD"/>
    <n v="1"/>
    <n v="2650"/>
    <n v="4000"/>
    <n v="4000"/>
    <s v="RUDELYN"/>
  </r>
  <r>
    <x v="170"/>
    <s v="MY GOLDEN TEA LEAF INC - SO-187"/>
    <s v="SO-187"/>
    <s v="MY GOLDEN TEA LEAF INC"/>
    <s v="SERENITEA"/>
    <s v="ROB. MANILA"/>
    <s v="N/A"/>
    <s v="2025-11-26"/>
    <s v="WINDOWS 11 PRO"/>
    <n v="1"/>
    <n v="2000"/>
    <n v="3500"/>
    <n v="3500"/>
    <s v="RUDELYN"/>
  </r>
  <r>
    <x v="170"/>
    <s v="MY GOLDEN TEA LEAF INC - SO-187"/>
    <s v="SO-187"/>
    <s v="MY GOLDEN TEA LEAF INC"/>
    <s v="SERENITEA"/>
    <s v="ROB. MANILA"/>
    <s v="N/A"/>
    <s v="2025-11-26"/>
    <s v="512GB SSD"/>
    <n v="1"/>
    <n v="2650"/>
    <n v="4000"/>
    <n v="4000"/>
    <s v="RUDELYN"/>
  </r>
  <r>
    <x v="2"/>
    <s v="CHICKEN DELI - SO-187"/>
    <s v="SO-187"/>
    <s v="CHICKEN DELI"/>
    <s v="GONGCHA"/>
    <s v="GENERIC"/>
    <s v="N/A"/>
    <s v="2025-10-01"/>
    <s v="PREVENTIVE MAINTENANCE"/>
    <n v="4"/>
    <n v="6500"/>
    <n v="6500"/>
    <n v="26000"/>
    <s v="MARITESS"/>
  </r>
  <r>
    <x v="153"/>
    <s v="AURORA CHARLIE FOOD VENTURES INC - SO-188"/>
    <s v="SO-188"/>
    <s v="AURORA CHARLIE FOOD VENTURES INC"/>
    <s v="MAMOU"/>
    <s v="GREENBELT 5"/>
    <s v="COD"/>
    <s v="2025-12-01"/>
    <s v="CASH DRAWER"/>
    <n v="1"/>
    <n v="2185"/>
    <n v="3200"/>
    <n v="3200"/>
    <s v="RUDELYN"/>
  </r>
  <r>
    <x v="153"/>
    <s v="AURORA CHARLIE FOOD VENTURES INC - SO-188"/>
    <s v="SO-188"/>
    <s v="AURORA CHARLIE FOOD VENTURES INC"/>
    <s v="MAMOU"/>
    <s v="GREENBELT 5"/>
    <s v="COD"/>
    <s v="2025-12-01"/>
    <s v="DELIVERY FEE"/>
    <n v="1"/>
    <n v="300"/>
    <n v="300"/>
    <n v="300"/>
    <s v="RUDELYN"/>
  </r>
  <r>
    <x v="29"/>
    <s v="CHICKEN DELI - SO-188"/>
    <s v="SO-188"/>
    <s v="CHICKEN DELI"/>
    <s v="APT8"/>
    <s v="GENERIC"/>
    <s v="N/A"/>
    <s v="2025-10-06"/>
    <s v="EOS POWER ADAPTOR"/>
    <n v="1"/>
    <n v="1200"/>
    <n v="2000"/>
    <n v="2000"/>
    <s v="MARITESS"/>
  </r>
  <r>
    <x v="171"/>
    <s v="SJ SHAW FOOD CORP - SO-189"/>
    <s v="SO-189"/>
    <s v="SJ SHAW FOOD CORP"/>
    <s v="FAMOUS AMOS"/>
    <s v="GENERIC"/>
    <s v="COD"/>
    <s v="2025-12-01"/>
    <s v="TSCERES LITE VER. 6"/>
    <n v="1"/>
    <n v="2975"/>
    <n v="8500"/>
    <n v="8500"/>
    <s v="MARITESS"/>
  </r>
  <r>
    <x v="114"/>
    <s v="CHICKEN DELI - SO-189"/>
    <s v="SO-189"/>
    <s v="CHICKEN DELI"/>
    <s v="PAOTSIN"/>
    <s v="GENERIC"/>
    <s v="N/A"/>
    <s v="2025-10-06"/>
    <s v="PREVENTIVE MAINTENANCE"/>
    <n v="1"/>
    <n v="10000"/>
    <n v="10000"/>
    <n v="10000"/>
    <s v="MARITESS"/>
  </r>
  <r>
    <x v="162"/>
    <s v="CHICKEN DELI - SO-190"/>
    <s v="SO-190"/>
    <s v="CHICKEN DELI"/>
    <s v="SUPERBOWL"/>
    <s v="GENERIC"/>
    <s v="N/A"/>
    <s v="2025-10-08"/>
    <s v="TSCERES LITE ( BACCHUS REG. )"/>
    <n v="1"/>
    <n v="2975"/>
    <n v="8500"/>
    <n v="8500"/>
    <s v="MARITESS"/>
  </r>
  <r>
    <x v="162"/>
    <s v="CHICKEN DELI - SO-190"/>
    <s v="SO-190"/>
    <s v="CHICKEN DELI"/>
    <s v="SUPERBOWL"/>
    <s v="GENERIC"/>
    <s v="N/A"/>
    <s v="2025-10-08"/>
    <s v="ROLL OUT/ IMPLEMENTATION"/>
    <n v="1"/>
    <n v="8000"/>
    <n v="8000"/>
    <n v="8000"/>
    <s v="MARITESS"/>
  </r>
  <r>
    <x v="162"/>
    <s v="CHICKEN DELI - SO-190"/>
    <s v="SO-190"/>
    <s v="CHICKEN DELI"/>
    <s v="SUPERBOWL"/>
    <s v="GENERIC"/>
    <s v="N/A"/>
    <s v="2025-10-08"/>
    <s v="ONE YEAR WARRANTY"/>
    <n v="1"/>
    <n v="8000"/>
    <n v="8000"/>
    <n v="8000"/>
    <s v="MARITESS"/>
  </r>
  <r>
    <x v="162"/>
    <s v="CHICKEN DELI - SO-190"/>
    <s v="SO-190"/>
    <s v="CHICKEN DELI"/>
    <s v="SUPERBOWL"/>
    <s v="GENERIC"/>
    <s v="N/A"/>
    <s v="2025-10-08"/>
    <s v="BIR REGISTRATION"/>
    <n v="1"/>
    <n v="500"/>
    <n v="500"/>
    <n v="500"/>
    <s v="MARITESS"/>
  </r>
  <r>
    <x v="172"/>
    <s v="BERTULFO NEIL AGUILAR - SO-190"/>
    <s v="SO-190"/>
    <s v="BERTULFO NEIL AGUILAR"/>
    <s v="NEIL'S LECHON CEBU"/>
    <s v="GENERIC"/>
    <s v="COD"/>
    <s v="2025-12-02"/>
    <s v="PRINTER HEAD"/>
    <n v="1"/>
    <n v="1100"/>
    <n v="1400"/>
    <n v="1400"/>
    <s v="MARITESS"/>
  </r>
  <r>
    <x v="172"/>
    <s v="BERTULFO NEIL AGUILAR - SO-190"/>
    <s v="SO-190"/>
    <s v="BERTULFO NEIL AGUILAR"/>
    <s v="NEIL'S LECHON CEBU"/>
    <s v="GENERIC"/>
    <s v="COD"/>
    <s v="2025-12-02"/>
    <s v="PRINTER HEAD CABLE"/>
    <n v="1"/>
    <n v="20"/>
    <n v="100"/>
    <n v="100"/>
    <s v="MARITESS"/>
  </r>
  <r>
    <x v="14"/>
    <s v="HUZZAH - SO-191"/>
    <s v="SO-191"/>
    <s v="HUZZAH"/>
    <s v="HUZZAH"/>
    <s v="GENERIC"/>
    <s v="COD"/>
    <s v="2025-12-03"/>
    <s v="JOURNAL PAPER - DOUBLE PLY"/>
    <n v="50"/>
    <n v="32"/>
    <n v="50"/>
    <n v="2500"/>
    <s v="RUDELYN"/>
  </r>
  <r>
    <x v="9"/>
    <s v="CHICKEN DELI - SO-191"/>
    <s v="SO-191"/>
    <s v="CHICKEN DELI"/>
    <s v="OJO EYEWEAR"/>
    <s v="GENERIC"/>
    <s v="N/A"/>
    <s v="2025-10-09"/>
    <s v="JOURNAL PAPER ( SINGLE PLY )"/>
    <n v="200"/>
    <n v="17"/>
    <n v="25"/>
    <n v="5000"/>
    <s v="MARITESS"/>
  </r>
  <r>
    <x v="173"/>
    <s v="TEA CRAFT CORP - SO-192"/>
    <s v="SO-192"/>
    <s v="TEA CRAFT CORP"/>
    <s v="YIFANG TAIWAN FRUIT TEA"/>
    <s v="GENERIC"/>
    <s v="COD"/>
    <s v="2025-12-04"/>
    <s v="GODEX EZ120 BARCODE PRINTER"/>
    <n v="1"/>
    <n v="8000"/>
    <n v="11350"/>
    <n v="11350"/>
    <s v="MARITESS"/>
  </r>
  <r>
    <x v="173"/>
    <s v="TEA CRAFT CORP - SO-192"/>
    <s v="SO-192"/>
    <s v="TEA CRAFT CORP"/>
    <s v="YIFANG TAIWAN FRUIT TEA"/>
    <s v="GENERIC"/>
    <s v="COD"/>
    <s v="2025-12-04"/>
    <s v="BARCODE STICKER (4X3)CM"/>
    <n v="3"/>
    <n v="30"/>
    <n v="45"/>
    <n v="135"/>
    <s v="MARITESS"/>
  </r>
  <r>
    <x v="173"/>
    <s v="TEA CRAFT CORP - SO-192"/>
    <s v="SO-192"/>
    <s v="TEA CRAFT CORP"/>
    <s v="YIFANG TAIWAN FRUIT TEA"/>
    <s v="GENERIC"/>
    <s v="COD"/>
    <s v="2025-12-04"/>
    <s v="DELIVERY FEE"/>
    <n v="1"/>
    <n v="500"/>
    <n v="500"/>
    <n v="500"/>
    <s v="MARITESS"/>
  </r>
  <r>
    <x v="174"/>
    <s v="CHICKEN DELI - SO-192"/>
    <s v="SO-192"/>
    <s v="CHICKEN DELI"/>
    <s v="THE VIEW REST."/>
    <s v="GENERIC"/>
    <s v="N/A"/>
    <s v="2025-10-10"/>
    <s v="BACCHUS SQL"/>
    <n v="1"/>
    <n v="3675"/>
    <n v="10500"/>
    <n v="10500"/>
    <s v="MARITESS"/>
  </r>
  <r>
    <x v="174"/>
    <s v="CHICKEN DELI - SO-192"/>
    <s v="SO-192"/>
    <s v="CHICKEN DELI"/>
    <s v="THE VIEW REST."/>
    <s v="GENERIC"/>
    <s v="N/A"/>
    <s v="2025-10-10"/>
    <s v="IMPLEMENTATION"/>
    <n v="1"/>
    <n v="10000"/>
    <n v="10000"/>
    <n v="10000"/>
    <s v="MARITESS"/>
  </r>
  <r>
    <x v="174"/>
    <s v="CHICKEN DELI - SO-192"/>
    <s v="SO-192"/>
    <s v="CHICKEN DELI"/>
    <s v="THE VIEW REST."/>
    <s v="GENERIC"/>
    <s v="N/A"/>
    <s v="2025-10-10"/>
    <s v="ONE YEAR WARRANTY"/>
    <n v="1"/>
    <n v="10000"/>
    <n v="10000"/>
    <n v="10000"/>
    <s v="MARITESS"/>
  </r>
  <r>
    <x v="174"/>
    <s v="CHICKEN DELI - SO-192"/>
    <s v="SO-192"/>
    <s v="CHICKEN DELI"/>
    <s v="THE VIEW REST."/>
    <s v="GENERIC"/>
    <s v="N/A"/>
    <s v="2025-10-10"/>
    <s v="BIR REG."/>
    <n v="1"/>
    <n v="500"/>
    <n v="500"/>
    <n v="500"/>
    <s v="MARITESS"/>
  </r>
  <r>
    <x v="174"/>
    <s v="CHICKEN DELI - SO-192"/>
    <s v="SO-192"/>
    <s v="CHICKEN DELI"/>
    <s v="THE VIEW REST."/>
    <s v="GENERIC"/>
    <s v="N/A"/>
    <s v="2025-10-10"/>
    <s v="POSTECH TOUCHSCREEN MONITOR"/>
    <n v="1"/>
    <n v="11000"/>
    <n v="15500"/>
    <n v="15500"/>
    <s v="MARITESS"/>
  </r>
  <r>
    <x v="174"/>
    <s v="CHICKEN DELI - SO-192"/>
    <s v="SO-192"/>
    <s v="CHICKEN DELI"/>
    <s v="THE VIEW REST."/>
    <s v="GENERIC"/>
    <s v="N/A"/>
    <s v="2025-10-10"/>
    <s v="EPSON PRINTER TMU220D ( USB ) CASHIER"/>
    <n v="1"/>
    <n v="8500"/>
    <n v="12000"/>
    <n v="12000"/>
    <s v="MARITESS"/>
  </r>
  <r>
    <x v="174"/>
    <s v="CHICKEN DELI - SO-192"/>
    <s v="SO-192"/>
    <s v="CHICKEN DELI"/>
    <s v="THE VIEW REST."/>
    <s v="GENERIC"/>
    <s v="N/A"/>
    <s v="2025-10-10"/>
    <s v="EPSON PRINTER TMU220B ( LAN ) BAR"/>
    <n v="1"/>
    <n v="9500"/>
    <n v="13500"/>
    <n v="13500"/>
    <s v="MARITESS"/>
  </r>
  <r>
    <x v="174"/>
    <s v="CHICKEN DELI - SO-192"/>
    <s v="SO-192"/>
    <s v="CHICKEN DELI"/>
    <s v="THE VIEW REST."/>
    <s v="GENERIC"/>
    <s v="N/A"/>
    <s v="2025-10-10"/>
    <s v="EPSON PRINTER TMU 220 B ( LAN ) KITCHEN"/>
    <n v="1"/>
    <n v="9500"/>
    <n v="13500"/>
    <n v="13500"/>
    <s v="MARITESS"/>
  </r>
  <r>
    <x v="174"/>
    <s v="CHICKEN DELI - SO-192"/>
    <s v="SO-192"/>
    <s v="CHICKEN DELI"/>
    <s v="THE VIEW REST."/>
    <s v="GENERIC"/>
    <s v="N/A"/>
    <s v="2025-10-10"/>
    <s v="JOURNAL PAPER SINGLE PLY"/>
    <n v="50"/>
    <n v="850"/>
    <n v="1250"/>
    <n v="62500"/>
    <s v="MARITESS"/>
  </r>
  <r>
    <x v="174"/>
    <s v="CHICKEN DELI - SO-192"/>
    <s v="SO-192"/>
    <s v="CHICKEN DELI"/>
    <s v="THE VIEW REST."/>
    <s v="GENERIC"/>
    <s v="N/A"/>
    <s v="2025-10-10"/>
    <s v="ERC RIBBON"/>
    <n v="3"/>
    <n v="201"/>
    <n v="750"/>
    <n v="2250"/>
    <s v="MARITESS"/>
  </r>
  <r>
    <x v="174"/>
    <s v="CHICKEN DELI - SO-192"/>
    <s v="SO-192"/>
    <s v="CHICKEN DELI"/>
    <s v="THE VIEW REST."/>
    <s v="GENERIC"/>
    <s v="N/A"/>
    <s v="2025-10-10"/>
    <s v="MINI CASH DRAWER"/>
    <n v="1"/>
    <n v="1350"/>
    <n v="1900"/>
    <n v="1900"/>
    <s v="MARITESS"/>
  </r>
  <r>
    <x v="174"/>
    <s v="CHICKEN DELI - SO-192"/>
    <s v="SO-192"/>
    <s v="CHICKEN DELI"/>
    <s v="THE VIEW REST."/>
    <s v="GENERIC"/>
    <s v="N/A"/>
    <s v="2025-10-10"/>
    <s v="UNINTERRUPTIBLE POWER SUPPLY"/>
    <n v="1"/>
    <n v="2200"/>
    <n v="3100"/>
    <n v="3100"/>
    <s v="MARITESS"/>
  </r>
  <r>
    <x v="174"/>
    <s v="CHICKEN DELI - SO-192"/>
    <s v="SO-192"/>
    <s v="CHICKEN DELI"/>
    <s v="THE VIEW REST."/>
    <s v="GENERIC"/>
    <s v="N/A"/>
    <s v="2025-10-10"/>
    <s v="KASPERSKY ANTI VIRUS"/>
    <n v="1"/>
    <n v="935"/>
    <n v="1300"/>
    <n v="1300"/>
    <s v="MARITESS"/>
  </r>
  <r>
    <x v="174"/>
    <s v="CHICKEN DELI - SO-192"/>
    <s v="SO-192"/>
    <s v="CHICKEN DELI"/>
    <s v="THE VIEW REST."/>
    <s v="GENERIC"/>
    <s v="N/A"/>
    <s v="2025-10-10"/>
    <s v="DESKTOP INTEL CORE I5 ( 8GB / 512 SSD)"/>
    <n v="1"/>
    <n v="22000"/>
    <n v="31500"/>
    <n v="31500"/>
    <s v="MARITESS"/>
  </r>
  <r>
    <x v="174"/>
    <s v="CHICKEN DELI - SO-192"/>
    <s v="SO-192"/>
    <s v="CHICKEN DELI"/>
    <s v="THE VIEW REST."/>
    <s v="GENERIC"/>
    <s v="N/A"/>
    <s v="2025-10-10"/>
    <s v="WINDOWS 11"/>
    <n v="1"/>
    <n v="2000"/>
    <n v="2800"/>
    <n v="2800"/>
    <s v="MARITESS"/>
  </r>
  <r>
    <x v="174"/>
    <s v="CHICKEN DELI - SO-192"/>
    <s v="SO-192"/>
    <s v="CHICKEN DELI"/>
    <s v="THE VIEW REST."/>
    <s v="GENERIC"/>
    <s v="N/A"/>
    <s v="2025-10-10"/>
    <s v="SWITCH HUB"/>
    <n v="1"/>
    <n v="850"/>
    <n v="1200"/>
    <n v="1200"/>
    <s v="MARITESS"/>
  </r>
  <r>
    <x v="174"/>
    <s v="CHICKEN DELI - SO-192"/>
    <s v="SO-192"/>
    <s v="CHICKEN DELI"/>
    <s v="THE VIEW REST."/>
    <s v="GENERIC"/>
    <s v="N/A"/>
    <s v="2025-10-10"/>
    <s v="REFERRAL FEE"/>
    <n v="1"/>
    <n v="5000"/>
    <n v="5000"/>
    <n v="5000"/>
    <s v="MARITESS"/>
  </r>
  <r>
    <x v="84"/>
    <s v="VISUAL MIX INC - SO-193"/>
    <s v="SO-193"/>
    <s v="VISUAL MIX INC"/>
    <s v="BOOKSALE"/>
    <s v="GENERIC"/>
    <s v="50% DOWNPAYMENT, 50% 35 DAYS PDC"/>
    <s v="2025-12-04"/>
    <s v="RDMS V4.3.0"/>
    <n v="1"/>
    <n v="3675"/>
    <n v="10500"/>
    <n v="10500"/>
    <s v="MARITESS"/>
  </r>
  <r>
    <x v="84"/>
    <s v="VISUAL MIX INC - SO-193"/>
    <s v="SO-193"/>
    <s v="VISUAL MIX INC"/>
    <s v="BOOKSALE"/>
    <s v="GENERIC"/>
    <s v="50% DOWNPAYMENT, 50% 35 DAYS PDC"/>
    <s v="2025-12-04"/>
    <s v="ROLLOUT IMPLEMENTATION"/>
    <n v="1"/>
    <n v="3675"/>
    <n v="10500"/>
    <n v="10500"/>
    <s v="MARITESS"/>
  </r>
  <r>
    <x v="84"/>
    <s v="VISUAL MIX INC - SO-193"/>
    <s v="SO-193"/>
    <s v="VISUAL MIX INC"/>
    <s v="BOOKSALE"/>
    <s v="GENERIC"/>
    <s v="50% DOWNPAYMENT, 50% 35 DAYS PDC"/>
    <s v="2025-12-04"/>
    <s v="ONE YEAR WARRANTY"/>
    <n v="1"/>
    <n v="3675"/>
    <n v="10500"/>
    <n v="10500"/>
    <s v="MARITESS"/>
  </r>
  <r>
    <x v="84"/>
    <s v="VISUAL MIX INC - SO-193"/>
    <s v="SO-193"/>
    <s v="VISUAL MIX INC"/>
    <s v="BOOKSALE"/>
    <s v="GENERIC"/>
    <s v="50% DOWNPAYMENT, 50% 35 DAYS PDC"/>
    <s v="2025-12-04"/>
    <s v="BIR REGISTRATION"/>
    <n v="1"/>
    <n v="500"/>
    <n v="500"/>
    <n v="500"/>
    <s v="MARITESS"/>
  </r>
  <r>
    <x v="84"/>
    <s v="VISUAL MIX INC - SO-193"/>
    <s v="SO-193"/>
    <s v="VISUAL MIX INC"/>
    <s v="BOOKSALE"/>
    <s v="GENERIC"/>
    <s v="50% DOWNPAYMENT, 50% 35 DAYS PDC"/>
    <s v="2025-12-04"/>
    <s v="WINDOWS 11 PRO"/>
    <n v="1"/>
    <n v="2000"/>
    <n v="3000"/>
    <n v="3000"/>
    <s v="MARITESS"/>
  </r>
  <r>
    <x v="84"/>
    <s v="VISUAL MIX INC - SO-193"/>
    <s v="SO-193"/>
    <s v="VISUAL MIX INC"/>
    <s v="BOOKSALE"/>
    <s v="GENERIC"/>
    <s v="50% DOWNPAYMENT, 50% 35 DAYS PDC"/>
    <s v="2025-12-04"/>
    <s v="512GB SSD"/>
    <n v="1"/>
    <n v="2650"/>
    <n v="3500"/>
    <n v="3500"/>
    <s v="MARITESS"/>
  </r>
  <r>
    <x v="175"/>
    <s v="CHICKEN DELI - SO-193"/>
    <s v="SO-193"/>
    <s v="CHICKEN DELI"/>
    <s v="PAPA DOMS BAR &amp; REST."/>
    <s v="GENERIC"/>
    <s v="N/A"/>
    <s v="2025-10-10"/>
    <s v="BACCHUS SQL"/>
    <n v="1"/>
    <n v="3675"/>
    <n v="10500"/>
    <n v="10500"/>
    <s v="MARITESS"/>
  </r>
  <r>
    <x v="175"/>
    <s v="CHICKEN DELI - SO-193"/>
    <s v="SO-193"/>
    <s v="CHICKEN DELI"/>
    <s v="PAPA DOMS BAR &amp; REST."/>
    <s v="GENERIC"/>
    <s v="N/A"/>
    <s v="2025-10-10"/>
    <s v="IMPLEMENTATION"/>
    <n v="1"/>
    <n v="11650"/>
    <n v="11650"/>
    <n v="11650"/>
    <s v="MARITESS"/>
  </r>
  <r>
    <x v="175"/>
    <s v="CHICKEN DELI - SO-193"/>
    <s v="SO-193"/>
    <s v="CHICKEN DELI"/>
    <s v="PAPA DOMS BAR &amp; REST."/>
    <s v="GENERIC"/>
    <s v="N/A"/>
    <s v="2025-10-10"/>
    <s v="ONE YEAR WARRANTY"/>
    <n v="1"/>
    <n v="11650"/>
    <n v="11650"/>
    <n v="11650"/>
    <s v="MARITESS"/>
  </r>
  <r>
    <x v="175"/>
    <s v="CHICKEN DELI - SO-193"/>
    <s v="SO-193"/>
    <s v="CHICKEN DELI"/>
    <s v="PAPA DOMS BAR &amp; REST."/>
    <s v="GENERIC"/>
    <s v="N/A"/>
    <s v="2025-10-10"/>
    <s v="BIR REG."/>
    <n v="1"/>
    <n v="500"/>
    <n v="500"/>
    <n v="500"/>
    <s v="MARITESS"/>
  </r>
  <r>
    <x v="175"/>
    <s v="CHICKEN DELI - SO-193"/>
    <s v="SO-193"/>
    <s v="CHICKEN DELI"/>
    <s v="PAPA DOMS BAR &amp; REST."/>
    <s v="GENERIC"/>
    <s v="N/A"/>
    <s v="2025-10-10"/>
    <s v="POSTECH TOUCHSCREEN MONITOR"/>
    <n v="1"/>
    <n v="11000"/>
    <n v="15500"/>
    <n v="15500"/>
    <s v="MARITESS"/>
  </r>
  <r>
    <x v="175"/>
    <s v="CHICKEN DELI - SO-193"/>
    <s v="SO-193"/>
    <s v="CHICKEN DELI"/>
    <s v="PAPA DOMS BAR &amp; REST."/>
    <s v="GENERIC"/>
    <s v="N/A"/>
    <s v="2025-10-10"/>
    <s v="EPSON PRINTER TMU220D ( USB ) CASHIER"/>
    <n v="1"/>
    <n v="8500"/>
    <n v="12000"/>
    <n v="12000"/>
    <s v="MARITESS"/>
  </r>
  <r>
    <x v="175"/>
    <s v="CHICKEN DELI - SO-193"/>
    <s v="SO-193"/>
    <s v="CHICKEN DELI"/>
    <s v="PAPA DOMS BAR &amp; REST."/>
    <s v="GENERIC"/>
    <s v="N/A"/>
    <s v="2025-10-10"/>
    <s v="EPSON PRINTER TMU220B ( LAN ) BAR"/>
    <n v="1"/>
    <n v="9500"/>
    <n v="13500"/>
    <n v="13500"/>
    <s v="MARITESS"/>
  </r>
  <r>
    <x v="175"/>
    <s v="CHICKEN DELI - SO-193"/>
    <s v="SO-193"/>
    <s v="CHICKEN DELI"/>
    <s v="PAPA DOMS BAR &amp; REST."/>
    <s v="GENERIC"/>
    <s v="N/A"/>
    <s v="2025-10-10"/>
    <s v="EPSON PRINTER TMU 220 B ( LAN ) KITCHEN"/>
    <n v="1"/>
    <n v="9500"/>
    <n v="13500"/>
    <n v="13500"/>
    <s v="MARITESS"/>
  </r>
  <r>
    <x v="175"/>
    <s v="CHICKEN DELI - SO-193"/>
    <s v="SO-193"/>
    <s v="CHICKEN DELI"/>
    <s v="PAPA DOMS BAR &amp; REST."/>
    <s v="GENERIC"/>
    <s v="N/A"/>
    <s v="2025-10-10"/>
    <s v="JOURNAL PAPER SINGLE PLY"/>
    <n v="50"/>
    <n v="850"/>
    <n v="1250"/>
    <n v="62500"/>
    <s v="MARITESS"/>
  </r>
  <r>
    <x v="175"/>
    <s v="CHICKEN DELI - SO-193"/>
    <s v="SO-193"/>
    <s v="CHICKEN DELI"/>
    <s v="PAPA DOMS BAR &amp; REST."/>
    <s v="GENERIC"/>
    <s v="N/A"/>
    <s v="2025-10-10"/>
    <s v="ERC RIBBON"/>
    <n v="3"/>
    <n v="201"/>
    <n v="750"/>
    <n v="2250"/>
    <s v="MARITESS"/>
  </r>
  <r>
    <x v="175"/>
    <s v="CHICKEN DELI - SO-193"/>
    <s v="SO-193"/>
    <s v="CHICKEN DELI"/>
    <s v="PAPA DOMS BAR &amp; REST."/>
    <s v="GENERIC"/>
    <s v="N/A"/>
    <s v="2025-10-10"/>
    <s v="MINI CASH DRAWER"/>
    <n v="1"/>
    <n v="1350"/>
    <n v="1900"/>
    <n v="1900"/>
    <s v="MARITESS"/>
  </r>
  <r>
    <x v="175"/>
    <s v="CHICKEN DELI - SO-193"/>
    <s v="SO-193"/>
    <s v="CHICKEN DELI"/>
    <s v="PAPA DOMS BAR &amp; REST."/>
    <s v="GENERIC"/>
    <s v="N/A"/>
    <s v="2025-10-10"/>
    <s v="UNINTERRUPTIBLE POWER SUPPLY"/>
    <n v="1"/>
    <n v="2200"/>
    <n v="3100"/>
    <n v="3100"/>
    <s v="MARITESS"/>
  </r>
  <r>
    <x v="175"/>
    <s v="CHICKEN DELI - SO-193"/>
    <s v="SO-193"/>
    <s v="CHICKEN DELI"/>
    <s v="PAPA DOMS BAR &amp; REST."/>
    <s v="GENERIC"/>
    <s v="N/A"/>
    <s v="2025-10-10"/>
    <s v="KASPERSKY ANTI VIRUS"/>
    <n v="1"/>
    <n v="935"/>
    <n v="1300"/>
    <n v="1300"/>
    <s v="MARITESS"/>
  </r>
  <r>
    <x v="175"/>
    <s v="CHICKEN DELI - SO-193"/>
    <s v="SO-193"/>
    <s v="CHICKEN DELI"/>
    <s v="PAPA DOMS BAR &amp; REST."/>
    <s v="GENERIC"/>
    <s v="N/A"/>
    <s v="2025-10-10"/>
    <s v="SWITCH HUB"/>
    <n v="1"/>
    <n v="850"/>
    <n v="1200"/>
    <n v="1200"/>
    <s v="MARITESS"/>
  </r>
  <r>
    <x v="176"/>
    <s v="CHICKEN DELI - SO-194"/>
    <s v="SO-194"/>
    <s v="CHICKEN DELI"/>
    <s v="MORIBIZ RESTAURANT"/>
    <s v="GENERIC"/>
    <s v="N/A"/>
    <s v="2025-10-10"/>
    <s v="BACCHUS SQL"/>
    <n v="1"/>
    <n v="3675"/>
    <n v="10500"/>
    <n v="10500"/>
    <s v="MARITESS"/>
  </r>
  <r>
    <x v="176"/>
    <s v="CHICKEN DELI - SO-194"/>
    <s v="SO-194"/>
    <s v="CHICKEN DELI"/>
    <s v="MORIBIZ RESTAURANT"/>
    <s v="GENERIC"/>
    <s v="N/A"/>
    <s v="2025-10-10"/>
    <s v="IMPLEMENTATION"/>
    <n v="1"/>
    <n v="11650"/>
    <n v="11650"/>
    <n v="11650"/>
    <s v="MARITESS"/>
  </r>
  <r>
    <x v="176"/>
    <s v="CHICKEN DELI - SO-194"/>
    <s v="SO-194"/>
    <s v="CHICKEN DELI"/>
    <s v="MORIBIZ RESTAURANT"/>
    <s v="GENERIC"/>
    <s v="N/A"/>
    <s v="2025-10-10"/>
    <s v="ONE YEAR WARRANTY"/>
    <n v="1"/>
    <n v="11650"/>
    <n v="11650"/>
    <n v="11650"/>
    <s v="MARITESS"/>
  </r>
  <r>
    <x v="176"/>
    <s v="CHICKEN DELI - SO-194"/>
    <s v="SO-194"/>
    <s v="CHICKEN DELI"/>
    <s v="MORIBIZ RESTAURANT"/>
    <s v="GENERIC"/>
    <s v="N/A"/>
    <s v="2025-10-10"/>
    <s v="BIR REG."/>
    <n v="1"/>
    <n v="500"/>
    <n v="500"/>
    <n v="500"/>
    <s v="MARITESS"/>
  </r>
  <r>
    <x v="176"/>
    <s v="CHICKEN DELI - SO-194"/>
    <s v="SO-194"/>
    <s v="CHICKEN DELI"/>
    <s v="MORIBIZ RESTAURANT"/>
    <s v="GENERIC"/>
    <s v="N/A"/>
    <s v="2025-10-10"/>
    <s v="POSTECH TOUCHSCREEN MONITOR"/>
    <n v="1"/>
    <n v="11000"/>
    <n v="15500"/>
    <n v="15500"/>
    <s v="MARITESS"/>
  </r>
  <r>
    <x v="176"/>
    <s v="CHICKEN DELI - SO-194"/>
    <s v="SO-194"/>
    <s v="CHICKEN DELI"/>
    <s v="MORIBIZ RESTAURANT"/>
    <s v="GENERIC"/>
    <s v="N/A"/>
    <s v="2025-10-10"/>
    <s v="EPSON PRINTER TMU220D ( USB ) CASHIER"/>
    <n v="1"/>
    <n v="8500"/>
    <n v="12000"/>
    <n v="12000"/>
    <s v="MARITESS"/>
  </r>
  <r>
    <x v="176"/>
    <s v="CHICKEN DELI - SO-194"/>
    <s v="SO-194"/>
    <s v="CHICKEN DELI"/>
    <s v="MORIBIZ RESTAURANT"/>
    <s v="GENERIC"/>
    <s v="N/A"/>
    <s v="2025-10-10"/>
    <s v="EPSON PRINTER TMU220B ( LAN ) BAR"/>
    <n v="1"/>
    <n v="9500"/>
    <n v="13500"/>
    <n v="13500"/>
    <s v="MARITESS"/>
  </r>
  <r>
    <x v="176"/>
    <s v="CHICKEN DELI - SO-194"/>
    <s v="SO-194"/>
    <s v="CHICKEN DELI"/>
    <s v="MORIBIZ RESTAURANT"/>
    <s v="GENERIC"/>
    <s v="N/A"/>
    <s v="2025-10-10"/>
    <s v="EPSON PRINTER TMU 220 B ( LAN ) KITCHEN"/>
    <n v="1"/>
    <n v="9500"/>
    <n v="13500"/>
    <n v="13500"/>
    <s v="MARITESS"/>
  </r>
  <r>
    <x v="176"/>
    <s v="CHICKEN DELI - SO-194"/>
    <s v="SO-194"/>
    <s v="CHICKEN DELI"/>
    <s v="MORIBIZ RESTAURANT"/>
    <s v="GENERIC"/>
    <s v="N/A"/>
    <s v="2025-10-10"/>
    <s v="JOURNAL PAPER SINGLE PLY"/>
    <n v="50"/>
    <n v="850"/>
    <n v="1250"/>
    <n v="62500"/>
    <s v="MARITESS"/>
  </r>
  <r>
    <x v="176"/>
    <s v="CHICKEN DELI - SO-194"/>
    <s v="SO-194"/>
    <s v="CHICKEN DELI"/>
    <s v="MORIBIZ RESTAURANT"/>
    <s v="GENERIC"/>
    <s v="N/A"/>
    <s v="2025-10-10"/>
    <s v="ERC RIBBON"/>
    <n v="3"/>
    <n v="201"/>
    <n v="750"/>
    <n v="2250"/>
    <s v="MARITESS"/>
  </r>
  <r>
    <x v="176"/>
    <s v="CHICKEN DELI - SO-194"/>
    <s v="SO-194"/>
    <s v="CHICKEN DELI"/>
    <s v="MORIBIZ RESTAURANT"/>
    <s v="GENERIC"/>
    <s v="N/A"/>
    <s v="2025-10-10"/>
    <s v="MINI CASH DRAWER"/>
    <n v="1"/>
    <n v="1350"/>
    <n v="1900"/>
    <n v="1900"/>
    <s v="MARITESS"/>
  </r>
  <r>
    <x v="176"/>
    <s v="CHICKEN DELI - SO-194"/>
    <s v="SO-194"/>
    <s v="CHICKEN DELI"/>
    <s v="MORIBIZ RESTAURANT"/>
    <s v="GENERIC"/>
    <s v="N/A"/>
    <s v="2025-10-10"/>
    <s v="UNINTERRUPTIBLE POWER SUPPLY"/>
    <n v="1"/>
    <n v="2200"/>
    <n v="3100"/>
    <n v="3100"/>
    <s v="MARITESS"/>
  </r>
  <r>
    <x v="176"/>
    <s v="CHICKEN DELI - SO-194"/>
    <s v="SO-194"/>
    <s v="CHICKEN DELI"/>
    <s v="MORIBIZ RESTAURANT"/>
    <s v="GENERIC"/>
    <s v="N/A"/>
    <s v="2025-10-10"/>
    <s v="KASPERSKY ANTI VIRUS"/>
    <n v="1"/>
    <n v="935"/>
    <n v="1300"/>
    <n v="1300"/>
    <s v="MARITESS"/>
  </r>
  <r>
    <x v="176"/>
    <s v="CHICKEN DELI - SO-194"/>
    <s v="SO-194"/>
    <s v="CHICKEN DELI"/>
    <s v="MORIBIZ RESTAURANT"/>
    <s v="GENERIC"/>
    <s v="N/A"/>
    <s v="2025-10-10"/>
    <s v="SWITCH HUB"/>
    <n v="1"/>
    <n v="850"/>
    <n v="1200"/>
    <n v="1200"/>
    <s v="MARITESS"/>
  </r>
  <r>
    <x v="36"/>
    <s v="ELEVATED FOOD RECIPE INC - SO-194"/>
    <s v="SO-194"/>
    <s v="ELEVATED FOOD RECIPE INC"/>
    <s v="HEALTHY SHABUSHABU"/>
    <s v="GENERIC"/>
    <s v="COD"/>
    <s v="2025-12-04"/>
    <s v="EOS MINI CPU I5, 8GB RAM, 512 GB SSD"/>
    <n v="1"/>
    <n v="23450"/>
    <n v="30500"/>
    <n v="30500"/>
    <s v="MARITESS"/>
  </r>
  <r>
    <x v="36"/>
    <s v="ELEVATED FOOD RECIPE INC - SO-194"/>
    <s v="SO-194"/>
    <s v="ELEVATED FOOD RECIPE INC"/>
    <s v="HEALTHY SHABUSHABU"/>
    <s v="GENERIC"/>
    <s v="COD"/>
    <s v="2025-12-04"/>
    <s v="WINDOWS 11 PRO"/>
    <n v="1"/>
    <n v="2000"/>
    <n v="3500"/>
    <n v="3500"/>
    <s v="MARITESS"/>
  </r>
  <r>
    <x v="36"/>
    <s v="ELEVATED FOOD RECIPE INC - SO-194"/>
    <s v="SO-194"/>
    <s v="ELEVATED FOOD RECIPE INC"/>
    <s v="HEALTHY SHABUSHABU"/>
    <s v="GENERIC"/>
    <s v="COD"/>
    <s v="2025-12-04"/>
    <s v="KEYBOARD &amp; MOUSE"/>
    <n v="1"/>
    <n v="530"/>
    <n v="700"/>
    <n v="700"/>
    <s v="MARITESS"/>
  </r>
  <r>
    <x v="36"/>
    <s v="ELEVATED FOOD RECIPE INC - SO-194"/>
    <s v="SO-194"/>
    <s v="ELEVATED FOOD RECIPE INC"/>
    <s v="HEALTHY SHABUSHABU"/>
    <s v="GENERIC"/>
    <s v="COD"/>
    <s v="2025-12-04"/>
    <s v="EOS FAN WITH FAN COVER"/>
    <n v="1"/>
    <n v="350"/>
    <n v="500"/>
    <n v="500"/>
    <s v="MARITESS"/>
  </r>
  <r>
    <x v="36"/>
    <s v="ELEVATED FOOD RECIPE INC - SO-194"/>
    <s v="SO-194"/>
    <s v="ELEVATED FOOD RECIPE INC"/>
    <s v="HEALTHY SHABUSHABU"/>
    <s v="GENERIC"/>
    <s v="COD"/>
    <s v="2025-12-04"/>
    <s v="BIR APPLICATION"/>
    <n v="1"/>
    <n v="500"/>
    <n v="500"/>
    <n v="500"/>
    <s v="MARITESS"/>
  </r>
  <r>
    <x v="36"/>
    <s v="ELEVATED FOOD RECIPE INC - SO-194"/>
    <s v="SO-194"/>
    <s v="ELEVATED FOOD RECIPE INC"/>
    <s v="HEALTHY SHABUSHABU"/>
    <s v="GENERIC"/>
    <s v="COD"/>
    <s v="2025-12-04"/>
    <s v="DELIVERY FEE"/>
    <n v="1"/>
    <n v="300"/>
    <n v="300"/>
    <n v="300"/>
    <s v="MARITESS"/>
  </r>
  <r>
    <x v="2"/>
    <s v="CHICKEN DELI - SO-195"/>
    <s v="SO-195"/>
    <s v="CHICKEN DELI"/>
    <s v="GONGCHA"/>
    <s v="GENERIC"/>
    <s v="N/A"/>
    <s v="2025-10-13"/>
    <s v="MODIFICATION :"/>
    <n v="1"/>
    <n v="25000"/>
    <n v="25000"/>
    <n v="25000"/>
    <s v="MARITESS"/>
  </r>
  <r>
    <x v="36"/>
    <s v="ELEVATED FOOD RECIPE INC - SO-195"/>
    <s v="SO-195"/>
    <s v="ELEVATED FOOD RECIPE INC"/>
    <s v="HEALTHY SHABUSHABU"/>
    <s v="GENERIC"/>
    <s v="COD"/>
    <s v="2025-12-05"/>
    <s v="EPSON TMU220D USB PRINTER"/>
    <n v="1"/>
    <n v="8500"/>
    <n v="12200"/>
    <n v="12200"/>
    <s v="MARITESS"/>
  </r>
  <r>
    <x v="36"/>
    <s v="ELEVATED FOOD RECIPE INC - SO-195"/>
    <s v="SO-195"/>
    <s v="ELEVATED FOOD RECIPE INC"/>
    <s v="HEALTHY SHABUSHABU"/>
    <s v="GENERIC"/>
    <s v="COD"/>
    <s v="2025-12-05"/>
    <s v="DELIVERY"/>
    <n v="1"/>
    <n v="300"/>
    <n v="300"/>
    <n v="300"/>
    <s v="MARITESS"/>
  </r>
  <r>
    <x v="143"/>
    <s v="SARI SARI AI CORPORATION - SO-196"/>
    <s v="SO-196"/>
    <s v="SARI SARI AI CORPORATION"/>
    <s v="TOMORO"/>
    <s v="PAVILLION MALL LAGUNA"/>
    <s v="N/A"/>
    <s v="2025-12-10"/>
    <s v="EPSON TM-T82X THERMAL PRINTER (USB)"/>
    <n v="1"/>
    <n v="7500"/>
    <n v="12500"/>
    <n v="12500"/>
    <s v="RUDELYN"/>
  </r>
  <r>
    <x v="143"/>
    <s v="SARI SARI AI CORPORATION - SO-196"/>
    <s v="SO-196"/>
    <s v="SARI SARI AI CORPORATION"/>
    <s v="TOMORO"/>
    <s v="PAVILLION MALL LAGUNA"/>
    <s v="N/A"/>
    <s v="2025-12-10"/>
    <s v="DELIVERY FEE"/>
    <n v="1"/>
    <n v="500"/>
    <n v="500"/>
    <n v="500"/>
    <s v="RUDELYN"/>
  </r>
  <r>
    <x v="2"/>
    <s v="CHICKEN DELI - SO-196"/>
    <s v="SO-196"/>
    <s v="CHICKEN DELI"/>
    <s v="GONGCHA"/>
    <s v="GENERIC"/>
    <s v="N/A"/>
    <s v="2025-10-14"/>
    <s v="PRINTER HEAD"/>
    <n v="5"/>
    <n v="965"/>
    <n v="1300"/>
    <n v="6500"/>
    <s v="MARITESS"/>
  </r>
  <r>
    <x v="167"/>
    <s v="CRUZ MIRAFLOR DOMINGO - SO-197"/>
    <s v="SO-197"/>
    <s v="CRUZ MIRAFLOR DOMINGO"/>
    <s v="ARTISAN EMPORIUM"/>
    <s v="GENERIC"/>
    <s v="COD"/>
    <s v="2025-12-15"/>
    <s v="EOS MINI CPU I5, 8GB RAM, 512 GB SSD"/>
    <n v="1"/>
    <n v="23450"/>
    <n v="29500"/>
    <n v="29500"/>
    <s v="MARITESS"/>
  </r>
  <r>
    <x v="167"/>
    <s v="CRUZ MIRAFLOR DOMINGO - SO-197"/>
    <s v="SO-197"/>
    <s v="CRUZ MIRAFLOR DOMINGO"/>
    <s v="ARTISAN EMPORIUM"/>
    <s v="GENERIC"/>
    <s v="COD"/>
    <s v="2025-12-15"/>
    <s v="WINDOWS 11 PRO"/>
    <n v="1"/>
    <n v="2000"/>
    <n v="3500"/>
    <n v="3500"/>
    <s v="MARITESS"/>
  </r>
  <r>
    <x v="167"/>
    <s v="CRUZ MIRAFLOR DOMINGO - SO-197"/>
    <s v="SO-197"/>
    <s v="CRUZ MIRAFLOR DOMINGO"/>
    <s v="ARTISAN EMPORIUM"/>
    <s v="GENERIC"/>
    <s v="COD"/>
    <s v="2025-12-15"/>
    <s v="KEYBOARD &amp; MOUSE"/>
    <n v="1"/>
    <n v="530"/>
    <n v="700"/>
    <n v="700"/>
    <s v="MARITESS"/>
  </r>
  <r>
    <x v="167"/>
    <s v="CRUZ MIRAFLOR DOMINGO - SO-197"/>
    <s v="SO-197"/>
    <s v="CRUZ MIRAFLOR DOMINGO"/>
    <s v="ARTISAN EMPORIUM"/>
    <s v="GENERIC"/>
    <s v="COD"/>
    <s v="2025-12-15"/>
    <s v="EOS FAN WITH FAN COVER"/>
    <n v="1"/>
    <n v="350"/>
    <n v="500"/>
    <n v="500"/>
    <s v="MARITESS"/>
  </r>
  <r>
    <x v="167"/>
    <s v="CRUZ MIRAFLOR DOMINGO - SO-197"/>
    <s v="SO-197"/>
    <s v="CRUZ MIRAFLOR DOMINGO"/>
    <s v="ARTISAN EMPORIUM"/>
    <s v="GENERIC"/>
    <s v="COD"/>
    <s v="2025-12-15"/>
    <s v="BIR APPLICATION"/>
    <n v="1"/>
    <n v="500"/>
    <n v="500"/>
    <n v="500"/>
    <s v="MARITESS"/>
  </r>
  <r>
    <x v="167"/>
    <s v="CRUZ MIRAFLOR DOMINGO - SO-197"/>
    <s v="SO-197"/>
    <s v="CRUZ MIRAFLOR DOMINGO"/>
    <s v="ARTISAN EMPORIUM"/>
    <s v="GENERIC"/>
    <s v="COD"/>
    <s v="2025-12-15"/>
    <s v="DELIVERY FEE"/>
    <n v="1"/>
    <n v="300"/>
    <n v="300"/>
    <n v="300"/>
    <s v="MARITESS"/>
  </r>
  <r>
    <x v="114"/>
    <s v="CHICKEN DELI - SO-197"/>
    <s v="SO-197"/>
    <s v="CHICKEN DELI"/>
    <s v="PAOTSIN"/>
    <s v="GENERIC"/>
    <s v="N/A"/>
    <s v="2025-10-17"/>
    <s v="TSCERES SQL"/>
    <n v="1"/>
    <n v="2975"/>
    <n v="8500"/>
    <n v="8500"/>
    <s v="MARITESS"/>
  </r>
  <r>
    <x v="114"/>
    <s v="CHICKEN DELI - SO-197"/>
    <s v="SO-197"/>
    <s v="CHICKEN DELI"/>
    <s v="PAOTSIN"/>
    <s v="GENERIC"/>
    <s v="N/A"/>
    <s v="2025-10-17"/>
    <s v="ROLL OUT/ IMPLEMENTATION"/>
    <n v="1"/>
    <n v="14000"/>
    <n v="14000"/>
    <n v="14000"/>
    <s v="MARITESS"/>
  </r>
  <r>
    <x v="114"/>
    <s v="CHICKEN DELI - SO-197"/>
    <s v="SO-197"/>
    <s v="CHICKEN DELI"/>
    <s v="PAOTSIN"/>
    <s v="GENERIC"/>
    <s v="N/A"/>
    <s v="2025-10-17"/>
    <s v="ONE YEAR WARRANTY"/>
    <n v="1"/>
    <n v="14000"/>
    <n v="14000"/>
    <n v="14000"/>
    <s v="MARITESS"/>
  </r>
  <r>
    <x v="114"/>
    <s v="CHICKEN DELI - SO-197"/>
    <s v="SO-197"/>
    <s v="CHICKEN DELI"/>
    <s v="PAOTSIN"/>
    <s v="GENERIC"/>
    <s v="N/A"/>
    <s v="2025-10-17"/>
    <s v="BIR REGISTRATION"/>
    <n v="1"/>
    <n v="500"/>
    <n v="0"/>
    <n v="0"/>
    <s v="MARITESS"/>
  </r>
  <r>
    <x v="114"/>
    <s v="CHICKEN DELI - SO-197"/>
    <s v="SO-197"/>
    <s v="CHICKEN DELI"/>
    <s v="PAOTSIN"/>
    <s v="GENERIC"/>
    <s v="N/A"/>
    <s v="2025-10-17"/>
    <s v="POSTECH TOUCHSCREEN MONITOR"/>
    <n v="1"/>
    <n v="11000"/>
    <n v="0"/>
    <n v="0"/>
    <s v="MARITESS"/>
  </r>
  <r>
    <x v="114"/>
    <s v="CHICKEN DELI - SO-197"/>
    <s v="SO-197"/>
    <s v="CHICKEN DELI"/>
    <s v="PAOTSIN"/>
    <s v="GENERIC"/>
    <s v="N/A"/>
    <s v="2025-10-17"/>
    <s v="EPSON PRINTER TMU220D USB"/>
    <n v="1"/>
    <n v="8500"/>
    <n v="12100"/>
    <n v="12100"/>
    <s v="MARITESS"/>
  </r>
  <r>
    <x v="114"/>
    <s v="CHICKEN DELI - SO-197"/>
    <s v="SO-197"/>
    <s v="CHICKEN DELI"/>
    <s v="PAOTSIN"/>
    <s v="GENERIC"/>
    <s v="N/A"/>
    <s v="2025-10-17"/>
    <s v="MINI CASH DRAWER"/>
    <n v="1"/>
    <n v="1350"/>
    <n v="0"/>
    <n v="0"/>
    <s v="MARITESS"/>
  </r>
  <r>
    <x v="114"/>
    <s v="CHICKEN DELI - SO-197"/>
    <s v="SO-197"/>
    <s v="CHICKEN DELI"/>
    <s v="PAOTSIN"/>
    <s v="GENERIC"/>
    <s v="N/A"/>
    <s v="2025-10-17"/>
    <s v="UPS"/>
    <n v="1"/>
    <n v="2200"/>
    <n v="3100"/>
    <n v="3100"/>
    <s v="MARITESS"/>
  </r>
  <r>
    <x v="114"/>
    <s v="CHICKEN DELI - SO-197"/>
    <s v="SO-197"/>
    <s v="CHICKEN DELI"/>
    <s v="PAOTSIN"/>
    <s v="GENERIC"/>
    <s v="N/A"/>
    <s v="2025-10-17"/>
    <s v="KASPERSKY ANTI VIRUS"/>
    <n v="1"/>
    <n v="935"/>
    <n v="0"/>
    <n v="0"/>
    <s v="MARITESS"/>
  </r>
  <r>
    <x v="114"/>
    <s v="CHICKEN DELI - SO-197"/>
    <s v="SO-197"/>
    <s v="CHICKEN DELI"/>
    <s v="PAOTSIN"/>
    <s v="GENERIC"/>
    <s v="N/A"/>
    <s v="2025-10-17"/>
    <s v="DESKTOP INTEL CORE I5 ( 8GB / 480 SSD ) W/ KEYBOARD &amp; MOUSE"/>
    <n v="1"/>
    <n v="22500"/>
    <n v="32000"/>
    <n v="32000"/>
    <s v="MARITESS"/>
  </r>
  <r>
    <x v="114"/>
    <s v="CHICKEN DELI - SO-197"/>
    <s v="SO-197"/>
    <s v="CHICKEN DELI"/>
    <s v="PAOTSIN"/>
    <s v="GENERIC"/>
    <s v="N/A"/>
    <s v="2025-10-17"/>
    <s v="WINDOWS 11"/>
    <n v="1"/>
    <n v="2000"/>
    <n v="0"/>
    <n v="0"/>
    <s v="MARITESS"/>
  </r>
  <r>
    <x v="114"/>
    <s v="CHICKEN DELI - SO-197"/>
    <s v="SO-197"/>
    <s v="CHICKEN DELI"/>
    <s v="PAOTSIN"/>
    <s v="GENERIC"/>
    <s v="N/A"/>
    <s v="2025-10-17"/>
    <s v="DELIVERY CHARGE TOTAL"/>
    <n v="1"/>
    <n v="1000"/>
    <n v="1000"/>
    <n v="1000"/>
    <s v="MARITESS"/>
  </r>
  <r>
    <x v="177"/>
    <s v="JIBRILS SPECIALTY FOODS INC - SO-198"/>
    <s v="SO-198"/>
    <s v="JIBRILS SPECIALTY FOODS INC"/>
    <s v="JSFI CHICKEN BACOLOD"/>
    <s v="NORTH EXCHANGE"/>
    <s v="COD"/>
    <s v="2025-12-15"/>
    <s v="ACER MONITOR"/>
    <n v="1"/>
    <n v="4250"/>
    <n v="6000"/>
    <n v="6000"/>
    <s v="RUDELYN"/>
  </r>
  <r>
    <x v="108"/>
    <s v="CHICKEN DELI - SO-198"/>
    <s v="SO-198"/>
    <s v="CHICKEN DELI"/>
    <s v="GONGCHA PHILS."/>
    <s v="GENERIC"/>
    <s v="N/A"/>
    <s v="2025-10-20"/>
    <s v="EPSON PRINTER CABLE"/>
    <n v="20"/>
    <n v="20"/>
    <n v="100"/>
    <n v="2000"/>
    <s v="MARITESS"/>
  </r>
  <r>
    <x v="178"/>
    <s v="CHICKEN DELI - SO-199"/>
    <s v="SO-199"/>
    <s v="CHICKEN DELI"/>
    <s v="ROB.ERMITA"/>
    <s v="GENERIC"/>
    <s v="N/A"/>
    <s v="2025-10-20"/>
    <s v="EPSON PRINTER TMU220IIA ( USB )"/>
    <n v="1"/>
    <n v="13000"/>
    <n v="15500"/>
    <n v="15500"/>
    <s v="MARITESS"/>
  </r>
  <r>
    <x v="178"/>
    <s v="CHICKEN DELI - SO-199"/>
    <s v="SO-199"/>
    <s v="CHICKEN DELI"/>
    <s v="ROB.ERMITA"/>
    <s v="GENERIC"/>
    <s v="N/A"/>
    <s v="2025-10-20"/>
    <s v="DELIVERY CHARGE"/>
    <n v="1"/>
    <n v="500"/>
    <n v="500"/>
    <n v="500"/>
    <s v="MARITESS"/>
  </r>
  <r>
    <x v="179"/>
    <s v="ROKUGROUP INC - SO-199"/>
    <s v="SO-199"/>
    <s v="ROKUGROUP INC"/>
    <s v="NARA THAI"/>
    <s v="GENERIC"/>
    <s v="COD"/>
    <s v="2025-12-15"/>
    <s v="EPSON TMU220D USB PRINTER"/>
    <n v="1"/>
    <n v="8500"/>
    <n v="12200"/>
    <n v="12200"/>
    <s v="MARITESS"/>
  </r>
  <r>
    <x v="179"/>
    <s v="ROKUGROUP INC - SO-199"/>
    <s v="SO-199"/>
    <s v="ROKUGROUP INC"/>
    <s v="NARA THAI"/>
    <s v="GENERIC"/>
    <s v="COD"/>
    <s v="2025-12-15"/>
    <s v="DELIVERY"/>
    <n v="1"/>
    <n v="300"/>
    <n v="300"/>
    <n v="300"/>
    <s v="MARITESS"/>
  </r>
  <r>
    <x v="180"/>
    <s v="ARTHUR S PRIME MANILA INC - SO-200"/>
    <s v="SO-200"/>
    <s v="ARTHUR S PRIME MANILA INC"/>
    <s v="ARTHUR'S PRIME MANILA INC."/>
    <s v="MANILA GOLF FAIRWAYS"/>
    <s v="COD"/>
    <s v="2025-12-15"/>
    <s v="PREVENTIVE MAINTENANCE COVERED DATE: DEC. 17, 2025 - DEC. 16, 2026"/>
    <n v="1"/>
    <n v="15000"/>
    <n v="15000"/>
    <n v="15000"/>
    <s v="RUDELYN"/>
  </r>
  <r>
    <x v="181"/>
    <s v="CHICKEN DELI - SO-200"/>
    <s v="SO-200"/>
    <s v="CHICKEN DELI"/>
    <s v="BAGUIO"/>
    <s v="GENERIC"/>
    <s v="N/A"/>
    <s v="2025-10-20"/>
    <s v="EPSON PRINTER TMU22IIA ( USB )"/>
    <n v="1"/>
    <n v="13000"/>
    <n v="15500"/>
    <n v="15500"/>
    <s v="MARITESS"/>
  </r>
  <r>
    <x v="181"/>
    <s v="CHICKEN DELI - SO-200"/>
    <s v="SO-200"/>
    <s v="CHICKEN DELI"/>
    <s v="BAGUIO"/>
    <s v="GENERIC"/>
    <s v="N/A"/>
    <s v="2025-10-20"/>
    <s v="DELIVERY CHARGE"/>
    <n v="1"/>
    <n v="500"/>
    <n v="500"/>
    <n v="500"/>
    <s v="MARITESS"/>
  </r>
  <r>
    <x v="182"/>
    <s v="ETHERNAL BRIGHT SANCTUARY INC - SO-201"/>
    <s v="SO-201"/>
    <s v="ETHERNAL BRIGHT SANCTUARY INC"/>
    <s v="LALA'S RESTAURANT"/>
    <s v="GENERIC"/>
    <s v="N/A"/>
    <s v="2025-12-17"/>
    <s v="BACCHUS SQL + VERSION 2"/>
    <n v="1"/>
    <n v="3675"/>
    <n v="10500"/>
    <n v="10500"/>
    <s v="MARITESS"/>
  </r>
  <r>
    <x v="182"/>
    <s v="ETHERNAL BRIGHT SANCTUARY INC - SO-201"/>
    <s v="SO-201"/>
    <s v="ETHERNAL BRIGHT SANCTUARY INC"/>
    <s v="LALA'S RESTAURANT"/>
    <s v="GENERIC"/>
    <s v="N/A"/>
    <s v="2025-12-17"/>
    <s v="ROLLOUT IMPLEMENTATION"/>
    <n v="1"/>
    <n v="14500"/>
    <n v="14500"/>
    <n v="14500"/>
    <s v="MARITESS"/>
  </r>
  <r>
    <x v="182"/>
    <s v="ETHERNAL BRIGHT SANCTUARY INC - SO-201"/>
    <s v="SO-201"/>
    <s v="ETHERNAL BRIGHT SANCTUARY INC"/>
    <s v="LALA'S RESTAURANT"/>
    <s v="GENERIC"/>
    <s v="N/A"/>
    <s v="2025-12-17"/>
    <s v="1 YEAR WARRANTY"/>
    <n v="1"/>
    <n v="14500"/>
    <n v="14500"/>
    <n v="14500"/>
    <s v="MARITESS"/>
  </r>
  <r>
    <x v="182"/>
    <s v="ETHERNAL BRIGHT SANCTUARY INC - SO-201"/>
    <s v="SO-201"/>
    <s v="ETHERNAL BRIGHT SANCTUARY INC"/>
    <s v="LALA'S RESTAURANT"/>
    <s v="GENERIC"/>
    <s v="N/A"/>
    <s v="2025-12-17"/>
    <s v="BIR APPLICATION"/>
    <n v="1"/>
    <n v="500"/>
    <n v="500"/>
    <n v="500"/>
    <s v="MARITESS"/>
  </r>
  <r>
    <x v="182"/>
    <s v="ETHERNAL BRIGHT SANCTUARY INC - SO-201"/>
    <s v="SO-201"/>
    <s v="ETHERNAL BRIGHT SANCTUARY INC"/>
    <s v="LALA'S RESTAURANT"/>
    <s v="GENERIC"/>
    <s v="N/A"/>
    <s v="2025-12-17"/>
    <s v="ORDERING STATION"/>
    <n v="1"/>
    <n v="3500"/>
    <n v="10000"/>
    <n v="10000"/>
    <s v="MARITESS"/>
  </r>
  <r>
    <x v="182"/>
    <s v="ETHERNAL BRIGHT SANCTUARY INC - SO-201"/>
    <s v="SO-201"/>
    <s v="ETHERNAL BRIGHT SANCTUARY INC"/>
    <s v="LALA'S RESTAURANT"/>
    <s v="GENERIC"/>
    <s v="N/A"/>
    <s v="2025-12-17"/>
    <s v="15&quot; TOUCHSCREEN MONITOR"/>
    <n v="2"/>
    <n v="11000"/>
    <n v="15500"/>
    <n v="31000"/>
    <s v="MARITESS"/>
  </r>
  <r>
    <x v="182"/>
    <s v="ETHERNAL BRIGHT SANCTUARY INC - SO-201"/>
    <s v="SO-201"/>
    <s v="ETHERNAL BRIGHT SANCTUARY INC"/>
    <s v="LALA'S RESTAURANT"/>
    <s v="GENERIC"/>
    <s v="N/A"/>
    <s v="2025-12-17"/>
    <s v="CASH DRAWER"/>
    <n v="1"/>
    <n v="2185"/>
    <n v="3000"/>
    <n v="3000"/>
    <s v="MARITESS"/>
  </r>
  <r>
    <x v="182"/>
    <s v="ETHERNAL BRIGHT SANCTUARY INC - SO-201"/>
    <s v="SO-201"/>
    <s v="ETHERNAL BRIGHT SANCTUARY INC"/>
    <s v="LALA'S RESTAURANT"/>
    <s v="GENERIC"/>
    <s v="N/A"/>
    <s v="2025-12-17"/>
    <s v="APC UPS"/>
    <n v="2"/>
    <n v="2200"/>
    <n v="3000"/>
    <n v="6000"/>
    <s v="MARITESS"/>
  </r>
  <r>
    <x v="182"/>
    <s v="ETHERNAL BRIGHT SANCTUARY INC - SO-201"/>
    <s v="SO-201"/>
    <s v="ETHERNAL BRIGHT SANCTUARY INC"/>
    <s v="LALA'S RESTAURANT"/>
    <s v="GENERIC"/>
    <s v="N/A"/>
    <s v="2025-12-17"/>
    <s v="EPSON TMU220D USB PRINTER (MANUAL CUT)"/>
    <n v="1"/>
    <n v="8500"/>
    <n v="12000"/>
    <n v="12000"/>
    <s v="MARITESS"/>
  </r>
  <r>
    <x v="182"/>
    <s v="ETHERNAL BRIGHT SANCTUARY INC - SO-201"/>
    <s v="SO-201"/>
    <s v="ETHERNAL BRIGHT SANCTUARY INC"/>
    <s v="LALA'S RESTAURANT"/>
    <s v="GENERIC"/>
    <s v="N/A"/>
    <s v="2025-12-17"/>
    <s v="EPSON TMU220IID LAN PRINTER (MANUAL CUT)"/>
    <n v="4"/>
    <n v="9850"/>
    <n v="12500"/>
    <n v="50000"/>
    <s v="MARITESS"/>
  </r>
  <r>
    <x v="182"/>
    <s v="ETHERNAL BRIGHT SANCTUARY INC - SO-201"/>
    <s v="SO-201"/>
    <s v="ETHERNAL BRIGHT SANCTUARY INC"/>
    <s v="LALA'S RESTAURANT"/>
    <s v="GENERIC"/>
    <s v="N/A"/>
    <s v="2025-12-17"/>
    <s v="DESKTOP CPU I5, 8GB RAM, 512 GB SSD"/>
    <n v="2"/>
    <n v="21500"/>
    <n v="30250"/>
    <n v="60500"/>
    <s v="MARITESS"/>
  </r>
  <r>
    <x v="2"/>
    <s v="CHICKEN DELI - SO-201"/>
    <s v="SO-201"/>
    <s v="CHICKEN DELI"/>
    <s v="GONGCHA"/>
    <s v="GENERIC"/>
    <s v="N/A"/>
    <s v="2025-10-24"/>
    <s v="TSCERES"/>
    <n v="1"/>
    <n v="3675"/>
    <n v="10500"/>
    <n v="10500"/>
    <s v="MARITESS"/>
  </r>
  <r>
    <x v="2"/>
    <s v="CHICKEN DELI - SO-201"/>
    <s v="SO-201"/>
    <s v="CHICKEN DELI"/>
    <s v="GONGCHA"/>
    <s v="GENERIC"/>
    <s v="N/A"/>
    <s v="2025-10-24"/>
    <s v="ROLL OUT"/>
    <n v="1"/>
    <n v="9500"/>
    <n v="9500"/>
    <n v="9500"/>
    <s v="MARITESS"/>
  </r>
  <r>
    <x v="2"/>
    <s v="CHICKEN DELI - SO-201"/>
    <s v="SO-201"/>
    <s v="CHICKEN DELI"/>
    <s v="GONGCHA"/>
    <s v="GENERIC"/>
    <s v="N/A"/>
    <s v="2025-10-24"/>
    <s v="IMPLEMENTATION"/>
    <n v="1"/>
    <n v="9500"/>
    <n v="9500"/>
    <n v="9500"/>
    <s v="MARITESS"/>
  </r>
  <r>
    <x v="2"/>
    <s v="CHICKEN DELI - SO-201"/>
    <s v="SO-201"/>
    <s v="CHICKEN DELI"/>
    <s v="GONGCHA"/>
    <s v="GENERIC"/>
    <s v="N/A"/>
    <s v="2025-10-24"/>
    <s v="BIR REG."/>
    <n v="1"/>
    <n v="500"/>
    <n v="500"/>
    <n v="500"/>
    <s v="MARITESS"/>
  </r>
  <r>
    <x v="2"/>
    <s v="CHICKEN DELI - SO-202"/>
    <s v="SO-202"/>
    <s v="CHICKEN DELI"/>
    <s v="GONGCHA"/>
    <s v="GENERIC"/>
    <s v="N/A"/>
    <s v="2025-10-24"/>
    <s v="TSCERES"/>
    <n v="1"/>
    <n v="3675"/>
    <n v="10500"/>
    <n v="10500"/>
    <s v="MARITESS"/>
  </r>
  <r>
    <x v="2"/>
    <s v="CHICKEN DELI - SO-202"/>
    <s v="SO-202"/>
    <s v="CHICKEN DELI"/>
    <s v="GONGCHA"/>
    <s v="GENERIC"/>
    <s v="N/A"/>
    <s v="2025-10-24"/>
    <s v="ROLL OUT"/>
    <n v="1"/>
    <n v="9500"/>
    <n v="9500"/>
    <n v="9500"/>
    <s v="MARITESS"/>
  </r>
  <r>
    <x v="2"/>
    <s v="CHICKEN DELI - SO-202"/>
    <s v="SO-202"/>
    <s v="CHICKEN DELI"/>
    <s v="GONGCHA"/>
    <s v="GENERIC"/>
    <s v="N/A"/>
    <s v="2025-10-24"/>
    <s v="IMPLEMENTATION"/>
    <n v="1"/>
    <n v="9500"/>
    <n v="9500"/>
    <n v="9500"/>
    <s v="MARITESS"/>
  </r>
  <r>
    <x v="2"/>
    <s v="CHICKEN DELI - SO-202"/>
    <s v="SO-202"/>
    <s v="CHICKEN DELI"/>
    <s v="GONGCHA"/>
    <s v="GENERIC"/>
    <s v="N/A"/>
    <s v="2025-10-24"/>
    <s v="BIR REG."/>
    <n v="1"/>
    <n v="500"/>
    <n v="500"/>
    <n v="500"/>
    <s v="MARITESS"/>
  </r>
  <r>
    <x v="183"/>
    <s v="THREE STARS VENTURES INC - SO-202"/>
    <s v="SO-202"/>
    <s v="THREE STARS VENTURES INC"/>
    <s v="FLUFF PANCAKES &amp;  COFFEE"/>
    <s v="ROB. MANILA"/>
    <s v="N/A"/>
    <s v="2025-12-17"/>
    <s v="WINDOWS 11 PRO"/>
    <n v="1"/>
    <n v="2000"/>
    <n v="3000"/>
    <n v="3000"/>
    <s v="RUDELYN"/>
  </r>
  <r>
    <x v="183"/>
    <s v="THREE STARS VENTURES INC - SO-202"/>
    <s v="SO-202"/>
    <s v="THREE STARS VENTURES INC"/>
    <s v="FLUFF PANCAKES &amp;  COFFEE"/>
    <s v="ROB. MANILA"/>
    <s v="N/A"/>
    <s v="2025-12-17"/>
    <s v="512GB SSD"/>
    <n v="1"/>
    <n v="2650"/>
    <n v="4000"/>
    <n v="4000"/>
    <s v="RUDELYN"/>
  </r>
  <r>
    <x v="94"/>
    <s v="DAGDAGAN MICHAEL ENRICO SY - SO-203"/>
    <s v="SO-203"/>
    <s v="DAGDAGAN MICHAEL ENRICO SY"/>
    <s v="KALBROS BAR AND RESTAURANT"/>
    <s v="GENERIC"/>
    <s v="N/A"/>
    <s v="2025-12-17"/>
    <s v="JOURNAL PAPER - SINGLE PLY"/>
    <n v="50"/>
    <n v="17"/>
    <n v="30"/>
    <n v="1500"/>
    <s v="MARITESS"/>
  </r>
  <r>
    <x v="33"/>
    <s v="M W TOWNSTORE - SO-203"/>
    <s v="SO-203"/>
    <s v="M W TOWNSTORE"/>
    <s v="M &amp; W"/>
    <s v="GENERIC"/>
    <s v="N/A"/>
    <s v="2025-10-28"/>
    <s v="EPSON TMU 220B PRINTER"/>
    <n v="1"/>
    <n v="9500"/>
    <n v="13500"/>
    <n v="13500"/>
    <s v="MARITESS"/>
  </r>
  <r>
    <x v="33"/>
    <s v="M W TOWNSTORE - SO-203"/>
    <s v="SO-203"/>
    <s v="M W TOWNSTORE"/>
    <s v="M &amp; W"/>
    <s v="GENERIC"/>
    <s v="N/A"/>
    <s v="2025-10-28"/>
    <s v="DELIVERY CHARGE"/>
    <n v="1"/>
    <n v="1500"/>
    <n v="1500"/>
    <n v="1500"/>
    <s v="MARITESS"/>
  </r>
  <r>
    <x v="184"/>
    <s v="CANELLE FOOD CORPORATION - SO-204"/>
    <s v="SO-204"/>
    <s v="CANELLE FOOD CORPORATION"/>
    <s v="CINNABON"/>
    <s v="ES:"/>
    <s v="N/A"/>
    <s v="2025-12-17"/>
    <s v="PREVENTIVE MAINTENANCE"/>
    <n v="26"/>
    <n v="10000"/>
    <n v="10000"/>
    <n v="260000"/>
    <s v="MARITESS"/>
  </r>
  <r>
    <x v="20"/>
    <s v="CHICKEN DELI - SO-204"/>
    <s v="SO-204"/>
    <s v="CHICKEN DELI"/>
    <s v="MN+LA APPAREL"/>
    <s v="GENERIC"/>
    <s v="N/A"/>
    <s v="2025-10-28"/>
    <s v="JOURNAL PAPER ( DOUBLE PLY"/>
    <n v="50"/>
    <n v="32"/>
    <n v="50"/>
    <n v="2500"/>
    <s v="MARITESS"/>
  </r>
  <r>
    <x v="185"/>
    <s v="2SWR GROUPS INC - SO-205"/>
    <s v="SO-205"/>
    <s v="2SWR GROUPS INC"/>
    <s v="CINNABON"/>
    <s v="ES:"/>
    <s v="N/A"/>
    <s v="2025-12-17"/>
    <s v="PREVENTIVE MAINTENANCE"/>
    <n v="1"/>
    <n v="10000"/>
    <n v="10000"/>
    <n v="10000"/>
    <s v="MARITESS"/>
  </r>
  <r>
    <x v="174"/>
    <s v="CHICKEN DELI - SO-205"/>
    <s v="SO-205"/>
    <s v="CHICKEN DELI"/>
    <s v="THE VIEW REST."/>
    <s v="GENERIC"/>
    <s v="N/A"/>
    <s v="N/A"/>
    <s v="JOURNAL PAPER ( 3PLY )"/>
    <n v="50"/>
    <n v="35"/>
    <n v="80"/>
    <n v="4000"/>
    <s v="MARITESS"/>
  </r>
  <r>
    <x v="186"/>
    <s v="CINNALAND FOOD CORPORATION - SO-206"/>
    <s v="SO-206"/>
    <s v="CINNALAND FOOD CORPORATION"/>
    <s v="CINNABON"/>
    <s v="ES:"/>
    <s v="N/A"/>
    <s v="2025-12-17"/>
    <s v="PREVENTIVE MAINTENANCE"/>
    <n v="1"/>
    <n v="10000"/>
    <n v="10000"/>
    <n v="10000"/>
    <s v="MARITESS"/>
  </r>
  <r>
    <x v="2"/>
    <s v="CHICKEN DELI - SO-206"/>
    <s v="SO-206"/>
    <s v="CHICKEN DELI"/>
    <s v="GONGCHA"/>
    <s v="GENERIC"/>
    <s v="N/A"/>
    <s v="2025-11-06"/>
    <s v="PRINTER HEAD"/>
    <n v="5"/>
    <n v="965"/>
    <n v="1300"/>
    <n v="6500"/>
    <s v="MARITESS"/>
  </r>
  <r>
    <x v="187"/>
    <s v="CINNAROLL BAKERY CORPORATION - SO-207"/>
    <s v="SO-207"/>
    <s v="CINNAROLL BAKERY CORPORATION"/>
    <s v="CINNABON"/>
    <s v="ES:"/>
    <s v="N/A"/>
    <s v="2025-12-17"/>
    <s v="PREVENTIVE MAINTENANCE"/>
    <n v="1"/>
    <n v="10000"/>
    <n v="10000"/>
    <n v="10000"/>
    <s v="MARITESS"/>
  </r>
  <r>
    <x v="10"/>
    <s v="CHICKEN DELI - SO-207"/>
    <s v="SO-207"/>
    <s v="CHICKEN DELI"/>
    <s v="MAGOOS"/>
    <s v="GENERIC"/>
    <s v="N/A"/>
    <s v="2025-11-07"/>
    <s v="TSCERES LITE ( BACCHUS REG. )"/>
    <n v="1"/>
    <n v="2975"/>
    <n v="8500"/>
    <n v="8500"/>
    <s v="MARITESS"/>
  </r>
  <r>
    <x v="10"/>
    <s v="CHICKEN DELI - SO-207"/>
    <s v="SO-207"/>
    <s v="CHICKEN DELI"/>
    <s v="MAGOOS"/>
    <s v="GENERIC"/>
    <s v="N/A"/>
    <s v="2025-11-07"/>
    <s v="ROLL OUT/ IMPLEMENTATION"/>
    <n v="1"/>
    <n v="8250"/>
    <n v="8250"/>
    <n v="8250"/>
    <s v="MARITESS"/>
  </r>
  <r>
    <x v="10"/>
    <s v="CHICKEN DELI - SO-207"/>
    <s v="SO-207"/>
    <s v="CHICKEN DELI"/>
    <s v="MAGOOS"/>
    <s v="GENERIC"/>
    <s v="N/A"/>
    <s v="2025-11-07"/>
    <s v="ONE YEAR WARRANTY"/>
    <n v="1"/>
    <n v="8250"/>
    <n v="8250"/>
    <n v="8250"/>
    <s v="MARITESS"/>
  </r>
  <r>
    <x v="10"/>
    <s v="CHICKEN DELI - SO-207"/>
    <s v="SO-207"/>
    <s v="CHICKEN DELI"/>
    <s v="MAGOOS"/>
    <s v="GENERIC"/>
    <s v="N/A"/>
    <s v="2025-11-07"/>
    <s v="BIR REGISTRATION"/>
    <n v="1"/>
    <n v="500"/>
    <n v="500"/>
    <n v="500"/>
    <s v="MARITESS"/>
  </r>
  <r>
    <x v="10"/>
    <s v="CHICKEN DELI - SO-207"/>
    <s v="SO-207"/>
    <s v="CHICKEN DELI"/>
    <s v="MAGOOS"/>
    <s v="GENERIC"/>
    <s v="N/A"/>
    <s v="2025-11-07"/>
    <s v="EPSON TMU220IIA"/>
    <n v="1"/>
    <n v="13000"/>
    <n v="16000"/>
    <n v="16000"/>
    <s v="MARITESS"/>
  </r>
  <r>
    <x v="10"/>
    <s v="CHICKEN DELI - SO-207"/>
    <s v="SO-207"/>
    <s v="CHICKEN DELI"/>
    <s v="MAGOOS"/>
    <s v="GENERIC"/>
    <s v="N/A"/>
    <s v="2025-11-07"/>
    <s v="MINI CASH BOX"/>
    <n v="1"/>
    <n v="1350"/>
    <n v="2100"/>
    <n v="2100"/>
    <s v="MARITESS"/>
  </r>
  <r>
    <x v="10"/>
    <s v="CHICKEN DELI - SO-207"/>
    <s v="SO-207"/>
    <s v="CHICKEN DELI"/>
    <s v="MAGOOS"/>
    <s v="GENERIC"/>
    <s v="N/A"/>
    <s v="2025-11-07"/>
    <s v="DELIVERY CHARGE"/>
    <n v="1"/>
    <n v="500"/>
    <n v="500"/>
    <n v="500"/>
    <s v="MARITESS"/>
  </r>
  <r>
    <x v="2"/>
    <s v="CHICKEN DELI - SO-208"/>
    <s v="SO-208"/>
    <s v="CHICKEN DELI"/>
    <s v="GONGCHA"/>
    <s v="GENERIC"/>
    <s v="N/A"/>
    <s v="2025-11-07"/>
    <s v="PREVENTIVE MAINTENANCE"/>
    <n v="5"/>
    <n v="6500"/>
    <n v="6500"/>
    <n v="32500"/>
    <s v="MARITESS"/>
  </r>
  <r>
    <x v="188"/>
    <s v="FROSTED BAKED BUNS CORP - SO-208"/>
    <s v="SO-208"/>
    <s v="FROSTED BAKED BUNS CORP"/>
    <s v="CINNABON"/>
    <s v="ES:"/>
    <s v="N/A"/>
    <s v="2025-12-17"/>
    <s v="PREVENTIVE MAINTENANCE"/>
    <n v="1"/>
    <n v="10000"/>
    <n v="10000"/>
    <n v="10000"/>
    <s v="MARITESS"/>
  </r>
  <r>
    <x v="189"/>
    <s v="FROSTED ROLLS INC - SO-209"/>
    <s v="SO-209"/>
    <s v="FROSTED ROLLS INC"/>
    <s v="CINNABON"/>
    <s v="ES:"/>
    <s v="N/A"/>
    <s v="2025-12-17"/>
    <s v="PREVENTIVE MAINTENANCE"/>
    <n v="1"/>
    <n v="10000"/>
    <n v="10000"/>
    <n v="10000"/>
    <s v="MARITESS"/>
  </r>
  <r>
    <x v="2"/>
    <s v="CHICKEN DELI - SO-209"/>
    <s v="SO-209"/>
    <s v="CHICKEN DELI"/>
    <s v="GONGCHA"/>
    <s v="GENERIC"/>
    <s v="N/A"/>
    <s v="2025-11-07"/>
    <s v="PREVENTIVE MAINTENANCE"/>
    <n v="1"/>
    <n v="6500"/>
    <n v="6500"/>
    <n v="6500"/>
    <s v="MARITESS"/>
  </r>
  <r>
    <x v="190"/>
    <s v="FROSTING ON ROLLS INC - SO-210"/>
    <s v="SO-210"/>
    <s v="FROSTING ON ROLLS INC"/>
    <s v="CINNABON"/>
    <s v="ES:"/>
    <s v="N/A"/>
    <s v="2025-12-17"/>
    <s v="PREVENTIVE MAINTENANCE"/>
    <n v="1"/>
    <n v="10000"/>
    <n v="10000"/>
    <n v="10000"/>
    <s v="MARITESS"/>
  </r>
  <r>
    <x v="2"/>
    <s v="CHICKEN DELI - SO-210"/>
    <s v="SO-210"/>
    <s v="CHICKEN DELI"/>
    <s v="GONGCHA"/>
    <s v="GENERIC"/>
    <s v="N/A"/>
    <s v="2025-11-07"/>
    <s v="PREVENTIVE MAINTENANCE"/>
    <n v="2"/>
    <n v="6500"/>
    <n v="6500"/>
    <n v="13000"/>
    <s v="MARITESS"/>
  </r>
  <r>
    <x v="191"/>
    <s v="IGO WAFU FOOD CORP - SO-211"/>
    <s v="SO-211"/>
    <s v="IGO WAFU FOOD CORP"/>
    <s v="CINNABON"/>
    <s v="ES:"/>
    <s v="N/A"/>
    <s v="2025-12-17"/>
    <s v="PREVENTIVE MAINTENANCE"/>
    <n v="1"/>
    <n v="10000"/>
    <n v="10000"/>
    <n v="10000"/>
    <s v="MARITESS"/>
  </r>
  <r>
    <x v="2"/>
    <s v="CHICKEN DELI - SO-211"/>
    <s v="SO-211"/>
    <s v="CHICKEN DELI"/>
    <s v="GONGCHA"/>
    <s v="GENERIC"/>
    <s v="N/A"/>
    <s v="2025-11-07"/>
    <s v="PREVENTIVE MAINTENANCE"/>
    <n v="1"/>
    <n v="6500"/>
    <n v="6500"/>
    <n v="6500"/>
    <s v="MARITESS"/>
  </r>
  <r>
    <x v="192"/>
    <s v="ILO CANELLA FOOD CORPORATION - SO-212"/>
    <s v="SO-212"/>
    <s v="ILO CANELLA FOOD CORPORATION"/>
    <s v="CINNABON"/>
    <s v="ES:"/>
    <s v="N/A"/>
    <s v="2025-12-17"/>
    <s v="PREVENTIVE MAINTENANCE"/>
    <n v="1"/>
    <n v="10000"/>
    <n v="10000"/>
    <n v="10000"/>
    <s v="MARITESS"/>
  </r>
  <r>
    <x v="2"/>
    <s v="CHICKEN DELI - SO-212"/>
    <s v="SO-212"/>
    <s v="CHICKEN DELI"/>
    <s v="GONGCHA"/>
    <s v="GENERIC"/>
    <s v="N/A"/>
    <s v="2025-11-07"/>
    <s v="PREVENTIVE MAINTENANCE"/>
    <n v="1"/>
    <n v="6500"/>
    <n v="6500"/>
    <n v="6500"/>
    <s v="MARITESS"/>
  </r>
  <r>
    <x v="193"/>
    <s v="LNF FOOD INC - SO-213"/>
    <s v="SO-213"/>
    <s v="LNF FOOD INC"/>
    <s v="CINNABON"/>
    <s v="ES:"/>
    <s v="N/A"/>
    <s v="2025-12-17"/>
    <s v="PREVENTIVE MAINTENANCE"/>
    <n v="1"/>
    <n v="10000"/>
    <n v="10000"/>
    <n v="10000"/>
    <s v="MARITESS"/>
  </r>
  <r>
    <x v="2"/>
    <s v="CHICKEN DELI - SO-213"/>
    <s v="SO-213"/>
    <s v="CHICKEN DELI"/>
    <s v="GONGCHA"/>
    <s v="GENERIC"/>
    <s v="N/A"/>
    <s v="2025-11-07"/>
    <s v="PREVENTIVE MAINTENANCE"/>
    <n v="2"/>
    <n v="6500"/>
    <n v="6500"/>
    <n v="13000"/>
    <s v="MARITESS"/>
  </r>
  <r>
    <x v="194"/>
    <s v="ROADSIDE ROLLS FOOD CORP - SO-214"/>
    <s v="SO-214"/>
    <s v="ROADSIDE ROLLS FOOD CORP"/>
    <s v="CINNABON"/>
    <s v="ES:"/>
    <s v="N/A"/>
    <s v="2025-12-17"/>
    <s v="PREVENTIVE MAINTENANCE"/>
    <n v="1"/>
    <n v="10000"/>
    <n v="10000"/>
    <n v="10000"/>
    <s v="MARITESS"/>
  </r>
  <r>
    <x v="2"/>
    <s v="CHICKEN DELI - SO-214"/>
    <s v="SO-214"/>
    <s v="CHICKEN DELI"/>
    <s v="GONGCHA"/>
    <s v="GENERIC"/>
    <s v="N/A"/>
    <s v="2025-11-07"/>
    <s v="PREVENTIVE MAINTENANCE"/>
    <n v="1"/>
    <n v="6500"/>
    <n v="6500"/>
    <n v="6500"/>
    <s v="MARITESS"/>
  </r>
  <r>
    <x v="195"/>
    <s v="SWEET AND FROSTED INC - SO-215"/>
    <s v="SO-215"/>
    <s v="SWEET AND FROSTED INC"/>
    <s v="CINNABON"/>
    <s v="ES:"/>
    <s v="N/A"/>
    <s v="2025-12-17"/>
    <s v="PREVENTIVE MAINTENANCE"/>
    <n v="1"/>
    <n v="10000"/>
    <n v="10000"/>
    <n v="10000"/>
    <s v="MARITESS"/>
  </r>
  <r>
    <x v="43"/>
    <s v="CHICKEN DELI - SO-215"/>
    <s v="SO-215"/>
    <s v="CHICKEN DELI"/>
    <s v="GOOD MOLECULES"/>
    <s v="GENERIC"/>
    <s v="N/A"/>
    <s v="2025-11-11"/>
    <s v="JOURNAL PAPER ( DOUBLE PLY )"/>
    <n v="30"/>
    <n v="960"/>
    <n v="1500"/>
    <n v="45000"/>
    <s v="MARITESS"/>
  </r>
  <r>
    <x v="196"/>
    <s v="SWEET STOP STATION INC - SO-216"/>
    <s v="SO-216"/>
    <s v="SWEET STOP STATION INC"/>
    <s v="CINNABON"/>
    <s v="ES:"/>
    <s v="N/A"/>
    <s v="2025-12-17"/>
    <s v="PREVENTIVE MAINTENANCE"/>
    <n v="1"/>
    <n v="10000"/>
    <n v="10000"/>
    <n v="10000"/>
    <s v="MARITESS"/>
  </r>
  <r>
    <x v="50"/>
    <s v="CHICKEN DELI - SO-216"/>
    <s v="SO-216"/>
    <s v="CHICKEN DELI"/>
    <s v="KARIMADON"/>
    <s v="GENERIC"/>
    <s v="N/A"/>
    <s v="2025-11-12"/>
    <s v="MINI CASH BOX"/>
    <n v="1"/>
    <n v="1350"/>
    <n v="2600"/>
    <n v="2600"/>
    <s v="MARITESS"/>
  </r>
  <r>
    <x v="50"/>
    <s v="CHICKEN DELI - SO-216"/>
    <s v="SO-216"/>
    <s v="CHICKEN DELI"/>
    <s v="KARIMADON"/>
    <s v="GENERIC"/>
    <s v="N/A"/>
    <s v="2025-11-12"/>
    <s v="DELIVERY CHARGE"/>
    <n v="1"/>
    <n v="500"/>
    <n v="500"/>
    <n v="500"/>
    <s v="MARITESS"/>
  </r>
  <r>
    <x v="197"/>
    <s v="SYM2PLY DELICIOUS CORP - SO-217"/>
    <s v="SO-217"/>
    <s v="SYM2PLY DELICIOUS CORP"/>
    <s v="CINNABON"/>
    <s v="ES:"/>
    <s v="N/A"/>
    <s v="2025-12-17"/>
    <s v="PREVENTIVE MAINTENANCE"/>
    <n v="1"/>
    <n v="10000"/>
    <n v="10000"/>
    <n v="10000"/>
    <s v="MARITESS"/>
  </r>
  <r>
    <x v="2"/>
    <s v="CHICKEN DELI - SO-217"/>
    <s v="SO-217"/>
    <s v="CHICKEN DELI"/>
    <s v="GONGCHA"/>
    <s v="GENERIC"/>
    <s v="N/A"/>
    <s v="2025-11-12"/>
    <s v="EPSON PRINTER TMU220D USB"/>
    <n v="2"/>
    <n v="8500"/>
    <n v="11600"/>
    <n v="23200"/>
    <s v="MARITESS"/>
  </r>
  <r>
    <x v="2"/>
    <s v="CHICKEN DELI - SO-217"/>
    <s v="SO-217"/>
    <s v="CHICKEN DELI"/>
    <s v="GONGCHA"/>
    <s v="GENERIC"/>
    <s v="N/A"/>
    <s v="2025-11-12"/>
    <s v="DELIVERY CHARGE"/>
    <n v="2"/>
    <n v="500"/>
    <n v="500"/>
    <n v="1000"/>
    <s v="MARITESS"/>
  </r>
  <r>
    <x v="198"/>
    <s v="VILLAVIZ CORPORATION - SO-218"/>
    <s v="SO-218"/>
    <s v="VILLAVIZ CORPORATION"/>
    <s v="BACOLOD CHICKEN"/>
    <s v="GENERIC"/>
    <s v="N/A"/>
    <s v="2025-12-22"/>
    <s v="TSCERES SQL VER. 6"/>
    <n v="1"/>
    <n v="3675"/>
    <n v="10500"/>
    <n v="10500"/>
    <s v="MARITESS"/>
  </r>
  <r>
    <x v="2"/>
    <s v="CHICKEN DELI - SO-218"/>
    <s v="SO-218"/>
    <s v="CHICKEN DELI"/>
    <s v="GONGCHA"/>
    <s v="GENERIC"/>
    <s v="N/A"/>
    <s v="2025-11-12"/>
    <s v="EPSON PRINTER TMU220D USB"/>
    <n v="6"/>
    <n v="8500"/>
    <n v="12100"/>
    <n v="72600"/>
    <s v="MARITESS"/>
  </r>
  <r>
    <x v="2"/>
    <s v="CHICKEN DELI - SO-218"/>
    <s v="SO-218"/>
    <s v="CHICKEN DELI"/>
    <s v="GONGCHA"/>
    <s v="GENERIC"/>
    <s v="N/A"/>
    <s v="2025-11-12"/>
    <s v="POSTECH TOUCHSCREEN MONITOR"/>
    <n v="1"/>
    <n v="11000"/>
    <n v="16500"/>
    <n v="16500"/>
    <s v="MARITESS"/>
  </r>
  <r>
    <x v="2"/>
    <s v="CHICKEN DELI - SO-218"/>
    <s v="SO-218"/>
    <s v="CHICKEN DELI"/>
    <s v="GONGCHA"/>
    <s v="GENERIC"/>
    <s v="N/A"/>
    <s v="2025-11-12"/>
    <s v="DELIVERY CHARGE"/>
    <n v="1"/>
    <n v="500"/>
    <n v="500"/>
    <n v="500"/>
    <s v="MARITESS"/>
  </r>
  <r>
    <x v="2"/>
    <s v="CHICKEN DELI - SO-219"/>
    <s v="SO-219"/>
    <s v="CHICKEN DELI"/>
    <s v="GONGCHA"/>
    <s v="GENERIC"/>
    <s v="N/A"/>
    <s v="2025-11-25"/>
    <s v="PREVENTIVE MAINTENANCE"/>
    <n v="1"/>
    <n v="6500"/>
    <n v="6500"/>
    <n v="6500"/>
    <s v="MARITESS"/>
  </r>
  <r>
    <x v="2"/>
    <s v="CHICKEN DELI - SO-219"/>
    <s v="SO-219"/>
    <s v="CHICKEN DELI"/>
    <s v="GONGCHA"/>
    <s v="GENERIC"/>
    <s v="N/A"/>
    <s v="2025-11-25"/>
    <s v="ROBINSON DUMAGUETE 11-20-25-26"/>
    <n v="1"/>
    <n v="1000"/>
    <n v="1000"/>
    <n v="1000"/>
    <s v="MARITESS"/>
  </r>
  <r>
    <x v="153"/>
    <s v="AURORA CHARLIE FOOD VENTURES INC - SO-220"/>
    <s v="SO-220"/>
    <s v="AURORA CHARLIE FOOD VENTURES INC"/>
    <s v="MAMOU"/>
    <s v="GREENBELT 5"/>
    <s v="COD"/>
    <s v="2025-12-22"/>
    <s v="POSTECH 15&quot; TOUCHSCREEN MONITOR"/>
    <n v="1"/>
    <n v="11000"/>
    <n v="16200"/>
    <n v="16200"/>
    <s v="RUDELYN"/>
  </r>
  <r>
    <x v="153"/>
    <s v="AURORA CHARLIE FOOD VENTURES INC - SO-220"/>
    <s v="SO-220"/>
    <s v="AURORA CHARLIE FOOD VENTURES INC"/>
    <s v="MAMOU"/>
    <s v="GREENBELT 5"/>
    <s v="COD"/>
    <s v="2025-12-22"/>
    <s v="DELIVERY FEE"/>
    <n v="1"/>
    <n v="300"/>
    <n v="300"/>
    <n v="300"/>
    <s v="RUDELYN"/>
  </r>
  <r>
    <x v="2"/>
    <s v="CHICKEN DELI - SO-221"/>
    <s v="SO-221"/>
    <s v="CHICKEN DELI"/>
    <s v="GONGCHA"/>
    <s v="GENERIC"/>
    <s v="N/A"/>
    <s v="2025-12-01"/>
    <s v="PREVENTIVE MAINTENANCE"/>
    <n v="9"/>
    <n v="6500"/>
    <n v="6500"/>
    <n v="58500"/>
    <s v="MARITESS"/>
  </r>
  <r>
    <x v="2"/>
    <s v="CHICKEN DELI - SO-222"/>
    <s v="SO-222"/>
    <s v="CHICKEN DELI"/>
    <s v="GONGCHA"/>
    <s v="GENERIC"/>
    <s v="N/A"/>
    <s v="2025-12-12"/>
    <s v="PREVENTIVE MAINTENANCE"/>
    <n v="7"/>
    <n v="6500"/>
    <n v="6500"/>
    <n v="45500"/>
    <s v="MARITESS"/>
  </r>
  <r>
    <x v="2"/>
    <s v="CHICKEN DELI - SO-223"/>
    <s v="SO-223"/>
    <s v="CHICKEN DELI"/>
    <s v="GONGCHA"/>
    <s v="GENERIC"/>
    <s v="N/A"/>
    <s v="2025-12-01"/>
    <s v="PREVENTIVE MAINTENANCE"/>
    <n v="2"/>
    <n v="6500"/>
    <n v="6500"/>
    <n v="13000"/>
    <s v="MARITESS"/>
  </r>
  <r>
    <x v="2"/>
    <s v="CHICKEN DELI - SO-224"/>
    <s v="SO-224"/>
    <s v="CHICKEN DELI"/>
    <s v="GONGCHA"/>
    <s v="GENERIC"/>
    <s v="N/A"/>
    <s v="2025-12-01"/>
    <s v="PREVENTIVE MAINTENANCE"/>
    <n v="2"/>
    <n v="6500"/>
    <n v="6500"/>
    <n v="13000"/>
    <s v="MARITESS"/>
  </r>
  <r>
    <x v="2"/>
    <s v="CHICKEN DELI - SO-225"/>
    <s v="SO-225"/>
    <s v="CHICKEN DELI"/>
    <s v="GONGCHA"/>
    <s v="GENERIC"/>
    <s v="N/A"/>
    <s v="2025-12-01"/>
    <s v="PREVENTIVE MAINTENANCE"/>
    <n v="5"/>
    <n v="6500"/>
    <n v="6500"/>
    <n v="32500"/>
    <s v="MARITESS"/>
  </r>
  <r>
    <x v="2"/>
    <s v="CHICKEN DELI - SO-226"/>
    <s v="SO-226"/>
    <s v="CHICKEN DELI"/>
    <s v="GONGCHA"/>
    <s v="GENERIC"/>
    <s v="N/A"/>
    <s v="2025-12-01"/>
    <s v="PREVENTIVE MAINTENANCE"/>
    <n v="11"/>
    <n v="6500"/>
    <n v="6500"/>
    <n v="71500"/>
    <s v="MARITESS"/>
  </r>
  <r>
    <x v="2"/>
    <s v="CHICKEN DELI - SO-227"/>
    <s v="SO-227"/>
    <s v="CHICKEN DELI"/>
    <s v="GONGCHA"/>
    <s v="GENERIC"/>
    <s v="N/A"/>
    <s v="2025-12-01"/>
    <s v="PREVENTIVE MAINTENANCE"/>
    <n v="7"/>
    <n v="6500"/>
    <n v="6500"/>
    <n v="45500"/>
    <s v="MARITESS"/>
  </r>
  <r>
    <x v="33"/>
    <s v="M W TOWNSTORE - SO-228"/>
    <s v="SO-228"/>
    <s v="M W TOWNSTORE"/>
    <s v="M &amp; W"/>
    <s v="GENERIC"/>
    <s v="N/A"/>
    <s v="2025-12-03"/>
    <s v="EPSON TMU 220B PRINTER"/>
    <n v="3"/>
    <n v="11000"/>
    <n v="15500"/>
    <n v="46500"/>
    <s v="MARITESS"/>
  </r>
  <r>
    <x v="33"/>
    <s v="M W TOWNSTORE - SO-228"/>
    <s v="SO-228"/>
    <s v="M W TOWNSTORE"/>
    <s v="M &amp; W"/>
    <s v="GENERIC"/>
    <s v="N/A"/>
    <s v="2025-12-03"/>
    <s v="POSEIDON PSD86"/>
    <n v="1"/>
    <n v="3360"/>
    <n v="5800"/>
    <n v="5800"/>
    <s v="MARITESS"/>
  </r>
  <r>
    <x v="33"/>
    <s v="M W TOWNSTORE - SO-228"/>
    <s v="SO-228"/>
    <s v="M W TOWNSTORE"/>
    <s v="M &amp; W"/>
    <s v="GENERIC"/>
    <s v="N/A"/>
    <s v="2025-12-03"/>
    <s v="DELIVERY CHARGE"/>
    <n v="1"/>
    <n v="1500"/>
    <n v="1500"/>
    <n v="1500"/>
    <s v="MARITESS"/>
  </r>
  <r>
    <x v="199"/>
    <s v="CHICKEN DELI - SO-229"/>
    <s v="SO-229"/>
    <s v="CHICKEN DELI"/>
    <s v="UMBO KUSINA"/>
    <s v="GENERIC"/>
    <s v="N/A"/>
    <s v="2025-12-03"/>
    <s v="BACCHUS ANDROID"/>
    <n v="1"/>
    <n v="2975"/>
    <n v="8500"/>
    <n v="8500"/>
    <s v="MARITESS"/>
  </r>
  <r>
    <x v="199"/>
    <s v="CHICKEN DELI - SO-229"/>
    <s v="SO-229"/>
    <s v="CHICKEN DELI"/>
    <s v="UMBO KUSINA"/>
    <s v="GENERIC"/>
    <s v="N/A"/>
    <s v="2025-12-03"/>
    <s v="ROLL OUT / IMPLEMENTATION"/>
    <n v="1"/>
    <n v="4550"/>
    <n v="4550"/>
    <n v="4550"/>
    <s v="MARITESS"/>
  </r>
  <r>
    <x v="199"/>
    <s v="CHICKEN DELI - SO-229"/>
    <s v="SO-229"/>
    <s v="CHICKEN DELI"/>
    <s v="UMBO KUSINA"/>
    <s v="GENERIC"/>
    <s v="N/A"/>
    <s v="2025-12-03"/>
    <s v="ONE YEAR WARRANTY"/>
    <n v="1"/>
    <n v="4550"/>
    <n v="4550"/>
    <n v="4550"/>
    <s v="MARITESS"/>
  </r>
  <r>
    <x v="199"/>
    <s v="CHICKEN DELI - SO-229"/>
    <s v="SO-229"/>
    <s v="CHICKEN DELI"/>
    <s v="UMBO KUSINA"/>
    <s v="GENERIC"/>
    <s v="N/A"/>
    <s v="2025-12-03"/>
    <s v="IMIN SWAN I"/>
    <n v="1"/>
    <n v="21000"/>
    <n v="30000"/>
    <n v="30000"/>
    <s v="MARITESS"/>
  </r>
  <r>
    <x v="199"/>
    <s v="CHICKEN DELI - SO-229"/>
    <s v="SO-229"/>
    <s v="CHICKEN DELI"/>
    <s v="UMBO KUSINA"/>
    <s v="GENERIC"/>
    <s v="N/A"/>
    <s v="2025-12-03"/>
    <s v="STAR BSC10"/>
    <n v="1"/>
    <n v="11700"/>
    <n v="16500"/>
    <n v="16500"/>
    <s v="MARITESS"/>
  </r>
  <r>
    <x v="199"/>
    <s v="CHICKEN DELI - SO-229"/>
    <s v="SO-229"/>
    <s v="CHICKEN DELI"/>
    <s v="UMBO KUSINA"/>
    <s v="GENERIC"/>
    <s v="N/A"/>
    <s v="2025-12-03"/>
    <s v="UPS"/>
    <n v="1"/>
    <n v="2200"/>
    <n v="3100"/>
    <n v="3100"/>
    <s v="MARITESS"/>
  </r>
  <r>
    <x v="199"/>
    <s v="CHICKEN DELI - SO-229"/>
    <s v="SO-229"/>
    <s v="CHICKEN DELI"/>
    <s v="UMBO KUSINA"/>
    <s v="GENERIC"/>
    <s v="N/A"/>
    <s v="2025-12-03"/>
    <s v="MINI CASH BOX"/>
    <n v="1"/>
    <n v="1350"/>
    <n v="2000"/>
    <n v="2000"/>
    <s v="MARITESS"/>
  </r>
  <r>
    <x v="199"/>
    <s v="CHICKEN DELI - SO-229"/>
    <s v="SO-229"/>
    <s v="CHICKEN DELI"/>
    <s v="UMBO KUSINA"/>
    <s v="GENERIC"/>
    <s v="N/A"/>
    <s v="2025-12-03"/>
    <s v="BIR"/>
    <n v="1"/>
    <n v="500"/>
    <n v="500"/>
    <n v="500"/>
    <s v="MARITESS"/>
  </r>
  <r>
    <x v="199"/>
    <s v="CHICKEN DELI - SO-229"/>
    <s v="SO-229"/>
    <s v="CHICKEN DELI"/>
    <s v="UMBO KUSINA"/>
    <s v="GENERIC"/>
    <s v="N/A"/>
    <s v="2025-12-03"/>
    <s v="DELIVERY"/>
    <n v="1"/>
    <n v="500"/>
    <n v="500"/>
    <n v="500"/>
    <s v="MARITESS"/>
  </r>
  <r>
    <x v="199"/>
    <s v="CHICKEN DELI - SO-229"/>
    <s v="SO-229"/>
    <s v="CHICKEN DELI"/>
    <s v="UMBO KUSINA"/>
    <s v="GENERIC"/>
    <s v="N/A"/>
    <s v="2025-12-03"/>
    <s v="SSD CARD"/>
    <n v="1"/>
    <n v="550"/>
    <n v="800"/>
    <n v="800"/>
    <s v="MARITESS"/>
  </r>
  <r>
    <x v="200"/>
    <s v="CHICKEN DELI - SO-230"/>
    <s v="SO-230"/>
    <s v="CHICKEN DELI"/>
    <s v="COSTA SOLANA"/>
    <s v="GENERIC"/>
    <s v="N/A"/>
    <s v="2025-12-03"/>
    <s v="BACCHUS ANDROID"/>
    <n v="1"/>
    <n v="3675"/>
    <n v="10500"/>
    <n v="10500"/>
    <s v="MARITESS"/>
  </r>
  <r>
    <x v="200"/>
    <s v="CHICKEN DELI - SO-230"/>
    <s v="SO-230"/>
    <s v="CHICKEN DELI"/>
    <s v="COSTA SOLANA"/>
    <s v="GENERIC"/>
    <s v="N/A"/>
    <s v="2025-12-03"/>
    <s v="ROLL OUT/ IMPLEMENTATION"/>
    <n v="1"/>
    <n v="13750"/>
    <n v="13750"/>
    <n v="13750"/>
    <s v="MARITESS"/>
  </r>
  <r>
    <x v="200"/>
    <s v="CHICKEN DELI - SO-230"/>
    <s v="SO-230"/>
    <s v="CHICKEN DELI"/>
    <s v="COSTA SOLANA"/>
    <s v="GENERIC"/>
    <s v="N/A"/>
    <s v="2025-12-03"/>
    <s v="ONE YEAR WARRANTY"/>
    <n v="1"/>
    <n v="13750"/>
    <n v="13750"/>
    <n v="13750"/>
    <s v="MARITESS"/>
  </r>
  <r>
    <x v="200"/>
    <s v="CHICKEN DELI - SO-230"/>
    <s v="SO-230"/>
    <s v="CHICKEN DELI"/>
    <s v="COSTA SOLANA"/>
    <s v="GENERIC"/>
    <s v="N/A"/>
    <s v="2025-12-03"/>
    <s v="NEW BIR REGISTRATION"/>
    <n v="1"/>
    <n v="500"/>
    <n v="500"/>
    <n v="500"/>
    <s v="MARITESS"/>
  </r>
  <r>
    <x v="200"/>
    <s v="CHICKEN DELI - SO-230"/>
    <s v="SO-230"/>
    <s v="CHICKEN DELI"/>
    <s v="COSTA SOLANA"/>
    <s v="GENERIC"/>
    <s v="N/A"/>
    <s v="2025-12-03"/>
    <s v="WAITER/ ORDERING STATTION"/>
    <n v="1"/>
    <n v="3500"/>
    <n v="10000"/>
    <n v="10000"/>
    <s v="MARITESS"/>
  </r>
  <r>
    <x v="200"/>
    <s v="CHICKEN DELI - SO-230"/>
    <s v="SO-230"/>
    <s v="CHICKEN DELI"/>
    <s v="COSTA SOLANA"/>
    <s v="GENERIC"/>
    <s v="N/A"/>
    <s v="2025-12-03"/>
    <s v="BACK OFFICE ANDROID"/>
    <n v="1"/>
    <n v="17500"/>
    <n v="50000"/>
    <n v="50000"/>
    <s v="MARITESS"/>
  </r>
  <r>
    <x v="200"/>
    <s v="CHICKEN DELI - SO-230"/>
    <s v="SO-230"/>
    <s v="CHICKEN DELI"/>
    <s v="COSTA SOLANA"/>
    <s v="GENERIC"/>
    <s v="N/A"/>
    <s v="2025-12-03"/>
    <s v="ROLL OUT/ IMPLEMENTATION"/>
    <n v="1"/>
    <n v="22950"/>
    <n v="22950"/>
    <n v="22950"/>
    <s v="MARITESS"/>
  </r>
  <r>
    <x v="200"/>
    <s v="CHICKEN DELI - SO-230"/>
    <s v="SO-230"/>
    <s v="CHICKEN DELI"/>
    <s v="COSTA SOLANA"/>
    <s v="GENERIC"/>
    <s v="N/A"/>
    <s v="2025-12-03"/>
    <s v="ONE YEAR WARRANTY"/>
    <n v="1"/>
    <n v="22950"/>
    <n v="22950"/>
    <n v="22950"/>
    <s v="MARITESS"/>
  </r>
  <r>
    <x v="200"/>
    <s v="CHICKEN DELI - SO-230"/>
    <s v="SO-230"/>
    <s v="CHICKEN DELI"/>
    <s v="COSTA SOLANA"/>
    <s v="GENERIC"/>
    <s v="N/A"/>
    <s v="2025-12-03"/>
    <s v="IMIN SWAN 1 ( 4GB +32GB )"/>
    <n v="1"/>
    <n v="21500"/>
    <n v="31000"/>
    <n v="31000"/>
    <s v="MARITESS"/>
  </r>
  <r>
    <x v="200"/>
    <s v="CHICKEN DELI - SO-230"/>
    <s v="SO-230"/>
    <s v="CHICKEN DELI"/>
    <s v="COSTA SOLANA"/>
    <s v="GENERIC"/>
    <s v="N/A"/>
    <s v="2025-12-03"/>
    <s v="IMIN FALCON 2 ( 4GB /32GB )"/>
    <n v="2"/>
    <n v="18500"/>
    <n v="26500"/>
    <n v="53000"/>
    <s v="MARITESS"/>
  </r>
  <r>
    <x v="200"/>
    <s v="CHICKEN DELI - SO-230"/>
    <s v="SO-230"/>
    <s v="CHICKEN DELI"/>
    <s v="COSTA SOLANA"/>
    <s v="GENERIC"/>
    <s v="N/A"/>
    <s v="2025-12-03"/>
    <s v="IMIN FALCON TF2-21 CASING"/>
    <n v="2"/>
    <n v="3000"/>
    <n v="4200"/>
    <n v="8400"/>
    <s v="MARITESS"/>
  </r>
  <r>
    <x v="200"/>
    <s v="CHICKEN DELI - SO-230"/>
    <s v="SO-230"/>
    <s v="CHICKEN DELI"/>
    <s v="COSTA SOLANA"/>
    <s v="GENERIC"/>
    <s v="N/A"/>
    <s v="2025-12-03"/>
    <s v="CASH DRAWER"/>
    <n v="1"/>
    <n v="1350"/>
    <n v="2000"/>
    <n v="2000"/>
    <s v="MARITESS"/>
  </r>
  <r>
    <x v="200"/>
    <s v="CHICKEN DELI - SO-230"/>
    <s v="SO-230"/>
    <s v="CHICKEN DELI"/>
    <s v="COSTA SOLANA"/>
    <s v="GENERIC"/>
    <s v="N/A"/>
    <s v="2025-12-03"/>
    <s v="EPSON T82X LAN"/>
    <n v="2"/>
    <n v="7500"/>
    <n v="11500"/>
    <n v="23000"/>
    <s v="MARITESS"/>
  </r>
  <r>
    <x v="200"/>
    <s v="CHICKEN DELI - SO-230"/>
    <s v="SO-230"/>
    <s v="CHICKEN DELI"/>
    <s v="COSTA SOLANA"/>
    <s v="GENERIC"/>
    <s v="N/A"/>
    <s v="2025-12-03"/>
    <s v="EOS W/ COMPLETE ACCESSORIES"/>
    <n v="1"/>
    <n v="24330"/>
    <n v="34000"/>
    <n v="34000"/>
    <s v="MARITESS"/>
  </r>
  <r>
    <x v="200"/>
    <s v="CHICKEN DELI - SO-230"/>
    <s v="SO-230"/>
    <s v="CHICKEN DELI"/>
    <s v="COSTA SOLANA"/>
    <s v="GENERIC"/>
    <s v="N/A"/>
    <s v="2025-12-03"/>
    <s v="ACER MONITOR 19.5&quot;"/>
    <n v="1"/>
    <n v="4250"/>
    <n v="6000"/>
    <n v="6000"/>
    <s v="MARITESS"/>
  </r>
  <r>
    <x v="200"/>
    <s v="CHICKEN DELI - SO-230"/>
    <s v="SO-230"/>
    <s v="CHICKEN DELI"/>
    <s v="COSTA SOLANA"/>
    <s v="GENERIC"/>
    <s v="N/A"/>
    <s v="2025-12-03"/>
    <s v="DELIVERY CHARGE"/>
    <n v="1"/>
    <n v="1100"/>
    <n v="1100"/>
    <n v="1100"/>
    <s v="MARITESS"/>
  </r>
  <r>
    <x v="200"/>
    <s v="CHICKEN DELI - SO-230"/>
    <s v="SO-230"/>
    <s v="CHICKEN DELI"/>
    <s v="COSTA SOLANA"/>
    <s v="GENERIC"/>
    <s v="N/A"/>
    <s v="2025-12-03"/>
    <s v="MODIFICATION"/>
    <n v="1"/>
    <n v="40000"/>
    <n v="40000"/>
    <n v="40000"/>
    <s v="MARITESS"/>
  </r>
  <r>
    <x v="200"/>
    <s v="CHICKEN DELI - SO-230"/>
    <s v="SO-230"/>
    <s v="CHICKEN DELI"/>
    <s v="COSTA SOLANA"/>
    <s v="GENERIC"/>
    <s v="N/A"/>
    <s v="2025-12-03"/>
    <s v="SD CARD"/>
    <n v="2"/>
    <n v="550"/>
    <n v="800"/>
    <n v="1600"/>
    <s v="MARITESS"/>
  </r>
  <r>
    <x v="2"/>
    <s v="CHICKEN DELI - SO-231"/>
    <s v="SO-231"/>
    <s v="CHICKEN DELI"/>
    <s v="GONGCHA"/>
    <s v="GENERIC"/>
    <s v="N/A"/>
    <s v="2025-12-05"/>
    <s v="POSIFLEX CUSTOMER DISPLAY"/>
    <n v="1"/>
    <n v="5073"/>
    <n v="7000"/>
    <n v="7000"/>
    <s v="MARITESS"/>
  </r>
  <r>
    <x v="2"/>
    <s v="CHICKEN DELI - SO-231"/>
    <s v="SO-231"/>
    <s v="CHICKEN DELI"/>
    <s v="GONGCHA"/>
    <s v="GENERIC"/>
    <s v="N/A"/>
    <s v="2025-12-05"/>
    <s v="POSTECH TOUCHSCREEN MONITOR"/>
    <n v="1"/>
    <n v="11000"/>
    <n v="16700"/>
    <n v="16700"/>
    <s v="MARITESS"/>
  </r>
  <r>
    <x v="2"/>
    <s v="CHICKEN DELI - SO-231"/>
    <s v="SO-231"/>
    <s v="CHICKEN DELI"/>
    <s v="GONGCHA"/>
    <s v="GENERIC"/>
    <s v="N/A"/>
    <s v="2025-12-05"/>
    <s v="DELIVERY CHARGE"/>
    <n v="1"/>
    <n v="300"/>
    <n v="300"/>
    <n v="300"/>
    <s v="MARITESS"/>
  </r>
  <r>
    <x v="2"/>
    <s v="CHICKEN DELI - SO-232"/>
    <s v="SO-232"/>
    <s v="CHICKEN DELI"/>
    <s v="GONGCHA"/>
    <s v="GENERIC"/>
    <s v="N/A"/>
    <s v="2025-12-05"/>
    <s v="POSTECH TOUCHSCREEN MONITOR"/>
    <n v="1"/>
    <n v="11000"/>
    <n v="16700"/>
    <n v="16700"/>
    <s v="MARITESS"/>
  </r>
  <r>
    <x v="2"/>
    <s v="CHICKEN DELI - SO-232"/>
    <s v="SO-232"/>
    <s v="CHICKEN DELI"/>
    <s v="GONGCHA"/>
    <s v="GENERIC"/>
    <s v="N/A"/>
    <s v="2025-12-05"/>
    <s v="DELIVERY CHARGE"/>
    <n v="1"/>
    <n v="300"/>
    <n v="300"/>
    <n v="300"/>
    <s v="MARITESS"/>
  </r>
  <r>
    <x v="1"/>
    <s v="CHICKEN DELI - SO-233"/>
    <s v="SO-233"/>
    <s v="CHICKEN DELI"/>
    <s v="KITCHEN CITY"/>
    <s v="GENERIC"/>
    <s v="N/A"/>
    <s v="2025-12-12"/>
    <s v="POSTECH TOUCHSCREEN MONITOR"/>
    <n v="15"/>
    <n v="11000"/>
    <n v="253900"/>
    <n v="3808500"/>
    <s v="MARITESS"/>
  </r>
  <r>
    <x v="1"/>
    <s v="CHICKEN DELI - SO-233"/>
    <s v="SO-233"/>
    <s v="CHICKEN DELI"/>
    <s v="KITCHEN CITY"/>
    <s v="GENERIC"/>
    <s v="N/A"/>
    <s v="2025-12-12"/>
    <s v="DELIVERY CHARGE"/>
    <n v="1"/>
    <n v="1100"/>
    <n v="1100"/>
    <n v="1100"/>
    <s v="MARITESS"/>
  </r>
  <r>
    <x v="2"/>
    <s v="CHICKEN DELI - SO-234"/>
    <s v="SO-234"/>
    <s v="CHICKEN DELI"/>
    <s v="GONGCHA"/>
    <s v="GENERIC"/>
    <s v="N/A"/>
    <s v="2025-12-15"/>
    <s v="PRINTER HEAD"/>
    <n v="5"/>
    <n v="1100"/>
    <n v="1700"/>
    <n v="8500"/>
    <s v="MARITESS"/>
  </r>
  <r>
    <x v="174"/>
    <s v="CHICKEN DELI - SO-235"/>
    <s v="SO-235"/>
    <s v="CHICKEN DELI"/>
    <s v="THE VIEW REST."/>
    <s v="GENERIC"/>
    <s v="N/A"/>
    <s v="2025-12-15"/>
    <s v="JOURNAL PAPER ( 2 ) PLY"/>
    <n v="100"/>
    <n v="32"/>
    <n v="50"/>
    <n v="5000"/>
    <s v="MARITESS"/>
  </r>
  <r>
    <x v="74"/>
    <s v="CHICKEN DELI - SO-236"/>
    <s v="SO-236"/>
    <s v="CHICKEN DELI"/>
    <s v="SM MASINAG"/>
    <s v="GENERIC"/>
    <s v="N/A"/>
    <s v="2025-12-18"/>
    <s v="JOURNAL PAPER SINGLE PLY"/>
    <n v="1"/>
    <n v="17"/>
    <n v="1250"/>
    <n v="1250"/>
    <s v="MARITESS"/>
  </r>
  <r>
    <x v="114"/>
    <s v="CHICKEN DELI - SO-237"/>
    <s v="SO-237"/>
    <s v="CHICKEN DELI"/>
    <s v="PAOTSIN"/>
    <s v="GENERIC"/>
    <s v="N/A"/>
    <s v="2025-12-18"/>
    <s v="EPSON TMU220D ( USB )"/>
    <n v="1"/>
    <n v="8500"/>
    <n v="12000"/>
    <n v="12000"/>
    <s v="MARITESS"/>
  </r>
  <r>
    <x v="114"/>
    <s v="CHICKEN DELI - SO-237"/>
    <s v="SO-237"/>
    <s v="CHICKEN DELI"/>
    <s v="PAOTSIN"/>
    <s v="GENERIC"/>
    <s v="N/A"/>
    <s v="2025-12-18"/>
    <s v="DELIVERY CHARGE"/>
    <n v="1"/>
    <n v="500"/>
    <n v="500"/>
    <n v="500"/>
    <s v="MARITESS"/>
  </r>
  <r>
    <x v="33"/>
    <s v="M W TOWNSTORE - SO-238"/>
    <s v="SO-238"/>
    <s v="M W TOWNSTORE"/>
    <s v="M &amp; W"/>
    <s v="GENERIC"/>
    <s v="N/A"/>
    <s v="2025-12-18"/>
    <s v="EPSON TMU 220B PRINTER"/>
    <n v="2"/>
    <n v="11000"/>
    <n v="15500"/>
    <n v="31000"/>
    <s v="MARITESS"/>
  </r>
  <r>
    <x v="33"/>
    <s v="M W TOWNSTORE - SO-238"/>
    <s v="SO-238"/>
    <s v="M W TOWNSTORE"/>
    <s v="M &amp; W"/>
    <s v="GENERIC"/>
    <s v="N/A"/>
    <s v="2025-12-18"/>
    <s v="DELIVERY CHARGE"/>
    <n v="1"/>
    <n v="1500"/>
    <n v="1500"/>
    <n v="1500"/>
    <s v="MARITESS"/>
  </r>
  <r>
    <x v="201"/>
    <s v="GREEN HORIZON FORTUNE TRADING CO - SO-001"/>
    <s v="SO-001"/>
    <s v="GREEN HORIZON FORTUNE TRADING CO"/>
    <s v="5-11 TACTICAL"/>
    <s v="TRINOMA"/>
    <s v="50% DP, 50% 30 DAYS"/>
    <s v="2025-01-01"/>
    <s v="RDMS SQL+ VERSION 3"/>
    <n v="1"/>
    <n v="3675"/>
    <n v="10500"/>
    <n v="10500"/>
    <s v="JOANNE"/>
  </r>
  <r>
    <x v="201"/>
    <s v="GREEN HORIZON FORTUNE TRADING CO - SO-001"/>
    <s v="SO-001"/>
    <s v="GREEN HORIZON FORTUNE TRADING CO"/>
    <s v="5-11 TACTICAL"/>
    <s v="TRINOMA"/>
    <s v="50% DP, 50% 30 DAYS"/>
    <s v="2025-01-01"/>
    <s v="ROLL OUT IMPLEMENTATION"/>
    <n v="1"/>
    <n v="3850"/>
    <n v="11000"/>
    <n v="11000"/>
    <s v="JOANNE"/>
  </r>
  <r>
    <x v="201"/>
    <s v="GREEN HORIZON FORTUNE TRADING CO - SO-001"/>
    <s v="SO-001"/>
    <s v="GREEN HORIZON FORTUNE TRADING CO"/>
    <s v="5-11 TACTICAL"/>
    <s v="TRINOMA"/>
    <s v="50% DP, 50% 30 DAYS"/>
    <s v="2025-01-01"/>
    <s v="ONE YEAR WARRANTY"/>
    <n v="1"/>
    <n v="4200"/>
    <n v="12000"/>
    <n v="12000"/>
    <s v="JOANNE"/>
  </r>
  <r>
    <x v="201"/>
    <s v="GREEN HORIZON FORTUNE TRADING CO - SO-001"/>
    <s v="SO-001"/>
    <s v="GREEN HORIZON FORTUNE TRADING CO"/>
    <s v="5-11 TACTICAL"/>
    <s v="TRINOMA"/>
    <s v="50% DP, 50% 30 DAYS"/>
    <s v="2025-01-01"/>
    <s v="BIR REGISTRATION"/>
    <n v="1"/>
    <n v="500"/>
    <n v="500"/>
    <n v="500"/>
    <s v="JOANNE"/>
  </r>
  <r>
    <x v="201"/>
    <s v="GREEN HORIZON FORTUNE TRADING CO - SO-001"/>
    <s v="SO-001"/>
    <s v="GREEN HORIZON FORTUNE TRADING CO"/>
    <s v="5-11 TACTICAL"/>
    <s v="TRINOMA"/>
    <s v="50% DP, 50% 30 DAYS"/>
    <s v="2025-01-01"/>
    <s v="DESKTOP CPU (8GB RAM, 500GB NVME M.2) W/ KEYBOARD AND MOUSE"/>
    <n v="1"/>
    <n v="21500"/>
    <n v="32000"/>
    <n v="32000"/>
    <s v="JOANNE"/>
  </r>
  <r>
    <x v="201"/>
    <s v="GREEN HORIZON FORTUNE TRADING CO - SO-001"/>
    <s v="SO-001"/>
    <s v="GREEN HORIZON FORTUNE TRADING CO"/>
    <s v="5-11 TACTICAL"/>
    <s v="TRINOMA"/>
    <s v="50% DP, 50% 30 DAYS"/>
    <s v="2025-01-01"/>
    <s v="WINDOWS 11 PRO 64-BIT"/>
    <n v="1"/>
    <n v="2800"/>
    <n v="4000"/>
    <n v="4000"/>
    <s v="JOANNE"/>
  </r>
  <r>
    <x v="201"/>
    <s v="GREEN HORIZON FORTUNE TRADING CO - SO-001"/>
    <s v="SO-001"/>
    <s v="GREEN HORIZON FORTUNE TRADING CO"/>
    <s v="5-11 TACTICAL"/>
    <s v="TRINOMA"/>
    <s v="50% DP, 50% 30 DAYS"/>
    <s v="2025-01-01"/>
    <s v="KASPERKY ANTI VIRUS"/>
    <n v="1"/>
    <n v="935"/>
    <n v="1500"/>
    <n v="1500"/>
    <s v="JOANNE"/>
  </r>
  <r>
    <x v="201"/>
    <s v="GREEN HORIZON FORTUNE TRADING CO - SO-001"/>
    <s v="SO-001"/>
    <s v="GREEN HORIZON FORTUNE TRADING CO"/>
    <s v="5-11 TACTICAL"/>
    <s v="TRINOMA"/>
    <s v="50% DP, 50% 30 DAYS"/>
    <s v="2025-01-01"/>
    <s v="LED MONITOR"/>
    <n v="1"/>
    <n v="4250"/>
    <n v="6500"/>
    <n v="6500"/>
    <s v="JOANNE"/>
  </r>
  <r>
    <x v="201"/>
    <s v="GREEN HORIZON FORTUNE TRADING CO - SO-001"/>
    <s v="SO-001"/>
    <s v="GREEN HORIZON FORTUNE TRADING CO"/>
    <s v="5-11 TACTICAL"/>
    <s v="TRINOMA"/>
    <s v="50% DP, 50% 30 DAYS"/>
    <s v="2025-01-01"/>
    <s v="EPSON TM U220D USB PRINTER"/>
    <n v="1"/>
    <n v="8500"/>
    <n v="12500"/>
    <n v="12500"/>
    <s v="JOANNE"/>
  </r>
  <r>
    <x v="201"/>
    <s v="GREEN HORIZON FORTUNE TRADING CO - SO-001"/>
    <s v="SO-001"/>
    <s v="GREEN HORIZON FORTUNE TRADING CO"/>
    <s v="5-11 TACTICAL"/>
    <s v="TRINOMA"/>
    <s v="50% DP, 50% 30 DAYS"/>
    <s v="2025-01-01"/>
    <s v="APC UPS"/>
    <n v="1"/>
    <n v="2200"/>
    <n v="3500"/>
    <n v="3500"/>
    <s v="JOANNE"/>
  </r>
  <r>
    <x v="201"/>
    <s v="GREEN HORIZON FORTUNE TRADING CO - SO-001"/>
    <s v="SO-001"/>
    <s v="GREEN HORIZON FORTUNE TRADING CO"/>
    <s v="5-11 TACTICAL"/>
    <s v="TRINOMA"/>
    <s v="50% DP, 50% 30 DAYS"/>
    <s v="2025-01-01"/>
    <s v="DELIVERY FEE"/>
    <n v="1"/>
    <n v="500"/>
    <n v="500"/>
    <n v="500"/>
    <s v="JOANNE"/>
  </r>
  <r>
    <x v="202"/>
    <s v="ELEGANT TRIO COLORS CORPORATION - SO-002"/>
    <s v="SO-002"/>
    <s v="ELEGANT TRIO COLORS CORPORATION"/>
    <s v="JAZZY FRANCE"/>
    <s v="AYALA MALLS FELIZ"/>
    <s v="60% DP, 40% 30 DAYS"/>
    <s v="2025-01-06"/>
    <s v="RDMS SQL+ VERSION 3"/>
    <n v="1"/>
    <n v="3675"/>
    <n v="10500"/>
    <n v="10500"/>
    <s v="JOANNE"/>
  </r>
  <r>
    <x v="202"/>
    <s v="ELEGANT TRIO COLORS CORPORATION - SO-002"/>
    <s v="SO-002"/>
    <s v="ELEGANT TRIO COLORS CORPORATION"/>
    <s v="JAZZY FRANCE"/>
    <s v="AYALA MALLS FELIZ"/>
    <s v="60% DP, 40% 30 DAYS"/>
    <s v="2025-01-06"/>
    <s v="ROLL OUT IMPLEMENTATION"/>
    <n v="1"/>
    <n v="3850"/>
    <n v="11000"/>
    <n v="11000"/>
    <s v="JOANNE"/>
  </r>
  <r>
    <x v="202"/>
    <s v="ELEGANT TRIO COLORS CORPORATION - SO-002"/>
    <s v="SO-002"/>
    <s v="ELEGANT TRIO COLORS CORPORATION"/>
    <s v="JAZZY FRANCE"/>
    <s v="AYALA MALLS FELIZ"/>
    <s v="60% DP, 40% 30 DAYS"/>
    <s v="2025-01-06"/>
    <s v="ONE YEAR WARRANTY"/>
    <n v="1"/>
    <n v="4200"/>
    <n v="12000"/>
    <n v="12000"/>
    <s v="JOANNE"/>
  </r>
  <r>
    <x v="202"/>
    <s v="ELEGANT TRIO COLORS CORPORATION - SO-002"/>
    <s v="SO-002"/>
    <s v="ELEGANT TRIO COLORS CORPORATION"/>
    <s v="JAZZY FRANCE"/>
    <s v="AYALA MALLS FELIZ"/>
    <s v="60% DP, 40% 30 DAYS"/>
    <s v="2025-01-06"/>
    <s v="BIR REGISTRATION"/>
    <n v="1"/>
    <n v="500"/>
    <n v="500"/>
    <n v="500"/>
    <s v="JOANNE"/>
  </r>
  <r>
    <x v="202"/>
    <s v="ELEGANT TRIO COLORS CORPORATION - SO-002"/>
    <s v="SO-002"/>
    <s v="ELEGANT TRIO COLORS CORPORATION"/>
    <s v="JAZZY FRANCE"/>
    <s v="AYALA MALLS FELIZ"/>
    <s v="60% DP, 40% 30 DAYS"/>
    <s v="2025-01-06"/>
    <s v="DESKTOP CPU (8GB RAM, 500GB NVME M.2) W/ KEYBOARD AND MOUSE"/>
    <n v="1"/>
    <n v="21500"/>
    <n v="32500"/>
    <n v="32500"/>
    <s v="JOANNE"/>
  </r>
  <r>
    <x v="202"/>
    <s v="ELEGANT TRIO COLORS CORPORATION - SO-002"/>
    <s v="SO-002"/>
    <s v="ELEGANT TRIO COLORS CORPORATION"/>
    <s v="JAZZY FRANCE"/>
    <s v="AYALA MALLS FELIZ"/>
    <s v="60% DP, 40% 30 DAYS"/>
    <s v="2025-01-06"/>
    <s v="WINDOWS 11 PRO 64-BIT"/>
    <n v="1"/>
    <n v="2800"/>
    <n v="4000"/>
    <n v="4000"/>
    <s v="JOANNE"/>
  </r>
  <r>
    <x v="202"/>
    <s v="ELEGANT TRIO COLORS CORPORATION - SO-002"/>
    <s v="SO-002"/>
    <s v="ELEGANT TRIO COLORS CORPORATION"/>
    <s v="JAZZY FRANCE"/>
    <s v="AYALA MALLS FELIZ"/>
    <s v="60% DP, 40% 30 DAYS"/>
    <s v="2025-01-06"/>
    <s v="KASPERKY ANTI VIRUS"/>
    <n v="1"/>
    <n v="935"/>
    <n v="1500"/>
    <n v="1500"/>
    <s v="JOANNE"/>
  </r>
  <r>
    <x v="202"/>
    <s v="ELEGANT TRIO COLORS CORPORATION - SO-002"/>
    <s v="SO-002"/>
    <s v="ELEGANT TRIO COLORS CORPORATION"/>
    <s v="JAZZY FRANCE"/>
    <s v="AYALA MALLS FELIZ"/>
    <s v="60% DP, 40% 30 DAYS"/>
    <s v="2025-01-06"/>
    <s v="GENERIC CASH DRAWER"/>
    <n v="1"/>
    <n v="2185"/>
    <n v="3500"/>
    <n v="3500"/>
    <s v="JOANNE"/>
  </r>
  <r>
    <x v="202"/>
    <s v="ELEGANT TRIO COLORS CORPORATION - SO-002"/>
    <s v="SO-002"/>
    <s v="ELEGANT TRIO COLORS CORPORATION"/>
    <s v="JAZZY FRANCE"/>
    <s v="AYALA MALLS FELIZ"/>
    <s v="60% DP, 40% 30 DAYS"/>
    <s v="2025-01-06"/>
    <s v="APC UPS"/>
    <n v="1"/>
    <n v="2200"/>
    <n v="3500"/>
    <n v="3500"/>
    <s v="JOANNE"/>
  </r>
  <r>
    <x v="202"/>
    <s v="ELEGANT TRIO COLORS CORPORATION - SO-002"/>
    <s v="SO-002"/>
    <s v="ELEGANT TRIO COLORS CORPORATION"/>
    <s v="JAZZY FRANCE"/>
    <s v="AYALA MALLS FELIZ"/>
    <s v="60% DP, 40% 30 DAYS"/>
    <s v="2025-01-06"/>
    <s v="DELIVERY FEE"/>
    <n v="1"/>
    <n v="500"/>
    <n v="500"/>
    <n v="500"/>
    <s v="JOANNE"/>
  </r>
  <r>
    <x v="203"/>
    <s v="TIONG BAHRU PHILIPPINES INC - SO-003"/>
    <s v="SO-003"/>
    <s v="TIONG BAHRU PHILIPPINES INC"/>
    <s v="TIONG BAHRU"/>
    <s v="GENERIC"/>
    <s v="50% DOWNPAYMENT, 50% W/IN 30 DAYS"/>
    <s v="2025-01-07"/>
    <s v="BACCHUS SQL VER 7"/>
    <n v="1"/>
    <n v="3675"/>
    <n v="10500"/>
    <n v="10500"/>
    <s v="MARITESS"/>
  </r>
  <r>
    <x v="203"/>
    <s v="TIONG BAHRU PHILIPPINES INC - SO-003"/>
    <s v="SO-003"/>
    <s v="TIONG BAHRU PHILIPPINES INC"/>
    <s v="TIONG BAHRU"/>
    <s v="GENERIC"/>
    <s v="50% DOWNPAYMENT, 50% W/IN 30 DAYS"/>
    <s v="2025-01-07"/>
    <s v="IMPLEMENTATION"/>
    <n v="1"/>
    <n v="3325"/>
    <n v="9500"/>
    <n v="9500"/>
    <s v="MARITESS"/>
  </r>
  <r>
    <x v="203"/>
    <s v="TIONG BAHRU PHILIPPINES INC - SO-003"/>
    <s v="SO-003"/>
    <s v="TIONG BAHRU PHILIPPINES INC"/>
    <s v="TIONG BAHRU"/>
    <s v="GENERIC"/>
    <s v="50% DOWNPAYMENT, 50% W/IN 30 DAYS"/>
    <s v="2025-01-07"/>
    <s v="ONE YEAR WARRANTY"/>
    <n v="1"/>
    <n v="3325"/>
    <n v="9500"/>
    <n v="9500"/>
    <s v="MARITESS"/>
  </r>
  <r>
    <x v="203"/>
    <s v="TIONG BAHRU PHILIPPINES INC - SO-003"/>
    <s v="SO-003"/>
    <s v="TIONG BAHRU PHILIPPINES INC"/>
    <s v="TIONG BAHRU"/>
    <s v="GENERIC"/>
    <s v="50% DOWNPAYMENT, 50% W/IN 30 DAYS"/>
    <s v="2025-01-07"/>
    <s v="BIR REGISTRATION"/>
    <n v="1"/>
    <n v="500"/>
    <n v="500"/>
    <n v="500"/>
    <s v="MARITESS"/>
  </r>
  <r>
    <x v="203"/>
    <s v="TIONG BAHRU PHILIPPINES INC - SO-004"/>
    <s v="SO-004"/>
    <s v="TIONG BAHRU PHILIPPINES INC"/>
    <s v="TIONG BAHRU"/>
    <s v="GENERIC"/>
    <s v="50% DOWNPAYMENT, 50% W/IN 30 DAYS"/>
    <s v="2025-01-07"/>
    <s v="BACCHUS SQL VER 7"/>
    <n v="1"/>
    <n v="3675"/>
    <n v="10500"/>
    <n v="10500"/>
    <s v="MARITESS"/>
  </r>
  <r>
    <x v="203"/>
    <s v="TIONG BAHRU PHILIPPINES INC - SO-004"/>
    <s v="SO-004"/>
    <s v="TIONG BAHRU PHILIPPINES INC"/>
    <s v="TIONG BAHRU"/>
    <s v="GENERIC"/>
    <s v="50% DOWNPAYMENT, 50% W/IN 30 DAYS"/>
    <s v="2025-01-07"/>
    <s v="IMPLEMENTATION"/>
    <n v="1"/>
    <n v="3325"/>
    <n v="9500"/>
    <n v="9500"/>
    <s v="MARITESS"/>
  </r>
  <r>
    <x v="203"/>
    <s v="TIONG BAHRU PHILIPPINES INC - SO-004"/>
    <s v="SO-004"/>
    <s v="TIONG BAHRU PHILIPPINES INC"/>
    <s v="TIONG BAHRU"/>
    <s v="GENERIC"/>
    <s v="50% DOWNPAYMENT, 50% W/IN 30 DAYS"/>
    <s v="2025-01-07"/>
    <s v="ONE YEAR WARRANTY"/>
    <n v="1"/>
    <n v="3325"/>
    <n v="9500"/>
    <n v="9500"/>
    <s v="MARITESS"/>
  </r>
  <r>
    <x v="203"/>
    <s v="TIONG BAHRU PHILIPPINES INC - SO-004"/>
    <s v="SO-004"/>
    <s v="TIONG BAHRU PHILIPPINES INC"/>
    <s v="TIONG BAHRU"/>
    <s v="GENERIC"/>
    <s v="50% DOWNPAYMENT, 50% W/IN 30 DAYS"/>
    <s v="2025-01-07"/>
    <s v="BIR REGISTRATION"/>
    <n v="1"/>
    <n v="500"/>
    <n v="500"/>
    <n v="500"/>
    <s v="MARITESS"/>
  </r>
  <r>
    <x v="203"/>
    <s v="TIONG BAHRU PHILIPPINES INC - SO-005"/>
    <s v="SO-005"/>
    <s v="TIONG BAHRU PHILIPPINES INC"/>
    <s v="TIONG BAHRU"/>
    <s v="GENERIC"/>
    <s v="50% DOWNPAYMENT, 50% W/IN 30 DAYS"/>
    <s v="2025-01-07"/>
    <s v="BACCHUS SQL VER 7"/>
    <n v="1"/>
    <n v="3675"/>
    <n v="10500"/>
    <n v="10500"/>
    <s v="MARITESS"/>
  </r>
  <r>
    <x v="203"/>
    <s v="TIONG BAHRU PHILIPPINES INC - SO-005"/>
    <s v="SO-005"/>
    <s v="TIONG BAHRU PHILIPPINES INC"/>
    <s v="TIONG BAHRU"/>
    <s v="GENERIC"/>
    <s v="50% DOWNPAYMENT, 50% W/IN 30 DAYS"/>
    <s v="2025-01-07"/>
    <s v="IMPLEMENTATION"/>
    <n v="1"/>
    <n v="3325"/>
    <n v="9500"/>
    <n v="9500"/>
    <s v="MARITESS"/>
  </r>
  <r>
    <x v="203"/>
    <s v="TIONG BAHRU PHILIPPINES INC - SO-005"/>
    <s v="SO-005"/>
    <s v="TIONG BAHRU PHILIPPINES INC"/>
    <s v="TIONG BAHRU"/>
    <s v="GENERIC"/>
    <s v="50% DOWNPAYMENT, 50% W/IN 30 DAYS"/>
    <s v="2025-01-07"/>
    <s v="ONE YEAR WARRANTY"/>
    <n v="1"/>
    <n v="3325"/>
    <n v="9500"/>
    <n v="9500"/>
    <s v="MARITESS"/>
  </r>
  <r>
    <x v="203"/>
    <s v="TIONG BAHRU PHILIPPINES INC - SO-005"/>
    <s v="SO-005"/>
    <s v="TIONG BAHRU PHILIPPINES INC"/>
    <s v="TIONG BAHRU"/>
    <s v="GENERIC"/>
    <s v="50% DOWNPAYMENT, 50% W/IN 30 DAYS"/>
    <s v="2025-01-07"/>
    <s v="BIR REGISTRATION"/>
    <n v="1"/>
    <n v="500"/>
    <n v="500"/>
    <n v="500"/>
    <s v="MARITESS"/>
  </r>
  <r>
    <x v="203"/>
    <s v="TIONG BAHRU PHILIPPINES INC - SO-005"/>
    <s v="SO-005"/>
    <s v="TIONG BAHRU PHILIPPINES INC"/>
    <s v="TIONG BAHRU"/>
    <s v="GENERIC"/>
    <s v="50% DOWNPAYMENT, 50% W/IN 30 DAYS"/>
    <s v="2025-01-07"/>
    <s v="APC UPS"/>
    <n v="2"/>
    <n v="2200"/>
    <n v="3500"/>
    <n v="7000"/>
    <s v="MARITESS"/>
  </r>
  <r>
    <x v="203"/>
    <s v="TIONG BAHRU PHILIPPINES INC - SO-005"/>
    <s v="SO-005"/>
    <s v="TIONG BAHRU PHILIPPINES INC"/>
    <s v="TIONG BAHRU"/>
    <s v="GENERIC"/>
    <s v="50% DOWNPAYMENT, 50% W/IN 30 DAYS"/>
    <s v="2025-01-07"/>
    <s v="ORDERING STATION"/>
    <n v="1"/>
    <n v="6825"/>
    <n v="19500"/>
    <n v="19500"/>
    <s v="MARITESS"/>
  </r>
  <r>
    <x v="203"/>
    <s v="TIONG BAHRU PHILIPPINES INC - SO-005"/>
    <s v="SO-005"/>
    <s v="TIONG BAHRU PHILIPPINES INC"/>
    <s v="TIONG BAHRU"/>
    <s v="GENERIC"/>
    <s v="50% DOWNPAYMENT, 50% W/IN 30 DAYS"/>
    <s v="2025-01-07"/>
    <s v="DELIVERY FEE"/>
    <n v="1"/>
    <n v="500"/>
    <n v="500"/>
    <n v="500"/>
    <s v="MARITESS"/>
  </r>
  <r>
    <x v="203"/>
    <s v="TIONG BAHRU PHILIPPINES INC - SO-006"/>
    <s v="SO-006"/>
    <s v="TIONG BAHRU PHILIPPINES INC"/>
    <s v="TIONG BAHRU"/>
    <s v="GENERIC"/>
    <s v="50% DOWNPAYMENT, 50% W/IN 30 DAYS"/>
    <s v="2025-01-07"/>
    <s v="BACCHUS SQL VER 7"/>
    <n v="1"/>
    <n v="3675"/>
    <n v="10500"/>
    <n v="10500"/>
    <s v="MARITESS"/>
  </r>
  <r>
    <x v="203"/>
    <s v="TIONG BAHRU PHILIPPINES INC - SO-006"/>
    <s v="SO-006"/>
    <s v="TIONG BAHRU PHILIPPINES INC"/>
    <s v="TIONG BAHRU"/>
    <s v="GENERIC"/>
    <s v="50% DOWNPAYMENT, 50% W/IN 30 DAYS"/>
    <s v="2025-01-07"/>
    <s v="IMPLEMENTATION"/>
    <n v="1"/>
    <n v="3325"/>
    <n v="9500"/>
    <n v="9500"/>
    <s v="MARITESS"/>
  </r>
  <r>
    <x v="203"/>
    <s v="TIONG BAHRU PHILIPPINES INC - SO-006"/>
    <s v="SO-006"/>
    <s v="TIONG BAHRU PHILIPPINES INC"/>
    <s v="TIONG BAHRU"/>
    <s v="GENERIC"/>
    <s v="50% DOWNPAYMENT, 50% W/IN 30 DAYS"/>
    <s v="2025-01-07"/>
    <s v="ONE YEAR WARRANTY"/>
    <n v="1"/>
    <n v="3325"/>
    <n v="9500"/>
    <n v="9500"/>
    <s v="MARITESS"/>
  </r>
  <r>
    <x v="203"/>
    <s v="TIONG BAHRU PHILIPPINES INC - SO-006"/>
    <s v="SO-006"/>
    <s v="TIONG BAHRU PHILIPPINES INC"/>
    <s v="TIONG BAHRU"/>
    <s v="GENERIC"/>
    <s v="50% DOWNPAYMENT, 50% W/IN 30 DAYS"/>
    <s v="2025-01-07"/>
    <s v="BIR REGISTRATION"/>
    <n v="1"/>
    <n v="500"/>
    <n v="500"/>
    <n v="500"/>
    <s v="MARITESS"/>
  </r>
  <r>
    <x v="203"/>
    <s v="TIONG BAHRU PHILIPPINES INC - SO-006"/>
    <s v="SO-006"/>
    <s v="TIONG BAHRU PHILIPPINES INC"/>
    <s v="TIONG BAHRU"/>
    <s v="GENERIC"/>
    <s v="50% DOWNPAYMENT, 50% W/IN 30 DAYS"/>
    <s v="2025-01-07"/>
    <s v="APC UPS"/>
    <n v="2"/>
    <n v="2200"/>
    <n v="3500"/>
    <n v="7000"/>
    <s v="MARITESS"/>
  </r>
  <r>
    <x v="203"/>
    <s v="TIONG BAHRU PHILIPPINES INC - SO-006"/>
    <s v="SO-006"/>
    <s v="TIONG BAHRU PHILIPPINES INC"/>
    <s v="TIONG BAHRU"/>
    <s v="GENERIC"/>
    <s v="50% DOWNPAYMENT, 50% W/IN 30 DAYS"/>
    <s v="2025-01-07"/>
    <s v="ORDERING STATION"/>
    <n v="1"/>
    <n v="6825"/>
    <n v="19500"/>
    <n v="19500"/>
    <s v="MARITESS"/>
  </r>
  <r>
    <x v="203"/>
    <s v="TIONG BAHRU PHILIPPINES INC - SO-006"/>
    <s v="SO-006"/>
    <s v="TIONG BAHRU PHILIPPINES INC"/>
    <s v="TIONG BAHRU"/>
    <s v="GENERIC"/>
    <s v="50% DOWNPAYMENT, 50% W/IN 30 DAYS"/>
    <s v="2025-01-07"/>
    <s v="DELIVERY FEE"/>
    <n v="1"/>
    <n v="500"/>
    <n v="500"/>
    <n v="500"/>
    <s v="MARITESS"/>
  </r>
  <r>
    <x v="204"/>
    <s v="JUAMALU COUTURE - SO-007"/>
    <s v="SO-007"/>
    <s v="JUAMALU COUTURE"/>
    <s v="RHETT EALA"/>
    <s v="GENERIC"/>
    <s v="PAID"/>
    <s v="N/A"/>
    <s v="PREVENTIVE MAINTENANCE"/>
    <n v="1"/>
    <n v="18000"/>
    <n v="18000"/>
    <n v="18000"/>
    <s v="MARITESS"/>
  </r>
  <r>
    <x v="205"/>
    <s v="GRIMALKIN CORPORATION - SO-008"/>
    <s v="SO-008"/>
    <s v="GRIMALKIN CORPORATION"/>
    <s v="NINETYGO"/>
    <s v="SM BICUTAN"/>
    <s v="40% DOWNPAYMENT, 60% W/IN 30 DAYS"/>
    <s v="2025-01-13"/>
    <s v="RDMS SQL+ VERSION 3"/>
    <n v="1"/>
    <n v="3675"/>
    <n v="10500"/>
    <n v="10500"/>
    <s v="JOANNE"/>
  </r>
  <r>
    <x v="205"/>
    <s v="GRIMALKIN CORPORATION - SO-008"/>
    <s v="SO-008"/>
    <s v="GRIMALKIN CORPORATION"/>
    <s v="NINETYGO"/>
    <s v="SM BICUTAN"/>
    <s v="40% DOWNPAYMENT, 60% W/IN 30 DAYS"/>
    <s v="2025-01-13"/>
    <s v="ROLL OUT IMPLEMENTATION"/>
    <n v="1"/>
    <n v="4200"/>
    <n v="11500"/>
    <n v="11500"/>
    <s v="JOANNE"/>
  </r>
  <r>
    <x v="205"/>
    <s v="GRIMALKIN CORPORATION - SO-008"/>
    <s v="SO-008"/>
    <s v="GRIMALKIN CORPORATION"/>
    <s v="NINETYGO"/>
    <s v="SM BICUTAN"/>
    <s v="40% DOWNPAYMENT, 60% W/IN 30 DAYS"/>
    <s v="2025-01-13"/>
    <s v="ONE YEAR WARRANTY"/>
    <n v="1"/>
    <n v="4200"/>
    <n v="11500"/>
    <n v="11500"/>
    <s v="JOANNE"/>
  </r>
  <r>
    <x v="205"/>
    <s v="GRIMALKIN CORPORATION - SO-008"/>
    <s v="SO-008"/>
    <s v="GRIMALKIN CORPORATION"/>
    <s v="NINETYGO"/>
    <s v="SM BICUTAN"/>
    <s v="40% DOWNPAYMENT, 60% W/IN 30 DAYS"/>
    <s v="2025-01-13"/>
    <s v="BIR REGISTRATION"/>
    <n v="1"/>
    <n v="500"/>
    <n v="500"/>
    <n v="500"/>
    <s v="JOANNE"/>
  </r>
  <r>
    <x v="205"/>
    <s v="GRIMALKIN CORPORATION - SO-008"/>
    <s v="SO-008"/>
    <s v="GRIMALKIN CORPORATION"/>
    <s v="NINETYGO"/>
    <s v="SM BICUTAN"/>
    <s v="40% DOWNPAYMENT, 60% W/IN 30 DAYS"/>
    <s v="2025-01-13"/>
    <s v="MODIFICATION"/>
    <n v="1"/>
    <n v="3500"/>
    <n v="5000"/>
    <n v="5000"/>
    <s v="JOANNE"/>
  </r>
  <r>
    <x v="205"/>
    <s v="GRIMALKIN CORPORATION - SO-008"/>
    <s v="SO-008"/>
    <s v="GRIMALKIN CORPORATION"/>
    <s v="NINETYGO"/>
    <s v="SM BICUTAN"/>
    <s v="40% DOWNPAYMENT, 60% W/IN 30 DAYS"/>
    <s v="2025-01-13"/>
    <s v="EOS MINI PC I5, 8GB, 480GB SSD"/>
    <n v="1"/>
    <n v="23450"/>
    <n v="32300"/>
    <n v="32300"/>
    <s v="JOANNE"/>
  </r>
  <r>
    <x v="205"/>
    <s v="GRIMALKIN CORPORATION - SO-008"/>
    <s v="SO-008"/>
    <s v="GRIMALKIN CORPORATION"/>
    <s v="NINETYGO"/>
    <s v="SM BICUTAN"/>
    <s v="40% DOWNPAYMENT, 60% W/IN 30 DAYS"/>
    <s v="2025-01-13"/>
    <s v="WINDOWS 10 PRO"/>
    <n v="1"/>
    <n v="2300"/>
    <n v="4000"/>
    <n v="4000"/>
    <s v="JOANNE"/>
  </r>
  <r>
    <x v="205"/>
    <s v="GRIMALKIN CORPORATION - SO-008"/>
    <s v="SO-008"/>
    <s v="GRIMALKIN CORPORATION"/>
    <s v="NINETYGO"/>
    <s v="SM BICUTAN"/>
    <s v="40% DOWNPAYMENT, 60% W/IN 30 DAYS"/>
    <s v="2025-01-13"/>
    <s v="KEYBOARD AND MOUSE"/>
    <n v="1"/>
    <n v="530"/>
    <n v="700"/>
    <n v="700"/>
    <s v="JOANNE"/>
  </r>
  <r>
    <x v="205"/>
    <s v="GRIMALKIN CORPORATION - SO-008"/>
    <s v="SO-008"/>
    <s v="GRIMALKIN CORPORATION"/>
    <s v="NINETYGO"/>
    <s v="SM BICUTAN"/>
    <s v="40% DOWNPAYMENT, 60% W/IN 30 DAYS"/>
    <s v="2025-01-13"/>
    <s v="EOS FAN WITH COVER"/>
    <n v="1"/>
    <n v="350"/>
    <n v="500"/>
    <n v="500"/>
    <s v="JOANNE"/>
  </r>
  <r>
    <x v="205"/>
    <s v="GRIMALKIN CORPORATION - SO-008"/>
    <s v="SO-008"/>
    <s v="GRIMALKIN CORPORATION"/>
    <s v="NINETYGO"/>
    <s v="SM BICUTAN"/>
    <s v="40% DOWNPAYMENT, 60% W/IN 30 DAYS"/>
    <s v="2025-01-13"/>
    <s v="KASPERKY ANTI VIRUS"/>
    <n v="1"/>
    <n v="935"/>
    <n v="1500"/>
    <n v="1500"/>
    <s v="JOANNE"/>
  </r>
  <r>
    <x v="205"/>
    <s v="GRIMALKIN CORPORATION - SO-008"/>
    <s v="SO-008"/>
    <s v="GRIMALKIN CORPORATION"/>
    <s v="NINETYGO"/>
    <s v="SM BICUTAN"/>
    <s v="40% DOWNPAYMENT, 60% W/IN 30 DAYS"/>
    <s v="2025-01-13"/>
    <s v="DELIVERY FEE"/>
    <n v="1"/>
    <n v="500"/>
    <n v="500"/>
    <n v="500"/>
    <s v="JOANNE"/>
  </r>
  <r>
    <x v="206"/>
    <s v="ROSANNA OCAMPO - SO-009"/>
    <s v="SO-009"/>
    <s v="ROSANNA OCAMPO"/>
    <s v="ROSANNA OCAMPO"/>
    <s v="ROCKWELL POWERPLANT"/>
    <s v="COD"/>
    <s v="2025-01-15"/>
    <s v="ERC RIBBON"/>
    <n v="2"/>
    <n v="70"/>
    <n v="250"/>
    <n v="500"/>
    <s v="JOANNE"/>
  </r>
  <r>
    <x v="207"/>
    <s v="LIGHTERS GALORE - SO-010"/>
    <s v="SO-010"/>
    <s v="LIGHTERS GALORE"/>
    <s v="LIGHTERS GALORE"/>
    <s v="GATEWAY"/>
    <s v="COD"/>
    <s v="2025-01-20"/>
    <s v="ERC RIBBON"/>
    <n v="3"/>
    <n v="70"/>
    <n v="250"/>
    <n v="750"/>
    <s v="JOANNE"/>
  </r>
  <r>
    <x v="208"/>
    <s v="EXTREME OUTDOOR ADVENTURE CORP - SO-011"/>
    <s v="SO-011"/>
    <s v="EXTREME OUTDOOR ADVENTURE CORP"/>
    <s v="EXTREME OUTDOOR ADVENTURES"/>
    <s v="GENERIC"/>
    <s v="COD"/>
    <s v="2025-02-03"/>
    <s v="PREVENTIVE MAINTENANCE"/>
    <n v="1"/>
    <n v="18000"/>
    <n v="18000"/>
    <n v="18000"/>
    <s v="MARITESS"/>
  </r>
  <r>
    <x v="209"/>
    <s v="BIG BRANDS CLOTHING OUTLET CORP - SO-012"/>
    <s v="SO-012"/>
    <s v="BIG BRANDS CLOTHING OUTLET CORP"/>
    <s v="BIG BRANDS"/>
    <s v="GENERIC"/>
    <s v="FULLY PAID"/>
    <s v="2025-02-05"/>
    <s v="PREVENTIVE MAINTENANCE"/>
    <n v="1"/>
    <n v="15000"/>
    <n v="15000"/>
    <n v="15000"/>
    <s v="MARITESS"/>
  </r>
  <r>
    <x v="210"/>
    <s v="RHETT EALA - SO-013"/>
    <s v="SO-013"/>
    <s v="RHETT EALA"/>
    <s v="RHETT EALA"/>
    <s v="ROCKWELL"/>
    <s v="COD"/>
    <s v="N/A"/>
    <s v="APC UPS"/>
    <n v="1"/>
    <n v="2200"/>
    <n v="3500"/>
    <n v="3500"/>
    <s v="JOANNE"/>
  </r>
  <r>
    <x v="203"/>
    <s v="TIONG BAHRU PHILIPPINES INC - SO-014"/>
    <s v="SO-014"/>
    <s v="TIONG BAHRU PHILIPPINES INC"/>
    <s v="TIONG BAHRU"/>
    <s v="GENERIC"/>
    <s v="50% DOWNPAYMENT, 50% W/IN 30 DAYS"/>
    <s v="2025-03-04"/>
    <s v="BACCHUS SQL VER 7"/>
    <n v="1"/>
    <n v="3675"/>
    <n v="10500"/>
    <n v="10500"/>
    <s v="MARITESS"/>
  </r>
  <r>
    <x v="203"/>
    <s v="TIONG BAHRU PHILIPPINES INC - SO-014"/>
    <s v="SO-014"/>
    <s v="TIONG BAHRU PHILIPPINES INC"/>
    <s v="TIONG BAHRU"/>
    <s v="GENERIC"/>
    <s v="50% DOWNPAYMENT, 50% W/IN 30 DAYS"/>
    <s v="2025-03-04"/>
    <s v="IMPLEMENTATION"/>
    <n v="1"/>
    <n v="3325"/>
    <n v="9500"/>
    <n v="9500"/>
    <s v="MARITESS"/>
  </r>
  <r>
    <x v="203"/>
    <s v="TIONG BAHRU PHILIPPINES INC - SO-014"/>
    <s v="SO-014"/>
    <s v="TIONG BAHRU PHILIPPINES INC"/>
    <s v="TIONG BAHRU"/>
    <s v="GENERIC"/>
    <s v="50% DOWNPAYMENT, 50% W/IN 30 DAYS"/>
    <s v="2025-03-04"/>
    <s v="ONE YEAR WARRANTY"/>
    <n v="1"/>
    <n v="3325"/>
    <n v="9500"/>
    <n v="9500"/>
    <s v="MARITESS"/>
  </r>
  <r>
    <x v="203"/>
    <s v="TIONG BAHRU PHILIPPINES INC - SO-014"/>
    <s v="SO-014"/>
    <s v="TIONG BAHRU PHILIPPINES INC"/>
    <s v="TIONG BAHRU"/>
    <s v="GENERIC"/>
    <s v="50% DOWNPAYMENT, 50% W/IN 30 DAYS"/>
    <s v="2025-03-04"/>
    <s v="BIR REGISTRATION"/>
    <n v="1"/>
    <n v="500"/>
    <n v="500"/>
    <n v="500"/>
    <s v="MARITESS"/>
  </r>
  <r>
    <x v="203"/>
    <s v="TIONG BAHRU PHILIPPINES INC - SO-014"/>
    <s v="SO-014"/>
    <s v="TIONG BAHRU PHILIPPINES INC"/>
    <s v="TIONG BAHRU"/>
    <s v="GENERIC"/>
    <s v="50% DOWNPAYMENT, 50% W/IN 30 DAYS"/>
    <s v="2025-03-04"/>
    <s v="APC UPS"/>
    <n v="1"/>
    <n v="2200"/>
    <n v="3000"/>
    <n v="3000"/>
    <s v="MARITESS"/>
  </r>
  <r>
    <x v="203"/>
    <s v="TIONG BAHRU PHILIPPINES INC - SO-014"/>
    <s v="SO-014"/>
    <s v="TIONG BAHRU PHILIPPINES INC"/>
    <s v="TIONG BAHRU"/>
    <s v="GENERIC"/>
    <s v="50% DOWNPAYMENT, 50% W/IN 30 DAYS"/>
    <s v="2025-03-04"/>
    <s v="TOUCH SCREEN MONITOR"/>
    <n v="1"/>
    <n v="1000"/>
    <n v="15500"/>
    <n v="15500"/>
    <s v="MARITESS"/>
  </r>
  <r>
    <x v="203"/>
    <s v="TIONG BAHRU PHILIPPINES INC - SO-014"/>
    <s v="SO-014"/>
    <s v="TIONG BAHRU PHILIPPINES INC"/>
    <s v="TIONG BAHRU"/>
    <s v="GENERIC"/>
    <s v="50% DOWNPAYMENT, 50% W/IN 30 DAYS"/>
    <s v="2025-03-04"/>
    <s v="DELIVERY FEE"/>
    <n v="1"/>
    <n v="500"/>
    <n v="500"/>
    <n v="500"/>
    <s v="MARITESS"/>
  </r>
  <r>
    <x v="203"/>
    <s v="TIONG BAHRU PHILIPPINES INC - SO-015"/>
    <s v="SO-015"/>
    <s v="TIONG BAHRU PHILIPPINES INC"/>
    <s v="TIONG BAHRU"/>
    <s v="GENERIC"/>
    <s v="50% DOWNPAYMENT, 50% W/IN 30 DAYS"/>
    <s v="2025-03-04"/>
    <s v="BACCHUS SQL VER 7"/>
    <n v="1"/>
    <n v="3675"/>
    <n v="10500"/>
    <n v="10500"/>
    <s v="MARITESS"/>
  </r>
  <r>
    <x v="203"/>
    <s v="TIONG BAHRU PHILIPPINES INC - SO-015"/>
    <s v="SO-015"/>
    <s v="TIONG BAHRU PHILIPPINES INC"/>
    <s v="TIONG BAHRU"/>
    <s v="GENERIC"/>
    <s v="50% DOWNPAYMENT, 50% W/IN 30 DAYS"/>
    <s v="2025-03-04"/>
    <s v="IMPLEMENTATION"/>
    <n v="1"/>
    <n v="3325"/>
    <n v="9500"/>
    <n v="9500"/>
    <s v="MARITESS"/>
  </r>
  <r>
    <x v="203"/>
    <s v="TIONG BAHRU PHILIPPINES INC - SO-015"/>
    <s v="SO-015"/>
    <s v="TIONG BAHRU PHILIPPINES INC"/>
    <s v="TIONG BAHRU"/>
    <s v="GENERIC"/>
    <s v="50% DOWNPAYMENT, 50% W/IN 30 DAYS"/>
    <s v="2025-03-04"/>
    <s v="ONE YEAR WARRANTY"/>
    <n v="1"/>
    <n v="3325"/>
    <n v="9500"/>
    <n v="9500"/>
    <s v="MARITESS"/>
  </r>
  <r>
    <x v="203"/>
    <s v="TIONG BAHRU PHILIPPINES INC - SO-015"/>
    <s v="SO-015"/>
    <s v="TIONG BAHRU PHILIPPINES INC"/>
    <s v="TIONG BAHRU"/>
    <s v="GENERIC"/>
    <s v="50% DOWNPAYMENT, 50% W/IN 30 DAYS"/>
    <s v="2025-03-04"/>
    <s v="BIR REGISTRATION"/>
    <n v="1"/>
    <n v="500"/>
    <n v="500"/>
    <n v="500"/>
    <s v="MARITESS"/>
  </r>
  <r>
    <x v="203"/>
    <s v="TIONG BAHRU PHILIPPINES INC - SO-015"/>
    <s v="SO-015"/>
    <s v="TIONG BAHRU PHILIPPINES INC"/>
    <s v="TIONG BAHRU"/>
    <s v="GENERIC"/>
    <s v="50% DOWNPAYMENT, 50% W/IN 30 DAYS"/>
    <s v="2025-03-04"/>
    <s v="APC UPS"/>
    <n v="2"/>
    <n v="2200"/>
    <n v="3500"/>
    <n v="7000"/>
    <s v="MARITESS"/>
  </r>
  <r>
    <x v="203"/>
    <s v="TIONG BAHRU PHILIPPINES INC - SO-015"/>
    <s v="SO-015"/>
    <s v="TIONG BAHRU PHILIPPINES INC"/>
    <s v="TIONG BAHRU"/>
    <s v="GENERIC"/>
    <s v="50% DOWNPAYMENT, 50% W/IN 30 DAYS"/>
    <s v="2025-03-04"/>
    <s v="ORDERING STATION"/>
    <n v="1"/>
    <n v="6825"/>
    <n v="19500"/>
    <n v="19500"/>
    <s v="MARITESS"/>
  </r>
  <r>
    <x v="203"/>
    <s v="TIONG BAHRU PHILIPPINES INC - SO-015"/>
    <s v="SO-015"/>
    <s v="TIONG BAHRU PHILIPPINES INC"/>
    <s v="TIONG BAHRU"/>
    <s v="GENERIC"/>
    <s v="50% DOWNPAYMENT, 50% W/IN 30 DAYS"/>
    <s v="2025-03-04"/>
    <s v="DELIVERY FEE"/>
    <n v="1"/>
    <n v="500"/>
    <n v="500"/>
    <n v="500"/>
    <s v="MARITESS"/>
  </r>
  <r>
    <x v="203"/>
    <s v="TIONG BAHRU PHILIPPINES INC - SO-016"/>
    <s v="SO-016"/>
    <s v="TIONG BAHRU PHILIPPINES INC"/>
    <s v="TIONG BAHRU"/>
    <s v="GENERIC"/>
    <s v="50% DOWNPAYMENT, 50% W/IN 30 DAYS"/>
    <s v="2025-03-04"/>
    <s v="BACCHUS SQL VER 7"/>
    <n v="1"/>
    <n v="3675"/>
    <n v="10500"/>
    <n v="10500"/>
    <s v="MARITESS"/>
  </r>
  <r>
    <x v="203"/>
    <s v="TIONG BAHRU PHILIPPINES INC - SO-016"/>
    <s v="SO-016"/>
    <s v="TIONG BAHRU PHILIPPINES INC"/>
    <s v="TIONG BAHRU"/>
    <s v="GENERIC"/>
    <s v="50% DOWNPAYMENT, 50% W/IN 30 DAYS"/>
    <s v="2025-03-04"/>
    <s v="IMPLEMENTATION"/>
    <n v="1"/>
    <n v="3325"/>
    <n v="9500"/>
    <n v="9500"/>
    <s v="MARITESS"/>
  </r>
  <r>
    <x v="203"/>
    <s v="TIONG BAHRU PHILIPPINES INC - SO-016"/>
    <s v="SO-016"/>
    <s v="TIONG BAHRU PHILIPPINES INC"/>
    <s v="TIONG BAHRU"/>
    <s v="GENERIC"/>
    <s v="50% DOWNPAYMENT, 50% W/IN 30 DAYS"/>
    <s v="2025-03-04"/>
    <s v="ONE YEAR WARRANTY"/>
    <n v="1"/>
    <n v="3325"/>
    <n v="9500"/>
    <n v="9500"/>
    <s v="MARITESS"/>
  </r>
  <r>
    <x v="203"/>
    <s v="TIONG BAHRU PHILIPPINES INC - SO-016"/>
    <s v="SO-016"/>
    <s v="TIONG BAHRU PHILIPPINES INC"/>
    <s v="TIONG BAHRU"/>
    <s v="GENERIC"/>
    <s v="50% DOWNPAYMENT, 50% W/IN 30 DAYS"/>
    <s v="2025-03-04"/>
    <s v="BIR REGISTRATION"/>
    <n v="1"/>
    <n v="500"/>
    <n v="500"/>
    <n v="500"/>
    <s v="MARITESS"/>
  </r>
  <r>
    <x v="203"/>
    <s v="TIONG BAHRU PHILIPPINES INC - SO-016"/>
    <s v="SO-016"/>
    <s v="TIONG BAHRU PHILIPPINES INC"/>
    <s v="TIONG BAHRU"/>
    <s v="GENERIC"/>
    <s v="50% DOWNPAYMENT, 50% W/IN 30 DAYS"/>
    <s v="2025-03-04"/>
    <s v="APC UPS"/>
    <n v="1"/>
    <n v="2200"/>
    <n v="3000"/>
    <n v="3000"/>
    <s v="MARITESS"/>
  </r>
  <r>
    <x v="203"/>
    <s v="TIONG BAHRU PHILIPPINES INC - SO-016"/>
    <s v="SO-016"/>
    <s v="TIONG BAHRU PHILIPPINES INC"/>
    <s v="TIONG BAHRU"/>
    <s v="GENERIC"/>
    <s v="50% DOWNPAYMENT, 50% W/IN 30 DAYS"/>
    <s v="2025-03-04"/>
    <s v="EPSON TM - U220B USB"/>
    <n v="1"/>
    <n v="9500"/>
    <n v="13500"/>
    <n v="13500"/>
    <s v="MARITESS"/>
  </r>
  <r>
    <x v="203"/>
    <s v="TIONG BAHRU PHILIPPINES INC - SO-016"/>
    <s v="SO-016"/>
    <s v="TIONG BAHRU PHILIPPINES INC"/>
    <s v="TIONG BAHRU"/>
    <s v="GENERIC"/>
    <s v="50% DOWNPAYMENT, 50% W/IN 30 DAYS"/>
    <s v="2025-03-04"/>
    <s v="DELIVERY FEE"/>
    <n v="1"/>
    <n v="500"/>
    <n v="500"/>
    <n v="500"/>
    <s v="MARITESS"/>
  </r>
  <r>
    <x v="203"/>
    <s v="TIONG BAHRU PHILIPPINES INC - SO-017"/>
    <s v="SO-017"/>
    <s v="TIONG BAHRU PHILIPPINES INC"/>
    <s v="TIONG BAHRU"/>
    <s v="GENERIC"/>
    <s v="50% DOWNPAYMENT, 50% W/IN 30 DAYS"/>
    <s v="2025-03-04"/>
    <s v="BACCHUS SQL VER 7"/>
    <n v="1"/>
    <n v="3675"/>
    <n v="10500"/>
    <n v="10500"/>
    <s v="MARITESS"/>
  </r>
  <r>
    <x v="203"/>
    <s v="TIONG BAHRU PHILIPPINES INC - SO-017"/>
    <s v="SO-017"/>
    <s v="TIONG BAHRU PHILIPPINES INC"/>
    <s v="TIONG BAHRU"/>
    <s v="GENERIC"/>
    <s v="50% DOWNPAYMENT, 50% W/IN 30 DAYS"/>
    <s v="2025-03-04"/>
    <s v="IMPLEMENTATION"/>
    <n v="1"/>
    <n v="3237.5"/>
    <n v="9250"/>
    <n v="9250"/>
    <s v="MARITESS"/>
  </r>
  <r>
    <x v="203"/>
    <s v="TIONG BAHRU PHILIPPINES INC - SO-017"/>
    <s v="SO-017"/>
    <s v="TIONG BAHRU PHILIPPINES INC"/>
    <s v="TIONG BAHRU"/>
    <s v="GENERIC"/>
    <s v="50% DOWNPAYMENT, 50% W/IN 30 DAYS"/>
    <s v="2025-03-04"/>
    <s v="ONE YEAR WARRANTY"/>
    <n v="1"/>
    <n v="3237.5"/>
    <n v="9250"/>
    <n v="9250"/>
    <s v="MARITESS"/>
  </r>
  <r>
    <x v="203"/>
    <s v="TIONG BAHRU PHILIPPINES INC - SO-017"/>
    <s v="SO-017"/>
    <s v="TIONG BAHRU PHILIPPINES INC"/>
    <s v="TIONG BAHRU"/>
    <s v="GENERIC"/>
    <s v="50% DOWNPAYMENT, 50% W/IN 30 DAYS"/>
    <s v="2025-03-04"/>
    <s v="BIR REGISTRATION"/>
    <n v="1"/>
    <n v="500"/>
    <n v="500"/>
    <n v="500"/>
    <s v="MARITESS"/>
  </r>
  <r>
    <x v="203"/>
    <s v="TIONG BAHRU PHILIPPINES INC - SO-017"/>
    <s v="SO-017"/>
    <s v="TIONG BAHRU PHILIPPINES INC"/>
    <s v="TIONG BAHRU"/>
    <s v="GENERIC"/>
    <s v="50% DOWNPAYMENT, 50% W/IN 30 DAYS"/>
    <s v="2025-03-04"/>
    <s v="DESKTOP CPU I5, 8GB RAM, 480 GB SSD(W/KEYBOARD &amp;MOUSE)"/>
    <n v="1"/>
    <n v="21500"/>
    <n v="31000"/>
    <n v="31000"/>
    <s v="MARITESS"/>
  </r>
  <r>
    <x v="203"/>
    <s v="TIONG BAHRU PHILIPPINES INC - SO-017"/>
    <s v="SO-017"/>
    <s v="TIONG BAHRU PHILIPPINES INC"/>
    <s v="TIONG BAHRU"/>
    <s v="GENERIC"/>
    <s v="50% DOWNPAYMENT, 50% W/IN 30 DAYS"/>
    <s v="2025-03-04"/>
    <s v="TOUCH SCREEN MONITOR"/>
    <n v="1"/>
    <n v="11000"/>
    <n v="15500"/>
    <n v="15500"/>
    <s v="MARITESS"/>
  </r>
  <r>
    <x v="203"/>
    <s v="TIONG BAHRU PHILIPPINES INC - SO-017"/>
    <s v="SO-017"/>
    <s v="TIONG BAHRU PHILIPPINES INC"/>
    <s v="TIONG BAHRU"/>
    <s v="GENERIC"/>
    <s v="50% DOWNPAYMENT, 50% W/IN 30 DAYS"/>
    <s v="2025-03-04"/>
    <s v="GENERIC CASH DRAWER"/>
    <n v="1"/>
    <n v="2185"/>
    <n v="3200"/>
    <n v="3200"/>
    <s v="MARITESS"/>
  </r>
  <r>
    <x v="203"/>
    <s v="TIONG BAHRU PHILIPPINES INC - SO-017"/>
    <s v="SO-017"/>
    <s v="TIONG BAHRU PHILIPPINES INC"/>
    <s v="TIONG BAHRU"/>
    <s v="GENERIC"/>
    <s v="50% DOWNPAYMENT, 50% W/IN 30 DAYS"/>
    <s v="2025-03-04"/>
    <s v="EPSON TM – U220D DOT MATRIX (USB)"/>
    <n v="1"/>
    <n v="8500"/>
    <n v="12000"/>
    <n v="12000"/>
    <s v="MARITESS"/>
  </r>
  <r>
    <x v="203"/>
    <s v="TIONG BAHRU PHILIPPINES INC - SO-017"/>
    <s v="SO-017"/>
    <s v="TIONG BAHRU PHILIPPINES INC"/>
    <s v="TIONG BAHRU"/>
    <s v="GENERIC"/>
    <s v="50% DOWNPAYMENT, 50% W/IN 30 DAYS"/>
    <s v="2025-03-04"/>
    <s v="EPSON TM – U220B DOT MATRIX (LAN)"/>
    <n v="1"/>
    <n v="9500"/>
    <n v="12500"/>
    <n v="12500"/>
    <s v="MARITESS"/>
  </r>
  <r>
    <x v="203"/>
    <s v="TIONG BAHRU PHILIPPINES INC - SO-017"/>
    <s v="SO-017"/>
    <s v="TIONG BAHRU PHILIPPINES INC"/>
    <s v="TIONG BAHRU"/>
    <s v="GENERIC"/>
    <s v="50% DOWNPAYMENT, 50% W/IN 30 DAYS"/>
    <s v="2025-03-04"/>
    <s v="APC UPS"/>
    <n v="1"/>
    <n v="2200"/>
    <n v="3300"/>
    <n v="3300"/>
    <s v="MARITESS"/>
  </r>
  <r>
    <x v="203"/>
    <s v="TIONG BAHRU PHILIPPINES INC - SO-017"/>
    <s v="SO-017"/>
    <s v="TIONG BAHRU PHILIPPINES INC"/>
    <s v="TIONG BAHRU"/>
    <s v="GENERIC"/>
    <s v="50% DOWNPAYMENT, 50% W/IN 30 DAYS"/>
    <s v="2025-03-04"/>
    <s v="SWITCH HUB 8 PORTS"/>
    <n v="1"/>
    <n v="850"/>
    <n v="1200"/>
    <n v="1200"/>
    <s v="MARITESS"/>
  </r>
  <r>
    <x v="203"/>
    <s v="TIONG BAHRU PHILIPPINES INC - SO-017"/>
    <s v="SO-017"/>
    <s v="TIONG BAHRU PHILIPPINES INC"/>
    <s v="TIONG BAHRU"/>
    <s v="GENERIC"/>
    <s v="50% DOWNPAYMENT, 50% W/IN 30 DAYS"/>
    <s v="2025-03-04"/>
    <s v="WINDOWS 11 PRO"/>
    <n v="1"/>
    <n v="2800"/>
    <n v="4000"/>
    <n v="4000"/>
    <s v="MARITESS"/>
  </r>
  <r>
    <x v="203"/>
    <s v="TIONG BAHRU PHILIPPINES INC - SO-017"/>
    <s v="SO-017"/>
    <s v="TIONG BAHRU PHILIPPINES INC"/>
    <s v="TIONG BAHRU"/>
    <s v="GENERIC"/>
    <s v="50% DOWNPAYMENT, 50% W/IN 30 DAYS"/>
    <s v="2025-03-04"/>
    <s v="KASPERSKY ANTIVIRUS"/>
    <n v="1"/>
    <n v="935"/>
    <n v="1500"/>
    <n v="1500"/>
    <s v="MARITESS"/>
  </r>
  <r>
    <x v="203"/>
    <s v="TIONG BAHRU PHILIPPINES INC - SO-017"/>
    <s v="SO-017"/>
    <s v="TIONG BAHRU PHILIPPINES INC"/>
    <s v="TIONG BAHRU"/>
    <s v="GENERIC"/>
    <s v="50% DOWNPAYMENT, 50% W/IN 30 DAYS"/>
    <s v="2025-03-04"/>
    <s v="DELIVERY FEE"/>
    <n v="1"/>
    <n v="500"/>
    <n v="500"/>
    <n v="500"/>
    <s v="MARITESS"/>
  </r>
  <r>
    <x v="203"/>
    <s v="TIONG BAHRU PHILIPPINES INC - SO-018"/>
    <s v="SO-018"/>
    <s v="TIONG BAHRU PHILIPPINES INC"/>
    <s v="TIONG BAHRU"/>
    <s v="GENERIC"/>
    <s v="50% DOWNPAYMENT, 50% W/IN 30 DAYS"/>
    <s v="2025-03-04"/>
    <s v="BACCHUS SQL VER 7"/>
    <n v="1"/>
    <n v="3675"/>
    <n v="10500"/>
    <n v="10500"/>
    <s v="MARITESS"/>
  </r>
  <r>
    <x v="203"/>
    <s v="TIONG BAHRU PHILIPPINES INC - SO-018"/>
    <s v="SO-018"/>
    <s v="TIONG BAHRU PHILIPPINES INC"/>
    <s v="TIONG BAHRU"/>
    <s v="GENERIC"/>
    <s v="50% DOWNPAYMENT, 50% W/IN 30 DAYS"/>
    <s v="2025-03-04"/>
    <s v="IMPLEMENTATION"/>
    <n v="1"/>
    <n v="3325"/>
    <n v="9500"/>
    <n v="9500"/>
    <s v="MARITESS"/>
  </r>
  <r>
    <x v="203"/>
    <s v="TIONG BAHRU PHILIPPINES INC - SO-018"/>
    <s v="SO-018"/>
    <s v="TIONG BAHRU PHILIPPINES INC"/>
    <s v="TIONG BAHRU"/>
    <s v="GENERIC"/>
    <s v="50% DOWNPAYMENT, 50% W/IN 30 DAYS"/>
    <s v="2025-03-04"/>
    <s v="ONE YEAR WARRANTY"/>
    <n v="1"/>
    <n v="3325"/>
    <n v="9500"/>
    <n v="9500"/>
    <s v="MARITESS"/>
  </r>
  <r>
    <x v="203"/>
    <s v="TIONG BAHRU PHILIPPINES INC - SO-018"/>
    <s v="SO-018"/>
    <s v="TIONG BAHRU PHILIPPINES INC"/>
    <s v="TIONG BAHRU"/>
    <s v="GENERIC"/>
    <s v="50% DOWNPAYMENT, 50% W/IN 30 DAYS"/>
    <s v="2025-03-04"/>
    <s v="BIR REGISTRATION"/>
    <n v="1"/>
    <n v="500"/>
    <n v="500"/>
    <n v="500"/>
    <s v="MARITESS"/>
  </r>
  <r>
    <x v="203"/>
    <s v="TIONG BAHRU PHILIPPINES INC - SO-018"/>
    <s v="SO-018"/>
    <s v="TIONG BAHRU PHILIPPINES INC"/>
    <s v="TIONG BAHRU"/>
    <s v="GENERIC"/>
    <s v="50% DOWNPAYMENT, 50% W/IN 30 DAYS"/>
    <s v="2025-03-04"/>
    <s v="APC UPS"/>
    <n v="2"/>
    <n v="2200"/>
    <n v="3500"/>
    <n v="7000"/>
    <s v="MARITESS"/>
  </r>
  <r>
    <x v="203"/>
    <s v="TIONG BAHRU PHILIPPINES INC - SO-018"/>
    <s v="SO-018"/>
    <s v="TIONG BAHRU PHILIPPINES INC"/>
    <s v="TIONG BAHRU"/>
    <s v="GENERIC"/>
    <s v="50% DOWNPAYMENT, 50% W/IN 30 DAYS"/>
    <s v="2025-03-04"/>
    <s v="TOUCH SCREEN MONITOR"/>
    <n v="1"/>
    <n v="11000"/>
    <n v="15500"/>
    <n v="15500"/>
    <s v="MARITESS"/>
  </r>
  <r>
    <x v="203"/>
    <s v="TIONG BAHRU PHILIPPINES INC - SO-018"/>
    <s v="SO-018"/>
    <s v="TIONG BAHRU PHILIPPINES INC"/>
    <s v="TIONG BAHRU"/>
    <s v="GENERIC"/>
    <s v="50% DOWNPAYMENT, 50% W/IN 30 DAYS"/>
    <s v="2025-03-04"/>
    <s v="ORDERING STATION"/>
    <n v="1"/>
    <n v="6825"/>
    <n v="19500"/>
    <n v="19500"/>
    <s v="MARITESS"/>
  </r>
  <r>
    <x v="203"/>
    <s v="TIONG BAHRU PHILIPPINES INC - SO-018"/>
    <s v="SO-018"/>
    <s v="TIONG BAHRU PHILIPPINES INC"/>
    <s v="TIONG BAHRU"/>
    <s v="GENERIC"/>
    <s v="50% DOWNPAYMENT, 50% W/IN 30 DAYS"/>
    <s v="2025-03-04"/>
    <s v="DELIVERY FEE"/>
    <n v="1"/>
    <n v="500"/>
    <n v="500"/>
    <n v="500"/>
    <s v="MARITESS"/>
  </r>
  <r>
    <x v="203"/>
    <s v="TIONG BAHRU PHILIPPINES INC - SO-019"/>
    <s v="SO-019"/>
    <s v="TIONG BAHRU PHILIPPINES INC"/>
    <s v="TIONG BAHRU"/>
    <s v="GENERIC"/>
    <s v="50% DOWNPAYMENT, 50% W/IN 30 DAYS"/>
    <s v="2025-03-04"/>
    <s v="BACCHUS SQL VER 7"/>
    <n v="1"/>
    <n v="3675"/>
    <n v="10500"/>
    <n v="10500"/>
    <s v="MARITESS"/>
  </r>
  <r>
    <x v="203"/>
    <s v="TIONG BAHRU PHILIPPINES INC - SO-019"/>
    <s v="SO-019"/>
    <s v="TIONG BAHRU PHILIPPINES INC"/>
    <s v="TIONG BAHRU"/>
    <s v="GENERIC"/>
    <s v="50% DOWNPAYMENT, 50% W/IN 30 DAYS"/>
    <s v="2025-03-04"/>
    <s v="IMPLEMENTATION"/>
    <n v="1"/>
    <n v="3325"/>
    <n v="9500"/>
    <n v="9500"/>
    <s v="MARITESS"/>
  </r>
  <r>
    <x v="203"/>
    <s v="TIONG BAHRU PHILIPPINES INC - SO-019"/>
    <s v="SO-019"/>
    <s v="TIONG BAHRU PHILIPPINES INC"/>
    <s v="TIONG BAHRU"/>
    <s v="GENERIC"/>
    <s v="50% DOWNPAYMENT, 50% W/IN 30 DAYS"/>
    <s v="2025-03-04"/>
    <s v="ONE YEAR WARRANTY"/>
    <n v="1"/>
    <n v="3325"/>
    <n v="9500"/>
    <n v="9500"/>
    <s v="MARITESS"/>
  </r>
  <r>
    <x v="203"/>
    <s v="TIONG BAHRU PHILIPPINES INC - SO-019"/>
    <s v="SO-019"/>
    <s v="TIONG BAHRU PHILIPPINES INC"/>
    <s v="TIONG BAHRU"/>
    <s v="GENERIC"/>
    <s v="50% DOWNPAYMENT, 50% W/IN 30 DAYS"/>
    <s v="2025-03-04"/>
    <s v="BIR REGISTRATION"/>
    <n v="1"/>
    <n v="500"/>
    <n v="500"/>
    <n v="500"/>
    <s v="MARITESS"/>
  </r>
  <r>
    <x v="203"/>
    <s v="TIONG BAHRU PHILIPPINES INC - SO-019"/>
    <s v="SO-019"/>
    <s v="TIONG BAHRU PHILIPPINES INC"/>
    <s v="TIONG BAHRU"/>
    <s v="GENERIC"/>
    <s v="50% DOWNPAYMENT, 50% W/IN 30 DAYS"/>
    <s v="2025-03-04"/>
    <s v="APC UPS"/>
    <n v="1"/>
    <n v="2200"/>
    <n v="3000"/>
    <n v="3000"/>
    <s v="MARITESS"/>
  </r>
  <r>
    <x v="203"/>
    <s v="TIONG BAHRU PHILIPPINES INC - SO-019"/>
    <s v="SO-019"/>
    <s v="TIONG BAHRU PHILIPPINES INC"/>
    <s v="TIONG BAHRU"/>
    <s v="GENERIC"/>
    <s v="50% DOWNPAYMENT, 50% W/IN 30 DAYS"/>
    <s v="2025-03-04"/>
    <s v="DELIVERY FEE"/>
    <n v="1"/>
    <n v="500"/>
    <n v="500"/>
    <n v="500"/>
    <s v="MARITESS"/>
  </r>
  <r>
    <x v="211"/>
    <s v="LEAL JESSICA JOYCE LAO - SO-020"/>
    <s v="SO-020"/>
    <s v="LEAL JESSICA JOYCE LAO"/>
    <s v="SHOP SAMAHAN"/>
    <s v="AYALA MALLS CAPITOL CENTRAL BACOLOD"/>
    <s v="50% DOWNPAYMENT, 50% W/IN 30 DAYS"/>
    <s v="2025-03-04"/>
    <s v="RDMS SQL+ VERSION 3"/>
    <n v="1"/>
    <n v="3500"/>
    <n v="10000"/>
    <n v="10000"/>
    <s v="JOANNE"/>
  </r>
  <r>
    <x v="211"/>
    <s v="LEAL JESSICA JOYCE LAO - SO-020"/>
    <s v="SO-020"/>
    <s v="LEAL JESSICA JOYCE LAO"/>
    <s v="SHOP SAMAHAN"/>
    <s v="AYALA MALLS CAPITOL CENTRAL BACOLOD"/>
    <s v="50% DOWNPAYMENT, 50% W/IN 30 DAYS"/>
    <s v="2025-03-04"/>
    <s v="ROLL OUT IMPLEMENTATION"/>
    <n v="1"/>
    <n v="4200"/>
    <n v="12000"/>
    <n v="12000"/>
    <s v="JOANNE"/>
  </r>
  <r>
    <x v="211"/>
    <s v="LEAL JESSICA JOYCE LAO - SO-020"/>
    <s v="SO-020"/>
    <s v="LEAL JESSICA JOYCE LAO"/>
    <s v="SHOP SAMAHAN"/>
    <s v="AYALA MALLS CAPITOL CENTRAL BACOLOD"/>
    <s v="50% DOWNPAYMENT, 50% W/IN 30 DAYS"/>
    <s v="2025-03-04"/>
    <s v="ONE YEAR WARRANTY"/>
    <n v="1"/>
    <n v="4200"/>
    <n v="12000"/>
    <n v="12000"/>
    <s v="JOANNE"/>
  </r>
  <r>
    <x v="211"/>
    <s v="LEAL JESSICA JOYCE LAO - SO-020"/>
    <s v="SO-020"/>
    <s v="LEAL JESSICA JOYCE LAO"/>
    <s v="SHOP SAMAHAN"/>
    <s v="AYALA MALLS CAPITOL CENTRAL BACOLOD"/>
    <s v="50% DOWNPAYMENT, 50% W/IN 30 DAYS"/>
    <s v="2025-03-04"/>
    <s v="BIR REGISTRATION"/>
    <n v="1"/>
    <n v="500"/>
    <n v="1000"/>
    <n v="1000"/>
    <s v="JOANNE"/>
  </r>
  <r>
    <x v="211"/>
    <s v="LEAL JESSICA JOYCE LAO - SO-020"/>
    <s v="SO-020"/>
    <s v="LEAL JESSICA JOYCE LAO"/>
    <s v="SHOP SAMAHAN"/>
    <s v="AYALA MALLS CAPITOL CENTRAL BACOLOD"/>
    <s v="50% DOWNPAYMENT, 50% W/IN 30 DAYS"/>
    <s v="2025-03-04"/>
    <s v="MODIFICATION"/>
    <n v="1"/>
    <n v="3500"/>
    <n v="5000"/>
    <n v="5000"/>
    <s v="JOANNE"/>
  </r>
  <r>
    <x v="212"/>
    <s v="W R I WELLNESS RETAIL INNOVATIONS INC - SO-021"/>
    <s v="SO-021"/>
    <s v="W R I WELLNESS RETAIL INNOVATIONS INC"/>
    <s v="DR. KONG"/>
    <s v="GENERIC"/>
    <s v="COD"/>
    <s v="2025-03-14"/>
    <s v="EPSON TMU220D USB PRINTER"/>
    <n v="2"/>
    <n v="8500"/>
    <n v="12500"/>
    <n v="25000"/>
    <s v="JOANNE"/>
  </r>
  <r>
    <x v="212"/>
    <s v="W R I WELLNESS RETAIL INNOVATIONS INC - SO-021"/>
    <s v="SO-021"/>
    <s v="W R I WELLNESS RETAIL INNOVATIONS INC"/>
    <s v="DR. KONG"/>
    <s v="GENERIC"/>
    <s v="COD"/>
    <s v="2025-03-14"/>
    <s v="UPS APC"/>
    <n v="2"/>
    <n v="2200"/>
    <n v="3250"/>
    <n v="6500"/>
    <s v="JOANNE"/>
  </r>
  <r>
    <x v="212"/>
    <s v="W R I WELLNESS RETAIL INNOVATIONS INC - SO-021"/>
    <s v="SO-021"/>
    <s v="W R I WELLNESS RETAIL INNOVATIONS INC"/>
    <s v="DR. KONG"/>
    <s v="GENERIC"/>
    <s v="COD"/>
    <s v="2025-03-14"/>
    <s v="ZEBRA 2D SCANNER"/>
    <n v="2"/>
    <n v="5400"/>
    <n v="7000"/>
    <n v="14000"/>
    <s v="JOANNE"/>
  </r>
  <r>
    <x v="212"/>
    <s v="W R I WELLNESS RETAIL INNOVATIONS INC - SO-021"/>
    <s v="SO-021"/>
    <s v="W R I WELLNESS RETAIL INNOVATIONS INC"/>
    <s v="DR. KONG"/>
    <s v="GENERIC"/>
    <s v="COD"/>
    <s v="2025-03-14"/>
    <s v="GENERIC CASH DRAWER"/>
    <n v="2"/>
    <n v="2185"/>
    <n v="3500"/>
    <n v="7000"/>
    <s v="JOANNE"/>
  </r>
  <r>
    <x v="212"/>
    <s v="W R I WELLNESS RETAIL INNOVATIONS INC - SO-021"/>
    <s v="SO-021"/>
    <s v="W R I WELLNESS RETAIL INNOVATIONS INC"/>
    <s v="DR. KONG"/>
    <s v="GENERIC"/>
    <s v="COD"/>
    <s v="2025-03-14"/>
    <s v="DELIVERY FEE"/>
    <n v="1"/>
    <n v="500"/>
    <n v="500"/>
    <n v="500"/>
    <s v="JOANNE"/>
  </r>
  <r>
    <x v="213"/>
    <s v="TIONG BAHRU PHILIPPINES INC - SO-022"/>
    <s v="SO-022"/>
    <s v="TIONG BAHRU PHILIPPINES INC"/>
    <s v="TIONG BAHRU"/>
    <s v="ATC"/>
    <s v="50% UPON CONFORME, 50% UPON DELIVERY"/>
    <s v="2025-04-15"/>
    <s v="EPSON TM – U220B DOT MATRIX (USB)"/>
    <n v="1"/>
    <n v="9500"/>
    <n v="13500"/>
    <n v="13500"/>
    <s v="JOANNE"/>
  </r>
  <r>
    <x v="213"/>
    <s v="TIONG BAHRU PHILIPPINES INC - SO-022"/>
    <s v="SO-022"/>
    <s v="TIONG BAHRU PHILIPPINES INC"/>
    <s v="TIONG BAHRU"/>
    <s v="ATC"/>
    <s v="50% UPON CONFORME, 50% UPON DELIVERY"/>
    <s v="2025-04-15"/>
    <s v="EPSON TM – U220B DOT MATRIX (LAN)"/>
    <n v="1"/>
    <n v="9500"/>
    <n v="13500"/>
    <n v="13500"/>
    <s v="JOANNE"/>
  </r>
  <r>
    <x v="213"/>
    <s v="TIONG BAHRU PHILIPPINES INC - SO-022"/>
    <s v="SO-022"/>
    <s v="TIONG BAHRU PHILIPPINES INC"/>
    <s v="TIONG BAHRU"/>
    <s v="ATC"/>
    <s v="50% UPON CONFORME, 50% UPON DELIVERY"/>
    <s v="2025-04-15"/>
    <s v="DELIVERY FEE"/>
    <n v="1"/>
    <n v="500"/>
    <n v="500"/>
    <n v="500"/>
    <s v="JOANNE"/>
  </r>
  <r>
    <x v="214"/>
    <s v="TIONG BAHRU PHILIPPINES INC - SO-022"/>
    <s v="SO-022"/>
    <s v="TIONG BAHRU PHILIPPINES INC"/>
    <s v="TIONG BAHRU"/>
    <s v="ESTANCIA"/>
    <s v="50% UPON CONFORME, 50% UPON DELIVERY"/>
    <s v="2025-04-15"/>
    <s v="EPSON TM – U220B DOT MATRIX (USB)"/>
    <n v="1"/>
    <n v="9500"/>
    <n v="13500"/>
    <n v="13500"/>
    <s v="JOANNE"/>
  </r>
  <r>
    <x v="214"/>
    <s v="TIONG BAHRU PHILIPPINES INC - SO-022"/>
    <s v="SO-022"/>
    <s v="TIONG BAHRU PHILIPPINES INC"/>
    <s v="TIONG BAHRU"/>
    <s v="ESTANCIA"/>
    <s v="50% UPON CONFORME, 50% UPON DELIVERY"/>
    <s v="2025-04-15"/>
    <s v="EPSON TM – U220B DOT MATRIX (LAN)"/>
    <n v="1"/>
    <n v="9500"/>
    <n v="13500"/>
    <n v="13500"/>
    <s v="JOANNE"/>
  </r>
  <r>
    <x v="214"/>
    <s v="TIONG BAHRU PHILIPPINES INC - SO-022"/>
    <s v="SO-022"/>
    <s v="TIONG BAHRU PHILIPPINES INC"/>
    <s v="TIONG BAHRU"/>
    <s v="ESTANCIA"/>
    <s v="50% UPON CONFORME, 50% UPON DELIVERY"/>
    <s v="2025-04-15"/>
    <s v="DELIVERY FEE"/>
    <n v="1"/>
    <n v="500"/>
    <n v="500"/>
    <n v="500"/>
    <s v="JOANNE"/>
  </r>
  <r>
    <x v="215"/>
    <s v="STAR 360 PHILIPPINES INC - SO-024"/>
    <s v="SO-024"/>
    <s v="STAR 360 PHILIPPINES INC"/>
    <s v="YANKEE CANDLES"/>
    <s v="SM NORTH EDSA"/>
    <s v="40% DOWNPAYMENT, 60% W/IN 30 DAYS"/>
    <s v="2025-04-21"/>
    <s v="RDMS SQL+ VERSION 3"/>
    <n v="1"/>
    <n v="3675"/>
    <n v="10500"/>
    <n v="10500"/>
    <s v="JOANNE"/>
  </r>
  <r>
    <x v="215"/>
    <s v="STAR 360 PHILIPPINES INC - SO-024"/>
    <s v="SO-024"/>
    <s v="STAR 360 PHILIPPINES INC"/>
    <s v="YANKEE CANDLES"/>
    <s v="SM NORTH EDSA"/>
    <s v="40% DOWNPAYMENT, 60% W/IN 30 DAYS"/>
    <s v="2025-04-21"/>
    <s v="ROLL OUT IMPLEMENTATION"/>
    <n v="1"/>
    <n v="3500"/>
    <n v="11500"/>
    <n v="11500"/>
    <s v="JOANNE"/>
  </r>
  <r>
    <x v="215"/>
    <s v="STAR 360 PHILIPPINES INC - SO-024"/>
    <s v="SO-024"/>
    <s v="STAR 360 PHILIPPINES INC"/>
    <s v="YANKEE CANDLES"/>
    <s v="SM NORTH EDSA"/>
    <s v="40% DOWNPAYMENT, 60% W/IN 30 DAYS"/>
    <s v="2025-04-21"/>
    <s v="ONE YEAR WARRANTY"/>
    <n v="1"/>
    <n v="3500"/>
    <n v="11500"/>
    <n v="11500"/>
    <s v="JOANNE"/>
  </r>
  <r>
    <x v="215"/>
    <s v="STAR 360 PHILIPPINES INC - SO-024"/>
    <s v="SO-024"/>
    <s v="STAR 360 PHILIPPINES INC"/>
    <s v="YANKEE CANDLES"/>
    <s v="SM NORTH EDSA"/>
    <s v="40% DOWNPAYMENT, 60% W/IN 30 DAYS"/>
    <s v="2025-04-21"/>
    <s v="BIR REGISTRATION"/>
    <n v="1"/>
    <n v="500"/>
    <n v="500"/>
    <n v="500"/>
    <s v="JOANNE"/>
  </r>
  <r>
    <x v="215"/>
    <s v="STAR 360 PHILIPPINES INC - SO-024"/>
    <s v="SO-024"/>
    <s v="STAR 360 PHILIPPINES INC"/>
    <s v="YANKEE CANDLES"/>
    <s v="SM NORTH EDSA"/>
    <s v="40% DOWNPAYMENT, 60% W/IN 30 DAYS"/>
    <s v="2025-04-21"/>
    <s v="EOS MINI PC I5, 8GB, 512GB NVME M.2 SSD"/>
    <n v="1"/>
    <n v="23450"/>
    <n v="30300"/>
    <n v="30300"/>
    <s v="JOANNE"/>
  </r>
  <r>
    <x v="215"/>
    <s v="STAR 360 PHILIPPINES INC - SO-024"/>
    <s v="SO-024"/>
    <s v="STAR 360 PHILIPPINES INC"/>
    <s v="YANKEE CANDLES"/>
    <s v="SM NORTH EDSA"/>
    <s v="40% DOWNPAYMENT, 60% W/IN 30 DAYS"/>
    <s v="2025-04-21"/>
    <s v="WINDOWS 11 PRO"/>
    <n v="1"/>
    <n v="2800"/>
    <n v="4000"/>
    <n v="4000"/>
    <s v="JOANNE"/>
  </r>
  <r>
    <x v="215"/>
    <s v="STAR 360 PHILIPPINES INC - SO-024"/>
    <s v="SO-024"/>
    <s v="STAR 360 PHILIPPINES INC"/>
    <s v="YANKEE CANDLES"/>
    <s v="SM NORTH EDSA"/>
    <s v="40% DOWNPAYMENT, 60% W/IN 30 DAYS"/>
    <s v="2025-04-21"/>
    <s v="KEYBOARD AND MOUSE"/>
    <n v="1"/>
    <n v="500"/>
    <n v="700"/>
    <n v="700"/>
    <s v="JOANNE"/>
  </r>
  <r>
    <x v="215"/>
    <s v="STAR 360 PHILIPPINES INC - SO-024"/>
    <s v="SO-024"/>
    <s v="STAR 360 PHILIPPINES INC"/>
    <s v="YANKEE CANDLES"/>
    <s v="SM NORTH EDSA"/>
    <s v="40% DOWNPAYMENT, 60% W/IN 30 DAYS"/>
    <s v="2025-04-21"/>
    <s v="EOS FAN WITH COVER"/>
    <n v="1"/>
    <n v="350"/>
    <n v="500"/>
    <n v="500"/>
    <s v="JOANNE"/>
  </r>
  <r>
    <x v="215"/>
    <s v="STAR 360 PHILIPPINES INC - SO-024"/>
    <s v="SO-024"/>
    <s v="STAR 360 PHILIPPINES INC"/>
    <s v="YANKEE CANDLES"/>
    <s v="SM NORTH EDSA"/>
    <s v="40% DOWNPAYMENT, 60% W/IN 30 DAYS"/>
    <s v="2025-04-21"/>
    <s v="KASPERKY ANTI VIRUS"/>
    <n v="1"/>
    <n v="935"/>
    <n v="1500"/>
    <n v="1500"/>
    <s v="JOANNE"/>
  </r>
  <r>
    <x v="215"/>
    <s v="STAR 360 PHILIPPINES INC - SO-024"/>
    <s v="SO-024"/>
    <s v="STAR 360 PHILIPPINES INC"/>
    <s v="YANKEE CANDLES"/>
    <s v="SM NORTH EDSA"/>
    <s v="40% DOWNPAYMENT, 60% W/IN 30 DAYS"/>
    <s v="2025-04-21"/>
    <s v="ORDINARY MONITOR"/>
    <n v="1"/>
    <n v="4250"/>
    <n v="6500"/>
    <n v="6500"/>
    <s v="JOANNE"/>
  </r>
  <r>
    <x v="215"/>
    <s v="STAR 360 PHILIPPINES INC - SO-024"/>
    <s v="SO-024"/>
    <s v="STAR 360 PHILIPPINES INC"/>
    <s v="YANKEE CANDLES"/>
    <s v="SM NORTH EDSA"/>
    <s v="40% DOWNPAYMENT, 60% W/IN 30 DAYS"/>
    <s v="2025-04-21"/>
    <s v="MINI CASH DRAWER"/>
    <n v="1"/>
    <n v="1350"/>
    <n v="2000"/>
    <n v="2000"/>
    <s v="JOANNE"/>
  </r>
  <r>
    <x v="215"/>
    <s v="STAR 360 PHILIPPINES INC - SO-024"/>
    <s v="SO-024"/>
    <s v="STAR 360 PHILIPPINES INC"/>
    <s v="YANKEE CANDLES"/>
    <s v="SM NORTH EDSA"/>
    <s v="40% DOWNPAYMENT, 60% W/IN 30 DAYS"/>
    <s v="2025-04-21"/>
    <s v="APC UPS"/>
    <n v="1"/>
    <n v="2200"/>
    <n v="3500"/>
    <n v="3500"/>
    <s v="JOANNE"/>
  </r>
  <r>
    <x v="215"/>
    <s v="STAR 360 PHILIPPINES INC - SO-024"/>
    <s v="SO-024"/>
    <s v="STAR 360 PHILIPPINES INC"/>
    <s v="YANKEE CANDLES"/>
    <s v="SM NORTH EDSA"/>
    <s v="40% DOWNPAYMENT, 60% W/IN 30 DAYS"/>
    <s v="2025-04-21"/>
    <s v="DELIVERY FEE"/>
    <n v="1"/>
    <n v="500"/>
    <n v="500"/>
    <n v="500"/>
    <s v="JOANNE"/>
  </r>
  <r>
    <x v="216"/>
    <s v="RAJO - SO-025"/>
    <s v="SO-025"/>
    <s v="RAJO"/>
    <s v="RAJO"/>
    <s v="ROCKWELL &amp; SHNAG"/>
    <s v="COD"/>
    <s v="2025-04-22"/>
    <s v="KASPERSKY ANTIVIRUS"/>
    <n v="2"/>
    <n v="970"/>
    <n v="1500"/>
    <n v="3000"/>
    <s v="JOANNE"/>
  </r>
  <r>
    <x v="217"/>
    <s v="HET STROOPWAFEL HUIS - SO-026"/>
    <s v="SO-026"/>
    <s v="HET STROOPWAFEL HUIS"/>
    <s v="STOOP &amp; ZO"/>
    <s v="GENERIC"/>
    <s v="60% DOWNPAYMENT, 40% W/IN 30 DAYS"/>
    <s v="2025-05-05"/>
    <s v="TSCERES SQL VER. 6"/>
    <n v="1"/>
    <n v="3675"/>
    <n v="10500"/>
    <n v="10500"/>
    <s v="MARITESS"/>
  </r>
  <r>
    <x v="217"/>
    <s v="HET STROOPWAFEL HUIS - SO-026"/>
    <s v="SO-026"/>
    <s v="HET STROOPWAFEL HUIS"/>
    <s v="STOOP &amp; ZO"/>
    <s v="GENERIC"/>
    <s v="60% DOWNPAYMENT, 40% W/IN 30 DAYS"/>
    <s v="2025-05-05"/>
    <s v="IMPLEMENTATION"/>
    <n v="1"/>
    <n v="4025"/>
    <n v="11500"/>
    <n v="11500"/>
    <s v="MARITESS"/>
  </r>
  <r>
    <x v="217"/>
    <s v="HET STROOPWAFEL HUIS - SO-026"/>
    <s v="SO-026"/>
    <s v="HET STROOPWAFEL HUIS"/>
    <s v="STOOP &amp; ZO"/>
    <s v="GENERIC"/>
    <s v="60% DOWNPAYMENT, 40% W/IN 30 DAYS"/>
    <s v="2025-05-05"/>
    <s v="ONE YEAR WARRANTY"/>
    <n v="1"/>
    <n v="4025"/>
    <n v="11500"/>
    <n v="11500"/>
    <s v="MARITESS"/>
  </r>
  <r>
    <x v="217"/>
    <s v="HET STROOPWAFEL HUIS - SO-026"/>
    <s v="SO-026"/>
    <s v="HET STROOPWAFEL HUIS"/>
    <s v="STOOP &amp; ZO"/>
    <s v="GENERIC"/>
    <s v="60% DOWNPAYMENT, 40% W/IN 30 DAYS"/>
    <s v="2025-05-05"/>
    <s v="BIR REGISTRATION"/>
    <n v="1"/>
    <n v="500"/>
    <n v="500"/>
    <n v="500"/>
    <s v="MARITESS"/>
  </r>
  <r>
    <x v="217"/>
    <s v="HET STROOPWAFEL HUIS - SO-026"/>
    <s v="SO-026"/>
    <s v="HET STROOPWAFEL HUIS"/>
    <s v="STOOP &amp; ZO"/>
    <s v="GENERIC"/>
    <s v="60% DOWNPAYMENT, 40% W/IN 30 DAYS"/>
    <s v="2025-05-05"/>
    <s v="EOS MINI PC I5, 8GB, 480GB SSD"/>
    <n v="1"/>
    <n v="23450"/>
    <n v="32300"/>
    <n v="32300"/>
    <s v="MARITESS"/>
  </r>
  <r>
    <x v="217"/>
    <s v="HET STROOPWAFEL HUIS - SO-026"/>
    <s v="SO-026"/>
    <s v="HET STROOPWAFEL HUIS"/>
    <s v="STOOP &amp; ZO"/>
    <s v="GENERIC"/>
    <s v="60% DOWNPAYMENT, 40% W/IN 30 DAYS"/>
    <s v="2025-05-05"/>
    <s v="TOUCH SCREEN MONITOR"/>
    <n v="1"/>
    <n v="11000"/>
    <n v="16500"/>
    <n v="16500"/>
    <s v="MARITESS"/>
  </r>
  <r>
    <x v="217"/>
    <s v="HET STROOPWAFEL HUIS - SO-026"/>
    <s v="SO-026"/>
    <s v="HET STROOPWAFEL HUIS"/>
    <s v="STOOP &amp; ZO"/>
    <s v="GENERIC"/>
    <s v="60% DOWNPAYMENT, 40% W/IN 30 DAYS"/>
    <s v="2025-05-05"/>
    <s v="MINI CASH DRAWER"/>
    <n v="1"/>
    <n v="2185"/>
    <n v="2000"/>
    <n v="2000"/>
    <s v="MARITESS"/>
  </r>
  <r>
    <x v="217"/>
    <s v="HET STROOPWAFEL HUIS - SO-026"/>
    <s v="SO-026"/>
    <s v="HET STROOPWAFEL HUIS"/>
    <s v="STOOP &amp; ZO"/>
    <s v="GENERIC"/>
    <s v="60% DOWNPAYMENT, 40% W/IN 30 DAYS"/>
    <s v="2025-05-05"/>
    <s v="EPSON TM – U220D DOT MATRIX (USB)"/>
    <n v="1"/>
    <n v="8500"/>
    <n v="12500"/>
    <n v="12500"/>
    <s v="MARITESS"/>
  </r>
  <r>
    <x v="217"/>
    <s v="HET STROOPWAFEL HUIS - SO-026"/>
    <s v="SO-026"/>
    <s v="HET STROOPWAFEL HUIS"/>
    <s v="STOOP &amp; ZO"/>
    <s v="GENERIC"/>
    <s v="60% DOWNPAYMENT, 40% W/IN 30 DAYS"/>
    <s v="2025-05-05"/>
    <s v="APC UPS"/>
    <n v="1"/>
    <n v="2200"/>
    <n v="3000"/>
    <n v="3000"/>
    <s v="MARITESS"/>
  </r>
  <r>
    <x v="217"/>
    <s v="HET STROOPWAFEL HUIS - SO-026"/>
    <s v="SO-026"/>
    <s v="HET STROOPWAFEL HUIS"/>
    <s v="STOOP &amp; ZO"/>
    <s v="GENERIC"/>
    <s v="60% DOWNPAYMENT, 40% W/IN 30 DAYS"/>
    <s v="2025-05-05"/>
    <s v="WINDOWS 11 PRO"/>
    <n v="1"/>
    <n v="2800"/>
    <n v="4000"/>
    <n v="4000"/>
    <s v="MARITESS"/>
  </r>
  <r>
    <x v="217"/>
    <s v="HET STROOPWAFEL HUIS - SO-026"/>
    <s v="SO-026"/>
    <s v="HET STROOPWAFEL HUIS"/>
    <s v="STOOP &amp; ZO"/>
    <s v="GENERIC"/>
    <s v="60% DOWNPAYMENT, 40% W/IN 30 DAYS"/>
    <s v="2025-05-05"/>
    <s v="KASPERSKY ANTIVIRUS"/>
    <n v="1"/>
    <n v="935"/>
    <n v="1500"/>
    <n v="1500"/>
    <s v="MARITESS"/>
  </r>
  <r>
    <x v="217"/>
    <s v="HET STROOPWAFEL HUIS - SO-026"/>
    <s v="SO-026"/>
    <s v="HET STROOPWAFEL HUIS"/>
    <s v="STOOP &amp; ZO"/>
    <s v="GENERIC"/>
    <s v="60% DOWNPAYMENT, 40% W/IN 30 DAYS"/>
    <s v="2025-05-05"/>
    <s v="DELIVERY FEE"/>
    <n v="1"/>
    <n v="1000"/>
    <n v="1000"/>
    <n v="1000"/>
    <s v="MARITESS"/>
  </r>
  <r>
    <x v="217"/>
    <s v="HET STROOPWAFEL HUIS - SO-026"/>
    <s v="SO-026"/>
    <s v="HET STROOPWAFEL HUIS"/>
    <s v="STOOP &amp; ZO"/>
    <s v="GENERIC"/>
    <s v="60% DOWNPAYMENT, 40% W/IN 30 DAYS"/>
    <s v="2025-05-05"/>
    <s v="KEYBOARD AND MOUSE"/>
    <n v="1"/>
    <n v="500"/>
    <n v="700"/>
    <n v="700"/>
    <s v="MARITESS"/>
  </r>
  <r>
    <x v="217"/>
    <s v="HET STROOPWAFEL HUIS - SO-026"/>
    <s v="SO-026"/>
    <s v="HET STROOPWAFEL HUIS"/>
    <s v="STOOP &amp; ZO"/>
    <s v="GENERIC"/>
    <s v="60% DOWNPAYMENT, 40% W/IN 30 DAYS"/>
    <s v="2025-05-05"/>
    <s v="EOS FAN WITH COVER"/>
    <n v="1"/>
    <n v="350"/>
    <n v="500"/>
    <n v="500"/>
    <s v="MARITESS"/>
  </r>
  <r>
    <x v="218"/>
    <s v="KANEFIL GLOBE ENTERPRISES CORPORATION - SO-027"/>
    <s v="SO-027"/>
    <s v="KANEFIL GLOBE ENTERPRISES CORPORATION"/>
    <s v="KANEBO"/>
    <s v="GENERIC"/>
    <s v="COD"/>
    <s v="2025-05-06"/>
    <s v="PREVENTIVE MAINTENANCE"/>
    <n v="1"/>
    <n v="15000"/>
    <n v="15000"/>
    <n v="15000"/>
    <s v="MARITESS"/>
  </r>
  <r>
    <x v="219"/>
    <s v="TIONG BAHRU PHILIPPINES INC - SO-028"/>
    <s v="SO-028"/>
    <s v="TIONG BAHRU PHILIPPINES INC"/>
    <s v="TIONG BAHRU"/>
    <s v="GREENHILLS"/>
    <s v="FULL PAYMENT"/>
    <s v="2025-05-07"/>
    <s v="EPSON TM – U220B DOT MATRIX (USB)"/>
    <n v="1"/>
    <n v="9500"/>
    <n v="13500"/>
    <n v="13500"/>
    <s v="JOANNE"/>
  </r>
  <r>
    <x v="220"/>
    <s v="BIG BRANDS CLOTHING OUTLET CORP - SO-029"/>
    <s v="SO-029"/>
    <s v="BIG BRANDS CLOTHING OUTLET CORP"/>
    <s v="BIG BRANDS"/>
    <s v="ROBINSONS IMUS"/>
    <s v="FULLY PAID"/>
    <s v="2025-05-08"/>
    <s v="PRINTER HEAD"/>
    <n v="1"/>
    <n v="1100"/>
    <n v="1600"/>
    <n v="1600"/>
    <s v="JOANNE"/>
  </r>
  <r>
    <x v="220"/>
    <s v="BIG BRANDS CLOTHING OUTLET CORP - SO-029"/>
    <s v="SO-029"/>
    <s v="BIG BRANDS CLOTHING OUTLET CORP"/>
    <s v="BIG BRANDS"/>
    <s v="ROBINSONS IMUS"/>
    <s v="FULLY PAID"/>
    <s v="2025-05-08"/>
    <s v="PRINTER CABLE"/>
    <n v="1"/>
    <n v="20"/>
    <n v="200"/>
    <n v="200"/>
    <s v="JOANNE"/>
  </r>
  <r>
    <x v="220"/>
    <s v="BIG BRANDS CLOTHING OUTLET CORP - SO-029"/>
    <s v="SO-029"/>
    <s v="BIG BRANDS CLOTHING OUTLET CORP"/>
    <s v="BIG BRANDS"/>
    <s v="ROBINSONS IMUS"/>
    <s v="FULLY PAID"/>
    <s v="2025-05-08"/>
    <s v="PRINTER GEAR"/>
    <n v="1"/>
    <n v="65"/>
    <n v="200"/>
    <n v="200"/>
    <s v="JOANNE"/>
  </r>
  <r>
    <x v="217"/>
    <s v="HET STROOPWAFEL HUIS - SO-030"/>
    <s v="SO-030"/>
    <s v="HET STROOPWAFEL HUIS"/>
    <s v="STOOP &amp; ZO"/>
    <s v="GENERIC"/>
    <s v="COD"/>
    <s v="2025-05-16"/>
    <s v="JOURNAL PAPER"/>
    <n v="100"/>
    <n v="32"/>
    <n v="50"/>
    <n v="5000"/>
    <s v="MARITESS"/>
  </r>
  <r>
    <x v="221"/>
    <s v="HOUSE OF OBAGI - SO-031"/>
    <s v="SO-031"/>
    <s v="HOUSE OF OBAGI"/>
    <s v="HOUSE OF OBAGI"/>
    <s v="ROBINSONS PLACE MANILA"/>
    <s v="FULLY PAID"/>
    <s v="N/A"/>
    <s v="RDMS V4.3.0"/>
    <n v="1"/>
    <n v="3675"/>
    <n v="10500"/>
    <n v="10500"/>
    <s v="JOANNE"/>
  </r>
  <r>
    <x v="221"/>
    <s v="HOUSE OF OBAGI - SO-031"/>
    <s v="SO-031"/>
    <s v="HOUSE OF OBAGI"/>
    <s v="HOUSE OF OBAGI"/>
    <s v="ROBINSONS PLACE MANILA"/>
    <s v="FULLY PAID"/>
    <s v="N/A"/>
    <s v="BIR REGISTRATION"/>
    <n v="1"/>
    <n v="500"/>
    <n v="500"/>
    <n v="500"/>
    <s v="JOANNE"/>
  </r>
  <r>
    <x v="221"/>
    <s v="HOUSE OF OBAGI - SO-031"/>
    <s v="SO-031"/>
    <s v="HOUSE OF OBAGI"/>
    <s v="HOUSE OF OBAGI"/>
    <s v="ROBINSONS PLACE MANILA"/>
    <s v="FULLY PAID"/>
    <s v="N/A"/>
    <s v="ROLL OUT/IMPLEMENTATION"/>
    <n v="1"/>
    <n v="4200"/>
    <n v="3587.5"/>
    <n v="3587.5"/>
    <s v="JOANNE"/>
  </r>
  <r>
    <x v="221"/>
    <s v="HOUSE OF OBAGI - SO-031"/>
    <s v="SO-031"/>
    <s v="HOUSE OF OBAGI"/>
    <s v="HOUSE OF OBAGI"/>
    <s v="ROBINSONS PLACE MANILA"/>
    <s v="FULLY PAID"/>
    <s v="N/A"/>
    <s v="ONE YEAR WARRANTY"/>
    <n v="1"/>
    <n v="4200"/>
    <n v="3587.5"/>
    <n v="3587.5"/>
    <s v="JOANNE"/>
  </r>
  <r>
    <x v="222"/>
    <s v="W R I WELLNESS RETAIL INNOVATIONS INC - SO-032"/>
    <s v="SO-032"/>
    <s v="W R I WELLNESS RETAIL INNOVATIONS INC"/>
    <s v="DR. KONG"/>
    <s v="TRINOMA"/>
    <s v="COD"/>
    <s v="2025-05-20"/>
    <s v="EPSON TMU220D USB PRINTER"/>
    <n v="1"/>
    <n v="8500"/>
    <n v="12500"/>
    <n v="12500"/>
    <s v="JOANNE"/>
  </r>
  <r>
    <x v="222"/>
    <s v="W R I WELLNESS RETAIL INNOVATIONS INC - SO-032"/>
    <s v="SO-032"/>
    <s v="W R I WELLNESS RETAIL INNOVATIONS INC"/>
    <s v="DR. KONG"/>
    <s v="TRINOMA"/>
    <s v="COD"/>
    <s v="2025-05-20"/>
    <s v="UPS APC"/>
    <n v="1"/>
    <n v="2200"/>
    <n v="3250"/>
    <n v="3250"/>
    <s v="JOANNE"/>
  </r>
  <r>
    <x v="222"/>
    <s v="W R I WELLNESS RETAIL INNOVATIONS INC - SO-032"/>
    <s v="SO-032"/>
    <s v="W R I WELLNESS RETAIL INNOVATIONS INC"/>
    <s v="DR. KONG"/>
    <s v="TRINOMA"/>
    <s v="COD"/>
    <s v="2025-05-20"/>
    <s v="ZEBRA 2D SCANNER"/>
    <n v="1"/>
    <n v="5400"/>
    <n v="7000"/>
    <n v="7000"/>
    <s v="JOANNE"/>
  </r>
  <r>
    <x v="222"/>
    <s v="W R I WELLNESS RETAIL INNOVATIONS INC - SO-032"/>
    <s v="SO-032"/>
    <s v="W R I WELLNESS RETAIL INNOVATIONS INC"/>
    <s v="DR. KONG"/>
    <s v="TRINOMA"/>
    <s v="COD"/>
    <s v="2025-05-20"/>
    <s v="GENERIC CASH DRAWER"/>
    <n v="1"/>
    <n v="2185"/>
    <n v="3500"/>
    <n v="3500"/>
    <s v="JOANNE"/>
  </r>
  <r>
    <x v="222"/>
    <s v="W R I WELLNESS RETAIL INNOVATIONS INC - SO-032"/>
    <s v="SO-032"/>
    <s v="W R I WELLNESS RETAIL INNOVATIONS INC"/>
    <s v="DR. KONG"/>
    <s v="TRINOMA"/>
    <s v="COD"/>
    <s v="2025-05-20"/>
    <s v="DELIVERY FEE"/>
    <n v="1"/>
    <n v="500"/>
    <n v="500"/>
    <n v="500"/>
    <s v="JOANNE"/>
  </r>
  <r>
    <x v="223"/>
    <s v="METROCLE ALLIANCE CORP - SO-033"/>
    <s v="SO-033"/>
    <s v="METROCLE ALLIANCE CORP"/>
    <s v="SIGNET"/>
    <s v="GENERIC"/>
    <s v="COD"/>
    <s v="2025-05-28"/>
    <s v="PREVENTIVE MAINTENANCE"/>
    <n v="1"/>
    <n v="15000"/>
    <n v="15000"/>
    <n v="15000"/>
    <s v="MARITESS"/>
  </r>
  <r>
    <x v="224"/>
    <s v="ANONYMOUS - SO-034"/>
    <s v="SO-034"/>
    <s v="ANONYMOUS"/>
    <s v="FUN CITY"/>
    <s v="CIRCUIT MAKATI"/>
    <s v="50% DP, 50% - 30 DAYS"/>
    <s v="N/A"/>
    <s v="RDMS V4.3.0"/>
    <n v="1"/>
    <n v="3675"/>
    <n v="10500"/>
    <n v="10500"/>
    <s v="JOANNE"/>
  </r>
  <r>
    <x v="224"/>
    <s v="ANONYMOUS - SO-034"/>
    <s v="SO-034"/>
    <s v="ANONYMOUS"/>
    <s v="FUN CITY"/>
    <s v="CIRCUIT MAKATI"/>
    <s v="50% DP, 50% - 30 DAYS"/>
    <s v="N/A"/>
    <s v="BIR REGISTRATION"/>
    <n v="1"/>
    <n v="500"/>
    <n v="500"/>
    <n v="500"/>
    <s v="JOANNE"/>
  </r>
  <r>
    <x v="224"/>
    <s v="ANONYMOUS - SO-034"/>
    <s v="SO-034"/>
    <s v="ANONYMOUS"/>
    <s v="FUN CITY"/>
    <s v="CIRCUIT MAKATI"/>
    <s v="50% DP, 50% - 30 DAYS"/>
    <s v="N/A"/>
    <s v="ROLL OUT/IMPLEMENTATION"/>
    <n v="1"/>
    <n v="4200"/>
    <n v="3587.5"/>
    <n v="3587.5"/>
    <s v="JOANNE"/>
  </r>
  <r>
    <x v="224"/>
    <s v="ANONYMOUS - SO-034"/>
    <s v="SO-034"/>
    <s v="ANONYMOUS"/>
    <s v="FUN CITY"/>
    <s v="CIRCUIT MAKATI"/>
    <s v="50% DP, 50% - 30 DAYS"/>
    <s v="N/A"/>
    <s v="ONE YEAR WARRANTY"/>
    <n v="1"/>
    <n v="4200"/>
    <n v="3587.5"/>
    <n v="3587.5"/>
    <s v="JOANNE"/>
  </r>
  <r>
    <x v="225"/>
    <s v="ANONYMOUS - SO-035"/>
    <s v="SO-035"/>
    <s v="ANONYMOUS"/>
    <s v="FUN CITY"/>
    <s v="AYALA MALLS MANILA BAY"/>
    <s v="50% DP, 50% - 30 DAYS"/>
    <s v="2025-06-05"/>
    <s v="RDMS V4.3.0"/>
    <n v="1"/>
    <n v="3675"/>
    <n v="10500"/>
    <n v="10500"/>
    <s v="JOANNE"/>
  </r>
  <r>
    <x v="225"/>
    <s v="ANONYMOUS - SO-035"/>
    <s v="SO-035"/>
    <s v="ANONYMOUS"/>
    <s v="FUN CITY"/>
    <s v="AYALA MALLS MANILA BAY"/>
    <s v="50% DP, 50% - 30 DAYS"/>
    <s v="2025-06-05"/>
    <s v="BIR REGISTRATION"/>
    <n v="1"/>
    <n v="500"/>
    <n v="500"/>
    <n v="500"/>
    <s v="JOANNE"/>
  </r>
  <r>
    <x v="225"/>
    <s v="ANONYMOUS - SO-035"/>
    <s v="SO-035"/>
    <s v="ANONYMOUS"/>
    <s v="FUN CITY"/>
    <s v="AYALA MALLS MANILA BAY"/>
    <s v="50% DP, 50% - 30 DAYS"/>
    <s v="2025-06-05"/>
    <s v="ROLL OUT/IMPLEMENTATION"/>
    <n v="1"/>
    <n v="4200"/>
    <n v="3587.5"/>
    <n v="3587.5"/>
    <s v="JOANNE"/>
  </r>
  <r>
    <x v="225"/>
    <s v="ANONYMOUS - SO-035"/>
    <s v="SO-035"/>
    <s v="ANONYMOUS"/>
    <s v="FUN CITY"/>
    <s v="AYALA MALLS MANILA BAY"/>
    <s v="50% DP, 50% - 30 DAYS"/>
    <s v="2025-06-05"/>
    <s v="ONE YEAR WARRANTY"/>
    <n v="1"/>
    <n v="4200"/>
    <n v="3587.5"/>
    <n v="3587.5"/>
    <s v="JOANNE"/>
  </r>
  <r>
    <x v="226"/>
    <s v="ANONYMOUS - SO-036"/>
    <s v="SO-036"/>
    <s v="ANONYMOUS"/>
    <s v="FUN CITY"/>
    <s v="VERTIS NORTH"/>
    <s v="50% DP, 50% - 30 DAYS"/>
    <s v="2025-06-05"/>
    <s v="RDMS V4.3.0"/>
    <n v="1"/>
    <n v="3675"/>
    <n v="10500"/>
    <n v="10500"/>
    <s v="JOANNE"/>
  </r>
  <r>
    <x v="226"/>
    <s v="ANONYMOUS - SO-036"/>
    <s v="SO-036"/>
    <s v="ANONYMOUS"/>
    <s v="FUN CITY"/>
    <s v="VERTIS NORTH"/>
    <s v="50% DP, 50% - 30 DAYS"/>
    <s v="2025-06-05"/>
    <s v="BIR REGISTRATION"/>
    <n v="1"/>
    <n v="500"/>
    <n v="500"/>
    <n v="500"/>
    <s v="JOANNE"/>
  </r>
  <r>
    <x v="226"/>
    <s v="ANONYMOUS - SO-036"/>
    <s v="SO-036"/>
    <s v="ANONYMOUS"/>
    <s v="FUN CITY"/>
    <s v="VERTIS NORTH"/>
    <s v="50% DP, 50% - 30 DAYS"/>
    <s v="2025-06-05"/>
    <s v="ROLL OUT/IMPLEMENTATION"/>
    <n v="1"/>
    <n v="4200"/>
    <n v="3587.5"/>
    <n v="3587.5"/>
    <s v="JOANNE"/>
  </r>
  <r>
    <x v="226"/>
    <s v="ANONYMOUS - SO-036"/>
    <s v="SO-036"/>
    <s v="ANONYMOUS"/>
    <s v="FUN CITY"/>
    <s v="VERTIS NORTH"/>
    <s v="50% DP, 50% - 30 DAYS"/>
    <s v="2025-06-05"/>
    <s v="ONE YEAR WARRANTY"/>
    <n v="1"/>
    <n v="4200"/>
    <n v="3587.5"/>
    <n v="3587.5"/>
    <s v="JOANNE"/>
  </r>
  <r>
    <x v="227"/>
    <s v="JASANNE INCORPORATED - SO-037"/>
    <s v="SO-037"/>
    <s v="JASANNE INCORPORATED"/>
    <s v="TERRIE FASHION BOUTIQUE"/>
    <s v="GENERIC"/>
    <s v="COD"/>
    <s v="2025-06-10"/>
    <s v="PREVENTIVE MAINTENANCE"/>
    <n v="1"/>
    <n v="10000"/>
    <n v="10000"/>
    <n v="10000"/>
    <s v="MARITESS"/>
  </r>
  <r>
    <x v="228"/>
    <s v="STATEMENT THEORY - SO-038"/>
    <s v="SO-038"/>
    <s v="STATEMENT THEORY"/>
    <s v="STATEMENT THEORY"/>
    <s v="ROCKWELL"/>
    <s v="COD"/>
    <s v="2025-06-13"/>
    <s v="ACER MONITOR"/>
    <n v="1"/>
    <n v="4250"/>
    <n v="6500"/>
    <n v="6500"/>
    <s v="JOANNE"/>
  </r>
  <r>
    <x v="229"/>
    <s v="ANONYMOUS - SO-039"/>
    <s v="SO-039"/>
    <s v="ANONYMOUS"/>
    <s v="DERMA 360°"/>
    <s v="GENERIC"/>
    <s v="COD"/>
    <s v="2025-06-16"/>
    <s v="DDR4 8GB RAM"/>
    <n v="1"/>
    <n v="1150"/>
    <n v="2600"/>
    <n v="2600"/>
    <s v="MARITESS"/>
  </r>
  <r>
    <x v="230"/>
    <s v="W R I WELLNESS RETAIL INNOVATIONS INC - SO-040"/>
    <s v="SO-040"/>
    <s v="W R I WELLNESS RETAIL INNOVATIONS INC"/>
    <s v="DR. KONG"/>
    <s v="GRAND CENTRAL"/>
    <s v="COD"/>
    <s v="2025-06-23"/>
    <s v="EPSON TMU220D USB PRINTER"/>
    <n v="1"/>
    <n v="8500"/>
    <n v="12500"/>
    <n v="12500"/>
    <s v="JOANNE"/>
  </r>
  <r>
    <x v="230"/>
    <s v="W R I WELLNESS RETAIL INNOVATIONS INC - SO-040"/>
    <s v="SO-040"/>
    <s v="W R I WELLNESS RETAIL INNOVATIONS INC"/>
    <s v="DR. KONG"/>
    <s v="GRAND CENTRAL"/>
    <s v="COD"/>
    <s v="2025-06-23"/>
    <s v="UPS APC"/>
    <n v="1"/>
    <n v="2200"/>
    <n v="3250"/>
    <n v="3250"/>
    <s v="JOANNE"/>
  </r>
  <r>
    <x v="230"/>
    <s v="W R I WELLNESS RETAIL INNOVATIONS INC - SO-040"/>
    <s v="SO-040"/>
    <s v="W R I WELLNESS RETAIL INNOVATIONS INC"/>
    <s v="DR. KONG"/>
    <s v="GRAND CENTRAL"/>
    <s v="COD"/>
    <s v="2025-06-23"/>
    <s v="ZEBRA 2D SCANNER"/>
    <n v="1"/>
    <n v="5400"/>
    <n v="7000"/>
    <n v="7000"/>
    <s v="JOANNE"/>
  </r>
  <r>
    <x v="230"/>
    <s v="W R I WELLNESS RETAIL INNOVATIONS INC - SO-040"/>
    <s v="SO-040"/>
    <s v="W R I WELLNESS RETAIL INNOVATIONS INC"/>
    <s v="DR. KONG"/>
    <s v="GRAND CENTRAL"/>
    <s v="COD"/>
    <s v="2025-06-23"/>
    <s v="GENERIC CASH DRAWER"/>
    <n v="1"/>
    <n v="2185"/>
    <n v="3250"/>
    <n v="3250"/>
    <s v="JOANNE"/>
  </r>
  <r>
    <x v="230"/>
    <s v="W R I WELLNESS RETAIL INNOVATIONS INC - SO-040"/>
    <s v="SO-040"/>
    <s v="W R I WELLNESS RETAIL INNOVATIONS INC"/>
    <s v="DR. KONG"/>
    <s v="GRAND CENTRAL"/>
    <s v="COD"/>
    <s v="2025-06-23"/>
    <s v="DELIVERY FEE"/>
    <n v="1"/>
    <n v="500"/>
    <n v="500"/>
    <n v="500"/>
    <s v="JOANNE"/>
  </r>
  <r>
    <x v="203"/>
    <s v="TIONG BAHRU PHILIPPINES INC - SO-041"/>
    <s v="SO-041"/>
    <s v="TIONG BAHRU PHILIPPINES INC"/>
    <s v="TIONG BAHRU"/>
    <s v="GENERIC"/>
    <s v="50% DOWNPAYMENT, 50% W/IN 30 DAYS"/>
    <s v="2025-06-27"/>
    <s v="BACCHUS SQL VER 7"/>
    <n v="1"/>
    <n v="3675"/>
    <n v="10500"/>
    <n v="10500"/>
    <s v="MARITESS"/>
  </r>
  <r>
    <x v="203"/>
    <s v="TIONG BAHRU PHILIPPINES INC - SO-041"/>
    <s v="SO-041"/>
    <s v="TIONG BAHRU PHILIPPINES INC"/>
    <s v="TIONG BAHRU"/>
    <s v="GENERIC"/>
    <s v="50% DOWNPAYMENT, 50% W/IN 30 DAYS"/>
    <s v="2025-06-27"/>
    <s v="IMPLEMENTATION"/>
    <n v="1"/>
    <n v="3325"/>
    <n v="9500"/>
    <n v="9500"/>
    <s v="MARITESS"/>
  </r>
  <r>
    <x v="203"/>
    <s v="TIONG BAHRU PHILIPPINES INC - SO-041"/>
    <s v="SO-041"/>
    <s v="TIONG BAHRU PHILIPPINES INC"/>
    <s v="TIONG BAHRU"/>
    <s v="GENERIC"/>
    <s v="50% DOWNPAYMENT, 50% W/IN 30 DAYS"/>
    <s v="2025-06-27"/>
    <s v="ONE YEAR WARRANTY"/>
    <n v="1"/>
    <n v="3325"/>
    <n v="9500"/>
    <n v="9500"/>
    <s v="MARITESS"/>
  </r>
  <r>
    <x v="203"/>
    <s v="TIONG BAHRU PHILIPPINES INC - SO-041"/>
    <s v="SO-041"/>
    <s v="TIONG BAHRU PHILIPPINES INC"/>
    <s v="TIONG BAHRU"/>
    <s v="GENERIC"/>
    <s v="50% DOWNPAYMENT, 50% W/IN 30 DAYS"/>
    <s v="2025-06-27"/>
    <s v="BIR REGISTRATION"/>
    <n v="1"/>
    <n v="500"/>
    <n v="500"/>
    <n v="500"/>
    <s v="MARITESS"/>
  </r>
  <r>
    <x v="203"/>
    <s v="TIONG BAHRU PHILIPPINES INC - SO-041"/>
    <s v="SO-041"/>
    <s v="TIONG BAHRU PHILIPPINES INC"/>
    <s v="TIONG BAHRU"/>
    <s v="GENERIC"/>
    <s v="50% DOWNPAYMENT, 50% W/IN 30 DAYS"/>
    <s v="2025-06-27"/>
    <s v="APC UPS"/>
    <n v="1"/>
    <n v="2200"/>
    <n v="3000"/>
    <n v="3000"/>
    <s v="MARITESS"/>
  </r>
  <r>
    <x v="203"/>
    <s v="TIONG BAHRU PHILIPPINES INC - SO-041"/>
    <s v="SO-041"/>
    <s v="TIONG BAHRU PHILIPPINES INC"/>
    <s v="TIONG BAHRU"/>
    <s v="GENERIC"/>
    <s v="50% DOWNPAYMENT, 50% W/IN 30 DAYS"/>
    <s v="2025-06-27"/>
    <s v="DELIVERY FEE"/>
    <n v="1"/>
    <n v="500"/>
    <n v="500"/>
    <n v="500"/>
    <s v="MARITESS"/>
  </r>
  <r>
    <x v="203"/>
    <s v="TIONG BAHRU PHILIPPINES INC - SO-042"/>
    <s v="SO-042"/>
    <s v="TIONG BAHRU PHILIPPINES INC"/>
    <s v="TIONG BAHRU"/>
    <s v="GENERIC"/>
    <s v="50% DOWNPAYMENT, 50% W/IN 30 DAYS"/>
    <s v="2025-07-03"/>
    <s v="BACCHUS SQL VER 7"/>
    <n v="1"/>
    <n v="3675"/>
    <n v="10500"/>
    <n v="10500"/>
    <s v="MARITESS"/>
  </r>
  <r>
    <x v="203"/>
    <s v="TIONG BAHRU PHILIPPINES INC - SO-042"/>
    <s v="SO-042"/>
    <s v="TIONG BAHRU PHILIPPINES INC"/>
    <s v="TIONG BAHRU"/>
    <s v="GENERIC"/>
    <s v="50% DOWNPAYMENT, 50% W/IN 30 DAYS"/>
    <s v="2025-07-03"/>
    <s v="IMPLEMENTATION"/>
    <n v="1"/>
    <n v="3325"/>
    <n v="9500"/>
    <n v="9500"/>
    <s v="MARITESS"/>
  </r>
  <r>
    <x v="203"/>
    <s v="TIONG BAHRU PHILIPPINES INC - SO-042"/>
    <s v="SO-042"/>
    <s v="TIONG BAHRU PHILIPPINES INC"/>
    <s v="TIONG BAHRU"/>
    <s v="GENERIC"/>
    <s v="50% DOWNPAYMENT, 50% W/IN 30 DAYS"/>
    <s v="2025-07-03"/>
    <s v="ONE YEAR WARRANTY"/>
    <n v="1"/>
    <n v="3325"/>
    <n v="9500"/>
    <n v="9500"/>
    <s v="MARITESS"/>
  </r>
  <r>
    <x v="203"/>
    <s v="TIONG BAHRU PHILIPPINES INC - SO-042"/>
    <s v="SO-042"/>
    <s v="TIONG BAHRU PHILIPPINES INC"/>
    <s v="TIONG BAHRU"/>
    <s v="GENERIC"/>
    <s v="50% DOWNPAYMENT, 50% W/IN 30 DAYS"/>
    <s v="2025-07-03"/>
    <s v="BIR REGISTRATION"/>
    <n v="1"/>
    <n v="500"/>
    <n v="500"/>
    <n v="500"/>
    <s v="MARITESS"/>
  </r>
  <r>
    <x v="203"/>
    <s v="TIONG BAHRU PHILIPPINES INC - SO-042"/>
    <s v="SO-042"/>
    <s v="TIONG BAHRU PHILIPPINES INC"/>
    <s v="TIONG BAHRU"/>
    <s v="GENERIC"/>
    <s v="50% DOWNPAYMENT, 50% W/IN 30 DAYS"/>
    <s v="2025-07-03"/>
    <s v="APC UPS"/>
    <n v="1"/>
    <n v="2200"/>
    <n v="3000"/>
    <n v="3000"/>
    <s v="MARITESS"/>
  </r>
  <r>
    <x v="203"/>
    <s v="TIONG BAHRU PHILIPPINES INC - SO-042"/>
    <s v="SO-042"/>
    <s v="TIONG BAHRU PHILIPPINES INC"/>
    <s v="TIONG BAHRU"/>
    <s v="GENERIC"/>
    <s v="50% DOWNPAYMENT, 50% W/IN 30 DAYS"/>
    <s v="2025-07-03"/>
    <s v="DELIVERY FEE"/>
    <n v="1"/>
    <n v="500"/>
    <n v="500"/>
    <n v="500"/>
    <s v="MARITESS"/>
  </r>
  <r>
    <x v="231"/>
    <s v="PHARMASAFE INC - SO-043"/>
    <s v="SO-043"/>
    <s v="PHARMASAFE INC"/>
    <s v="MUSTELA"/>
    <s v="SM MEGAMALL"/>
    <s v="FULLY PAID"/>
    <s v="2025-07-10"/>
    <s v="SOFTWARE UPGRADE (RDMS SQL+ VERSION 3)"/>
    <n v="1"/>
    <n v="6300"/>
    <n v="18000"/>
    <n v="18000"/>
    <s v="JOANNE"/>
  </r>
  <r>
    <x v="231"/>
    <s v="PHARMASAFE INC - SO-043"/>
    <s v="SO-043"/>
    <s v="PHARMASAFE INC"/>
    <s v="MUSTELA"/>
    <s v="SM MEGAMALL"/>
    <s v="FULLY PAID"/>
    <s v="2025-07-10"/>
    <s v="BIR REGISTRATION"/>
    <n v="1"/>
    <n v="1500"/>
    <n v="1500"/>
    <n v="1500"/>
    <s v="JOANNE"/>
  </r>
  <r>
    <x v="231"/>
    <s v="PHARMASAFE INC - SO-043"/>
    <s v="SO-043"/>
    <s v="PHARMASAFE INC"/>
    <s v="MUSTELA"/>
    <s v="SM MEGAMALL"/>
    <s v="FULLY PAID"/>
    <s v="2025-07-10"/>
    <s v="EOS MINI PC I5, 8GB, 500GB NVME M.2 SSD"/>
    <n v="1"/>
    <n v="23450"/>
    <n v="31800"/>
    <n v="31800"/>
    <s v="JOANNE"/>
  </r>
  <r>
    <x v="231"/>
    <s v="PHARMASAFE INC - SO-043"/>
    <s v="SO-043"/>
    <s v="PHARMASAFE INC"/>
    <s v="MUSTELA"/>
    <s v="SM MEGAMALL"/>
    <s v="FULLY PAID"/>
    <s v="2025-07-10"/>
    <s v="WINDOWS 11 PRO"/>
    <n v="1"/>
    <n v="2800"/>
    <n v="4000"/>
    <n v="4000"/>
    <s v="JOANNE"/>
  </r>
  <r>
    <x v="231"/>
    <s v="PHARMASAFE INC - SO-043"/>
    <s v="SO-043"/>
    <s v="PHARMASAFE INC"/>
    <s v="MUSTELA"/>
    <s v="SM MEGAMALL"/>
    <s v="FULLY PAID"/>
    <s v="2025-07-10"/>
    <s v="KEYBOARD AND MOUSE"/>
    <n v="1"/>
    <n v="500"/>
    <n v="700"/>
    <n v="700"/>
    <s v="JOANNE"/>
  </r>
  <r>
    <x v="231"/>
    <s v="PHARMASAFE INC - SO-043"/>
    <s v="SO-043"/>
    <s v="PHARMASAFE INC"/>
    <s v="MUSTELA"/>
    <s v="SM MEGAMALL"/>
    <s v="FULLY PAID"/>
    <s v="2025-07-10"/>
    <s v="EOS FAN WITH COVER"/>
    <n v="1"/>
    <n v="350"/>
    <n v="500"/>
    <n v="500"/>
    <s v="JOANNE"/>
  </r>
  <r>
    <x v="231"/>
    <s v="PHARMASAFE INC - SO-043"/>
    <s v="SO-043"/>
    <s v="PHARMASAFE INC"/>
    <s v="MUSTELA"/>
    <s v="SM MEGAMALL"/>
    <s v="FULLY PAID"/>
    <s v="2025-07-10"/>
    <s v="KASPERKY ANTI VIRUS"/>
    <n v="1"/>
    <n v="970"/>
    <n v="1500"/>
    <n v="1500"/>
    <s v="JOANNE"/>
  </r>
  <r>
    <x v="231"/>
    <s v="PHARMASAFE INC - SO-043"/>
    <s v="SO-043"/>
    <s v="PHARMASAFE INC"/>
    <s v="MUSTELA"/>
    <s v="SM MEGAMALL"/>
    <s v="FULLY PAID"/>
    <s v="2025-07-10"/>
    <s v="DELIVERY FEE"/>
    <n v="1"/>
    <n v="500"/>
    <n v="500"/>
    <n v="500"/>
    <s v="JOANNE"/>
  </r>
  <r>
    <x v="232"/>
    <s v="PHARMASAFE INC - SO-044"/>
    <s v="SO-044"/>
    <s v="PHARMASAFE INC"/>
    <s v="MUSTELA"/>
    <s v="SM MOA"/>
    <s v="FULLY PAID"/>
    <s v="2025-07-10"/>
    <s v="SOFTWARE UPGRADE (RDMS SQL+ VERSION 3)"/>
    <n v="1"/>
    <n v="6300"/>
    <n v="18000"/>
    <n v="18000"/>
    <s v="JOANNE"/>
  </r>
  <r>
    <x v="232"/>
    <s v="PHARMASAFE INC - SO-044"/>
    <s v="SO-044"/>
    <s v="PHARMASAFE INC"/>
    <s v="MUSTELA"/>
    <s v="SM MOA"/>
    <s v="FULLY PAID"/>
    <s v="2025-07-10"/>
    <s v="BIR REGISTRATION"/>
    <n v="1"/>
    <n v="1500"/>
    <n v="1500"/>
    <n v="1500"/>
    <s v="JOANNE"/>
  </r>
  <r>
    <x v="232"/>
    <s v="PHARMASAFE INC - SO-044"/>
    <s v="SO-044"/>
    <s v="PHARMASAFE INC"/>
    <s v="MUSTELA"/>
    <s v="SM MOA"/>
    <s v="FULLY PAID"/>
    <s v="2025-07-10"/>
    <s v="EOS MINI PC I5, 8GB, 500GB NVME M.2 SSD"/>
    <n v="1"/>
    <n v="23450"/>
    <n v="31800"/>
    <n v="31800"/>
    <s v="JOANNE"/>
  </r>
  <r>
    <x v="232"/>
    <s v="PHARMASAFE INC - SO-044"/>
    <s v="SO-044"/>
    <s v="PHARMASAFE INC"/>
    <s v="MUSTELA"/>
    <s v="SM MOA"/>
    <s v="FULLY PAID"/>
    <s v="2025-07-10"/>
    <s v="WINDOWS 11 PRO"/>
    <n v="1"/>
    <n v="2800"/>
    <n v="4000"/>
    <n v="4000"/>
    <s v="JOANNE"/>
  </r>
  <r>
    <x v="232"/>
    <s v="PHARMASAFE INC - SO-044"/>
    <s v="SO-044"/>
    <s v="PHARMASAFE INC"/>
    <s v="MUSTELA"/>
    <s v="SM MOA"/>
    <s v="FULLY PAID"/>
    <s v="2025-07-10"/>
    <s v="KEYBOARD AND MOUSE"/>
    <n v="1"/>
    <n v="500"/>
    <n v="700"/>
    <n v="700"/>
    <s v="JOANNE"/>
  </r>
  <r>
    <x v="232"/>
    <s v="PHARMASAFE INC - SO-044"/>
    <s v="SO-044"/>
    <s v="PHARMASAFE INC"/>
    <s v="MUSTELA"/>
    <s v="SM MOA"/>
    <s v="FULLY PAID"/>
    <s v="2025-07-10"/>
    <s v="EOS FAN WITH COVER"/>
    <n v="1"/>
    <n v="350"/>
    <n v="500"/>
    <n v="500"/>
    <s v="JOANNE"/>
  </r>
  <r>
    <x v="232"/>
    <s v="PHARMASAFE INC - SO-044"/>
    <s v="SO-044"/>
    <s v="PHARMASAFE INC"/>
    <s v="MUSTELA"/>
    <s v="SM MOA"/>
    <s v="FULLY PAID"/>
    <s v="2025-07-10"/>
    <s v="KASPERKY ANTI VIRUS"/>
    <n v="1"/>
    <n v="970"/>
    <n v="1500"/>
    <n v="1500"/>
    <s v="JOANNE"/>
  </r>
  <r>
    <x v="232"/>
    <s v="PHARMASAFE INC - SO-044"/>
    <s v="SO-044"/>
    <s v="PHARMASAFE INC"/>
    <s v="MUSTELA"/>
    <s v="SM MOA"/>
    <s v="FULLY PAID"/>
    <s v="2025-07-10"/>
    <s v="DELIVERY FEE"/>
    <n v="1"/>
    <n v="500"/>
    <n v="500"/>
    <n v="500"/>
    <s v="JOANNE"/>
  </r>
  <r>
    <x v="233"/>
    <s v="PHARMASAFE INC - SO-045"/>
    <s v="SO-045"/>
    <s v="PHARMASAFE INC"/>
    <s v="MUSTELA"/>
    <s v="AYALA CEBU"/>
    <s v="FULLY PAID"/>
    <s v="2025-07-10"/>
    <s v="RDMS SQL+ VERSION 3"/>
    <n v="1"/>
    <n v="3675"/>
    <n v="10500"/>
    <n v="10500"/>
    <s v="JOANNE"/>
  </r>
  <r>
    <x v="233"/>
    <s v="PHARMASAFE INC - SO-045"/>
    <s v="SO-045"/>
    <s v="PHARMASAFE INC"/>
    <s v="MUSTELA"/>
    <s v="AYALA CEBU"/>
    <s v="FULLY PAID"/>
    <s v="2025-07-10"/>
    <s v="ROLL OUT IMPLEMENTATION"/>
    <n v="1"/>
    <n v="4200"/>
    <n v="12000"/>
    <n v="12000"/>
    <s v="JOANNE"/>
  </r>
  <r>
    <x v="233"/>
    <s v="PHARMASAFE INC - SO-045"/>
    <s v="SO-045"/>
    <s v="PHARMASAFE INC"/>
    <s v="MUSTELA"/>
    <s v="AYALA CEBU"/>
    <s v="FULLY PAID"/>
    <s v="2025-07-10"/>
    <s v="ONE YEAR WARRANTY"/>
    <n v="1"/>
    <n v="4200"/>
    <n v="12000"/>
    <n v="12000"/>
    <s v="JOANNE"/>
  </r>
  <r>
    <x v="233"/>
    <s v="PHARMASAFE INC - SO-045"/>
    <s v="SO-045"/>
    <s v="PHARMASAFE INC"/>
    <s v="MUSTELA"/>
    <s v="AYALA CEBU"/>
    <s v="FULLY PAID"/>
    <s v="2025-07-10"/>
    <s v="BIR REGISTRATION"/>
    <n v="1"/>
    <n v="500"/>
    <n v="500"/>
    <n v="500"/>
    <s v="JOANNE"/>
  </r>
  <r>
    <x v="234"/>
    <s v="BIG BRANDS CLOTHING OUTLET CORP - SO-046"/>
    <s v="SO-046"/>
    <s v="BIG BRANDS CLOTHING OUTLET CORP"/>
    <s v="BIG BRANDS"/>
    <s v="ROBINSONS STA ROSA"/>
    <s v="FULLY PAID"/>
    <s v="2025-07-11"/>
    <s v="EOS POWER ADAPTOR"/>
    <n v="1"/>
    <n v="850"/>
    <n v="2000"/>
    <n v="2000"/>
    <s v="JOANNE"/>
  </r>
  <r>
    <x v="235"/>
    <s v="MIRANDA MICHAEL BORBON - SO-047"/>
    <s v="SO-047"/>
    <s v="MIRANDA MICHAEL BORBON"/>
    <s v="MICHAEL &amp; CELEST"/>
    <s v="168 SHOPPING MALL C1"/>
    <s v="40% DP, 60% 2MOS PDC"/>
    <s v="2025-07-10"/>
    <s v="RDMS SQL+ VERSION 4.3.0"/>
    <n v="1"/>
    <n v="3675"/>
    <n v="10500"/>
    <n v="10500"/>
    <s v="JOANNE"/>
  </r>
  <r>
    <x v="235"/>
    <s v="MIRANDA MICHAEL BORBON - SO-047"/>
    <s v="SO-047"/>
    <s v="MIRANDA MICHAEL BORBON"/>
    <s v="MICHAEL &amp; CELEST"/>
    <s v="168 SHOPPING MALL C1"/>
    <s v="40% DP, 60% 2MOS PDC"/>
    <s v="2025-07-10"/>
    <s v="ROLL OUT IMPLEMENTATION"/>
    <n v="1"/>
    <n v="3762.5"/>
    <n v="10750"/>
    <n v="10750"/>
    <s v="JOANNE"/>
  </r>
  <r>
    <x v="235"/>
    <s v="MIRANDA MICHAEL BORBON - SO-047"/>
    <s v="SO-047"/>
    <s v="MIRANDA MICHAEL BORBON"/>
    <s v="MICHAEL &amp; CELEST"/>
    <s v="168 SHOPPING MALL C1"/>
    <s v="40% DP, 60% 2MOS PDC"/>
    <s v="2025-07-10"/>
    <s v="ONE YEAR WARRANTY"/>
    <n v="1"/>
    <n v="3762.5"/>
    <n v="10750"/>
    <n v="10750"/>
    <s v="JOANNE"/>
  </r>
  <r>
    <x v="235"/>
    <s v="MIRANDA MICHAEL BORBON - SO-047"/>
    <s v="SO-047"/>
    <s v="MIRANDA MICHAEL BORBON"/>
    <s v="MICHAEL &amp; CELEST"/>
    <s v="168 SHOPPING MALL C1"/>
    <s v="40% DP, 60% 2MOS PDC"/>
    <s v="2025-07-10"/>
    <s v="BIR REGISTRATION"/>
    <n v="1"/>
    <n v="500"/>
    <n v="500"/>
    <n v="500"/>
    <s v="JOANNE"/>
  </r>
  <r>
    <x v="236"/>
    <s v="MIRANDA MICHAEL BORBON - SO-048"/>
    <s v="SO-048"/>
    <s v="MIRANDA MICHAEL BORBON"/>
    <s v="MICHAEL &amp; CELEST"/>
    <s v="168 SHOPPING MALL C3"/>
    <s v="40% DP, 60% 2MOS PDC"/>
    <s v="2025-07-10"/>
    <s v="RDMS SQL+ VERSION 4.3.0"/>
    <n v="1"/>
    <n v="3675"/>
    <n v="10500"/>
    <n v="10500"/>
    <s v="JOANNE"/>
  </r>
  <r>
    <x v="236"/>
    <s v="MIRANDA MICHAEL BORBON - SO-048"/>
    <s v="SO-048"/>
    <s v="MIRANDA MICHAEL BORBON"/>
    <s v="MICHAEL &amp; CELEST"/>
    <s v="168 SHOPPING MALL C3"/>
    <s v="40% DP, 60% 2MOS PDC"/>
    <s v="2025-07-10"/>
    <s v="ROLL OUT IMPLEMENTATION"/>
    <n v="1"/>
    <n v="3762.5"/>
    <n v="10750"/>
    <n v="10750"/>
    <s v="JOANNE"/>
  </r>
  <r>
    <x v="236"/>
    <s v="MIRANDA MICHAEL BORBON - SO-048"/>
    <s v="SO-048"/>
    <s v="MIRANDA MICHAEL BORBON"/>
    <s v="MICHAEL &amp; CELEST"/>
    <s v="168 SHOPPING MALL C3"/>
    <s v="40% DP, 60% 2MOS PDC"/>
    <s v="2025-07-10"/>
    <s v="ONE YEAR WARRANTY"/>
    <n v="1"/>
    <n v="3762.5"/>
    <n v="10750"/>
    <n v="10750"/>
    <s v="JOANNE"/>
  </r>
  <r>
    <x v="236"/>
    <s v="MIRANDA MICHAEL BORBON - SO-048"/>
    <s v="SO-048"/>
    <s v="MIRANDA MICHAEL BORBON"/>
    <s v="MICHAEL &amp; CELEST"/>
    <s v="168 SHOPPING MALL C3"/>
    <s v="40% DP, 60% 2MOS PDC"/>
    <s v="2025-07-10"/>
    <s v="BIR REGISTRATION"/>
    <n v="1"/>
    <n v="500"/>
    <n v="500"/>
    <n v="500"/>
    <s v="JOANNE"/>
  </r>
  <r>
    <x v="237"/>
    <s v="TANTEASE INC - SO-049"/>
    <s v="SO-049"/>
    <s v="TANTEASE INC"/>
    <s v="TANTEASE"/>
    <s v="POWERPLANT MALL ROCKWELL"/>
    <s v="FULLY PAID"/>
    <s v="2025-07-14"/>
    <s v="PREVENTIVE MAINTENANCE JULY 14, 2025 - JULY 13, 2026"/>
    <n v="1"/>
    <n v="15000"/>
    <n v="15000"/>
    <n v="15000"/>
    <s v="JOANNE"/>
  </r>
  <r>
    <x v="217"/>
    <s v="HET STROOPWAFEL HUIS - SO-050"/>
    <s v="SO-050"/>
    <s v="HET STROOPWAFEL HUIS"/>
    <s v="STOOP &amp; ZO"/>
    <s v="GENERIC"/>
    <s v="COD"/>
    <s v="2025-07-24"/>
    <s v="ERC RIBBON"/>
    <n v="6"/>
    <n v="70"/>
    <n v="250"/>
    <n v="1500"/>
    <s v="MARITESS"/>
  </r>
  <r>
    <x v="238"/>
    <s v="ANONYMOUS - SO-051"/>
    <s v="SO-051"/>
    <s v="ANONYMOUS"/>
    <s v="FUN CITY"/>
    <s v="AYALA MALLS FELIZ"/>
    <s v="50% DP, 50% - 30 DAYS"/>
    <s v="2025-07-31"/>
    <s v="RDMS V4.3.0"/>
    <n v="1"/>
    <n v="3675"/>
    <n v="10500"/>
    <n v="10500"/>
    <s v="JOANNE"/>
  </r>
  <r>
    <x v="238"/>
    <s v="ANONYMOUS - SO-051"/>
    <s v="SO-051"/>
    <s v="ANONYMOUS"/>
    <s v="FUN CITY"/>
    <s v="AYALA MALLS FELIZ"/>
    <s v="50% DP, 50% - 30 DAYS"/>
    <s v="2025-07-31"/>
    <s v="BIR REGISTRATION"/>
    <n v="1"/>
    <n v="500"/>
    <n v="500"/>
    <n v="500"/>
    <s v="JOANNE"/>
  </r>
  <r>
    <x v="238"/>
    <s v="ANONYMOUS - SO-051"/>
    <s v="SO-051"/>
    <s v="ANONYMOUS"/>
    <s v="FUN CITY"/>
    <s v="AYALA MALLS FELIZ"/>
    <s v="50% DP, 50% - 30 DAYS"/>
    <s v="2025-07-31"/>
    <s v="ROLL OUT/IMPLEMENTATION"/>
    <n v="1"/>
    <n v="4200"/>
    <n v="3587.5"/>
    <n v="3587.5"/>
    <s v="JOANNE"/>
  </r>
  <r>
    <x v="238"/>
    <s v="ANONYMOUS - SO-051"/>
    <s v="SO-051"/>
    <s v="ANONYMOUS"/>
    <s v="FUN CITY"/>
    <s v="AYALA MALLS FELIZ"/>
    <s v="50% DP, 50% - 30 DAYS"/>
    <s v="2025-07-31"/>
    <s v="ONE YEAR WARRANTY"/>
    <n v="1"/>
    <n v="4200"/>
    <n v="3587.5"/>
    <n v="3587.5"/>
    <s v="JOANNE"/>
  </r>
  <r>
    <x v="239"/>
    <s v="INSPIRA PRIME INTERNATIONAL CORPORATION - SO-052"/>
    <s v="SO-052"/>
    <s v="INSPIRA PRIME INTERNATIONAL CORPORATION"/>
    <s v="AQUAFLASK"/>
    <s v="GENERIC"/>
    <s v="50% DOWNPAYMENT, 50% W/IN 30 DAYS"/>
    <s v="2025-08-04"/>
    <s v="RDMS SQL+ VERSION 3"/>
    <n v="1"/>
    <n v="3675"/>
    <n v="10500"/>
    <n v="10500"/>
    <s v="MARITESS"/>
  </r>
  <r>
    <x v="239"/>
    <s v="INSPIRA PRIME INTERNATIONAL CORPORATION - SO-052"/>
    <s v="SO-052"/>
    <s v="INSPIRA PRIME INTERNATIONAL CORPORATION"/>
    <s v="AQUAFLASK"/>
    <s v="GENERIC"/>
    <s v="50% DOWNPAYMENT, 50% W/IN 30 DAYS"/>
    <s v="2025-08-04"/>
    <s v="ROLL OUT IMPLEMENTATION"/>
    <n v="1"/>
    <n v="2450"/>
    <n v="7000"/>
    <n v="7000"/>
    <s v="MARITESS"/>
  </r>
  <r>
    <x v="239"/>
    <s v="INSPIRA PRIME INTERNATIONAL CORPORATION - SO-052"/>
    <s v="SO-052"/>
    <s v="INSPIRA PRIME INTERNATIONAL CORPORATION"/>
    <s v="AQUAFLASK"/>
    <s v="GENERIC"/>
    <s v="50% DOWNPAYMENT, 50% W/IN 30 DAYS"/>
    <s v="2025-08-04"/>
    <s v="ONE YEAR WARRANTY"/>
    <n v="1"/>
    <n v="2450"/>
    <n v="7000"/>
    <n v="7000"/>
    <s v="MARITESS"/>
  </r>
  <r>
    <x v="239"/>
    <s v="INSPIRA PRIME INTERNATIONAL CORPORATION - SO-052"/>
    <s v="SO-052"/>
    <s v="INSPIRA PRIME INTERNATIONAL CORPORATION"/>
    <s v="AQUAFLASK"/>
    <s v="GENERIC"/>
    <s v="50% DOWNPAYMENT, 50% W/IN 30 DAYS"/>
    <s v="2025-08-04"/>
    <s v="BIR REGISTRATION"/>
    <n v="1"/>
    <n v="500"/>
    <n v="500"/>
    <n v="500"/>
    <s v="MARITESS"/>
  </r>
  <r>
    <x v="239"/>
    <s v="INSPIRA PRIME INTERNATIONAL CORPORATION - SO-052"/>
    <s v="SO-052"/>
    <s v="INSPIRA PRIME INTERNATIONAL CORPORATION"/>
    <s v="AQUAFLASK"/>
    <s v="GENERIC"/>
    <s v="50% DOWNPAYMENT, 50% W/IN 30 DAYS"/>
    <s v="2025-08-04"/>
    <s v="EOS MINI PC I5, 8GB"/>
    <n v="1"/>
    <n v="20800"/>
    <n v="23000"/>
    <n v="23000"/>
    <s v="MARITESS"/>
  </r>
  <r>
    <x v="239"/>
    <s v="INSPIRA PRIME INTERNATIONAL CORPORATION - SO-052"/>
    <s v="SO-052"/>
    <s v="INSPIRA PRIME INTERNATIONAL CORPORATION"/>
    <s v="AQUAFLASK"/>
    <s v="GENERIC"/>
    <s v="50% DOWNPAYMENT, 50% W/IN 30 DAYS"/>
    <s v="2025-08-04"/>
    <s v="NVME M.2 500GB SSD"/>
    <n v="1"/>
    <n v="2334"/>
    <n v="3200"/>
    <n v="3200"/>
    <s v="MARITESS"/>
  </r>
  <r>
    <x v="239"/>
    <s v="INSPIRA PRIME INTERNATIONAL CORPORATION - SO-052"/>
    <s v="SO-052"/>
    <s v="INSPIRA PRIME INTERNATIONAL CORPORATION"/>
    <s v="AQUAFLASK"/>
    <s v="GENERIC"/>
    <s v="50% DOWNPAYMENT, 50% W/IN 30 DAYS"/>
    <s v="2025-08-04"/>
    <s v="WINDOWS 11 PRO"/>
    <n v="1"/>
    <n v="2800"/>
    <n v="3200"/>
    <n v="3200"/>
    <s v="MARITESS"/>
  </r>
  <r>
    <x v="239"/>
    <s v="INSPIRA PRIME INTERNATIONAL CORPORATION - SO-052"/>
    <s v="SO-052"/>
    <s v="INSPIRA PRIME INTERNATIONAL CORPORATION"/>
    <s v="AQUAFLASK"/>
    <s v="GENERIC"/>
    <s v="50% DOWNPAYMENT, 50% W/IN 30 DAYS"/>
    <s v="2025-08-04"/>
    <s v="KEYBOARD AND MOUSE"/>
    <n v="1"/>
    <n v="500"/>
    <n v="600"/>
    <n v="600"/>
    <s v="MARITESS"/>
  </r>
  <r>
    <x v="239"/>
    <s v="INSPIRA PRIME INTERNATIONAL CORPORATION - SO-052"/>
    <s v="SO-052"/>
    <s v="INSPIRA PRIME INTERNATIONAL CORPORATION"/>
    <s v="AQUAFLASK"/>
    <s v="GENERIC"/>
    <s v="50% DOWNPAYMENT, 50% W/IN 30 DAYS"/>
    <s v="2025-08-04"/>
    <s v="EOS FAN WITH COVER"/>
    <n v="1"/>
    <n v="350"/>
    <n v="400"/>
    <n v="400"/>
    <s v="MARITESS"/>
  </r>
  <r>
    <x v="239"/>
    <s v="INSPIRA PRIME INTERNATIONAL CORPORATION - SO-052"/>
    <s v="SO-052"/>
    <s v="INSPIRA PRIME INTERNATIONAL CORPORATION"/>
    <s v="AQUAFLASK"/>
    <s v="GENERIC"/>
    <s v="50% DOWNPAYMENT, 50% W/IN 30 DAYS"/>
    <s v="2025-08-04"/>
    <s v="KASPERKY ANTI VIRUS"/>
    <n v="1"/>
    <n v="970"/>
    <n v="1200"/>
    <n v="1200"/>
    <s v="MARITESS"/>
  </r>
  <r>
    <x v="239"/>
    <s v="INSPIRA PRIME INTERNATIONAL CORPORATION - SO-052"/>
    <s v="SO-052"/>
    <s v="INSPIRA PRIME INTERNATIONAL CORPORATION"/>
    <s v="AQUAFLASK"/>
    <s v="GENERIC"/>
    <s v="50% DOWNPAYMENT, 50% W/IN 30 DAYS"/>
    <s v="2025-08-04"/>
    <s v="LED MONITOR"/>
    <n v="1"/>
    <n v="4250"/>
    <n v="4700"/>
    <n v="4700"/>
    <s v="MARITESS"/>
  </r>
  <r>
    <x v="239"/>
    <s v="INSPIRA PRIME INTERNATIONAL CORPORATION - SO-052"/>
    <s v="SO-052"/>
    <s v="INSPIRA PRIME INTERNATIONAL CORPORATION"/>
    <s v="AQUAFLASK"/>
    <s v="GENERIC"/>
    <s v="50% DOWNPAYMENT, 50% W/IN 30 DAYS"/>
    <s v="2025-08-04"/>
    <s v="MINI CASH DRAWER"/>
    <n v="1"/>
    <n v="1350"/>
    <n v="1700"/>
    <n v="1700"/>
    <s v="MARITESS"/>
  </r>
  <r>
    <x v="239"/>
    <s v="INSPIRA PRIME INTERNATIONAL CORPORATION - SO-052"/>
    <s v="SO-052"/>
    <s v="INSPIRA PRIME INTERNATIONAL CORPORATION"/>
    <s v="AQUAFLASK"/>
    <s v="GENERIC"/>
    <s v="50% DOWNPAYMENT, 50% W/IN 30 DAYS"/>
    <s v="2025-08-04"/>
    <s v="EPSON TM U220D USB PRINTER"/>
    <n v="1"/>
    <n v="8500"/>
    <n v="10000"/>
    <n v="10000"/>
    <s v="MARITESS"/>
  </r>
  <r>
    <x v="239"/>
    <s v="INSPIRA PRIME INTERNATIONAL CORPORATION - SO-052"/>
    <s v="SO-052"/>
    <s v="INSPIRA PRIME INTERNATIONAL CORPORATION"/>
    <s v="AQUAFLASK"/>
    <s v="GENERIC"/>
    <s v="50% DOWNPAYMENT, 50% W/IN 30 DAYS"/>
    <s v="2025-08-04"/>
    <s v="APC UPS"/>
    <n v="1"/>
    <n v="2200"/>
    <n v="3000"/>
    <n v="3000"/>
    <s v="MARITESS"/>
  </r>
  <r>
    <x v="239"/>
    <s v="INSPIRA PRIME INTERNATIONAL CORPORATION - SO-052"/>
    <s v="SO-052"/>
    <s v="INSPIRA PRIME INTERNATIONAL CORPORATION"/>
    <s v="AQUAFLASK"/>
    <s v="GENERIC"/>
    <s v="50% DOWNPAYMENT, 50% W/IN 30 DAYS"/>
    <s v="2025-08-04"/>
    <s v="BIRCH BARCODE SCANNER"/>
    <n v="1"/>
    <n v="3000"/>
    <n v="4000"/>
    <n v="4000"/>
    <s v="MARITESS"/>
  </r>
  <r>
    <x v="240"/>
    <s v="HAPPY CREATIVE VENTURES INC - SO-053"/>
    <s v="SO-053"/>
    <s v="HAPPY CREATIVE VENTURES INC"/>
    <s v="THE HAPPY STATION"/>
    <s v="GENERIC"/>
    <s v="COD"/>
    <s v="2025-08-04"/>
    <s v="PREVENTIVE MAINTENANCE"/>
    <n v="1"/>
    <n v="16000"/>
    <n v="16000"/>
    <n v="16000"/>
    <s v="MARITESS"/>
  </r>
  <r>
    <x v="241"/>
    <s v="ALLURE EMPIRE CORPORATION - SO-054"/>
    <s v="SO-054"/>
    <s v="ALLURE EMPIRE CORPORATION"/>
    <s v="CHU CHU BEAUTY (HOS)"/>
    <s v="TONDO MANILA"/>
    <s v="50% DP, 50% - 30 DAYS"/>
    <s v="2025-08-06"/>
    <s v="RDMS V3 (HEAD OFFICE SERVER)"/>
    <n v="1"/>
    <n v="3675"/>
    <n v="10500"/>
    <n v="10500"/>
    <s v="JOANNE"/>
  </r>
  <r>
    <x v="241"/>
    <s v="ALLURE EMPIRE CORPORATION - SO-054"/>
    <s v="SO-054"/>
    <s v="ALLURE EMPIRE CORPORATION"/>
    <s v="CHU CHU BEAUTY (HOS)"/>
    <s v="TONDO MANILA"/>
    <s v="50% DP, 50% - 30 DAYS"/>
    <s v="2025-08-06"/>
    <s v="BIR REGISTRATION"/>
    <n v="1"/>
    <n v="500"/>
    <n v="500"/>
    <n v="500"/>
    <s v="JOANNE"/>
  </r>
  <r>
    <x v="241"/>
    <s v="ALLURE EMPIRE CORPORATION - SO-054"/>
    <s v="SO-054"/>
    <s v="ALLURE EMPIRE CORPORATION"/>
    <s v="CHU CHU BEAUTY (HOS)"/>
    <s v="TONDO MANILA"/>
    <s v="50% DP, 50% - 30 DAYS"/>
    <s v="2025-08-06"/>
    <s v="ROLL OUT/IMPLEMENTATION"/>
    <n v="1"/>
    <n v="16000"/>
    <n v="16000"/>
    <n v="16000"/>
    <s v="JOANNE"/>
  </r>
  <r>
    <x v="241"/>
    <s v="ALLURE EMPIRE CORPORATION - SO-054"/>
    <s v="SO-054"/>
    <s v="ALLURE EMPIRE CORPORATION"/>
    <s v="CHU CHU BEAUTY (HOS)"/>
    <s v="TONDO MANILA"/>
    <s v="50% DP, 50% - 30 DAYS"/>
    <s v="2025-08-06"/>
    <s v="ONE YEAR WARRANTY"/>
    <n v="1"/>
    <n v="16000"/>
    <n v="16000"/>
    <n v="16000"/>
    <s v="JOANNE"/>
  </r>
  <r>
    <x v="242"/>
    <s v="ALLURE EMPIRE CORPORATION - SO-055"/>
    <s v="SO-055"/>
    <s v="ALLURE EMPIRE CORPORATION"/>
    <s v="CHU CHU BEAUTY"/>
    <s v="GREENHILLS"/>
    <s v="50% DP, 50% - 30 DAYS"/>
    <s v="2025-08-06"/>
    <s v="RDMS V3"/>
    <n v="1"/>
    <n v="3675"/>
    <n v="10500"/>
    <n v="10500"/>
    <s v="JOANNE"/>
  </r>
  <r>
    <x v="242"/>
    <s v="ALLURE EMPIRE CORPORATION - SO-055"/>
    <s v="SO-055"/>
    <s v="ALLURE EMPIRE CORPORATION"/>
    <s v="CHU CHU BEAUTY"/>
    <s v="GREENHILLS"/>
    <s v="50% DP, 50% - 30 DAYS"/>
    <s v="2025-08-06"/>
    <s v="BIR REGISTRATION"/>
    <n v="1"/>
    <n v="500"/>
    <n v="500"/>
    <n v="500"/>
    <s v="JOANNE"/>
  </r>
  <r>
    <x v="242"/>
    <s v="ALLURE EMPIRE CORPORATION - SO-055"/>
    <s v="SO-055"/>
    <s v="ALLURE EMPIRE CORPORATION"/>
    <s v="CHU CHU BEAUTY"/>
    <s v="GREENHILLS"/>
    <s v="50% DP, 50% - 30 DAYS"/>
    <s v="2025-08-06"/>
    <s v="ROLL OUT/IMPLEMENTATION"/>
    <n v="1"/>
    <n v="8000"/>
    <n v="8000"/>
    <n v="8000"/>
    <s v="JOANNE"/>
  </r>
  <r>
    <x v="242"/>
    <s v="ALLURE EMPIRE CORPORATION - SO-055"/>
    <s v="SO-055"/>
    <s v="ALLURE EMPIRE CORPORATION"/>
    <s v="CHU CHU BEAUTY"/>
    <s v="GREENHILLS"/>
    <s v="50% DP, 50% - 30 DAYS"/>
    <s v="2025-08-06"/>
    <s v="ONE YEAR WARRANTY"/>
    <n v="1"/>
    <n v="9500"/>
    <n v="9500"/>
    <n v="9500"/>
    <s v="JOANNE"/>
  </r>
  <r>
    <x v="243"/>
    <s v="ALLURE EMPIRE CORPORATION - SO-056"/>
    <s v="SO-056"/>
    <s v="ALLURE EMPIRE CORPORATION"/>
    <s v="CHU CHU BEAUTY"/>
    <s v="FESTIVAL MALL"/>
    <s v="50% DP, 50% - 30 DAYS"/>
    <s v="2025-08-06"/>
    <s v="RDMS V3"/>
    <n v="1"/>
    <n v="3675"/>
    <n v="10500"/>
    <n v="10500"/>
    <s v="JOANNE"/>
  </r>
  <r>
    <x v="243"/>
    <s v="ALLURE EMPIRE CORPORATION - SO-056"/>
    <s v="SO-056"/>
    <s v="ALLURE EMPIRE CORPORATION"/>
    <s v="CHU CHU BEAUTY"/>
    <s v="FESTIVAL MALL"/>
    <s v="50% DP, 50% - 30 DAYS"/>
    <s v="2025-08-06"/>
    <s v="BIR REGISTRATION"/>
    <n v="1"/>
    <n v="500"/>
    <n v="500"/>
    <n v="500"/>
    <s v="JOANNE"/>
  </r>
  <r>
    <x v="243"/>
    <s v="ALLURE EMPIRE CORPORATION - SO-056"/>
    <s v="SO-056"/>
    <s v="ALLURE EMPIRE CORPORATION"/>
    <s v="CHU CHU BEAUTY"/>
    <s v="FESTIVAL MALL"/>
    <s v="50% DP, 50% - 30 DAYS"/>
    <s v="2025-08-06"/>
    <s v="ROLL OUT/IMPLEMENTATION"/>
    <n v="1"/>
    <n v="8000"/>
    <n v="8000"/>
    <n v="8000"/>
    <s v="JOANNE"/>
  </r>
  <r>
    <x v="243"/>
    <s v="ALLURE EMPIRE CORPORATION - SO-056"/>
    <s v="SO-056"/>
    <s v="ALLURE EMPIRE CORPORATION"/>
    <s v="CHU CHU BEAUTY"/>
    <s v="FESTIVAL MALL"/>
    <s v="50% DP, 50% - 30 DAYS"/>
    <s v="2025-08-06"/>
    <s v="ONE YEAR WARRANTY"/>
    <n v="1"/>
    <n v="9500"/>
    <n v="9500"/>
    <n v="9500"/>
    <s v="JOANNE"/>
  </r>
  <r>
    <x v="244"/>
    <s v="ALLURE EMPIRE CORPORATION - SO-057"/>
    <s v="SO-057"/>
    <s v="ALLURE EMPIRE CORPORATION"/>
    <s v="CHU CHU BEAUTY"/>
    <s v="GLORIETTA"/>
    <s v="50% DP, 50% - 30 DAYS"/>
    <s v="2025-08-06"/>
    <s v="RDMS V3"/>
    <n v="1"/>
    <n v="3675"/>
    <n v="10500"/>
    <n v="10500"/>
    <s v="JOANNE"/>
  </r>
  <r>
    <x v="244"/>
    <s v="ALLURE EMPIRE CORPORATION - SO-057"/>
    <s v="SO-057"/>
    <s v="ALLURE EMPIRE CORPORATION"/>
    <s v="CHU CHU BEAUTY"/>
    <s v="GLORIETTA"/>
    <s v="50% DP, 50% - 30 DAYS"/>
    <s v="2025-08-06"/>
    <s v="BIR REGISTRATION"/>
    <n v="1"/>
    <n v="500"/>
    <n v="500"/>
    <n v="500"/>
    <s v="JOANNE"/>
  </r>
  <r>
    <x v="244"/>
    <s v="ALLURE EMPIRE CORPORATION - SO-057"/>
    <s v="SO-057"/>
    <s v="ALLURE EMPIRE CORPORATION"/>
    <s v="CHU CHU BEAUTY"/>
    <s v="GLORIETTA"/>
    <s v="50% DP, 50% - 30 DAYS"/>
    <s v="2025-08-06"/>
    <s v="ROLL OUT/IMPLEMENTATION"/>
    <n v="1"/>
    <n v="9500"/>
    <n v="9500"/>
    <n v="9500"/>
    <s v="JOANNE"/>
  </r>
  <r>
    <x v="244"/>
    <s v="ALLURE EMPIRE CORPORATION - SO-057"/>
    <s v="SO-057"/>
    <s v="ALLURE EMPIRE CORPORATION"/>
    <s v="CHU CHU BEAUTY"/>
    <s v="GLORIETTA"/>
    <s v="50% DP, 50% - 30 DAYS"/>
    <s v="2025-08-06"/>
    <s v="ONE YEAR WARRANTY"/>
    <n v="1"/>
    <n v="9500"/>
    <n v="9500"/>
    <n v="9500"/>
    <s v="JOANNE"/>
  </r>
  <r>
    <x v="245"/>
    <s v="W R I WELLNESS RETAIL INNOVATIONS INC - SO-058"/>
    <s v="SO-058"/>
    <s v="W R I WELLNESS RETAIL INNOVATIONS INC"/>
    <s v="DR. KONG"/>
    <s v="HEAD OFFICE"/>
    <s v="COD"/>
    <s v="2025-08-12"/>
    <s v="EPSON TMU220D USB PRINTER"/>
    <n v="1"/>
    <n v="8500"/>
    <n v="12500"/>
    <n v="12500"/>
    <s v="JOANNE"/>
  </r>
  <r>
    <x v="245"/>
    <s v="W R I WELLNESS RETAIL INNOVATIONS INC - SO-058"/>
    <s v="SO-058"/>
    <s v="W R I WELLNESS RETAIL INNOVATIONS INC"/>
    <s v="DR. KONG"/>
    <s v="HEAD OFFICE"/>
    <s v="COD"/>
    <s v="2025-08-12"/>
    <s v="UPS APC"/>
    <n v="7"/>
    <n v="2200"/>
    <n v="3500"/>
    <n v="24500"/>
    <s v="JOANNE"/>
  </r>
  <r>
    <x v="245"/>
    <s v="W R I WELLNESS RETAIL INNOVATIONS INC - SO-058"/>
    <s v="SO-058"/>
    <s v="W R I WELLNESS RETAIL INNOVATIONS INC"/>
    <s v="DR. KONG"/>
    <s v="HEAD OFFICE"/>
    <s v="COD"/>
    <s v="2025-08-12"/>
    <s v="ZEBRA 2D SCANNER"/>
    <n v="1"/>
    <n v="5400"/>
    <n v="7000"/>
    <n v="7000"/>
    <s v="JOANNE"/>
  </r>
  <r>
    <x v="245"/>
    <s v="W R I WELLNESS RETAIL INNOVATIONS INC - SO-058"/>
    <s v="SO-058"/>
    <s v="W R I WELLNESS RETAIL INNOVATIONS INC"/>
    <s v="DR. KONG"/>
    <s v="HEAD OFFICE"/>
    <s v="COD"/>
    <s v="2025-08-12"/>
    <s v="GENERIC CASH DRAWER"/>
    <n v="1"/>
    <n v="2185"/>
    <n v="3000"/>
    <n v="3000"/>
    <s v="JOANNE"/>
  </r>
  <r>
    <x v="245"/>
    <s v="W R I WELLNESS RETAIL INNOVATIONS INC - SO-058"/>
    <s v="SO-058"/>
    <s v="W R I WELLNESS RETAIL INNOVATIONS INC"/>
    <s v="DR. KONG"/>
    <s v="HEAD OFFICE"/>
    <s v="COD"/>
    <s v="2025-08-12"/>
    <s v="DELIVERY FEE"/>
    <n v="1"/>
    <n v="500"/>
    <n v="500"/>
    <n v="500"/>
    <s v="JOANNE"/>
  </r>
  <r>
    <x v="246"/>
    <s v="CCGC TRADING CORPORATION - SO-059"/>
    <s v="SO-059"/>
    <s v="CCGC TRADING CORPORATION"/>
    <s v="LIGHTERS GALORE"/>
    <s v="GATEWAY"/>
    <s v="COD"/>
    <s v="2025-08-12"/>
    <s v="ERC RIBBON"/>
    <n v="2"/>
    <n v="70"/>
    <n v="250"/>
    <n v="500"/>
    <s v="JOANNE"/>
  </r>
  <r>
    <x v="203"/>
    <s v="TIONG BAHRU PHILIPPINES INC - SO-060"/>
    <s v="SO-060"/>
    <s v="TIONG BAHRU PHILIPPINES INC"/>
    <s v="TIONG BAHRU"/>
    <s v="GENERIC"/>
    <s v="PAID"/>
    <s v="2025-08-12"/>
    <s v="BACCHUS SQL VER 7"/>
    <n v="1"/>
    <n v="3675"/>
    <n v="10500"/>
    <n v="10500"/>
    <s v="MARITESS"/>
  </r>
  <r>
    <x v="203"/>
    <s v="TIONG BAHRU PHILIPPINES INC - SO-060"/>
    <s v="SO-060"/>
    <s v="TIONG BAHRU PHILIPPINES INC"/>
    <s v="TIONG BAHRU"/>
    <s v="GENERIC"/>
    <s v="PAID"/>
    <s v="2025-08-12"/>
    <s v="IMPLEMENTATION"/>
    <n v="1"/>
    <n v="3237.5"/>
    <n v="9250"/>
    <n v="9250"/>
    <s v="MARITESS"/>
  </r>
  <r>
    <x v="203"/>
    <s v="TIONG BAHRU PHILIPPINES INC - SO-060"/>
    <s v="SO-060"/>
    <s v="TIONG BAHRU PHILIPPINES INC"/>
    <s v="TIONG BAHRU"/>
    <s v="GENERIC"/>
    <s v="PAID"/>
    <s v="2025-08-12"/>
    <s v="ONE YEAR WARRANTY"/>
    <n v="1"/>
    <n v="3237.5"/>
    <n v="9250"/>
    <n v="9250"/>
    <s v="MARITESS"/>
  </r>
  <r>
    <x v="203"/>
    <s v="TIONG BAHRU PHILIPPINES INC - SO-060"/>
    <s v="SO-060"/>
    <s v="TIONG BAHRU PHILIPPINES INC"/>
    <s v="TIONG BAHRU"/>
    <s v="GENERIC"/>
    <s v="PAID"/>
    <s v="2025-08-12"/>
    <s v="BIR REGISTRATION"/>
    <n v="1"/>
    <n v="500"/>
    <n v="500"/>
    <n v="500"/>
    <s v="MARITESS"/>
  </r>
  <r>
    <x v="203"/>
    <s v="TIONG BAHRU PHILIPPINES INC - SO-060"/>
    <s v="SO-060"/>
    <s v="TIONG BAHRU PHILIPPINES INC"/>
    <s v="TIONG BAHRU"/>
    <s v="GENERIC"/>
    <s v="PAID"/>
    <s v="2025-08-12"/>
    <s v="EPSON TM – U220D DOT MATRIX (USB)"/>
    <n v="1"/>
    <n v="8500"/>
    <n v="12500"/>
    <n v="12500"/>
    <s v="MARITESS"/>
  </r>
  <r>
    <x v="203"/>
    <s v="TIONG BAHRU PHILIPPINES INC - SO-060"/>
    <s v="SO-060"/>
    <s v="TIONG BAHRU PHILIPPINES INC"/>
    <s v="TIONG BAHRU"/>
    <s v="GENERIC"/>
    <s v="PAID"/>
    <s v="2025-08-12"/>
    <s v="EPSON TM – U220B DOT MATRIX (LAN)"/>
    <n v="1"/>
    <n v="9500"/>
    <n v="13500"/>
    <n v="13500"/>
    <s v="MARITESS"/>
  </r>
  <r>
    <x v="203"/>
    <s v="TIONG BAHRU PHILIPPINES INC - SO-060"/>
    <s v="SO-060"/>
    <s v="TIONG BAHRU PHILIPPINES INC"/>
    <s v="TIONG BAHRU"/>
    <s v="GENERIC"/>
    <s v="PAID"/>
    <s v="2025-08-12"/>
    <s v="DELIVERY FEE"/>
    <n v="1"/>
    <n v="500"/>
    <n v="500"/>
    <n v="500"/>
    <s v="MARITESS"/>
  </r>
  <r>
    <x v="247"/>
    <s v="OLAES CHRISTIAN GERALD TORRES - SO-061"/>
    <s v="SO-061"/>
    <s v="OLAES CHRISTIAN GERALD TORRES"/>
    <s v="THE CRUNCH"/>
    <s v="GENERIC"/>
    <s v="50% DOWNPAYMENT, 50% W/IN 30 DAYS"/>
    <s v="2025-08-27"/>
    <s v="BACCHUS SQL+ VER 2 (LITE)"/>
    <n v="1"/>
    <n v="2975"/>
    <n v="8500"/>
    <n v="8500"/>
    <s v="MARITESS"/>
  </r>
  <r>
    <x v="247"/>
    <s v="OLAES CHRISTIAN GERALD TORRES - SO-061"/>
    <s v="SO-061"/>
    <s v="OLAES CHRISTIAN GERALD TORRES"/>
    <s v="THE CRUNCH"/>
    <s v="GENERIC"/>
    <s v="50% DOWNPAYMENT, 50% W/IN 30 DAYS"/>
    <s v="2025-08-27"/>
    <s v="IMPLEMENTATION"/>
    <n v="1"/>
    <n v="8000"/>
    <n v="8000"/>
    <n v="8000"/>
    <s v="MARITESS"/>
  </r>
  <r>
    <x v="247"/>
    <s v="OLAES CHRISTIAN GERALD TORRES - SO-061"/>
    <s v="SO-061"/>
    <s v="OLAES CHRISTIAN GERALD TORRES"/>
    <s v="THE CRUNCH"/>
    <s v="GENERIC"/>
    <s v="50% DOWNPAYMENT, 50% W/IN 30 DAYS"/>
    <s v="2025-08-27"/>
    <s v="ONE YEAR WARRANTY"/>
    <n v="1"/>
    <n v="8000"/>
    <n v="8000"/>
    <n v="8000"/>
    <s v="MARITESS"/>
  </r>
  <r>
    <x v="247"/>
    <s v="OLAES CHRISTIAN GERALD TORRES - SO-061"/>
    <s v="SO-061"/>
    <s v="OLAES CHRISTIAN GERALD TORRES"/>
    <s v="THE CRUNCH"/>
    <s v="GENERIC"/>
    <s v="50% DOWNPAYMENT, 50% W/IN 30 DAYS"/>
    <s v="2025-08-27"/>
    <s v="BIR REGISTRATION"/>
    <n v="1"/>
    <n v="500"/>
    <n v="500"/>
    <n v="500"/>
    <s v="MARITESS"/>
  </r>
  <r>
    <x v="247"/>
    <s v="OLAES CHRISTIAN GERALD TORRES - SO-061"/>
    <s v="SO-061"/>
    <s v="OLAES CHRISTIAN GERALD TORRES"/>
    <s v="THE CRUNCH"/>
    <s v="GENERIC"/>
    <s v="50% DOWNPAYMENT, 50% W/IN 30 DAYS"/>
    <s v="2025-08-27"/>
    <s v="POSTECH TOUCH SCREEN MONITOR"/>
    <n v="1"/>
    <n v="11000"/>
    <n v="16000"/>
    <n v="16000"/>
    <s v="MARITESS"/>
  </r>
  <r>
    <x v="248"/>
    <s v="MMG TRUE ENTERPRISE INCORPORATED - SO-062"/>
    <s v="SO-062"/>
    <s v="MMG TRUE ENTERPRISE INCORPORATED"/>
    <s v="TRUE VISION"/>
    <s v="GENERIC"/>
    <s v="COD"/>
    <s v="2025-08-28"/>
    <s v="PREVENTIVE MAINTENANCE"/>
    <n v="1"/>
    <n v="18000"/>
    <n v="18000"/>
    <n v="18000"/>
    <s v="MARITESS"/>
  </r>
  <r>
    <x v="249"/>
    <s v="INSPIRA PRIME INTERNATIONAL CORPORATION - SO-063"/>
    <s v="SO-063"/>
    <s v="INSPIRA PRIME INTERNATIONAL CORPORATION"/>
    <s v="MOTO"/>
    <s v="GENERIC"/>
    <s v="50% DOWNPAYMENT, 50% W/IN 30 DAYS"/>
    <s v="2025-09-05"/>
    <s v="RDMS SQL+ VERSION 4.3.0"/>
    <n v="1"/>
    <n v="3675"/>
    <n v="10500"/>
    <n v="10500"/>
    <s v="MARITESS"/>
  </r>
  <r>
    <x v="249"/>
    <s v="INSPIRA PRIME INTERNATIONAL CORPORATION - SO-063"/>
    <s v="SO-063"/>
    <s v="INSPIRA PRIME INTERNATIONAL CORPORATION"/>
    <s v="MOTO"/>
    <s v="GENERIC"/>
    <s v="50% DOWNPAYMENT, 50% W/IN 30 DAYS"/>
    <s v="2025-09-05"/>
    <s v="ROLL OUT IMPLEMENTATION"/>
    <n v="1"/>
    <n v="2450"/>
    <n v="7000"/>
    <n v="7000"/>
    <s v="MARITESS"/>
  </r>
  <r>
    <x v="249"/>
    <s v="INSPIRA PRIME INTERNATIONAL CORPORATION - SO-063"/>
    <s v="SO-063"/>
    <s v="INSPIRA PRIME INTERNATIONAL CORPORATION"/>
    <s v="MOTO"/>
    <s v="GENERIC"/>
    <s v="50% DOWNPAYMENT, 50% W/IN 30 DAYS"/>
    <s v="2025-09-05"/>
    <s v="ONE YEAR WARRANTY"/>
    <n v="1"/>
    <n v="2450"/>
    <n v="7000"/>
    <n v="7000"/>
    <s v="MARITESS"/>
  </r>
  <r>
    <x v="249"/>
    <s v="INSPIRA PRIME INTERNATIONAL CORPORATION - SO-063"/>
    <s v="SO-063"/>
    <s v="INSPIRA PRIME INTERNATIONAL CORPORATION"/>
    <s v="MOTO"/>
    <s v="GENERIC"/>
    <s v="50% DOWNPAYMENT, 50% W/IN 30 DAYS"/>
    <s v="2025-09-05"/>
    <s v="BIR REGISTRATION"/>
    <n v="1"/>
    <n v="500"/>
    <n v="500"/>
    <n v="500"/>
    <s v="MARITESS"/>
  </r>
  <r>
    <x v="249"/>
    <s v="INSPIRA PRIME INTERNATIONAL CORPORATION - SO-063"/>
    <s v="SO-063"/>
    <s v="INSPIRA PRIME INTERNATIONAL CORPORATION"/>
    <s v="MOTO"/>
    <s v="GENERIC"/>
    <s v="50% DOWNPAYMENT, 50% W/IN 30 DAYS"/>
    <s v="2025-09-05"/>
    <s v="EOS MINI PC I5, 8GB"/>
    <n v="1"/>
    <n v="20800"/>
    <n v="23000"/>
    <n v="23000"/>
    <s v="MARITESS"/>
  </r>
  <r>
    <x v="249"/>
    <s v="INSPIRA PRIME INTERNATIONAL CORPORATION - SO-063"/>
    <s v="SO-063"/>
    <s v="INSPIRA PRIME INTERNATIONAL CORPORATION"/>
    <s v="MOTO"/>
    <s v="GENERIC"/>
    <s v="50% DOWNPAYMENT, 50% W/IN 30 DAYS"/>
    <s v="2025-09-05"/>
    <s v="NVME M.2 500GB SSD"/>
    <n v="1"/>
    <n v="2334"/>
    <n v="3200"/>
    <n v="3200"/>
    <s v="MARITESS"/>
  </r>
  <r>
    <x v="249"/>
    <s v="INSPIRA PRIME INTERNATIONAL CORPORATION - SO-063"/>
    <s v="SO-063"/>
    <s v="INSPIRA PRIME INTERNATIONAL CORPORATION"/>
    <s v="MOTO"/>
    <s v="GENERIC"/>
    <s v="50% DOWNPAYMENT, 50% W/IN 30 DAYS"/>
    <s v="2025-09-05"/>
    <s v="WINDOWS 11 PRO"/>
    <n v="1"/>
    <n v="2000"/>
    <n v="3200"/>
    <n v="3200"/>
    <s v="MARITESS"/>
  </r>
  <r>
    <x v="249"/>
    <s v="INSPIRA PRIME INTERNATIONAL CORPORATION - SO-063"/>
    <s v="SO-063"/>
    <s v="INSPIRA PRIME INTERNATIONAL CORPORATION"/>
    <s v="MOTO"/>
    <s v="GENERIC"/>
    <s v="50% DOWNPAYMENT, 50% W/IN 30 DAYS"/>
    <s v="2025-09-05"/>
    <s v="KEYBOARD AND MOUSE"/>
    <n v="1"/>
    <n v="500"/>
    <n v="600"/>
    <n v="600"/>
    <s v="MARITESS"/>
  </r>
  <r>
    <x v="249"/>
    <s v="INSPIRA PRIME INTERNATIONAL CORPORATION - SO-063"/>
    <s v="SO-063"/>
    <s v="INSPIRA PRIME INTERNATIONAL CORPORATION"/>
    <s v="MOTO"/>
    <s v="GENERIC"/>
    <s v="50% DOWNPAYMENT, 50% W/IN 30 DAYS"/>
    <s v="2025-09-05"/>
    <s v="EOS FAN WITH COVER"/>
    <n v="1"/>
    <n v="350"/>
    <n v="400"/>
    <n v="400"/>
    <s v="MARITESS"/>
  </r>
  <r>
    <x v="249"/>
    <s v="INSPIRA PRIME INTERNATIONAL CORPORATION - SO-063"/>
    <s v="SO-063"/>
    <s v="INSPIRA PRIME INTERNATIONAL CORPORATION"/>
    <s v="MOTO"/>
    <s v="GENERIC"/>
    <s v="50% DOWNPAYMENT, 50% W/IN 30 DAYS"/>
    <s v="2025-09-05"/>
    <s v="KASPERKY ANTI VIRUS"/>
    <n v="1"/>
    <n v="970"/>
    <n v="1200"/>
    <n v="1200"/>
    <s v="MARITESS"/>
  </r>
  <r>
    <x v="249"/>
    <s v="INSPIRA PRIME INTERNATIONAL CORPORATION - SO-063"/>
    <s v="SO-063"/>
    <s v="INSPIRA PRIME INTERNATIONAL CORPORATION"/>
    <s v="MOTO"/>
    <s v="GENERIC"/>
    <s v="50% DOWNPAYMENT, 50% W/IN 30 DAYS"/>
    <s v="2025-09-05"/>
    <s v="LED MONITOR"/>
    <n v="1"/>
    <n v="4250"/>
    <n v="4700"/>
    <n v="4700"/>
    <s v="MARITESS"/>
  </r>
  <r>
    <x v="249"/>
    <s v="INSPIRA PRIME INTERNATIONAL CORPORATION - SO-063"/>
    <s v="SO-063"/>
    <s v="INSPIRA PRIME INTERNATIONAL CORPORATION"/>
    <s v="MOTO"/>
    <s v="GENERIC"/>
    <s v="50% DOWNPAYMENT, 50% W/IN 30 DAYS"/>
    <s v="2025-09-05"/>
    <s v="MINI CASH DRAWER"/>
    <n v="1"/>
    <n v="1350"/>
    <n v="1700"/>
    <n v="1700"/>
    <s v="MARITESS"/>
  </r>
  <r>
    <x v="249"/>
    <s v="INSPIRA PRIME INTERNATIONAL CORPORATION - SO-063"/>
    <s v="SO-063"/>
    <s v="INSPIRA PRIME INTERNATIONAL CORPORATION"/>
    <s v="MOTO"/>
    <s v="GENERIC"/>
    <s v="50% DOWNPAYMENT, 50% W/IN 30 DAYS"/>
    <s v="2025-09-05"/>
    <s v="EPSON TM U220D USB PRINTER"/>
    <n v="1"/>
    <n v="8500"/>
    <n v="10000"/>
    <n v="10000"/>
    <s v="MARITESS"/>
  </r>
  <r>
    <x v="249"/>
    <s v="INSPIRA PRIME INTERNATIONAL CORPORATION - SO-063"/>
    <s v="SO-063"/>
    <s v="INSPIRA PRIME INTERNATIONAL CORPORATION"/>
    <s v="MOTO"/>
    <s v="GENERIC"/>
    <s v="50% DOWNPAYMENT, 50% W/IN 30 DAYS"/>
    <s v="2025-09-05"/>
    <s v="APC UPS"/>
    <n v="1"/>
    <n v="2200"/>
    <n v="3000"/>
    <n v="3000"/>
    <s v="MARITESS"/>
  </r>
  <r>
    <x v="249"/>
    <s v="INSPIRA PRIME INTERNATIONAL CORPORATION - SO-063"/>
    <s v="SO-063"/>
    <s v="INSPIRA PRIME INTERNATIONAL CORPORATION"/>
    <s v="MOTO"/>
    <s v="GENERIC"/>
    <s v="50% DOWNPAYMENT, 50% W/IN 30 DAYS"/>
    <s v="2025-09-05"/>
    <s v="BIRCH BARCODE SCANNER"/>
    <n v="1"/>
    <n v="3000"/>
    <n v="3500"/>
    <n v="3500"/>
    <s v="MARITESS"/>
  </r>
  <r>
    <x v="249"/>
    <s v="INSPIRA PRIME INTERNATIONAL CORPORATION - SO-063"/>
    <s v="SO-063"/>
    <s v="INSPIRA PRIME INTERNATIONAL CORPORATION"/>
    <s v="MOTO"/>
    <s v="GENERIC"/>
    <s v="50% DOWNPAYMENT, 50% W/IN 30 DAYS"/>
    <s v="2025-09-05"/>
    <s v="DELIVERY FEE"/>
    <n v="1"/>
    <n v="500"/>
    <n v="500"/>
    <n v="500"/>
    <s v="MARITESS"/>
  </r>
  <r>
    <x v="249"/>
    <s v="INSPIRA PRIME INTERNATIONAL CORPORATION - SO-064"/>
    <s v="SO-064"/>
    <s v="INSPIRA PRIME INTERNATIONAL CORPORATION"/>
    <s v="MOTO"/>
    <s v="GENERIC"/>
    <s v="50% DOWNPAYMENT, 50% W/IN 30 DAYS"/>
    <s v="2025-09-05"/>
    <s v="RDMS SQL+ VERSION 4.3.0"/>
    <n v="1"/>
    <n v="3675"/>
    <n v="10500"/>
    <n v="10500"/>
    <s v="MARITESS"/>
  </r>
  <r>
    <x v="249"/>
    <s v="INSPIRA PRIME INTERNATIONAL CORPORATION - SO-064"/>
    <s v="SO-064"/>
    <s v="INSPIRA PRIME INTERNATIONAL CORPORATION"/>
    <s v="MOTO"/>
    <s v="GENERIC"/>
    <s v="50% DOWNPAYMENT, 50% W/IN 30 DAYS"/>
    <s v="2025-09-05"/>
    <s v="ROLL OUT IMPLEMENTATION"/>
    <n v="1"/>
    <n v="2450"/>
    <n v="7000"/>
    <n v="7000"/>
    <s v="MARITESS"/>
  </r>
  <r>
    <x v="249"/>
    <s v="INSPIRA PRIME INTERNATIONAL CORPORATION - SO-064"/>
    <s v="SO-064"/>
    <s v="INSPIRA PRIME INTERNATIONAL CORPORATION"/>
    <s v="MOTO"/>
    <s v="GENERIC"/>
    <s v="50% DOWNPAYMENT, 50% W/IN 30 DAYS"/>
    <s v="2025-09-05"/>
    <s v="ONE YEAR WARRANTY"/>
    <n v="1"/>
    <n v="2450"/>
    <n v="7000"/>
    <n v="7000"/>
    <s v="MARITESS"/>
  </r>
  <r>
    <x v="249"/>
    <s v="INSPIRA PRIME INTERNATIONAL CORPORATION - SO-064"/>
    <s v="SO-064"/>
    <s v="INSPIRA PRIME INTERNATIONAL CORPORATION"/>
    <s v="MOTO"/>
    <s v="GENERIC"/>
    <s v="50% DOWNPAYMENT, 50% W/IN 30 DAYS"/>
    <s v="2025-09-05"/>
    <s v="BIR REGISTRATION"/>
    <n v="1"/>
    <n v="500"/>
    <n v="500"/>
    <n v="500"/>
    <s v="MARITESS"/>
  </r>
  <r>
    <x v="249"/>
    <s v="INSPIRA PRIME INTERNATIONAL CORPORATION - SO-064"/>
    <s v="SO-064"/>
    <s v="INSPIRA PRIME INTERNATIONAL CORPORATION"/>
    <s v="MOTO"/>
    <s v="GENERIC"/>
    <s v="50% DOWNPAYMENT, 50% W/IN 30 DAYS"/>
    <s v="2025-09-05"/>
    <s v="EOS MINI PC I5, 8GB"/>
    <n v="1"/>
    <n v="20800"/>
    <n v="23000"/>
    <n v="23000"/>
    <s v="MARITESS"/>
  </r>
  <r>
    <x v="249"/>
    <s v="INSPIRA PRIME INTERNATIONAL CORPORATION - SO-064"/>
    <s v="SO-064"/>
    <s v="INSPIRA PRIME INTERNATIONAL CORPORATION"/>
    <s v="MOTO"/>
    <s v="GENERIC"/>
    <s v="50% DOWNPAYMENT, 50% W/IN 30 DAYS"/>
    <s v="2025-09-05"/>
    <s v="NVME M.2 500GB SSD"/>
    <n v="1"/>
    <n v="2334"/>
    <n v="3200"/>
    <n v="3200"/>
    <s v="MARITESS"/>
  </r>
  <r>
    <x v="249"/>
    <s v="INSPIRA PRIME INTERNATIONAL CORPORATION - SO-064"/>
    <s v="SO-064"/>
    <s v="INSPIRA PRIME INTERNATIONAL CORPORATION"/>
    <s v="MOTO"/>
    <s v="GENERIC"/>
    <s v="50% DOWNPAYMENT, 50% W/IN 30 DAYS"/>
    <s v="2025-09-05"/>
    <s v="WINDOWS 11 PRO"/>
    <n v="1"/>
    <n v="2000"/>
    <n v="3200"/>
    <n v="3200"/>
    <s v="MARITESS"/>
  </r>
  <r>
    <x v="249"/>
    <s v="INSPIRA PRIME INTERNATIONAL CORPORATION - SO-064"/>
    <s v="SO-064"/>
    <s v="INSPIRA PRIME INTERNATIONAL CORPORATION"/>
    <s v="MOTO"/>
    <s v="GENERIC"/>
    <s v="50% DOWNPAYMENT, 50% W/IN 30 DAYS"/>
    <s v="2025-09-05"/>
    <s v="KEYBOARD AND MOUSE"/>
    <n v="1"/>
    <n v="500"/>
    <n v="600"/>
    <n v="600"/>
    <s v="MARITESS"/>
  </r>
  <r>
    <x v="249"/>
    <s v="INSPIRA PRIME INTERNATIONAL CORPORATION - SO-064"/>
    <s v="SO-064"/>
    <s v="INSPIRA PRIME INTERNATIONAL CORPORATION"/>
    <s v="MOTO"/>
    <s v="GENERIC"/>
    <s v="50% DOWNPAYMENT, 50% W/IN 30 DAYS"/>
    <s v="2025-09-05"/>
    <s v="EOS FAN WITH COVER"/>
    <n v="1"/>
    <n v="350"/>
    <n v="400"/>
    <n v="400"/>
    <s v="MARITESS"/>
  </r>
  <r>
    <x v="249"/>
    <s v="INSPIRA PRIME INTERNATIONAL CORPORATION - SO-064"/>
    <s v="SO-064"/>
    <s v="INSPIRA PRIME INTERNATIONAL CORPORATION"/>
    <s v="MOTO"/>
    <s v="GENERIC"/>
    <s v="50% DOWNPAYMENT, 50% W/IN 30 DAYS"/>
    <s v="2025-09-05"/>
    <s v="KASPERKY ANTI VIRUS"/>
    <n v="1"/>
    <n v="970"/>
    <n v="1200"/>
    <n v="1200"/>
    <s v="MARITESS"/>
  </r>
  <r>
    <x v="249"/>
    <s v="INSPIRA PRIME INTERNATIONAL CORPORATION - SO-064"/>
    <s v="SO-064"/>
    <s v="INSPIRA PRIME INTERNATIONAL CORPORATION"/>
    <s v="MOTO"/>
    <s v="GENERIC"/>
    <s v="50% DOWNPAYMENT, 50% W/IN 30 DAYS"/>
    <s v="2025-09-05"/>
    <s v="LED MONITOR"/>
    <n v="1"/>
    <n v="4250"/>
    <n v="4700"/>
    <n v="4700"/>
    <s v="MARITESS"/>
  </r>
  <r>
    <x v="249"/>
    <s v="INSPIRA PRIME INTERNATIONAL CORPORATION - SO-064"/>
    <s v="SO-064"/>
    <s v="INSPIRA PRIME INTERNATIONAL CORPORATION"/>
    <s v="MOTO"/>
    <s v="GENERIC"/>
    <s v="50% DOWNPAYMENT, 50% W/IN 30 DAYS"/>
    <s v="2025-09-05"/>
    <s v="MINI CASH DRAWER"/>
    <n v="1"/>
    <n v="1350"/>
    <n v="1700"/>
    <n v="1700"/>
    <s v="MARITESS"/>
  </r>
  <r>
    <x v="249"/>
    <s v="INSPIRA PRIME INTERNATIONAL CORPORATION - SO-064"/>
    <s v="SO-064"/>
    <s v="INSPIRA PRIME INTERNATIONAL CORPORATION"/>
    <s v="MOTO"/>
    <s v="GENERIC"/>
    <s v="50% DOWNPAYMENT, 50% W/IN 30 DAYS"/>
    <s v="2025-09-05"/>
    <s v="EPSON TM U220D USB PRINTER"/>
    <n v="1"/>
    <n v="8500"/>
    <n v="10000"/>
    <n v="10000"/>
    <s v="MARITESS"/>
  </r>
  <r>
    <x v="249"/>
    <s v="INSPIRA PRIME INTERNATIONAL CORPORATION - SO-064"/>
    <s v="SO-064"/>
    <s v="INSPIRA PRIME INTERNATIONAL CORPORATION"/>
    <s v="MOTO"/>
    <s v="GENERIC"/>
    <s v="50% DOWNPAYMENT, 50% W/IN 30 DAYS"/>
    <s v="2025-09-05"/>
    <s v="APC UPS"/>
    <n v="1"/>
    <n v="2200"/>
    <n v="3000"/>
    <n v="3000"/>
    <s v="MARITESS"/>
  </r>
  <r>
    <x v="249"/>
    <s v="INSPIRA PRIME INTERNATIONAL CORPORATION - SO-064"/>
    <s v="SO-064"/>
    <s v="INSPIRA PRIME INTERNATIONAL CORPORATION"/>
    <s v="MOTO"/>
    <s v="GENERIC"/>
    <s v="50% DOWNPAYMENT, 50% W/IN 30 DAYS"/>
    <s v="2025-09-05"/>
    <s v="BIRCH BARCODE SCANNER"/>
    <n v="1"/>
    <n v="3000"/>
    <n v="3500"/>
    <n v="3500"/>
    <s v="MARITESS"/>
  </r>
  <r>
    <x v="249"/>
    <s v="INSPIRA PRIME INTERNATIONAL CORPORATION - SO-064"/>
    <s v="SO-064"/>
    <s v="INSPIRA PRIME INTERNATIONAL CORPORATION"/>
    <s v="MOTO"/>
    <s v="GENERIC"/>
    <s v="50% DOWNPAYMENT, 50% W/IN 30 DAYS"/>
    <s v="2025-09-05"/>
    <s v="DELIVERY FEE"/>
    <n v="1"/>
    <n v="500"/>
    <n v="500"/>
    <n v="500"/>
    <s v="MARITESS"/>
  </r>
  <r>
    <x v="250"/>
    <s v="CORTEZ IAN CARL CORPUZ - SO-065"/>
    <s v="SO-065"/>
    <s v="CORTEZ IAN CARL CORPUZ"/>
    <s v="FERINO'S CAFÉ"/>
    <s v="GENERIC"/>
    <s v="50% DOWNPAYMENT, 50% W/IN 30 DAYS"/>
    <s v="2025-09-08"/>
    <s v="TSCERES SQL VER. 6"/>
    <n v="1"/>
    <n v="3675"/>
    <n v="10500"/>
    <n v="10500"/>
    <s v="MARITESS"/>
  </r>
  <r>
    <x v="250"/>
    <s v="CORTEZ IAN CARL CORPUZ - SO-065"/>
    <s v="SO-065"/>
    <s v="CORTEZ IAN CARL CORPUZ"/>
    <s v="FERINO'S CAFÉ"/>
    <s v="GENERIC"/>
    <s v="50% DOWNPAYMENT, 50% W/IN 30 DAYS"/>
    <s v="2025-09-08"/>
    <s v="IMPLEMENTATION"/>
    <n v="1"/>
    <n v="3237.5"/>
    <n v="9250"/>
    <n v="9250"/>
    <s v="MARITESS"/>
  </r>
  <r>
    <x v="250"/>
    <s v="CORTEZ IAN CARL CORPUZ - SO-065"/>
    <s v="SO-065"/>
    <s v="CORTEZ IAN CARL CORPUZ"/>
    <s v="FERINO'S CAFÉ"/>
    <s v="GENERIC"/>
    <s v="50% DOWNPAYMENT, 50% W/IN 30 DAYS"/>
    <s v="2025-09-08"/>
    <s v="ONE YEAR WARRANTY"/>
    <n v="1"/>
    <n v="3237.5"/>
    <n v="9250"/>
    <n v="9250"/>
    <s v="MARITESS"/>
  </r>
  <r>
    <x v="250"/>
    <s v="CORTEZ IAN CARL CORPUZ - SO-065"/>
    <s v="SO-065"/>
    <s v="CORTEZ IAN CARL CORPUZ"/>
    <s v="FERINO'S CAFÉ"/>
    <s v="GENERIC"/>
    <s v="50% DOWNPAYMENT, 50% W/IN 30 DAYS"/>
    <s v="2025-09-08"/>
    <s v="BIR REGISTRATION"/>
    <n v="1"/>
    <n v="500"/>
    <n v="500"/>
    <n v="500"/>
    <s v="MARITESS"/>
  </r>
  <r>
    <x v="250"/>
    <s v="CORTEZ IAN CARL CORPUZ - SO-065"/>
    <s v="SO-065"/>
    <s v="CORTEZ IAN CARL CORPUZ"/>
    <s v="FERINO'S CAFÉ"/>
    <s v="GENERIC"/>
    <s v="50% DOWNPAYMENT, 50% W/IN 30 DAYS"/>
    <s v="2025-09-08"/>
    <s v="EOS MINI PC I5, 8GB, 480GB SSD"/>
    <n v="1"/>
    <n v="23450"/>
    <n v="28000"/>
    <n v="28000"/>
    <s v="MARITESS"/>
  </r>
  <r>
    <x v="250"/>
    <s v="CORTEZ IAN CARL CORPUZ - SO-065"/>
    <s v="SO-065"/>
    <s v="CORTEZ IAN CARL CORPUZ"/>
    <s v="FERINO'S CAFÉ"/>
    <s v="GENERIC"/>
    <s v="50% DOWNPAYMENT, 50% W/IN 30 DAYS"/>
    <s v="2025-09-08"/>
    <s v="TOUCH SCREEN MONITOR"/>
    <n v="1"/>
    <n v="11000"/>
    <n v="14000"/>
    <n v="14000"/>
    <s v="MARITESS"/>
  </r>
  <r>
    <x v="250"/>
    <s v="CORTEZ IAN CARL CORPUZ - SO-065"/>
    <s v="SO-065"/>
    <s v="CORTEZ IAN CARL CORPUZ"/>
    <s v="FERINO'S CAFÉ"/>
    <s v="GENERIC"/>
    <s v="50% DOWNPAYMENT, 50% W/IN 30 DAYS"/>
    <s v="2025-09-08"/>
    <s v="MINI CASH DRAWER"/>
    <n v="1"/>
    <n v="1350"/>
    <n v="1600"/>
    <n v="1600"/>
    <s v="MARITESS"/>
  </r>
  <r>
    <x v="250"/>
    <s v="CORTEZ IAN CARL CORPUZ - SO-065"/>
    <s v="SO-065"/>
    <s v="CORTEZ IAN CARL CORPUZ"/>
    <s v="FERINO'S CAFÉ"/>
    <s v="GENERIC"/>
    <s v="50% DOWNPAYMENT, 50% W/IN 30 DAYS"/>
    <s v="2025-09-08"/>
    <s v="EPSON TM – U220D DOT MATRIX (USB)"/>
    <n v="1"/>
    <n v="8500"/>
    <n v="11500"/>
    <n v="11500"/>
    <s v="MARITESS"/>
  </r>
  <r>
    <x v="250"/>
    <s v="CORTEZ IAN CARL CORPUZ - SO-065"/>
    <s v="SO-065"/>
    <s v="CORTEZ IAN CARL CORPUZ"/>
    <s v="FERINO'S CAFÉ"/>
    <s v="GENERIC"/>
    <s v="50% DOWNPAYMENT, 50% W/IN 30 DAYS"/>
    <s v="2025-09-08"/>
    <s v="APC UPS"/>
    <n v="1"/>
    <n v="2200"/>
    <n v="2700"/>
    <n v="2700"/>
    <s v="MARITESS"/>
  </r>
  <r>
    <x v="250"/>
    <s v="CORTEZ IAN CARL CORPUZ - SO-065"/>
    <s v="SO-065"/>
    <s v="CORTEZ IAN CARL CORPUZ"/>
    <s v="FERINO'S CAFÉ"/>
    <s v="GENERIC"/>
    <s v="50% DOWNPAYMENT, 50% W/IN 30 DAYS"/>
    <s v="2025-09-08"/>
    <s v="WINDOWS 11 PRO"/>
    <n v="1"/>
    <n v="2000"/>
    <n v="3000"/>
    <n v="3000"/>
    <s v="MARITESS"/>
  </r>
  <r>
    <x v="250"/>
    <s v="CORTEZ IAN CARL CORPUZ - SO-065"/>
    <s v="SO-065"/>
    <s v="CORTEZ IAN CARL CORPUZ"/>
    <s v="FERINO'S CAFÉ"/>
    <s v="GENERIC"/>
    <s v="50% DOWNPAYMENT, 50% W/IN 30 DAYS"/>
    <s v="2025-09-08"/>
    <s v="KASPERSKY ANTIVIRUS"/>
    <n v="1"/>
    <n v="970"/>
    <n v="1200"/>
    <n v="1200"/>
    <s v="MARITESS"/>
  </r>
  <r>
    <x v="250"/>
    <s v="CORTEZ IAN CARL CORPUZ - SO-065"/>
    <s v="SO-065"/>
    <s v="CORTEZ IAN CARL CORPUZ"/>
    <s v="FERINO'S CAFÉ"/>
    <s v="GENERIC"/>
    <s v="50% DOWNPAYMENT, 50% W/IN 30 DAYS"/>
    <s v="2025-09-08"/>
    <s v="DELIVERY FEE"/>
    <n v="1"/>
    <n v="500"/>
    <n v="500"/>
    <n v="500"/>
    <s v="MARITESS"/>
  </r>
  <r>
    <x v="250"/>
    <s v="CORTEZ IAN CARL CORPUZ - SO-065"/>
    <s v="SO-065"/>
    <s v="CORTEZ IAN CARL CORPUZ"/>
    <s v="FERINO'S CAFÉ"/>
    <s v="GENERIC"/>
    <s v="50% DOWNPAYMENT, 50% W/IN 30 DAYS"/>
    <s v="2025-09-08"/>
    <s v="KEYBOARD AND MOUSE"/>
    <n v="1"/>
    <n v="500"/>
    <n v="700"/>
    <n v="700"/>
    <s v="MARITESS"/>
  </r>
  <r>
    <x v="250"/>
    <s v="CORTEZ IAN CARL CORPUZ - SO-065"/>
    <s v="SO-065"/>
    <s v="CORTEZ IAN CARL CORPUZ"/>
    <s v="FERINO'S CAFÉ"/>
    <s v="GENERIC"/>
    <s v="50% DOWNPAYMENT, 50% W/IN 30 DAYS"/>
    <s v="2025-09-08"/>
    <s v="EOS FAN WITH COVER"/>
    <n v="1"/>
    <n v="350"/>
    <n v="500"/>
    <n v="500"/>
    <s v="MARITESS"/>
  </r>
  <r>
    <x v="250"/>
    <s v="CORTEZ IAN CARL CORPUZ - SO-065"/>
    <s v="SO-065"/>
    <s v="CORTEZ IAN CARL CORPUZ"/>
    <s v="FERINO'S CAFÉ"/>
    <s v="GENERIC"/>
    <s v="50% DOWNPAYMENT, 50% W/IN 30 DAYS"/>
    <s v="2025-09-08"/>
    <s v="JOURNAL PAPER"/>
    <n v="4"/>
    <n v="17"/>
    <n v="25"/>
    <n v="100"/>
    <s v="MARITESS"/>
  </r>
  <r>
    <x v="251"/>
    <s v="DAN S BIKE - SO-066"/>
    <s v="SO-066"/>
    <s v="DAN S BIKE"/>
    <s v="DAN'S BIKE"/>
    <s v="ATC"/>
    <s v="FULLY PAID"/>
    <s v="2025-09-10"/>
    <s v="SYSTEM MODIFICATION 2 MANDAYS"/>
    <n v="1"/>
    <n v="15000"/>
    <n v="15000"/>
    <n v="15000"/>
    <s v="JOANNE"/>
  </r>
  <r>
    <x v="246"/>
    <s v="CCGC TRADING CORPORATION - SO-067"/>
    <s v="SO-067"/>
    <s v="CCGC TRADING CORPORATION"/>
    <s v="LIGHTERS GALORE"/>
    <s v="GATEWAY"/>
    <s v="COD"/>
    <s v="2025-09-11"/>
    <s v="SINGLE PLY JOURNAL PAPER"/>
    <n v="50"/>
    <n v="17"/>
    <n v="25"/>
    <n v="1250"/>
    <s v="JOANNE"/>
  </r>
  <r>
    <x v="252"/>
    <s v="SIAPNO TADA OPTICAL INC - SO-068"/>
    <s v="SO-068"/>
    <s v="SIAPNO TADA OPTICAL INC"/>
    <s v="SIAPNO-TADA OPTICAL"/>
    <s v="GENERIC"/>
    <s v="50% DOWNPAYMENT, 50% W/IN 30 DAYS"/>
    <s v="2025-09-16"/>
    <s v="RDMS SQL+ VERSION 4.3.0"/>
    <n v="1"/>
    <n v="3675"/>
    <n v="10500"/>
    <n v="10500"/>
    <s v="MARITESS"/>
  </r>
  <r>
    <x v="252"/>
    <s v="SIAPNO TADA OPTICAL INC - SO-068"/>
    <s v="SO-068"/>
    <s v="SIAPNO TADA OPTICAL INC"/>
    <s v="SIAPNO-TADA OPTICAL"/>
    <s v="GENERIC"/>
    <s v="50% DOWNPAYMENT, 50% W/IN 30 DAYS"/>
    <s v="2025-09-16"/>
    <s v="ROLL OUT IMPLEMENTATION"/>
    <n v="1"/>
    <n v="3325"/>
    <n v="9500"/>
    <n v="9500"/>
    <s v="MARITESS"/>
  </r>
  <r>
    <x v="252"/>
    <s v="SIAPNO TADA OPTICAL INC - SO-068"/>
    <s v="SO-068"/>
    <s v="SIAPNO TADA OPTICAL INC"/>
    <s v="SIAPNO-TADA OPTICAL"/>
    <s v="GENERIC"/>
    <s v="50% DOWNPAYMENT, 50% W/IN 30 DAYS"/>
    <s v="2025-09-16"/>
    <s v="ONE YEAR WARRANTY"/>
    <n v="1"/>
    <n v="3325"/>
    <n v="9500"/>
    <n v="9500"/>
    <s v="MARITESS"/>
  </r>
  <r>
    <x v="252"/>
    <s v="SIAPNO TADA OPTICAL INC - SO-068"/>
    <s v="SO-068"/>
    <s v="SIAPNO TADA OPTICAL INC"/>
    <s v="SIAPNO-TADA OPTICAL"/>
    <s v="GENERIC"/>
    <s v="50% DOWNPAYMENT, 50% W/IN 30 DAYS"/>
    <s v="2025-09-16"/>
    <s v="BIR REGISTRATION"/>
    <n v="1"/>
    <n v="500"/>
    <n v="500"/>
    <n v="500"/>
    <s v="MARITESS"/>
  </r>
  <r>
    <x v="252"/>
    <s v="SIAPNO TADA OPTICAL INC - SO-068"/>
    <s v="SO-068"/>
    <s v="SIAPNO TADA OPTICAL INC"/>
    <s v="SIAPNO-TADA OPTICAL"/>
    <s v="GENERIC"/>
    <s v="50% DOWNPAYMENT, 50% W/IN 30 DAYS"/>
    <s v="2025-09-16"/>
    <s v="EOS MINI PC I5, 8GB"/>
    <n v="1"/>
    <n v="20800"/>
    <n v="24000"/>
    <n v="24000"/>
    <s v="MARITESS"/>
  </r>
  <r>
    <x v="252"/>
    <s v="SIAPNO TADA OPTICAL INC - SO-068"/>
    <s v="SO-068"/>
    <s v="SIAPNO TADA OPTICAL INC"/>
    <s v="SIAPNO-TADA OPTICAL"/>
    <s v="GENERIC"/>
    <s v="50% DOWNPAYMENT, 50% W/IN 30 DAYS"/>
    <s v="2025-09-16"/>
    <s v="NVME M.2 500GB SSD"/>
    <n v="1"/>
    <n v="2334"/>
    <n v="4000"/>
    <n v="4000"/>
    <s v="MARITESS"/>
  </r>
  <r>
    <x v="252"/>
    <s v="SIAPNO TADA OPTICAL INC - SO-068"/>
    <s v="SO-068"/>
    <s v="SIAPNO TADA OPTICAL INC"/>
    <s v="SIAPNO-TADA OPTICAL"/>
    <s v="GENERIC"/>
    <s v="50% DOWNPAYMENT, 50% W/IN 30 DAYS"/>
    <s v="2025-09-16"/>
    <s v="WINDOWS 11 PRO"/>
    <n v="1"/>
    <n v="2000"/>
    <n v="4000"/>
    <n v="4000"/>
    <s v="MARITESS"/>
  </r>
  <r>
    <x v="252"/>
    <s v="SIAPNO TADA OPTICAL INC - SO-068"/>
    <s v="SO-068"/>
    <s v="SIAPNO TADA OPTICAL INC"/>
    <s v="SIAPNO-TADA OPTICAL"/>
    <s v="GENERIC"/>
    <s v="50% DOWNPAYMENT, 50% W/IN 30 DAYS"/>
    <s v="2025-09-16"/>
    <s v="KEYBOARD AND MOUSE"/>
    <n v="1"/>
    <n v="500"/>
    <n v="600"/>
    <n v="600"/>
    <s v="MARITESS"/>
  </r>
  <r>
    <x v="252"/>
    <s v="SIAPNO TADA OPTICAL INC - SO-068"/>
    <s v="SO-068"/>
    <s v="SIAPNO TADA OPTICAL INC"/>
    <s v="SIAPNO-TADA OPTICAL"/>
    <s v="GENERIC"/>
    <s v="50% DOWNPAYMENT, 50% W/IN 30 DAYS"/>
    <s v="2025-09-16"/>
    <s v="EOS FAN WITH COVER"/>
    <n v="1"/>
    <n v="350"/>
    <n v="400"/>
    <n v="400"/>
    <s v="MARITESS"/>
  </r>
  <r>
    <x v="252"/>
    <s v="SIAPNO TADA OPTICAL INC - SO-068"/>
    <s v="SO-068"/>
    <s v="SIAPNO TADA OPTICAL INC"/>
    <s v="SIAPNO-TADA OPTICAL"/>
    <s v="GENERIC"/>
    <s v="50% DOWNPAYMENT, 50% W/IN 30 DAYS"/>
    <s v="2025-09-16"/>
    <s v="KASPERKY ANTI VIRUS"/>
    <n v="1"/>
    <n v="970"/>
    <n v="1500"/>
    <n v="1500"/>
    <s v="MARITESS"/>
  </r>
  <r>
    <x v="252"/>
    <s v="SIAPNO TADA OPTICAL INC - SO-068"/>
    <s v="SO-068"/>
    <s v="SIAPNO TADA OPTICAL INC"/>
    <s v="SIAPNO-TADA OPTICAL"/>
    <s v="GENERIC"/>
    <s v="50% DOWNPAYMENT, 50% W/IN 30 DAYS"/>
    <s v="2025-09-16"/>
    <s v="LED MONITOR"/>
    <n v="1"/>
    <n v="4250"/>
    <n v="6500"/>
    <n v="6500"/>
    <s v="MARITESS"/>
  </r>
  <r>
    <x v="252"/>
    <s v="SIAPNO TADA OPTICAL INC - SO-068"/>
    <s v="SO-068"/>
    <s v="SIAPNO TADA OPTICAL INC"/>
    <s v="SIAPNO-TADA OPTICAL"/>
    <s v="GENERIC"/>
    <s v="50% DOWNPAYMENT, 50% W/IN 30 DAYS"/>
    <s v="2025-09-16"/>
    <s v="CASH DRAWER"/>
    <n v="1"/>
    <n v="2185"/>
    <n v="3500"/>
    <n v="3500"/>
    <s v="MARITESS"/>
  </r>
  <r>
    <x v="252"/>
    <s v="SIAPNO TADA OPTICAL INC - SO-068"/>
    <s v="SO-068"/>
    <s v="SIAPNO TADA OPTICAL INC"/>
    <s v="SIAPNO-TADA OPTICAL"/>
    <s v="GENERIC"/>
    <s v="50% DOWNPAYMENT, 50% W/IN 30 DAYS"/>
    <s v="2025-09-16"/>
    <s v="EPSON TM U220D USB PRINTER"/>
    <n v="1"/>
    <n v="8500"/>
    <n v="12400"/>
    <n v="12400"/>
    <s v="MARITESS"/>
  </r>
  <r>
    <x v="252"/>
    <s v="SIAPNO TADA OPTICAL INC - SO-068"/>
    <s v="SO-068"/>
    <s v="SIAPNO TADA OPTICAL INC"/>
    <s v="SIAPNO-TADA OPTICAL"/>
    <s v="GENERIC"/>
    <s v="50% DOWNPAYMENT, 50% W/IN 30 DAYS"/>
    <s v="2025-09-16"/>
    <s v="APC UPS"/>
    <n v="1"/>
    <n v="2200"/>
    <n v="3500"/>
    <n v="3500"/>
    <s v="MARITESS"/>
  </r>
  <r>
    <x v="252"/>
    <s v="SIAPNO TADA OPTICAL INC - SO-068"/>
    <s v="SO-068"/>
    <s v="SIAPNO TADA OPTICAL INC"/>
    <s v="SIAPNO-TADA OPTICAL"/>
    <s v="GENERIC"/>
    <s v="50% DOWNPAYMENT, 50% W/IN 30 DAYS"/>
    <s v="2025-09-16"/>
    <s v="BIRCH BARCODE SCANNER"/>
    <n v="1"/>
    <n v="3000"/>
    <n v="3500"/>
    <n v="3500"/>
    <s v="MARITESS"/>
  </r>
  <r>
    <x v="252"/>
    <s v="SIAPNO TADA OPTICAL INC - SO-068"/>
    <s v="SO-068"/>
    <s v="SIAPNO TADA OPTICAL INC"/>
    <s v="SIAPNO-TADA OPTICAL"/>
    <s v="GENERIC"/>
    <s v="50% DOWNPAYMENT, 50% W/IN 30 DAYS"/>
    <s v="2025-09-16"/>
    <s v="SINGLE PLY JOURNAL PAPER"/>
    <n v="4"/>
    <n v="17"/>
    <n v="25"/>
    <n v="100"/>
    <s v="MARITESS"/>
  </r>
  <r>
    <x v="252"/>
    <s v="SIAPNO TADA OPTICAL INC - SO-069"/>
    <s v="SO-069"/>
    <s v="SIAPNO TADA OPTICAL INC"/>
    <s v="SIAPNO-TADA OPTICAL"/>
    <s v="GENERIC"/>
    <s v="50% DOWNPAYMENT, 50% W/IN 30 DAYS"/>
    <s v="2025-09-16"/>
    <s v="RDMS SQL+ VERSION 4.3.0"/>
    <n v="1"/>
    <n v="3675"/>
    <n v="10500"/>
    <n v="10500"/>
    <s v="MARITESS"/>
  </r>
  <r>
    <x v="252"/>
    <s v="SIAPNO TADA OPTICAL INC - SO-069"/>
    <s v="SO-069"/>
    <s v="SIAPNO TADA OPTICAL INC"/>
    <s v="SIAPNO-TADA OPTICAL"/>
    <s v="GENERIC"/>
    <s v="50% DOWNPAYMENT, 50% W/IN 30 DAYS"/>
    <s v="2025-09-16"/>
    <s v="ROLL OUT IMPLEMENTATION"/>
    <n v="1"/>
    <n v="3325"/>
    <n v="9500"/>
    <n v="9500"/>
    <s v="MARITESS"/>
  </r>
  <r>
    <x v="252"/>
    <s v="SIAPNO TADA OPTICAL INC - SO-069"/>
    <s v="SO-069"/>
    <s v="SIAPNO TADA OPTICAL INC"/>
    <s v="SIAPNO-TADA OPTICAL"/>
    <s v="GENERIC"/>
    <s v="50% DOWNPAYMENT, 50% W/IN 30 DAYS"/>
    <s v="2025-09-16"/>
    <s v="ONE YEAR WARRANTY"/>
    <n v="1"/>
    <n v="3325"/>
    <n v="9500"/>
    <n v="9500"/>
    <s v="MARITESS"/>
  </r>
  <r>
    <x v="252"/>
    <s v="SIAPNO TADA OPTICAL INC - SO-069"/>
    <s v="SO-069"/>
    <s v="SIAPNO TADA OPTICAL INC"/>
    <s v="SIAPNO-TADA OPTICAL"/>
    <s v="GENERIC"/>
    <s v="50% DOWNPAYMENT, 50% W/IN 30 DAYS"/>
    <s v="2025-09-16"/>
    <s v="BIR REGISTRATION"/>
    <n v="1"/>
    <n v="500"/>
    <n v="500"/>
    <n v="500"/>
    <s v="MARITESS"/>
  </r>
  <r>
    <x v="252"/>
    <s v="SIAPNO TADA OPTICAL INC - SO-069"/>
    <s v="SO-069"/>
    <s v="SIAPNO TADA OPTICAL INC"/>
    <s v="SIAPNO-TADA OPTICAL"/>
    <s v="GENERIC"/>
    <s v="50% DOWNPAYMENT, 50% W/IN 30 DAYS"/>
    <s v="2025-09-16"/>
    <s v="EOS MINI PC I5, 8GB"/>
    <n v="1"/>
    <n v="20800"/>
    <n v="24000"/>
    <n v="24000"/>
    <s v="MARITESS"/>
  </r>
  <r>
    <x v="252"/>
    <s v="SIAPNO TADA OPTICAL INC - SO-069"/>
    <s v="SO-069"/>
    <s v="SIAPNO TADA OPTICAL INC"/>
    <s v="SIAPNO-TADA OPTICAL"/>
    <s v="GENERIC"/>
    <s v="50% DOWNPAYMENT, 50% W/IN 30 DAYS"/>
    <s v="2025-09-16"/>
    <s v="NVME M.2 500GB SSD"/>
    <n v="1"/>
    <n v="2334"/>
    <n v="4000"/>
    <n v="4000"/>
    <s v="MARITESS"/>
  </r>
  <r>
    <x v="252"/>
    <s v="SIAPNO TADA OPTICAL INC - SO-069"/>
    <s v="SO-069"/>
    <s v="SIAPNO TADA OPTICAL INC"/>
    <s v="SIAPNO-TADA OPTICAL"/>
    <s v="GENERIC"/>
    <s v="50% DOWNPAYMENT, 50% W/IN 30 DAYS"/>
    <s v="2025-09-16"/>
    <s v="WINDOWS 11 PRO"/>
    <n v="1"/>
    <n v="2000"/>
    <n v="4000"/>
    <n v="4000"/>
    <s v="MARITESS"/>
  </r>
  <r>
    <x v="252"/>
    <s v="SIAPNO TADA OPTICAL INC - SO-069"/>
    <s v="SO-069"/>
    <s v="SIAPNO TADA OPTICAL INC"/>
    <s v="SIAPNO-TADA OPTICAL"/>
    <s v="GENERIC"/>
    <s v="50% DOWNPAYMENT, 50% W/IN 30 DAYS"/>
    <s v="2025-09-16"/>
    <s v="KEYBOARD AND MOUSE"/>
    <n v="1"/>
    <n v="500"/>
    <n v="600"/>
    <n v="600"/>
    <s v="MARITESS"/>
  </r>
  <r>
    <x v="252"/>
    <s v="SIAPNO TADA OPTICAL INC - SO-069"/>
    <s v="SO-069"/>
    <s v="SIAPNO TADA OPTICAL INC"/>
    <s v="SIAPNO-TADA OPTICAL"/>
    <s v="GENERIC"/>
    <s v="50% DOWNPAYMENT, 50% W/IN 30 DAYS"/>
    <s v="2025-09-16"/>
    <s v="EOS FAN WITH COVER"/>
    <n v="1"/>
    <n v="350"/>
    <n v="400"/>
    <n v="400"/>
    <s v="MARITESS"/>
  </r>
  <r>
    <x v="252"/>
    <s v="SIAPNO TADA OPTICAL INC - SO-069"/>
    <s v="SO-069"/>
    <s v="SIAPNO TADA OPTICAL INC"/>
    <s v="SIAPNO-TADA OPTICAL"/>
    <s v="GENERIC"/>
    <s v="50% DOWNPAYMENT, 50% W/IN 30 DAYS"/>
    <s v="2025-09-16"/>
    <s v="KASPERKY ANTI VIRUS"/>
    <n v="1"/>
    <n v="970"/>
    <n v="1500"/>
    <n v="1500"/>
    <s v="MARITESS"/>
  </r>
  <r>
    <x v="252"/>
    <s v="SIAPNO TADA OPTICAL INC - SO-069"/>
    <s v="SO-069"/>
    <s v="SIAPNO TADA OPTICAL INC"/>
    <s v="SIAPNO-TADA OPTICAL"/>
    <s v="GENERIC"/>
    <s v="50% DOWNPAYMENT, 50% W/IN 30 DAYS"/>
    <s v="2025-09-16"/>
    <s v="LED MONITOR"/>
    <n v="1"/>
    <n v="4250"/>
    <n v="6500"/>
    <n v="6500"/>
    <s v="MARITESS"/>
  </r>
  <r>
    <x v="252"/>
    <s v="SIAPNO TADA OPTICAL INC - SO-069"/>
    <s v="SO-069"/>
    <s v="SIAPNO TADA OPTICAL INC"/>
    <s v="SIAPNO-TADA OPTICAL"/>
    <s v="GENERIC"/>
    <s v="50% DOWNPAYMENT, 50% W/IN 30 DAYS"/>
    <s v="2025-09-16"/>
    <s v="CASH DRAWER"/>
    <n v="1"/>
    <n v="2185"/>
    <n v="3500"/>
    <n v="3500"/>
    <s v="MARITESS"/>
  </r>
  <r>
    <x v="252"/>
    <s v="SIAPNO TADA OPTICAL INC - SO-069"/>
    <s v="SO-069"/>
    <s v="SIAPNO TADA OPTICAL INC"/>
    <s v="SIAPNO-TADA OPTICAL"/>
    <s v="GENERIC"/>
    <s v="50% DOWNPAYMENT, 50% W/IN 30 DAYS"/>
    <s v="2025-09-16"/>
    <s v="EPSON TM U220D USB PRINTER"/>
    <n v="1"/>
    <n v="8500"/>
    <n v="12400"/>
    <n v="12400"/>
    <s v="MARITESS"/>
  </r>
  <r>
    <x v="252"/>
    <s v="SIAPNO TADA OPTICAL INC - SO-069"/>
    <s v="SO-069"/>
    <s v="SIAPNO TADA OPTICAL INC"/>
    <s v="SIAPNO-TADA OPTICAL"/>
    <s v="GENERIC"/>
    <s v="50% DOWNPAYMENT, 50% W/IN 30 DAYS"/>
    <s v="2025-09-16"/>
    <s v="APC UPS"/>
    <n v="1"/>
    <n v="2200"/>
    <n v="3500"/>
    <n v="3500"/>
    <s v="MARITESS"/>
  </r>
  <r>
    <x v="252"/>
    <s v="SIAPNO TADA OPTICAL INC - SO-069"/>
    <s v="SO-069"/>
    <s v="SIAPNO TADA OPTICAL INC"/>
    <s v="SIAPNO-TADA OPTICAL"/>
    <s v="GENERIC"/>
    <s v="50% DOWNPAYMENT, 50% W/IN 30 DAYS"/>
    <s v="2025-09-16"/>
    <s v="BIRCH BARCODE SCANNER"/>
    <n v="1"/>
    <n v="3000"/>
    <n v="3500"/>
    <n v="3500"/>
    <s v="MARITESS"/>
  </r>
  <r>
    <x v="252"/>
    <s v="SIAPNO TADA OPTICAL INC - SO-069"/>
    <s v="SO-069"/>
    <s v="SIAPNO TADA OPTICAL INC"/>
    <s v="SIAPNO-TADA OPTICAL"/>
    <s v="GENERIC"/>
    <s v="50% DOWNPAYMENT, 50% W/IN 30 DAYS"/>
    <s v="2025-09-16"/>
    <s v="SINGLE PLY JOURNAL PAPER"/>
    <n v="4"/>
    <n v="17"/>
    <n v="25"/>
    <n v="100"/>
    <s v="MARITESS"/>
  </r>
  <r>
    <x v="253"/>
    <s v="FRANKIE GENERAL STORE - SO-070"/>
    <s v="SO-070"/>
    <s v="FRANKIE GENERAL STORE"/>
    <s v="FRANKIE GENERAL STORE"/>
    <s v="GENERIC"/>
    <s v="50% DP, 50% ONE MONTH"/>
    <s v="2025-09-25"/>
    <s v="PREVENTIVE MAINTENANCE"/>
    <n v="1"/>
    <n v="18000"/>
    <n v="18000"/>
    <n v="18000"/>
    <s v="MARITESS"/>
  </r>
  <r>
    <x v="239"/>
    <s v="INSPIRA PRIME INTERNATIONAL CORPORATION - SO-071"/>
    <s v="SO-071"/>
    <s v="INSPIRA PRIME INTERNATIONAL CORPORATION"/>
    <s v="AQUAFLASK"/>
    <s v="GENERIC"/>
    <s v="50% DOWNPAYMENT, 50% W/IN 30 DAYS"/>
    <s v="2025-10-02"/>
    <s v="RDMS SQL+ VERSION 4"/>
    <n v="1"/>
    <n v="3675"/>
    <n v="10500"/>
    <n v="10500"/>
    <s v="MARITESS"/>
  </r>
  <r>
    <x v="239"/>
    <s v="INSPIRA PRIME INTERNATIONAL CORPORATION - SO-071"/>
    <s v="SO-071"/>
    <s v="INSPIRA PRIME INTERNATIONAL CORPORATION"/>
    <s v="AQUAFLASK"/>
    <s v="GENERIC"/>
    <s v="50% DOWNPAYMENT, 50% W/IN 30 DAYS"/>
    <s v="2025-10-02"/>
    <s v="ROLL OUT IMPLEMENTATION"/>
    <n v="1"/>
    <n v="2450"/>
    <n v="7000"/>
    <n v="7000"/>
    <s v="MARITESS"/>
  </r>
  <r>
    <x v="239"/>
    <s v="INSPIRA PRIME INTERNATIONAL CORPORATION - SO-071"/>
    <s v="SO-071"/>
    <s v="INSPIRA PRIME INTERNATIONAL CORPORATION"/>
    <s v="AQUAFLASK"/>
    <s v="GENERIC"/>
    <s v="50% DOWNPAYMENT, 50% W/IN 30 DAYS"/>
    <s v="2025-10-02"/>
    <s v="ONE YEAR WARRANTY"/>
    <n v="1"/>
    <n v="2450"/>
    <n v="7000"/>
    <n v="7000"/>
    <s v="MARITESS"/>
  </r>
  <r>
    <x v="239"/>
    <s v="INSPIRA PRIME INTERNATIONAL CORPORATION - SO-071"/>
    <s v="SO-071"/>
    <s v="INSPIRA PRIME INTERNATIONAL CORPORATION"/>
    <s v="AQUAFLASK"/>
    <s v="GENERIC"/>
    <s v="50% DOWNPAYMENT, 50% W/IN 30 DAYS"/>
    <s v="2025-10-02"/>
    <s v="BIR REGISTRATION"/>
    <n v="1"/>
    <n v="500"/>
    <n v="500"/>
    <n v="500"/>
    <s v="MARITESS"/>
  </r>
  <r>
    <x v="239"/>
    <s v="INSPIRA PRIME INTERNATIONAL CORPORATION - SO-071"/>
    <s v="SO-071"/>
    <s v="INSPIRA PRIME INTERNATIONAL CORPORATION"/>
    <s v="AQUAFLASK"/>
    <s v="GENERIC"/>
    <s v="50% DOWNPAYMENT, 50% W/IN 30 DAYS"/>
    <s v="2025-10-02"/>
    <s v="EOS MINI PC I5, 8GB"/>
    <n v="1"/>
    <n v="20800"/>
    <n v="22500"/>
    <n v="22500"/>
    <s v="MARITESS"/>
  </r>
  <r>
    <x v="239"/>
    <s v="INSPIRA PRIME INTERNATIONAL CORPORATION - SO-071"/>
    <s v="SO-071"/>
    <s v="INSPIRA PRIME INTERNATIONAL CORPORATION"/>
    <s v="AQUAFLASK"/>
    <s v="GENERIC"/>
    <s v="50% DOWNPAYMENT, 50% W/IN 30 DAYS"/>
    <s v="2025-10-02"/>
    <s v="NVME M.2 500GB SSD"/>
    <n v="1"/>
    <n v="2334"/>
    <n v="3200"/>
    <n v="3200"/>
    <s v="MARITESS"/>
  </r>
  <r>
    <x v="239"/>
    <s v="INSPIRA PRIME INTERNATIONAL CORPORATION - SO-071"/>
    <s v="SO-071"/>
    <s v="INSPIRA PRIME INTERNATIONAL CORPORATION"/>
    <s v="AQUAFLASK"/>
    <s v="GENERIC"/>
    <s v="50% DOWNPAYMENT, 50% W/IN 30 DAYS"/>
    <s v="2025-10-02"/>
    <s v="WINDOWS 11 PRO"/>
    <n v="1"/>
    <n v="2800"/>
    <n v="3200"/>
    <n v="3200"/>
    <s v="MARITESS"/>
  </r>
  <r>
    <x v="239"/>
    <s v="INSPIRA PRIME INTERNATIONAL CORPORATION - SO-071"/>
    <s v="SO-071"/>
    <s v="INSPIRA PRIME INTERNATIONAL CORPORATION"/>
    <s v="AQUAFLASK"/>
    <s v="GENERIC"/>
    <s v="50% DOWNPAYMENT, 50% W/IN 30 DAYS"/>
    <s v="2025-10-02"/>
    <s v="KEYBOARD AND MOUSE"/>
    <n v="1"/>
    <n v="500"/>
    <n v="600"/>
    <n v="600"/>
    <s v="MARITESS"/>
  </r>
  <r>
    <x v="239"/>
    <s v="INSPIRA PRIME INTERNATIONAL CORPORATION - SO-071"/>
    <s v="SO-071"/>
    <s v="INSPIRA PRIME INTERNATIONAL CORPORATION"/>
    <s v="AQUAFLASK"/>
    <s v="GENERIC"/>
    <s v="50% DOWNPAYMENT, 50% W/IN 30 DAYS"/>
    <s v="2025-10-02"/>
    <s v="EOS FAN WITH COVER"/>
    <n v="1"/>
    <n v="350"/>
    <n v="400"/>
    <n v="400"/>
    <s v="MARITESS"/>
  </r>
  <r>
    <x v="239"/>
    <s v="INSPIRA PRIME INTERNATIONAL CORPORATION - SO-071"/>
    <s v="SO-071"/>
    <s v="INSPIRA PRIME INTERNATIONAL CORPORATION"/>
    <s v="AQUAFLASK"/>
    <s v="GENERIC"/>
    <s v="50% DOWNPAYMENT, 50% W/IN 30 DAYS"/>
    <s v="2025-10-02"/>
    <s v="KASPERKY ANTI VIRUS"/>
    <n v="1"/>
    <n v="970"/>
    <n v="1200"/>
    <n v="1200"/>
    <s v="MARITESS"/>
  </r>
  <r>
    <x v="239"/>
    <s v="INSPIRA PRIME INTERNATIONAL CORPORATION - SO-071"/>
    <s v="SO-071"/>
    <s v="INSPIRA PRIME INTERNATIONAL CORPORATION"/>
    <s v="AQUAFLASK"/>
    <s v="GENERIC"/>
    <s v="50% DOWNPAYMENT, 50% W/IN 30 DAYS"/>
    <s v="2025-10-02"/>
    <s v="LED MONITOR"/>
    <n v="1"/>
    <n v="4250"/>
    <n v="4700"/>
    <n v="4700"/>
    <s v="MARITESS"/>
  </r>
  <r>
    <x v="239"/>
    <s v="INSPIRA PRIME INTERNATIONAL CORPORATION - SO-071"/>
    <s v="SO-071"/>
    <s v="INSPIRA PRIME INTERNATIONAL CORPORATION"/>
    <s v="AQUAFLASK"/>
    <s v="GENERIC"/>
    <s v="50% DOWNPAYMENT, 50% W/IN 30 DAYS"/>
    <s v="2025-10-02"/>
    <s v="MINI CASH DRAWER"/>
    <n v="1"/>
    <n v="1350"/>
    <n v="1700"/>
    <n v="1700"/>
    <s v="MARITESS"/>
  </r>
  <r>
    <x v="239"/>
    <s v="INSPIRA PRIME INTERNATIONAL CORPORATION - SO-071"/>
    <s v="SO-071"/>
    <s v="INSPIRA PRIME INTERNATIONAL CORPORATION"/>
    <s v="AQUAFLASK"/>
    <s v="GENERIC"/>
    <s v="50% DOWNPAYMENT, 50% W/IN 30 DAYS"/>
    <s v="2025-10-02"/>
    <s v="EPSON TM U220D USB PRINTER"/>
    <n v="1"/>
    <n v="8500"/>
    <n v="10000"/>
    <n v="10000"/>
    <s v="MARITESS"/>
  </r>
  <r>
    <x v="239"/>
    <s v="INSPIRA PRIME INTERNATIONAL CORPORATION - SO-071"/>
    <s v="SO-071"/>
    <s v="INSPIRA PRIME INTERNATIONAL CORPORATION"/>
    <s v="AQUAFLASK"/>
    <s v="GENERIC"/>
    <s v="50% DOWNPAYMENT, 50% W/IN 30 DAYS"/>
    <s v="2025-10-02"/>
    <s v="APC UPS"/>
    <n v="1"/>
    <n v="2200"/>
    <n v="3000"/>
    <n v="3000"/>
    <s v="MARITESS"/>
  </r>
  <r>
    <x v="239"/>
    <s v="INSPIRA PRIME INTERNATIONAL CORPORATION - SO-071"/>
    <s v="SO-071"/>
    <s v="INSPIRA PRIME INTERNATIONAL CORPORATION"/>
    <s v="AQUAFLASK"/>
    <s v="GENERIC"/>
    <s v="50% DOWNPAYMENT, 50% W/IN 30 DAYS"/>
    <s v="2025-10-02"/>
    <s v="BIRCH BARCODE SCANNER"/>
    <n v="1"/>
    <n v="3000"/>
    <n v="4000"/>
    <n v="4000"/>
    <s v="MARITESS"/>
  </r>
  <r>
    <x v="239"/>
    <s v="INSPIRA PRIME INTERNATIONAL CORPORATION - SO-071"/>
    <s v="SO-071"/>
    <s v="INSPIRA PRIME INTERNATIONAL CORPORATION"/>
    <s v="AQUAFLASK"/>
    <s v="GENERIC"/>
    <s v="50% DOWNPAYMENT, 50% W/IN 30 DAYS"/>
    <s v="2025-10-02"/>
    <s v="DELIVERY"/>
    <n v="1"/>
    <n v="500"/>
    <n v="500"/>
    <n v="500"/>
    <s v="MARITESS"/>
  </r>
  <r>
    <x v="254"/>
    <s v="INSPIRA PRIME INTERNATIONAL CORPORATION - SO-072"/>
    <s v="SO-072"/>
    <s v="INSPIRA PRIME INTERNATIONAL CORPORATION"/>
    <s v="AQUAFLASK DESIGN"/>
    <s v="GENERIC"/>
    <s v="50% DOWNPAYMENT, 50% W/IN 30 DAYS"/>
    <s v="2025-10-02"/>
    <s v="RDMS SQL+ VERSION 4"/>
    <n v="1"/>
    <n v="3675"/>
    <n v="10500"/>
    <n v="10500"/>
    <s v="MARITESS"/>
  </r>
  <r>
    <x v="254"/>
    <s v="INSPIRA PRIME INTERNATIONAL CORPORATION - SO-072"/>
    <s v="SO-072"/>
    <s v="INSPIRA PRIME INTERNATIONAL CORPORATION"/>
    <s v="AQUAFLASK DESIGN"/>
    <s v="GENERIC"/>
    <s v="50% DOWNPAYMENT, 50% W/IN 30 DAYS"/>
    <s v="2025-10-02"/>
    <s v="ROLL OUT IMPLEMENTATION"/>
    <n v="1"/>
    <n v="2450"/>
    <n v="7000"/>
    <n v="7000"/>
    <s v="MARITESS"/>
  </r>
  <r>
    <x v="254"/>
    <s v="INSPIRA PRIME INTERNATIONAL CORPORATION - SO-072"/>
    <s v="SO-072"/>
    <s v="INSPIRA PRIME INTERNATIONAL CORPORATION"/>
    <s v="AQUAFLASK DESIGN"/>
    <s v="GENERIC"/>
    <s v="50% DOWNPAYMENT, 50% W/IN 30 DAYS"/>
    <s v="2025-10-02"/>
    <s v="ONE YEAR WARRANTY"/>
    <n v="1"/>
    <n v="2450"/>
    <n v="7000"/>
    <n v="7000"/>
    <s v="MARITESS"/>
  </r>
  <r>
    <x v="254"/>
    <s v="INSPIRA PRIME INTERNATIONAL CORPORATION - SO-072"/>
    <s v="SO-072"/>
    <s v="INSPIRA PRIME INTERNATIONAL CORPORATION"/>
    <s v="AQUAFLASK DESIGN"/>
    <s v="GENERIC"/>
    <s v="50% DOWNPAYMENT, 50% W/IN 30 DAYS"/>
    <s v="2025-10-02"/>
    <s v="BIR REGISTRATION"/>
    <n v="1"/>
    <n v="500"/>
    <n v="500"/>
    <n v="500"/>
    <s v="MARITESS"/>
  </r>
  <r>
    <x v="254"/>
    <s v="INSPIRA PRIME INTERNATIONAL CORPORATION - SO-072"/>
    <s v="SO-072"/>
    <s v="INSPIRA PRIME INTERNATIONAL CORPORATION"/>
    <s v="AQUAFLASK DESIGN"/>
    <s v="GENERIC"/>
    <s v="50% DOWNPAYMENT, 50% W/IN 30 DAYS"/>
    <s v="2025-10-02"/>
    <s v="EOS MINI PC I5, 8GB"/>
    <n v="1"/>
    <n v="20800"/>
    <n v="23000"/>
    <n v="23000"/>
    <s v="MARITESS"/>
  </r>
  <r>
    <x v="254"/>
    <s v="INSPIRA PRIME INTERNATIONAL CORPORATION - SO-072"/>
    <s v="SO-072"/>
    <s v="INSPIRA PRIME INTERNATIONAL CORPORATION"/>
    <s v="AQUAFLASK DESIGN"/>
    <s v="GENERIC"/>
    <s v="50% DOWNPAYMENT, 50% W/IN 30 DAYS"/>
    <s v="2025-10-02"/>
    <s v="NVME M.2 500GB SSD"/>
    <n v="1"/>
    <n v="2334"/>
    <n v="3200"/>
    <n v="3200"/>
    <s v="MARITESS"/>
  </r>
  <r>
    <x v="254"/>
    <s v="INSPIRA PRIME INTERNATIONAL CORPORATION - SO-072"/>
    <s v="SO-072"/>
    <s v="INSPIRA PRIME INTERNATIONAL CORPORATION"/>
    <s v="AQUAFLASK DESIGN"/>
    <s v="GENERIC"/>
    <s v="50% DOWNPAYMENT, 50% W/IN 30 DAYS"/>
    <s v="2025-10-02"/>
    <s v="WINDOWS 11 PRO"/>
    <n v="1"/>
    <n v="2800"/>
    <n v="3200"/>
    <n v="3200"/>
    <s v="MARITESS"/>
  </r>
  <r>
    <x v="254"/>
    <s v="INSPIRA PRIME INTERNATIONAL CORPORATION - SO-072"/>
    <s v="SO-072"/>
    <s v="INSPIRA PRIME INTERNATIONAL CORPORATION"/>
    <s v="AQUAFLASK DESIGN"/>
    <s v="GENERIC"/>
    <s v="50% DOWNPAYMENT, 50% W/IN 30 DAYS"/>
    <s v="2025-10-02"/>
    <s v="KEYBOARD AND MOUSE"/>
    <n v="1"/>
    <n v="500"/>
    <n v="600"/>
    <n v="600"/>
    <s v="MARITESS"/>
  </r>
  <r>
    <x v="254"/>
    <s v="INSPIRA PRIME INTERNATIONAL CORPORATION - SO-072"/>
    <s v="SO-072"/>
    <s v="INSPIRA PRIME INTERNATIONAL CORPORATION"/>
    <s v="AQUAFLASK DESIGN"/>
    <s v="GENERIC"/>
    <s v="50% DOWNPAYMENT, 50% W/IN 30 DAYS"/>
    <s v="2025-10-02"/>
    <s v="EOS FAN WITH COVER"/>
    <n v="1"/>
    <n v="350"/>
    <n v="400"/>
    <n v="400"/>
    <s v="MARITESS"/>
  </r>
  <r>
    <x v="254"/>
    <s v="INSPIRA PRIME INTERNATIONAL CORPORATION - SO-072"/>
    <s v="SO-072"/>
    <s v="INSPIRA PRIME INTERNATIONAL CORPORATION"/>
    <s v="AQUAFLASK DESIGN"/>
    <s v="GENERIC"/>
    <s v="50% DOWNPAYMENT, 50% W/IN 30 DAYS"/>
    <s v="2025-10-02"/>
    <s v="KASPERKY ANTI VIRUS"/>
    <n v="1"/>
    <n v="970"/>
    <n v="1200"/>
    <n v="1200"/>
    <s v="MARITESS"/>
  </r>
  <r>
    <x v="254"/>
    <s v="INSPIRA PRIME INTERNATIONAL CORPORATION - SO-072"/>
    <s v="SO-072"/>
    <s v="INSPIRA PRIME INTERNATIONAL CORPORATION"/>
    <s v="AQUAFLASK DESIGN"/>
    <s v="GENERIC"/>
    <s v="50% DOWNPAYMENT, 50% W/IN 30 DAYS"/>
    <s v="2025-10-02"/>
    <s v="LED MONITOR"/>
    <n v="1"/>
    <n v="4250"/>
    <n v="4700"/>
    <n v="4700"/>
    <s v="MARITESS"/>
  </r>
  <r>
    <x v="254"/>
    <s v="INSPIRA PRIME INTERNATIONAL CORPORATION - SO-072"/>
    <s v="SO-072"/>
    <s v="INSPIRA PRIME INTERNATIONAL CORPORATION"/>
    <s v="AQUAFLASK DESIGN"/>
    <s v="GENERIC"/>
    <s v="50% DOWNPAYMENT, 50% W/IN 30 DAYS"/>
    <s v="2025-10-02"/>
    <s v="MINI CASH DRAWER"/>
    <n v="1"/>
    <n v="1350"/>
    <n v="1700"/>
    <n v="1700"/>
    <s v="MARITESS"/>
  </r>
  <r>
    <x v="254"/>
    <s v="INSPIRA PRIME INTERNATIONAL CORPORATION - SO-072"/>
    <s v="SO-072"/>
    <s v="INSPIRA PRIME INTERNATIONAL CORPORATION"/>
    <s v="AQUAFLASK DESIGN"/>
    <s v="GENERIC"/>
    <s v="50% DOWNPAYMENT, 50% W/IN 30 DAYS"/>
    <s v="2025-10-02"/>
    <s v="EPSON TM U220D USB PRINTER"/>
    <n v="1"/>
    <n v="8500"/>
    <n v="10000"/>
    <n v="10000"/>
    <s v="MARITESS"/>
  </r>
  <r>
    <x v="254"/>
    <s v="INSPIRA PRIME INTERNATIONAL CORPORATION - SO-072"/>
    <s v="SO-072"/>
    <s v="INSPIRA PRIME INTERNATIONAL CORPORATION"/>
    <s v="AQUAFLASK DESIGN"/>
    <s v="GENERIC"/>
    <s v="50% DOWNPAYMENT, 50% W/IN 30 DAYS"/>
    <s v="2025-10-02"/>
    <s v="APC UPS"/>
    <n v="1"/>
    <n v="2200"/>
    <n v="3000"/>
    <n v="3000"/>
    <s v="MARITESS"/>
  </r>
  <r>
    <x v="254"/>
    <s v="INSPIRA PRIME INTERNATIONAL CORPORATION - SO-072"/>
    <s v="SO-072"/>
    <s v="INSPIRA PRIME INTERNATIONAL CORPORATION"/>
    <s v="AQUAFLASK DESIGN"/>
    <s v="GENERIC"/>
    <s v="50% DOWNPAYMENT, 50% W/IN 30 DAYS"/>
    <s v="2025-10-02"/>
    <s v="BIRCH BARCODE SCANNER"/>
    <n v="1"/>
    <n v="3000"/>
    <n v="4000"/>
    <n v="4000"/>
    <s v="MARITESS"/>
  </r>
  <r>
    <x v="254"/>
    <s v="INSPIRA PRIME INTERNATIONAL CORPORATION - SO-073"/>
    <s v="SO-073"/>
    <s v="INSPIRA PRIME INTERNATIONAL CORPORATION"/>
    <s v="AQUAFLASK DESIGN"/>
    <s v="GENERIC"/>
    <s v="50% DOWNPAYMENT, 50% W/IN 30 DAYS"/>
    <s v="2025-10-02"/>
    <s v="RDMS SQL+ VERSION 4"/>
    <n v="1"/>
    <n v="3675"/>
    <n v="10500"/>
    <n v="10500"/>
    <s v="MARITESS"/>
  </r>
  <r>
    <x v="254"/>
    <s v="INSPIRA PRIME INTERNATIONAL CORPORATION - SO-073"/>
    <s v="SO-073"/>
    <s v="INSPIRA PRIME INTERNATIONAL CORPORATION"/>
    <s v="AQUAFLASK DESIGN"/>
    <s v="GENERIC"/>
    <s v="50% DOWNPAYMENT, 50% W/IN 30 DAYS"/>
    <s v="2025-10-02"/>
    <s v="ROLL OUT IMPLEMENTATION"/>
    <n v="1"/>
    <n v="2450"/>
    <n v="7000"/>
    <n v="7000"/>
    <s v="MARITESS"/>
  </r>
  <r>
    <x v="254"/>
    <s v="INSPIRA PRIME INTERNATIONAL CORPORATION - SO-073"/>
    <s v="SO-073"/>
    <s v="INSPIRA PRIME INTERNATIONAL CORPORATION"/>
    <s v="AQUAFLASK DESIGN"/>
    <s v="GENERIC"/>
    <s v="50% DOWNPAYMENT, 50% W/IN 30 DAYS"/>
    <s v="2025-10-02"/>
    <s v="ONE YEAR WARRANTY"/>
    <n v="1"/>
    <n v="2450"/>
    <n v="7000"/>
    <n v="7000"/>
    <s v="MARITESS"/>
  </r>
  <r>
    <x v="254"/>
    <s v="INSPIRA PRIME INTERNATIONAL CORPORATION - SO-073"/>
    <s v="SO-073"/>
    <s v="INSPIRA PRIME INTERNATIONAL CORPORATION"/>
    <s v="AQUAFLASK DESIGN"/>
    <s v="GENERIC"/>
    <s v="50% DOWNPAYMENT, 50% W/IN 30 DAYS"/>
    <s v="2025-10-02"/>
    <s v="BIR REGISTRATION"/>
    <n v="1"/>
    <n v="500"/>
    <n v="500"/>
    <n v="500"/>
    <s v="MARITESS"/>
  </r>
  <r>
    <x v="254"/>
    <s v="INSPIRA PRIME INTERNATIONAL CORPORATION - SO-073"/>
    <s v="SO-073"/>
    <s v="INSPIRA PRIME INTERNATIONAL CORPORATION"/>
    <s v="AQUAFLASK DESIGN"/>
    <s v="GENERIC"/>
    <s v="50% DOWNPAYMENT, 50% W/IN 30 DAYS"/>
    <s v="2025-10-02"/>
    <s v="EOS MINI PC I5, 8GB"/>
    <n v="1"/>
    <n v="20800"/>
    <n v="23000"/>
    <n v="23000"/>
    <s v="MARITESS"/>
  </r>
  <r>
    <x v="254"/>
    <s v="INSPIRA PRIME INTERNATIONAL CORPORATION - SO-073"/>
    <s v="SO-073"/>
    <s v="INSPIRA PRIME INTERNATIONAL CORPORATION"/>
    <s v="AQUAFLASK DESIGN"/>
    <s v="GENERIC"/>
    <s v="50% DOWNPAYMENT, 50% W/IN 30 DAYS"/>
    <s v="2025-10-02"/>
    <s v="NVME M.2 500GB SSD"/>
    <n v="1"/>
    <n v="2334"/>
    <n v="3200"/>
    <n v="3200"/>
    <s v="MARITESS"/>
  </r>
  <r>
    <x v="254"/>
    <s v="INSPIRA PRIME INTERNATIONAL CORPORATION - SO-073"/>
    <s v="SO-073"/>
    <s v="INSPIRA PRIME INTERNATIONAL CORPORATION"/>
    <s v="AQUAFLASK DESIGN"/>
    <s v="GENERIC"/>
    <s v="50% DOWNPAYMENT, 50% W/IN 30 DAYS"/>
    <s v="2025-10-02"/>
    <s v="WINDOWS 11 PRO"/>
    <n v="1"/>
    <n v="2800"/>
    <n v="3200"/>
    <n v="3200"/>
    <s v="MARITESS"/>
  </r>
  <r>
    <x v="254"/>
    <s v="INSPIRA PRIME INTERNATIONAL CORPORATION - SO-073"/>
    <s v="SO-073"/>
    <s v="INSPIRA PRIME INTERNATIONAL CORPORATION"/>
    <s v="AQUAFLASK DESIGN"/>
    <s v="GENERIC"/>
    <s v="50% DOWNPAYMENT, 50% W/IN 30 DAYS"/>
    <s v="2025-10-02"/>
    <s v="KEYBOARD AND MOUSE"/>
    <n v="1"/>
    <n v="500"/>
    <n v="600"/>
    <n v="600"/>
    <s v="MARITESS"/>
  </r>
  <r>
    <x v="254"/>
    <s v="INSPIRA PRIME INTERNATIONAL CORPORATION - SO-073"/>
    <s v="SO-073"/>
    <s v="INSPIRA PRIME INTERNATIONAL CORPORATION"/>
    <s v="AQUAFLASK DESIGN"/>
    <s v="GENERIC"/>
    <s v="50% DOWNPAYMENT, 50% W/IN 30 DAYS"/>
    <s v="2025-10-02"/>
    <s v="EOS FAN WITH COVER"/>
    <n v="1"/>
    <n v="350"/>
    <n v="400"/>
    <n v="400"/>
    <s v="MARITESS"/>
  </r>
  <r>
    <x v="254"/>
    <s v="INSPIRA PRIME INTERNATIONAL CORPORATION - SO-073"/>
    <s v="SO-073"/>
    <s v="INSPIRA PRIME INTERNATIONAL CORPORATION"/>
    <s v="AQUAFLASK DESIGN"/>
    <s v="GENERIC"/>
    <s v="50% DOWNPAYMENT, 50% W/IN 30 DAYS"/>
    <s v="2025-10-02"/>
    <s v="KASPERKY ANTI VIRUS"/>
    <n v="1"/>
    <n v="970"/>
    <n v="1200"/>
    <n v="1200"/>
    <s v="MARITESS"/>
  </r>
  <r>
    <x v="254"/>
    <s v="INSPIRA PRIME INTERNATIONAL CORPORATION - SO-073"/>
    <s v="SO-073"/>
    <s v="INSPIRA PRIME INTERNATIONAL CORPORATION"/>
    <s v="AQUAFLASK DESIGN"/>
    <s v="GENERIC"/>
    <s v="50% DOWNPAYMENT, 50% W/IN 30 DAYS"/>
    <s v="2025-10-02"/>
    <s v="LED MONITOR"/>
    <n v="1"/>
    <n v="4250"/>
    <n v="4700"/>
    <n v="4700"/>
    <s v="MARITESS"/>
  </r>
  <r>
    <x v="254"/>
    <s v="INSPIRA PRIME INTERNATIONAL CORPORATION - SO-073"/>
    <s v="SO-073"/>
    <s v="INSPIRA PRIME INTERNATIONAL CORPORATION"/>
    <s v="AQUAFLASK DESIGN"/>
    <s v="GENERIC"/>
    <s v="50% DOWNPAYMENT, 50% W/IN 30 DAYS"/>
    <s v="2025-10-02"/>
    <s v="MINI CASH DRAWER"/>
    <n v="1"/>
    <n v="1350"/>
    <n v="1700"/>
    <n v="1700"/>
    <s v="MARITESS"/>
  </r>
  <r>
    <x v="254"/>
    <s v="INSPIRA PRIME INTERNATIONAL CORPORATION - SO-073"/>
    <s v="SO-073"/>
    <s v="INSPIRA PRIME INTERNATIONAL CORPORATION"/>
    <s v="AQUAFLASK DESIGN"/>
    <s v="GENERIC"/>
    <s v="50% DOWNPAYMENT, 50% W/IN 30 DAYS"/>
    <s v="2025-10-02"/>
    <s v="EPSON TM U220D USB PRINTER"/>
    <n v="1"/>
    <n v="8500"/>
    <n v="10000"/>
    <n v="10000"/>
    <s v="MARITESS"/>
  </r>
  <r>
    <x v="254"/>
    <s v="INSPIRA PRIME INTERNATIONAL CORPORATION - SO-073"/>
    <s v="SO-073"/>
    <s v="INSPIRA PRIME INTERNATIONAL CORPORATION"/>
    <s v="AQUAFLASK DESIGN"/>
    <s v="GENERIC"/>
    <s v="50% DOWNPAYMENT, 50% W/IN 30 DAYS"/>
    <s v="2025-10-02"/>
    <s v="APC UPS"/>
    <n v="1"/>
    <n v="2200"/>
    <n v="3000"/>
    <n v="3000"/>
    <s v="MARITESS"/>
  </r>
  <r>
    <x v="254"/>
    <s v="INSPIRA PRIME INTERNATIONAL CORPORATION - SO-073"/>
    <s v="SO-073"/>
    <s v="INSPIRA PRIME INTERNATIONAL CORPORATION"/>
    <s v="AQUAFLASK DESIGN"/>
    <s v="GENERIC"/>
    <s v="50% DOWNPAYMENT, 50% W/IN 30 DAYS"/>
    <s v="2025-10-02"/>
    <s v="BIRCH BARCODE SCANNER"/>
    <n v="1"/>
    <n v="3000"/>
    <n v="4000"/>
    <n v="4000"/>
    <s v="MARITESS"/>
  </r>
  <r>
    <x v="255"/>
    <s v="THE VALLEY STORE PH - SO-074"/>
    <s v="SO-074"/>
    <s v="THE VALLEY STORE PH"/>
    <s v="THE VALLEY"/>
    <s v="AYALA MALLS THE 30TH"/>
    <s v="50% DP, 50% - 30 DAYS"/>
    <s v="2025-10-03"/>
    <s v="RDMS V4"/>
    <n v="1"/>
    <n v="3675"/>
    <n v="10500"/>
    <n v="10500"/>
    <s v="JOANNE"/>
  </r>
  <r>
    <x v="255"/>
    <s v="THE VALLEY STORE PH - SO-074"/>
    <s v="SO-074"/>
    <s v="THE VALLEY STORE PH"/>
    <s v="THE VALLEY"/>
    <s v="AYALA MALLS THE 30TH"/>
    <s v="50% DP, 50% - 30 DAYS"/>
    <s v="2025-10-03"/>
    <s v="BIR REGISTRATION"/>
    <n v="1"/>
    <n v="500"/>
    <n v="500"/>
    <n v="500"/>
    <s v="JOANNE"/>
  </r>
  <r>
    <x v="255"/>
    <s v="THE VALLEY STORE PH - SO-074"/>
    <s v="SO-074"/>
    <s v="THE VALLEY STORE PH"/>
    <s v="THE VALLEY"/>
    <s v="AYALA MALLS THE 30TH"/>
    <s v="50% DP, 50% - 30 DAYS"/>
    <s v="2025-10-03"/>
    <s v="ROLL OUT/IMPLEMENTATION"/>
    <n v="1"/>
    <n v="9500"/>
    <n v="9500"/>
    <n v="9500"/>
    <s v="JOANNE"/>
  </r>
  <r>
    <x v="255"/>
    <s v="THE VALLEY STORE PH - SO-074"/>
    <s v="SO-074"/>
    <s v="THE VALLEY STORE PH"/>
    <s v="THE VALLEY"/>
    <s v="AYALA MALLS THE 30TH"/>
    <s v="50% DP, 50% - 30 DAYS"/>
    <s v="2025-10-03"/>
    <s v="ONE YEAR WARRANTY"/>
    <n v="1"/>
    <n v="9500"/>
    <n v="9500"/>
    <n v="9500"/>
    <s v="JOANNE"/>
  </r>
  <r>
    <x v="247"/>
    <s v="OLAES CHRISTIAN GERALD TORRES - SO-075"/>
    <s v="SO-075"/>
    <s v="OLAES CHRISTIAN GERALD TORRES"/>
    <s v="THE CRUNCH"/>
    <s v="GENERIC"/>
    <s v="FULLY PAID"/>
    <s v="2025-10-06"/>
    <s v="EPSON TM - U220D USB"/>
    <n v="1"/>
    <n v="8500"/>
    <n v="12500"/>
    <n v="12500"/>
    <s v="MARITESS"/>
  </r>
  <r>
    <x v="247"/>
    <s v="OLAES CHRISTIAN GERALD TORRES - SO-075"/>
    <s v="SO-075"/>
    <s v="OLAES CHRISTIAN GERALD TORRES"/>
    <s v="THE CRUNCH"/>
    <s v="GENERIC"/>
    <s v="FULLY PAID"/>
    <s v="2025-10-06"/>
    <s v="SINGLE PLY JOURNAL PAPER"/>
    <n v="14"/>
    <n v="17"/>
    <n v="25"/>
    <n v="350"/>
    <s v="MARITESS"/>
  </r>
  <r>
    <x v="250"/>
    <s v="CORTEZ IAN CARL CORPUZ - SO-076"/>
    <s v="SO-076"/>
    <s v="CORTEZ IAN CARL CORPUZ"/>
    <s v="FERINO'S CAFÉ"/>
    <s v="GENERIC"/>
    <s v="PAID"/>
    <s v="2025-10-06"/>
    <s v="ERC RIBBON"/>
    <n v="2"/>
    <n v="75"/>
    <n v="250"/>
    <n v="500"/>
    <s v="MARITESS"/>
  </r>
  <r>
    <x v="256"/>
    <s v="STAR 360 PHILIPPINES INC - SO-077"/>
    <s v="SO-077"/>
    <s v="STAR 360 PHILIPPINES INC"/>
    <s v="YANKEE CANDLES"/>
    <s v="SM MOA"/>
    <s v="40% DOWNPAYMENT, 60% W/IN 30 DAYS"/>
    <s v="2025-10-08"/>
    <s v="RDMS SQL+ VERSION 4"/>
    <n v="1"/>
    <n v="3675"/>
    <n v="10500"/>
    <n v="10500"/>
    <s v="JOANNE"/>
  </r>
  <r>
    <x v="256"/>
    <s v="STAR 360 PHILIPPINES INC - SO-077"/>
    <s v="SO-077"/>
    <s v="STAR 360 PHILIPPINES INC"/>
    <s v="YANKEE CANDLES"/>
    <s v="SM MOA"/>
    <s v="40% DOWNPAYMENT, 60% W/IN 30 DAYS"/>
    <s v="2025-10-08"/>
    <s v="ROLL OUT IMPLEMENTATION"/>
    <n v="1"/>
    <n v="3500"/>
    <n v="10000"/>
    <n v="10000"/>
    <s v="JOANNE"/>
  </r>
  <r>
    <x v="256"/>
    <s v="STAR 360 PHILIPPINES INC - SO-077"/>
    <s v="SO-077"/>
    <s v="STAR 360 PHILIPPINES INC"/>
    <s v="YANKEE CANDLES"/>
    <s v="SM MOA"/>
    <s v="40% DOWNPAYMENT, 60% W/IN 30 DAYS"/>
    <s v="2025-10-08"/>
    <s v="ONE YEAR WARRANTY"/>
    <n v="1"/>
    <n v="3500"/>
    <n v="10000"/>
    <n v="10000"/>
    <s v="JOANNE"/>
  </r>
  <r>
    <x v="256"/>
    <s v="STAR 360 PHILIPPINES INC - SO-077"/>
    <s v="SO-077"/>
    <s v="STAR 360 PHILIPPINES INC"/>
    <s v="YANKEE CANDLES"/>
    <s v="SM MOA"/>
    <s v="40% DOWNPAYMENT, 60% W/IN 30 DAYS"/>
    <s v="2025-10-08"/>
    <s v="BIR REGISTRATION"/>
    <n v="1"/>
    <n v="500"/>
    <n v="500"/>
    <n v="500"/>
    <s v="JOANNE"/>
  </r>
  <r>
    <x v="256"/>
    <s v="STAR 360 PHILIPPINES INC - SO-077"/>
    <s v="SO-077"/>
    <s v="STAR 360 PHILIPPINES INC"/>
    <s v="YANKEE CANDLES"/>
    <s v="SM MOA"/>
    <s v="40% DOWNPAYMENT, 60% W/IN 30 DAYS"/>
    <s v="2025-10-08"/>
    <s v="EOS MINI PC I5, 8GB, 512GB NVME M.2 SSD"/>
    <n v="1"/>
    <n v="23450"/>
    <n v="30300"/>
    <n v="30300"/>
    <s v="JOANNE"/>
  </r>
  <r>
    <x v="256"/>
    <s v="STAR 360 PHILIPPINES INC - SO-077"/>
    <s v="SO-077"/>
    <s v="STAR 360 PHILIPPINES INC"/>
    <s v="YANKEE CANDLES"/>
    <s v="SM MOA"/>
    <s v="40% DOWNPAYMENT, 60% W/IN 30 DAYS"/>
    <s v="2025-10-08"/>
    <s v="WINDOWS 11 PRO"/>
    <n v="1"/>
    <n v="2000"/>
    <n v="4000"/>
    <n v="4000"/>
    <s v="JOANNE"/>
  </r>
  <r>
    <x v="256"/>
    <s v="STAR 360 PHILIPPINES INC - SO-077"/>
    <s v="SO-077"/>
    <s v="STAR 360 PHILIPPINES INC"/>
    <s v="YANKEE CANDLES"/>
    <s v="SM MOA"/>
    <s v="40% DOWNPAYMENT, 60% W/IN 30 DAYS"/>
    <s v="2025-10-08"/>
    <s v="KEYBOARD AND MOUSE"/>
    <n v="1"/>
    <n v="500"/>
    <n v="700"/>
    <n v="700"/>
    <s v="JOANNE"/>
  </r>
  <r>
    <x v="256"/>
    <s v="STAR 360 PHILIPPINES INC - SO-077"/>
    <s v="SO-077"/>
    <s v="STAR 360 PHILIPPINES INC"/>
    <s v="YANKEE CANDLES"/>
    <s v="SM MOA"/>
    <s v="40% DOWNPAYMENT, 60% W/IN 30 DAYS"/>
    <s v="2025-10-08"/>
    <s v="EOS FAN WITH COVER"/>
    <n v="1"/>
    <n v="350"/>
    <n v="500"/>
    <n v="500"/>
    <s v="JOANNE"/>
  </r>
  <r>
    <x v="256"/>
    <s v="STAR 360 PHILIPPINES INC - SO-077"/>
    <s v="SO-077"/>
    <s v="STAR 360 PHILIPPINES INC"/>
    <s v="YANKEE CANDLES"/>
    <s v="SM MOA"/>
    <s v="40% DOWNPAYMENT, 60% W/IN 30 DAYS"/>
    <s v="2025-10-08"/>
    <s v="KASPERKY ANTI VIRUS"/>
    <n v="1"/>
    <n v="970"/>
    <n v="1500"/>
    <n v="1500"/>
    <s v="JOANNE"/>
  </r>
  <r>
    <x v="256"/>
    <s v="STAR 360 PHILIPPINES INC - SO-077"/>
    <s v="SO-077"/>
    <s v="STAR 360 PHILIPPINES INC"/>
    <s v="YANKEE CANDLES"/>
    <s v="SM MOA"/>
    <s v="40% DOWNPAYMENT, 60% W/IN 30 DAYS"/>
    <s v="2025-10-08"/>
    <s v="ORDINARY MONITOR"/>
    <n v="1"/>
    <n v="4250"/>
    <n v="6500"/>
    <n v="6500"/>
    <s v="JOANNE"/>
  </r>
  <r>
    <x v="256"/>
    <s v="STAR 360 PHILIPPINES INC - SO-077"/>
    <s v="SO-077"/>
    <s v="STAR 360 PHILIPPINES INC"/>
    <s v="YANKEE CANDLES"/>
    <s v="SM MOA"/>
    <s v="40% DOWNPAYMENT, 60% W/IN 30 DAYS"/>
    <s v="2025-10-08"/>
    <s v="MINI CASH DRAWER"/>
    <n v="1"/>
    <n v="1350"/>
    <n v="2000"/>
    <n v="2000"/>
    <s v="JOANNE"/>
  </r>
  <r>
    <x v="256"/>
    <s v="STAR 360 PHILIPPINES INC - SO-077"/>
    <s v="SO-077"/>
    <s v="STAR 360 PHILIPPINES INC"/>
    <s v="YANKEE CANDLES"/>
    <s v="SM MOA"/>
    <s v="40% DOWNPAYMENT, 60% W/IN 30 DAYS"/>
    <s v="2025-10-08"/>
    <s v="APC UPS"/>
    <n v="1"/>
    <n v="2200"/>
    <n v="3500"/>
    <n v="3500"/>
    <s v="JOANNE"/>
  </r>
  <r>
    <x v="256"/>
    <s v="STAR 360 PHILIPPINES INC - SO-077"/>
    <s v="SO-077"/>
    <s v="STAR 360 PHILIPPINES INC"/>
    <s v="YANKEE CANDLES"/>
    <s v="SM MOA"/>
    <s v="40% DOWNPAYMENT, 60% W/IN 30 DAYS"/>
    <s v="2025-10-08"/>
    <s v="DELIVERY FEE"/>
    <n v="1"/>
    <n v="500"/>
    <n v="500"/>
    <n v="500"/>
    <s v="JOANNE"/>
  </r>
  <r>
    <x v="257"/>
    <s v="DERMA 360 CORP - SO-078"/>
    <s v="SO-078"/>
    <s v="DERMA 360 CORP"/>
    <s v="DERMA 360°"/>
    <s v="GENERIC"/>
    <s v="COD"/>
    <s v="2025-10-10"/>
    <s v="KASPERSY ANTIVIRUS"/>
    <n v="1"/>
    <n v="970"/>
    <n v="1500"/>
    <n v="1500"/>
    <s v="MARITESS"/>
  </r>
  <r>
    <x v="258"/>
    <s v="THE DAYKEEPER INC - SO-079"/>
    <s v="SO-079"/>
    <s v="THE DAYKEEPER INC"/>
    <s v="FRANKIE GENERAL STORE"/>
    <s v="GENERIC"/>
    <s v="COD"/>
    <s v="2025-10-10"/>
    <s v="PREVENTIVE MAINTENANCE"/>
    <n v="1"/>
    <n v="18000"/>
    <n v="18000"/>
    <n v="18000"/>
    <s v="MARITESS"/>
  </r>
  <r>
    <x v="257"/>
    <s v="DERMA 360 CORP - SO-080"/>
    <s v="SO-080"/>
    <s v="DERMA 360 CORP"/>
    <s v="DERMA 360°"/>
    <s v="GENERIC"/>
    <s v="COD"/>
    <s v="2025-10-10"/>
    <s v="ANNUAL PREVENTIVE MAINTENANCE"/>
    <n v="1"/>
    <n v="18000"/>
    <n v="18000"/>
    <n v="18000"/>
    <s v="MARITESS"/>
  </r>
  <r>
    <x v="259"/>
    <s v="COCOON INC - SO-081"/>
    <s v="SO-081"/>
    <s v="COCOON INC"/>
    <s v="NAIL SPA"/>
    <s v="GENERIC"/>
    <s v="COD"/>
    <s v="2025-10-16"/>
    <s v="MAINTENANCE"/>
    <n v="1"/>
    <n v="18000"/>
    <n v="18000"/>
    <n v="18000"/>
    <s v="MARITESS"/>
  </r>
  <r>
    <x v="260"/>
    <s v="W R I WELLNESS RETAIL INNOVATIONS INC - SO-082"/>
    <s v="SO-082"/>
    <s v="W R I WELLNESS RETAIL INNOVATIONS INC"/>
    <s v="DR. KONG"/>
    <s v="FAIVIEW TERRACES"/>
    <s v="COD"/>
    <s v="2025-10-21"/>
    <s v="EPSON TMU220D USB PRINTER"/>
    <n v="1"/>
    <n v="8500"/>
    <n v="12500"/>
    <n v="12500"/>
    <s v="JOANNE"/>
  </r>
  <r>
    <x v="260"/>
    <s v="W R I WELLNESS RETAIL INNOVATIONS INC - SO-082"/>
    <s v="SO-082"/>
    <s v="W R I WELLNESS RETAIL INNOVATIONS INC"/>
    <s v="DR. KONG"/>
    <s v="FAIVIEW TERRACES"/>
    <s v="COD"/>
    <s v="2025-10-21"/>
    <s v="UPS APC"/>
    <n v="1"/>
    <n v="2200"/>
    <n v="3250"/>
    <n v="3250"/>
    <s v="JOANNE"/>
  </r>
  <r>
    <x v="260"/>
    <s v="W R I WELLNESS RETAIL INNOVATIONS INC - SO-082"/>
    <s v="SO-082"/>
    <s v="W R I WELLNESS RETAIL INNOVATIONS INC"/>
    <s v="DR. KONG"/>
    <s v="FAIVIEW TERRACES"/>
    <s v="COD"/>
    <s v="2025-10-21"/>
    <s v="ZEBRA 2D SCANNER"/>
    <n v="1"/>
    <n v="5400"/>
    <n v="7000"/>
    <n v="7000"/>
    <s v="JOANNE"/>
  </r>
  <r>
    <x v="260"/>
    <s v="W R I WELLNESS RETAIL INNOVATIONS INC - SO-082"/>
    <s v="SO-082"/>
    <s v="W R I WELLNESS RETAIL INNOVATIONS INC"/>
    <s v="DR. KONG"/>
    <s v="FAIVIEW TERRACES"/>
    <s v="COD"/>
    <s v="2025-10-21"/>
    <s v="GENERIC CASH DRAWER"/>
    <n v="1"/>
    <n v="2185"/>
    <n v="3250"/>
    <n v="3250"/>
    <s v="JOANNE"/>
  </r>
  <r>
    <x v="260"/>
    <s v="W R I WELLNESS RETAIL INNOVATIONS INC - SO-082"/>
    <s v="SO-082"/>
    <s v="W R I WELLNESS RETAIL INNOVATIONS INC"/>
    <s v="DR. KONG"/>
    <s v="FAIVIEW TERRACES"/>
    <s v="COD"/>
    <s v="2025-10-21"/>
    <s v="DELIVERY FEE"/>
    <n v="1"/>
    <n v="500"/>
    <n v="500"/>
    <n v="500"/>
    <s v="JOANNE"/>
  </r>
  <r>
    <x v="245"/>
    <s v="W R I WELLNESS RETAIL INNOVATIONS INC - SO-083"/>
    <s v="SO-083"/>
    <s v="W R I WELLNESS RETAIL INNOVATIONS INC"/>
    <s v="DR. KONG"/>
    <s v="HEAD OFFICE"/>
    <s v="50% DOWNPAYMENT, 50% W/IN 30 DAYS"/>
    <s v="2025-10-21"/>
    <s v="ZEBRA 2D SCANNER"/>
    <n v="2"/>
    <n v="5400"/>
    <n v="7000"/>
    <n v="14000"/>
    <s v="JOANNE"/>
  </r>
  <r>
    <x v="261"/>
    <s v="W R I WELLNESS RETAIL INNOVATIONS INC - SO-084"/>
    <s v="SO-084"/>
    <s v="W R I WELLNESS RETAIL INNOVATIONS INC"/>
    <s v="DR. KONG"/>
    <s v="MARKET MARKET"/>
    <s v="COD"/>
    <s v="2025-10-23"/>
    <s v="EPSON TMU220D USB PRINTER"/>
    <n v="1"/>
    <n v="8500"/>
    <n v="12500"/>
    <n v="12500"/>
    <s v="JOANNE"/>
  </r>
  <r>
    <x v="261"/>
    <s v="W R I WELLNESS RETAIL INNOVATIONS INC - SO-084"/>
    <s v="SO-084"/>
    <s v="W R I WELLNESS RETAIL INNOVATIONS INC"/>
    <s v="DR. KONG"/>
    <s v="MARKET MARKET"/>
    <s v="COD"/>
    <s v="2025-10-23"/>
    <s v="UPS APC"/>
    <n v="1"/>
    <n v="2200"/>
    <n v="3250"/>
    <n v="3250"/>
    <s v="JOANNE"/>
  </r>
  <r>
    <x v="261"/>
    <s v="W R I WELLNESS RETAIL INNOVATIONS INC - SO-084"/>
    <s v="SO-084"/>
    <s v="W R I WELLNESS RETAIL INNOVATIONS INC"/>
    <s v="DR. KONG"/>
    <s v="MARKET MARKET"/>
    <s v="COD"/>
    <s v="2025-10-23"/>
    <s v="ZEBRA 2D SCANNER"/>
    <n v="1"/>
    <n v="5400"/>
    <n v="7000"/>
    <n v="7000"/>
    <s v="JOANNE"/>
  </r>
  <r>
    <x v="261"/>
    <s v="W R I WELLNESS RETAIL INNOVATIONS INC - SO-084"/>
    <s v="SO-084"/>
    <s v="W R I WELLNESS RETAIL INNOVATIONS INC"/>
    <s v="DR. KONG"/>
    <s v="MARKET MARKET"/>
    <s v="COD"/>
    <s v="2025-10-23"/>
    <s v="GENERIC CASH DRAWER"/>
    <n v="1"/>
    <n v="2185"/>
    <n v="3250"/>
    <n v="3250"/>
    <s v="JOANNE"/>
  </r>
  <r>
    <x v="261"/>
    <s v="W R I WELLNESS RETAIL INNOVATIONS INC - SO-084"/>
    <s v="SO-084"/>
    <s v="W R I WELLNESS RETAIL INNOVATIONS INC"/>
    <s v="DR. KONG"/>
    <s v="MARKET MARKET"/>
    <s v="COD"/>
    <s v="2025-10-23"/>
    <s v="DELIVERY FEE"/>
    <n v="1"/>
    <n v="500"/>
    <n v="500"/>
    <n v="500"/>
    <s v="JOANNE"/>
  </r>
  <r>
    <x v="262"/>
    <s v="DAN S BIKESHOP INC - SO-085"/>
    <s v="SO-085"/>
    <s v="DAN S BIKESHOP INC"/>
    <s v="DAN'S BIKESHOP"/>
    <s v="GENERIC"/>
    <s v="FULLY PAID"/>
    <s v="2025-11-05"/>
    <s v="RDMS SQL+ VERSION 4.3.0"/>
    <n v="1"/>
    <n v="3675"/>
    <n v="10500"/>
    <n v="10500"/>
    <s v="MARITESS"/>
  </r>
  <r>
    <x v="262"/>
    <s v="DAN S BIKESHOP INC - SO-085"/>
    <s v="SO-085"/>
    <s v="DAN S BIKESHOP INC"/>
    <s v="DAN'S BIKESHOP"/>
    <s v="GENERIC"/>
    <s v="FULLY PAID"/>
    <s v="2025-11-05"/>
    <s v="ROLL OUT IMPLEMENTATION"/>
    <n v="1"/>
    <n v="9500"/>
    <n v="9500"/>
    <n v="9500"/>
    <s v="MARITESS"/>
  </r>
  <r>
    <x v="262"/>
    <s v="DAN S BIKESHOP INC - SO-085"/>
    <s v="SO-085"/>
    <s v="DAN S BIKESHOP INC"/>
    <s v="DAN'S BIKESHOP"/>
    <s v="GENERIC"/>
    <s v="FULLY PAID"/>
    <s v="2025-11-05"/>
    <s v="ONE YEAR WARRANTY"/>
    <n v="1"/>
    <n v="9000"/>
    <n v="9000"/>
    <n v="9000"/>
    <s v="MARITESS"/>
  </r>
  <r>
    <x v="262"/>
    <s v="DAN S BIKESHOP INC - SO-085"/>
    <s v="SO-085"/>
    <s v="DAN S BIKESHOP INC"/>
    <s v="DAN'S BIKESHOP"/>
    <s v="GENERIC"/>
    <s v="FULLY PAID"/>
    <s v="2025-11-05"/>
    <s v="BIR REGISTRATION"/>
    <n v="1"/>
    <n v="500"/>
    <n v="500"/>
    <n v="500"/>
    <s v="MARITESS"/>
  </r>
  <r>
    <x v="262"/>
    <s v="DAN S BIKESHOP INC - SO-085"/>
    <s v="SO-085"/>
    <s v="DAN S BIKESHOP INC"/>
    <s v="DAN'S BIKESHOP"/>
    <s v="GENERIC"/>
    <s v="FULLY PAID"/>
    <s v="2025-11-05"/>
    <s v="EOS MINI PC I5, 8GB"/>
    <n v="1"/>
    <n v="20800"/>
    <n v="26000"/>
    <n v="26000"/>
    <s v="MARITESS"/>
  </r>
  <r>
    <x v="262"/>
    <s v="DAN S BIKESHOP INC - SO-085"/>
    <s v="SO-085"/>
    <s v="DAN S BIKESHOP INC"/>
    <s v="DAN'S BIKESHOP"/>
    <s v="GENERIC"/>
    <s v="FULLY PAID"/>
    <s v="2025-11-05"/>
    <s v="NVME M.2 500GB SSD"/>
    <n v="1"/>
    <n v="2334"/>
    <n v="4000"/>
    <n v="4000"/>
    <s v="MARITESS"/>
  </r>
  <r>
    <x v="262"/>
    <s v="DAN S BIKESHOP INC - SO-085"/>
    <s v="SO-085"/>
    <s v="DAN S BIKESHOP INC"/>
    <s v="DAN'S BIKESHOP"/>
    <s v="GENERIC"/>
    <s v="FULLY PAID"/>
    <s v="2025-11-05"/>
    <s v="WINDOWS 11 PRO"/>
    <n v="1"/>
    <n v="2000"/>
    <n v="4000"/>
    <n v="4000"/>
    <s v="MARITESS"/>
  </r>
  <r>
    <x v="262"/>
    <s v="DAN S BIKESHOP INC - SO-085"/>
    <s v="SO-085"/>
    <s v="DAN S BIKESHOP INC"/>
    <s v="DAN'S BIKESHOP"/>
    <s v="GENERIC"/>
    <s v="FULLY PAID"/>
    <s v="2025-11-05"/>
    <s v="KEYBOARD AND MOUSE"/>
    <n v="1"/>
    <n v="500"/>
    <n v="600"/>
    <n v="600"/>
    <s v="MARITESS"/>
  </r>
  <r>
    <x v="262"/>
    <s v="DAN S BIKESHOP INC - SO-085"/>
    <s v="SO-085"/>
    <s v="DAN S BIKESHOP INC"/>
    <s v="DAN'S BIKESHOP"/>
    <s v="GENERIC"/>
    <s v="FULLY PAID"/>
    <s v="2025-11-05"/>
    <s v="EOS FAN WITH COVER"/>
    <n v="1"/>
    <n v="350"/>
    <n v="400"/>
    <n v="400"/>
    <s v="MARITESS"/>
  </r>
  <r>
    <x v="262"/>
    <s v="DAN S BIKESHOP INC - SO-085"/>
    <s v="SO-085"/>
    <s v="DAN S BIKESHOP INC"/>
    <s v="DAN'S BIKESHOP"/>
    <s v="GENERIC"/>
    <s v="FULLY PAID"/>
    <s v="2025-11-05"/>
    <s v="POSEIDON POLE DISPLAY"/>
    <n v="1"/>
    <n v="3000"/>
    <n v="4500"/>
    <n v="4500"/>
    <s v="MARITESS"/>
  </r>
  <r>
    <x v="262"/>
    <s v="DAN S BIKESHOP INC - SO-085"/>
    <s v="SO-085"/>
    <s v="DAN S BIKESHOP INC"/>
    <s v="DAN'S BIKESHOP"/>
    <s v="GENERIC"/>
    <s v="FULLY PAID"/>
    <s v="2025-11-05"/>
    <s v="LED MONITOR"/>
    <n v="1"/>
    <n v="4250"/>
    <n v="6000"/>
    <n v="6000"/>
    <s v="MARITESS"/>
  </r>
  <r>
    <x v="262"/>
    <s v="DAN S BIKESHOP INC - SO-085"/>
    <s v="SO-085"/>
    <s v="DAN S BIKESHOP INC"/>
    <s v="DAN'S BIKESHOP"/>
    <s v="GENERIC"/>
    <s v="FULLY PAID"/>
    <s v="2025-11-05"/>
    <s v="CASH DRAWER"/>
    <n v="1"/>
    <n v="2185"/>
    <n v="3000"/>
    <n v="3000"/>
    <s v="MARITESS"/>
  </r>
  <r>
    <x v="262"/>
    <s v="DAN S BIKESHOP INC - SO-085"/>
    <s v="SO-085"/>
    <s v="DAN S BIKESHOP INC"/>
    <s v="DAN'S BIKESHOP"/>
    <s v="GENERIC"/>
    <s v="FULLY PAID"/>
    <s v="2025-11-05"/>
    <s v="EPSON TM U220D USB PRINTER"/>
    <n v="1"/>
    <n v="8500"/>
    <n v="12000"/>
    <n v="12000"/>
    <s v="MARITESS"/>
  </r>
  <r>
    <x v="262"/>
    <s v="DAN S BIKESHOP INC - SO-085"/>
    <s v="SO-085"/>
    <s v="DAN S BIKESHOP INC"/>
    <s v="DAN'S BIKESHOP"/>
    <s v="GENERIC"/>
    <s v="FULLY PAID"/>
    <s v="2025-11-05"/>
    <s v="APC UPS"/>
    <n v="1"/>
    <n v="2200"/>
    <n v="3500"/>
    <n v="3500"/>
    <s v="MARITESS"/>
  </r>
  <r>
    <x v="262"/>
    <s v="DAN S BIKESHOP INC - SO-085"/>
    <s v="SO-085"/>
    <s v="DAN S BIKESHOP INC"/>
    <s v="DAN'S BIKESHOP"/>
    <s v="GENERIC"/>
    <s v="FULLY PAID"/>
    <s v="2025-11-05"/>
    <s v="DELIVERY FEE"/>
    <n v="1"/>
    <n v="500"/>
    <n v="500"/>
    <n v="500"/>
    <s v="MARITESS"/>
  </r>
  <r>
    <x v="203"/>
    <s v="TIONG BAHRU PHILIPPINES INC - SO-086"/>
    <s v="SO-086"/>
    <s v="TIONG BAHRU PHILIPPINES INC"/>
    <s v="TIONG BAHRU"/>
    <s v="GENERIC"/>
    <s v="FULL PAYMENT"/>
    <s v="2025-11-20"/>
    <s v="EPSON TM - U220B LAN"/>
    <n v="1"/>
    <n v="9500"/>
    <n v="13300"/>
    <n v="13300"/>
    <s v="MARITESS"/>
  </r>
  <r>
    <x v="203"/>
    <s v="TIONG BAHRU PHILIPPINES INC - SO-086"/>
    <s v="SO-086"/>
    <s v="TIONG BAHRU PHILIPPINES INC"/>
    <s v="TIONG BAHRU"/>
    <s v="GENERIC"/>
    <s v="FULL PAYMENT"/>
    <s v="2025-11-20"/>
    <s v="DELIVERY FEE"/>
    <n v="1"/>
    <n v="200"/>
    <n v="200"/>
    <n v="200"/>
    <s v="MARITESS"/>
  </r>
  <r>
    <x v="253"/>
    <s v="FRANKIE GENERAL STORE - SO-087"/>
    <s v="SO-087"/>
    <s v="FRANKIE GENERAL STORE"/>
    <s v="FRANKIE GENERAL STORE"/>
    <s v="GENERIC"/>
    <s v="FULLY PAID"/>
    <s v="2025-11-25"/>
    <s v="500GB SSD"/>
    <n v="1"/>
    <n v="2650"/>
    <n v="4500"/>
    <n v="4500"/>
    <s v="MARITESS"/>
  </r>
  <r>
    <x v="253"/>
    <s v="FRANKIE GENERAL STORE - SO-087"/>
    <s v="SO-087"/>
    <s v="FRANKIE GENERAL STORE"/>
    <s v="FRANKIE GENERAL STORE"/>
    <s v="GENERIC"/>
    <s v="FULLY PAID"/>
    <s v="2025-11-25"/>
    <s v="WINDOWS 11"/>
    <n v="1"/>
    <n v="2000"/>
    <n v="3000"/>
    <n v="3000"/>
    <s v="MARITESS"/>
  </r>
  <r>
    <x v="203"/>
    <s v="TIONG BAHRU PHILIPPINES INC - SO-088"/>
    <s v="SO-088"/>
    <s v="TIONG BAHRU PHILIPPINES INC"/>
    <s v="TIONG BAHRU"/>
    <s v="GENERIC"/>
    <s v="FULL PAYMENT"/>
    <s v="2025-12-05"/>
    <s v="EPSON TM - U220B LAN"/>
    <n v="1"/>
    <n v="9500"/>
    <n v="13000"/>
    <n v="13000"/>
    <s v="MARITESS"/>
  </r>
  <r>
    <x v="263"/>
    <s v="WHITE PERUGIA OPC - SO-089"/>
    <s v="SO-089"/>
    <s v="WHITE PERUGIA OPC"/>
    <s v="RHETT EALA"/>
    <s v="ROCKWELL"/>
    <s v="COD"/>
    <s v="2025-12-05"/>
    <s v="EOS POWER ADAPTOR"/>
    <n v="1"/>
    <n v="850"/>
    <n v="2500"/>
    <n v="2500"/>
    <s v="JOANNE"/>
  </r>
  <r>
    <x v="264"/>
    <s v="ALLURE EMPIRE CORPORATION - SO-090"/>
    <s v="SO-090"/>
    <s v="ALLURE EMPIRE CORPORATION"/>
    <s v="CHU CHU BEAUTY"/>
    <s v="MARKET! MARKET!"/>
    <s v="50% DP, 50% - 30 DAYS"/>
    <s v="2025-12-11"/>
    <s v="RDMS V3"/>
    <n v="1"/>
    <n v="3675"/>
    <n v="10500"/>
    <n v="10500"/>
    <s v="JOANNE"/>
  </r>
  <r>
    <x v="264"/>
    <s v="ALLURE EMPIRE CORPORATION - SO-090"/>
    <s v="SO-090"/>
    <s v="ALLURE EMPIRE CORPORATION"/>
    <s v="CHU CHU BEAUTY"/>
    <s v="MARKET! MARKET!"/>
    <s v="50% DP, 50% - 30 DAYS"/>
    <s v="2025-12-11"/>
    <s v="BIR REGISTRATION"/>
    <n v="1"/>
    <n v="500"/>
    <n v="500"/>
    <n v="500"/>
    <s v="JOANNE"/>
  </r>
  <r>
    <x v="264"/>
    <s v="ALLURE EMPIRE CORPORATION - SO-090"/>
    <s v="SO-090"/>
    <s v="ALLURE EMPIRE CORPORATION"/>
    <s v="CHU CHU BEAUTY"/>
    <s v="MARKET! MARKET!"/>
    <s v="50% DP, 50% - 30 DAYS"/>
    <s v="2025-12-11"/>
    <s v="ROLL OUT/IMPLEMENTATION"/>
    <n v="1"/>
    <n v="9500"/>
    <n v="9500"/>
    <n v="9500"/>
    <s v="JOANNE"/>
  </r>
  <r>
    <x v="264"/>
    <s v="ALLURE EMPIRE CORPORATION - SO-090"/>
    <s v="SO-090"/>
    <s v="ALLURE EMPIRE CORPORATION"/>
    <s v="CHU CHU BEAUTY"/>
    <s v="MARKET! MARKET!"/>
    <s v="50% DP, 50% - 30 DAYS"/>
    <s v="2025-12-11"/>
    <s v="ONE YEAR WARRANTY"/>
    <n v="1"/>
    <n v="9500"/>
    <n v="9500"/>
    <n v="9500"/>
    <s v="JOANNE"/>
  </r>
  <r>
    <x v="221"/>
    <s v="HOUSE OF OBAGI - SO-091"/>
    <s v="SO-091"/>
    <s v="HOUSE OF OBAGI"/>
    <s v="HOUSE OF OBAGI"/>
    <s v="ROBINSONS PLACE MANILA"/>
    <s v="FULLY PAID"/>
    <s v="2025-12-12"/>
    <s v="EPSON TM - U220D USB"/>
    <n v="1"/>
    <n v="8500"/>
    <n v="11000"/>
    <n v="11000"/>
    <s v="JOANNE"/>
  </r>
  <r>
    <x v="265"/>
    <s v="ALLURE EMPIRE CORPORATION - SO-092"/>
    <s v="SO-092"/>
    <s v="ALLURE EMPIRE CORPORATION"/>
    <s v="CHU CHU BEAUTY"/>
    <s v="ARCA SOUTH"/>
    <s v="50% DP, 50% - 30 DAYS"/>
    <s v="2025-12-15"/>
    <s v="RDMS V3"/>
    <n v="1"/>
    <n v="3675"/>
    <n v="10500"/>
    <n v="10500"/>
    <s v="JOANNE"/>
  </r>
  <r>
    <x v="265"/>
    <s v="ALLURE EMPIRE CORPORATION - SO-092"/>
    <s v="SO-092"/>
    <s v="ALLURE EMPIRE CORPORATION"/>
    <s v="CHU CHU BEAUTY"/>
    <s v="ARCA SOUTH"/>
    <s v="50% DP, 50% - 30 DAYS"/>
    <s v="2025-12-15"/>
    <s v="BIR REGISTRATION"/>
    <n v="1"/>
    <n v="500"/>
    <n v="500"/>
    <n v="500"/>
    <s v="JOANNE"/>
  </r>
  <r>
    <x v="265"/>
    <s v="ALLURE EMPIRE CORPORATION - SO-092"/>
    <s v="SO-092"/>
    <s v="ALLURE EMPIRE CORPORATION"/>
    <s v="CHU CHU BEAUTY"/>
    <s v="ARCA SOUTH"/>
    <s v="50% DP, 50% - 30 DAYS"/>
    <s v="2025-12-15"/>
    <s v="ROLL OUT/IMPLEMENTATION"/>
    <n v="1"/>
    <n v="9500"/>
    <n v="9500"/>
    <n v="9500"/>
    <s v="JOANNE"/>
  </r>
  <r>
    <x v="265"/>
    <s v="ALLURE EMPIRE CORPORATION - SO-092"/>
    <s v="SO-092"/>
    <s v="ALLURE EMPIRE CORPORATION"/>
    <s v="CHU CHU BEAUTY"/>
    <s v="ARCA SOUTH"/>
    <s v="50% DP, 50% - 30 DAYS"/>
    <s v="2025-12-15"/>
    <s v="ONE YEAR WARRANTY"/>
    <n v="1"/>
    <n v="9500"/>
    <n v="9500"/>
    <n v="9500"/>
    <s v="JOANNE"/>
  </r>
  <r>
    <x v="231"/>
    <s v="PHARMASAFE INC - SO-093"/>
    <s v="SO-093"/>
    <s v="PHARMASAFE INC"/>
    <s v="MUSTELA"/>
    <s v="SM MEGAMALL"/>
    <s v="FULLY PAID"/>
    <s v="2025-12-23"/>
    <s v="EPSON TM - U220D USB"/>
    <n v="1"/>
    <n v="8500"/>
    <n v="12200"/>
    <n v="12200"/>
    <s v="JOANNE"/>
  </r>
  <r>
    <x v="231"/>
    <s v="PHARMASAFE INC - SO-093"/>
    <s v="SO-093"/>
    <s v="PHARMASAFE INC"/>
    <s v="MUSTELA"/>
    <s v="SM MEGAMALL"/>
    <s v="FULLY PAID"/>
    <s v="2025-12-23"/>
    <s v="MINI CASH DRAWER"/>
    <n v="1"/>
    <n v="1350"/>
    <n v="2000"/>
    <n v="2000"/>
    <s v="JOANNE"/>
  </r>
  <r>
    <x v="231"/>
    <s v="PHARMASAFE INC - SO-093"/>
    <s v="SO-093"/>
    <s v="PHARMASAFE INC"/>
    <s v="MUSTELA"/>
    <s v="SM MEGAMALL"/>
    <s v="FULLY PAID"/>
    <s v="2025-12-23"/>
    <s v="DELIVERY FEE"/>
    <n v="1"/>
    <n v="300"/>
    <n v="300"/>
    <n v="300"/>
    <s v="JOANNE"/>
  </r>
  <r>
    <x v="232"/>
    <s v="PHARMASAFE INC - SO-094"/>
    <s v="SO-094"/>
    <s v="PHARMASAFE INC"/>
    <s v="MUSTELA"/>
    <s v="SM MOA"/>
    <s v="FULLY PAID"/>
    <s v="2025-12-23"/>
    <s v="EPSON TM - U220D USB"/>
    <n v="1"/>
    <n v="8500"/>
    <n v="12200"/>
    <n v="12200"/>
    <s v="JOANNE"/>
  </r>
  <r>
    <x v="232"/>
    <s v="PHARMASAFE INC - SO-094"/>
    <s v="SO-094"/>
    <s v="PHARMASAFE INC"/>
    <s v="MUSTELA"/>
    <s v="SM MOA"/>
    <s v="FULLY PAID"/>
    <s v="2025-12-23"/>
    <s v="MINI CASH DRAWER"/>
    <n v="1"/>
    <n v="1350"/>
    <n v="2000"/>
    <n v="2000"/>
    <s v="JOANNE"/>
  </r>
  <r>
    <x v="232"/>
    <s v="PHARMASAFE INC - SO-094"/>
    <s v="SO-094"/>
    <s v="PHARMASAFE INC"/>
    <s v="MUSTELA"/>
    <s v="SM MOA"/>
    <s v="FULLY PAID"/>
    <s v="2025-12-23"/>
    <s v="DELIVERY FEE"/>
    <n v="1"/>
    <n v="300"/>
    <n v="300"/>
    <n v="300"/>
    <s v="JOANNE"/>
  </r>
  <r>
    <x v="266"/>
    <s v="TRE FIL HOLDINGS CORPORATION - SO-001"/>
    <s v="SO-001"/>
    <s v="TRE FIL HOLDINGS CORPORATION"/>
    <s v="COLONIAL CREAMERY"/>
    <s v="AYALA MALLS MANILA BAY"/>
    <s v="50% DOWNPAYMENT, 50% 35 DAYS PDC"/>
    <s v="2026-01-05"/>
    <s v="TSCERES SQL VER. 6 * NOTE: BIR REGISTRATION: BACCHUS SQL+ VERSION 2"/>
    <n v="1"/>
    <n v="3675"/>
    <n v="10500"/>
    <n v="10500"/>
    <s v="RUDELYN"/>
  </r>
  <r>
    <x v="266"/>
    <s v="TRE FIL HOLDINGS CORPORATION - SO-001"/>
    <s v="SO-001"/>
    <s v="TRE FIL HOLDINGS CORPORATION"/>
    <s v="COLONIAL CREAMERY"/>
    <s v="AYALA MALLS MANILA BAY"/>
    <s v="50% DOWNPAYMENT, 50% 35 DAYS PDC"/>
    <s v="2026-01-05"/>
    <s v="ROLLOUT IMPLEMENTATION"/>
    <n v="1"/>
    <n v="9200"/>
    <n v="9200"/>
    <n v="9200"/>
    <s v="RUDELYN"/>
  </r>
  <r>
    <x v="266"/>
    <s v="TRE FIL HOLDINGS CORPORATION - SO-001"/>
    <s v="SO-001"/>
    <s v="TRE FIL HOLDINGS CORPORATION"/>
    <s v="COLONIAL CREAMERY"/>
    <s v="AYALA MALLS MANILA BAY"/>
    <s v="50% DOWNPAYMENT, 50% 35 DAYS PDC"/>
    <s v="2026-01-05"/>
    <s v="1 YEAR WARRANTY"/>
    <n v="1"/>
    <n v="9200"/>
    <n v="9200"/>
    <n v="9200"/>
    <s v="RUDELYN"/>
  </r>
  <r>
    <x v="266"/>
    <s v="TRE FIL HOLDINGS CORPORATION - SO-001"/>
    <s v="SO-001"/>
    <s v="TRE FIL HOLDINGS CORPORATION"/>
    <s v="COLONIAL CREAMERY"/>
    <s v="AYALA MALLS MANILA BAY"/>
    <s v="50% DOWNPAYMENT, 50% 35 DAYS PDC"/>
    <s v="2026-01-05"/>
    <s v="EPSON TMU220D USB PRINTER"/>
    <n v="1"/>
    <n v="8500"/>
    <n v="12000"/>
    <n v="12000"/>
    <s v="RUDELYN"/>
  </r>
  <r>
    <x v="266"/>
    <s v="TRE FIL HOLDINGS CORPORATION - SO-001"/>
    <s v="SO-001"/>
    <s v="TRE FIL HOLDINGS CORPORATION"/>
    <s v="COLONIAL CREAMERY"/>
    <s v="AYALA MALLS MANILA BAY"/>
    <s v="50% DOWNPAYMENT, 50% 35 DAYS PDC"/>
    <s v="2026-01-05"/>
    <s v="APC UPS"/>
    <n v="1"/>
    <n v="2200"/>
    <n v="3000"/>
    <n v="3000"/>
    <s v="RUDELYN"/>
  </r>
  <r>
    <x v="266"/>
    <s v="TRE FIL HOLDINGS CORPORATION - SO-001"/>
    <s v="SO-001"/>
    <s v="TRE FIL HOLDINGS CORPORATION"/>
    <s v="COLONIAL CREAMERY"/>
    <s v="AYALA MALLS MANILA BAY"/>
    <s v="50% DOWNPAYMENT, 50% 35 DAYS PDC"/>
    <s v="2026-01-05"/>
    <s v="POSTECH 15&quot; TOUCHSCREEN MONITOR"/>
    <n v="1"/>
    <n v="11000"/>
    <n v="15000"/>
    <n v="15000"/>
    <s v="RUDELYN"/>
  </r>
  <r>
    <x v="266"/>
    <s v="TRE FIL HOLDINGS CORPORATION - SO-001"/>
    <s v="SO-001"/>
    <s v="TRE FIL HOLDINGS CORPORATION"/>
    <s v="COLONIAL CREAMERY"/>
    <s v="AYALA MALLS MANILA BAY"/>
    <s v="50% DOWNPAYMENT, 50% 35 DAYS PDC"/>
    <s v="2026-01-05"/>
    <s v="MINI CASH DRAWER"/>
    <n v="1"/>
    <n v="1350"/>
    <n v="2500"/>
    <n v="2500"/>
    <s v="RUDELYN"/>
  </r>
  <r>
    <x v="266"/>
    <s v="TRE FIL HOLDINGS CORPORATION - SO-001"/>
    <s v="SO-001"/>
    <s v="TRE FIL HOLDINGS CORPORATION"/>
    <s v="COLONIAL CREAMERY"/>
    <s v="AYALA MALLS MANILA BAY"/>
    <s v="50% DOWNPAYMENT, 50% 35 DAYS PDC"/>
    <s v="2026-01-05"/>
    <s v="DESKTOP CPU I5, 8GB RAM, 512 GB SSD"/>
    <n v="1"/>
    <n v="21500"/>
    <n v="33400"/>
    <n v="33400"/>
    <s v="RUDELYN"/>
  </r>
  <r>
    <x v="266"/>
    <s v="TRE FIL HOLDINGS CORPORATION - SO-001"/>
    <s v="SO-001"/>
    <s v="TRE FIL HOLDINGS CORPORATION"/>
    <s v="COLONIAL CREAMERY"/>
    <s v="AYALA MALLS MANILA BAY"/>
    <s v="50% DOWNPAYMENT, 50% 35 DAYS PDC"/>
    <s v="2026-01-05"/>
    <s v="KEYBOARD &amp; MOUSE"/>
    <n v="1"/>
    <n v="0"/>
    <n v="0"/>
    <n v="0"/>
    <s v="RUDELYN"/>
  </r>
  <r>
    <x v="266"/>
    <s v="TRE FIL HOLDINGS CORPORATION - SO-001"/>
    <s v="SO-001"/>
    <s v="TRE FIL HOLDINGS CORPORATION"/>
    <s v="COLONIAL CREAMERY"/>
    <s v="AYALA MALLS MANILA BAY"/>
    <s v="50% DOWNPAYMENT, 50% 35 DAYS PDC"/>
    <s v="2026-01-05"/>
    <s v="WINDOWS 11 PRO"/>
    <n v="1"/>
    <n v="2000"/>
    <n v="4000"/>
    <n v="4000"/>
    <s v="RUDELYN"/>
  </r>
  <r>
    <x v="266"/>
    <s v="TRE FIL HOLDINGS CORPORATION - SO-001"/>
    <s v="SO-001"/>
    <s v="TRE FIL HOLDINGS CORPORATION"/>
    <s v="COLONIAL CREAMERY"/>
    <s v="AYALA MALLS MANILA BAY"/>
    <s v="50% DOWNPAYMENT, 50% 35 DAYS PDC"/>
    <s v="2026-01-05"/>
    <s v="BIR REGISTRATION"/>
    <n v="1"/>
    <n v="500"/>
    <n v="500"/>
    <n v="500"/>
    <s v="RUDELYN"/>
  </r>
  <r>
    <x v="266"/>
    <s v="TRE FIL HOLDINGS CORPORATION - SO-001"/>
    <s v="SO-001"/>
    <s v="TRE FIL HOLDINGS CORPORATION"/>
    <s v="COLONIAL CREAMERY"/>
    <s v="AYALA MALLS MANILA BAY"/>
    <s v="50% DOWNPAYMENT, 50% 35 DAYS PDC"/>
    <s v="2026-01-05"/>
    <s v="DELIVERY FEE"/>
    <n v="1"/>
    <n v="700"/>
    <n v="700"/>
    <n v="700"/>
    <s v="RUDELYN"/>
  </r>
  <r>
    <x v="2"/>
    <s v="CHICKEN DELI - SO-001"/>
    <s v="SO-001"/>
    <s v="CHICKEN DELI"/>
    <s v="GONGCHA"/>
    <s v="GENERIC"/>
    <s v="N/A"/>
    <s v="2026-01-05"/>
    <s v="PREVENTIVE MAINTENANCE"/>
    <n v="1"/>
    <n v="6500"/>
    <n v="6500"/>
    <n v="6500"/>
    <s v="MARITESS"/>
  </r>
  <r>
    <x v="86"/>
    <s v="VILLSIBS INC - SO-002"/>
    <s v="SO-002"/>
    <s v="VILLSIBS INC"/>
    <s v="POTATO CORNER"/>
    <s v="GENERIC"/>
    <s v="COD"/>
    <s v="2026-01-05"/>
    <s v="JOURNAL PAPER - SINGLY PLY"/>
    <n v="50"/>
    <n v="17"/>
    <n v="25"/>
    <n v="1250"/>
    <s v="MARITESS"/>
  </r>
  <r>
    <x v="2"/>
    <s v="CHICKEN DELI - SO-002"/>
    <s v="SO-002"/>
    <s v="CHICKEN DELI"/>
    <s v="GONGCHA"/>
    <s v="GENERIC"/>
    <s v="N/A"/>
    <s v="2026-01-05"/>
    <s v="PREVENTIVE MAINTENANCE"/>
    <n v="1"/>
    <n v="6500"/>
    <n v="6500"/>
    <n v="6500"/>
    <s v="MARITESS"/>
  </r>
  <r>
    <x v="14"/>
    <s v="HUZZAH - SO-003"/>
    <s v="SO-003"/>
    <s v="HUZZAH"/>
    <s v="HUZZAH"/>
    <s v="GENERIC"/>
    <s v="COD"/>
    <s v="2026-01-05"/>
    <s v="JOURNAL PAPER - DOUBLE PLY"/>
    <n v="50"/>
    <n v="32"/>
    <n v="50"/>
    <n v="2500"/>
    <s v="RUDELYN"/>
  </r>
  <r>
    <x v="2"/>
    <s v="CHICKEN DELI - SO-003"/>
    <s v="SO-003"/>
    <s v="CHICKEN DELI"/>
    <s v="GONGCHA"/>
    <s v="GENERIC"/>
    <s v="N/A"/>
    <s v="2026-01-05"/>
    <s v="PREVENTIVE MAINTENANCE"/>
    <n v="2"/>
    <n v="6500"/>
    <n v="13000"/>
    <n v="26000"/>
    <s v="MARITESS"/>
  </r>
  <r>
    <x v="267"/>
    <s v="CHUA BEVERLY SANTOS - SO-26-004"/>
    <s v="SO-26-004"/>
    <s v="CHUA BEVERLY SANTOS"/>
    <s v="HOMIE PET"/>
    <s v="GENERIC"/>
    <s v="COD"/>
    <s v="2026-01-08"/>
    <s v="THMAL PAPER *80MMX80MM DELIVERY FEE"/>
    <n v="200"/>
    <n v="47"/>
    <n v="66"/>
    <n v="13200"/>
    <s v="RUDELYN"/>
  </r>
  <r>
    <x v="2"/>
    <s v="CHICKEN DELI - SO-004"/>
    <s v="SO-004"/>
    <s v="CHICKEN DELI"/>
    <s v="GONGCHA"/>
    <s v="GENERIC"/>
    <s v="N/A"/>
    <s v="2026-01-05"/>
    <s v="PREVENTIVE MAINTENANCE"/>
    <n v="2"/>
    <n v="6500"/>
    <n v="6500"/>
    <n v="13000"/>
    <s v="MARITESS"/>
  </r>
  <r>
    <x v="268"/>
    <s v="GENMAICHA TEA CORPORATION - SO-005"/>
    <s v="SO-005"/>
    <s v="GENMAICHA TEA CORPORATION"/>
    <s v="SERENITEA"/>
    <s v="NLEX"/>
    <s v="COD"/>
    <s v="2026-01-08"/>
    <s v="RIBBON GEAR"/>
    <n v="1"/>
    <n v="65"/>
    <n v="200"/>
    <n v="200"/>
    <s v="RUDELYN"/>
  </r>
  <r>
    <x v="2"/>
    <s v="CHICKEN DELI - SO-005"/>
    <s v="SO-005"/>
    <s v="CHICKEN DELI"/>
    <s v="GONGCHA"/>
    <s v="GENERIC"/>
    <s v="N/A"/>
    <s v="2026-01-05"/>
    <s v="PREVENTIVE MAINTENANCE"/>
    <n v="2"/>
    <n v="6500"/>
    <n v="6500"/>
    <n v="13000"/>
    <s v="MARITESS"/>
  </r>
  <r>
    <x v="121"/>
    <s v="VERONES CAROLYN GONZALEZ - SO-26-006"/>
    <s v="SO-26-006"/>
    <s v="VERONES CAROLYN GONZALEZ"/>
    <s v="VA BENE PASTA DELI"/>
    <s v="BGC"/>
    <s v="50% DOWNPAYMENT, 50% 35 DAYS PDC"/>
    <s v="2026-01-13"/>
    <s v="POSTECH 15&quot; TOUCHSCREEN MONITOR"/>
    <n v="1"/>
    <n v="11000"/>
    <n v="16200"/>
    <n v="16200"/>
    <s v="RUDELYN"/>
  </r>
  <r>
    <x v="121"/>
    <s v="VERONES CAROLYN GONZALEZ - SO-26-006"/>
    <s v="SO-26-006"/>
    <s v="VERONES CAROLYN GONZALEZ"/>
    <s v="VA BENE PASTA DELI"/>
    <s v="BGC"/>
    <s v="50% DOWNPAYMENT, 50% 35 DAYS PDC"/>
    <s v="2026-01-13"/>
    <s v="DELIVERY FEE"/>
    <n v="1"/>
    <n v="300"/>
    <n v="300"/>
    <n v="300"/>
    <s v="RUDELYN"/>
  </r>
  <r>
    <x v="103"/>
    <s v="SAINT MICHAEL FOODS OPC - SO-26-007"/>
    <s v="SO-26-007"/>
    <s v="SAINT MICHAEL FOODS OPC"/>
    <s v="DANIELITO'S HOME KITCHEN"/>
    <s v="GENERIC"/>
    <s v="COD"/>
    <s v="2026-01-14"/>
    <s v="APC UPS"/>
    <n v="1"/>
    <n v="2200"/>
    <n v="3500"/>
    <n v="3500"/>
    <s v="MARITESS"/>
  </r>
  <r>
    <x v="269"/>
    <s v="CHICKEN DELI - SO-007"/>
    <s v="SO-007"/>
    <s v="CHICKEN DELI"/>
    <s v="VICE COSMETICS"/>
    <s v="GENERIC"/>
    <s v="N/A"/>
    <s v="2026-01-08"/>
    <s v="PREVENTIVE MAINTENANCE"/>
    <n v="1"/>
    <n v="18000"/>
    <n v="18000"/>
    <n v="18000"/>
    <s v="MARITESS"/>
  </r>
  <r>
    <x v="269"/>
    <s v="CHICKEN DELI - SO-007"/>
    <s v="SO-007"/>
    <s v="CHICKEN DELI"/>
    <s v="VICE COSMETICS"/>
    <s v="GENERIC"/>
    <s v="N/A"/>
    <s v="2026-01-08"/>
    <s v="BIR REGISTRATION"/>
    <n v="1"/>
    <n v="1000"/>
    <n v="1000"/>
    <n v="1000"/>
    <s v="MARITESS"/>
  </r>
  <r>
    <x v="59"/>
    <s v="MYHAPPYHOME LIFESTYLE WARES TRADING - SO-26-008"/>
    <s v="SO-26-008"/>
    <s v="MYHAPPYHOME LIFESTYLE WARES TRADING"/>
    <s v="MY HAPPY HOME"/>
    <s v="GREENHILLS"/>
    <s v="COD"/>
    <s v="2026-01-15"/>
    <s v="JOURNAL PAPER - DOUBLE PLY"/>
    <n v="10"/>
    <n v="32"/>
    <n v="50"/>
    <n v="500"/>
    <s v="RUDELYN"/>
  </r>
  <r>
    <x v="10"/>
    <s v="CHICKEN DELI - SO-008"/>
    <s v="SO-008"/>
    <s v="CHICKEN DELI"/>
    <s v="MAGOOS"/>
    <s v="GENERIC"/>
    <s v="N/A"/>
    <s v="2026-01-08"/>
    <s v="MINI CASH BOX"/>
    <n v="1"/>
    <n v="1350"/>
    <n v="2600"/>
    <n v="2600"/>
    <s v="MARITESS"/>
  </r>
  <r>
    <x v="10"/>
    <s v="CHICKEN DELI - SO-008"/>
    <s v="SO-008"/>
    <s v="CHICKEN DELI"/>
    <s v="MAGOOS"/>
    <s v="GENERIC"/>
    <s v="N/A"/>
    <s v="2026-01-08"/>
    <s v="DELIVERY CHARGE"/>
    <n v="1"/>
    <n v="500"/>
    <n v="500"/>
    <n v="500"/>
    <s v="MARITESS"/>
  </r>
  <r>
    <x v="270"/>
    <s v="SEVILLA MARLON JR GUANO - SO-26-009"/>
    <s v="SO-26-009"/>
    <s v="SEVILLA MARLON JR GUANO"/>
    <s v="MASTER SIOMAI"/>
    <s v="GENERIC"/>
    <s v="COD"/>
    <s v="2026-01-20"/>
    <s v="EOS MINI CPU I5, 8GB RAM, 512 GB SSD"/>
    <n v="1"/>
    <n v="26250"/>
    <n v="30300"/>
    <n v="30300"/>
    <s v="MARITESS"/>
  </r>
  <r>
    <x v="270"/>
    <s v="SEVILLA MARLON JR GUANO - SO-26-009"/>
    <s v="SO-26-009"/>
    <s v="SEVILLA MARLON JR GUANO"/>
    <s v="MASTER SIOMAI"/>
    <s v="GENERIC"/>
    <s v="COD"/>
    <s v="2026-01-20"/>
    <s v="WINDOWS 11 PRO"/>
    <n v="1"/>
    <n v="2000"/>
    <n v="3000"/>
    <n v="3000"/>
    <s v="MARITESS"/>
  </r>
  <r>
    <x v="270"/>
    <s v="SEVILLA MARLON JR GUANO - SO-26-009"/>
    <s v="SO-26-009"/>
    <s v="SEVILLA MARLON JR GUANO"/>
    <s v="MASTER SIOMAI"/>
    <s v="GENERIC"/>
    <s v="COD"/>
    <s v="2026-01-20"/>
    <s v="KEYBOARD &amp; MOUSE"/>
    <n v="1"/>
    <n v="530"/>
    <n v="700"/>
    <n v="700"/>
    <s v="MARITESS"/>
  </r>
  <r>
    <x v="270"/>
    <s v="SEVILLA MARLON JR GUANO - SO-26-009"/>
    <s v="SO-26-009"/>
    <s v="SEVILLA MARLON JR GUANO"/>
    <s v="MASTER SIOMAI"/>
    <s v="GENERIC"/>
    <s v="COD"/>
    <s v="2026-01-20"/>
    <s v="EOS FAN WITH FAN COVER"/>
    <n v="1"/>
    <n v="350"/>
    <n v="500"/>
    <n v="500"/>
    <s v="MARITESS"/>
  </r>
  <r>
    <x v="20"/>
    <s v="CHICKEN DELI - SO-009"/>
    <s v="SO-009"/>
    <s v="CHICKEN DELI"/>
    <s v="MN+LA APPAREL"/>
    <s v="GENERIC"/>
    <s v="N/A"/>
    <s v="2025-10-28"/>
    <s v="JOURNAL PAPER ( DOUBLE PLY"/>
    <n v="50"/>
    <n v="32"/>
    <n v="50"/>
    <n v="2500"/>
    <s v="MARITESS"/>
  </r>
  <r>
    <x v="1"/>
    <s v="CHICKEN DELI - SO-010"/>
    <s v="SO-010"/>
    <s v="CHICKEN DELI"/>
    <s v="KITCHEN CITY"/>
    <s v="GENERIC"/>
    <s v="N/A"/>
    <s v="2026-01-13"/>
    <s v="EOS POWER ADAPTER"/>
    <n v="1"/>
    <n v="1200"/>
    <n v="2500"/>
    <n v="2500"/>
    <s v="MARITESS"/>
  </r>
  <r>
    <x v="271"/>
    <s v="SHIN CLARA FOOD CORPORATION - SO-26-010"/>
    <s v="SO-26-010"/>
    <s v="SHIN CLARA FOOD CORPORATION"/>
    <s v="SHIN CLARA FOOD CORP."/>
    <s v="MARKET! MARKET!"/>
    <s v="N/A"/>
    <s v="2026-01-21"/>
    <s v="MODIFICATION * DUAL DISPLAY PROGRAM"/>
    <n v="1"/>
    <n v="5000"/>
    <n v="5000"/>
    <n v="5000"/>
    <s v="RUDELYN"/>
  </r>
  <r>
    <x v="14"/>
    <s v="HUZZAH - SO-26-011"/>
    <s v="SO-26-011"/>
    <s v="HUZZAH"/>
    <s v="HUZZAH"/>
    <s v="GENERIC"/>
    <s v="COD"/>
    <s v="2026-01-26"/>
    <s v="JOURNAL PAPER - DOUBLE PLY"/>
    <n v="50"/>
    <n v="32"/>
    <n v="50"/>
    <n v="2500"/>
    <s v="RUDELYN"/>
  </r>
  <r>
    <x v="1"/>
    <s v="CHICKEN DELI - SO-011"/>
    <s v="SO-011"/>
    <s v="CHICKEN DELI"/>
    <s v="KITCHEN CITY"/>
    <s v="GENERIC"/>
    <s v="N/A"/>
    <s v="2026-01-16"/>
    <s v="POSTECH TOUCHSCREEN MONITOR"/>
    <n v="3"/>
    <n v="11000"/>
    <n v="50400"/>
    <n v="151200"/>
    <s v="MARITESS"/>
  </r>
  <r>
    <x v="1"/>
    <s v="CHICKEN DELI - SO-011"/>
    <s v="SO-011"/>
    <s v="CHICKEN DELI"/>
    <s v="KITCHEN CITY"/>
    <s v="GENERIC"/>
    <s v="N/A"/>
    <s v="2026-01-16"/>
    <s v="DELIVERY CHARGE"/>
    <n v="1"/>
    <n v="600"/>
    <n v="600"/>
    <n v="600"/>
    <s v="MARITESS"/>
  </r>
  <r>
    <x v="272"/>
    <s v="CHICKEN DELI - SO-012"/>
    <s v="SO-012"/>
    <s v="CHICKEN DELI"/>
    <s v="PAOTSIN ERMITA"/>
    <s v="GENERIC"/>
    <s v="N/A"/>
    <s v="2026-01-21"/>
    <s v="POWER"/>
    <n v="1"/>
    <n v="650"/>
    <n v="1500"/>
    <n v="1500"/>
    <s v="MARITESS"/>
  </r>
  <r>
    <x v="31"/>
    <s v="ELEVATED FOOD RECIPES INC - SO-26-012"/>
    <s v="SO-26-012"/>
    <s v="ELEVATED FOOD RECIPES INC"/>
    <s v="HEALTHY SHABU SHABU"/>
    <s v="GENERIC"/>
    <s v="N/A"/>
    <s v="2026-01-27"/>
    <s v="*ANNAUAL PREVENTIVE MAINTENANCE COVERED DATE: JANUARY 1, 2025 - DECEMBER 31, 2025 BRANCHES: 1. ROCKWELL 2. ATC 3. PODIUM 4. ROBINSONS ERMITA 5. EDSA SHANGRILA 6. SM AURA"/>
    <n v="6"/>
    <n v="8000"/>
    <n v="8000"/>
    <n v="48000"/>
    <s v="RUDELYN"/>
  </r>
  <r>
    <x v="273"/>
    <s v="ARTWORK INCORPORATED - SO-26-013"/>
    <s v="SO-26-013"/>
    <s v="ARTWORK INCORPORATED"/>
    <s v="ARTWORK INCORPORATED"/>
    <s v="ES:"/>
    <s v="N/A"/>
    <s v="2026-01-27"/>
    <s v="*ANNAUAL PREVENTIVE MAINTENANCE"/>
    <n v="19"/>
    <n v="8000"/>
    <n v="8000"/>
    <n v="152000"/>
    <s v="MARITESS"/>
  </r>
  <r>
    <x v="2"/>
    <s v="CHICKEN DELI - SO-013"/>
    <s v="SO-013"/>
    <s v="CHICKEN DELI"/>
    <s v="GONGCHA"/>
    <s v="GENERIC"/>
    <s v="N/A"/>
    <s v="2026-01-21"/>
    <s v="TSCERES"/>
    <n v="1"/>
    <n v="3675"/>
    <n v="10500"/>
    <n v="10500"/>
    <s v="MARITESS"/>
  </r>
  <r>
    <x v="2"/>
    <s v="CHICKEN DELI - SO-013"/>
    <s v="SO-013"/>
    <s v="CHICKEN DELI"/>
    <s v="GONGCHA"/>
    <s v="GENERIC"/>
    <s v="N/A"/>
    <s v="2026-01-21"/>
    <s v="ROLL OUT"/>
    <n v="1"/>
    <n v="9500"/>
    <n v="9500"/>
    <n v="9500"/>
    <s v="MARITESS"/>
  </r>
  <r>
    <x v="2"/>
    <s v="CHICKEN DELI - SO-013"/>
    <s v="SO-013"/>
    <s v="CHICKEN DELI"/>
    <s v="GONGCHA"/>
    <s v="GENERIC"/>
    <s v="N/A"/>
    <s v="2026-01-21"/>
    <s v="IMPLEMENTATION"/>
    <n v="1"/>
    <n v="9500"/>
    <n v="9500"/>
    <n v="9500"/>
    <s v="MARITESS"/>
  </r>
  <r>
    <x v="2"/>
    <s v="CHICKEN DELI - SO-013"/>
    <s v="SO-013"/>
    <s v="CHICKEN DELI"/>
    <s v="GONGCHA"/>
    <s v="GENERIC"/>
    <s v="N/A"/>
    <s v="2026-01-21"/>
    <s v="BIR REG."/>
    <n v="1"/>
    <n v="500"/>
    <n v="500"/>
    <n v="500"/>
    <s v="MARITESS"/>
  </r>
  <r>
    <x v="274"/>
    <s v="KCC HTS PTE LTP CORP NO COR YET - SO-26-014"/>
    <s v="SO-26-014"/>
    <s v="KCC HTS PTE LTP CORP NO COR YET"/>
    <s v="KAJIKEN"/>
    <s v="GENERIC"/>
    <s v="50% DOWNPAYMENT, 50% 35 DAYS PDC"/>
    <s v="2026-01-29"/>
    <s v="BACCHUS SQL+ VERSION 2"/>
    <n v="1"/>
    <n v="3675"/>
    <n v="10500"/>
    <n v="10500"/>
    <s v="MARITESS"/>
  </r>
  <r>
    <x v="274"/>
    <s v="KCC HTS PTE LTP CORP NO COR YET - SO-26-014"/>
    <s v="SO-26-014"/>
    <s v="KCC HTS PTE LTP CORP NO COR YET"/>
    <s v="KAJIKEN"/>
    <s v="GENERIC"/>
    <s v="50% DOWNPAYMENT, 50% 35 DAYS PDC"/>
    <s v="2026-01-29"/>
    <s v="ROLLOUT IMPLEMENTATION"/>
    <n v="1"/>
    <n v="12000"/>
    <n v="12000"/>
    <n v="12000"/>
    <s v="MARITESS"/>
  </r>
  <r>
    <x v="274"/>
    <s v="KCC HTS PTE LTP CORP NO COR YET - SO-26-014"/>
    <s v="SO-26-014"/>
    <s v="KCC HTS PTE LTP CORP NO COR YET"/>
    <s v="KAJIKEN"/>
    <s v="GENERIC"/>
    <s v="50% DOWNPAYMENT, 50% 35 DAYS PDC"/>
    <s v="2026-01-29"/>
    <s v="1 YEAR WARRANTY"/>
    <n v="1"/>
    <n v="12000"/>
    <n v="12000"/>
    <n v="12000"/>
    <s v="MARITESS"/>
  </r>
  <r>
    <x v="274"/>
    <s v="KCC HTS PTE LTP CORP NO COR YET - SO-26-014"/>
    <s v="SO-26-014"/>
    <s v="KCC HTS PTE LTP CORP NO COR YET"/>
    <s v="KAJIKEN"/>
    <s v="GENERIC"/>
    <s v="50% DOWNPAYMENT, 50% 35 DAYS PDC"/>
    <s v="2026-01-29"/>
    <s v="BIR REGISTRATION"/>
    <n v="1"/>
    <n v="500"/>
    <n v="500"/>
    <n v="500"/>
    <s v="MARITESS"/>
  </r>
  <r>
    <x v="274"/>
    <s v="KCC HTS PTE LTP CORP NO COR YET - SO-26-014"/>
    <s v="SO-26-014"/>
    <s v="KCC HTS PTE LTP CORP NO COR YET"/>
    <s v="KAJIKEN"/>
    <s v="GENERIC"/>
    <s v="50% DOWNPAYMENT, 50% 35 DAYS PDC"/>
    <s v="2026-01-29"/>
    <s v="EPSON TMU220IID USB PRINTER"/>
    <n v="1"/>
    <n v="8500"/>
    <n v="16725"/>
    <n v="16725"/>
    <s v="MARITESS"/>
  </r>
  <r>
    <x v="274"/>
    <s v="KCC HTS PTE LTP CORP NO COR YET - SO-26-014"/>
    <s v="SO-26-014"/>
    <s v="KCC HTS PTE LTP CORP NO COR YET"/>
    <s v="KAJIKEN"/>
    <s v="GENERIC"/>
    <s v="50% DOWNPAYMENT, 50% 35 DAYS PDC"/>
    <s v="2026-01-29"/>
    <s v="ERC EPSON PRINTER RIBBON"/>
    <n v="1"/>
    <n v="70"/>
    <n v="150"/>
    <n v="150"/>
    <s v="MARITESS"/>
  </r>
  <r>
    <x v="274"/>
    <s v="KCC HTS PTE LTP CORP NO COR YET - SO-26-014"/>
    <s v="SO-26-014"/>
    <s v="KCC HTS PTE LTP CORP NO COR YET"/>
    <s v="KAJIKEN"/>
    <s v="GENERIC"/>
    <s v="50% DOWNPAYMENT, 50% 35 DAYS PDC"/>
    <s v="2026-01-29"/>
    <s v="1 PLY - JOURPAN PAPER"/>
    <n v="5"/>
    <n v="17"/>
    <n v="25"/>
    <n v="125"/>
    <s v="MARITESS"/>
  </r>
  <r>
    <x v="274"/>
    <s v="KCC HTS PTE LTP CORP NO COR YET - SO-26-014"/>
    <s v="SO-26-014"/>
    <s v="KCC HTS PTE LTP CORP NO COR YET"/>
    <s v="KAJIKEN"/>
    <s v="GENERIC"/>
    <s v="50% DOWNPAYMENT, 50% 35 DAYS PDC"/>
    <s v="2026-01-29"/>
    <s v="APC UPS"/>
    <n v="1"/>
    <n v="2200"/>
    <n v="4700"/>
    <n v="4700"/>
    <s v="MARITESS"/>
  </r>
  <r>
    <x v="274"/>
    <s v="KCC HTS PTE LTP CORP NO COR YET - SO-26-014"/>
    <s v="SO-26-014"/>
    <s v="KCC HTS PTE LTP CORP NO COR YET"/>
    <s v="KAJIKEN"/>
    <s v="GENERIC"/>
    <s v="50% DOWNPAYMENT, 50% 35 DAYS PDC"/>
    <s v="2026-01-29"/>
    <s v="POSTECH 15&quot; TOUCHSCREEN MONITOR"/>
    <n v="1"/>
    <n v="11000"/>
    <n v="17000"/>
    <n v="17000"/>
    <s v="MARITESS"/>
  </r>
  <r>
    <x v="274"/>
    <s v="KCC HTS PTE LTP CORP NO COR YET - SO-26-014"/>
    <s v="SO-26-014"/>
    <s v="KCC HTS PTE LTP CORP NO COR YET"/>
    <s v="KAJIKEN"/>
    <s v="GENERIC"/>
    <s v="50% DOWNPAYMENT, 50% 35 DAYS PDC"/>
    <s v="2026-01-29"/>
    <s v="MINI CASH DRAWER"/>
    <n v="1"/>
    <n v="1350"/>
    <n v="3100"/>
    <n v="3100"/>
    <s v="MARITESS"/>
  </r>
  <r>
    <x v="274"/>
    <s v="KCC HTS PTE LTP CORP NO COR YET - SO-26-014"/>
    <s v="SO-26-014"/>
    <s v="KCC HTS PTE LTP CORP NO COR YET"/>
    <s v="KAJIKEN"/>
    <s v="GENERIC"/>
    <s v="50% DOWNPAYMENT, 50% 35 DAYS PDC"/>
    <s v="2026-01-29"/>
    <s v="EOS MINI CPU I5, 8GB RAM, 512 GB SSD"/>
    <n v="1"/>
    <n v="26250"/>
    <n v="32200"/>
    <n v="32200"/>
    <s v="MARITESS"/>
  </r>
  <r>
    <x v="274"/>
    <s v="KCC HTS PTE LTP CORP NO COR YET - SO-26-014"/>
    <s v="SO-26-014"/>
    <s v="KCC HTS PTE LTP CORP NO COR YET"/>
    <s v="KAJIKEN"/>
    <s v="GENERIC"/>
    <s v="50% DOWNPAYMENT, 50% 35 DAYS PDC"/>
    <s v="2026-01-29"/>
    <s v="WINDOWS 11 PRO"/>
    <n v="1"/>
    <n v="2000"/>
    <n v="3000"/>
    <n v="3000"/>
    <s v="MARITESS"/>
  </r>
  <r>
    <x v="274"/>
    <s v="KCC HTS PTE LTP CORP NO COR YET - SO-26-014"/>
    <s v="SO-26-014"/>
    <s v="KCC HTS PTE LTP CORP NO COR YET"/>
    <s v="KAJIKEN"/>
    <s v="GENERIC"/>
    <s v="50% DOWNPAYMENT, 50% 35 DAYS PDC"/>
    <s v="2026-01-29"/>
    <s v="KEYBOARD &amp; MOUSE"/>
    <n v="1"/>
    <n v="530"/>
    <n v="700"/>
    <n v="700"/>
    <s v="MARITESS"/>
  </r>
  <r>
    <x v="274"/>
    <s v="KCC HTS PTE LTP CORP NO COR YET - SO-26-014"/>
    <s v="SO-26-014"/>
    <s v="KCC HTS PTE LTP CORP NO COR YET"/>
    <s v="KAJIKEN"/>
    <s v="GENERIC"/>
    <s v="50% DOWNPAYMENT, 50% 35 DAYS PDC"/>
    <s v="2026-01-29"/>
    <s v="EOS FAN WITH FAN COVER"/>
    <n v="1"/>
    <n v="350"/>
    <n v="500"/>
    <n v="500"/>
    <s v="MARITESS"/>
  </r>
  <r>
    <x v="274"/>
    <s v="KCC HTS PTE LTP CORP NO COR YET - SO-26-014"/>
    <s v="SO-26-014"/>
    <s v="KCC HTS PTE LTP CORP NO COR YET"/>
    <s v="KAJIKEN"/>
    <s v="GENERIC"/>
    <s v="50% DOWNPAYMENT, 50% 35 DAYS PDC"/>
    <s v="2026-01-29"/>
    <s v="KASPERSKY ANTI VIRUS"/>
    <n v="1"/>
    <n v="935"/>
    <n v="1500"/>
    <n v="1500"/>
    <s v="MARITESS"/>
  </r>
  <r>
    <x v="274"/>
    <s v="KCC HTS PTE LTP CORP NO COR YET - SO-26-014"/>
    <s v="SO-26-014"/>
    <s v="KCC HTS PTE LTP CORP NO COR YET"/>
    <s v="KAJIKEN"/>
    <s v="GENERIC"/>
    <s v="50% DOWNPAYMENT, 50% 35 DAYS PDC"/>
    <s v="2026-01-29"/>
    <s v="DELIVERY FEE"/>
    <n v="1"/>
    <n v="600"/>
    <n v="600"/>
    <n v="600"/>
    <s v="MARITESS"/>
  </r>
  <r>
    <x v="2"/>
    <s v="CHICKEN DELI - SO-N/A"/>
    <s v="SO-N/A"/>
    <s v="CHICKEN DELI"/>
    <s v="GONGCHA"/>
    <s v="GENERIC"/>
    <s v="N/A"/>
    <s v="2026-01-21"/>
    <s v="TSCERES"/>
    <n v="1"/>
    <n v="3675"/>
    <n v="10500"/>
    <n v="10500"/>
    <s v="MARITESS"/>
  </r>
  <r>
    <x v="2"/>
    <s v="CHICKEN DELI - SO-N/A"/>
    <s v="SO-N/A"/>
    <s v="CHICKEN DELI"/>
    <s v="GONGCHA"/>
    <s v="GENERIC"/>
    <s v="N/A"/>
    <s v="2026-01-21"/>
    <s v="ROLL OUT"/>
    <n v="1"/>
    <n v="9500"/>
    <n v="9500"/>
    <n v="9500"/>
    <s v="MARITESS"/>
  </r>
  <r>
    <x v="2"/>
    <s v="CHICKEN DELI - SO-N/A"/>
    <s v="SO-N/A"/>
    <s v="CHICKEN DELI"/>
    <s v="GONGCHA"/>
    <s v="GENERIC"/>
    <s v="N/A"/>
    <s v="2026-01-21"/>
    <s v="IMPLEMENTATION"/>
    <n v="1"/>
    <n v="9500"/>
    <n v="9500"/>
    <n v="9500"/>
    <s v="MARITESS"/>
  </r>
  <r>
    <x v="2"/>
    <s v="CHICKEN DELI - SO-N/A"/>
    <s v="SO-N/A"/>
    <s v="CHICKEN DELI"/>
    <s v="GONGCHA"/>
    <s v="GENERIC"/>
    <s v="N/A"/>
    <s v="2026-01-21"/>
    <s v="BIR REG."/>
    <n v="1"/>
    <n v="500"/>
    <n v="500"/>
    <n v="500"/>
    <s v="MARITESS"/>
  </r>
  <r>
    <x v="152"/>
    <s v="METROMART - SO-26-015"/>
    <s v="SO-26-015"/>
    <s v="METROMART"/>
    <s v="METROMART"/>
    <s v="VERMOSA"/>
    <s v="N/A"/>
    <s v="2026-02-02"/>
    <s v="JOURNAL PAPER - SINGLE PLY"/>
    <n v="200"/>
    <n v="17"/>
    <n v="25"/>
    <n v="5000"/>
    <s v="RUDELYN"/>
  </r>
  <r>
    <x v="2"/>
    <s v="CHICKEN DELI - SO-015"/>
    <s v="SO-015"/>
    <s v="CHICKEN DELI"/>
    <s v="GONGCHA"/>
    <s v="GENERIC"/>
    <s v="N/A"/>
    <s v="2026-02-02"/>
    <s v="PREVENTIVE MAINTENANCE"/>
    <n v="2"/>
    <n v="6500"/>
    <n v="6500"/>
    <n v="13000"/>
    <s v="MARITESS"/>
  </r>
  <r>
    <x v="177"/>
    <s v="JIBRILS SPECIALTY FOODS INC - SO-26-016"/>
    <s v="SO-26-016"/>
    <s v="JIBRILS SPECIALTY FOODS INC"/>
    <s v="JSFI CHICKEN BACOLOD"/>
    <s v="NORTH EXCHANGE"/>
    <s v="COD"/>
    <s v="2026-02-02"/>
    <s v="CASH DRAWER"/>
    <n v="1"/>
    <n v="2185"/>
    <n v="3200"/>
    <n v="3200"/>
    <s v="RUDELYN"/>
  </r>
  <r>
    <x v="177"/>
    <s v="JIBRILS SPECIALTY FOODS INC - SO-26-016"/>
    <s v="SO-26-016"/>
    <s v="JIBRILS SPECIALTY FOODS INC"/>
    <s v="JSFI CHICKEN BACOLOD"/>
    <s v="NORTH EXCHANGE"/>
    <s v="COD"/>
    <s v="2026-02-02"/>
    <s v="DELIVERY FEE"/>
    <n v="1"/>
    <n v="300"/>
    <n v="300"/>
    <n v="300"/>
    <s v="RUDELYN"/>
  </r>
  <r>
    <x v="2"/>
    <s v="CHICKEN DELI - SO-016"/>
    <s v="SO-016"/>
    <s v="CHICKEN DELI"/>
    <s v="GONGCHA"/>
    <s v="GENERIC"/>
    <s v="N/A"/>
    <s v="2026-02-02"/>
    <s v="PREVENTIVE MAINTENANCE"/>
    <n v="2"/>
    <n v="6500"/>
    <n v="6500"/>
    <n v="13000"/>
    <s v="MARITESS"/>
  </r>
  <r>
    <x v="275"/>
    <s v="ETHERNAL BRIGHT SANCTUARY INC - SO-26-017"/>
    <s v="SO-26-017"/>
    <s v="ETHERNAL BRIGHT SANCTUARY INC"/>
    <s v="LALA'S RESTAURANT"/>
    <s v="QUEZON CITY"/>
    <s v="N/A"/>
    <s v="2026-02-04"/>
    <s v="EPSON TMU220IID LAN PRINTER (MANUAL CUT)"/>
    <n v="1"/>
    <n v="9850"/>
    <n v="13500"/>
    <n v="13500"/>
    <s v="RUDELYN"/>
  </r>
  <r>
    <x v="275"/>
    <s v="ETHERNAL BRIGHT SANCTUARY INC - SO-26-017"/>
    <s v="SO-26-017"/>
    <s v="ETHERNAL BRIGHT SANCTUARY INC"/>
    <s v="LALA'S RESTAURANT"/>
    <s v="QUEZON CITY"/>
    <s v="N/A"/>
    <s v="2026-02-04"/>
    <s v="EPSON TMU220D USB PRINTER (MANUAL CUT)"/>
    <n v="1"/>
    <n v="8500"/>
    <n v="12000"/>
    <n v="12000"/>
    <s v="RUDELYN"/>
  </r>
  <r>
    <x v="275"/>
    <s v="ETHERNAL BRIGHT SANCTUARY INC - SO-26-017"/>
    <s v="SO-26-017"/>
    <s v="ETHERNAL BRIGHT SANCTUARY INC"/>
    <s v="LALA'S RESTAURANT"/>
    <s v="QUEZON CITY"/>
    <s v="N/A"/>
    <s v="2026-02-04"/>
    <s v="DELIVERY FEE"/>
    <n v="1"/>
    <n v="500"/>
    <n v="500"/>
    <n v="500"/>
    <s v="RUDELYN"/>
  </r>
  <r>
    <x v="2"/>
    <s v="CHICKEN DELI - SO-017"/>
    <s v="SO-017"/>
    <s v="CHICKEN DELI"/>
    <s v="GONGCHA"/>
    <s v="GENERIC"/>
    <s v="N/A"/>
    <s v="2026-02-02"/>
    <s v="PREVENTIVE MAINTENANCE"/>
    <n v="1"/>
    <n v="6500"/>
    <n v="6500"/>
    <n v="6500"/>
    <s v="MARITESS"/>
  </r>
  <r>
    <x v="6"/>
    <s v="RRH FOOD GROUP INC - SO-26-018"/>
    <s v="SO-26-018"/>
    <s v="RRH FOOD GROUP INC"/>
    <s v="QUEENS AT BOLLYWOOD"/>
    <s v="GENERIC"/>
    <s v="COD"/>
    <s v="2026-02-05"/>
    <s v="EPSON ERC-38 B RIBBON CARTRIDGE"/>
    <n v="5"/>
    <n v="70"/>
    <n v="250"/>
    <n v="1250"/>
    <s v="RUDELYN"/>
  </r>
  <r>
    <x v="2"/>
    <s v="CHICKEN DELI - SO-018"/>
    <s v="SO-018"/>
    <s v="CHICKEN DELI"/>
    <s v="GONGCHA"/>
    <s v="GENERIC"/>
    <s v="N/A"/>
    <s v="2026-02-02"/>
    <s v="PREVENTIVE MAINTENANCE"/>
    <n v="3"/>
    <n v="6500"/>
    <n v="6500"/>
    <n v="19500"/>
    <s v="MARITESS"/>
  </r>
  <r>
    <x v="103"/>
    <s v="SAINT MICHAEL FOODS OPC - SO-26-019"/>
    <s v="SO-26-019"/>
    <s v="SAINT MICHAEL FOODS OPC"/>
    <s v="DANIELITO'S HOME KITCHEN"/>
    <s v="GENERIC"/>
    <s v="COD"/>
    <s v="2026-02-11"/>
    <s v="APC UPS"/>
    <n v="1"/>
    <n v="2200"/>
    <n v="3150"/>
    <n v="3150"/>
    <s v="MARITESS"/>
  </r>
  <r>
    <x v="103"/>
    <s v="SAINT MICHAEL FOODS OPC - SO-26-019"/>
    <s v="SO-26-019"/>
    <s v="SAINT MICHAEL FOODS OPC"/>
    <s v="DANIELITO'S HOME KITCHEN"/>
    <s v="GENERIC"/>
    <s v="COD"/>
    <s v="2026-02-11"/>
    <s v="DELIVERY FEE"/>
    <n v="1"/>
    <n v="300"/>
    <n v="300"/>
    <n v="300"/>
    <s v="MARITESS"/>
  </r>
  <r>
    <x v="276"/>
    <s v="JINWEI ENTERPRISES CORP - SO-26-020"/>
    <s v="SO-26-020"/>
    <s v="JINWEI ENTERPRISES CORP"/>
    <s v="ARKEN"/>
    <s v="GENERIC"/>
    <s v="COD"/>
    <s v="2026-02-12"/>
    <s v="IMIN D2 POWER ADAPTOR"/>
    <n v="1"/>
    <n v="1650"/>
    <n v="2700"/>
    <n v="2700"/>
    <s v="MARITESS"/>
  </r>
  <r>
    <x v="276"/>
    <s v="JINWEI ENTERPRISES CORP - SO-26-020"/>
    <s v="SO-26-020"/>
    <s v="JINWEI ENTERPRISES CORP"/>
    <s v="ARKEN"/>
    <s v="GENERIC"/>
    <s v="COD"/>
    <s v="2026-02-12"/>
    <s v="DELIVERY FEE"/>
    <n v="1"/>
    <n v="300"/>
    <n v="300"/>
    <n v="300"/>
    <s v="MARITESS"/>
  </r>
  <r>
    <x v="149"/>
    <s v="CHICKEN DELI - SO-020"/>
    <s v="SO-020"/>
    <s v="CHICKEN DELI"/>
    <s v="BLANC NUE"/>
    <s v="GENERIC"/>
    <s v="N/A"/>
    <s v="2026-02-03"/>
    <s v="EPSON PRINTER TMU220D ( USB )"/>
    <n v="1"/>
    <n v="8500"/>
    <n v="12000"/>
    <n v="12000"/>
    <s v="MARITESS"/>
  </r>
  <r>
    <x v="149"/>
    <s v="CHICKEN DELI - SO-020"/>
    <s v="SO-020"/>
    <s v="CHICKEN DELI"/>
    <s v="BLANC NUE"/>
    <s v="GENERIC"/>
    <s v="N/A"/>
    <s v="2026-02-03"/>
    <s v="BIRCH SCANNER"/>
    <n v="1"/>
    <n v="3000"/>
    <n v="7500"/>
    <n v="7500"/>
    <s v="MARITESS"/>
  </r>
  <r>
    <x v="149"/>
    <s v="CHICKEN DELI - SO-020"/>
    <s v="SO-020"/>
    <s v="CHICKEN DELI"/>
    <s v="BLANC NUE"/>
    <s v="GENERIC"/>
    <s v="N/A"/>
    <s v="2026-02-03"/>
    <s v="DELIVERY CHARGE"/>
    <n v="1"/>
    <n v="500"/>
    <n v="500"/>
    <n v="500"/>
    <s v="MARITESS"/>
  </r>
  <r>
    <x v="277"/>
    <s v="STEAKS AND MORE OPC - SO-26-021"/>
    <s v="SO-26-021"/>
    <s v="STEAKS AND MORE OPC"/>
    <s v="MELOS"/>
    <s v="SOUTH TRIANGLE QC"/>
    <s v="COD"/>
    <s v="2026-02-13"/>
    <s v="DESKTOP CPU I5, 8GB RAM, 512 GB SSD"/>
    <n v="1"/>
    <n v="23450"/>
    <n v="31100"/>
    <n v="31100"/>
    <s v="RUDELYN"/>
  </r>
  <r>
    <x v="277"/>
    <s v="STEAKS AND MORE OPC - SO-26-021"/>
    <s v="SO-26-021"/>
    <s v="STEAKS AND MORE OPC"/>
    <s v="MELOS"/>
    <s v="SOUTH TRIANGLE QC"/>
    <s v="COD"/>
    <s v="2026-02-13"/>
    <s v="KEYBOARD &amp; MOUSE"/>
    <n v="1"/>
    <n v="0"/>
    <n v="0"/>
    <n v="0"/>
    <s v="RUDELYN"/>
  </r>
  <r>
    <x v="277"/>
    <s v="STEAKS AND MORE OPC - SO-26-021"/>
    <s v="SO-26-021"/>
    <s v="STEAKS AND MORE OPC"/>
    <s v="MELOS"/>
    <s v="SOUTH TRIANGLE QC"/>
    <s v="COD"/>
    <s v="2026-02-13"/>
    <s v="WINDOWS 11 PRO"/>
    <n v="1"/>
    <n v="2000"/>
    <n v="3500"/>
    <n v="3500"/>
    <s v="RUDELYN"/>
  </r>
  <r>
    <x v="277"/>
    <s v="STEAKS AND MORE OPC - SO-26-021"/>
    <s v="SO-26-021"/>
    <s v="STEAKS AND MORE OPC"/>
    <s v="MELOS"/>
    <s v="SOUTH TRIANGLE QC"/>
    <s v="COD"/>
    <s v="2026-02-13"/>
    <s v="DELIVERY FEE"/>
    <n v="1"/>
    <n v="400"/>
    <n v="400"/>
    <n v="400"/>
    <s v="RUDELYN"/>
  </r>
  <r>
    <x v="1"/>
    <s v="CHICKEN DELI - SO-021"/>
    <s v="SO-021"/>
    <s v="CHICKEN DELI"/>
    <s v="KITCHEN CITY"/>
    <s v="GENERIC"/>
    <s v="N/A"/>
    <s v="2026-02-03"/>
    <s v="POSTECH TOUCHSCREEN MONITOR"/>
    <n v="3"/>
    <n v="11000"/>
    <n v="50400"/>
    <n v="151200"/>
    <s v="MARITESS"/>
  </r>
  <r>
    <x v="1"/>
    <s v="CHICKEN DELI - SO-021"/>
    <s v="SO-021"/>
    <s v="CHICKEN DELI"/>
    <s v="KITCHEN CITY"/>
    <s v="GENERIC"/>
    <s v="N/A"/>
    <s v="2026-02-03"/>
    <s v="DELIVERY CHARGE"/>
    <n v="1"/>
    <n v="600"/>
    <n v="600"/>
    <n v="600"/>
    <s v="MARITESS"/>
  </r>
  <r>
    <x v="278"/>
    <s v="TAN JANUARIO JR ABAD - SO-26-022"/>
    <s v="SO-26-022"/>
    <s v="TAN JANUARIO JR ABAD"/>
    <s v="JICATA ENTERPRISES - JO FRANGCO"/>
    <s v="GENERIC"/>
    <s v="COD"/>
    <s v="2026-02-16"/>
    <s v="PRINTER HEAD"/>
    <n v="1"/>
    <n v="1100"/>
    <n v="1650"/>
    <n v="1650"/>
    <s v="MARITESS"/>
  </r>
  <r>
    <x v="278"/>
    <s v="TAN JANUARIO JR ABAD - SO-26-022"/>
    <s v="SO-26-022"/>
    <s v="TAN JANUARIO JR ABAD"/>
    <s v="JICATA ENTERPRISES - JO FRANGCO"/>
    <s v="GENERIC"/>
    <s v="COD"/>
    <s v="2026-02-16"/>
    <s v="PRINTER HEAD CABLE"/>
    <n v="1"/>
    <n v="30"/>
    <n v="150"/>
    <n v="150"/>
    <s v="MARITESS"/>
  </r>
  <r>
    <x v="33"/>
    <s v="M W TOWNSTORE - SO-022"/>
    <s v="SO-022"/>
    <s v="M W TOWNSTORE"/>
    <s v="M &amp; W"/>
    <s v="GENERIC"/>
    <s v="N/A"/>
    <s v="2026-02-03"/>
    <s v="POSEIDON PSD86"/>
    <n v="3"/>
    <n v="3360"/>
    <n v="5800"/>
    <n v="17400"/>
    <s v="MARITESS"/>
  </r>
  <r>
    <x v="33"/>
    <s v="M W TOWNSTORE - SO-022"/>
    <s v="SO-022"/>
    <s v="M W TOWNSTORE"/>
    <s v="M &amp; W"/>
    <s v="GENERIC"/>
    <s v="N/A"/>
    <s v="2026-02-03"/>
    <s v="DELIVERY"/>
    <n v="1"/>
    <n v="1500"/>
    <n v="1500"/>
    <n v="1500"/>
    <s v="MARITESS"/>
  </r>
  <r>
    <x v="14"/>
    <s v="HUZZAH - SO-26-023"/>
    <s v="SO-26-023"/>
    <s v="HUZZAH"/>
    <s v="HUZZAH"/>
    <s v="GENERIC"/>
    <s v="COD"/>
    <s v="2026-02-16"/>
    <s v="JOURNAL PAPER - DOUBLE PLY"/>
    <n v="50"/>
    <n v="32"/>
    <n v="50"/>
    <n v="2500"/>
    <s v="RUDELYN"/>
  </r>
  <r>
    <x v="114"/>
    <s v="CHICKEN DELI - SO-023"/>
    <s v="SO-023"/>
    <s v="CHICKEN DELI"/>
    <s v="PAOTSIN"/>
    <s v="GENERIC"/>
    <s v="N/A"/>
    <s v="2026-02-04"/>
    <s v="PRINTER HEAD"/>
    <n v="1"/>
    <n v="1100"/>
    <n v="1500"/>
    <n v="1500"/>
    <s v="MARITESS"/>
  </r>
  <r>
    <x v="114"/>
    <s v="CHICKEN DELI - SO-023"/>
    <s v="SO-023"/>
    <s v="CHICKEN DELI"/>
    <s v="PAOTSIN"/>
    <s v="GENERIC"/>
    <s v="N/A"/>
    <s v="2026-02-04"/>
    <s v="PRINTER GEAR"/>
    <n v="1"/>
    <n v="80"/>
    <n v="200"/>
    <n v="200"/>
    <s v="MARITESS"/>
  </r>
  <r>
    <x v="279"/>
    <s v="CHICKEN DELI - SO-024"/>
    <s v="SO-024"/>
    <s v="CHICKEN DELI"/>
    <s v="CHARLIES RESTAURANT"/>
    <s v="GENERIC"/>
    <s v="N/A"/>
    <s v="2026-02-04"/>
    <s v="BACCHUS ANDROID"/>
    <n v="2"/>
    <n v="5250"/>
    <n v="15000"/>
    <n v="30000"/>
    <s v="MARITESS"/>
  </r>
  <r>
    <x v="279"/>
    <s v="CHICKEN DELI - SO-024"/>
    <s v="SO-024"/>
    <s v="CHICKEN DELI"/>
    <s v="CHARLIES RESTAURANT"/>
    <s v="GENERIC"/>
    <s v="N/A"/>
    <s v="2026-02-04"/>
    <s v="ROLL OUT/ IMPLEMENTATION"/>
    <n v="2"/>
    <n v="28000"/>
    <n v="28000"/>
    <n v="56000"/>
    <s v="MARITESS"/>
  </r>
  <r>
    <x v="279"/>
    <s v="CHICKEN DELI - SO-024"/>
    <s v="SO-024"/>
    <s v="CHICKEN DELI"/>
    <s v="CHARLIES RESTAURANT"/>
    <s v="GENERIC"/>
    <s v="N/A"/>
    <s v="2026-02-04"/>
    <s v="ONE YEAR WARRANTY"/>
    <n v="2"/>
    <n v="28000"/>
    <n v="28000"/>
    <n v="56000"/>
    <s v="MARITESS"/>
  </r>
  <r>
    <x v="279"/>
    <s v="CHICKEN DELI - SO-024"/>
    <s v="SO-024"/>
    <s v="CHICKEN DELI"/>
    <s v="CHARLIES RESTAURANT"/>
    <s v="GENERIC"/>
    <s v="N/A"/>
    <s v="2026-02-04"/>
    <s v="NEW BIR REGISTRATION"/>
    <n v="2"/>
    <n v="500"/>
    <n v="500"/>
    <n v="1000"/>
    <s v="MARITESS"/>
  </r>
  <r>
    <x v="279"/>
    <s v="CHICKEN DELI - SO-024"/>
    <s v="SO-024"/>
    <s v="CHICKEN DELI"/>
    <s v="CHARLIES RESTAURANT"/>
    <s v="GENERIC"/>
    <s v="N/A"/>
    <s v="2026-02-04"/>
    <s v="BACK OFFICE ANDROID"/>
    <n v="1"/>
    <n v="2975"/>
    <n v="8500"/>
    <n v="8500"/>
    <s v="MARITESS"/>
  </r>
  <r>
    <x v="279"/>
    <s v="CHICKEN DELI - SO-024"/>
    <s v="SO-024"/>
    <s v="CHICKEN DELI"/>
    <s v="CHARLIES RESTAURANT"/>
    <s v="GENERIC"/>
    <s v="N/A"/>
    <s v="2026-02-04"/>
    <s v="ROLL OUT/ IMPLEMENTATION"/>
    <n v="1"/>
    <n v="30750"/>
    <n v="30750"/>
    <n v="30750"/>
    <s v="MARITESS"/>
  </r>
  <r>
    <x v="279"/>
    <s v="CHICKEN DELI - SO-024"/>
    <s v="SO-024"/>
    <s v="CHICKEN DELI"/>
    <s v="CHARLIES RESTAURANT"/>
    <s v="GENERIC"/>
    <s v="N/A"/>
    <s v="2026-02-04"/>
    <s v="ONE YEAR WARRANTY"/>
    <n v="1"/>
    <n v="30750"/>
    <n v="30750"/>
    <n v="30750"/>
    <s v="MARITESS"/>
  </r>
  <r>
    <x v="279"/>
    <s v="CHICKEN DELI - SO-024"/>
    <s v="SO-024"/>
    <s v="CHICKEN DELI"/>
    <s v="CHARLIES RESTAURANT"/>
    <s v="GENERIC"/>
    <s v="N/A"/>
    <s v="2026-02-04"/>
    <s v="IMIN SWAN 1 ( 4GB +32GB )"/>
    <n v="2"/>
    <n v="24300"/>
    <n v="35000"/>
    <n v="70000"/>
    <s v="MARITESS"/>
  </r>
  <r>
    <x v="279"/>
    <s v="CHICKEN DELI - SO-024"/>
    <s v="SO-024"/>
    <s v="CHICKEN DELI"/>
    <s v="CHARLIES RESTAURANT"/>
    <s v="GENERIC"/>
    <s v="N/A"/>
    <s v="2026-02-04"/>
    <s v="CASH DRAWER"/>
    <n v="1"/>
    <n v="1350"/>
    <n v="2000"/>
    <n v="2000"/>
    <s v="MARITESS"/>
  </r>
  <r>
    <x v="279"/>
    <s v="CHICKEN DELI - SO-024"/>
    <s v="SO-024"/>
    <s v="CHICKEN DELI"/>
    <s v="CHARLIES RESTAURANT"/>
    <s v="GENERIC"/>
    <s v="N/A"/>
    <s v="2026-02-04"/>
    <s v="EPSON T82X LAN"/>
    <n v="2"/>
    <n v="7500"/>
    <n v="10700"/>
    <n v="21400"/>
    <s v="MARITESS"/>
  </r>
  <r>
    <x v="279"/>
    <s v="CHICKEN DELI - SO-024"/>
    <s v="SO-024"/>
    <s v="CHICKEN DELI"/>
    <s v="CHARLIES RESTAURANT"/>
    <s v="GENERIC"/>
    <s v="N/A"/>
    <s v="2026-02-04"/>
    <s v="EPSON TMU220D ( USB )"/>
    <n v="1"/>
    <n v="8500"/>
    <n v="12000"/>
    <n v="12000"/>
    <s v="MARITESS"/>
  </r>
  <r>
    <x v="279"/>
    <s v="CHICKEN DELI - SO-024"/>
    <s v="SO-024"/>
    <s v="CHICKEN DELI"/>
    <s v="CHARLIES RESTAURANT"/>
    <s v="GENERIC"/>
    <s v="N/A"/>
    <s v="2026-02-04"/>
    <s v="EOS W/ COMPLETE ACCESSORIES"/>
    <n v="1"/>
    <n v="24450"/>
    <n v="34000"/>
    <n v="34000"/>
    <s v="MARITESS"/>
  </r>
  <r>
    <x v="279"/>
    <s v="CHICKEN DELI - SO-024"/>
    <s v="SO-024"/>
    <s v="CHICKEN DELI"/>
    <s v="CHARLIES RESTAURANT"/>
    <s v="GENERIC"/>
    <s v="N/A"/>
    <s v="2026-02-04"/>
    <s v="ACER MONITOR 19.5&quot;"/>
    <n v="1"/>
    <n v="3195"/>
    <n v="4500"/>
    <n v="4500"/>
    <s v="MARITESS"/>
  </r>
  <r>
    <x v="279"/>
    <s v="CHICKEN DELI - SO-024"/>
    <s v="SO-024"/>
    <s v="CHICKEN DELI"/>
    <s v="CHARLIES RESTAURANT"/>
    <s v="GENERIC"/>
    <s v="N/A"/>
    <s v="2026-02-04"/>
    <s v="DELIVERY CHARGE"/>
    <n v="1"/>
    <n v="500"/>
    <n v="500"/>
    <n v="500"/>
    <s v="MARITESS"/>
  </r>
  <r>
    <x v="279"/>
    <s v="CHICKEN DELI - SO-024"/>
    <s v="SO-024"/>
    <s v="CHICKEN DELI"/>
    <s v="CHARLIES RESTAURANT"/>
    <s v="GENERIC"/>
    <s v="N/A"/>
    <s v="2026-02-04"/>
    <s v="MODIFICATION"/>
    <n v="1"/>
    <n v="32000"/>
    <n v="32000"/>
    <n v="32000"/>
    <s v="MARITESS"/>
  </r>
  <r>
    <x v="279"/>
    <s v="CHICKEN DELI - SO-024"/>
    <s v="SO-024"/>
    <s v="CHICKEN DELI"/>
    <s v="CHARLIES RESTAURANT"/>
    <s v="GENERIC"/>
    <s v="N/A"/>
    <s v="2026-02-04"/>
    <s v="SD CARD"/>
    <n v="2"/>
    <n v="550"/>
    <n v="800"/>
    <n v="1600"/>
    <s v="MARITESS"/>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RDMS V4.3.0 - LITE"/>
    <n v="1"/>
    <n v="5250"/>
    <n v="15000"/>
    <n v="1500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ROLLOUT IMPLEMENTATION"/>
    <n v="1"/>
    <n v="4750"/>
    <n v="4750"/>
    <n v="475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ONE YEAR WARRANTY"/>
    <n v="1"/>
    <n v="4750"/>
    <n v="4750"/>
    <n v="475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BIR REGISTRATION"/>
    <n v="1"/>
    <n v="500"/>
    <n v="500"/>
    <n v="50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APC UPC"/>
    <n v="1"/>
    <n v="2200"/>
    <n v="3000"/>
    <n v="300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ACER MONITOR"/>
    <n v="1"/>
    <n v="3195"/>
    <n v="4500"/>
    <n v="450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HPRT TP80K THERMAL PRINTER"/>
    <n v="1"/>
    <n v="4088"/>
    <n v="5500"/>
    <n v="550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THERMAL PAPER - 80MMX80MM"/>
    <n v="3"/>
    <n v="47"/>
    <n v="70"/>
    <n v="21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MINI CASH DRAWER"/>
    <n v="1"/>
    <n v="1350"/>
    <n v="2000"/>
    <n v="200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BEELINK EQI12-D4, 8GB RAM, 512 GB NVME M.2"/>
    <n v="1"/>
    <n v="24640"/>
    <n v="33290"/>
    <n v="3329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WINDOWS 11 PRO"/>
    <n v="1"/>
    <n v="0"/>
    <n v="0"/>
    <n v="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KEYBOARD &amp; MOUSE"/>
    <n v="1"/>
    <n v="530"/>
    <n v="700"/>
    <n v="700"/>
    <s v="RUDELYN"/>
  </r>
  <r>
    <x v="280"/>
    <s v="BALBERO PAUL ANTHONY NO COR YET - SO-26-024"/>
    <s v="SO-26-024"/>
    <s v="BALBERO PAUL ANTHONY NO COR YET"/>
    <s v="NEXSCENTS HOME CARE PRODUCTS"/>
    <s v="SM MOA"/>
    <s v="50% DP; 9375.00 FIRST MONTH AFTER DELIVERY/INSTALLATION; 9375.00 2ND MONTH AFTER DELIVERY_x000d__x000a_/INSTALLATION; 9375.00 3RD MONTH AFTER DELIVERY_x000d__x000a_/INSTALLATION; 9375.00 4RTH MONTH AFTER DELIVERY_x000d__x000a_/INSTALLATION."/>
    <s v="2026-02-18"/>
    <s v="DELIVERY FEE"/>
    <n v="1"/>
    <n v="800"/>
    <n v="800"/>
    <n v="800"/>
    <s v="RUDELYN"/>
  </r>
  <r>
    <x v="69"/>
    <s v="GINTONG PATATAS ENTERPRISES INC - SO-26-025"/>
    <s v="SO-26-025"/>
    <s v="GINTONG PATATAS ENTERPRISES INC"/>
    <s v="POTATO GIANT"/>
    <s v="GENERIC"/>
    <s v="COD"/>
    <s v="2026-02-19"/>
    <s v="EOS MINI CPU I5, 8GB RAM, 512 GB SSD"/>
    <n v="1"/>
    <n v="26250"/>
    <n v="32300"/>
    <n v="32300"/>
    <s v="MARITESS"/>
  </r>
  <r>
    <x v="69"/>
    <s v="GINTONG PATATAS ENTERPRISES INC - SO-26-025"/>
    <s v="SO-26-025"/>
    <s v="GINTONG PATATAS ENTERPRISES INC"/>
    <s v="POTATO GIANT"/>
    <s v="GENERIC"/>
    <s v="COD"/>
    <s v="2026-02-19"/>
    <s v="WINDOWS 11 PRO"/>
    <n v="1"/>
    <n v="2000"/>
    <n v="3000"/>
    <n v="3000"/>
    <s v="MARITESS"/>
  </r>
  <r>
    <x v="69"/>
    <s v="GINTONG PATATAS ENTERPRISES INC - SO-26-025"/>
    <s v="SO-26-025"/>
    <s v="GINTONG PATATAS ENTERPRISES INC"/>
    <s v="POTATO GIANT"/>
    <s v="GENERIC"/>
    <s v="COD"/>
    <s v="2026-02-19"/>
    <s v="KEYBOARD &amp; MOUSE"/>
    <n v="1"/>
    <n v="530"/>
    <n v="700"/>
    <n v="700"/>
    <s v="MARITESS"/>
  </r>
  <r>
    <x v="69"/>
    <s v="GINTONG PATATAS ENTERPRISES INC - SO-26-025"/>
    <s v="SO-26-025"/>
    <s v="GINTONG PATATAS ENTERPRISES INC"/>
    <s v="POTATO GIANT"/>
    <s v="GENERIC"/>
    <s v="COD"/>
    <s v="2026-02-19"/>
    <s v="EOS FAN WITH FAN COVER"/>
    <n v="1"/>
    <n v="350"/>
    <n v="500"/>
    <n v="500"/>
    <s v="MARITESS"/>
  </r>
  <r>
    <x v="69"/>
    <s v="GINTONG PATATAS ENTERPRISES INC - SO-26-025"/>
    <s v="SO-26-025"/>
    <s v="GINTONG PATATAS ENTERPRISES INC"/>
    <s v="POTATO GIANT"/>
    <s v="GENERIC"/>
    <s v="COD"/>
    <s v="2026-02-19"/>
    <s v="BIR REGISTRATION"/>
    <n v="1"/>
    <n v="500"/>
    <n v="500"/>
    <n v="500"/>
    <s v="MARITESS"/>
  </r>
  <r>
    <x v="281"/>
    <s v="CHICKEN DELI - SO-025"/>
    <s v="SO-025"/>
    <s v="CHICKEN DELI"/>
    <s v="LIAMS BEACH CAFÉ"/>
    <s v="GENERIC"/>
    <s v="N/A"/>
    <s v="2026-02-11"/>
    <s v="BACCHUS ANDROID"/>
    <n v="1"/>
    <n v="5250"/>
    <n v="15000"/>
    <n v="15000"/>
    <s v="MARITESS"/>
  </r>
  <r>
    <x v="281"/>
    <s v="CHICKEN DELI - SO-025"/>
    <s v="SO-025"/>
    <s v="CHICKEN DELI"/>
    <s v="LIAMS BEACH CAFÉ"/>
    <s v="GENERIC"/>
    <s v="N/A"/>
    <s v="2026-02-11"/>
    <s v="ROLL OUT/ IMPLEMENTATION"/>
    <n v="1"/>
    <n v="15000"/>
    <n v="15000"/>
    <n v="15000"/>
    <s v="MARITESS"/>
  </r>
  <r>
    <x v="281"/>
    <s v="CHICKEN DELI - SO-025"/>
    <s v="SO-025"/>
    <s v="CHICKEN DELI"/>
    <s v="LIAMS BEACH CAFÉ"/>
    <s v="GENERIC"/>
    <s v="N/A"/>
    <s v="2026-02-11"/>
    <s v="ONE YEAR WARRANTY"/>
    <n v="1"/>
    <n v="15000"/>
    <n v="15000"/>
    <n v="15000"/>
    <s v="MARITESS"/>
  </r>
  <r>
    <x v="281"/>
    <s v="CHICKEN DELI - SO-025"/>
    <s v="SO-025"/>
    <s v="CHICKEN DELI"/>
    <s v="LIAMS BEACH CAFÉ"/>
    <s v="GENERIC"/>
    <s v="N/A"/>
    <s v="2026-02-11"/>
    <s v="NEW BIR REGISTRATION"/>
    <n v="1"/>
    <n v="500"/>
    <n v="500"/>
    <n v="500"/>
    <s v="MARITESS"/>
  </r>
  <r>
    <x v="281"/>
    <s v="CHICKEN DELI - SO-025"/>
    <s v="SO-025"/>
    <s v="CHICKEN DELI"/>
    <s v="LIAMS BEACH CAFÉ"/>
    <s v="GENERIC"/>
    <s v="N/A"/>
    <s v="2026-02-11"/>
    <s v="BACK OFFICE ANDROID"/>
    <n v="1"/>
    <n v="2975"/>
    <n v="8500"/>
    <n v="8500"/>
    <s v="MARITESS"/>
  </r>
  <r>
    <x v="281"/>
    <s v="CHICKEN DELI - SO-025"/>
    <s v="SO-025"/>
    <s v="CHICKEN DELI"/>
    <s v="LIAMS BEACH CAFÉ"/>
    <s v="GENERIC"/>
    <s v="N/A"/>
    <s v="2026-02-11"/>
    <s v="ROLL OUT/ IMPLEMENTATION"/>
    <n v="1"/>
    <n v="30000"/>
    <n v="30000"/>
    <n v="30000"/>
    <s v="MARITESS"/>
  </r>
  <r>
    <x v="281"/>
    <s v="CHICKEN DELI - SO-025"/>
    <s v="SO-025"/>
    <s v="CHICKEN DELI"/>
    <s v="LIAMS BEACH CAFÉ"/>
    <s v="GENERIC"/>
    <s v="N/A"/>
    <s v="2026-02-11"/>
    <s v="ONE YEAR WARRANTY"/>
    <n v="1"/>
    <n v="30000"/>
    <n v="30000"/>
    <n v="30000"/>
    <s v="MARITESS"/>
  </r>
  <r>
    <x v="281"/>
    <s v="CHICKEN DELI - SO-025"/>
    <s v="SO-025"/>
    <s v="CHICKEN DELI"/>
    <s v="LIAMS BEACH CAFÉ"/>
    <s v="GENERIC"/>
    <s v="N/A"/>
    <s v="2026-02-11"/>
    <s v="IMIN SWAN 1 ( 4GB +32GB )"/>
    <n v="1"/>
    <n v="24300"/>
    <n v="35000"/>
    <n v="35000"/>
    <s v="MARITESS"/>
  </r>
  <r>
    <x v="281"/>
    <s v="CHICKEN DELI - SO-025"/>
    <s v="SO-025"/>
    <s v="CHICKEN DELI"/>
    <s v="LIAMS BEACH CAFÉ"/>
    <s v="GENERIC"/>
    <s v="N/A"/>
    <s v="2026-02-11"/>
    <s v="CASH DRAWER"/>
    <n v="1"/>
    <n v="1350"/>
    <n v="2000"/>
    <n v="2000"/>
    <s v="MARITESS"/>
  </r>
  <r>
    <x v="281"/>
    <s v="CHICKEN DELI - SO-025"/>
    <s v="SO-025"/>
    <s v="CHICKEN DELI"/>
    <s v="LIAMS BEACH CAFÉ"/>
    <s v="GENERIC"/>
    <s v="N/A"/>
    <s v="2026-02-11"/>
    <s v="EPSON T82X LAN"/>
    <n v="1"/>
    <n v="7500"/>
    <n v="10200"/>
    <n v="10200"/>
    <s v="MARITESS"/>
  </r>
  <r>
    <x v="281"/>
    <s v="CHICKEN DELI - SO-025"/>
    <s v="SO-025"/>
    <s v="CHICKEN DELI"/>
    <s v="LIAMS BEACH CAFÉ"/>
    <s v="GENERIC"/>
    <s v="N/A"/>
    <s v="2026-02-11"/>
    <s v="EPSON TMU220D ( USB )"/>
    <n v="1"/>
    <n v="8500"/>
    <n v="12000"/>
    <n v="12000"/>
    <s v="MARITESS"/>
  </r>
  <r>
    <x v="281"/>
    <s v="CHICKEN DELI - SO-025"/>
    <s v="SO-025"/>
    <s v="CHICKEN DELI"/>
    <s v="LIAMS BEACH CAFÉ"/>
    <s v="GENERIC"/>
    <s v="N/A"/>
    <s v="2026-02-11"/>
    <s v="EOS W/ COMPLETE ACCESSORIES"/>
    <n v="1"/>
    <n v="24450"/>
    <n v="34000"/>
    <n v="34000"/>
    <s v="MARITESS"/>
  </r>
  <r>
    <x v="281"/>
    <s v="CHICKEN DELI - SO-025"/>
    <s v="SO-025"/>
    <s v="CHICKEN DELI"/>
    <s v="LIAMS BEACH CAFÉ"/>
    <s v="GENERIC"/>
    <s v="N/A"/>
    <s v="2026-02-11"/>
    <s v="ACER MONITOR 19.5&quot;"/>
    <n v="1"/>
    <n v="3195"/>
    <n v="4500"/>
    <n v="4500"/>
    <s v="MARITESS"/>
  </r>
  <r>
    <x v="281"/>
    <s v="CHICKEN DELI - SO-025"/>
    <s v="SO-025"/>
    <s v="CHICKEN DELI"/>
    <s v="LIAMS BEACH CAFÉ"/>
    <s v="GENERIC"/>
    <s v="N/A"/>
    <s v="2026-02-11"/>
    <s v="DELIVERY CHARGE"/>
    <n v="1"/>
    <n v="500"/>
    <n v="500"/>
    <n v="500"/>
    <s v="MARITESS"/>
  </r>
  <r>
    <x v="281"/>
    <s v="CHICKEN DELI - SO-025"/>
    <s v="SO-025"/>
    <s v="CHICKEN DELI"/>
    <s v="LIAMS BEACH CAFÉ"/>
    <s v="GENERIC"/>
    <s v="N/A"/>
    <s v="2026-02-11"/>
    <s v="MODIFICATION"/>
    <n v="1"/>
    <n v="36000"/>
    <n v="36000"/>
    <n v="36000"/>
    <s v="MARITESS"/>
  </r>
  <r>
    <x v="281"/>
    <s v="CHICKEN DELI - SO-025"/>
    <s v="SO-025"/>
    <s v="CHICKEN DELI"/>
    <s v="LIAMS BEACH CAFÉ"/>
    <s v="GENERIC"/>
    <s v="N/A"/>
    <s v="2026-02-11"/>
    <s v="SD CARD"/>
    <n v="1"/>
    <n v="550"/>
    <n v="800"/>
    <n v="800"/>
    <s v="MARITESS"/>
  </r>
  <r>
    <x v="22"/>
    <s v="CHICKEN DELI - SO-026"/>
    <s v="SO-026"/>
    <s v="CHICKEN DELI"/>
    <s v="ISSY &amp;CO."/>
    <s v="GENERIC"/>
    <s v="N/A"/>
    <s v="2026-02-11"/>
    <s v="RDMS V3+"/>
    <n v="1"/>
    <n v="3675"/>
    <n v="10500"/>
    <n v="10500"/>
    <s v="MARITESS"/>
  </r>
  <r>
    <x v="22"/>
    <s v="CHICKEN DELI - SO-026"/>
    <s v="SO-026"/>
    <s v="CHICKEN DELI"/>
    <s v="ISSY &amp;CO."/>
    <s v="GENERIC"/>
    <s v="N/A"/>
    <s v="2026-02-11"/>
    <s v="IMPLEMENTATION"/>
    <n v="1"/>
    <n v="12100"/>
    <n v="12100"/>
    <n v="12100"/>
    <s v="MARITESS"/>
  </r>
  <r>
    <x v="22"/>
    <s v="CHICKEN DELI - SO-026"/>
    <s v="SO-026"/>
    <s v="CHICKEN DELI"/>
    <s v="ISSY &amp;CO."/>
    <s v="GENERIC"/>
    <s v="N/A"/>
    <s v="2026-02-11"/>
    <s v="ONE YEAR WARRANTY"/>
    <n v="1"/>
    <n v="12100"/>
    <n v="12100"/>
    <n v="12100"/>
    <s v="MARITESS"/>
  </r>
  <r>
    <x v="22"/>
    <s v="CHICKEN DELI - SO-026"/>
    <s v="SO-026"/>
    <s v="CHICKEN DELI"/>
    <s v="ISSY &amp;CO."/>
    <s v="GENERIC"/>
    <s v="N/A"/>
    <s v="2026-02-11"/>
    <s v="BIR REG."/>
    <n v="1"/>
    <n v="500"/>
    <n v="500"/>
    <n v="500"/>
    <s v="MARITESS"/>
  </r>
  <r>
    <x v="22"/>
    <s v="CHICKEN DELI - SO-026"/>
    <s v="SO-026"/>
    <s v="CHICKEN DELI"/>
    <s v="ISSY &amp;CO."/>
    <s v="GENERIC"/>
    <s v="N/A"/>
    <s v="2026-02-11"/>
    <s v="KASPERSKY ANTI VIRUS"/>
    <n v="1"/>
    <n v="935"/>
    <n v="1300"/>
    <n v="1300"/>
    <s v="MARITESS"/>
  </r>
  <r>
    <x v="22"/>
    <s v="CHICKEN DELI - SO-026"/>
    <s v="SO-026"/>
    <s v="CHICKEN DELI"/>
    <s v="ISSY &amp;CO."/>
    <s v="GENERIC"/>
    <s v="N/A"/>
    <s v="2026-02-11"/>
    <s v="BEELINK EQ112-D4 MINI PC"/>
    <n v="1"/>
    <n v="24640"/>
    <n v="35200"/>
    <n v="35200"/>
    <s v="MARITESS"/>
  </r>
  <r>
    <x v="22"/>
    <s v="CHICKEN DELI - SO-026"/>
    <s v="SO-026"/>
    <s v="CHICKEN DELI"/>
    <s v="ISSY &amp;CO."/>
    <s v="GENERIC"/>
    <s v="N/A"/>
    <s v="2026-02-11"/>
    <s v="DELIVERY CHARGE"/>
    <n v="1"/>
    <n v="500"/>
    <n v="500"/>
    <n v="500"/>
    <s v="MARITESS"/>
  </r>
  <r>
    <x v="22"/>
    <s v="CHICKEN DELI - SO-026"/>
    <s v="SO-026"/>
    <s v="CHICKEN DELI"/>
    <s v="ISSY &amp;CO."/>
    <s v="GENERIC"/>
    <s v="N/A"/>
    <s v="2026-02-11"/>
    <s v="KEYBOARD &amp; MOUSE"/>
    <n v="1"/>
    <n v="880"/>
    <n v="1300"/>
    <n v="1300"/>
    <s v="MARITESS"/>
  </r>
  <r>
    <x v="56"/>
    <s v="JASMINE BLOOM TEA INC - SO-26-026"/>
    <s v="SO-26-026"/>
    <s v="JASMINE BLOOM TEA INC"/>
    <s v="SERENITEA"/>
    <s v="ES:"/>
    <s v="50% DOWNPAYMENT, 50% 35 DAYS PDC"/>
    <s v="2026-02-25"/>
    <s v="*ANNAUAL PREVENTIVE MAINTENANCE"/>
    <n v="3"/>
    <n v="10000"/>
    <n v="10000"/>
    <n v="30000"/>
    <s v="MARITESS"/>
  </r>
  <r>
    <x v="54"/>
    <s v="DRAGONWELL TEA INC - SO-26-027"/>
    <s v="SO-26-027"/>
    <s v="DRAGONWELL TEA INC"/>
    <s v="SERENITEA"/>
    <s v="ES:"/>
    <s v="50% DOWNPAYMENT, 50% 35 DAYS PDC"/>
    <s v="2026-02-25"/>
    <s v="*ANNAUAL PREVENTIVE MAINTENANCE"/>
    <n v="3"/>
    <n v="10000"/>
    <n v="10000"/>
    <n v="30000"/>
    <s v="MARITESS"/>
  </r>
  <r>
    <x v="137"/>
    <s v="CHICKEN DELI - SO-027"/>
    <s v="SO-027"/>
    <s v="CHICKEN DELI"/>
    <s v="M &amp; W"/>
    <s v="GENERIC"/>
    <s v="N/A"/>
    <s v="2026-02-11"/>
    <s v="DESKTOP RYZEN 8GB W/ 512 GB NVME.2"/>
    <n v="4"/>
    <n v="18000"/>
    <n v="25000"/>
    <n v="100000"/>
    <s v="MARITESS"/>
  </r>
  <r>
    <x v="137"/>
    <s v="CHICKEN DELI - SO-027"/>
    <s v="SO-027"/>
    <s v="CHICKEN DELI"/>
    <s v="M &amp; W"/>
    <s v="GENERIC"/>
    <s v="N/A"/>
    <s v="2026-02-11"/>
    <s v="DESKTOP RYZEN 16GB W/ 1TB NVME2."/>
    <n v="1"/>
    <n v="23500"/>
    <n v="28000"/>
    <n v="28000"/>
    <s v="MARITESS"/>
  </r>
  <r>
    <x v="137"/>
    <s v="CHICKEN DELI - SO-027"/>
    <s v="SO-027"/>
    <s v="CHICKEN DELI"/>
    <s v="M &amp; W"/>
    <s v="GENERIC"/>
    <s v="N/A"/>
    <s v="2026-02-11"/>
    <s v="RDMSV3 + BACK OFFICE"/>
    <n v="1"/>
    <n v="3500"/>
    <n v="10000"/>
    <n v="10000"/>
    <s v="MARITESS"/>
  </r>
  <r>
    <x v="137"/>
    <s v="CHICKEN DELI - SO-027"/>
    <s v="SO-027"/>
    <s v="CHICKEN DELI"/>
    <s v="M &amp; W"/>
    <s v="GENERIC"/>
    <s v="N/A"/>
    <s v="2026-02-11"/>
    <s v="ROLL OUT/ IMPLEMENTATION"/>
    <n v="1"/>
    <n v="13500"/>
    <n v="13500"/>
    <n v="13500"/>
    <s v="MARITESS"/>
  </r>
  <r>
    <x v="137"/>
    <s v="CHICKEN DELI - SO-027"/>
    <s v="SO-027"/>
    <s v="CHICKEN DELI"/>
    <s v="M &amp; W"/>
    <s v="GENERIC"/>
    <s v="N/A"/>
    <s v="2026-02-11"/>
    <s v="ONE YEAR WARRANTY"/>
    <n v="1"/>
    <n v="13500"/>
    <n v="13500"/>
    <n v="13500"/>
    <s v="MARITESS"/>
  </r>
  <r>
    <x v="137"/>
    <s v="CHICKEN DELI - SO-027"/>
    <s v="SO-027"/>
    <s v="CHICKEN DELI"/>
    <s v="M &amp; W"/>
    <s v="GENERIC"/>
    <s v="N/A"/>
    <s v="2026-02-11"/>
    <s v="RDMS V3+ NEW LICENSE"/>
    <n v="4"/>
    <n v="21000"/>
    <n v="60000"/>
    <n v="240000"/>
    <s v="MARITESS"/>
  </r>
  <r>
    <x v="137"/>
    <s v="CHICKEN DELI - SO-027"/>
    <s v="SO-027"/>
    <s v="CHICKEN DELI"/>
    <s v="M &amp; W"/>
    <s v="GENERIC"/>
    <s v="N/A"/>
    <s v="2026-02-11"/>
    <s v="ROLL OUT/ IMPLEMENTATION"/>
    <n v="4"/>
    <n v="15000"/>
    <n v="15000"/>
    <n v="60000"/>
    <s v="MARITESS"/>
  </r>
  <r>
    <x v="137"/>
    <s v="CHICKEN DELI - SO-027"/>
    <s v="SO-027"/>
    <s v="CHICKEN DELI"/>
    <s v="M &amp; W"/>
    <s v="GENERIC"/>
    <s v="N/A"/>
    <s v="2026-02-11"/>
    <s v="ONE YEAR WARRANTY"/>
    <n v="4"/>
    <n v="15000"/>
    <n v="15000"/>
    <n v="60000"/>
    <s v="MARITESS"/>
  </r>
  <r>
    <x v="137"/>
    <s v="CHICKEN DELI - SO-027"/>
    <s v="SO-027"/>
    <s v="CHICKEN DELI"/>
    <s v="M &amp; W"/>
    <s v="GENERIC"/>
    <s v="N/A"/>
    <s v="2026-02-11"/>
    <s v="WINDOWS 11"/>
    <n v="5"/>
    <n v="2000"/>
    <n v="2800"/>
    <n v="14000"/>
    <s v="MARITESS"/>
  </r>
  <r>
    <x v="137"/>
    <s v="CHICKEN DELI - SO-027"/>
    <s v="SO-027"/>
    <s v="CHICKEN DELI"/>
    <s v="M &amp; W"/>
    <s v="GENERIC"/>
    <s v="N/A"/>
    <s v="2026-02-11"/>
    <s v="BIR REGISTRATION"/>
    <n v="4"/>
    <n v="2000"/>
    <n v="2000"/>
    <n v="8000"/>
    <s v="MARITESS"/>
  </r>
  <r>
    <x v="52"/>
    <s v="ALI SHAN TEA CORP - SO-26-028"/>
    <s v="SO-26-028"/>
    <s v="ALI SHAN TEA CORP"/>
    <s v="SERENITEA"/>
    <s v="ES:"/>
    <s v="50% DOWNPAYMENT, 50% 35 DAYS PDC"/>
    <s v="2026-02-25"/>
    <s v="*ANNAUAL PREVENTIVE MAINTENANCE"/>
    <n v="2"/>
    <n v="10000"/>
    <n v="10000"/>
    <n v="20000"/>
    <s v="MARITESS"/>
  </r>
  <r>
    <x v="33"/>
    <s v="M W TOWNSTORE - SO-028"/>
    <s v="SO-028"/>
    <s v="M W TOWNSTORE"/>
    <s v="M &amp; W"/>
    <s v="GENERIC"/>
    <s v="N/A"/>
    <s v="2026-02-11"/>
    <s v="EPSON TMU 220B PRINTER"/>
    <n v="4"/>
    <n v="11000"/>
    <n v="15500"/>
    <n v="62000"/>
    <s v="MARITESS"/>
  </r>
  <r>
    <x v="33"/>
    <s v="M W TOWNSTORE - SO-028"/>
    <s v="SO-028"/>
    <s v="M W TOWNSTORE"/>
    <s v="M &amp; W"/>
    <s v="GENERIC"/>
    <s v="N/A"/>
    <s v="2026-02-11"/>
    <s v="CASH DRAWER"/>
    <n v="4"/>
    <n v="2185"/>
    <n v="3100"/>
    <n v="12400"/>
    <s v="MARITESS"/>
  </r>
  <r>
    <x v="33"/>
    <s v="M W TOWNSTORE - SO-028"/>
    <s v="SO-028"/>
    <s v="M W TOWNSTORE"/>
    <s v="M &amp; W"/>
    <s v="GENERIC"/>
    <s v="N/A"/>
    <s v="2026-02-11"/>
    <s v="POSEIDON PSD86 SCANNER"/>
    <n v="5"/>
    <n v="3360"/>
    <n v="5300"/>
    <n v="26500"/>
    <s v="MARITESS"/>
  </r>
  <r>
    <x v="33"/>
    <s v="M W TOWNSTORE - SO-028"/>
    <s v="SO-028"/>
    <s v="M W TOWNSTORE"/>
    <s v="M &amp; W"/>
    <s v="GENERIC"/>
    <s v="N/A"/>
    <s v="2026-02-11"/>
    <s v="DELIVERY CHARGE"/>
    <n v="5"/>
    <n v="2000"/>
    <n v="2500"/>
    <n v="12500"/>
    <s v="MARITESS"/>
  </r>
  <r>
    <x v="282"/>
    <s v="MIZAN FOOD OPC - SO-26-029"/>
    <s v="SO-26-029"/>
    <s v="MIZAN FOOD OPC"/>
    <s v="ARYA"/>
    <s v="GENERIC"/>
    <s v="N/A"/>
    <s v="2026-03-02"/>
    <s v="EPSON TMU220IID LAN PRINTER (MANUAL CUT)"/>
    <n v="1"/>
    <n v="9850"/>
    <n v="13500"/>
    <n v="13500"/>
    <s v="RUDELYN"/>
  </r>
  <r>
    <x v="20"/>
    <s v="CHICKEN DELI - SO-029"/>
    <s v="SO-029"/>
    <s v="CHICKEN DELI"/>
    <s v="MN+LA APPAREL"/>
    <s v="GENERIC"/>
    <s v="N/A"/>
    <s v="2025-02-13"/>
    <s v="JOURNAL PAPER ( DOUBLE PLY"/>
    <n v="50"/>
    <n v="32"/>
    <n v="50"/>
    <n v="2500"/>
    <s v="MARITESS"/>
  </r>
  <r>
    <x v="2"/>
    <s v="CHICKEN DELI - SO-030"/>
    <s v="SO-030"/>
    <s v="CHICKEN DELI"/>
    <s v="GONGCHA"/>
    <s v="GENERIC"/>
    <s v="N/A"/>
    <s v="2026-02-20"/>
    <s v="MODIFICATION :"/>
    <n v="1"/>
    <n v="15000"/>
    <n v="15000"/>
    <n v="15000"/>
    <s v="MARITESS"/>
  </r>
  <r>
    <x v="93"/>
    <s v="GENMAICHA TEA CORPORATION - SO-26-030"/>
    <s v="SO-26-030"/>
    <s v="GENMAICHA TEA CORPORATION"/>
    <s v="SERENITEA"/>
    <s v="GENERIC"/>
    <s v="COD"/>
    <s v="2026-03-09"/>
    <s v="PRINTER HEAD"/>
    <n v="1"/>
    <n v="1100"/>
    <n v="1300"/>
    <n v="1300"/>
    <s v="MARITESS"/>
  </r>
  <r>
    <x v="93"/>
    <s v="GENMAICHA TEA CORPORATION - SO-26-030"/>
    <s v="SO-26-030"/>
    <s v="GENMAICHA TEA CORPORATION"/>
    <s v="SERENITEA"/>
    <s v="GENERIC"/>
    <s v="COD"/>
    <s v="2026-03-09"/>
    <s v="PRINTER HEAD CABLE"/>
    <n v="1"/>
    <n v="20"/>
    <n v="100"/>
    <n v="100"/>
    <s v="MARITESS"/>
  </r>
  <r>
    <x v="50"/>
    <s v="CHICKEN DELI - SO-031"/>
    <s v="SO-031"/>
    <s v="CHICKEN DELI"/>
    <s v="KARIMADON"/>
    <s v="GENERIC"/>
    <s v="N/A"/>
    <s v="2026-02-20"/>
    <s v="GODEX BARCODE PRINTER EZ120"/>
    <n v="1"/>
    <n v="8000"/>
    <n v="14500"/>
    <n v="14500"/>
    <s v="MARITESS"/>
  </r>
  <r>
    <x v="50"/>
    <s v="CHICKEN DELI - SO-031"/>
    <s v="SO-031"/>
    <s v="CHICKEN DELI"/>
    <s v="KARIMADON"/>
    <s v="GENERIC"/>
    <s v="N/A"/>
    <s v="2026-02-20"/>
    <s v="DELIVERY CHARGE"/>
    <n v="1"/>
    <n v="500"/>
    <n v="500"/>
    <n v="500"/>
    <s v="MARITESS"/>
  </r>
  <r>
    <x v="283"/>
    <s v="TIMELESS BAR AND RESTAURANT CONCEPTS INC - SO-26-031"/>
    <s v="SO-26-031"/>
    <s v="TIMELESS BAR AND RESTAURANT CONCEPTS INC"/>
    <s v="DILLINGER"/>
    <s v="GREENBELT 3"/>
    <s v="COD"/>
    <s v="2026-03-09"/>
    <s v="PRINTER HEAD"/>
    <n v="1"/>
    <n v="1100"/>
    <n v="1650"/>
    <n v="1650"/>
    <s v="RUDELYN"/>
  </r>
  <r>
    <x v="283"/>
    <s v="TIMELESS BAR AND RESTAURANT CONCEPTS INC - SO-26-031"/>
    <s v="SO-26-031"/>
    <s v="TIMELESS BAR AND RESTAURANT CONCEPTS INC"/>
    <s v="DILLINGER"/>
    <s v="GREENBELT 3"/>
    <s v="COD"/>
    <s v="2026-03-09"/>
    <s v="PRINTER HEAD CABLE"/>
    <n v="1"/>
    <n v="20"/>
    <n v="150"/>
    <n v="150"/>
    <s v="RUDELYN"/>
  </r>
  <r>
    <x v="284"/>
    <s v="TIU MADONNA PEACE ONGPAUCO - SO-26-032"/>
    <s v="SO-26-032"/>
    <s v="TIU MADONNA PEACE ONGPAUCO"/>
    <s v="MY HAPPY HOME"/>
    <s v="GREENHILLS"/>
    <s v="COD"/>
    <s v="2026-03-09"/>
    <s v="GODEX EZ120 203DPI PRINTER HEAD"/>
    <n v="1"/>
    <n v="5300"/>
    <n v="7500"/>
    <n v="7500"/>
    <s v="RUDELYN"/>
  </r>
  <r>
    <x v="2"/>
    <s v="CHICKEN DELI - SO-032"/>
    <s v="SO-032"/>
    <s v="CHICKEN DELI"/>
    <s v="GONGCHA"/>
    <s v="GENERIC"/>
    <s v="N/A"/>
    <s v="2026-02-25"/>
    <s v="TSCERES"/>
    <n v="1"/>
    <n v="6300"/>
    <n v="18000"/>
    <n v="18000"/>
    <s v="MARITESS"/>
  </r>
  <r>
    <x v="2"/>
    <s v="CHICKEN DELI - SO-032"/>
    <s v="SO-032"/>
    <s v="CHICKEN DELI"/>
    <s v="GONGCHA"/>
    <s v="GENERIC"/>
    <s v="N/A"/>
    <s v="2026-02-25"/>
    <s v="ROLL OUT"/>
    <n v="1"/>
    <n v="5750"/>
    <n v="5750"/>
    <n v="5750"/>
    <s v="MARITESS"/>
  </r>
  <r>
    <x v="2"/>
    <s v="CHICKEN DELI - SO-032"/>
    <s v="SO-032"/>
    <s v="CHICKEN DELI"/>
    <s v="GONGCHA"/>
    <s v="GENERIC"/>
    <s v="N/A"/>
    <s v="2026-02-25"/>
    <s v="IMPLEMENTATION"/>
    <n v="1"/>
    <n v="5750"/>
    <n v="5750"/>
    <n v="5750"/>
    <s v="MARITESS"/>
  </r>
  <r>
    <x v="2"/>
    <s v="CHICKEN DELI - SO-032"/>
    <s v="SO-032"/>
    <s v="CHICKEN DELI"/>
    <s v="GONGCHA"/>
    <s v="GENERIC"/>
    <s v="N/A"/>
    <s v="2026-02-25"/>
    <s v="BIR REG."/>
    <n v="1"/>
    <n v="500"/>
    <n v="500"/>
    <n v="500"/>
    <s v="MARITESS"/>
  </r>
  <r>
    <x v="9"/>
    <s v="CHICKEN DELI - SO-033"/>
    <s v="SO-033"/>
    <s v="CHICKEN DELI"/>
    <s v="OJO EYEWEAR"/>
    <s v="GENERIC"/>
    <s v="N/A"/>
    <s v="2026-02-24"/>
    <s v="JOURNAL PAPER ( SINGLE PLY )"/>
    <n v="100"/>
    <n v="17"/>
    <n v="25"/>
    <n v="2500"/>
    <s v="MARITESS"/>
  </r>
  <r>
    <x v="9"/>
    <s v="CHICKEN DELI - SO-033"/>
    <s v="SO-033"/>
    <s v="CHICKEN DELI"/>
    <s v="OJO EYEWEAR"/>
    <s v="GENERIC"/>
    <s v="N/A"/>
    <s v="2026-02-24"/>
    <s v="THERMAL PAPER"/>
    <n v="100"/>
    <n v="47"/>
    <n v="80"/>
    <n v="8000"/>
    <s v="MARITESS"/>
  </r>
  <r>
    <x v="285"/>
    <s v="CANTILLON JOHN JERIC SUMANG - SO-26-033"/>
    <s v="SO-26-033"/>
    <s v="CANTILLON JOHN JERIC SUMANG"/>
    <s v="POTATO GIANT"/>
    <s v="SM DASMARINAS"/>
    <s v="COD"/>
    <s v="2026-03-10"/>
    <s v="EOS -HUBTKEY POWER ADAPTOR"/>
    <n v="1"/>
    <n v="1200"/>
    <n v="2500"/>
    <n v="2500"/>
    <s v="RUDELYN"/>
  </r>
  <r>
    <x v="14"/>
    <s v="HUZZAH - SO-26-034"/>
    <s v="SO-26-034"/>
    <s v="HUZZAH"/>
    <s v="HUZZAH"/>
    <s v="GENERIC"/>
    <s v="COD"/>
    <s v="2026-03-19"/>
    <s v="JOURNAL PAPER - DOUBLE PLY"/>
    <n v="50"/>
    <n v="32"/>
    <n v="50"/>
    <n v="2500"/>
    <s v="RUDELYN"/>
  </r>
  <r>
    <x v="2"/>
    <s v="CHICKEN DELI - SO-034"/>
    <s v="SO-034"/>
    <s v="CHICKEN DELI"/>
    <s v="GONGCHA"/>
    <s v="GENERIC"/>
    <s v="N/A"/>
    <s v="2026-03-03"/>
    <s v="PREVENTIVE MAINTENANCE"/>
    <n v="3"/>
    <n v="6500"/>
    <n v="6500"/>
    <n v="19500"/>
    <s v="MARITESS"/>
  </r>
  <r>
    <x v="57"/>
    <s v="POL S MOM S PLACE INC - SO-26-035"/>
    <s v="SO-26-035"/>
    <s v="POL S MOM S PLACE INC"/>
    <s v="MAMOU"/>
    <s v="GENERIC"/>
    <s v="COD"/>
    <s v="2026-03-25"/>
    <s v="APC UPS"/>
    <n v="1"/>
    <n v="2200"/>
    <n v="4500"/>
    <n v="4500"/>
    <s v="MARITESS"/>
  </r>
  <r>
    <x v="57"/>
    <s v="POL S MOM S PLACE INC - SO-26-035"/>
    <s v="SO-26-035"/>
    <s v="POL S MOM S PLACE INC"/>
    <s v="MAMOU"/>
    <s v="GENERIC"/>
    <s v="COD"/>
    <s v="2026-03-25"/>
    <s v="DELIVERY FEE"/>
    <n v="1"/>
    <n v="200"/>
    <n v="200"/>
    <n v="200"/>
    <s v="MARITESS"/>
  </r>
  <r>
    <x v="2"/>
    <s v="CHICKEN DELI - SO-035"/>
    <s v="SO-035"/>
    <s v="CHICKEN DELI"/>
    <s v="GONGCHA"/>
    <s v="GENERIC"/>
    <s v="N/A"/>
    <s v="2025-03-03"/>
    <s v="PREVENTIVE MAINTENANCE"/>
    <n v="3"/>
    <n v="6500"/>
    <n v="6500"/>
    <n v="19500"/>
    <s v="MARITESS"/>
  </r>
  <r>
    <x v="161"/>
    <s v="ROCKWELL LAND CORPORATION - SO-26-036"/>
    <s v="SO-26-036"/>
    <s v="ROCKWELL LAND CORPORATION"/>
    <s v="ROCKWELL LAND CORPORATION"/>
    <s v="ROCKWELL MAKATI"/>
    <s v="THIRTY DAYS UPON DELIVERY"/>
    <s v="2026-03-25"/>
    <s v="EPSON TM-U220IIB USB"/>
    <n v="2"/>
    <n v="11000"/>
    <n v="15250"/>
    <n v="30500"/>
    <s v="RUDELYN"/>
  </r>
  <r>
    <x v="161"/>
    <s v="ROCKWELL LAND CORPORATION - SO-26-036"/>
    <s v="SO-26-036"/>
    <s v="ROCKWELL LAND CORPORATION"/>
    <s v="ROCKWELL LAND CORPORATION"/>
    <s v="ROCKWELL MAKATI"/>
    <s v="THIRTY DAYS UPON DELIVERY"/>
    <s v="2026-03-25"/>
    <s v="POSTECH TOUCHSCREEN MONITOR"/>
    <n v="2"/>
    <n v="11000"/>
    <n v="15000"/>
    <n v="30000"/>
    <s v="RUDELYN"/>
  </r>
  <r>
    <x v="161"/>
    <s v="ROCKWELL LAND CORPORATION - SO-26-036"/>
    <s v="SO-26-036"/>
    <s v="ROCKWELL LAND CORPORATION"/>
    <s v="ROCKWELL LAND CORPORATION"/>
    <s v="ROCKWELL MAKATI"/>
    <s v="THIRTY DAYS UPON DELIVERY"/>
    <s v="2026-03-25"/>
    <s v="DELIVERY CHARGE"/>
    <n v="1"/>
    <n v="500"/>
    <n v="500"/>
    <n v="500"/>
    <s v="RUDELYN"/>
  </r>
  <r>
    <x v="2"/>
    <s v="CHICKEN DELI - SO-036"/>
    <s v="SO-036"/>
    <s v="CHICKEN DELI"/>
    <s v="GONGCHA"/>
    <s v="GENERIC"/>
    <s v="N/A"/>
    <s v="2025-03-03"/>
    <s v="PREVENTIVE MAINTENANCE"/>
    <n v="2"/>
    <n v="6500"/>
    <n v="6500"/>
    <n v="13000"/>
    <s v="MARITESS"/>
  </r>
  <r>
    <x v="2"/>
    <s v="CHICKEN DELI - SO-037"/>
    <s v="SO-037"/>
    <s v="CHICKEN DELI"/>
    <s v="GONGCHA"/>
    <s v="GENERIC"/>
    <s v="N/A"/>
    <s v="2025-03-03"/>
    <s v="PREVENTIVE MAINTENANCE"/>
    <n v="1"/>
    <n v="6500"/>
    <n v="6500"/>
    <n v="6500"/>
    <s v="MARITESS"/>
  </r>
  <r>
    <x v="286"/>
    <s v="ELEVATED FOOD RECIPES INC - SO-26-037"/>
    <s v="SO-26-037"/>
    <s v="ELEVATED FOOD RECIPES INC"/>
    <s v="HEALTHY SHABU SHABU"/>
    <s v="ROB. MANILA"/>
    <s v="N/A"/>
    <s v="2026-03-26"/>
    <s v="POSTECH ADAPTOR WITH CORD"/>
    <n v="1"/>
    <n v="2500"/>
    <n v="3500"/>
    <n v="3500"/>
    <s v="RUDELYN"/>
  </r>
  <r>
    <x v="73"/>
    <s v="CANELLE FOOD CORPORATION - SO-26-038"/>
    <s v="SO-26-038"/>
    <s v="CANELLE FOOD CORPORATION"/>
    <s v="CINNABON"/>
    <s v="GENERIC"/>
    <s v="COD"/>
    <s v="2026-03-26"/>
    <s v="EPSON TMU220D USB PRINTER"/>
    <n v="1"/>
    <n v="8500"/>
    <n v="10807.14"/>
    <n v="10807.14"/>
    <s v="MARITESS"/>
  </r>
  <r>
    <x v="73"/>
    <s v="CANELLE FOOD CORPORATION - SO-26-038"/>
    <s v="SO-26-038"/>
    <s v="CANELLE FOOD CORPORATION"/>
    <s v="CINNABON"/>
    <s v="GENERIC"/>
    <s v="COD"/>
    <s v="2026-03-26"/>
    <s v="COMMISSION - SIR ALVIN"/>
    <n v="1"/>
    <n v="892.86"/>
    <n v="892.86"/>
    <n v="892.86"/>
    <s v="MARITESS"/>
  </r>
  <r>
    <x v="73"/>
    <s v="CANELLE FOOD CORPORATION - SO-26-038"/>
    <s v="SO-26-038"/>
    <s v="CANELLE FOOD CORPORATION"/>
    <s v="CINNABON"/>
    <s v="GENERIC"/>
    <s v="COD"/>
    <s v="2026-03-26"/>
    <s v="DELIVERY FEE"/>
    <n v="1"/>
    <n v="300"/>
    <n v="300"/>
    <n v="300"/>
    <s v="MARITESS"/>
  </r>
  <r>
    <x v="2"/>
    <s v="CHICKEN DELI - SO-038"/>
    <s v="SO-038"/>
    <s v="CHICKEN DELI"/>
    <s v="GONGCHA"/>
    <s v="GENERIC"/>
    <s v="N/A"/>
    <s v="2025-03-03"/>
    <s v="PREVENTIVE MAINTENANCE"/>
    <n v="4"/>
    <n v="6500"/>
    <n v="6500"/>
    <n v="26000"/>
    <s v="MARITESS"/>
  </r>
  <r>
    <x v="73"/>
    <s v="CANELLE FOOD CORPORATION - SO-26-039"/>
    <s v="SO-26-039"/>
    <s v="CANELLE FOOD CORPORATION"/>
    <s v="CINNABON"/>
    <s v="GENERIC"/>
    <s v="N/A"/>
    <s v="202-03-26"/>
    <s v="PRINTER HEAD"/>
    <n v="5"/>
    <n v="1100"/>
    <n v="1500"/>
    <n v="7500"/>
    <s v="MARITESS"/>
  </r>
  <r>
    <x v="287"/>
    <s v="CHICKEN DELI - SO-039"/>
    <s v="SO-039"/>
    <s v="CHICKEN DELI"/>
    <s v="UNAROSA"/>
    <s v="GENERIC"/>
    <s v="N/A"/>
    <s v="2026-03-03"/>
    <s v="PREVENTIVE MAINTENANCE ( RDMS V3+ )"/>
    <n v="1"/>
    <n v="20000"/>
    <n v="20000"/>
    <n v="20000"/>
    <s v="MARITESS"/>
  </r>
  <r>
    <x v="287"/>
    <s v="CHICKEN DELI - SO-039"/>
    <s v="SO-039"/>
    <s v="CHICKEN DELI"/>
    <s v="UNAROSA"/>
    <s v="GENERIC"/>
    <s v="N/A"/>
    <s v="2026-03-03"/>
    <s v="ADATA SSD 512 GB SATA"/>
    <n v="1"/>
    <n v="5200"/>
    <n v="7500"/>
    <n v="7500"/>
    <s v="MARITESS"/>
  </r>
  <r>
    <x v="287"/>
    <s v="CHICKEN DELI - SO-039"/>
    <s v="SO-039"/>
    <s v="CHICKEN DELI"/>
    <s v="UNAROSA"/>
    <s v="GENERIC"/>
    <s v="N/A"/>
    <s v="2026-03-03"/>
    <s v="WINDOWS 11"/>
    <n v="1"/>
    <n v="2000"/>
    <n v="4000"/>
    <n v="4000"/>
    <s v="MARITESS"/>
  </r>
  <r>
    <x v="287"/>
    <s v="CHICKEN DELI - SO-039"/>
    <s v="SO-039"/>
    <s v="CHICKEN DELI"/>
    <s v="UNAROSA"/>
    <s v="GENERIC"/>
    <s v="N/A"/>
    <s v="2026-03-03"/>
    <s v="BIR REGISTRATION"/>
    <n v="1"/>
    <n v="500"/>
    <n v="500"/>
    <n v="500"/>
    <s v="MARITESS"/>
  </r>
  <r>
    <x v="288"/>
    <s v="MEGA GOLDTOWN PAN INC - SO-26-040"/>
    <s v="SO-26-040"/>
    <s v="MEGA GOLDTOWN PAN INC"/>
    <s v="PANDE MANILA"/>
    <s v="GENERIC"/>
    <s v="N/A"/>
    <s v="2026-04-10"/>
    <s v="PREVENTIVE MAINTENANCE BRANCHES: 1. AMIGO 2.BANILAD 3. ROCKWELL ORTIGAS 2 4. KASAMBAGAN 5. LABANGON CASA MIRA TOWER 6. NAGA CEBU 7. PASEO ARCENAS 8. ISLAND CENTRAL MACTAN 9. MINGLANILLA 10. SOHO MALL 11. AYALA MALLS CENTRAL BLOC CEBU 12.LG GARDEN WALK 13. MARINA MALL"/>
    <n v="13"/>
    <n v="10000"/>
    <n v="10000"/>
    <n v="130000"/>
    <s v="RUDELYN"/>
  </r>
  <r>
    <x v="287"/>
    <s v="CHICKEN DELI - SO-040"/>
    <s v="SO-040"/>
    <s v="CHICKEN DELI"/>
    <s v="UNAROSA"/>
    <s v="GENERIC"/>
    <s v="N/A"/>
    <s v="2026-03-03"/>
    <s v="PREVENTIVE MAINTENANCE ( RDMS V3+ )"/>
    <n v="1"/>
    <n v="20000"/>
    <n v="20000"/>
    <n v="20000"/>
    <s v="MARITESS"/>
  </r>
  <r>
    <x v="287"/>
    <s v="CHICKEN DELI - SO-040"/>
    <s v="SO-040"/>
    <s v="CHICKEN DELI"/>
    <s v="UNAROSA"/>
    <s v="GENERIC"/>
    <s v="N/A"/>
    <s v="2026-03-03"/>
    <s v="BEELINK MINI CPU"/>
    <n v="1"/>
    <n v="18495"/>
    <n v="26500"/>
    <n v="26500"/>
    <s v="MARITESS"/>
  </r>
  <r>
    <x v="287"/>
    <s v="CHICKEN DELI - SO-040"/>
    <s v="SO-040"/>
    <s v="CHICKEN DELI"/>
    <s v="UNAROSA"/>
    <s v="GENERIC"/>
    <s v="N/A"/>
    <s v="2026-03-03"/>
    <s v="BIR REGISTRATION"/>
    <n v="1"/>
    <n v="500"/>
    <n v="500"/>
    <n v="500"/>
    <s v="MARITESS"/>
  </r>
  <r>
    <x v="289"/>
    <s v="GOLDEN PAN DE SAL INC - SO-26-041"/>
    <s v="SO-26-041"/>
    <s v="GOLDEN PAN DE SAL INC"/>
    <s v="PANDE MANILA"/>
    <s v="GENERIC"/>
    <s v="N/A"/>
    <s v="2026-04-10"/>
    <s v="PREVENTIVE MAINTENANCE BRANCHES: 1. MASINAG 2. ANTIPOLO YNARES 3. STA LUCIA EAST GRAND MALL 4. DASMARINAS CAVITE 5. TRAMO 6. MALATE 7. MARIKINA BAYAN-BAYANAN 8. BLUE WAVE MARQUINTON 9. PTT MCARTHUR 10. NORTHWALK SAN FERNANDO 11. EL GRANDE AVE 12. BICUTAN 13. PRINCETON 14. FAIRVIEW 15. TYATAY"/>
    <n v="15"/>
    <n v="10000"/>
    <n v="10000"/>
    <n v="150000"/>
    <s v="RUDELYN"/>
  </r>
  <r>
    <x v="287"/>
    <s v="CHICKEN DELI - SO-041"/>
    <s v="SO-041"/>
    <s v="CHICKEN DELI"/>
    <s v="UNAROSA"/>
    <s v="GENERIC"/>
    <s v="N/A"/>
    <s v="2026-03-03"/>
    <s v="PREVENTIVE MAINTENANCE ( RDMS V3+ )"/>
    <n v="1"/>
    <n v="20000"/>
    <n v="20000"/>
    <n v="20000"/>
    <s v="MARITESS"/>
  </r>
  <r>
    <x v="287"/>
    <s v="CHICKEN DELI - SO-041"/>
    <s v="SO-041"/>
    <s v="CHICKEN DELI"/>
    <s v="UNAROSA"/>
    <s v="GENERIC"/>
    <s v="N/A"/>
    <s v="2026-03-03"/>
    <s v="BEELINK MINI CPU"/>
    <n v="1"/>
    <n v="18495"/>
    <n v="26500"/>
    <n v="26500"/>
    <s v="MARITESS"/>
  </r>
  <r>
    <x v="287"/>
    <s v="CHICKEN DELI - SO-041"/>
    <s v="SO-041"/>
    <s v="CHICKEN DELI"/>
    <s v="UNAROSA"/>
    <s v="GENERIC"/>
    <s v="N/A"/>
    <s v="2026-03-03"/>
    <s v="BIR REGISTRATION"/>
    <n v="1"/>
    <n v="500"/>
    <n v="500"/>
    <n v="500"/>
    <s v="MARITESS"/>
  </r>
  <r>
    <x v="290"/>
    <s v="PAN DE MANILA FOOD CO INC - SO-26-042"/>
    <s v="SO-26-042"/>
    <s v="PAN DE MANILA FOOD CO INC"/>
    <s v="PANDE MANILA"/>
    <s v="ES:"/>
    <s v="N/A"/>
    <s v="2026-04-10"/>
    <s v="PREVENTIVE MAINTENANCE"/>
    <n v="46"/>
    <n v="10000"/>
    <n v="10000"/>
    <n v="460000"/>
    <s v="MARITESS"/>
  </r>
  <r>
    <x v="287"/>
    <s v="CHICKEN DELI - SO-042"/>
    <s v="SO-042"/>
    <s v="CHICKEN DELI"/>
    <s v="UNAROSA"/>
    <s v="GENERIC"/>
    <s v="N/A"/>
    <s v="2026-03-03"/>
    <s v="INTEL CORE I5 ( 16GB DDR4 MEMORY / 1TB SATA SSD)"/>
    <n v="1"/>
    <n v="22850"/>
    <n v="33000"/>
    <n v="33000"/>
    <s v="MARITESS"/>
  </r>
  <r>
    <x v="287"/>
    <s v="CHICKEN DELI - SO-042"/>
    <s v="SO-042"/>
    <s v="CHICKEN DELI"/>
    <s v="UNAROSA"/>
    <s v="GENERIC"/>
    <s v="N/A"/>
    <s v="2026-03-03"/>
    <s v="WINDOWS 11"/>
    <n v="1"/>
    <n v="2000"/>
    <n v="4000"/>
    <n v="4000"/>
    <s v="MARITESS"/>
  </r>
  <r>
    <x v="287"/>
    <s v="CHICKEN DELI - SO-042"/>
    <s v="SO-042"/>
    <s v="CHICKEN DELI"/>
    <s v="UNAROSA"/>
    <s v="GENERIC"/>
    <s v="N/A"/>
    <s v="2026-03-03"/>
    <s v="PREVENTIVE MAINTENANCE"/>
    <n v="1"/>
    <n v="30000"/>
    <n v="30000"/>
    <n v="30000"/>
    <s v="MARITESS"/>
  </r>
  <r>
    <x v="74"/>
    <s v="CHICKEN DELI - SO-043"/>
    <s v="SO-043"/>
    <s v="CHICKEN DELI"/>
    <s v="SM MASINAG"/>
    <s v="GENERIC"/>
    <s v="N/A"/>
    <s v="2026-03-13"/>
    <s v="JOURNAL PAPER SINGLE PLY"/>
    <n v="1"/>
    <n v="17"/>
    <n v="1250"/>
    <n v="1250"/>
    <s v="MARITESS"/>
  </r>
  <r>
    <x v="291"/>
    <s v="FERRER PEDRO JR BACOLINAO - SO-26-043"/>
    <s v="SO-26-043"/>
    <s v="FERRER PEDRO JR BACOLINAO"/>
    <s v="SIGNA DRUGSTORE"/>
    <s v="ALABANG MUNTINLUPA"/>
    <s v="60% DOWNPAYMENT; 40% TO BE PAID WITHIN THIRTY DAYS UPON DELIVERY/INSTALLATION."/>
    <s v="2026-04-16"/>
    <s v="RDMS VERSION 5.0"/>
    <n v="1"/>
    <n v="6300"/>
    <n v="18000"/>
    <n v="18000"/>
    <s v="RUDELYN"/>
  </r>
  <r>
    <x v="291"/>
    <s v="FERRER PEDRO JR BACOLINAO - SO-26-043"/>
    <s v="SO-26-043"/>
    <s v="FERRER PEDRO JR BACOLINAO"/>
    <s v="SIGNA DRUGSTORE"/>
    <s v="ALABANG MUNTINLUPA"/>
    <s v="60% DOWNPAYMENT; 40% TO BE PAID WITHIN THIRTY DAYS UPON DELIVERY/INSTALLATION."/>
    <s v="2026-04-16"/>
    <s v="ROLLOUT IMPLEMENTATION"/>
    <n v="1"/>
    <n v="2975"/>
    <n v="8500"/>
    <n v="8500"/>
    <s v="RUDELYN"/>
  </r>
  <r>
    <x v="291"/>
    <s v="FERRER PEDRO JR BACOLINAO - SO-26-043"/>
    <s v="SO-26-043"/>
    <s v="FERRER PEDRO JR BACOLINAO"/>
    <s v="SIGNA DRUGSTORE"/>
    <s v="ALABANG MUNTINLUPA"/>
    <s v="60% DOWNPAYMENT; 40% TO BE PAID WITHIN THIRTY DAYS UPON DELIVERY/INSTALLATION."/>
    <s v="2026-04-16"/>
    <s v="ONE YEAR WARRANTY"/>
    <n v="1"/>
    <n v="2975"/>
    <n v="8500"/>
    <n v="8500"/>
    <s v="RUDELYN"/>
  </r>
  <r>
    <x v="292"/>
    <s v="BARBAZA MULTI PURPOSE COOPERATIVE - SO-26-043"/>
    <s v="SO-26-043"/>
    <s v="BARBAZA MULTI PURPOSE COOPERATIVE"/>
    <s v="COOP OCEAN VIEW RESORT"/>
    <s v="POBLACION ANTIQUE"/>
    <s v="N/A"/>
    <s v="2026-04-20"/>
    <s v="EPSON TMU220IID LAN PRINTER (MANUAL CUT)"/>
    <n v="2"/>
    <n v="9850"/>
    <n v="14000"/>
    <n v="28000"/>
    <s v="RUDELYN"/>
  </r>
  <r>
    <x v="293"/>
    <s v="CHICKEN DELI - SO-044"/>
    <s v="SO-044"/>
    <s v="CHICKEN DELI"/>
    <s v="LIAM'S LOMI HOUSE"/>
    <s v="GENERIC"/>
    <s v="N/A"/>
    <s v="2026-03-13"/>
    <s v="EPSON TMUT82X LAN"/>
    <n v="1"/>
    <n v="7500"/>
    <n v="10700"/>
    <n v="10700"/>
    <s v="MARITESS"/>
  </r>
  <r>
    <x v="14"/>
    <s v="HUZZAH - SO-26-045"/>
    <s v="SO-26-045"/>
    <s v="HUZZAH"/>
    <s v="HUZZAH"/>
    <s v="GENERIC"/>
    <s v="COD"/>
    <s v="2026-04-20"/>
    <s v="JOURNAL PAPER - DOUBLE PLY"/>
    <n v="50"/>
    <n v="32"/>
    <n v="50"/>
    <n v="2500"/>
    <s v="RUDELYN"/>
  </r>
  <r>
    <x v="294"/>
    <s v="CHICKEN DELI - SO-045"/>
    <s v="SO-045"/>
    <s v="CHICKEN DELI"/>
    <s v="CHOW UNLIMITED  CORP."/>
    <s v="GENERIC"/>
    <s v="N/A"/>
    <s v="2026-03-17"/>
    <s v="TSCERES ANDROID"/>
    <n v="1"/>
    <n v="5250"/>
    <n v="15000"/>
    <n v="15000"/>
    <s v="MARITESS"/>
  </r>
  <r>
    <x v="294"/>
    <s v="CHICKEN DELI - SO-045"/>
    <s v="SO-045"/>
    <s v="CHICKEN DELI"/>
    <s v="CHOW UNLIMITED  CORP."/>
    <s v="GENERIC"/>
    <s v="N/A"/>
    <s v="2026-03-17"/>
    <s v="ROLL OUT / IMPLEMENTATION"/>
    <n v="1"/>
    <n v="2500"/>
    <n v="2500"/>
    <n v="2500"/>
    <s v="MARITESS"/>
  </r>
  <r>
    <x v="294"/>
    <s v="CHICKEN DELI - SO-045"/>
    <s v="SO-045"/>
    <s v="CHICKEN DELI"/>
    <s v="CHOW UNLIMITED  CORP."/>
    <s v="GENERIC"/>
    <s v="N/A"/>
    <s v="2026-03-17"/>
    <s v="ONE YEAR WARRANTY"/>
    <n v="1"/>
    <n v="2500"/>
    <n v="2500"/>
    <n v="2500"/>
    <s v="MARITESS"/>
  </r>
  <r>
    <x v="294"/>
    <s v="CHICKEN DELI - SO-045"/>
    <s v="SO-045"/>
    <s v="CHICKEN DELI"/>
    <s v="CHOW UNLIMITED  CORP."/>
    <s v="GENERIC"/>
    <s v="N/A"/>
    <s v="2026-03-17"/>
    <s v="IMIN SWAN I"/>
    <n v="1"/>
    <n v="24300"/>
    <n v="35000"/>
    <n v="35000"/>
    <s v="MARITESS"/>
  </r>
  <r>
    <x v="294"/>
    <s v="CHICKEN DELI - SO-045"/>
    <s v="SO-045"/>
    <s v="CHICKEN DELI"/>
    <s v="CHOW UNLIMITED  CORP."/>
    <s v="GENERIC"/>
    <s v="N/A"/>
    <s v="2026-03-17"/>
    <s v="STAR BSC10"/>
    <n v="1"/>
    <n v="13400"/>
    <n v="17200"/>
    <n v="17200"/>
    <s v="MARITESS"/>
  </r>
  <r>
    <x v="294"/>
    <s v="CHICKEN DELI - SO-045"/>
    <s v="SO-045"/>
    <s v="CHICKEN DELI"/>
    <s v="CHOW UNLIMITED  CORP."/>
    <s v="GENERIC"/>
    <s v="N/A"/>
    <s v="2026-03-17"/>
    <s v="UPS"/>
    <n v="1"/>
    <n v="2200"/>
    <n v="3100"/>
    <n v="3100"/>
    <s v="MARITESS"/>
  </r>
  <r>
    <x v="294"/>
    <s v="CHICKEN DELI - SO-045"/>
    <s v="SO-045"/>
    <s v="CHICKEN DELI"/>
    <s v="CHOW UNLIMITED  CORP."/>
    <s v="GENERIC"/>
    <s v="N/A"/>
    <s v="2026-03-17"/>
    <s v="CASH BOX USB"/>
    <n v="1"/>
    <n v="1350"/>
    <n v="1900"/>
    <n v="1900"/>
    <s v="MARITESS"/>
  </r>
  <r>
    <x v="294"/>
    <s v="CHICKEN DELI - SO-045"/>
    <s v="SO-045"/>
    <s v="CHICKEN DELI"/>
    <s v="CHOW UNLIMITED  CORP."/>
    <s v="GENERIC"/>
    <s v="N/A"/>
    <s v="2026-03-17"/>
    <s v="BIR"/>
    <n v="1"/>
    <n v="500"/>
    <n v="500"/>
    <n v="500"/>
    <s v="MARITESS"/>
  </r>
  <r>
    <x v="294"/>
    <s v="CHICKEN DELI - SO-045"/>
    <s v="SO-045"/>
    <s v="CHICKEN DELI"/>
    <s v="CHOW UNLIMITED  CORP."/>
    <s v="GENERIC"/>
    <s v="N/A"/>
    <s v="2026-03-17"/>
    <s v="DELIVERY"/>
    <n v="1"/>
    <n v="500"/>
    <n v="500"/>
    <n v="500"/>
    <s v="MARITESS"/>
  </r>
  <r>
    <x v="279"/>
    <s v="CHICKEN DELI - SO-046"/>
    <s v="SO-046"/>
    <s v="CHICKEN DELI"/>
    <s v="CHARLIES RESTAURANT"/>
    <s v="GENERIC"/>
    <s v="N/A"/>
    <s v="2026-03-17"/>
    <s v="THERMAL PAPER"/>
    <n v="50"/>
    <n v="2350"/>
    <n v="4000"/>
    <n v="200000"/>
    <s v="MARITESS"/>
  </r>
  <r>
    <x v="279"/>
    <s v="CHICKEN DELI - SO-046"/>
    <s v="SO-046"/>
    <s v="CHICKEN DELI"/>
    <s v="CHARLIES RESTAURANT"/>
    <s v="GENERIC"/>
    <s v="N/A"/>
    <s v="2026-03-17"/>
    <s v="JOURNAL PAPER SINGLE PLY"/>
    <n v="50"/>
    <n v="850"/>
    <n v="1250"/>
    <n v="62500"/>
    <s v="MARITESS"/>
  </r>
  <r>
    <x v="279"/>
    <s v="CHICKEN DELI - SO-046"/>
    <s v="SO-046"/>
    <s v="CHICKEN DELI"/>
    <s v="CHARLIES RESTAURANT"/>
    <s v="GENERIC"/>
    <s v="N/A"/>
    <s v="2026-03-17"/>
    <s v="ERC RIBBON"/>
    <n v="30"/>
    <n v="2100"/>
    <n v="7500"/>
    <n v="225000"/>
    <s v="MARITESS"/>
  </r>
  <r>
    <x v="295"/>
    <s v="AURORA CHARLIE FOOD VENTURES INC - SO-26-046"/>
    <s v="SO-26-046"/>
    <s v="AURORA CHARLIE FOOD VENTURES INC"/>
    <s v="MAMOU"/>
    <s v="GENERIC"/>
    <s v="COD"/>
    <s v="2026-04-22"/>
    <s v="PREVENTIVE MAINTENANCE"/>
    <n v="1"/>
    <n v="15000"/>
    <n v="15000"/>
    <n v="15000"/>
    <s v="MARITESS"/>
  </r>
  <r>
    <x v="296"/>
    <s v="ELEMIE NATURALS INC - SO-26-047"/>
    <s v="SO-26-047"/>
    <s v="ELEMIE NATURALS INC"/>
    <s v="ELEMIE NATURALS INC"/>
    <s v="GENERIC"/>
    <s v="COD"/>
    <s v="2026-04-29"/>
    <s v="PREVENTIVE MAINTENANCE"/>
    <n v="1"/>
    <n v="15000"/>
    <n v="15000"/>
    <n v="15000"/>
    <s v="MARITESS"/>
  </r>
  <r>
    <x v="82"/>
    <s v="CHICKEN DELI - SO-047"/>
    <s v="SO-047"/>
    <s v="CHICKEN DELI"/>
    <s v="PROSHOP"/>
    <s v="GENERIC"/>
    <s v="N/A"/>
    <s v="2026-03-17"/>
    <s v="RDMS V3+"/>
    <n v="1"/>
    <n v="5250"/>
    <n v="15000"/>
    <n v="15000"/>
    <s v="MARITESS"/>
  </r>
  <r>
    <x v="82"/>
    <s v="CHICKEN DELI - SO-047"/>
    <s v="SO-047"/>
    <s v="CHICKEN DELI"/>
    <s v="PROSHOP"/>
    <s v="GENERIC"/>
    <s v="N/A"/>
    <s v="2026-03-17"/>
    <s v="ROLL OUT/ IMPLEMENTATION"/>
    <n v="1"/>
    <n v="5000"/>
    <n v="5000"/>
    <n v="5000"/>
    <s v="MARITESS"/>
  </r>
  <r>
    <x v="82"/>
    <s v="CHICKEN DELI - SO-047"/>
    <s v="SO-047"/>
    <s v="CHICKEN DELI"/>
    <s v="PROSHOP"/>
    <s v="GENERIC"/>
    <s v="N/A"/>
    <s v="2026-03-17"/>
    <s v="ONE YEAR WARRANTY"/>
    <n v="1"/>
    <n v="5000"/>
    <n v="5000"/>
    <n v="5000"/>
    <s v="MARITESS"/>
  </r>
  <r>
    <x v="82"/>
    <s v="CHICKEN DELI - SO-047"/>
    <s v="SO-047"/>
    <s v="CHICKEN DELI"/>
    <s v="PROSHOP"/>
    <s v="GENERIC"/>
    <s v="N/A"/>
    <s v="2026-03-17"/>
    <s v="EPSON PRINTER TMU220A USB"/>
    <n v="1"/>
    <n v="13000"/>
    <n v="17500"/>
    <n v="17500"/>
    <s v="MARITESS"/>
  </r>
  <r>
    <x v="82"/>
    <s v="CHICKEN DELI - SO-047"/>
    <s v="SO-047"/>
    <s v="CHICKEN DELI"/>
    <s v="PROSHOP"/>
    <s v="GENERIC"/>
    <s v="N/A"/>
    <s v="2026-03-17"/>
    <s v="DELIVERY"/>
    <n v="1"/>
    <n v="500"/>
    <n v="500"/>
    <n v="500"/>
    <s v="MARITESS"/>
  </r>
  <r>
    <x v="82"/>
    <s v="CHICKEN DELI - SO-047"/>
    <s v="SO-047"/>
    <s v="CHICKEN DELI"/>
    <s v="PROSHOP"/>
    <s v="GENERIC"/>
    <s v="N/A"/>
    <s v="2026-03-17"/>
    <s v="BIR REGISTRATION"/>
    <n v="1"/>
    <n v="500"/>
    <n v="500"/>
    <n v="500"/>
    <s v="MARITESS"/>
  </r>
  <r>
    <x v="297"/>
    <s v="BARBAZA MULTI PURPOSE COOPERATIVE - SO-26-048"/>
    <s v="SO-26-048"/>
    <s v="BARBAZA MULTI PURPOSE COOPERATIVE"/>
    <s v="BARBAZA PHARMACY"/>
    <s v="GEN LUNA ANTIQUE"/>
    <s v="N/A"/>
    <s v="2026-04-29"/>
    <s v="SOFTWARE LICENSE UPGRADE"/>
    <n v="1"/>
    <n v="6825"/>
    <n v="19500"/>
    <n v="19500"/>
    <s v="RUDELYN"/>
  </r>
  <r>
    <x v="297"/>
    <s v="BARBAZA MULTI PURPOSE COOPERATIVE - SO-26-048"/>
    <s v="SO-26-048"/>
    <s v="BARBAZA MULTI PURPOSE COOPERATIVE"/>
    <s v="BARBAZA PHARMACY"/>
    <s v="GEN LUNA ANTIQUE"/>
    <s v="N/A"/>
    <s v="2026-04-29"/>
    <s v="BIR REGISTRATION"/>
    <n v="1"/>
    <n v="500"/>
    <n v="500"/>
    <n v="500"/>
    <s v="RUDELYN"/>
  </r>
  <r>
    <x v="293"/>
    <s v="CHICKEN DELI - SO-048"/>
    <s v="SO-048"/>
    <s v="CHICKEN DELI"/>
    <s v="LIAM'S LOMI HOUSE"/>
    <s v="GENERIC"/>
    <s v="N/A"/>
    <s v="2026-03-23"/>
    <s v="VMAX DUAL DISPLAY PD970-1"/>
    <n v="2"/>
    <n v="9500"/>
    <n v="13750"/>
    <n v="27500"/>
    <s v="MARITESS"/>
  </r>
  <r>
    <x v="293"/>
    <s v="CHICKEN DELI - SO-048"/>
    <s v="SO-048"/>
    <s v="CHICKEN DELI"/>
    <s v="LIAM'S LOMI HOUSE"/>
    <s v="GENERIC"/>
    <s v="N/A"/>
    <s v="2026-03-23"/>
    <s v="T82 ( PRINTER HEADER W/ CABLE )"/>
    <n v="1"/>
    <n v="1014.72"/>
    <n v="2000"/>
    <n v="2000"/>
    <s v="MARITESS"/>
  </r>
  <r>
    <x v="293"/>
    <s v="CHICKEN DELI - SO-048"/>
    <s v="SO-048"/>
    <s v="CHICKEN DELI"/>
    <s v="LIAM'S LOMI HOUSE"/>
    <s v="GENERIC"/>
    <s v="N/A"/>
    <s v="2026-03-23"/>
    <s v="DELIVERY"/>
    <n v="1"/>
    <n v="500"/>
    <n v="500"/>
    <n v="500"/>
    <s v="MARITESS"/>
  </r>
  <r>
    <x v="298"/>
    <s v="RBQ FOOD SPECIALISTS INC - SO-26-049"/>
    <s v="SO-26-049"/>
    <s v="RBQ FOOD SPECIALISTS INC"/>
    <s v="REYES BARBECUE"/>
    <s v="SAN JUAN"/>
    <s v="N/A"/>
    <s v="2026-04-29"/>
    <s v="MODIFICATION *API SALES TRANSACTIONS INTEGRATION"/>
    <n v="1"/>
    <n v="35000"/>
    <n v="35000"/>
    <n v="35000"/>
    <s v="RUDELYN"/>
  </r>
  <r>
    <x v="20"/>
    <s v="CHICKEN DELI - SO-049"/>
    <s v="SO-049"/>
    <s v="CHICKEN DELI"/>
    <s v="MN+LA APPAREL"/>
    <s v="GENERIC"/>
    <s v="N/A"/>
    <s v="2025-03-24"/>
    <s v="PRINTER HEAD"/>
    <n v="1"/>
    <n v="1100"/>
    <n v="1600"/>
    <n v="1600"/>
    <s v="MARITESS"/>
  </r>
  <r>
    <x v="20"/>
    <s v="CHICKEN DELI - SO-049"/>
    <s v="SO-049"/>
    <s v="CHICKEN DELI"/>
    <s v="MN+LA APPAREL"/>
    <s v="GENERIC"/>
    <s v="N/A"/>
    <s v="2025-03-24"/>
    <s v="PRINTER GEAR"/>
    <n v="1"/>
    <n v="80"/>
    <n v="200"/>
    <n v="200"/>
    <s v="MARITESS"/>
  </r>
  <r>
    <x v="20"/>
    <s v="CHICKEN DELI - SO-049"/>
    <s v="SO-049"/>
    <s v="CHICKEN DELI"/>
    <s v="MN+LA APPAREL"/>
    <s v="GENERIC"/>
    <s v="N/A"/>
    <s v="2025-03-24"/>
    <s v="PRINTER CABLE"/>
    <n v="1"/>
    <n v="30"/>
    <n v="200"/>
    <n v="200"/>
    <s v="MARITESS"/>
  </r>
  <r>
    <x v="14"/>
    <s v="HUZZAH - SO-26-050"/>
    <s v="SO-26-050"/>
    <s v="HUZZAH"/>
    <s v="HUZZAH"/>
    <s v="GENERIC"/>
    <s v="COD"/>
    <s v="2026-05-04"/>
    <s v="JOURNAL PAPER - DOUBLE PLY"/>
    <n v="50"/>
    <n v="32"/>
    <n v="50"/>
    <n v="2500"/>
    <s v="RUDELYN"/>
  </r>
  <r>
    <x v="114"/>
    <s v="CHICKEN DELI - SO-050"/>
    <s v="SO-050"/>
    <s v="CHICKEN DELI"/>
    <s v="PAOTSIN"/>
    <s v="GENERIC"/>
    <s v="N/A"/>
    <s v="2026-03-24"/>
    <s v="POWER SUPPLY"/>
    <n v="1"/>
    <n v="650"/>
    <n v="2000"/>
    <n v="2000"/>
    <s v="MARITESS"/>
  </r>
  <r>
    <x v="0"/>
    <s v="ARIZONA ICE CREAM CORPORATION - SO-26-051"/>
    <s v="SO-26-051"/>
    <s v="ARIZONA ICE CREAM CORPORATION"/>
    <s v="COLDSTONE"/>
    <s v="GENERIC"/>
    <s v="N/A"/>
    <s v="2026-05-11"/>
    <s v="PREVENTIVE MAINTENANCE"/>
    <n v="3"/>
    <n v="8500"/>
    <n v="8500"/>
    <n v="25500"/>
    <s v="MARITESS"/>
  </r>
  <r>
    <x v="287"/>
    <s v="CHICKEN DELI - SO-051"/>
    <s v="SO-051"/>
    <s v="CHICKEN DELI"/>
    <s v="UNAROSA"/>
    <s v="GENERIC"/>
    <s v="N/A"/>
    <s v="2026-04-01"/>
    <s v="PREVENTIVE MAINTENANCE ( RDMS V3+ )"/>
    <n v="1"/>
    <n v="14500"/>
    <n v="14500"/>
    <n v="14500"/>
    <s v="MARITESS"/>
  </r>
  <r>
    <x v="287"/>
    <s v="CHICKEN DELI - SO-051"/>
    <s v="SO-051"/>
    <s v="CHICKEN DELI"/>
    <s v="UNAROSA"/>
    <s v="GENERIC"/>
    <s v="N/A"/>
    <s v="2026-04-01"/>
    <s v="BEELINK MINI CPU"/>
    <n v="1"/>
    <n v="22450"/>
    <n v="32000"/>
    <n v="32000"/>
    <s v="MARITESS"/>
  </r>
  <r>
    <x v="287"/>
    <s v="CHICKEN DELI - SO-051"/>
    <s v="SO-051"/>
    <s v="CHICKEN DELI"/>
    <s v="UNAROSA"/>
    <s v="GENERIC"/>
    <s v="N/A"/>
    <s v="2026-04-01"/>
    <s v="BIR REGISTRATION"/>
    <n v="1"/>
    <n v="500"/>
    <n v="500"/>
    <n v="500"/>
    <s v="MARITESS"/>
  </r>
  <r>
    <x v="287"/>
    <s v="CHICKEN DELI - SO-051"/>
    <s v="SO-051"/>
    <s v="CHICKEN DELI"/>
    <s v="UNAROSA"/>
    <s v="GENERIC"/>
    <s v="N/A"/>
    <s v="2026-04-01"/>
    <s v="PREVENTIVE MAINTENANCE ( RDMS V3+ )"/>
    <n v="1"/>
    <n v="14500"/>
    <n v="14500"/>
    <n v="14500"/>
    <s v="MARITESS"/>
  </r>
  <r>
    <x v="287"/>
    <s v="CHICKEN DELI - SO-051"/>
    <s v="SO-051"/>
    <s v="CHICKEN DELI"/>
    <s v="UNAROSA"/>
    <s v="GENERIC"/>
    <s v="N/A"/>
    <s v="2026-04-01"/>
    <s v="BEELINK MINI CPU"/>
    <n v="1"/>
    <n v="22450"/>
    <n v="32000"/>
    <n v="32000"/>
    <s v="MARITESS"/>
  </r>
  <r>
    <x v="287"/>
    <s v="CHICKEN DELI - SO-051"/>
    <s v="SO-051"/>
    <s v="CHICKEN DELI"/>
    <s v="UNAROSA"/>
    <s v="GENERIC"/>
    <s v="N/A"/>
    <s v="2026-04-01"/>
    <s v="BIR REGISTRATION"/>
    <n v="1"/>
    <n v="500"/>
    <n v="500"/>
    <n v="500"/>
    <s v="MARITESS"/>
  </r>
  <r>
    <x v="6"/>
    <s v="RRH FOOD GROUP INC - SO-26-052"/>
    <s v="SO-26-052"/>
    <s v="RRH FOOD GROUP INC"/>
    <s v="QUEENS AT BOLLYWOOD"/>
    <s v="GENERIC"/>
    <s v="COD"/>
    <s v="2026-05-11"/>
    <s v="EPSON ERC-38 B RIBBON CARTRIDGE"/>
    <n v="4"/>
    <n v="70"/>
    <n v="250"/>
    <n v="1000"/>
    <s v="RUDELYN"/>
  </r>
  <r>
    <x v="287"/>
    <s v="CHICKEN DELI - SO-052"/>
    <s v="SO-052"/>
    <s v="CHICKEN DELI"/>
    <s v="UNAROSA"/>
    <s v="GENERIC"/>
    <s v="N/A"/>
    <s v="2026-04-01"/>
    <s v="PREVENTIVE MAINTENANCE ( RDMS V3+ )"/>
    <n v="1"/>
    <n v="14500"/>
    <n v="14500"/>
    <n v="14500"/>
    <s v="MARITESS"/>
  </r>
  <r>
    <x v="287"/>
    <s v="CHICKEN DELI - SO-052"/>
    <s v="SO-052"/>
    <s v="CHICKEN DELI"/>
    <s v="UNAROSA"/>
    <s v="GENERIC"/>
    <s v="N/A"/>
    <s v="2026-04-01"/>
    <s v="BEELINK MINI CPU"/>
    <n v="1"/>
    <n v="22450"/>
    <n v="32000"/>
    <n v="32000"/>
    <s v="MARITESS"/>
  </r>
  <r>
    <x v="287"/>
    <s v="CHICKEN DELI - SO-052"/>
    <s v="SO-052"/>
    <s v="CHICKEN DELI"/>
    <s v="UNAROSA"/>
    <s v="GENERIC"/>
    <s v="N/A"/>
    <s v="2026-04-01"/>
    <s v="BIR REGISTRATION"/>
    <n v="1"/>
    <n v="500"/>
    <n v="500"/>
    <n v="500"/>
    <s v="MARITESS"/>
  </r>
  <r>
    <x v="287"/>
    <s v="CHICKEN DELI - SO-053"/>
    <s v="SO-053"/>
    <s v="CHICKEN DELI"/>
    <s v="UNAROSA"/>
    <s v="GENERIC"/>
    <s v="N/A"/>
    <s v="2026-04-01"/>
    <s v="PREVENTIVE MAINTENANCE ( RDMS V3+ )"/>
    <n v="1"/>
    <n v="17000"/>
    <n v="17000"/>
    <n v="17000"/>
    <s v="MARITESS"/>
  </r>
  <r>
    <x v="287"/>
    <s v="CHICKEN DELI - SO-053"/>
    <s v="SO-053"/>
    <s v="CHICKEN DELI"/>
    <s v="UNAROSA"/>
    <s v="GENERIC"/>
    <s v="N/A"/>
    <s v="2026-04-01"/>
    <s v="ADATA SSD 512 GB SATA"/>
    <n v="1"/>
    <n v="5200"/>
    <n v="7500"/>
    <n v="7500"/>
    <s v="MARITESS"/>
  </r>
  <r>
    <x v="287"/>
    <s v="CHICKEN DELI - SO-053"/>
    <s v="SO-053"/>
    <s v="CHICKEN DELI"/>
    <s v="UNAROSA"/>
    <s v="GENERIC"/>
    <s v="N/A"/>
    <s v="2026-04-01"/>
    <s v="WINDOWS 11"/>
    <n v="1"/>
    <n v="2000"/>
    <n v="4000"/>
    <n v="4000"/>
    <s v="MARITESS"/>
  </r>
  <r>
    <x v="287"/>
    <s v="CHICKEN DELI - SO-053"/>
    <s v="SO-053"/>
    <s v="CHICKEN DELI"/>
    <s v="UNAROSA"/>
    <s v="GENERIC"/>
    <s v="N/A"/>
    <s v="2026-04-01"/>
    <s v="DDR4 8GB"/>
    <n v="1"/>
    <n v="3900"/>
    <n v="5500"/>
    <n v="5500"/>
    <s v="MARITESS"/>
  </r>
  <r>
    <x v="287"/>
    <s v="CHICKEN DELI - SO-053"/>
    <s v="SO-053"/>
    <s v="CHICKEN DELI"/>
    <s v="UNAROSA"/>
    <s v="GENERIC"/>
    <s v="N/A"/>
    <s v="2026-04-01"/>
    <s v="BIR REGISTRATION"/>
    <n v="1"/>
    <n v="500"/>
    <n v="500"/>
    <n v="500"/>
    <s v="MARITESS"/>
  </r>
  <r>
    <x v="117"/>
    <s v="HRT VENTURES CORPORATION - SO-26-053"/>
    <s v="SO-26-053"/>
    <s v="HRT VENTURES CORPORATION"/>
    <s v="BARISTART COFFEE CAFÉ (LICENSEE)"/>
    <s v="GENERIC"/>
    <s v="COD"/>
    <s v="2026-05-11"/>
    <s v="EOS POWER ADAPTOR"/>
    <n v="1"/>
    <n v="1200"/>
    <n v="2000"/>
    <n v="2000"/>
    <s v="MARITESS"/>
  </r>
  <r>
    <x v="99"/>
    <s v="BEDA FOOD VENTURES INC - SO-26-054"/>
    <s v="SO-26-054"/>
    <s v="BEDA FOOD VENTURES INC"/>
    <s v="BACOLOD CHICKEN"/>
    <s v="GENERIC"/>
    <s v="N/A"/>
    <s v="2026-05-11"/>
    <s v="EOS FAN WITH FAN COVER"/>
    <n v="1"/>
    <n v="175"/>
    <n v="500"/>
    <n v="500"/>
    <s v="MARITESS"/>
  </r>
  <r>
    <x v="114"/>
    <s v="CHICKEN DELI - SO-054"/>
    <s v="SO-054"/>
    <s v="CHICKEN DELI"/>
    <s v="PAOTSIN"/>
    <s v="GENERIC"/>
    <s v="N/A"/>
    <s v="2026-04-01"/>
    <s v="EOS MINI CPU W/ KEYBOARD &amp; MOUSE"/>
    <n v="1"/>
    <n v="28275"/>
    <n v="31500"/>
    <n v="31500"/>
    <s v="MARITESS"/>
  </r>
  <r>
    <x v="114"/>
    <s v="CHICKEN DELI - SO-054"/>
    <s v="SO-054"/>
    <s v="CHICKEN DELI"/>
    <s v="PAOTSIN"/>
    <s v="GENERIC"/>
    <s v="N/A"/>
    <s v="2026-04-01"/>
    <s v="WINDOWS 11"/>
    <n v="1"/>
    <n v="2000"/>
    <n v="4000"/>
    <n v="4000"/>
    <s v="MARITESS"/>
  </r>
  <r>
    <x v="114"/>
    <s v="CHICKEN DELI - SO-054"/>
    <s v="SO-054"/>
    <s v="CHICKEN DELI"/>
    <s v="PAOTSIN"/>
    <s v="GENERIC"/>
    <s v="N/A"/>
    <s v="2026-04-01"/>
    <s v="BIR REGISTRATION"/>
    <n v="1"/>
    <n v="500"/>
    <n v="500"/>
    <n v="500"/>
    <s v="MARITESS"/>
  </r>
  <r>
    <x v="267"/>
    <s v="CHUA BEVERLY SANTOS - SO-26-055"/>
    <s v="SO-26-055"/>
    <s v="CHUA BEVERLY SANTOS"/>
    <s v="HOMIE PET"/>
    <s v="GENERIC"/>
    <s v="COD"/>
    <s v="2026-05-13"/>
    <s v="THMAL PAPER *80MMX80MM DELIVERY FEE"/>
    <n v="250"/>
    <n v="47"/>
    <n v="77"/>
    <n v="19250"/>
    <s v="RUDELYN"/>
  </r>
  <r>
    <x v="2"/>
    <s v="CHICKEN DELI - SO-055"/>
    <s v="SO-055"/>
    <s v="CHICKEN DELI"/>
    <s v="GONGCHA"/>
    <s v="GENERIC"/>
    <s v="N/A"/>
    <s v="2026-04-06"/>
    <s v="PREVENTIVE MAINTENANCE"/>
    <n v="2"/>
    <n v="6500"/>
    <n v="6500"/>
    <n v="13000"/>
    <s v="MARITESS"/>
  </r>
  <r>
    <x v="2"/>
    <s v="CHICKEN DELI - SO-056"/>
    <s v="SO-056"/>
    <s v="CHICKEN DELI"/>
    <s v="GONGCHA"/>
    <s v="GENERIC"/>
    <s v="N/A"/>
    <s v="2026-04-06"/>
    <s v="PREVENTIVE MAINTENANCE"/>
    <n v="1"/>
    <n v="6500"/>
    <n v="6500"/>
    <n v="6500"/>
    <s v="MARITESS"/>
  </r>
  <r>
    <x v="2"/>
    <s v="CHICKEN DELI - SO-057"/>
    <s v="SO-057"/>
    <s v="CHICKEN DELI"/>
    <s v="GONGCHA"/>
    <s v="GENERIC"/>
    <s v="N/A"/>
    <s v="2026-04-06"/>
    <s v="PREVENTIVE MAINTENANCE"/>
    <n v="3"/>
    <n v="6500"/>
    <n v="6500"/>
    <n v="19500"/>
    <s v="MARITESS"/>
  </r>
  <r>
    <x v="2"/>
    <s v="CHICKEN DELI - SO-058"/>
    <s v="SO-058"/>
    <s v="CHICKEN DELI"/>
    <s v="GONGCHA"/>
    <s v="GENERIC"/>
    <s v="N/A"/>
    <s v="2026-04-06"/>
    <s v="PREVENTIVE MAINTENANCE"/>
    <n v="4"/>
    <n v="6500"/>
    <n v="6500"/>
    <n v="26000"/>
    <s v="MARITESS"/>
  </r>
  <r>
    <x v="2"/>
    <s v="CHICKEN DELI - SO-059"/>
    <s v="SO-059"/>
    <s v="CHICKEN DELI"/>
    <s v="GONGCHA"/>
    <s v="GENERIC"/>
    <s v="N/A"/>
    <s v="2026-04-06"/>
    <s v="PREVENTIVE MAINTENANCE"/>
    <n v="2"/>
    <n v="6500"/>
    <n v="6500"/>
    <n v="13000"/>
    <s v="MARITESS"/>
  </r>
  <r>
    <x v="2"/>
    <s v="CHICKEN DELI - SO-060"/>
    <s v="SO-060"/>
    <s v="CHICKEN DELI"/>
    <s v="GONGCHA"/>
    <s v="GENERIC"/>
    <s v="N/A"/>
    <s v="2026-04-06"/>
    <s v="PREVENTIVE MAINTENANCE"/>
    <n v="1"/>
    <n v="6500"/>
    <n v="6500"/>
    <n v="6500"/>
    <s v="MARITESS"/>
  </r>
  <r>
    <x v="33"/>
    <s v="M W TOWNSTORE - SO-061"/>
    <s v="SO-061"/>
    <s v="M W TOWNSTORE"/>
    <s v="M &amp; W"/>
    <s v="GENERIC"/>
    <s v="N/A"/>
    <s v="2026-04-14"/>
    <s v="EPSON TMU 220IIB PRINTER"/>
    <n v="1"/>
    <n v="11000"/>
    <n v="15500"/>
    <n v="15500"/>
    <s v="MARITESS"/>
  </r>
  <r>
    <x v="20"/>
    <s v="CHICKEN DELI - SO-062"/>
    <s v="SO-062"/>
    <s v="CHICKEN DELI"/>
    <s v="MN+LA APPAREL"/>
    <s v="GENERIC"/>
    <s v="N/A"/>
    <s v="2026-04-16"/>
    <s v="EPSON TMU220II D ( USB )"/>
    <n v="1"/>
    <n v="9850"/>
    <n v="13500"/>
    <n v="13500"/>
    <s v="MARITESS"/>
  </r>
  <r>
    <x v="20"/>
    <s v="CHICKEN DELI - SO-062"/>
    <s v="SO-062"/>
    <s v="CHICKEN DELI"/>
    <s v="MN+LA APPAREL"/>
    <s v="GENERIC"/>
    <s v="N/A"/>
    <s v="2026-04-16"/>
    <s v="DELIVERY CHARGE"/>
    <n v="1"/>
    <n v="500"/>
    <n v="500"/>
    <n v="500"/>
    <s v="MARITESS"/>
  </r>
  <r>
    <x v="9"/>
    <s v="CHICKEN DELI - SO-063"/>
    <s v="SO-063"/>
    <s v="CHICKEN DELI"/>
    <s v="OJO EYEWEAR"/>
    <s v="GENERIC"/>
    <s v="N/A"/>
    <s v="2026-04-20"/>
    <s v="JOURNAL PAPER ( SINGLE PLY )"/>
    <n v="100"/>
    <n v="17"/>
    <n v="25"/>
    <n v="2500"/>
    <s v="MARITESS"/>
  </r>
  <r>
    <x v="9"/>
    <s v="CHICKEN DELI - SO-063"/>
    <s v="SO-063"/>
    <s v="CHICKEN DELI"/>
    <s v="OJO EYEWEAR"/>
    <s v="GENERIC"/>
    <s v="N/A"/>
    <s v="2026-04-20"/>
    <s v="THERMAL PAPER"/>
    <n v="100"/>
    <n v="47"/>
    <n v="80"/>
    <n v="8000"/>
    <s v="MARITESS"/>
  </r>
  <r>
    <x v="35"/>
    <s v="FEDERAL PROTECTION SYSTEMS INC - SO-064"/>
    <s v="SO-064"/>
    <s v="FEDERAL PROTECTION SYSTEMS INC"/>
    <s v="INST.OF CULINARY MNGT.INC."/>
    <s v="GENERIC"/>
    <s v="N/A"/>
    <s v="2026-04-24"/>
    <s v="PREVENTIVE MAINTENANCE ( CASHIER / LOADING )"/>
    <n v="2"/>
    <n v="10000"/>
    <n v="10000"/>
    <n v="20000"/>
    <s v="MARITESS"/>
  </r>
  <r>
    <x v="2"/>
    <s v="CHICKEN DELI - SO-065"/>
    <s v="SO-065"/>
    <s v="CHICKEN DELI"/>
    <s v="GONGCHA"/>
    <s v="GENERIC"/>
    <s v="N/A"/>
    <s v="2026-04-24"/>
    <s v="PREVENTIVE MAINTENANCE"/>
    <n v="1"/>
    <n v="6500"/>
    <n v="6500"/>
    <n v="6500"/>
    <s v="MARITESS"/>
  </r>
  <r>
    <x v="35"/>
    <s v="FEDERAL PROTECTION SYSTEMS INC - SO-066"/>
    <s v="SO-066"/>
    <s v="FEDERAL PROTECTION SYSTEMS INC"/>
    <s v="INST.OF CULINARY MNGT.INC."/>
    <s v="GENERIC"/>
    <s v="N/A"/>
    <s v="2026-05-04"/>
    <s v="SOLID STATE DRIVE"/>
    <n v="1"/>
    <n v="4500"/>
    <n v="8500"/>
    <n v="8500"/>
    <s v="MARITESS"/>
  </r>
  <r>
    <x v="2"/>
    <s v="CHICKEN DELI - SO-067"/>
    <s v="SO-067"/>
    <s v="CHICKEN DELI"/>
    <s v="GONGCHA"/>
    <s v="GENERIC"/>
    <s v="N/A"/>
    <s v="2026-05-04"/>
    <s v="PREVENTIVE MAINTENANCE"/>
    <n v="1"/>
    <n v="6500"/>
    <n v="6500"/>
    <n v="6500"/>
    <s v="MARITESS"/>
  </r>
  <r>
    <x v="2"/>
    <s v="CHICKEN DELI - SO-068"/>
    <s v="SO-068"/>
    <s v="CHICKEN DELI"/>
    <s v="GONGCHA"/>
    <s v="GENERIC"/>
    <s v="N/A"/>
    <s v="2026-05-02"/>
    <s v="PREVENTIVE MAINTENANCE"/>
    <n v="1"/>
    <n v="6500"/>
    <n v="6500"/>
    <n v="6500"/>
    <s v="MARITESS"/>
  </r>
  <r>
    <x v="2"/>
    <s v="CHICKEN DELI - SO-069"/>
    <s v="SO-069"/>
    <s v="CHICKEN DELI"/>
    <s v="GONGCHA"/>
    <s v="GENERIC"/>
    <s v="N/A"/>
    <s v="2026-05-04"/>
    <s v="PREVENTIVE MAINTENANCE"/>
    <n v="2"/>
    <n v="6500"/>
    <n v="6500"/>
    <n v="13000"/>
    <s v="MARITESS"/>
  </r>
  <r>
    <x v="2"/>
    <s v="CHICKEN DELI - SO-070"/>
    <s v="SO-070"/>
    <s v="CHICKEN DELI"/>
    <s v="GONGCHA"/>
    <s v="GENERIC"/>
    <s v="N/A"/>
    <s v="2026-05-04"/>
    <s v="PREVENTIVE MAINTENANCE"/>
    <n v="1"/>
    <n v="6500"/>
    <n v="6500"/>
    <n v="6500"/>
    <s v="MARITESS"/>
  </r>
  <r>
    <x v="2"/>
    <s v="CHICKEN DELI - SO-071"/>
    <s v="SO-071"/>
    <s v="CHICKEN DELI"/>
    <s v="GONGCHA"/>
    <s v="GENERIC"/>
    <s v="N/A"/>
    <s v="2026-05-04"/>
    <s v="PREVENTIVE MAINTENANCE"/>
    <n v="1"/>
    <n v="6500"/>
    <n v="6500"/>
    <n v="6500"/>
    <s v="MARITESS"/>
  </r>
  <r>
    <x v="55"/>
    <s v="CHICKEN DELI - SO-072"/>
    <s v="SO-072"/>
    <s v="CHICKEN DELI"/>
    <s v="WORLD CHIX"/>
    <s v="GENERIC"/>
    <s v="N/A"/>
    <s v="2026-05-05"/>
    <s v="PREVENTIVE MAINTENANCE"/>
    <n v="1"/>
    <n v="18000"/>
    <n v="18000"/>
    <n v="18000"/>
    <s v="MARITESS"/>
  </r>
  <r>
    <x v="33"/>
    <s v="M W TOWNSTORE - SO-073"/>
    <s v="SO-073"/>
    <s v="M W TOWNSTORE"/>
    <s v="M &amp; W"/>
    <s v="GENERIC"/>
    <s v="N/A"/>
    <s v="2026-05-05"/>
    <s v="LCD MONITOR 11&quot;"/>
    <n v="4"/>
    <n v="2082.35"/>
    <n v="3500"/>
    <n v="14000"/>
    <s v="MARITESS"/>
  </r>
  <r>
    <x v="33"/>
    <s v="M W TOWNSTORE - SO-073"/>
    <s v="SO-073"/>
    <s v="M W TOWNSTORE"/>
    <s v="M &amp; W"/>
    <s v="GENERIC"/>
    <s v="N/A"/>
    <s v="2026-05-05"/>
    <s v="ADJUSTABLE STAND"/>
    <n v="4"/>
    <n v="282"/>
    <n v="500"/>
    <n v="2000"/>
    <s v="MARITESS"/>
  </r>
  <r>
    <x v="33"/>
    <s v="M W TOWNSTORE - SO-073"/>
    <s v="SO-073"/>
    <s v="M W TOWNSTORE"/>
    <s v="M &amp; W"/>
    <s v="GENERIC"/>
    <s v="N/A"/>
    <s v="2026-05-05"/>
    <s v="USB CABLE"/>
    <n v="4"/>
    <n v="166"/>
    <n v="500"/>
    <n v="2000"/>
    <s v="MARITESS"/>
  </r>
  <r>
    <x v="33"/>
    <s v="M W TOWNSTORE - SO-073"/>
    <s v="SO-073"/>
    <s v="M W TOWNSTORE"/>
    <s v="M &amp; W"/>
    <s v="GENERIC"/>
    <s v="N/A"/>
    <s v="2026-05-05"/>
    <s v="MINI HDMI CABLE"/>
    <n v="4"/>
    <n v="244"/>
    <n v="500"/>
    <n v="2000"/>
    <s v="MARITESS"/>
  </r>
  <r>
    <x v="2"/>
    <s v="CHICKEN DELI - SO-074"/>
    <s v="SO-074"/>
    <s v="CHICKEN DELI"/>
    <s v="GONGCHA"/>
    <s v="GENERIC"/>
    <s v="N/A"/>
    <s v="2026-05-05"/>
    <s v="TSCERES"/>
    <n v="1"/>
    <n v="6300"/>
    <n v="18000"/>
    <n v="18000"/>
    <s v="MARITESS"/>
  </r>
  <r>
    <x v="2"/>
    <s v="CHICKEN DELI - SO-074"/>
    <s v="SO-074"/>
    <s v="CHICKEN DELI"/>
    <s v="GONGCHA"/>
    <s v="GENERIC"/>
    <s v="N/A"/>
    <s v="2026-05-05"/>
    <s v="ROLL OUT"/>
    <n v="1"/>
    <n v="5750"/>
    <n v="5750"/>
    <n v="5750"/>
    <s v="MARITESS"/>
  </r>
  <r>
    <x v="2"/>
    <s v="CHICKEN DELI - SO-074"/>
    <s v="SO-074"/>
    <s v="CHICKEN DELI"/>
    <s v="GONGCHA"/>
    <s v="GENERIC"/>
    <s v="N/A"/>
    <s v="2026-05-05"/>
    <s v="IMPLEMENTATION"/>
    <n v="1"/>
    <n v="5750"/>
    <n v="5750"/>
    <n v="5750"/>
    <s v="MARITESS"/>
  </r>
  <r>
    <x v="2"/>
    <s v="CHICKEN DELI - SO-074"/>
    <s v="SO-074"/>
    <s v="CHICKEN DELI"/>
    <s v="GONGCHA"/>
    <s v="GENERIC"/>
    <s v="N/A"/>
    <s v="2026-05-05"/>
    <s v="BIR REG."/>
    <n v="1"/>
    <n v="500"/>
    <n v="500"/>
    <n v="500"/>
    <s v="MARITESS"/>
  </r>
  <r>
    <x v="50"/>
    <s v="CHICKEN DELI - SO-075"/>
    <s v="SO-075"/>
    <s v="CHICKEN DELI"/>
    <s v="KARIMADON"/>
    <s v="GENERIC"/>
    <s v="N/A"/>
    <s v="2026-05-07"/>
    <s v="RDMS V3+"/>
    <n v="1"/>
    <n v="6300"/>
    <n v="18000"/>
    <n v="18000"/>
    <s v="MARITESS"/>
  </r>
  <r>
    <x v="50"/>
    <s v="CHICKEN DELI - SO-075"/>
    <s v="SO-075"/>
    <s v="CHICKEN DELI"/>
    <s v="KARIMADON"/>
    <s v="GENERIC"/>
    <s v="N/A"/>
    <s v="2026-05-07"/>
    <s v="IMPLEMENTATION"/>
    <n v="1"/>
    <n v="14000"/>
    <n v="14000"/>
    <n v="14000"/>
    <s v="MARITESS"/>
  </r>
  <r>
    <x v="50"/>
    <s v="CHICKEN DELI - SO-075"/>
    <s v="SO-075"/>
    <s v="CHICKEN DELI"/>
    <s v="KARIMADON"/>
    <s v="GENERIC"/>
    <s v="N/A"/>
    <s v="2026-05-07"/>
    <s v="ONE YEAR WARRANTY"/>
    <n v="1"/>
    <n v="14000"/>
    <n v="14000"/>
    <n v="14000"/>
    <s v="MARITESS"/>
  </r>
  <r>
    <x v="50"/>
    <s v="CHICKEN DELI - SO-075"/>
    <s v="SO-075"/>
    <s v="CHICKEN DELI"/>
    <s v="KARIMADON"/>
    <s v="GENERIC"/>
    <s v="N/A"/>
    <s v="2026-05-07"/>
    <s v="BIR REG."/>
    <n v="1"/>
    <n v="500"/>
    <n v="500"/>
    <n v="500"/>
    <s v="MARITESS"/>
  </r>
  <r>
    <x v="50"/>
    <s v="CHICKEN DELI - SO-075"/>
    <s v="SO-075"/>
    <s v="CHICKEN DELI"/>
    <s v="KARIMADON"/>
    <s v="GENERIC"/>
    <s v="N/A"/>
    <s v="2026-05-07"/>
    <s v="ACER MONITOR"/>
    <n v="1"/>
    <n v="3195"/>
    <n v="4500"/>
    <n v="4500"/>
    <s v="MARITESS"/>
  </r>
  <r>
    <x v="50"/>
    <s v="CHICKEN DELI - SO-075"/>
    <s v="SO-075"/>
    <s v="CHICKEN DELI"/>
    <s v="KARIMADON"/>
    <s v="GENERIC"/>
    <s v="N/A"/>
    <s v="2026-05-07"/>
    <s v="EPSON TMU220D"/>
    <n v="1"/>
    <n v="8500"/>
    <n v="12000"/>
    <n v="12000"/>
    <s v="MARITESS"/>
  </r>
  <r>
    <x v="50"/>
    <s v="CHICKEN DELI - SO-075"/>
    <s v="SO-075"/>
    <s v="CHICKEN DELI"/>
    <s v="KARIMADON"/>
    <s v="GENERIC"/>
    <s v="N/A"/>
    <s v="2026-05-07"/>
    <s v="KASPERSKY ANTI VIRUS"/>
    <n v="1"/>
    <n v="935"/>
    <n v="1500"/>
    <n v="1500"/>
    <s v="MARITESS"/>
  </r>
  <r>
    <x v="50"/>
    <s v="CHICKEN DELI - SO-075"/>
    <s v="SO-075"/>
    <s v="CHICKEN DELI"/>
    <s v="KARIMADON"/>
    <s v="GENERIC"/>
    <s v="N/A"/>
    <s v="2026-05-07"/>
    <s v="MINI CASH DRAWER"/>
    <n v="1"/>
    <n v="1350"/>
    <n v="1900"/>
    <n v="1900"/>
    <s v="MARITESS"/>
  </r>
  <r>
    <x v="50"/>
    <s v="CHICKEN DELI - SO-075"/>
    <s v="SO-075"/>
    <s v="CHICKEN DELI"/>
    <s v="KARIMADON"/>
    <s v="GENERIC"/>
    <s v="N/A"/>
    <s v="2026-05-07"/>
    <s v="UPS APC"/>
    <n v="1"/>
    <n v="2200"/>
    <n v="3200"/>
    <n v="3200"/>
    <s v="MARITESS"/>
  </r>
  <r>
    <x v="50"/>
    <s v="CHICKEN DELI - SO-075"/>
    <s v="SO-075"/>
    <s v="CHICKEN DELI"/>
    <s v="KARIMADON"/>
    <s v="GENERIC"/>
    <s v="N/A"/>
    <s v="2026-05-07"/>
    <s v="BEELNK"/>
    <n v="1"/>
    <n v="23000"/>
    <n v="32700"/>
    <n v="32700"/>
    <s v="MARITESS"/>
  </r>
  <r>
    <x v="50"/>
    <s v="CHICKEN DELI - SO-075"/>
    <s v="SO-075"/>
    <s v="CHICKEN DELI"/>
    <s v="KARIMADON"/>
    <s v="GENERIC"/>
    <s v="N/A"/>
    <s v="2026-05-07"/>
    <s v="WINDOWS 11"/>
    <n v="1"/>
    <n v="2000"/>
    <n v="4000"/>
    <n v="4000"/>
    <s v="MARITESS"/>
  </r>
  <r>
    <x v="50"/>
    <s v="CHICKEN DELI - SO-075"/>
    <s v="SO-075"/>
    <s v="CHICKEN DELI"/>
    <s v="KARIMADON"/>
    <s v="GENERIC"/>
    <s v="N/A"/>
    <s v="2026-05-07"/>
    <s v="LCD MONITOR 11&quot;"/>
    <n v="1"/>
    <n v="2082.35"/>
    <n v="3500"/>
    <n v="3500"/>
    <s v="MARITESS"/>
  </r>
  <r>
    <x v="50"/>
    <s v="CHICKEN DELI - SO-075"/>
    <s v="SO-075"/>
    <s v="CHICKEN DELI"/>
    <s v="KARIMADON"/>
    <s v="GENERIC"/>
    <s v="N/A"/>
    <s v="2026-05-07"/>
    <s v="ADJUSTABLE STAND"/>
    <n v="1"/>
    <n v="282"/>
    <n v="500"/>
    <n v="500"/>
    <s v="MARITESS"/>
  </r>
  <r>
    <x v="50"/>
    <s v="CHICKEN DELI - SO-075"/>
    <s v="SO-075"/>
    <s v="CHICKEN DELI"/>
    <s v="KARIMADON"/>
    <s v="GENERIC"/>
    <s v="N/A"/>
    <s v="2026-05-07"/>
    <s v="USB CABLE"/>
    <n v="1"/>
    <n v="166"/>
    <n v="500"/>
    <n v="500"/>
    <s v="MARITESS"/>
  </r>
  <r>
    <x v="50"/>
    <s v="CHICKEN DELI - SO-075"/>
    <s v="SO-075"/>
    <s v="CHICKEN DELI"/>
    <s v="KARIMADON"/>
    <s v="GENERIC"/>
    <s v="N/A"/>
    <s v="2026-05-07"/>
    <s v="MINI HDMI CABLE"/>
    <n v="1"/>
    <n v="244"/>
    <n v="500"/>
    <n v="500"/>
    <s v="MARITESS"/>
  </r>
  <r>
    <x v="50"/>
    <s v="CHICKEN DELI - SO-075"/>
    <s v="SO-075"/>
    <s v="CHICKEN DELI"/>
    <s v="KARIMADON"/>
    <s v="GENERIC"/>
    <s v="N/A"/>
    <s v="2026-05-07"/>
    <s v="DELIVERY CHARGE"/>
    <n v="1"/>
    <n v="500"/>
    <n v="500"/>
    <n v="500"/>
    <s v="MARITESS"/>
  </r>
  <r>
    <x v="9"/>
    <s v="CHICKEN DELI - SO-076"/>
    <s v="SO-076"/>
    <s v="CHICKEN DELI"/>
    <s v="OJO EYEWEAR"/>
    <s v="GENERIC"/>
    <s v="N/A"/>
    <s v="2026-05-07"/>
    <s v="RDMSV3+"/>
    <n v="1"/>
    <n v="6300"/>
    <n v="18000"/>
    <n v="18000"/>
    <s v="MARITESS"/>
  </r>
  <r>
    <x v="9"/>
    <s v="CHICKEN DELI - SO-076"/>
    <s v="SO-076"/>
    <s v="CHICKEN DELI"/>
    <s v="OJO EYEWEAR"/>
    <s v="GENERIC"/>
    <s v="N/A"/>
    <s v="2026-05-07"/>
    <s v="ROLL OUT/IMPLEMENTATION"/>
    <n v="1"/>
    <n v="5000"/>
    <n v="5000"/>
    <n v="5000"/>
    <s v="MARITESS"/>
  </r>
  <r>
    <x v="9"/>
    <s v="CHICKEN DELI - SO-076"/>
    <s v="SO-076"/>
    <s v="CHICKEN DELI"/>
    <s v="OJO EYEWEAR"/>
    <s v="GENERIC"/>
    <s v="N/A"/>
    <s v="2026-05-07"/>
    <s v="ONE YEAR WARRANTY"/>
    <n v="1"/>
    <n v="5000"/>
    <n v="5000"/>
    <n v="5000"/>
    <s v="MARITESS"/>
  </r>
  <r>
    <x v="9"/>
    <s v="CHICKEN DELI - SO-076"/>
    <s v="SO-076"/>
    <s v="CHICKEN DELI"/>
    <s v="OJO EYEWEAR"/>
    <s v="GENERIC"/>
    <s v="N/A"/>
    <s v="2026-05-07"/>
    <s v="DESKTOP CPU I5 ( 8GB / 500 SSD)"/>
    <n v="1"/>
    <n v="21500"/>
    <n v="30700"/>
    <n v="30700"/>
    <s v="MARITESS"/>
  </r>
  <r>
    <x v="9"/>
    <s v="CHICKEN DELI - SO-076"/>
    <s v="SO-076"/>
    <s v="CHICKEN DELI"/>
    <s v="OJO EYEWEAR"/>
    <s v="GENERIC"/>
    <s v="N/A"/>
    <s v="2026-05-07"/>
    <s v="KINGSTON NVM.2"/>
    <n v="1"/>
    <n v="5100"/>
    <n v="7500"/>
    <n v="7500"/>
    <s v="MARITESS"/>
  </r>
  <r>
    <x v="9"/>
    <s v="CHICKEN DELI - SO-076"/>
    <s v="SO-076"/>
    <s v="CHICKEN DELI"/>
    <s v="OJO EYEWEAR"/>
    <s v="GENERIC"/>
    <s v="N/A"/>
    <s v="2026-05-07"/>
    <s v="BIR REG."/>
    <n v="1"/>
    <n v="500"/>
    <n v="500"/>
    <n v="500"/>
    <s v="MARITESS"/>
  </r>
  <r>
    <x v="9"/>
    <s v="CHICKEN DELI - SO-076"/>
    <s v="SO-076"/>
    <s v="CHICKEN DELI"/>
    <s v="OJO EYEWEAR"/>
    <s v="GENERIC"/>
    <s v="N/A"/>
    <s v="2026-05-07"/>
    <s v="ACER LCD MONITOR"/>
    <n v="1"/>
    <n v="3195"/>
    <n v="4500"/>
    <n v="4500"/>
    <s v="MARITESS"/>
  </r>
  <r>
    <x v="9"/>
    <s v="CHICKEN DELI - SO-076"/>
    <s v="SO-076"/>
    <s v="CHICKEN DELI"/>
    <s v="OJO EYEWEAR"/>
    <s v="GENERIC"/>
    <s v="N/A"/>
    <s v="2026-05-07"/>
    <s v="EPSON TMU220D"/>
    <n v="1"/>
    <n v="8500"/>
    <n v="12100"/>
    <n v="12100"/>
    <s v="MARITESS"/>
  </r>
  <r>
    <x v="9"/>
    <s v="CHICKEN DELI - SO-076"/>
    <s v="SO-076"/>
    <s v="CHICKEN DELI"/>
    <s v="OJO EYEWEAR"/>
    <s v="GENERIC"/>
    <s v="N/A"/>
    <s v="2026-05-07"/>
    <s v="UPS"/>
    <n v="1"/>
    <n v="2200"/>
    <n v="3200"/>
    <n v="3200"/>
    <s v="MARITESS"/>
  </r>
  <r>
    <x v="9"/>
    <s v="CHICKEN DELI - SO-076"/>
    <s v="SO-076"/>
    <s v="CHICKEN DELI"/>
    <s v="OJO EYEWEAR"/>
    <s v="GENERIC"/>
    <s v="N/A"/>
    <s v="2026-05-07"/>
    <s v="WINDOWS 11"/>
    <n v="1"/>
    <n v="2000"/>
    <n v="4000"/>
    <n v="4000"/>
    <s v="MARITESS"/>
  </r>
  <r>
    <x v="9"/>
    <s v="CHICKEN DELI - SO-076"/>
    <s v="SO-076"/>
    <s v="CHICKEN DELI"/>
    <s v="OJO EYEWEAR"/>
    <s v="GENERIC"/>
    <s v="N/A"/>
    <s v="2026-05-07"/>
    <s v="DELIVERY CHARGE"/>
    <n v="1"/>
    <n v="500"/>
    <n v="500"/>
    <n v="500"/>
    <s v="MARITESS"/>
  </r>
  <r>
    <x v="55"/>
    <s v="CHICKEN DELI - SO-077"/>
    <s v="SO-077"/>
    <s v="CHICKEN DELI"/>
    <s v="WORLD CHIX"/>
    <s v="GENERIC"/>
    <s v="N/A"/>
    <s v="2026-05-08"/>
    <s v="EPSON TMU220D ( USB )"/>
    <n v="1"/>
    <n v="8500"/>
    <n v="12000"/>
    <n v="12000"/>
    <s v="MARITESS"/>
  </r>
  <r>
    <x v="55"/>
    <s v="CHICKEN DELI - SO-078"/>
    <s v="SO-078"/>
    <s v="CHICKEN DELI"/>
    <s v="WORLD CHIX"/>
    <s v="GENERIC"/>
    <s v="N/A"/>
    <s v="2026-05-12"/>
    <s v="EOS POWER ADAPTER"/>
    <n v="1"/>
    <n v="1200"/>
    <n v="2000"/>
    <n v="2000"/>
    <s v="MARITESS"/>
  </r>
  <r>
    <x v="158"/>
    <s v="CHICKEN DELI - SO-079"/>
    <s v="SO-079"/>
    <s v="CHICKEN DELI"/>
    <s v="HUE SIARGAO"/>
    <s v="GENERIC"/>
    <s v="N/A"/>
    <s v="2026-05-13"/>
    <s v="JOURNAL PAPER SINGLE PLY"/>
    <n v="50"/>
    <n v="17"/>
    <n v="25"/>
    <n v="1250"/>
    <s v="MARITESS"/>
  </r>
  <r>
    <x v="158"/>
    <s v="CHICKEN DELI - SO-079"/>
    <s v="SO-079"/>
    <s v="CHICKEN DELI"/>
    <s v="HUE SIARGAO"/>
    <s v="GENERIC"/>
    <s v="N/A"/>
    <s v="2026-05-13"/>
    <s v="THERMAL PAPER"/>
    <n v="50"/>
    <n v="47"/>
    <n v="80"/>
    <n v="4000"/>
    <s v="MARITESS"/>
  </r>
  <r>
    <x v="158"/>
    <s v="CHICKEN DELI - SO-079"/>
    <s v="SO-079"/>
    <s v="CHICKEN DELI"/>
    <s v="HUE SIARGAO"/>
    <s v="GENERIC"/>
    <s v="N/A"/>
    <s v="2026-05-13"/>
    <s v="ERC RIBBON 38"/>
    <n v="10"/>
    <n v="70"/>
    <n v="250"/>
    <n v="2500"/>
    <s v="MARITESS"/>
  </r>
  <r>
    <x v="246"/>
    <s v="CCGC TRADING CORPORATION - SO-26-001"/>
    <s v="SO-26-001"/>
    <s v="CCGC TRADING CORPORATION"/>
    <s v="LIGHTERS GALORE"/>
    <s v="GATEWAY"/>
    <s v="COD"/>
    <s v="2026-01-09"/>
    <s v="ERC RIBBON"/>
    <n v="4"/>
    <n v="70"/>
    <n v="250"/>
    <n v="1000"/>
    <s v="JOANNE"/>
  </r>
  <r>
    <x v="299"/>
    <s v="HET STROOPWAFEL HUIS - SO-26-002"/>
    <s v="SO-26-002"/>
    <s v="HET STROOPWAFEL HUIS"/>
    <s v="STROOP &amp; ZO"/>
    <s v="OBINSONS GALLERIA"/>
    <s v="FULL PAYMENT"/>
    <s v="2026-01-19"/>
    <s v="MAINTENANCE"/>
    <n v="1"/>
    <n v="18000"/>
    <n v="17000"/>
    <n v="17000"/>
    <s v="JOANNE"/>
  </r>
  <r>
    <x v="299"/>
    <s v="HET STROOPWAFEL HUIS - SO-26-002"/>
    <s v="SO-26-002"/>
    <s v="HET STROOPWAFEL HUIS"/>
    <s v="STROOP &amp; ZO"/>
    <s v="OBINSONS GALLERIA"/>
    <s v="FULL PAYMENT"/>
    <s v="2026-01-19"/>
    <s v="EOS MINI PC I5, 8GB, 480GB SSD"/>
    <n v="1"/>
    <n v="26250"/>
    <n v="31800"/>
    <n v="31800"/>
    <s v="JOANNE"/>
  </r>
  <r>
    <x v="299"/>
    <s v="HET STROOPWAFEL HUIS - SO-26-002"/>
    <s v="SO-26-002"/>
    <s v="HET STROOPWAFEL HUIS"/>
    <s v="STROOP &amp; ZO"/>
    <s v="OBINSONS GALLERIA"/>
    <s v="FULL PAYMENT"/>
    <s v="2026-01-19"/>
    <s v="WINDOWS 11 PRO"/>
    <n v="1"/>
    <n v="2000"/>
    <n v="3000"/>
    <n v="3000"/>
    <s v="JOANNE"/>
  </r>
  <r>
    <x v="299"/>
    <s v="HET STROOPWAFEL HUIS - SO-26-002"/>
    <s v="SO-26-002"/>
    <s v="HET STROOPWAFEL HUIS"/>
    <s v="STROOP &amp; ZO"/>
    <s v="OBINSONS GALLERIA"/>
    <s v="FULL PAYMENT"/>
    <s v="2026-01-19"/>
    <s v="KASPERSKY ANTIVIRUS"/>
    <n v="1"/>
    <n v="935"/>
    <n v="1500"/>
    <n v="1500"/>
    <s v="JOANNE"/>
  </r>
  <r>
    <x v="299"/>
    <s v="HET STROOPWAFEL HUIS - SO-26-002"/>
    <s v="SO-26-002"/>
    <s v="HET STROOPWAFEL HUIS"/>
    <s v="STROOP &amp; ZO"/>
    <s v="OBINSONS GALLERIA"/>
    <s v="FULL PAYMENT"/>
    <s v="2026-01-19"/>
    <s v="KEYBOARD AND MOUSE"/>
    <n v="1"/>
    <n v="500"/>
    <n v="700"/>
    <n v="700"/>
    <s v="JOANNE"/>
  </r>
  <r>
    <x v="299"/>
    <s v="HET STROOPWAFEL HUIS - SO-26-002"/>
    <s v="SO-26-002"/>
    <s v="HET STROOPWAFEL HUIS"/>
    <s v="STROOP &amp; ZO"/>
    <s v="OBINSONS GALLERIA"/>
    <s v="FULL PAYMENT"/>
    <s v="2026-01-19"/>
    <s v="EOS FAN WITH COVER"/>
    <n v="1"/>
    <n v="350"/>
    <n v="500"/>
    <n v="500"/>
    <s v="JOANNE"/>
  </r>
  <r>
    <x v="300"/>
    <s v="TAN CHARISSE MESINA - SO-26-003"/>
    <s v="SO-26-003"/>
    <s v="TAN CHARISSE MESINA"/>
    <s v="THE ECO SHIFT"/>
    <s v="ATC"/>
    <s v="50% DOWNPAYMENT, 50% W/IN 30 DAYS"/>
    <s v="2026-01-20"/>
    <s v="RDMS SQL+ VERSION 4"/>
    <n v="1"/>
    <n v="3675"/>
    <n v="10500"/>
    <n v="10500"/>
    <s v="JOANNE"/>
  </r>
  <r>
    <x v="300"/>
    <s v="TAN CHARISSE MESINA - SO-26-003"/>
    <s v="SO-26-003"/>
    <s v="TAN CHARISSE MESINA"/>
    <s v="THE ECO SHIFT"/>
    <s v="ATC"/>
    <s v="50% DOWNPAYMENT, 50% W/IN 30 DAYS"/>
    <s v="2026-01-20"/>
    <s v="ROLL OUT IMPLEMENTATION"/>
    <n v="1"/>
    <n v="9000"/>
    <n v="9000"/>
    <n v="9000"/>
    <s v="JOANNE"/>
  </r>
  <r>
    <x v="300"/>
    <s v="TAN CHARISSE MESINA - SO-26-003"/>
    <s v="SO-26-003"/>
    <s v="TAN CHARISSE MESINA"/>
    <s v="THE ECO SHIFT"/>
    <s v="ATC"/>
    <s v="50% DOWNPAYMENT, 50% W/IN 30 DAYS"/>
    <s v="2026-01-20"/>
    <s v="ONE YEAR WARRANTY"/>
    <n v="1"/>
    <n v="9000"/>
    <n v="9000"/>
    <n v="9000"/>
    <s v="JOANNE"/>
  </r>
  <r>
    <x v="300"/>
    <s v="TAN CHARISSE MESINA - SO-26-003"/>
    <s v="SO-26-003"/>
    <s v="TAN CHARISSE MESINA"/>
    <s v="THE ECO SHIFT"/>
    <s v="ATC"/>
    <s v="50% DOWNPAYMENT, 50% W/IN 30 DAYS"/>
    <s v="2026-01-20"/>
    <s v="BIR REGISTRATION"/>
    <n v="1"/>
    <n v="500"/>
    <n v="500"/>
    <n v="500"/>
    <s v="JOANNE"/>
  </r>
  <r>
    <x v="300"/>
    <s v="TAN CHARISSE MESINA - SO-26-003"/>
    <s v="SO-26-003"/>
    <s v="TAN CHARISSE MESINA"/>
    <s v="THE ECO SHIFT"/>
    <s v="ATC"/>
    <s v="50% DOWNPAYMENT, 50% W/IN 30 DAYS"/>
    <s v="2026-01-20"/>
    <s v="BEELINK I5, 16GB, 500GB NVME M.2"/>
    <n v="1"/>
    <n v="24640"/>
    <n v="35700"/>
    <n v="35700"/>
    <s v="JOANNE"/>
  </r>
  <r>
    <x v="300"/>
    <s v="TAN CHARISSE MESINA - SO-26-003"/>
    <s v="SO-26-003"/>
    <s v="TAN CHARISSE MESINA"/>
    <s v="THE ECO SHIFT"/>
    <s v="ATC"/>
    <s v="50% DOWNPAYMENT, 50% W/IN 30 DAYS"/>
    <s v="2026-01-20"/>
    <s v="KEYBOARD AND MOUSE"/>
    <n v="1"/>
    <n v="500"/>
    <n v="600"/>
    <n v="600"/>
    <s v="JOANNE"/>
  </r>
  <r>
    <x v="300"/>
    <s v="TAN CHARISSE MESINA - SO-26-003"/>
    <s v="SO-26-003"/>
    <s v="TAN CHARISSE MESINA"/>
    <s v="THE ECO SHIFT"/>
    <s v="ATC"/>
    <s v="50% DOWNPAYMENT, 50% W/IN 30 DAYS"/>
    <s v="2026-01-20"/>
    <s v="MINI CASH DRAWER"/>
    <n v="1"/>
    <n v="1350"/>
    <n v="1700"/>
    <n v="1700"/>
    <s v="JOANNE"/>
  </r>
  <r>
    <x v="300"/>
    <s v="TAN CHARISSE MESINA - SO-26-003"/>
    <s v="SO-26-003"/>
    <s v="TAN CHARISSE MESINA"/>
    <s v="THE ECO SHIFT"/>
    <s v="ATC"/>
    <s v="50% DOWNPAYMENT, 50% W/IN 30 DAYS"/>
    <s v="2026-01-20"/>
    <s v="HPRT TP80K THERMAL PRINTER USB"/>
    <n v="1"/>
    <n v="4088"/>
    <n v="6500"/>
    <n v="6500"/>
    <s v="JOANNE"/>
  </r>
  <r>
    <x v="300"/>
    <s v="TAN CHARISSE MESINA - SO-26-003"/>
    <s v="SO-26-003"/>
    <s v="TAN CHARISSE MESINA"/>
    <s v="THE ECO SHIFT"/>
    <s v="ATC"/>
    <s v="50% DOWNPAYMENT, 50% W/IN 30 DAYS"/>
    <s v="2026-01-20"/>
    <s v="APC UPS"/>
    <n v="1"/>
    <n v="2200"/>
    <n v="3000"/>
    <n v="3000"/>
    <s v="JOANNE"/>
  </r>
  <r>
    <x v="300"/>
    <s v="TAN CHARISSE MESINA - SO-26-003"/>
    <s v="SO-26-003"/>
    <s v="TAN CHARISSE MESINA"/>
    <s v="THE ECO SHIFT"/>
    <s v="ATC"/>
    <s v="50% DOWNPAYMENT, 50% W/IN 30 DAYS"/>
    <s v="2026-01-20"/>
    <s v="DELIVERY"/>
    <n v="1"/>
    <n v="1000"/>
    <n v="1000"/>
    <n v="1000"/>
    <s v="JOANNE"/>
  </r>
  <r>
    <x v="300"/>
    <s v="TAN CHARISSE MESINA - SO-26-004"/>
    <s v="SO-26-004"/>
    <s v="TAN CHARISSE MESINA"/>
    <s v="THE ECO SHIFT"/>
    <s v="ATC"/>
    <s v="50% DOWNPAYMENT, 50% W/IN 30 DAYS"/>
    <s v="2026-01-26"/>
    <s v="THERMAL PAPER"/>
    <n v="5"/>
    <n v="47"/>
    <n v="80"/>
    <n v="400"/>
    <s v="JOANNE"/>
  </r>
  <r>
    <x v="301"/>
    <s v="TERO RAQUEL HARALVE - SO-26-005"/>
    <s v="SO-26-005"/>
    <s v="TERO RAQUEL HARALVE"/>
    <s v="KARYL TOY STORE"/>
    <s v="GENERIC"/>
    <s v="50% DOWNPAYMENT, 50% W/IN 30 DAYS"/>
    <s v="2026-02-02"/>
    <s v="RDMS SQL+ VERSION 4.3.0"/>
    <n v="1"/>
    <n v="6300"/>
    <n v="18000"/>
    <n v="18000"/>
    <s v="MARITESS"/>
  </r>
  <r>
    <x v="301"/>
    <s v="TERO RAQUEL HARALVE - SO-26-005"/>
    <s v="SO-26-005"/>
    <s v="TERO RAQUEL HARALVE"/>
    <s v="KARYL TOY STORE"/>
    <s v="GENERIC"/>
    <s v="50% DOWNPAYMENT, 50% W/IN 30 DAYS"/>
    <s v="2026-02-02"/>
    <s v="ROLL OUT IMPLEMENTATION"/>
    <n v="1"/>
    <n v="7750"/>
    <n v="7750"/>
    <n v="7750"/>
    <s v="MARITESS"/>
  </r>
  <r>
    <x v="301"/>
    <s v="TERO RAQUEL HARALVE - SO-26-005"/>
    <s v="SO-26-005"/>
    <s v="TERO RAQUEL HARALVE"/>
    <s v="KARYL TOY STORE"/>
    <s v="GENERIC"/>
    <s v="50% DOWNPAYMENT, 50% W/IN 30 DAYS"/>
    <s v="2026-02-02"/>
    <s v="ONE YEAR WARRANTY"/>
    <n v="1"/>
    <n v="7750"/>
    <n v="7750"/>
    <n v="7750"/>
    <s v="MARITESS"/>
  </r>
  <r>
    <x v="301"/>
    <s v="TERO RAQUEL HARALVE - SO-26-005"/>
    <s v="SO-26-005"/>
    <s v="TERO RAQUEL HARALVE"/>
    <s v="KARYL TOY STORE"/>
    <s v="GENERIC"/>
    <s v="50% DOWNPAYMENT, 50% W/IN 30 DAYS"/>
    <s v="2026-02-02"/>
    <s v="BIR REGISTRATION"/>
    <n v="1"/>
    <n v="500"/>
    <n v="500"/>
    <n v="500"/>
    <s v="MARITESS"/>
  </r>
  <r>
    <x v="301"/>
    <s v="TERO RAQUEL HARALVE - SO-26-005"/>
    <s v="SO-26-005"/>
    <s v="TERO RAQUEL HARALVE"/>
    <s v="KARYL TOY STORE"/>
    <s v="GENERIC"/>
    <s v="50% DOWNPAYMENT, 50% W/IN 30 DAYS"/>
    <s v="2026-02-02"/>
    <s v="DESKTOP CPU I5, 8GB, KEYBOARD &amp; MOUSE"/>
    <n v="1"/>
    <n v="18700"/>
    <n v="26000"/>
    <n v="26000"/>
    <s v="MARITESS"/>
  </r>
  <r>
    <x v="301"/>
    <s v="TERO RAQUEL HARALVE - SO-26-005"/>
    <s v="SO-26-005"/>
    <s v="TERO RAQUEL HARALVE"/>
    <s v="KARYL TOY STORE"/>
    <s v="GENERIC"/>
    <s v="50% DOWNPAYMENT, 50% W/IN 30 DAYS"/>
    <s v="2026-02-02"/>
    <s v="NVME M.2 500GB SSD"/>
    <n v="1"/>
    <n v="2334"/>
    <n v="3500"/>
    <n v="3500"/>
    <s v="MARITESS"/>
  </r>
  <r>
    <x v="301"/>
    <s v="TERO RAQUEL HARALVE - SO-26-005"/>
    <s v="SO-26-005"/>
    <s v="TERO RAQUEL HARALVE"/>
    <s v="KARYL TOY STORE"/>
    <s v="GENERIC"/>
    <s v="50% DOWNPAYMENT, 50% W/IN 30 DAYS"/>
    <s v="2026-02-02"/>
    <s v="WINDOWS 11 PRO"/>
    <n v="1"/>
    <n v="2000"/>
    <n v="3000"/>
    <n v="3000"/>
    <s v="MARITESS"/>
  </r>
  <r>
    <x v="301"/>
    <s v="TERO RAQUEL HARALVE - SO-26-005"/>
    <s v="SO-26-005"/>
    <s v="TERO RAQUEL HARALVE"/>
    <s v="KARYL TOY STORE"/>
    <s v="GENERIC"/>
    <s v="50% DOWNPAYMENT, 50% W/IN 30 DAYS"/>
    <s v="2026-02-02"/>
    <s v="BIRCH BARCODE SCANNER"/>
    <n v="1"/>
    <n v="3000"/>
    <n v="4000"/>
    <n v="4000"/>
    <s v="MARITESS"/>
  </r>
  <r>
    <x v="301"/>
    <s v="TERO RAQUEL HARALVE - SO-26-005"/>
    <s v="SO-26-005"/>
    <s v="TERO RAQUEL HARALVE"/>
    <s v="KARYL TOY STORE"/>
    <s v="GENERIC"/>
    <s v="50% DOWNPAYMENT, 50% W/IN 30 DAYS"/>
    <s v="2026-02-02"/>
    <s v="LED MONITOR"/>
    <n v="1"/>
    <n v="3195"/>
    <n v="4300"/>
    <n v="4300"/>
    <s v="MARITESS"/>
  </r>
  <r>
    <x v="301"/>
    <s v="TERO RAQUEL HARALVE - SO-26-005"/>
    <s v="SO-26-005"/>
    <s v="TERO RAQUEL HARALVE"/>
    <s v="KARYL TOY STORE"/>
    <s v="GENERIC"/>
    <s v="50% DOWNPAYMENT, 50% W/IN 30 DAYS"/>
    <s v="2026-02-02"/>
    <s v="MINI CASH DRAWER"/>
    <n v="1"/>
    <n v="1350"/>
    <n v="2000"/>
    <n v="2000"/>
    <s v="MARITESS"/>
  </r>
  <r>
    <x v="301"/>
    <s v="TERO RAQUEL HARALVE - SO-26-005"/>
    <s v="SO-26-005"/>
    <s v="TERO RAQUEL HARALVE"/>
    <s v="KARYL TOY STORE"/>
    <s v="GENERIC"/>
    <s v="50% DOWNPAYMENT, 50% W/IN 30 DAYS"/>
    <s v="2026-02-02"/>
    <s v="EPSON TM U220D USB PRINTER"/>
    <n v="1"/>
    <n v="8500"/>
    <n v="12000"/>
    <n v="12000"/>
    <s v="MARITESS"/>
  </r>
  <r>
    <x v="301"/>
    <s v="TERO RAQUEL HARALVE - SO-26-005"/>
    <s v="SO-26-005"/>
    <s v="TERO RAQUEL HARALVE"/>
    <s v="KARYL TOY STORE"/>
    <s v="GENERIC"/>
    <s v="50% DOWNPAYMENT, 50% W/IN 30 DAYS"/>
    <s v="2026-02-02"/>
    <s v="APC UPS"/>
    <n v="1"/>
    <n v="2200"/>
    <n v="3200"/>
    <n v="3200"/>
    <s v="MARITESS"/>
  </r>
  <r>
    <x v="301"/>
    <s v="TERO RAQUEL HARALVE - SO-26-005"/>
    <s v="SO-26-005"/>
    <s v="TERO RAQUEL HARALVE"/>
    <s v="KARYL TOY STORE"/>
    <s v="GENERIC"/>
    <s v="50% DOWNPAYMENT, 50% W/IN 30 DAYS"/>
    <s v="2026-02-02"/>
    <s v="DELIVERY FEE"/>
    <n v="1"/>
    <n v="1000"/>
    <n v="1000"/>
    <n v="1000"/>
    <s v="MARITESS"/>
  </r>
  <r>
    <x v="301"/>
    <s v="TERO RAQUEL HARALVE - SO-26-005"/>
    <s v="SO-26-005"/>
    <s v="TERO RAQUEL HARALVE"/>
    <s v="KARYL TOY STORE"/>
    <s v="GENERIC"/>
    <s v="50% DOWNPAYMENT, 50% W/IN 30 DAYS"/>
    <s v="2026-02-02"/>
    <s v="MODIFICATION"/>
    <n v="1"/>
    <n v="8000"/>
    <n v="8000"/>
    <n v="8000"/>
    <s v="MARITESS"/>
  </r>
  <r>
    <x v="302"/>
    <s v="INSPIRA PRIME INTERNATIONAL CORPORATION - SO-26-006"/>
    <s v="SO-26-006"/>
    <s v="INSPIRA PRIME INTERNATIONAL CORPORATION"/>
    <s v="AQUAFLASK"/>
    <s v="UPTOWN MALL"/>
    <s v="50% DOWNPAYMENT, 50% W/IN 30 DAYS"/>
    <s v="2026-02-09"/>
    <s v="RDMS SQL+ VERSION 4"/>
    <n v="1"/>
    <n v="6300"/>
    <n v="18000"/>
    <n v="18000"/>
    <s v="JOANNE"/>
  </r>
  <r>
    <x v="302"/>
    <s v="INSPIRA PRIME INTERNATIONAL CORPORATION - SO-26-006"/>
    <s v="SO-26-006"/>
    <s v="INSPIRA PRIME INTERNATIONAL CORPORATION"/>
    <s v="AQUAFLASK"/>
    <s v="UPTOWN MALL"/>
    <s v="50% DOWNPAYMENT, 50% W/IN 30 DAYS"/>
    <s v="2026-02-09"/>
    <s v="ROLL OUT IMPLEMENTATION"/>
    <n v="1"/>
    <n v="5500"/>
    <n v="5500"/>
    <n v="5500"/>
    <s v="JOANNE"/>
  </r>
  <r>
    <x v="302"/>
    <s v="INSPIRA PRIME INTERNATIONAL CORPORATION - SO-26-006"/>
    <s v="SO-26-006"/>
    <s v="INSPIRA PRIME INTERNATIONAL CORPORATION"/>
    <s v="AQUAFLASK"/>
    <s v="UPTOWN MALL"/>
    <s v="50% DOWNPAYMENT, 50% W/IN 30 DAYS"/>
    <s v="2026-02-09"/>
    <s v="ONE YEAR WARRANTY"/>
    <n v="1"/>
    <n v="5500"/>
    <n v="5500"/>
    <n v="5500"/>
    <s v="JOANNE"/>
  </r>
  <r>
    <x v="302"/>
    <s v="INSPIRA PRIME INTERNATIONAL CORPORATION - SO-26-006"/>
    <s v="SO-26-006"/>
    <s v="INSPIRA PRIME INTERNATIONAL CORPORATION"/>
    <s v="AQUAFLASK"/>
    <s v="UPTOWN MALL"/>
    <s v="50% DOWNPAYMENT, 50% W/IN 30 DAYS"/>
    <s v="2026-02-09"/>
    <s v="BIR REGISTRATION"/>
    <n v="1"/>
    <n v="500"/>
    <n v="500"/>
    <n v="500"/>
    <s v="JOANNE"/>
  </r>
  <r>
    <x v="302"/>
    <s v="INSPIRA PRIME INTERNATIONAL CORPORATION - SO-26-006"/>
    <s v="SO-26-006"/>
    <s v="INSPIRA PRIME INTERNATIONAL CORPORATION"/>
    <s v="AQUAFLASK"/>
    <s v="UPTOWN MALL"/>
    <s v="50% DOWNPAYMENT, 50% W/IN 30 DAYS"/>
    <s v="2026-02-09"/>
    <s v="BEELINK I5, 16GB, 500GB NVME M.2"/>
    <n v="1"/>
    <n v="24640"/>
    <n v="25000"/>
    <n v="25000"/>
    <s v="JOANNE"/>
  </r>
  <r>
    <x v="302"/>
    <s v="INSPIRA PRIME INTERNATIONAL CORPORATION - SO-26-006"/>
    <s v="SO-26-006"/>
    <s v="INSPIRA PRIME INTERNATIONAL CORPORATION"/>
    <s v="AQUAFLASK"/>
    <s v="UPTOWN MALL"/>
    <s v="50% DOWNPAYMENT, 50% W/IN 30 DAYS"/>
    <s v="2026-02-09"/>
    <s v="KEYBOARD AND MOUSE"/>
    <n v="1"/>
    <n v="500"/>
    <n v="600"/>
    <n v="600"/>
    <s v="JOANNE"/>
  </r>
  <r>
    <x v="302"/>
    <s v="INSPIRA PRIME INTERNATIONAL CORPORATION - SO-26-006"/>
    <s v="SO-26-006"/>
    <s v="INSPIRA PRIME INTERNATIONAL CORPORATION"/>
    <s v="AQUAFLASK"/>
    <s v="UPTOWN MALL"/>
    <s v="50% DOWNPAYMENT, 50% W/IN 30 DAYS"/>
    <s v="2026-02-09"/>
    <s v="KASPERKY ANTI VIRUS"/>
    <n v="1"/>
    <n v="970"/>
    <n v="1200"/>
    <n v="1200"/>
    <s v="JOANNE"/>
  </r>
  <r>
    <x v="302"/>
    <s v="INSPIRA PRIME INTERNATIONAL CORPORATION - SO-26-006"/>
    <s v="SO-26-006"/>
    <s v="INSPIRA PRIME INTERNATIONAL CORPORATION"/>
    <s v="AQUAFLASK"/>
    <s v="UPTOWN MALL"/>
    <s v="50% DOWNPAYMENT, 50% W/IN 30 DAYS"/>
    <s v="2026-02-09"/>
    <s v="LED MONITOR"/>
    <n v="1"/>
    <n v="4250"/>
    <n v="4700"/>
    <n v="4700"/>
    <s v="JOANNE"/>
  </r>
  <r>
    <x v="302"/>
    <s v="INSPIRA PRIME INTERNATIONAL CORPORATION - SO-26-006"/>
    <s v="SO-26-006"/>
    <s v="INSPIRA PRIME INTERNATIONAL CORPORATION"/>
    <s v="AQUAFLASK"/>
    <s v="UPTOWN MALL"/>
    <s v="50% DOWNPAYMENT, 50% W/IN 30 DAYS"/>
    <s v="2026-02-09"/>
    <s v="MINI CASH DRAWER"/>
    <n v="1"/>
    <n v="1350"/>
    <n v="1700"/>
    <n v="1700"/>
    <s v="JOANNE"/>
  </r>
  <r>
    <x v="302"/>
    <s v="INSPIRA PRIME INTERNATIONAL CORPORATION - SO-26-006"/>
    <s v="SO-26-006"/>
    <s v="INSPIRA PRIME INTERNATIONAL CORPORATION"/>
    <s v="AQUAFLASK"/>
    <s v="UPTOWN MALL"/>
    <s v="50% DOWNPAYMENT, 50% W/IN 30 DAYS"/>
    <s v="2026-02-09"/>
    <s v="EPSON TM U220D USB PRINTER"/>
    <n v="1"/>
    <n v="8500"/>
    <n v="10000"/>
    <n v="10000"/>
    <s v="JOANNE"/>
  </r>
  <r>
    <x v="302"/>
    <s v="INSPIRA PRIME INTERNATIONAL CORPORATION - SO-26-006"/>
    <s v="SO-26-006"/>
    <s v="INSPIRA PRIME INTERNATIONAL CORPORATION"/>
    <s v="AQUAFLASK"/>
    <s v="UPTOWN MALL"/>
    <s v="50% DOWNPAYMENT, 50% W/IN 30 DAYS"/>
    <s v="2026-02-09"/>
    <s v="APC UPS"/>
    <n v="1"/>
    <n v="2200"/>
    <n v="3000"/>
    <n v="3000"/>
    <s v="JOANNE"/>
  </r>
  <r>
    <x v="302"/>
    <s v="INSPIRA PRIME INTERNATIONAL CORPORATION - SO-26-006"/>
    <s v="SO-26-006"/>
    <s v="INSPIRA PRIME INTERNATIONAL CORPORATION"/>
    <s v="AQUAFLASK"/>
    <s v="UPTOWN MALL"/>
    <s v="50% DOWNPAYMENT, 50% W/IN 30 DAYS"/>
    <s v="2026-02-09"/>
    <s v="BIRCH BARCODE SCANNER"/>
    <n v="1"/>
    <n v="3000"/>
    <n v="3800"/>
    <n v="3800"/>
    <s v="JOANNE"/>
  </r>
  <r>
    <x v="302"/>
    <s v="INSPIRA PRIME INTERNATIONAL CORPORATION - SO-26-006"/>
    <s v="SO-26-006"/>
    <s v="INSPIRA PRIME INTERNATIONAL CORPORATION"/>
    <s v="AQUAFLASK"/>
    <s v="UPTOWN MALL"/>
    <s v="50% DOWNPAYMENT, 50% W/IN 30 DAYS"/>
    <s v="2026-02-09"/>
    <s v="DELIVERY FEE"/>
    <n v="1"/>
    <n v="500"/>
    <n v="500"/>
    <n v="500"/>
    <s v="JOANNE"/>
  </r>
  <r>
    <x v="203"/>
    <s v="TIONG BAHRU PHILIPPINES INC - SO-26-007"/>
    <s v="SO-26-007"/>
    <s v="TIONG BAHRU PHILIPPINES INC"/>
    <s v="TIONG BAHRU"/>
    <s v="GENERIC"/>
    <s v="FULL PAYMENT"/>
    <s v="2026-02-09"/>
    <s v="PRINTER HEAD"/>
    <n v="1"/>
    <n v="1100"/>
    <n v="1500"/>
    <n v="1500"/>
    <s v="MARITESS"/>
  </r>
  <r>
    <x v="203"/>
    <s v="TIONG BAHRU PHILIPPINES INC - SO-26-007"/>
    <s v="SO-26-007"/>
    <s v="TIONG BAHRU PHILIPPINES INC"/>
    <s v="TIONG BAHRU"/>
    <s v="GENERIC"/>
    <s v="FULL PAYMENT"/>
    <s v="2026-02-09"/>
    <s v="PRINTER CABLE"/>
    <n v="1"/>
    <n v="30"/>
    <n v="200"/>
    <n v="200"/>
    <s v="MARITESS"/>
  </r>
  <r>
    <x v="303"/>
    <s v="FERCUI VENTURES CORPORATION - SO-26-008"/>
    <s v="SO-26-008"/>
    <s v="FERCUI VENTURES CORPORATION"/>
    <s v="FLEXISPOT PH"/>
    <s v="GENERIC"/>
    <s v="50% DOWNPAYMENT, 50% W/IN 30 DAYS"/>
    <s v="2026-02-16"/>
    <s v="RDMS SQL+ VERSION 4.3.0"/>
    <n v="1"/>
    <n v="6300"/>
    <n v="18000"/>
    <n v="18000"/>
    <s v="MARITESS"/>
  </r>
  <r>
    <x v="303"/>
    <s v="FERCUI VENTURES CORPORATION - SO-26-008"/>
    <s v="SO-26-008"/>
    <s v="FERCUI VENTURES CORPORATION"/>
    <s v="FLEXISPOT PH"/>
    <s v="GENERIC"/>
    <s v="50% DOWNPAYMENT, 50% W/IN 30 DAYS"/>
    <s v="2026-02-16"/>
    <s v="ROLL OUT IMPLEMENTATION"/>
    <n v="1"/>
    <n v="7750"/>
    <n v="7750"/>
    <n v="7750"/>
    <s v="MARITESS"/>
  </r>
  <r>
    <x v="303"/>
    <s v="FERCUI VENTURES CORPORATION - SO-26-008"/>
    <s v="SO-26-008"/>
    <s v="FERCUI VENTURES CORPORATION"/>
    <s v="FLEXISPOT PH"/>
    <s v="GENERIC"/>
    <s v="50% DOWNPAYMENT, 50% W/IN 30 DAYS"/>
    <s v="2026-02-16"/>
    <s v="ONE YEAR WARRANTY"/>
    <n v="1"/>
    <n v="7750"/>
    <n v="7750"/>
    <n v="7750"/>
    <s v="MARITESS"/>
  </r>
  <r>
    <x v="303"/>
    <s v="FERCUI VENTURES CORPORATION - SO-26-008"/>
    <s v="SO-26-008"/>
    <s v="FERCUI VENTURES CORPORATION"/>
    <s v="FLEXISPOT PH"/>
    <s v="GENERIC"/>
    <s v="50% DOWNPAYMENT, 50% W/IN 30 DAYS"/>
    <s v="2026-02-16"/>
    <s v="BIR REGISTRATION"/>
    <n v="1"/>
    <n v="500"/>
    <n v="500"/>
    <n v="500"/>
    <s v="MARITESS"/>
  </r>
  <r>
    <x v="303"/>
    <s v="FERCUI VENTURES CORPORATION - SO-26-008"/>
    <s v="SO-26-008"/>
    <s v="FERCUI VENTURES CORPORATION"/>
    <s v="FLEXISPOT PH"/>
    <s v="GENERIC"/>
    <s v="50% DOWNPAYMENT, 50% W/IN 30 DAYS"/>
    <s v="2026-02-16"/>
    <s v="DESKTOP CPU I5, 8GB, KEYBOARD &amp; MOUSE"/>
    <n v="1"/>
    <n v="18700"/>
    <n v="25500"/>
    <n v="25500"/>
    <s v="MARITESS"/>
  </r>
  <r>
    <x v="303"/>
    <s v="FERCUI VENTURES CORPORATION - SO-26-008"/>
    <s v="SO-26-008"/>
    <s v="FERCUI VENTURES CORPORATION"/>
    <s v="FLEXISPOT PH"/>
    <s v="GENERIC"/>
    <s v="50% DOWNPAYMENT, 50% W/IN 30 DAYS"/>
    <s v="2026-02-16"/>
    <s v="NVME M.2 500GB SSD"/>
    <n v="1"/>
    <n v="2334"/>
    <n v="3500"/>
    <n v="3500"/>
    <s v="MARITESS"/>
  </r>
  <r>
    <x v="303"/>
    <s v="FERCUI VENTURES CORPORATION - SO-26-008"/>
    <s v="SO-26-008"/>
    <s v="FERCUI VENTURES CORPORATION"/>
    <s v="FLEXISPOT PH"/>
    <s v="GENERIC"/>
    <s v="50% DOWNPAYMENT, 50% W/IN 30 DAYS"/>
    <s v="2026-02-16"/>
    <s v="WINDOWS 11 PRO"/>
    <n v="1"/>
    <n v="2000"/>
    <n v="3000"/>
    <n v="3000"/>
    <s v="MARITESS"/>
  </r>
  <r>
    <x v="303"/>
    <s v="FERCUI VENTURES CORPORATION - SO-26-008"/>
    <s v="SO-26-008"/>
    <s v="FERCUI VENTURES CORPORATION"/>
    <s v="FLEXISPOT PH"/>
    <s v="GENERIC"/>
    <s v="50% DOWNPAYMENT, 50% W/IN 30 DAYS"/>
    <s v="2026-02-16"/>
    <s v="EPSON TM U220D USB PRINTER"/>
    <n v="1"/>
    <n v="8500"/>
    <n v="12000"/>
    <n v="12000"/>
    <s v="MARITESS"/>
  </r>
  <r>
    <x v="303"/>
    <s v="FERCUI VENTURES CORPORATION - SO-26-008"/>
    <s v="SO-26-008"/>
    <s v="FERCUI VENTURES CORPORATION"/>
    <s v="FLEXISPOT PH"/>
    <s v="GENERIC"/>
    <s v="50% DOWNPAYMENT, 50% W/IN 30 DAYS"/>
    <s v="2026-02-16"/>
    <s v="DELIVERY FEE"/>
    <n v="1"/>
    <n v="1000"/>
    <n v="1000"/>
    <n v="1000"/>
    <s v="MARITESS"/>
  </r>
  <r>
    <x v="304"/>
    <s v="UNIMEDS DRUGSTORE OPC - SO-26-009"/>
    <s v="SO-26-009"/>
    <s v="UNIMEDS DRUGSTORE OPC"/>
    <s v="UNIMEDS DRUGSTORE OPC"/>
    <s v="SORSOGON"/>
    <s v="50% DP, 50% - 30 DAYS"/>
    <s v="2026-02-23"/>
    <s v="RDMS V3"/>
    <n v="6"/>
    <n v="6300"/>
    <n v="18000"/>
    <n v="108000"/>
    <s v="JOANNE"/>
  </r>
  <r>
    <x v="304"/>
    <s v="UNIMEDS DRUGSTORE OPC - SO-26-009"/>
    <s v="SO-26-009"/>
    <s v="UNIMEDS DRUGSTORE OPC"/>
    <s v="UNIMEDS DRUGSTORE OPC"/>
    <s v="SORSOGON"/>
    <s v="50% DP, 50% - 30 DAYS"/>
    <s v="2026-02-23"/>
    <s v="BIR REGISTRATION"/>
    <n v="6"/>
    <n v="500"/>
    <n v="500"/>
    <n v="3000"/>
    <s v="JOANNE"/>
  </r>
  <r>
    <x v="304"/>
    <s v="UNIMEDS DRUGSTORE OPC - SO-26-009"/>
    <s v="SO-26-009"/>
    <s v="UNIMEDS DRUGSTORE OPC"/>
    <s v="UNIMEDS DRUGSTORE OPC"/>
    <s v="SORSOGON"/>
    <s v="50% DP, 50% - 30 DAYS"/>
    <s v="2026-02-23"/>
    <s v="ROLL OUT/IMPLEMENTATION"/>
    <n v="6"/>
    <n v="20750"/>
    <n v="20750"/>
    <n v="124500"/>
    <s v="JOANNE"/>
  </r>
  <r>
    <x v="304"/>
    <s v="UNIMEDS DRUGSTORE OPC - SO-26-009"/>
    <s v="SO-26-009"/>
    <s v="UNIMEDS DRUGSTORE OPC"/>
    <s v="UNIMEDS DRUGSTORE OPC"/>
    <s v="SORSOGON"/>
    <s v="50% DP, 50% - 30 DAYS"/>
    <s v="2026-02-23"/>
    <s v="ONE YEAR WARRANTY"/>
    <n v="6"/>
    <n v="20750"/>
    <n v="20750"/>
    <n v="124500"/>
    <s v="JOANNE"/>
  </r>
  <r>
    <x v="304"/>
    <s v="UNIMEDS DRUGSTORE OPC - SO-26-009"/>
    <s v="SO-26-009"/>
    <s v="UNIMEDS DRUGSTORE OPC"/>
    <s v="UNIMEDS DRUGSTORE OPC"/>
    <s v="SORSOGON"/>
    <s v="50% DP, 50% - 30 DAYS"/>
    <s v="2026-02-23"/>
    <s v="ORDERING STATION"/>
    <n v="6"/>
    <n v="3500"/>
    <n v="10000"/>
    <n v="60000"/>
    <s v="JOANNE"/>
  </r>
  <r>
    <x v="304"/>
    <s v="UNIMEDS DRUGSTORE OPC - SO-26-010"/>
    <s v="SO-26-010"/>
    <s v="UNIMEDS DRUGSTORE OPC"/>
    <s v="UNIMEDS DRUGSTORE OPC"/>
    <s v="SORSOGON"/>
    <s v="50% DP, 50% - 30 DAYS"/>
    <s v="2026-03-04"/>
    <s v="DESKTOP CPU I5, 8GB, KEYBOARD &amp; MOUSE"/>
    <n v="1"/>
    <n v="18700"/>
    <n v="28500"/>
    <n v="28500"/>
    <s v="JOANNE"/>
  </r>
  <r>
    <x v="304"/>
    <s v="UNIMEDS DRUGSTORE OPC - SO-26-010"/>
    <s v="SO-26-010"/>
    <s v="UNIMEDS DRUGSTORE OPC"/>
    <s v="UNIMEDS DRUGSTORE OPC"/>
    <s v="SORSOGON"/>
    <s v="50% DP, 50% - 30 DAYS"/>
    <s v="2026-03-04"/>
    <s v="NVME M.2 500GB SSD"/>
    <n v="1"/>
    <n v="2334"/>
    <n v="3500"/>
    <n v="3500"/>
    <s v="JOANNE"/>
  </r>
  <r>
    <x v="304"/>
    <s v="UNIMEDS DRUGSTORE OPC - SO-26-010"/>
    <s v="SO-26-010"/>
    <s v="UNIMEDS DRUGSTORE OPC"/>
    <s v="UNIMEDS DRUGSTORE OPC"/>
    <s v="SORSOGON"/>
    <s v="50% DP, 50% - 30 DAYS"/>
    <s v="2026-03-04"/>
    <s v="WINDOWS 11 PRO"/>
    <n v="1"/>
    <n v="2000"/>
    <n v="3000"/>
    <n v="3000"/>
    <s v="JOANNE"/>
  </r>
  <r>
    <x v="304"/>
    <s v="UNIMEDS DRUGSTORE OPC - SO-26-010"/>
    <s v="SO-26-010"/>
    <s v="UNIMEDS DRUGSTORE OPC"/>
    <s v="UNIMEDS DRUGSTORE OPC"/>
    <s v="SORSOGON"/>
    <s v="50% DP, 50% - 30 DAYS"/>
    <s v="2026-03-04"/>
    <s v="ZEBRA BARCODE SCANNER"/>
    <n v="2"/>
    <n v="5400"/>
    <n v="7500"/>
    <n v="15000"/>
    <s v="JOANNE"/>
  </r>
  <r>
    <x v="304"/>
    <s v="UNIMEDS DRUGSTORE OPC - SO-26-010"/>
    <s v="SO-26-010"/>
    <s v="UNIMEDS DRUGSTORE OPC"/>
    <s v="UNIMEDS DRUGSTORE OPC"/>
    <s v="SORSOGON"/>
    <s v="50% DP, 50% - 30 DAYS"/>
    <s v="2026-03-04"/>
    <s v="LED MONITOR"/>
    <n v="1"/>
    <n v="3195"/>
    <n v="4300"/>
    <n v="4300"/>
    <s v="JOANNE"/>
  </r>
  <r>
    <x v="304"/>
    <s v="UNIMEDS DRUGSTORE OPC - SO-26-010"/>
    <s v="SO-26-010"/>
    <s v="UNIMEDS DRUGSTORE OPC"/>
    <s v="UNIMEDS DRUGSTORE OPC"/>
    <s v="SORSOGON"/>
    <s v="50% DP, 50% - 30 DAYS"/>
    <s v="2026-03-04"/>
    <s v="CASH DRAWER"/>
    <n v="1"/>
    <n v="2185"/>
    <n v="3500"/>
    <n v="3500"/>
    <s v="JOANNE"/>
  </r>
  <r>
    <x v="304"/>
    <s v="UNIMEDS DRUGSTORE OPC - SO-26-010"/>
    <s v="SO-26-010"/>
    <s v="UNIMEDS DRUGSTORE OPC"/>
    <s v="UNIMEDS DRUGSTORE OPC"/>
    <s v="SORSOGON"/>
    <s v="50% DP, 50% - 30 DAYS"/>
    <s v="2026-03-04"/>
    <s v="EPSON TM U220D USB PRINTER"/>
    <n v="1"/>
    <n v="8500"/>
    <n v="12500"/>
    <n v="12500"/>
    <s v="JOANNE"/>
  </r>
  <r>
    <x v="304"/>
    <s v="UNIMEDS DRUGSTORE OPC - SO-26-010"/>
    <s v="SO-26-010"/>
    <s v="UNIMEDS DRUGSTORE OPC"/>
    <s v="UNIMEDS DRUGSTORE OPC"/>
    <s v="SORSOGON"/>
    <s v="50% DP, 50% - 30 DAYS"/>
    <s v="2026-03-04"/>
    <s v="EPSON TM T82X USB THERMAL PRINTER"/>
    <n v="1"/>
    <n v="8500"/>
    <n v="12200"/>
    <n v="12200"/>
    <s v="JOANNE"/>
  </r>
  <r>
    <x v="305"/>
    <s v="MAXICOLLECTOR VENTURES INC - SO-26-011"/>
    <s v="SO-26-011"/>
    <s v="MAXICOLLECTOR VENTURES INC"/>
    <s v="MAXIWORKS"/>
    <s v="GENERIC"/>
    <s v="COD"/>
    <s v="2026-03-31"/>
    <s v="PREVENTIVE MAINTENANCE"/>
    <n v="1"/>
    <n v="18000"/>
    <n v="18000"/>
    <n v="18000"/>
    <s v="MARITESS"/>
  </r>
  <r>
    <x v="257"/>
    <s v="DERMA 360 CORP - SO-26-012"/>
    <s v="SO-26-012"/>
    <s v="DERMA 360 CORP"/>
    <s v="DERMA 360°"/>
    <s v="GENERIC"/>
    <s v="50% DP, 50% 30 DAYS"/>
    <s v="2026-03-31"/>
    <s v="ANNUAL PREVENTIVE MAINTENANCE"/>
    <n v="2"/>
    <n v="18000"/>
    <n v="16000"/>
    <n v="32000"/>
    <s v="MARITESS"/>
  </r>
  <r>
    <x v="306"/>
    <s v="W R I WELLNESS RETAIL INNOVATIONS INC - SO-26-013"/>
    <s v="SO-26-013"/>
    <s v="W R I WELLNESS RETAIL INNOVATIONS INC"/>
    <s v="DR. KONG"/>
    <s v="NUVALI"/>
    <s v="COD"/>
    <s v="2026-04-10"/>
    <s v="EPSON TMU220D USB PRINTER"/>
    <n v="1"/>
    <n v="8500"/>
    <n v="12500"/>
    <n v="12500"/>
    <s v="JOANNE"/>
  </r>
  <r>
    <x v="307"/>
    <s v="RAJO - SO-26-014"/>
    <s v="SO-26-014"/>
    <s v="RAJO"/>
    <s v="RAJO"/>
    <s v="ROCKWELL"/>
    <s v="COD"/>
    <s v="2026-04-10"/>
    <s v="KASPERSKY ANTIVIRUS"/>
    <n v="1"/>
    <n v="970"/>
    <n v="1500"/>
    <n v="1500"/>
    <s v="JOANNE"/>
  </r>
  <r>
    <x v="308"/>
    <s v="ALLURE EMPIRE CORPORATION - SO-26-015"/>
    <s v="SO-26-015"/>
    <s v="ALLURE EMPIRE CORPORATION"/>
    <s v="CHU CHU BEAUTY"/>
    <s v="AYALA MALLS CAPITOL CENTRAL BACOLOD"/>
    <s v="50% DP, 50% - 30 DAYS"/>
    <s v="2026-04-10"/>
    <s v="RDMS SQL+ VERSION 5.0"/>
    <n v="1"/>
    <n v="6300"/>
    <n v="18000"/>
    <n v="18000"/>
    <s v="JOANNE"/>
  </r>
  <r>
    <x v="308"/>
    <s v="ALLURE EMPIRE CORPORATION - SO-26-015"/>
    <s v="SO-26-015"/>
    <s v="ALLURE EMPIRE CORPORATION"/>
    <s v="CHU CHU BEAUTY"/>
    <s v="AYALA MALLS CAPITOL CENTRAL BACOLOD"/>
    <s v="50% DP, 50% - 30 DAYS"/>
    <s v="2026-04-10"/>
    <s v="ROLL OUT IMPLEMENTATION"/>
    <n v="1"/>
    <n v="5750"/>
    <n v="5750"/>
    <n v="5750"/>
    <s v="JOANNE"/>
  </r>
  <r>
    <x v="308"/>
    <s v="ALLURE EMPIRE CORPORATION - SO-26-015"/>
    <s v="SO-26-015"/>
    <s v="ALLURE EMPIRE CORPORATION"/>
    <s v="CHU CHU BEAUTY"/>
    <s v="AYALA MALLS CAPITOL CENTRAL BACOLOD"/>
    <s v="50% DP, 50% - 30 DAYS"/>
    <s v="2026-04-10"/>
    <s v="ONE YEAR WARRANTY"/>
    <n v="1"/>
    <n v="5750"/>
    <n v="5750"/>
    <n v="5750"/>
    <s v="JOANNE"/>
  </r>
  <r>
    <x v="308"/>
    <s v="ALLURE EMPIRE CORPORATION - SO-26-015"/>
    <s v="SO-26-015"/>
    <s v="ALLURE EMPIRE CORPORATION"/>
    <s v="CHU CHU BEAUTY"/>
    <s v="AYALA MALLS CAPITOL CENTRAL BACOLOD"/>
    <s v="50% DP, 50% - 30 DAYS"/>
    <s v="2026-04-10"/>
    <s v="BIR REGISTRATION"/>
    <n v="1"/>
    <n v="500"/>
    <n v="500"/>
    <n v="500"/>
    <s v="JOANNE"/>
  </r>
  <r>
    <x v="309"/>
    <s v="ALLURE EMPIRE CORPORATION - SO-26-016"/>
    <s v="SO-26-016"/>
    <s v="ALLURE EMPIRE CORPORATION"/>
    <s v="CHU CHU BEAUTY"/>
    <s v="AYALA MALLS MANILA BAY"/>
    <s v="50% DP, 50% - 30 DAYS"/>
    <s v="2026-04-10"/>
    <s v="RDMS SQL+ VERSION 5.0"/>
    <n v="1"/>
    <n v="6300"/>
    <n v="18000"/>
    <n v="18000"/>
    <s v="JOANNE"/>
  </r>
  <r>
    <x v="309"/>
    <s v="ALLURE EMPIRE CORPORATION - SO-26-016"/>
    <s v="SO-26-016"/>
    <s v="ALLURE EMPIRE CORPORATION"/>
    <s v="CHU CHU BEAUTY"/>
    <s v="AYALA MALLS MANILA BAY"/>
    <s v="50% DP, 50% - 30 DAYS"/>
    <s v="2026-04-10"/>
    <s v="ROLL OUT IMPLEMENTATION"/>
    <n v="1"/>
    <n v="5750"/>
    <n v="5750"/>
    <n v="5750"/>
    <s v="JOANNE"/>
  </r>
  <r>
    <x v="309"/>
    <s v="ALLURE EMPIRE CORPORATION - SO-26-016"/>
    <s v="SO-26-016"/>
    <s v="ALLURE EMPIRE CORPORATION"/>
    <s v="CHU CHU BEAUTY"/>
    <s v="AYALA MALLS MANILA BAY"/>
    <s v="50% DP, 50% - 30 DAYS"/>
    <s v="2026-04-10"/>
    <s v="ONE YEAR WARRANTY"/>
    <n v="1"/>
    <n v="5750"/>
    <n v="5750"/>
    <n v="5750"/>
    <s v="JOANNE"/>
  </r>
  <r>
    <x v="309"/>
    <s v="ALLURE EMPIRE CORPORATION - SO-26-016"/>
    <s v="SO-26-016"/>
    <s v="ALLURE EMPIRE CORPORATION"/>
    <s v="CHU CHU BEAUTY"/>
    <s v="AYALA MALLS MANILA BAY"/>
    <s v="50% DP, 50% - 30 DAYS"/>
    <s v="2026-04-10"/>
    <s v="BIR REGISTRATION"/>
    <n v="1"/>
    <n v="500"/>
    <n v="500"/>
    <n v="500"/>
    <s v="JOANNE"/>
  </r>
  <r>
    <x v="310"/>
    <s v="ANONYMOUS - SO-26-017"/>
    <s v="SO-26-017"/>
    <s v="ANONYMOUS"/>
    <s v="TANTEASE"/>
    <s v="POWERPLANT MALL ROCKWELL"/>
    <s v="COD"/>
    <s v="2026-04-14"/>
    <s v="KASPERSKY ANTI VIRUS"/>
    <n v="1"/>
    <n v="970"/>
    <n v="1500"/>
    <n v="1500"/>
    <s v="JOANNE"/>
  </r>
  <r>
    <x v="311"/>
    <s v="BJW CONCEPT - SO-26-018"/>
    <s v="SO-26-018"/>
    <s v="BJW CONCEPT"/>
    <s v="WHISENHUNT"/>
    <s v="GENERIC"/>
    <s v="COD"/>
    <s v="2026-04-20"/>
    <s v="PREVENTIVE MAINTENANCE"/>
    <n v="1"/>
    <n v="15000"/>
    <n v="15000"/>
    <n v="15000"/>
    <s v="MARITESS"/>
  </r>
  <r>
    <x v="312"/>
    <s v="ONE POTATO TWO POTATO - SO-26-019"/>
    <s v="SO-26-019"/>
    <s v="ONE POTATO TWO POTATO"/>
    <s v="COMME CI"/>
    <s v="GENERIC"/>
    <s v="COD"/>
    <s v="2026-04-20"/>
    <s v="PREVENTIVE MAINTENANCE"/>
    <n v="1"/>
    <n v="15000"/>
    <n v="15000"/>
    <n v="15000"/>
    <s v="MARITESS"/>
  </r>
  <r>
    <x v="228"/>
    <s v="STATEMENT THEORY - SO-26-020"/>
    <s v="SO-26-020"/>
    <s v="STATEMENT THEORY"/>
    <s v="STATEMENT THEORY"/>
    <s v="ROCKWELL"/>
    <s v="COD"/>
    <s v="2026-04-30"/>
    <s v="PREVENTIVE MAINTENANCE APRIL 27, 2026 - APRIL 26, 2027"/>
    <n v="1"/>
    <n v="15000"/>
    <n v="15000"/>
    <n v="15000"/>
    <s v="JOANNE"/>
  </r>
  <r>
    <x v="228"/>
    <s v="STATEMENT THEORY - SO-26-020"/>
    <s v="SO-26-020"/>
    <s v="STATEMENT THEORY"/>
    <s v="STATEMENT THEORY"/>
    <s v="ROCKWELL"/>
    <s v="COD"/>
    <s v="2026-04-30"/>
    <s v="KASPERSKY ANTIVIRUS"/>
    <n v="1"/>
    <n v="935"/>
    <n v="1500"/>
    <n v="1500"/>
    <s v="JOANNE"/>
  </r>
  <r>
    <x v="206"/>
    <s v="ROSANNA OCAMPO - SO-26-021"/>
    <s v="SO-26-021"/>
    <s v="ROSANNA OCAMPO"/>
    <s v="ROSANNA OCAMPO"/>
    <s v="ROCKWELL POWERPLANT"/>
    <s v="COD"/>
    <s v="2026-04-30"/>
    <s v="PREVENTIVE MAINTENANCE APRIL 27, 2026 - APRIL 26, 2027"/>
    <n v="1"/>
    <n v="18000"/>
    <n v="18000"/>
    <n v="18000"/>
    <s v="JOANNE"/>
  </r>
  <r>
    <x v="206"/>
    <s v="ROSANNA OCAMPO - SO-26-021"/>
    <s v="SO-26-021"/>
    <s v="ROSANNA OCAMPO"/>
    <s v="ROSANNA OCAMPO"/>
    <s v="ROCKWELL POWERPLANT"/>
    <s v="COD"/>
    <s v="2026-04-30"/>
    <s v="KASPERSKY ANTIVIRUS"/>
    <n v="1"/>
    <n v="935"/>
    <n v="1500"/>
    <n v="1500"/>
    <s v="JOANNE"/>
  </r>
  <r>
    <x v="313"/>
    <s v="RIVERO SAMSON TAN - SO-26-022"/>
    <s v="SO-26-022"/>
    <s v="RIVERO SAMSON TAN"/>
    <s v="ANSON SHOE PLAZA"/>
    <s v="GENERIC"/>
    <s v="50% DP, 50% 30 DAYS"/>
    <s v="2026-05-06"/>
    <s v="SOFTWARE UPGRADE"/>
    <n v="1"/>
    <n v="22000"/>
    <n v="22000"/>
    <n v="22000"/>
    <s v="MARITESS"/>
  </r>
  <r>
    <x v="313"/>
    <s v="RIVERO SAMSON TAN - SO-26-022"/>
    <s v="SO-26-022"/>
    <s v="RIVERO SAMSON TAN"/>
    <s v="ANSON SHOE PLAZA"/>
    <s v="GENERIC"/>
    <s v="50% DP, 50% 30 DAYS"/>
    <s v="2026-05-06"/>
    <s v="BIR REGISTRATION"/>
    <n v="1"/>
    <n v="500"/>
    <n v="500"/>
    <n v="500"/>
    <s v="MARITESS"/>
  </r>
  <r>
    <x v="313"/>
    <s v="RIVERO SAMSON TAN - SO-26-022"/>
    <s v="SO-26-022"/>
    <s v="RIVERO SAMSON TAN"/>
    <s v="ANSON SHOE PLAZA"/>
    <s v="GENERIC"/>
    <s v="50% DP, 50% 30 DAYS"/>
    <s v="2026-05-06"/>
    <s v="DESKTOP CPU I5, 8GB, KEYBOARD &amp; MOUSE"/>
    <n v="1"/>
    <n v="18700"/>
    <n v="27700"/>
    <n v="27700"/>
    <s v="MARITESS"/>
  </r>
  <r>
    <x v="313"/>
    <s v="RIVERO SAMSON TAN - SO-26-022"/>
    <s v="SO-26-022"/>
    <s v="RIVERO SAMSON TAN"/>
    <s v="ANSON SHOE PLAZA"/>
    <s v="GENERIC"/>
    <s v="50% DP, 50% 30 DAYS"/>
    <s v="2026-05-06"/>
    <s v="NVME M.2 500GB SSD"/>
    <n v="1"/>
    <n v="5100"/>
    <n v="7300"/>
    <n v="7300"/>
    <s v="MARITESS"/>
  </r>
  <r>
    <x v="313"/>
    <s v="RIVERO SAMSON TAN - SO-26-022"/>
    <s v="SO-26-022"/>
    <s v="RIVERO SAMSON TAN"/>
    <s v="ANSON SHOE PLAZA"/>
    <s v="GENERIC"/>
    <s v="50% DP, 50% 30 DAYS"/>
    <s v="2026-05-06"/>
    <s v="WINDOWS 11 PRO"/>
    <n v="1"/>
    <n v="2000"/>
    <n v="3000"/>
    <n v="3000"/>
    <s v="MARITESS"/>
  </r>
  <r>
    <x v="307"/>
    <s v="RAJO - SO-26-023"/>
    <s v="SO-26-023"/>
    <s v="RAJO"/>
    <s v="RAJO"/>
    <s v="ROCKWELL"/>
    <s v="COD"/>
    <s v="2026-05-12"/>
    <s v="PREVENTIVE MAINTENANCE MAY 12, 2026 - MAY 11, 2027"/>
    <n v="1"/>
    <n v="18000"/>
    <n v="18000"/>
    <n v="18000"/>
    <s v="JOAN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C28356-9EA5-449D-AEBC-DA10A217CDE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Total Amount" fld="1" baseField="0" baseItem="0"/>
    <dataField name="Distinct Count of Order ID" fld="2"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ies>
  <pivotTableStyleInfo name="PivotStyleMedium4"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consolidator_registry_2026-05-19.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85F4E5-4E27-43FD-A6A1-C7AF09C884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14">
    <pivotField axis="axisRow" showAll="0" measureFilter="1">
      <items count="315">
        <item x="185"/>
        <item x="66"/>
        <item x="52"/>
        <item x="265"/>
        <item x="308"/>
        <item x="309"/>
        <item x="243"/>
        <item x="244"/>
        <item x="242"/>
        <item x="264"/>
        <item x="241"/>
        <item x="229"/>
        <item x="238"/>
        <item x="225"/>
        <item x="224"/>
        <item x="226"/>
        <item x="310"/>
        <item x="0"/>
        <item x="180"/>
        <item x="123"/>
        <item x="273"/>
        <item x="48"/>
        <item x="89"/>
        <item x="120"/>
        <item x="295"/>
        <item x="153"/>
        <item x="116"/>
        <item x="135"/>
        <item x="76"/>
        <item x="280"/>
        <item x="155"/>
        <item x="297"/>
        <item x="292"/>
        <item x="99"/>
        <item x="62"/>
        <item x="172"/>
        <item x="209"/>
        <item x="220"/>
        <item x="234"/>
        <item x="311"/>
        <item x="11"/>
        <item x="83"/>
        <item x="67"/>
        <item x="105"/>
        <item x="184"/>
        <item x="73"/>
        <item x="285"/>
        <item x="246"/>
        <item x="145"/>
        <item x="29"/>
        <item x="24"/>
        <item x="106"/>
        <item x="181"/>
        <item x="149"/>
        <item x="16"/>
        <item x="12"/>
        <item x="279"/>
        <item x="294"/>
        <item x="200"/>
        <item x="17"/>
        <item x="165"/>
        <item x="87"/>
        <item x="2"/>
        <item x="108"/>
        <item x="43"/>
        <item x="64"/>
        <item x="112"/>
        <item x="125"/>
        <item x="131"/>
        <item x="156"/>
        <item x="158"/>
        <item x="22"/>
        <item x="107"/>
        <item x="50"/>
        <item x="1"/>
        <item x="281"/>
        <item x="293"/>
        <item x="70"/>
        <item x="45"/>
        <item x="46"/>
        <item x="53"/>
        <item x="137"/>
        <item x="10"/>
        <item x="20"/>
        <item x="176"/>
        <item x="9"/>
        <item x="140"/>
        <item x="114"/>
        <item x="272"/>
        <item x="175"/>
        <item x="82"/>
        <item x="178"/>
        <item x="58"/>
        <item x="74"/>
        <item x="162"/>
        <item x="63"/>
        <item x="174"/>
        <item x="41"/>
        <item x="199"/>
        <item x="287"/>
        <item x="269"/>
        <item x="124"/>
        <item x="55"/>
        <item x="147"/>
        <item x="267"/>
        <item x="186"/>
        <item x="130"/>
        <item x="187"/>
        <item x="144"/>
        <item x="259"/>
        <item x="250"/>
        <item x="13"/>
        <item x="167"/>
        <item x="94"/>
        <item x="251"/>
        <item x="262"/>
        <item x="92"/>
        <item x="132"/>
        <item x="257"/>
        <item x="54"/>
        <item x="42"/>
        <item x="202"/>
        <item x="296"/>
        <item x="36"/>
        <item x="3"/>
        <item x="31"/>
        <item x="286"/>
        <item x="182"/>
        <item x="275"/>
        <item x="208"/>
        <item x="35"/>
        <item x="303"/>
        <item x="291"/>
        <item x="253"/>
        <item x="188"/>
        <item x="189"/>
        <item x="190"/>
        <item x="23"/>
        <item x="128"/>
        <item x="93"/>
        <item x="268"/>
        <item x="69"/>
        <item x="61"/>
        <item x="97"/>
        <item x="289"/>
        <item x="201"/>
        <item x="150"/>
        <item x="205"/>
        <item x="240"/>
        <item x="78"/>
        <item x="113"/>
        <item x="217"/>
        <item x="299"/>
        <item x="80"/>
        <item x="38"/>
        <item x="221"/>
        <item x="117"/>
        <item x="14"/>
        <item x="26"/>
        <item x="191"/>
        <item x="192"/>
        <item x="239"/>
        <item x="302"/>
        <item x="254"/>
        <item x="249"/>
        <item x="8"/>
        <item x="115"/>
        <item x="227"/>
        <item x="56"/>
        <item x="47"/>
        <item x="166"/>
        <item x="168"/>
        <item x="177"/>
        <item x="276"/>
        <item x="204"/>
        <item x="151"/>
        <item x="111"/>
        <item x="169"/>
        <item x="218"/>
        <item x="274"/>
        <item x="27"/>
        <item x="211"/>
        <item x="207"/>
        <item x="21"/>
        <item x="163"/>
        <item x="193"/>
        <item x="33"/>
        <item x="104"/>
        <item x="75"/>
        <item x="305"/>
        <item x="157"/>
        <item x="160"/>
        <item x="159"/>
        <item x="288"/>
        <item x="30"/>
        <item x="223"/>
        <item x="152"/>
        <item x="141"/>
        <item x="235"/>
        <item x="236"/>
        <item x="282"/>
        <item x="248"/>
        <item x="91"/>
        <item x="81"/>
        <item x="170"/>
        <item x="59"/>
        <item x="49"/>
        <item x="133"/>
        <item x="247"/>
        <item x="312"/>
        <item x="90"/>
        <item x="37"/>
        <item x="98"/>
        <item x="32"/>
        <item x="28"/>
        <item x="85"/>
        <item x="290"/>
        <item x="110"/>
        <item x="40"/>
        <item x="148"/>
        <item x="233"/>
        <item x="231"/>
        <item x="232"/>
        <item x="7"/>
        <item x="57"/>
        <item x="15"/>
        <item x="109"/>
        <item x="154"/>
        <item x="146"/>
        <item x="139"/>
        <item x="307"/>
        <item x="216"/>
        <item x="298"/>
        <item x="34"/>
        <item x="210"/>
        <item x="313"/>
        <item x="194"/>
        <item x="60"/>
        <item x="161"/>
        <item x="179"/>
        <item x="127"/>
        <item x="206"/>
        <item x="6"/>
        <item x="4"/>
        <item x="103"/>
        <item x="102"/>
        <item x="19"/>
        <item x="72"/>
        <item x="143"/>
        <item x="138"/>
        <item x="164"/>
        <item x="65"/>
        <item x="71"/>
        <item x="51"/>
        <item x="270"/>
        <item x="122"/>
        <item x="271"/>
        <item x="252"/>
        <item x="100"/>
        <item x="119"/>
        <item x="118"/>
        <item x="39"/>
        <item x="171"/>
        <item x="68"/>
        <item x="256"/>
        <item x="215"/>
        <item x="228"/>
        <item x="277"/>
        <item x="18"/>
        <item x="195"/>
        <item x="196"/>
        <item x="134"/>
        <item x="197"/>
        <item x="300"/>
        <item x="278"/>
        <item x="5"/>
        <item x="237"/>
        <item x="44"/>
        <item x="173"/>
        <item x="301"/>
        <item x="96"/>
        <item x="129"/>
        <item x="258"/>
        <item x="255"/>
        <item x="183"/>
        <item x="136"/>
        <item x="283"/>
        <item x="213"/>
        <item x="214"/>
        <item x="203"/>
        <item x="219"/>
        <item x="284"/>
        <item x="95"/>
        <item x="126"/>
        <item x="266"/>
        <item x="101"/>
        <item x="304"/>
        <item x="79"/>
        <item x="77"/>
        <item x="121"/>
        <item x="198"/>
        <item x="86"/>
        <item x="84"/>
        <item x="25"/>
        <item x="260"/>
        <item x="212"/>
        <item x="230"/>
        <item x="245"/>
        <item x="261"/>
        <item x="306"/>
        <item x="222"/>
        <item x="263"/>
        <item x="142"/>
        <item x="88"/>
        <item t="default"/>
      </items>
    </pivotField>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11">
    <i>
      <x v="56"/>
    </i>
    <i>
      <x v="62"/>
    </i>
    <i>
      <x v="68"/>
    </i>
    <i>
      <x v="70"/>
    </i>
    <i>
      <x v="71"/>
    </i>
    <i>
      <x v="74"/>
    </i>
    <i>
      <x v="81"/>
    </i>
    <i>
      <x v="183"/>
    </i>
    <i>
      <x v="186"/>
    </i>
    <i>
      <x v="289"/>
    </i>
    <i t="grand">
      <x/>
    </i>
  </rowItems>
  <colFields count="1">
    <field x="-2"/>
  </colFields>
  <colItems count="2">
    <i>
      <x/>
    </i>
    <i i="1">
      <x v="1"/>
    </i>
  </colItems>
  <dataFields count="2">
    <dataField name="Sum of Total Amount" fld="12" baseField="0" baseItem="0"/>
    <dataField name="Count of Order ID" fld="1" subtotal="count" baseField="0" baseItem="56"/>
  </dataFields>
  <pivotTableStyleInfo name="PivotStyleMedium4"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5F6538-952F-4ED2-9F02-80DB2E1C3245}" name="Table5" displayName="Table5" ref="A1:N2442" totalsRowShown="0">
  <autoFilter ref="A1:N2442" xr:uid="{7F5F6538-952F-4ED2-9F02-80DB2E1C3245}"/>
  <tableColumns count="14">
    <tableColumn id="1" xr3:uid="{A0B0B60C-BB91-473B-836D-CF9F7BF5A796}" name="Client ID"/>
    <tableColumn id="2" xr3:uid="{C647DBAE-0DFC-44B4-92AD-773F29F6D2FB}" name="Order ID"/>
    <tableColumn id="3" xr3:uid="{C5E4A2DC-976A-48E2-89C1-861BDB2FEE48}" name="SO Number"/>
    <tableColumn id="4" xr3:uid="{924CB329-F197-44E4-96C5-7444E611FBAE}" name="Company Name"/>
    <tableColumn id="5" xr3:uid="{92425250-627A-4D49-A3AB-90E57E1A8B3C}" name="Store Name"/>
    <tableColumn id="6" xr3:uid="{5E742DAA-8D01-4BE4-8DF9-00C0B14CF0C3}" name="Store Branch / Address"/>
    <tableColumn id="7" xr3:uid="{1E48BBD3-7024-4090-869D-208E0CCC3FE5}" name="Terms of Payment"/>
    <tableColumn id="8" xr3:uid="{5A631FB7-B89C-4F9F-8AD6-9655A700452D}" name="Order Date"/>
    <tableColumn id="9" xr3:uid="{40319240-E5E0-439A-BC5F-841B255AD69F}" name="Description / Particulars"/>
    <tableColumn id="10" xr3:uid="{5C71DD46-1E8F-4ED4-9135-BBA8077B3797}" name="Qty"/>
    <tableColumn id="11" xr3:uid="{14B4D6B2-0F25-46BD-B56B-DB137BA1A84E}" name="Unit Cost"/>
    <tableColumn id="12" xr3:uid="{61AE3F3C-64FC-4019-8586-D1B362D637F4}" name="Selling Price"/>
    <tableColumn id="13" xr3:uid="{C102A14E-E55C-468E-B204-D1418CDF3B0D}" name="Total Amount"/>
    <tableColumn id="14" xr3:uid="{F5BD78C3-7223-4324-91B4-8D5B361DE528}" name="Staff compil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C2FF04-70C5-48F6-8482-91B126E54EDB}" name="Table3" displayName="Table3" ref="A1:N2473" totalsRowShown="0">
  <autoFilter ref="A1:N2473" xr:uid="{F7C2FF04-70C5-48F6-8482-91B126E54EDB}">
    <filterColumn colId="7">
      <filters>
        <filter val="202-03-26"/>
        <filter val="2024-01-14"/>
        <filter val="2024-01-23"/>
        <filter val="2025-01-01"/>
        <filter val="2025-01-06"/>
        <filter val="2025-01-07"/>
        <filter val="2025-01-08"/>
        <filter val="2025-01-09"/>
        <filter val="2025-01-10"/>
        <filter val="2025-01-13"/>
        <filter val="2025-01-14"/>
        <filter val="2025-01-15"/>
        <filter val="2025-01-17"/>
        <filter val="2025-01-20"/>
        <filter val="2025-01-22"/>
        <filter val="2025-01-23"/>
        <filter val="2025-01-24"/>
        <filter val="2025-01-27"/>
        <filter val="2025-01-28"/>
        <filter val="2025-01-30"/>
        <filter val="2025-02-03"/>
        <filter val="2025-02-04"/>
        <filter val="2025-02-05"/>
        <filter val="2025-02-06"/>
        <filter val="2025-02-07"/>
        <filter val="2025-02-10"/>
        <filter val="2025-02-11"/>
        <filter val="2025-02-12"/>
        <filter val="2025-02-13"/>
        <filter val="2025-02-14"/>
        <filter val="2025-02-19"/>
        <filter val="2025-02-20"/>
        <filter val="2025-02-21"/>
        <filter val="2025-02-24"/>
        <filter val="2025-02-25"/>
        <filter val="2025-02-27"/>
        <filter val="2025-03-03"/>
        <filter val="2025-03-04"/>
        <filter val="2025-03-11"/>
        <filter val="2025-03-12"/>
        <filter val="2025-03-13"/>
        <filter val="2025-03-14"/>
        <filter val="2025-03-17"/>
        <filter val="2025-03-20"/>
        <filter val="2025-03-24"/>
        <filter val="2025-03-26"/>
        <filter val="2025-03-31"/>
        <filter val="2025-04-03"/>
        <filter val="2025-04-04"/>
        <filter val="2025-04-06"/>
        <filter val="2025-04-08"/>
        <filter val="2025-04-15"/>
        <filter val="2025-04-16"/>
        <filter val="2025-04-21"/>
        <filter val="2025-04-22"/>
        <filter val="2025-04-24"/>
        <filter val="2025-04-25"/>
        <filter val="2025-04-29"/>
        <filter val="2025-04-30"/>
        <filter val="2025-05-02"/>
        <filter val="2025-05-05"/>
        <filter val="2025-05-06"/>
        <filter val="2025-05-07"/>
        <filter val="2025-05-08"/>
        <filter val="2025-05-09"/>
        <filter val="2025-05-13"/>
        <filter val="2025-05-15"/>
        <filter val="2025-05-16"/>
        <filter val="2025-05-20"/>
        <filter val="2025-05-22"/>
        <filter val="2025-05-26"/>
        <filter val="2025-05-27"/>
        <filter val="2025-05-28"/>
        <filter val="2025-05-29"/>
        <filter val="2025-06-02"/>
        <filter val="2025-06-03"/>
        <filter val="2025-06-04"/>
        <filter val="2025-06-05"/>
        <filter val="2025-06-09"/>
        <filter val="2025-06-10"/>
        <filter val="2025-06-11"/>
        <filter val="2025-06-13"/>
        <filter val="2025-06-16"/>
        <filter val="2025-06-17"/>
        <filter val="2025-06-18"/>
        <filter val="2025-06-19"/>
        <filter val="2025-06-20"/>
        <filter val="2025-06-23"/>
        <filter val="2025-06-25"/>
        <filter val="2025-06-26"/>
        <filter val="2025-06-27"/>
        <filter val="2025-07-01"/>
        <filter val="2025-07-03"/>
        <filter val="2025-07-04"/>
        <filter val="2025-07-07"/>
        <filter val="2025-07-08"/>
        <filter val="2025-07-10"/>
        <filter val="2025-07-11"/>
        <filter val="2025-07-14"/>
        <filter val="2025-07-15"/>
        <filter val="2025-07-16"/>
        <filter val="2025-07-17"/>
        <filter val="2025-07-18"/>
        <filter val="2025-07-24"/>
        <filter val="2025-07-28"/>
        <filter val="2025-07-30"/>
        <filter val="2025-07-31"/>
        <filter val="2025-08-01"/>
        <filter val="2025-08-04"/>
        <filter val="2025-08-06"/>
        <filter val="2025-08-07"/>
        <filter val="2025-08-11"/>
        <filter val="2025-08-12"/>
        <filter val="2025-08-13"/>
        <filter val="2025-08-14"/>
        <filter val="2025-08-18"/>
        <filter val="2025-08-19"/>
        <filter val="2025-08-20"/>
        <filter val="2025-08-22"/>
        <filter val="2025-08-26"/>
        <filter val="2025-08-27"/>
        <filter val="2025-08-28"/>
        <filter val="2025-09-01"/>
        <filter val="2025-09-02"/>
        <filter val="2025-09-04"/>
        <filter val="2025-09-05"/>
        <filter val="2025-09-08"/>
        <filter val="2025-09-09"/>
        <filter val="2025-09-10"/>
        <filter val="2025-09-11"/>
        <filter val="2025-09-15"/>
        <filter val="2025-09-16"/>
        <filter val="2025-09-17"/>
        <filter val="2025-09-18"/>
        <filter val="2025-09-22"/>
        <filter val="2025-09-24"/>
        <filter val="2025-09-25"/>
        <filter val="2025-09-29"/>
        <filter val="2025-09-30"/>
        <filter val="2025-10-01"/>
        <filter val="2025-10-02"/>
        <filter val="2025-10-03"/>
        <filter val="2025-10-06"/>
        <filter val="2025-10-08"/>
        <filter val="2025-10-09"/>
        <filter val="2025-10-10"/>
        <filter val="2025-10-13"/>
        <filter val="2025-10-14"/>
        <filter val="2025-10-15"/>
        <filter val="2025-10-16"/>
        <filter val="2025-10-17"/>
        <filter val="2025-10-20"/>
        <filter val="2025-10-21"/>
        <filter val="2025-10-23"/>
        <filter val="2025-10-24"/>
        <filter val="2025-10-27"/>
        <filter val="2025-10-28"/>
        <filter val="2025-10-29"/>
        <filter val="2025-11-01"/>
        <filter val="2025-11-05"/>
        <filter val="2025-11-06"/>
        <filter val="2025-11-07"/>
        <filter val="2025-11-11"/>
        <filter val="2025-11-12"/>
        <filter val="2025-11-13"/>
        <filter val="2025-11-17"/>
        <filter val="2025-11-20"/>
        <filter val="2025-11-21"/>
        <filter val="2025-11-25"/>
        <filter val="2025-11-26"/>
        <filter val="2025-12-01"/>
        <filter val="2025-12-02"/>
        <filter val="2025-12-03"/>
        <filter val="2025-12-04"/>
        <filter val="2025-12-05"/>
        <filter val="2025-12-10"/>
        <filter val="2025-12-11"/>
        <filter val="2025-12-12"/>
        <filter val="2025-12-15"/>
        <filter val="2025-12-17"/>
        <filter val="2025-12-18"/>
        <filter val="2025-12-22"/>
        <filter val="2025-12-23"/>
        <filter val="2026-01-05"/>
        <filter val="2026-01-08"/>
        <filter val="2026-01-09"/>
        <filter val="2026-01-13"/>
        <filter val="2026-01-14"/>
        <filter val="2026-01-15"/>
        <filter val="2026-01-16"/>
        <filter val="2026-01-19"/>
        <filter val="2026-01-20"/>
        <filter val="2026-01-21"/>
        <filter val="2026-01-26"/>
        <filter val="2026-01-27"/>
        <filter val="2026-01-29"/>
        <filter val="2026-02-02"/>
        <filter val="2026-02-03"/>
        <filter val="2026-02-04"/>
        <filter val="2026-02-05"/>
        <filter val="2026-02-09"/>
        <filter val="2026-02-11"/>
        <filter val="2026-02-12"/>
        <filter val="2026-02-13"/>
        <filter val="2026-02-16"/>
        <filter val="2026-02-18"/>
        <filter val="2026-02-19"/>
        <filter val="2026-02-20"/>
        <filter val="2026-02-23"/>
        <filter val="2026-02-24"/>
        <filter val="2026-02-25"/>
        <filter val="2026-03-02"/>
        <filter val="2026-03-03"/>
        <filter val="2026-03-04"/>
        <filter val="2026-03-09"/>
        <filter val="2026-03-10"/>
        <filter val="2026-03-13"/>
        <filter val="2026-03-17"/>
        <filter val="2026-03-19"/>
        <filter val="2026-03-23"/>
        <filter val="2026-03-24"/>
        <filter val="2026-03-25"/>
        <filter val="2026-03-26"/>
        <filter val="2026-03-31"/>
        <filter val="2026-04-01"/>
        <filter val="2026-04-06"/>
        <filter val="2026-04-10"/>
        <filter val="2026-04-14"/>
        <filter val="2026-04-16"/>
        <filter val="2026-04-20"/>
        <filter val="2026-04-22"/>
        <filter val="2026-04-24"/>
        <filter val="2026-04-29"/>
        <filter val="2026-04-30"/>
        <filter val="2026-05-02"/>
        <filter val="2026-05-04"/>
        <filter val="2026-05-05"/>
        <filter val="2026-05-06"/>
        <filter val="2026-05-07"/>
        <filter val="2026-05-08"/>
        <filter val="2026-05-11"/>
        <filter val="2026-05-12"/>
        <filter val="2026-05-13"/>
      </filters>
    </filterColumn>
  </autoFilter>
  <sortState xmlns:xlrd2="http://schemas.microsoft.com/office/spreadsheetml/2017/richdata2" ref="A2:N2473">
    <sortCondition ref="H1:H2473"/>
  </sortState>
  <tableColumns count="14">
    <tableColumn id="1" xr3:uid="{A4338A73-55DC-4638-8383-0386099FA880}" name="Client ID" dataDxfId="1">
      <calculatedColumnFormula>Table3[[#This Row],[Company Name]] &amp; " - " &amp; Table3[[#This Row],[Store Name]] &amp; " - " &amp; Table3[[#This Row],[Store Branch / Address]]</calculatedColumnFormula>
    </tableColumn>
    <tableColumn id="2" xr3:uid="{005E540D-DE1D-4BE8-8583-DEC716F844E7}" name="Order ID" dataDxfId="0">
      <calculatedColumnFormula>Table3[[#This Row],[Client ID]] &amp; " - " &amp; Table3[[#This Row],[SO Number]]</calculatedColumnFormula>
    </tableColumn>
    <tableColumn id="3" xr3:uid="{AA1FF398-EFD8-46B8-8C67-513DFBC0401C}" name="SO Number"/>
    <tableColumn id="4" xr3:uid="{D2B1B8B5-989C-46B4-A859-9584B8DF5AA6}" name="Company Name"/>
    <tableColumn id="5" xr3:uid="{F0B8538A-6528-4FD2-9BBC-74E6F36E00AF}" name="Store Name"/>
    <tableColumn id="6" xr3:uid="{87F4FDD0-686F-406D-839B-5DD0587FE2AF}" name="Store Branch / Address"/>
    <tableColumn id="7" xr3:uid="{F4326A9A-7511-4D7F-BFC7-07DF2B3BFAAF}" name="Terms of Payment"/>
    <tableColumn id="8" xr3:uid="{05524360-7BD1-40BA-93CC-660C9A614CC7}" name="Order Date"/>
    <tableColumn id="9" xr3:uid="{BA26BEE0-6A1A-490C-85D9-E376F972C959}" name="Description / Particulars"/>
    <tableColumn id="10" xr3:uid="{CCDC8E7D-0DAD-4281-9E07-F59DD7711E53}" name="Qty"/>
    <tableColumn id="11" xr3:uid="{81F5E902-EC3A-4325-BAF2-7AAB8D0DFF37}" name="Unit Cost"/>
    <tableColumn id="12" xr3:uid="{8ECA0B2F-A515-45C8-86F0-BADB45B67716}" name="Selling Price"/>
    <tableColumn id="13" xr3:uid="{161D83A3-627A-4598-80BD-D2C747A995C7}" name="Total Amount"/>
    <tableColumn id="14" xr3:uid="{ABC44951-30B3-4B62-99C7-76FBFF521BA8}" name="Staff compil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2BAE5-A575-4BB0-B5C5-FB417AA3CFD6}">
  <dimension ref="A1:N2442"/>
  <sheetViews>
    <sheetView tabSelected="1" topLeftCell="C1" zoomScale="115" zoomScaleNormal="115" workbookViewId="0">
      <selection activeCell="H2" sqref="H2:H7"/>
    </sheetView>
  </sheetViews>
  <sheetFormatPr defaultRowHeight="15.75" x14ac:dyDescent="0.25"/>
  <cols>
    <col min="1" max="1" width="89.25" bestFit="1" customWidth="1"/>
    <col min="2" max="2" width="60.75" bestFit="1" customWidth="1"/>
    <col min="3" max="3" width="13.875" customWidth="1"/>
    <col min="4" max="4" width="51.875" customWidth="1"/>
    <col min="5" max="5" width="35.875" customWidth="1"/>
    <col min="6" max="6" width="38.875" customWidth="1"/>
    <col min="7" max="7" width="207.875" customWidth="1"/>
    <col min="8" max="8" width="13.875" customWidth="1"/>
    <col min="9" max="9" width="319.875" customWidth="1"/>
    <col min="10" max="11" width="13.875" customWidth="1"/>
    <col min="12" max="12" width="16.875" customWidth="1"/>
    <col min="13" max="13" width="15.875" customWidth="1"/>
    <col min="14" max="14" width="17.875" customWidth="1"/>
  </cols>
  <sheetData>
    <row r="1" spans="1:14" x14ac:dyDescent="0.25">
      <c r="A1" t="s">
        <v>1423</v>
      </c>
      <c r="B1" t="s">
        <v>1424</v>
      </c>
      <c r="C1" t="s">
        <v>0</v>
      </c>
      <c r="D1" t="s">
        <v>1</v>
      </c>
      <c r="E1" t="s">
        <v>2</v>
      </c>
      <c r="F1" t="s">
        <v>3</v>
      </c>
      <c r="G1" t="s">
        <v>4</v>
      </c>
      <c r="H1" t="s">
        <v>5</v>
      </c>
      <c r="I1" t="s">
        <v>6</v>
      </c>
      <c r="J1" t="s">
        <v>7</v>
      </c>
      <c r="K1" t="s">
        <v>8</v>
      </c>
      <c r="L1" t="s">
        <v>9</v>
      </c>
      <c r="M1" t="s">
        <v>10</v>
      </c>
      <c r="N1" t="s">
        <v>11</v>
      </c>
    </row>
    <row r="2" spans="1:14" x14ac:dyDescent="0.25">
      <c r="A2" t="s">
        <v>1569</v>
      </c>
      <c r="B2" t="s">
        <v>1738</v>
      </c>
      <c r="C2" t="s">
        <v>12</v>
      </c>
      <c r="D2" t="s">
        <v>1005</v>
      </c>
      <c r="E2" t="s">
        <v>1006</v>
      </c>
      <c r="F2" t="s">
        <v>883</v>
      </c>
      <c r="G2" t="s">
        <v>1007</v>
      </c>
      <c r="H2" t="s">
        <v>1008</v>
      </c>
      <c r="I2" t="s">
        <v>1009</v>
      </c>
      <c r="J2">
        <v>1</v>
      </c>
      <c r="K2">
        <v>3675</v>
      </c>
      <c r="L2">
        <v>10500</v>
      </c>
      <c r="M2">
        <v>10500</v>
      </c>
      <c r="N2" t="s">
        <v>1010</v>
      </c>
    </row>
    <row r="3" spans="1:14" x14ac:dyDescent="0.25">
      <c r="A3" t="s">
        <v>1569</v>
      </c>
      <c r="B3" t="s">
        <v>1738</v>
      </c>
      <c r="C3" t="s">
        <v>12</v>
      </c>
      <c r="D3" t="s">
        <v>1005</v>
      </c>
      <c r="E3" t="s">
        <v>1006</v>
      </c>
      <c r="F3" t="s">
        <v>883</v>
      </c>
      <c r="G3" t="s">
        <v>1007</v>
      </c>
      <c r="H3" t="s">
        <v>1008</v>
      </c>
      <c r="I3" t="s">
        <v>1011</v>
      </c>
      <c r="J3">
        <v>1</v>
      </c>
      <c r="K3">
        <v>3850</v>
      </c>
      <c r="L3">
        <v>11000</v>
      </c>
      <c r="M3">
        <v>11000</v>
      </c>
      <c r="N3" t="s">
        <v>1010</v>
      </c>
    </row>
    <row r="4" spans="1:14" x14ac:dyDescent="0.25">
      <c r="A4" t="s">
        <v>1569</v>
      </c>
      <c r="B4" t="s">
        <v>1738</v>
      </c>
      <c r="C4" t="s">
        <v>12</v>
      </c>
      <c r="D4" t="s">
        <v>1005</v>
      </c>
      <c r="E4" t="s">
        <v>1006</v>
      </c>
      <c r="F4" t="s">
        <v>883</v>
      </c>
      <c r="G4" t="s">
        <v>1007</v>
      </c>
      <c r="H4" t="s">
        <v>1008</v>
      </c>
      <c r="I4" t="s">
        <v>24</v>
      </c>
      <c r="J4">
        <v>1</v>
      </c>
      <c r="K4">
        <v>4200</v>
      </c>
      <c r="L4">
        <v>12000</v>
      </c>
      <c r="M4">
        <v>12000</v>
      </c>
      <c r="N4" t="s">
        <v>1010</v>
      </c>
    </row>
    <row r="5" spans="1:14" x14ac:dyDescent="0.25">
      <c r="A5" t="s">
        <v>1569</v>
      </c>
      <c r="B5" t="s">
        <v>1738</v>
      </c>
      <c r="C5" t="s">
        <v>12</v>
      </c>
      <c r="D5" t="s">
        <v>1005</v>
      </c>
      <c r="E5" t="s">
        <v>1006</v>
      </c>
      <c r="F5" t="s">
        <v>883</v>
      </c>
      <c r="G5" t="s">
        <v>1007</v>
      </c>
      <c r="H5" t="s">
        <v>1008</v>
      </c>
      <c r="I5" t="s">
        <v>26</v>
      </c>
      <c r="J5">
        <v>1</v>
      </c>
      <c r="K5">
        <v>500</v>
      </c>
      <c r="L5">
        <v>500</v>
      </c>
      <c r="M5">
        <v>500</v>
      </c>
      <c r="N5" t="s">
        <v>1010</v>
      </c>
    </row>
    <row r="6" spans="1:14" x14ac:dyDescent="0.25">
      <c r="A6" t="s">
        <v>1569</v>
      </c>
      <c r="B6" t="s">
        <v>1738</v>
      </c>
      <c r="C6" t="s">
        <v>12</v>
      </c>
      <c r="D6" t="s">
        <v>1005</v>
      </c>
      <c r="E6" t="s">
        <v>1006</v>
      </c>
      <c r="F6" t="s">
        <v>883</v>
      </c>
      <c r="G6" t="s">
        <v>1007</v>
      </c>
      <c r="H6" t="s">
        <v>1008</v>
      </c>
      <c r="I6" t="s">
        <v>1012</v>
      </c>
      <c r="J6">
        <v>1</v>
      </c>
      <c r="K6">
        <v>21500</v>
      </c>
      <c r="L6">
        <v>32000</v>
      </c>
      <c r="M6">
        <v>32000</v>
      </c>
      <c r="N6" t="s">
        <v>1010</v>
      </c>
    </row>
    <row r="7" spans="1:14" x14ac:dyDescent="0.25">
      <c r="A7" t="s">
        <v>1569</v>
      </c>
      <c r="B7" t="s">
        <v>1738</v>
      </c>
      <c r="C7" t="s">
        <v>12</v>
      </c>
      <c r="D7" t="s">
        <v>1005</v>
      </c>
      <c r="E7" t="s">
        <v>1006</v>
      </c>
      <c r="F7" t="s">
        <v>883</v>
      </c>
      <c r="G7" t="s">
        <v>1007</v>
      </c>
      <c r="H7" t="s">
        <v>1008</v>
      </c>
      <c r="I7" t="s">
        <v>1013</v>
      </c>
      <c r="J7">
        <v>1</v>
      </c>
      <c r="K7">
        <v>2800</v>
      </c>
      <c r="L7">
        <v>4000</v>
      </c>
      <c r="M7">
        <v>4000</v>
      </c>
      <c r="N7" t="s">
        <v>1010</v>
      </c>
    </row>
    <row r="8" spans="1:14" x14ac:dyDescent="0.25">
      <c r="A8" t="s">
        <v>1569</v>
      </c>
      <c r="B8" t="s">
        <v>1738</v>
      </c>
      <c r="C8" t="s">
        <v>12</v>
      </c>
      <c r="D8" t="s">
        <v>1005</v>
      </c>
      <c r="E8" t="s">
        <v>1006</v>
      </c>
      <c r="F8" t="s">
        <v>883</v>
      </c>
      <c r="G8" t="s">
        <v>1007</v>
      </c>
      <c r="H8" t="s">
        <v>1008</v>
      </c>
      <c r="I8" t="s">
        <v>1014</v>
      </c>
      <c r="J8">
        <v>1</v>
      </c>
      <c r="K8">
        <v>935</v>
      </c>
      <c r="L8">
        <v>1500</v>
      </c>
      <c r="M8">
        <v>1500</v>
      </c>
      <c r="N8" t="s">
        <v>1010</v>
      </c>
    </row>
    <row r="9" spans="1:14" x14ac:dyDescent="0.25">
      <c r="A9" t="s">
        <v>1569</v>
      </c>
      <c r="B9" t="s">
        <v>1738</v>
      </c>
      <c r="C9" t="s">
        <v>12</v>
      </c>
      <c r="D9" t="s">
        <v>1005</v>
      </c>
      <c r="E9" t="s">
        <v>1006</v>
      </c>
      <c r="F9" t="s">
        <v>883</v>
      </c>
      <c r="G9" t="s">
        <v>1007</v>
      </c>
      <c r="H9" t="s">
        <v>1008</v>
      </c>
      <c r="I9" t="s">
        <v>1015</v>
      </c>
      <c r="J9">
        <v>1</v>
      </c>
      <c r="K9">
        <v>4250</v>
      </c>
      <c r="L9">
        <v>6500</v>
      </c>
      <c r="M9">
        <v>6500</v>
      </c>
      <c r="N9" t="s">
        <v>1010</v>
      </c>
    </row>
    <row r="10" spans="1:14" x14ac:dyDescent="0.25">
      <c r="A10" t="s">
        <v>1569</v>
      </c>
      <c r="B10" t="s">
        <v>1738</v>
      </c>
      <c r="C10" t="s">
        <v>12</v>
      </c>
      <c r="D10" t="s">
        <v>1005</v>
      </c>
      <c r="E10" t="s">
        <v>1006</v>
      </c>
      <c r="F10" t="s">
        <v>883</v>
      </c>
      <c r="G10" t="s">
        <v>1007</v>
      </c>
      <c r="H10" t="s">
        <v>1008</v>
      </c>
      <c r="I10" t="s">
        <v>1016</v>
      </c>
      <c r="J10">
        <v>1</v>
      </c>
      <c r="K10">
        <v>8500</v>
      </c>
      <c r="L10">
        <v>12500</v>
      </c>
      <c r="M10">
        <v>12500</v>
      </c>
      <c r="N10" t="s">
        <v>1010</v>
      </c>
    </row>
    <row r="11" spans="1:14" x14ac:dyDescent="0.25">
      <c r="A11" t="s">
        <v>1569</v>
      </c>
      <c r="B11" t="s">
        <v>1738</v>
      </c>
      <c r="C11" t="s">
        <v>12</v>
      </c>
      <c r="D11" t="s">
        <v>1005</v>
      </c>
      <c r="E11" t="s">
        <v>1006</v>
      </c>
      <c r="F11" t="s">
        <v>883</v>
      </c>
      <c r="G11" t="s">
        <v>1007</v>
      </c>
      <c r="H11" t="s">
        <v>1008</v>
      </c>
      <c r="I11" t="s">
        <v>97</v>
      </c>
      <c r="J11">
        <v>1</v>
      </c>
      <c r="K11">
        <v>2200</v>
      </c>
      <c r="L11">
        <v>3500</v>
      </c>
      <c r="M11">
        <v>3500</v>
      </c>
      <c r="N11" t="s">
        <v>1010</v>
      </c>
    </row>
    <row r="12" spans="1:14" x14ac:dyDescent="0.25">
      <c r="A12" t="s">
        <v>1569</v>
      </c>
      <c r="B12" t="s">
        <v>1738</v>
      </c>
      <c r="C12" t="s">
        <v>12</v>
      </c>
      <c r="D12" t="s">
        <v>1005</v>
      </c>
      <c r="E12" t="s">
        <v>1006</v>
      </c>
      <c r="F12" t="s">
        <v>883</v>
      </c>
      <c r="G12" t="s">
        <v>1007</v>
      </c>
      <c r="H12" t="s">
        <v>1008</v>
      </c>
      <c r="I12" t="s">
        <v>63</v>
      </c>
      <c r="J12">
        <v>1</v>
      </c>
      <c r="K12">
        <v>500</v>
      </c>
      <c r="L12">
        <v>500</v>
      </c>
      <c r="M12">
        <v>500</v>
      </c>
      <c r="N12" t="s">
        <v>1010</v>
      </c>
    </row>
    <row r="13" spans="1:14" x14ac:dyDescent="0.25">
      <c r="A13" t="s">
        <v>1441</v>
      </c>
      <c r="B13" t="s">
        <v>1739</v>
      </c>
      <c r="C13" t="s">
        <v>12</v>
      </c>
      <c r="D13" t="s">
        <v>13</v>
      </c>
      <c r="E13" t="s">
        <v>14</v>
      </c>
      <c r="F13" t="s">
        <v>15</v>
      </c>
      <c r="G13" t="s">
        <v>16</v>
      </c>
      <c r="H13" t="s">
        <v>17</v>
      </c>
      <c r="I13" t="s">
        <v>18</v>
      </c>
      <c r="J13">
        <v>3</v>
      </c>
      <c r="K13">
        <v>8500</v>
      </c>
      <c r="L13">
        <v>8500</v>
      </c>
      <c r="M13">
        <v>25500</v>
      </c>
      <c r="N13" t="s">
        <v>19</v>
      </c>
    </row>
    <row r="14" spans="1:14" x14ac:dyDescent="0.25">
      <c r="A14" t="s">
        <v>1498</v>
      </c>
      <c r="B14" t="s">
        <v>1740</v>
      </c>
      <c r="C14" t="s">
        <v>12</v>
      </c>
      <c r="D14" t="s">
        <v>20</v>
      </c>
      <c r="E14" t="s">
        <v>21</v>
      </c>
      <c r="F14" t="s">
        <v>15</v>
      </c>
      <c r="G14" t="s">
        <v>22</v>
      </c>
      <c r="H14" t="s">
        <v>17</v>
      </c>
      <c r="I14" t="s">
        <v>23</v>
      </c>
      <c r="J14">
        <v>1</v>
      </c>
      <c r="K14">
        <v>3675</v>
      </c>
      <c r="L14">
        <v>10500</v>
      </c>
      <c r="M14">
        <v>10500</v>
      </c>
      <c r="N14" t="s">
        <v>19</v>
      </c>
    </row>
    <row r="15" spans="1:14" x14ac:dyDescent="0.25">
      <c r="A15" t="s">
        <v>1498</v>
      </c>
      <c r="B15" t="s">
        <v>1740</v>
      </c>
      <c r="C15" t="s">
        <v>12</v>
      </c>
      <c r="D15" t="s">
        <v>20</v>
      </c>
      <c r="E15" t="s">
        <v>21</v>
      </c>
      <c r="F15" t="s">
        <v>15</v>
      </c>
      <c r="G15" t="s">
        <v>22</v>
      </c>
      <c r="H15" t="s">
        <v>17</v>
      </c>
      <c r="I15" t="s">
        <v>24</v>
      </c>
      <c r="J15">
        <v>1</v>
      </c>
      <c r="K15">
        <v>12000</v>
      </c>
      <c r="L15">
        <v>12000</v>
      </c>
      <c r="M15">
        <v>12000</v>
      </c>
      <c r="N15" t="s">
        <v>19</v>
      </c>
    </row>
    <row r="16" spans="1:14" x14ac:dyDescent="0.25">
      <c r="A16" t="s">
        <v>1423</v>
      </c>
      <c r="B16" t="s">
        <v>1741</v>
      </c>
      <c r="C16" t="s">
        <v>12</v>
      </c>
      <c r="D16" t="s">
        <v>20</v>
      </c>
      <c r="E16" t="s">
        <v>21</v>
      </c>
      <c r="F16" t="s">
        <v>15</v>
      </c>
      <c r="G16" t="s">
        <v>22</v>
      </c>
      <c r="H16" t="s">
        <v>17</v>
      </c>
      <c r="I16" t="s">
        <v>25</v>
      </c>
      <c r="J16">
        <v>1</v>
      </c>
      <c r="K16">
        <v>12000</v>
      </c>
      <c r="L16">
        <v>12000</v>
      </c>
      <c r="M16">
        <v>12000</v>
      </c>
      <c r="N16" t="s">
        <v>19</v>
      </c>
    </row>
    <row r="17" spans="1:14" x14ac:dyDescent="0.25">
      <c r="A17" t="s">
        <v>1498</v>
      </c>
      <c r="B17" t="s">
        <v>1740</v>
      </c>
      <c r="C17" t="s">
        <v>12</v>
      </c>
      <c r="D17" t="s">
        <v>20</v>
      </c>
      <c r="E17" t="s">
        <v>21</v>
      </c>
      <c r="F17" t="s">
        <v>15</v>
      </c>
      <c r="G17" t="s">
        <v>22</v>
      </c>
      <c r="H17" t="s">
        <v>17</v>
      </c>
      <c r="I17" t="s">
        <v>26</v>
      </c>
      <c r="J17">
        <v>1</v>
      </c>
      <c r="K17">
        <v>500</v>
      </c>
      <c r="L17">
        <v>0</v>
      </c>
      <c r="M17">
        <v>0</v>
      </c>
      <c r="N17" t="s">
        <v>19</v>
      </c>
    </row>
    <row r="18" spans="1:14" x14ac:dyDescent="0.25">
      <c r="A18" t="s">
        <v>1498</v>
      </c>
      <c r="B18" t="s">
        <v>1740</v>
      </c>
      <c r="C18" t="s">
        <v>12</v>
      </c>
      <c r="D18" t="s">
        <v>20</v>
      </c>
      <c r="E18" t="s">
        <v>21</v>
      </c>
      <c r="F18" t="s">
        <v>15</v>
      </c>
      <c r="G18" t="s">
        <v>22</v>
      </c>
      <c r="H18" t="s">
        <v>17</v>
      </c>
      <c r="I18" t="s">
        <v>27</v>
      </c>
      <c r="J18">
        <v>1</v>
      </c>
      <c r="K18">
        <v>10500</v>
      </c>
      <c r="L18">
        <v>0</v>
      </c>
      <c r="M18">
        <v>0</v>
      </c>
      <c r="N18" t="s">
        <v>19</v>
      </c>
    </row>
    <row r="19" spans="1:14" x14ac:dyDescent="0.25">
      <c r="A19" t="s">
        <v>1498</v>
      </c>
      <c r="B19" t="s">
        <v>1740</v>
      </c>
      <c r="C19" t="s">
        <v>12</v>
      </c>
      <c r="D19" t="s">
        <v>20</v>
      </c>
      <c r="E19" t="s">
        <v>21</v>
      </c>
      <c r="F19" t="s">
        <v>15</v>
      </c>
      <c r="G19" t="s">
        <v>22</v>
      </c>
      <c r="H19" t="s">
        <v>17</v>
      </c>
      <c r="I19" t="s">
        <v>28</v>
      </c>
      <c r="J19">
        <v>3</v>
      </c>
      <c r="K19">
        <v>10750</v>
      </c>
      <c r="L19">
        <v>49500</v>
      </c>
      <c r="M19">
        <v>148500</v>
      </c>
      <c r="N19" t="s">
        <v>19</v>
      </c>
    </row>
    <row r="20" spans="1:14" x14ac:dyDescent="0.25">
      <c r="A20" t="s">
        <v>1498</v>
      </c>
      <c r="B20" t="s">
        <v>1740</v>
      </c>
      <c r="C20" t="s">
        <v>12</v>
      </c>
      <c r="D20" t="s">
        <v>20</v>
      </c>
      <c r="E20" t="s">
        <v>21</v>
      </c>
      <c r="F20" t="s">
        <v>15</v>
      </c>
      <c r="G20" t="s">
        <v>22</v>
      </c>
      <c r="H20" t="s">
        <v>17</v>
      </c>
      <c r="I20" t="s">
        <v>29</v>
      </c>
      <c r="J20">
        <v>2</v>
      </c>
      <c r="K20">
        <v>8500</v>
      </c>
      <c r="L20">
        <v>0</v>
      </c>
      <c r="M20">
        <v>0</v>
      </c>
      <c r="N20" t="s">
        <v>19</v>
      </c>
    </row>
    <row r="21" spans="1:14" x14ac:dyDescent="0.25">
      <c r="A21" t="s">
        <v>1548</v>
      </c>
      <c r="B21" t="s">
        <v>1742</v>
      </c>
      <c r="C21" t="s">
        <v>30</v>
      </c>
      <c r="D21" t="s">
        <v>34</v>
      </c>
      <c r="E21" t="s">
        <v>35</v>
      </c>
      <c r="F21" t="s">
        <v>36</v>
      </c>
      <c r="G21" t="s">
        <v>37</v>
      </c>
      <c r="H21" t="s">
        <v>17</v>
      </c>
      <c r="I21" t="s">
        <v>38</v>
      </c>
      <c r="J21">
        <v>1</v>
      </c>
      <c r="K21">
        <v>8500</v>
      </c>
      <c r="L21">
        <v>12500</v>
      </c>
      <c r="M21">
        <v>12500</v>
      </c>
      <c r="N21" t="s">
        <v>39</v>
      </c>
    </row>
    <row r="22" spans="1:14" x14ac:dyDescent="0.25">
      <c r="A22" t="s">
        <v>1665</v>
      </c>
      <c r="B22" t="s">
        <v>1743</v>
      </c>
      <c r="C22" t="s">
        <v>40</v>
      </c>
      <c r="D22" t="s">
        <v>41</v>
      </c>
      <c r="E22" t="s">
        <v>42</v>
      </c>
      <c r="F22" t="s">
        <v>15</v>
      </c>
      <c r="G22" t="s">
        <v>37</v>
      </c>
      <c r="H22" t="s">
        <v>17</v>
      </c>
      <c r="I22" t="s">
        <v>43</v>
      </c>
      <c r="J22">
        <v>10</v>
      </c>
      <c r="K22">
        <v>70</v>
      </c>
      <c r="L22">
        <v>250</v>
      </c>
      <c r="M22">
        <v>2500</v>
      </c>
      <c r="N22" t="s">
        <v>19</v>
      </c>
    </row>
    <row r="23" spans="1:14" x14ac:dyDescent="0.25">
      <c r="A23" t="s">
        <v>1697</v>
      </c>
      <c r="B23" t="s">
        <v>1744</v>
      </c>
      <c r="C23" t="s">
        <v>44</v>
      </c>
      <c r="D23" t="s">
        <v>45</v>
      </c>
      <c r="E23" t="s">
        <v>46</v>
      </c>
      <c r="F23" t="s">
        <v>15</v>
      </c>
      <c r="G23" t="s">
        <v>22</v>
      </c>
      <c r="H23" t="s">
        <v>17</v>
      </c>
      <c r="I23" t="s">
        <v>47</v>
      </c>
      <c r="J23">
        <v>1</v>
      </c>
      <c r="K23">
        <v>2275</v>
      </c>
      <c r="L23">
        <v>6500</v>
      </c>
      <c r="M23">
        <v>6500</v>
      </c>
      <c r="N23" t="s">
        <v>19</v>
      </c>
    </row>
    <row r="24" spans="1:14" x14ac:dyDescent="0.25">
      <c r="A24" t="s">
        <v>1697</v>
      </c>
      <c r="B24" t="s">
        <v>1744</v>
      </c>
      <c r="C24" t="s">
        <v>44</v>
      </c>
      <c r="D24" t="s">
        <v>45</v>
      </c>
      <c r="E24" t="s">
        <v>46</v>
      </c>
      <c r="F24" t="s">
        <v>15</v>
      </c>
      <c r="G24" t="s">
        <v>22</v>
      </c>
      <c r="H24" t="s">
        <v>17</v>
      </c>
      <c r="I24" t="s">
        <v>48</v>
      </c>
      <c r="J24">
        <v>1</v>
      </c>
      <c r="K24">
        <v>2275</v>
      </c>
      <c r="L24">
        <v>6500</v>
      </c>
      <c r="M24">
        <v>6500</v>
      </c>
      <c r="N24" t="s">
        <v>19</v>
      </c>
    </row>
    <row r="25" spans="1:14" x14ac:dyDescent="0.25">
      <c r="A25" t="s">
        <v>1697</v>
      </c>
      <c r="B25" t="s">
        <v>1744</v>
      </c>
      <c r="C25" t="s">
        <v>44</v>
      </c>
      <c r="D25" t="s">
        <v>45</v>
      </c>
      <c r="E25" t="s">
        <v>46</v>
      </c>
      <c r="F25" t="s">
        <v>15</v>
      </c>
      <c r="G25" t="s">
        <v>22</v>
      </c>
      <c r="H25" t="s">
        <v>17</v>
      </c>
      <c r="I25" t="s">
        <v>49</v>
      </c>
      <c r="J25">
        <v>1</v>
      </c>
      <c r="K25">
        <v>2275</v>
      </c>
      <c r="L25">
        <v>6500</v>
      </c>
      <c r="M25">
        <v>6500</v>
      </c>
      <c r="N25" t="s">
        <v>19</v>
      </c>
    </row>
    <row r="26" spans="1:14" x14ac:dyDescent="0.25">
      <c r="A26" t="s">
        <v>1697</v>
      </c>
      <c r="B26" t="s">
        <v>1744</v>
      </c>
      <c r="C26" t="s">
        <v>44</v>
      </c>
      <c r="D26" t="s">
        <v>45</v>
      </c>
      <c r="E26" t="s">
        <v>46</v>
      </c>
      <c r="F26" t="s">
        <v>15</v>
      </c>
      <c r="G26" t="s">
        <v>22</v>
      </c>
      <c r="H26" t="s">
        <v>17</v>
      </c>
      <c r="I26" t="s">
        <v>50</v>
      </c>
      <c r="J26">
        <v>1</v>
      </c>
      <c r="K26">
        <v>500</v>
      </c>
      <c r="L26">
        <v>500</v>
      </c>
      <c r="M26">
        <v>500</v>
      </c>
      <c r="N26" t="s">
        <v>19</v>
      </c>
    </row>
    <row r="27" spans="1:14" x14ac:dyDescent="0.25">
      <c r="A27" t="s">
        <v>1545</v>
      </c>
      <c r="B27" t="s">
        <v>1745</v>
      </c>
      <c r="C27" t="s">
        <v>30</v>
      </c>
      <c r="D27" t="s">
        <v>1017</v>
      </c>
      <c r="E27" t="s">
        <v>1018</v>
      </c>
      <c r="F27" t="s">
        <v>1019</v>
      </c>
      <c r="G27" t="s">
        <v>1020</v>
      </c>
      <c r="H27" t="s">
        <v>17</v>
      </c>
      <c r="I27" t="s">
        <v>1009</v>
      </c>
      <c r="J27">
        <v>1</v>
      </c>
      <c r="K27">
        <v>3675</v>
      </c>
      <c r="L27">
        <v>10500</v>
      </c>
      <c r="M27">
        <v>10500</v>
      </c>
      <c r="N27" t="s">
        <v>1010</v>
      </c>
    </row>
    <row r="28" spans="1:14" x14ac:dyDescent="0.25">
      <c r="A28" t="s">
        <v>1545</v>
      </c>
      <c r="B28" t="s">
        <v>1745</v>
      </c>
      <c r="C28" t="s">
        <v>30</v>
      </c>
      <c r="D28" t="s">
        <v>1017</v>
      </c>
      <c r="E28" t="s">
        <v>1018</v>
      </c>
      <c r="F28" t="s">
        <v>1019</v>
      </c>
      <c r="G28" t="s">
        <v>1020</v>
      </c>
      <c r="H28" t="s">
        <v>17</v>
      </c>
      <c r="I28" t="s">
        <v>1011</v>
      </c>
      <c r="J28">
        <v>1</v>
      </c>
      <c r="K28">
        <v>3850</v>
      </c>
      <c r="L28">
        <v>11000</v>
      </c>
      <c r="M28">
        <v>11000</v>
      </c>
      <c r="N28" t="s">
        <v>1010</v>
      </c>
    </row>
    <row r="29" spans="1:14" x14ac:dyDescent="0.25">
      <c r="A29" t="s">
        <v>1545</v>
      </c>
      <c r="B29" t="s">
        <v>1745</v>
      </c>
      <c r="C29" t="s">
        <v>30</v>
      </c>
      <c r="D29" t="s">
        <v>1017</v>
      </c>
      <c r="E29" t="s">
        <v>1018</v>
      </c>
      <c r="F29" t="s">
        <v>1019</v>
      </c>
      <c r="G29" t="s">
        <v>1020</v>
      </c>
      <c r="H29" t="s">
        <v>17</v>
      </c>
      <c r="I29" t="s">
        <v>24</v>
      </c>
      <c r="J29">
        <v>1</v>
      </c>
      <c r="K29">
        <v>4200</v>
      </c>
      <c r="L29">
        <v>12000</v>
      </c>
      <c r="M29">
        <v>12000</v>
      </c>
      <c r="N29" t="s">
        <v>1010</v>
      </c>
    </row>
    <row r="30" spans="1:14" x14ac:dyDescent="0.25">
      <c r="A30" t="s">
        <v>1545</v>
      </c>
      <c r="B30" t="s">
        <v>1745</v>
      </c>
      <c r="C30" t="s">
        <v>30</v>
      </c>
      <c r="D30" t="s">
        <v>1017</v>
      </c>
      <c r="E30" t="s">
        <v>1018</v>
      </c>
      <c r="F30" t="s">
        <v>1019</v>
      </c>
      <c r="G30" t="s">
        <v>1020</v>
      </c>
      <c r="H30" t="s">
        <v>17</v>
      </c>
      <c r="I30" t="s">
        <v>26</v>
      </c>
      <c r="J30">
        <v>1</v>
      </c>
      <c r="K30">
        <v>500</v>
      </c>
      <c r="L30">
        <v>500</v>
      </c>
      <c r="M30">
        <v>500</v>
      </c>
      <c r="N30" t="s">
        <v>1010</v>
      </c>
    </row>
    <row r="31" spans="1:14" x14ac:dyDescent="0.25">
      <c r="A31" t="s">
        <v>1545</v>
      </c>
      <c r="B31" t="s">
        <v>1745</v>
      </c>
      <c r="C31" t="s">
        <v>30</v>
      </c>
      <c r="D31" t="s">
        <v>1017</v>
      </c>
      <c r="E31" t="s">
        <v>1018</v>
      </c>
      <c r="F31" t="s">
        <v>1019</v>
      </c>
      <c r="G31" t="s">
        <v>1020</v>
      </c>
      <c r="H31" t="s">
        <v>17</v>
      </c>
      <c r="I31" t="s">
        <v>1012</v>
      </c>
      <c r="J31">
        <v>1</v>
      </c>
      <c r="K31">
        <v>21500</v>
      </c>
      <c r="L31">
        <v>32500</v>
      </c>
      <c r="M31">
        <v>32500</v>
      </c>
      <c r="N31" t="s">
        <v>1010</v>
      </c>
    </row>
    <row r="32" spans="1:14" x14ac:dyDescent="0.25">
      <c r="A32" t="s">
        <v>1545</v>
      </c>
      <c r="B32" t="s">
        <v>1745</v>
      </c>
      <c r="C32" t="s">
        <v>30</v>
      </c>
      <c r="D32" t="s">
        <v>1017</v>
      </c>
      <c r="E32" t="s">
        <v>1018</v>
      </c>
      <c r="F32" t="s">
        <v>1019</v>
      </c>
      <c r="G32" t="s">
        <v>1020</v>
      </c>
      <c r="H32" t="s">
        <v>17</v>
      </c>
      <c r="I32" t="s">
        <v>1013</v>
      </c>
      <c r="J32">
        <v>1</v>
      </c>
      <c r="K32">
        <v>2800</v>
      </c>
      <c r="L32">
        <v>4000</v>
      </c>
      <c r="M32">
        <v>4000</v>
      </c>
      <c r="N32" t="s">
        <v>1010</v>
      </c>
    </row>
    <row r="33" spans="1:14" x14ac:dyDescent="0.25">
      <c r="A33" t="s">
        <v>1545</v>
      </c>
      <c r="B33" t="s">
        <v>1745</v>
      </c>
      <c r="C33" t="s">
        <v>30</v>
      </c>
      <c r="D33" t="s">
        <v>1017</v>
      </c>
      <c r="E33" t="s">
        <v>1018</v>
      </c>
      <c r="F33" t="s">
        <v>1019</v>
      </c>
      <c r="G33" t="s">
        <v>1020</v>
      </c>
      <c r="H33" t="s">
        <v>17</v>
      </c>
      <c r="I33" t="s">
        <v>1014</v>
      </c>
      <c r="J33">
        <v>1</v>
      </c>
      <c r="K33">
        <v>935</v>
      </c>
      <c r="L33">
        <v>1500</v>
      </c>
      <c r="M33">
        <v>1500</v>
      </c>
      <c r="N33" t="s">
        <v>1010</v>
      </c>
    </row>
    <row r="34" spans="1:14" x14ac:dyDescent="0.25">
      <c r="A34" t="s">
        <v>1545</v>
      </c>
      <c r="B34" t="s">
        <v>1745</v>
      </c>
      <c r="C34" t="s">
        <v>30</v>
      </c>
      <c r="D34" t="s">
        <v>1017</v>
      </c>
      <c r="E34" t="s">
        <v>1018</v>
      </c>
      <c r="F34" t="s">
        <v>1019</v>
      </c>
      <c r="G34" t="s">
        <v>1020</v>
      </c>
      <c r="H34" t="s">
        <v>17</v>
      </c>
      <c r="I34" t="s">
        <v>1021</v>
      </c>
      <c r="J34">
        <v>1</v>
      </c>
      <c r="K34">
        <v>2185</v>
      </c>
      <c r="L34">
        <v>3500</v>
      </c>
      <c r="M34">
        <v>3500</v>
      </c>
      <c r="N34" t="s">
        <v>1010</v>
      </c>
    </row>
    <row r="35" spans="1:14" x14ac:dyDescent="0.25">
      <c r="A35" t="s">
        <v>1545</v>
      </c>
      <c r="B35" t="s">
        <v>1745</v>
      </c>
      <c r="C35" t="s">
        <v>30</v>
      </c>
      <c r="D35" t="s">
        <v>1017</v>
      </c>
      <c r="E35" t="s">
        <v>1018</v>
      </c>
      <c r="F35" t="s">
        <v>1019</v>
      </c>
      <c r="G35" t="s">
        <v>1020</v>
      </c>
      <c r="H35" t="s">
        <v>17</v>
      </c>
      <c r="I35" t="s">
        <v>97</v>
      </c>
      <c r="J35">
        <v>1</v>
      </c>
      <c r="K35">
        <v>2200</v>
      </c>
      <c r="L35">
        <v>3500</v>
      </c>
      <c r="M35">
        <v>3500</v>
      </c>
      <c r="N35" t="s">
        <v>1010</v>
      </c>
    </row>
    <row r="36" spans="1:14" x14ac:dyDescent="0.25">
      <c r="A36" t="s">
        <v>1545</v>
      </c>
      <c r="B36" t="s">
        <v>1745</v>
      </c>
      <c r="C36" t="s">
        <v>30</v>
      </c>
      <c r="D36" t="s">
        <v>1017</v>
      </c>
      <c r="E36" t="s">
        <v>1018</v>
      </c>
      <c r="F36" t="s">
        <v>1019</v>
      </c>
      <c r="G36" t="s">
        <v>1020</v>
      </c>
      <c r="H36" t="s">
        <v>17</v>
      </c>
      <c r="I36" t="s">
        <v>63</v>
      </c>
      <c r="J36">
        <v>1</v>
      </c>
      <c r="K36">
        <v>500</v>
      </c>
      <c r="L36">
        <v>500</v>
      </c>
      <c r="M36">
        <v>500</v>
      </c>
      <c r="N36" t="s">
        <v>1010</v>
      </c>
    </row>
    <row r="37" spans="1:14" x14ac:dyDescent="0.25">
      <c r="A37" t="s">
        <v>1664</v>
      </c>
      <c r="B37" t="s">
        <v>1746</v>
      </c>
      <c r="C37" t="s">
        <v>51</v>
      </c>
      <c r="D37" t="s">
        <v>52</v>
      </c>
      <c r="E37" t="s">
        <v>53</v>
      </c>
      <c r="F37" t="s">
        <v>15</v>
      </c>
      <c r="G37" t="s">
        <v>22</v>
      </c>
      <c r="H37" t="s">
        <v>54</v>
      </c>
      <c r="I37" t="s">
        <v>55</v>
      </c>
      <c r="J37">
        <v>1</v>
      </c>
      <c r="K37">
        <v>1229</v>
      </c>
      <c r="L37">
        <v>2000</v>
      </c>
      <c r="M37">
        <v>2000</v>
      </c>
      <c r="N37" t="s">
        <v>19</v>
      </c>
    </row>
    <row r="38" spans="1:14" x14ac:dyDescent="0.25">
      <c r="A38" t="s">
        <v>1646</v>
      </c>
      <c r="B38" t="s">
        <v>1747</v>
      </c>
      <c r="C38" t="s">
        <v>56</v>
      </c>
      <c r="D38" t="s">
        <v>57</v>
      </c>
      <c r="E38" t="s">
        <v>58</v>
      </c>
      <c r="F38" t="s">
        <v>59</v>
      </c>
      <c r="G38" t="s">
        <v>16</v>
      </c>
      <c r="H38" t="s">
        <v>54</v>
      </c>
      <c r="I38" t="s">
        <v>60</v>
      </c>
      <c r="J38">
        <v>1</v>
      </c>
      <c r="K38">
        <v>10750</v>
      </c>
      <c r="L38">
        <v>16000</v>
      </c>
      <c r="M38">
        <v>16000</v>
      </c>
      <c r="N38" t="s">
        <v>39</v>
      </c>
    </row>
    <row r="39" spans="1:14" x14ac:dyDescent="0.25">
      <c r="A39" t="s">
        <v>1646</v>
      </c>
      <c r="B39" t="s">
        <v>1747</v>
      </c>
      <c r="C39" t="s">
        <v>56</v>
      </c>
      <c r="D39" t="s">
        <v>57</v>
      </c>
      <c r="E39" t="s">
        <v>58</v>
      </c>
      <c r="F39" t="s">
        <v>59</v>
      </c>
      <c r="G39" t="s">
        <v>16</v>
      </c>
      <c r="H39" t="s">
        <v>54</v>
      </c>
      <c r="I39" t="s">
        <v>61</v>
      </c>
      <c r="J39">
        <v>1</v>
      </c>
      <c r="K39">
        <v>7500</v>
      </c>
      <c r="L39">
        <v>11650</v>
      </c>
      <c r="M39">
        <v>11650</v>
      </c>
      <c r="N39" t="s">
        <v>39</v>
      </c>
    </row>
    <row r="40" spans="1:14" x14ac:dyDescent="0.25">
      <c r="A40" t="s">
        <v>1646</v>
      </c>
      <c r="B40" t="s">
        <v>1747</v>
      </c>
      <c r="C40" t="s">
        <v>56</v>
      </c>
      <c r="D40" t="s">
        <v>57</v>
      </c>
      <c r="E40" t="s">
        <v>58</v>
      </c>
      <c r="F40" t="s">
        <v>59</v>
      </c>
      <c r="G40" t="s">
        <v>16</v>
      </c>
      <c r="H40" t="s">
        <v>54</v>
      </c>
      <c r="I40" t="s">
        <v>62</v>
      </c>
      <c r="J40">
        <v>5</v>
      </c>
      <c r="K40">
        <v>47</v>
      </c>
      <c r="L40">
        <v>70</v>
      </c>
      <c r="M40">
        <v>350</v>
      </c>
      <c r="N40" t="s">
        <v>39</v>
      </c>
    </row>
    <row r="41" spans="1:14" x14ac:dyDescent="0.25">
      <c r="A41" t="s">
        <v>1646</v>
      </c>
      <c r="B41" t="s">
        <v>1747</v>
      </c>
      <c r="C41" t="s">
        <v>56</v>
      </c>
      <c r="D41" t="s">
        <v>57</v>
      </c>
      <c r="E41" t="s">
        <v>58</v>
      </c>
      <c r="F41" t="s">
        <v>59</v>
      </c>
      <c r="G41" t="s">
        <v>16</v>
      </c>
      <c r="H41" t="s">
        <v>54</v>
      </c>
      <c r="I41" t="s">
        <v>63</v>
      </c>
      <c r="J41">
        <v>1</v>
      </c>
      <c r="K41">
        <v>500</v>
      </c>
      <c r="L41">
        <v>500</v>
      </c>
      <c r="M41">
        <v>500</v>
      </c>
      <c r="N41" t="s">
        <v>39</v>
      </c>
    </row>
    <row r="42" spans="1:14" x14ac:dyDescent="0.25">
      <c r="A42" t="s">
        <v>1664</v>
      </c>
      <c r="B42" t="s">
        <v>1748</v>
      </c>
      <c r="C42" t="s">
        <v>64</v>
      </c>
      <c r="D42" t="s">
        <v>52</v>
      </c>
      <c r="E42" t="s">
        <v>53</v>
      </c>
      <c r="F42" t="s">
        <v>15</v>
      </c>
      <c r="G42" t="s">
        <v>22</v>
      </c>
      <c r="H42" t="s">
        <v>54</v>
      </c>
      <c r="I42" t="s">
        <v>65</v>
      </c>
      <c r="J42">
        <v>2</v>
      </c>
      <c r="K42">
        <v>70</v>
      </c>
      <c r="L42">
        <v>300</v>
      </c>
      <c r="M42">
        <v>600</v>
      </c>
      <c r="N42" t="s">
        <v>19</v>
      </c>
    </row>
    <row r="43" spans="1:14" x14ac:dyDescent="0.25">
      <c r="A43" t="s">
        <v>1711</v>
      </c>
      <c r="B43" t="s">
        <v>1749</v>
      </c>
      <c r="C43" t="s">
        <v>40</v>
      </c>
      <c r="D43" t="s">
        <v>1022</v>
      </c>
      <c r="E43" t="s">
        <v>1023</v>
      </c>
      <c r="F43" t="s">
        <v>15</v>
      </c>
      <c r="G43" t="s">
        <v>1024</v>
      </c>
      <c r="H43" t="s">
        <v>54</v>
      </c>
      <c r="I43" t="s">
        <v>47</v>
      </c>
      <c r="J43">
        <v>1</v>
      </c>
      <c r="K43">
        <v>3675</v>
      </c>
      <c r="L43">
        <v>10500</v>
      </c>
      <c r="M43">
        <v>10500</v>
      </c>
      <c r="N43" t="s">
        <v>19</v>
      </c>
    </row>
    <row r="44" spans="1:14" x14ac:dyDescent="0.25">
      <c r="A44" t="s">
        <v>1711</v>
      </c>
      <c r="B44" t="s">
        <v>1749</v>
      </c>
      <c r="C44" t="s">
        <v>40</v>
      </c>
      <c r="D44" t="s">
        <v>1022</v>
      </c>
      <c r="E44" t="s">
        <v>1023</v>
      </c>
      <c r="F44" t="s">
        <v>15</v>
      </c>
      <c r="G44" t="s">
        <v>1024</v>
      </c>
      <c r="H44" t="s">
        <v>54</v>
      </c>
      <c r="I44" t="s">
        <v>25</v>
      </c>
      <c r="J44">
        <v>1</v>
      </c>
      <c r="K44">
        <v>3325</v>
      </c>
      <c r="L44">
        <v>9500</v>
      </c>
      <c r="M44">
        <v>9500</v>
      </c>
      <c r="N44" t="s">
        <v>19</v>
      </c>
    </row>
    <row r="45" spans="1:14" x14ac:dyDescent="0.25">
      <c r="A45" t="s">
        <v>1711</v>
      </c>
      <c r="B45" t="s">
        <v>1749</v>
      </c>
      <c r="C45" t="s">
        <v>40</v>
      </c>
      <c r="D45" t="s">
        <v>1022</v>
      </c>
      <c r="E45" t="s">
        <v>1023</v>
      </c>
      <c r="F45" t="s">
        <v>15</v>
      </c>
      <c r="G45" t="s">
        <v>1024</v>
      </c>
      <c r="H45" t="s">
        <v>54</v>
      </c>
      <c r="I45" t="s">
        <v>24</v>
      </c>
      <c r="J45">
        <v>1</v>
      </c>
      <c r="K45">
        <v>3325</v>
      </c>
      <c r="L45">
        <v>9500</v>
      </c>
      <c r="M45">
        <v>9500</v>
      </c>
      <c r="N45" t="s">
        <v>19</v>
      </c>
    </row>
    <row r="46" spans="1:14" x14ac:dyDescent="0.25">
      <c r="A46" t="s">
        <v>1711</v>
      </c>
      <c r="B46" t="s">
        <v>1749</v>
      </c>
      <c r="C46" t="s">
        <v>40</v>
      </c>
      <c r="D46" t="s">
        <v>1022</v>
      </c>
      <c r="E46" t="s">
        <v>1023</v>
      </c>
      <c r="F46" t="s">
        <v>15</v>
      </c>
      <c r="G46" t="s">
        <v>1024</v>
      </c>
      <c r="H46" t="s">
        <v>54</v>
      </c>
      <c r="I46" t="s">
        <v>26</v>
      </c>
      <c r="J46">
        <v>1</v>
      </c>
      <c r="K46">
        <v>500</v>
      </c>
      <c r="L46">
        <v>500</v>
      </c>
      <c r="M46">
        <v>500</v>
      </c>
      <c r="N46" t="s">
        <v>19</v>
      </c>
    </row>
    <row r="47" spans="1:14" x14ac:dyDescent="0.25">
      <c r="A47" t="s">
        <v>1711</v>
      </c>
      <c r="B47" t="s">
        <v>1750</v>
      </c>
      <c r="C47" t="s">
        <v>44</v>
      </c>
      <c r="D47" t="s">
        <v>1022</v>
      </c>
      <c r="E47" t="s">
        <v>1023</v>
      </c>
      <c r="F47" t="s">
        <v>15</v>
      </c>
      <c r="G47" t="s">
        <v>1024</v>
      </c>
      <c r="H47" t="s">
        <v>54</v>
      </c>
      <c r="I47" t="s">
        <v>47</v>
      </c>
      <c r="J47">
        <v>1</v>
      </c>
      <c r="K47">
        <v>3675</v>
      </c>
      <c r="L47">
        <v>10500</v>
      </c>
      <c r="M47">
        <v>10500</v>
      </c>
      <c r="N47" t="s">
        <v>19</v>
      </c>
    </row>
    <row r="48" spans="1:14" x14ac:dyDescent="0.25">
      <c r="A48" t="s">
        <v>1711</v>
      </c>
      <c r="B48" t="s">
        <v>1750</v>
      </c>
      <c r="C48" t="s">
        <v>44</v>
      </c>
      <c r="D48" t="s">
        <v>1022</v>
      </c>
      <c r="E48" t="s">
        <v>1023</v>
      </c>
      <c r="F48" t="s">
        <v>15</v>
      </c>
      <c r="G48" t="s">
        <v>1024</v>
      </c>
      <c r="H48" t="s">
        <v>54</v>
      </c>
      <c r="I48" t="s">
        <v>25</v>
      </c>
      <c r="J48">
        <v>1</v>
      </c>
      <c r="K48">
        <v>3325</v>
      </c>
      <c r="L48">
        <v>9500</v>
      </c>
      <c r="M48">
        <v>9500</v>
      </c>
      <c r="N48" t="s">
        <v>19</v>
      </c>
    </row>
    <row r="49" spans="1:14" x14ac:dyDescent="0.25">
      <c r="A49" t="s">
        <v>1711</v>
      </c>
      <c r="B49" t="s">
        <v>1750</v>
      </c>
      <c r="C49" t="s">
        <v>44</v>
      </c>
      <c r="D49" t="s">
        <v>1022</v>
      </c>
      <c r="E49" t="s">
        <v>1023</v>
      </c>
      <c r="F49" t="s">
        <v>15</v>
      </c>
      <c r="G49" t="s">
        <v>1024</v>
      </c>
      <c r="H49" t="s">
        <v>54</v>
      </c>
      <c r="I49" t="s">
        <v>24</v>
      </c>
      <c r="J49">
        <v>1</v>
      </c>
      <c r="K49">
        <v>3325</v>
      </c>
      <c r="L49">
        <v>9500</v>
      </c>
      <c r="M49">
        <v>9500</v>
      </c>
      <c r="N49" t="s">
        <v>19</v>
      </c>
    </row>
    <row r="50" spans="1:14" x14ac:dyDescent="0.25">
      <c r="A50" t="s">
        <v>1711</v>
      </c>
      <c r="B50" t="s">
        <v>1750</v>
      </c>
      <c r="C50" t="s">
        <v>44</v>
      </c>
      <c r="D50" t="s">
        <v>1022</v>
      </c>
      <c r="E50" t="s">
        <v>1023</v>
      </c>
      <c r="F50" t="s">
        <v>15</v>
      </c>
      <c r="G50" t="s">
        <v>1024</v>
      </c>
      <c r="H50" t="s">
        <v>54</v>
      </c>
      <c r="I50" t="s">
        <v>26</v>
      </c>
      <c r="J50">
        <v>1</v>
      </c>
      <c r="K50">
        <v>500</v>
      </c>
      <c r="L50">
        <v>500</v>
      </c>
      <c r="M50">
        <v>500</v>
      </c>
      <c r="N50" t="s">
        <v>19</v>
      </c>
    </row>
    <row r="51" spans="1:14" x14ac:dyDescent="0.25">
      <c r="A51" t="s">
        <v>1711</v>
      </c>
      <c r="B51" t="s">
        <v>1751</v>
      </c>
      <c r="C51" t="s">
        <v>51</v>
      </c>
      <c r="D51" t="s">
        <v>1022</v>
      </c>
      <c r="E51" t="s">
        <v>1023</v>
      </c>
      <c r="F51" t="s">
        <v>15</v>
      </c>
      <c r="G51" t="s">
        <v>1024</v>
      </c>
      <c r="H51" t="s">
        <v>54</v>
      </c>
      <c r="I51" t="s">
        <v>47</v>
      </c>
      <c r="J51">
        <v>1</v>
      </c>
      <c r="K51">
        <v>3675</v>
      </c>
      <c r="L51">
        <v>10500</v>
      </c>
      <c r="M51">
        <v>10500</v>
      </c>
      <c r="N51" t="s">
        <v>19</v>
      </c>
    </row>
    <row r="52" spans="1:14" x14ac:dyDescent="0.25">
      <c r="A52" t="s">
        <v>1711</v>
      </c>
      <c r="B52" t="s">
        <v>1751</v>
      </c>
      <c r="C52" t="s">
        <v>51</v>
      </c>
      <c r="D52" t="s">
        <v>1022</v>
      </c>
      <c r="E52" t="s">
        <v>1023</v>
      </c>
      <c r="F52" t="s">
        <v>15</v>
      </c>
      <c r="G52" t="s">
        <v>1024</v>
      </c>
      <c r="H52" t="s">
        <v>54</v>
      </c>
      <c r="I52" t="s">
        <v>25</v>
      </c>
      <c r="J52">
        <v>1</v>
      </c>
      <c r="K52">
        <v>3325</v>
      </c>
      <c r="L52">
        <v>9500</v>
      </c>
      <c r="M52">
        <v>9500</v>
      </c>
      <c r="N52" t="s">
        <v>19</v>
      </c>
    </row>
    <row r="53" spans="1:14" x14ac:dyDescent="0.25">
      <c r="A53" t="s">
        <v>1711</v>
      </c>
      <c r="B53" t="s">
        <v>1751</v>
      </c>
      <c r="C53" t="s">
        <v>51</v>
      </c>
      <c r="D53" t="s">
        <v>1022</v>
      </c>
      <c r="E53" t="s">
        <v>1023</v>
      </c>
      <c r="F53" t="s">
        <v>15</v>
      </c>
      <c r="G53" t="s">
        <v>1024</v>
      </c>
      <c r="H53" t="s">
        <v>54</v>
      </c>
      <c r="I53" t="s">
        <v>24</v>
      </c>
      <c r="J53">
        <v>1</v>
      </c>
      <c r="K53">
        <v>3325</v>
      </c>
      <c r="L53">
        <v>9500</v>
      </c>
      <c r="M53">
        <v>9500</v>
      </c>
      <c r="N53" t="s">
        <v>19</v>
      </c>
    </row>
    <row r="54" spans="1:14" x14ac:dyDescent="0.25">
      <c r="A54" t="s">
        <v>1711</v>
      </c>
      <c r="B54" t="s">
        <v>1751</v>
      </c>
      <c r="C54" t="s">
        <v>51</v>
      </c>
      <c r="D54" t="s">
        <v>1022</v>
      </c>
      <c r="E54" t="s">
        <v>1023</v>
      </c>
      <c r="F54" t="s">
        <v>15</v>
      </c>
      <c r="G54" t="s">
        <v>1024</v>
      </c>
      <c r="H54" t="s">
        <v>54</v>
      </c>
      <c r="I54" t="s">
        <v>26</v>
      </c>
      <c r="J54">
        <v>1</v>
      </c>
      <c r="K54">
        <v>500</v>
      </c>
      <c r="L54">
        <v>500</v>
      </c>
      <c r="M54">
        <v>500</v>
      </c>
      <c r="N54" t="s">
        <v>19</v>
      </c>
    </row>
    <row r="55" spans="1:14" x14ac:dyDescent="0.25">
      <c r="A55" t="s">
        <v>1711</v>
      </c>
      <c r="B55" t="s">
        <v>1751</v>
      </c>
      <c r="C55" t="s">
        <v>51</v>
      </c>
      <c r="D55" t="s">
        <v>1022</v>
      </c>
      <c r="E55" t="s">
        <v>1023</v>
      </c>
      <c r="F55" t="s">
        <v>15</v>
      </c>
      <c r="G55" t="s">
        <v>1024</v>
      </c>
      <c r="H55" t="s">
        <v>54</v>
      </c>
      <c r="I55" t="s">
        <v>97</v>
      </c>
      <c r="J55">
        <v>2</v>
      </c>
      <c r="K55">
        <v>2200</v>
      </c>
      <c r="L55">
        <v>3500</v>
      </c>
      <c r="M55">
        <v>7000</v>
      </c>
      <c r="N55" t="s">
        <v>19</v>
      </c>
    </row>
    <row r="56" spans="1:14" x14ac:dyDescent="0.25">
      <c r="A56" t="s">
        <v>1711</v>
      </c>
      <c r="B56" t="s">
        <v>1751</v>
      </c>
      <c r="C56" t="s">
        <v>51</v>
      </c>
      <c r="D56" t="s">
        <v>1022</v>
      </c>
      <c r="E56" t="s">
        <v>1023</v>
      </c>
      <c r="F56" t="s">
        <v>15</v>
      </c>
      <c r="G56" t="s">
        <v>1024</v>
      </c>
      <c r="H56" t="s">
        <v>54</v>
      </c>
      <c r="I56" t="s">
        <v>127</v>
      </c>
      <c r="J56">
        <v>1</v>
      </c>
      <c r="K56">
        <v>6825</v>
      </c>
      <c r="L56">
        <v>19500</v>
      </c>
      <c r="M56">
        <v>19500</v>
      </c>
      <c r="N56" t="s">
        <v>19</v>
      </c>
    </row>
    <row r="57" spans="1:14" x14ac:dyDescent="0.25">
      <c r="A57" t="s">
        <v>1711</v>
      </c>
      <c r="B57" t="s">
        <v>1751</v>
      </c>
      <c r="C57" t="s">
        <v>51</v>
      </c>
      <c r="D57" t="s">
        <v>1022</v>
      </c>
      <c r="E57" t="s">
        <v>1023</v>
      </c>
      <c r="F57" t="s">
        <v>15</v>
      </c>
      <c r="G57" t="s">
        <v>1024</v>
      </c>
      <c r="H57" t="s">
        <v>54</v>
      </c>
      <c r="I57" t="s">
        <v>63</v>
      </c>
      <c r="J57">
        <v>1</v>
      </c>
      <c r="K57">
        <v>500</v>
      </c>
      <c r="L57">
        <v>500</v>
      </c>
      <c r="M57">
        <v>500</v>
      </c>
      <c r="N57" t="s">
        <v>19</v>
      </c>
    </row>
    <row r="58" spans="1:14" x14ac:dyDescent="0.25">
      <c r="A58" t="s">
        <v>1711</v>
      </c>
      <c r="B58" t="s">
        <v>1752</v>
      </c>
      <c r="C58" t="s">
        <v>56</v>
      </c>
      <c r="D58" t="s">
        <v>1022</v>
      </c>
      <c r="E58" t="s">
        <v>1023</v>
      </c>
      <c r="F58" t="s">
        <v>15</v>
      </c>
      <c r="G58" t="s">
        <v>1024</v>
      </c>
      <c r="H58" t="s">
        <v>54</v>
      </c>
      <c r="I58" t="s">
        <v>47</v>
      </c>
      <c r="J58">
        <v>1</v>
      </c>
      <c r="K58">
        <v>3675</v>
      </c>
      <c r="L58">
        <v>10500</v>
      </c>
      <c r="M58">
        <v>10500</v>
      </c>
      <c r="N58" t="s">
        <v>19</v>
      </c>
    </row>
    <row r="59" spans="1:14" x14ac:dyDescent="0.25">
      <c r="A59" t="s">
        <v>1711</v>
      </c>
      <c r="B59" t="s">
        <v>1752</v>
      </c>
      <c r="C59" t="s">
        <v>56</v>
      </c>
      <c r="D59" t="s">
        <v>1022</v>
      </c>
      <c r="E59" t="s">
        <v>1023</v>
      </c>
      <c r="F59" t="s">
        <v>15</v>
      </c>
      <c r="G59" t="s">
        <v>1024</v>
      </c>
      <c r="H59" t="s">
        <v>54</v>
      </c>
      <c r="I59" t="s">
        <v>25</v>
      </c>
      <c r="J59">
        <v>1</v>
      </c>
      <c r="K59">
        <v>3325</v>
      </c>
      <c r="L59">
        <v>9500</v>
      </c>
      <c r="M59">
        <v>9500</v>
      </c>
      <c r="N59" t="s">
        <v>19</v>
      </c>
    </row>
    <row r="60" spans="1:14" x14ac:dyDescent="0.25">
      <c r="A60" t="s">
        <v>1711</v>
      </c>
      <c r="B60" t="s">
        <v>1752</v>
      </c>
      <c r="C60" t="s">
        <v>56</v>
      </c>
      <c r="D60" t="s">
        <v>1022</v>
      </c>
      <c r="E60" t="s">
        <v>1023</v>
      </c>
      <c r="F60" t="s">
        <v>15</v>
      </c>
      <c r="G60" t="s">
        <v>1024</v>
      </c>
      <c r="H60" t="s">
        <v>54</v>
      </c>
      <c r="I60" t="s">
        <v>24</v>
      </c>
      <c r="J60">
        <v>1</v>
      </c>
      <c r="K60">
        <v>3325</v>
      </c>
      <c r="L60">
        <v>9500</v>
      </c>
      <c r="M60">
        <v>9500</v>
      </c>
      <c r="N60" t="s">
        <v>19</v>
      </c>
    </row>
    <row r="61" spans="1:14" x14ac:dyDescent="0.25">
      <c r="A61" t="s">
        <v>1711</v>
      </c>
      <c r="B61" t="s">
        <v>1752</v>
      </c>
      <c r="C61" t="s">
        <v>56</v>
      </c>
      <c r="D61" t="s">
        <v>1022</v>
      </c>
      <c r="E61" t="s">
        <v>1023</v>
      </c>
      <c r="F61" t="s">
        <v>15</v>
      </c>
      <c r="G61" t="s">
        <v>1024</v>
      </c>
      <c r="H61" t="s">
        <v>54</v>
      </c>
      <c r="I61" t="s">
        <v>26</v>
      </c>
      <c r="J61">
        <v>1</v>
      </c>
      <c r="K61">
        <v>500</v>
      </c>
      <c r="L61">
        <v>500</v>
      </c>
      <c r="M61">
        <v>500</v>
      </c>
      <c r="N61" t="s">
        <v>19</v>
      </c>
    </row>
    <row r="62" spans="1:14" x14ac:dyDescent="0.25">
      <c r="A62" t="s">
        <v>1711</v>
      </c>
      <c r="B62" t="s">
        <v>1752</v>
      </c>
      <c r="C62" t="s">
        <v>56</v>
      </c>
      <c r="D62" t="s">
        <v>1022</v>
      </c>
      <c r="E62" t="s">
        <v>1023</v>
      </c>
      <c r="F62" t="s">
        <v>15</v>
      </c>
      <c r="G62" t="s">
        <v>1024</v>
      </c>
      <c r="H62" t="s">
        <v>54</v>
      </c>
      <c r="I62" t="s">
        <v>97</v>
      </c>
      <c r="J62">
        <v>2</v>
      </c>
      <c r="K62">
        <v>2200</v>
      </c>
      <c r="L62">
        <v>3500</v>
      </c>
      <c r="M62">
        <v>7000</v>
      </c>
      <c r="N62" t="s">
        <v>19</v>
      </c>
    </row>
    <row r="63" spans="1:14" x14ac:dyDescent="0.25">
      <c r="A63" t="s">
        <v>1711</v>
      </c>
      <c r="B63" t="s">
        <v>1752</v>
      </c>
      <c r="C63" t="s">
        <v>56</v>
      </c>
      <c r="D63" t="s">
        <v>1022</v>
      </c>
      <c r="E63" t="s">
        <v>1023</v>
      </c>
      <c r="F63" t="s">
        <v>15</v>
      </c>
      <c r="G63" t="s">
        <v>1024</v>
      </c>
      <c r="H63" t="s">
        <v>54</v>
      </c>
      <c r="I63" t="s">
        <v>127</v>
      </c>
      <c r="J63">
        <v>1</v>
      </c>
      <c r="K63">
        <v>6825</v>
      </c>
      <c r="L63">
        <v>19500</v>
      </c>
      <c r="M63">
        <v>19500</v>
      </c>
      <c r="N63" t="s">
        <v>19</v>
      </c>
    </row>
    <row r="64" spans="1:14" x14ac:dyDescent="0.25">
      <c r="A64" t="s">
        <v>1711</v>
      </c>
      <c r="B64" t="s">
        <v>1752</v>
      </c>
      <c r="C64" t="s">
        <v>56</v>
      </c>
      <c r="D64" t="s">
        <v>1022</v>
      </c>
      <c r="E64" t="s">
        <v>1023</v>
      </c>
      <c r="F64" t="s">
        <v>15</v>
      </c>
      <c r="G64" t="s">
        <v>1024</v>
      </c>
      <c r="H64" t="s">
        <v>54</v>
      </c>
      <c r="I64" t="s">
        <v>63</v>
      </c>
      <c r="J64">
        <v>1</v>
      </c>
      <c r="K64">
        <v>500</v>
      </c>
      <c r="L64">
        <v>500</v>
      </c>
      <c r="M64">
        <v>500</v>
      </c>
      <c r="N64" t="s">
        <v>19</v>
      </c>
    </row>
    <row r="65" spans="1:14" x14ac:dyDescent="0.25">
      <c r="A65" t="s">
        <v>1486</v>
      </c>
      <c r="B65" t="s">
        <v>1753</v>
      </c>
      <c r="C65" t="s">
        <v>30</v>
      </c>
      <c r="D65" t="s">
        <v>20</v>
      </c>
      <c r="E65" t="s">
        <v>31</v>
      </c>
      <c r="F65" t="s">
        <v>15</v>
      </c>
      <c r="G65" t="s">
        <v>22</v>
      </c>
      <c r="H65" t="s">
        <v>32</v>
      </c>
      <c r="I65" t="s">
        <v>33</v>
      </c>
      <c r="J65">
        <v>1</v>
      </c>
      <c r="K65">
        <v>6500</v>
      </c>
      <c r="L65">
        <v>6500</v>
      </c>
      <c r="M65">
        <v>6500</v>
      </c>
      <c r="N65" t="s">
        <v>19</v>
      </c>
    </row>
    <row r="66" spans="1:14" x14ac:dyDescent="0.25">
      <c r="A66" t="s">
        <v>1486</v>
      </c>
      <c r="B66" t="s">
        <v>1754</v>
      </c>
      <c r="C66" t="s">
        <v>40</v>
      </c>
      <c r="D66" t="s">
        <v>20</v>
      </c>
      <c r="E66" t="s">
        <v>31</v>
      </c>
      <c r="F66" t="s">
        <v>15</v>
      </c>
      <c r="G66" t="s">
        <v>22</v>
      </c>
      <c r="H66" t="s">
        <v>32</v>
      </c>
      <c r="I66" t="s">
        <v>33</v>
      </c>
      <c r="J66">
        <v>3</v>
      </c>
      <c r="K66">
        <v>6500</v>
      </c>
      <c r="L66">
        <v>19500</v>
      </c>
      <c r="M66">
        <v>58500</v>
      </c>
      <c r="N66" t="s">
        <v>19</v>
      </c>
    </row>
    <row r="67" spans="1:14" x14ac:dyDescent="0.25">
      <c r="A67" t="s">
        <v>1486</v>
      </c>
      <c r="B67" t="s">
        <v>1755</v>
      </c>
      <c r="C67" t="s">
        <v>44</v>
      </c>
      <c r="D67" t="s">
        <v>20</v>
      </c>
      <c r="E67" t="s">
        <v>31</v>
      </c>
      <c r="F67" t="s">
        <v>15</v>
      </c>
      <c r="G67" t="s">
        <v>22</v>
      </c>
      <c r="H67" t="s">
        <v>32</v>
      </c>
      <c r="I67" t="s">
        <v>33</v>
      </c>
      <c r="J67">
        <v>2</v>
      </c>
      <c r="K67">
        <v>6500</v>
      </c>
      <c r="L67">
        <v>6500</v>
      </c>
      <c r="M67">
        <v>13000</v>
      </c>
      <c r="N67" t="s">
        <v>19</v>
      </c>
    </row>
    <row r="68" spans="1:14" x14ac:dyDescent="0.25">
      <c r="A68" t="s">
        <v>1486</v>
      </c>
      <c r="B68" t="s">
        <v>1756</v>
      </c>
      <c r="C68" t="s">
        <v>51</v>
      </c>
      <c r="D68" t="s">
        <v>20</v>
      </c>
      <c r="E68" t="s">
        <v>31</v>
      </c>
      <c r="F68" t="s">
        <v>15</v>
      </c>
      <c r="G68" t="s">
        <v>22</v>
      </c>
      <c r="H68" t="s">
        <v>32</v>
      </c>
      <c r="I68" t="s">
        <v>33</v>
      </c>
      <c r="J68">
        <v>2</v>
      </c>
      <c r="K68">
        <v>6500</v>
      </c>
      <c r="L68">
        <v>6500</v>
      </c>
      <c r="M68">
        <v>13000</v>
      </c>
      <c r="N68" t="s">
        <v>19</v>
      </c>
    </row>
    <row r="69" spans="1:14" x14ac:dyDescent="0.25">
      <c r="A69" t="s">
        <v>1486</v>
      </c>
      <c r="B69" t="s">
        <v>1757</v>
      </c>
      <c r="C69" t="s">
        <v>56</v>
      </c>
      <c r="D69" t="s">
        <v>20</v>
      </c>
      <c r="E69" t="s">
        <v>31</v>
      </c>
      <c r="F69" t="s">
        <v>15</v>
      </c>
      <c r="G69" t="s">
        <v>22</v>
      </c>
      <c r="H69" t="s">
        <v>32</v>
      </c>
      <c r="I69" t="s">
        <v>33</v>
      </c>
      <c r="J69">
        <v>1</v>
      </c>
      <c r="K69">
        <v>6500</v>
      </c>
      <c r="L69">
        <v>6500</v>
      </c>
      <c r="M69">
        <v>6500</v>
      </c>
      <c r="N69" t="s">
        <v>19</v>
      </c>
    </row>
    <row r="70" spans="1:14" x14ac:dyDescent="0.25">
      <c r="A70" t="s">
        <v>1486</v>
      </c>
      <c r="B70" t="s">
        <v>1758</v>
      </c>
      <c r="C70" t="s">
        <v>64</v>
      </c>
      <c r="D70" t="s">
        <v>20</v>
      </c>
      <c r="E70" t="s">
        <v>31</v>
      </c>
      <c r="F70" t="s">
        <v>15</v>
      </c>
      <c r="G70" t="s">
        <v>22</v>
      </c>
      <c r="H70" t="s">
        <v>32</v>
      </c>
      <c r="I70" t="s">
        <v>33</v>
      </c>
      <c r="J70">
        <v>1</v>
      </c>
      <c r="K70">
        <v>6500</v>
      </c>
      <c r="L70">
        <v>6500</v>
      </c>
      <c r="M70">
        <v>6500</v>
      </c>
      <c r="N70" t="s">
        <v>19</v>
      </c>
    </row>
    <row r="71" spans="1:14" x14ac:dyDescent="0.25">
      <c r="A71" t="s">
        <v>1589</v>
      </c>
      <c r="B71" t="s">
        <v>1759</v>
      </c>
      <c r="C71" t="s">
        <v>66</v>
      </c>
      <c r="D71" t="s">
        <v>67</v>
      </c>
      <c r="E71" t="s">
        <v>68</v>
      </c>
      <c r="F71" t="s">
        <v>15</v>
      </c>
      <c r="G71" t="s">
        <v>37</v>
      </c>
      <c r="H71" t="s">
        <v>69</v>
      </c>
      <c r="I71" t="s">
        <v>38</v>
      </c>
      <c r="J71">
        <v>1</v>
      </c>
      <c r="K71">
        <v>8500</v>
      </c>
      <c r="L71">
        <v>12500</v>
      </c>
      <c r="M71">
        <v>12500</v>
      </c>
      <c r="N71" t="s">
        <v>19</v>
      </c>
    </row>
    <row r="72" spans="1:14" x14ac:dyDescent="0.25">
      <c r="A72" t="s">
        <v>1509</v>
      </c>
      <c r="B72" t="s">
        <v>1760</v>
      </c>
      <c r="C72" t="s">
        <v>66</v>
      </c>
      <c r="D72" t="s">
        <v>20</v>
      </c>
      <c r="E72" t="s">
        <v>70</v>
      </c>
      <c r="F72" t="s">
        <v>15</v>
      </c>
      <c r="G72" t="s">
        <v>22</v>
      </c>
      <c r="H72" t="s">
        <v>69</v>
      </c>
      <c r="I72" t="s">
        <v>71</v>
      </c>
      <c r="J72">
        <v>1</v>
      </c>
      <c r="K72">
        <v>700</v>
      </c>
      <c r="L72">
        <v>1700</v>
      </c>
      <c r="M72">
        <v>1700</v>
      </c>
      <c r="N72" t="s">
        <v>19</v>
      </c>
    </row>
    <row r="73" spans="1:14" x14ac:dyDescent="0.25">
      <c r="A73" t="s">
        <v>1464</v>
      </c>
      <c r="B73" t="s">
        <v>1761</v>
      </c>
      <c r="C73" t="s">
        <v>72</v>
      </c>
      <c r="D73" t="s">
        <v>77</v>
      </c>
      <c r="E73" t="s">
        <v>78</v>
      </c>
      <c r="F73" t="s">
        <v>15</v>
      </c>
      <c r="G73" t="s">
        <v>37</v>
      </c>
      <c r="H73" t="s">
        <v>69</v>
      </c>
      <c r="I73" t="s">
        <v>79</v>
      </c>
      <c r="J73">
        <v>1</v>
      </c>
      <c r="K73">
        <v>10750</v>
      </c>
      <c r="L73">
        <v>15500</v>
      </c>
      <c r="M73">
        <v>15500</v>
      </c>
      <c r="N73" t="s">
        <v>19</v>
      </c>
    </row>
    <row r="74" spans="1:14" x14ac:dyDescent="0.25">
      <c r="A74" t="s">
        <v>1609</v>
      </c>
      <c r="B74" t="s">
        <v>1762</v>
      </c>
      <c r="C74" t="s">
        <v>578</v>
      </c>
      <c r="D74" t="s">
        <v>191</v>
      </c>
      <c r="E74" t="s">
        <v>192</v>
      </c>
      <c r="F74" t="s">
        <v>15</v>
      </c>
      <c r="G74" t="s">
        <v>22</v>
      </c>
      <c r="H74" t="s">
        <v>580</v>
      </c>
      <c r="I74" t="s">
        <v>392</v>
      </c>
      <c r="J74">
        <v>3</v>
      </c>
      <c r="K74">
        <v>3360</v>
      </c>
      <c r="L74">
        <v>5800</v>
      </c>
      <c r="M74">
        <v>17400</v>
      </c>
      <c r="N74" t="s">
        <v>19</v>
      </c>
    </row>
    <row r="75" spans="1:14" x14ac:dyDescent="0.25">
      <c r="A75" t="s">
        <v>1609</v>
      </c>
      <c r="B75" t="s">
        <v>1762</v>
      </c>
      <c r="C75" t="s">
        <v>578</v>
      </c>
      <c r="D75" t="s">
        <v>191</v>
      </c>
      <c r="E75" t="s">
        <v>192</v>
      </c>
      <c r="F75" t="s">
        <v>15</v>
      </c>
      <c r="G75" t="s">
        <v>22</v>
      </c>
      <c r="H75" t="s">
        <v>580</v>
      </c>
      <c r="I75" t="s">
        <v>581</v>
      </c>
      <c r="J75">
        <v>1</v>
      </c>
      <c r="K75">
        <v>9500</v>
      </c>
      <c r="L75">
        <v>13500</v>
      </c>
      <c r="M75">
        <v>13500</v>
      </c>
      <c r="N75" t="s">
        <v>19</v>
      </c>
    </row>
    <row r="76" spans="1:14" x14ac:dyDescent="0.25">
      <c r="A76" t="s">
        <v>1506</v>
      </c>
      <c r="B76" t="s">
        <v>1763</v>
      </c>
      <c r="C76" t="s">
        <v>72</v>
      </c>
      <c r="D76" t="s">
        <v>20</v>
      </c>
      <c r="E76" t="s">
        <v>73</v>
      </c>
      <c r="F76" t="s">
        <v>15</v>
      </c>
      <c r="G76" t="s">
        <v>22</v>
      </c>
      <c r="H76" t="s">
        <v>74</v>
      </c>
      <c r="I76" t="s">
        <v>75</v>
      </c>
      <c r="J76">
        <v>1</v>
      </c>
      <c r="K76">
        <v>10900</v>
      </c>
      <c r="L76">
        <v>15500</v>
      </c>
      <c r="M76">
        <v>15500</v>
      </c>
      <c r="N76" t="s">
        <v>19</v>
      </c>
    </row>
    <row r="77" spans="1:14" x14ac:dyDescent="0.25">
      <c r="A77" t="s">
        <v>1506</v>
      </c>
      <c r="B77" t="s">
        <v>1763</v>
      </c>
      <c r="C77" t="s">
        <v>72</v>
      </c>
      <c r="D77" t="s">
        <v>20</v>
      </c>
      <c r="E77" t="s">
        <v>73</v>
      </c>
      <c r="F77" t="s">
        <v>15</v>
      </c>
      <c r="G77" t="s">
        <v>22</v>
      </c>
      <c r="H77" t="s">
        <v>74</v>
      </c>
      <c r="I77" t="s">
        <v>76</v>
      </c>
      <c r="J77">
        <v>1</v>
      </c>
      <c r="K77">
        <v>500</v>
      </c>
      <c r="L77">
        <v>500</v>
      </c>
      <c r="M77">
        <v>500</v>
      </c>
      <c r="N77" t="s">
        <v>19</v>
      </c>
    </row>
    <row r="78" spans="1:14" x14ac:dyDescent="0.25">
      <c r="A78" t="s">
        <v>1479</v>
      </c>
      <c r="B78" t="s">
        <v>1764</v>
      </c>
      <c r="C78" t="s">
        <v>80</v>
      </c>
      <c r="D78" t="s">
        <v>20</v>
      </c>
      <c r="E78" t="s">
        <v>81</v>
      </c>
      <c r="F78" t="s">
        <v>15</v>
      </c>
      <c r="G78" t="s">
        <v>22</v>
      </c>
      <c r="H78" t="s">
        <v>74</v>
      </c>
      <c r="I78" t="s">
        <v>82</v>
      </c>
      <c r="J78">
        <v>1</v>
      </c>
      <c r="K78">
        <v>2250</v>
      </c>
      <c r="L78">
        <v>4200</v>
      </c>
      <c r="M78">
        <v>4200</v>
      </c>
      <c r="N78" t="s">
        <v>19</v>
      </c>
    </row>
    <row r="79" spans="1:14" x14ac:dyDescent="0.25">
      <c r="A79" t="s">
        <v>1479</v>
      </c>
      <c r="B79" t="s">
        <v>1764</v>
      </c>
      <c r="C79" t="s">
        <v>80</v>
      </c>
      <c r="D79" t="s">
        <v>20</v>
      </c>
      <c r="E79" t="s">
        <v>81</v>
      </c>
      <c r="F79" t="s">
        <v>15</v>
      </c>
      <c r="G79" t="s">
        <v>22</v>
      </c>
      <c r="H79" t="s">
        <v>74</v>
      </c>
      <c r="I79" t="s">
        <v>76</v>
      </c>
      <c r="J79">
        <v>1</v>
      </c>
      <c r="K79">
        <v>500</v>
      </c>
      <c r="L79">
        <v>500</v>
      </c>
      <c r="M79">
        <v>500</v>
      </c>
      <c r="N79" t="s">
        <v>19</v>
      </c>
    </row>
    <row r="80" spans="1:14" x14ac:dyDescent="0.25">
      <c r="A80" t="s">
        <v>1535</v>
      </c>
      <c r="B80" t="s">
        <v>1765</v>
      </c>
      <c r="C80" t="s">
        <v>80</v>
      </c>
      <c r="D80" t="s">
        <v>83</v>
      </c>
      <c r="E80" t="s">
        <v>84</v>
      </c>
      <c r="F80" t="s">
        <v>15</v>
      </c>
      <c r="G80" t="s">
        <v>37</v>
      </c>
      <c r="H80" t="s">
        <v>74</v>
      </c>
      <c r="I80" t="s">
        <v>85</v>
      </c>
      <c r="J80">
        <v>1</v>
      </c>
      <c r="K80">
        <v>1350</v>
      </c>
      <c r="L80">
        <v>2500</v>
      </c>
      <c r="M80">
        <v>2500</v>
      </c>
      <c r="N80" t="s">
        <v>19</v>
      </c>
    </row>
    <row r="81" spans="1:14" x14ac:dyDescent="0.25">
      <c r="A81" t="s">
        <v>1506</v>
      </c>
      <c r="B81" t="s">
        <v>1766</v>
      </c>
      <c r="C81" t="s">
        <v>443</v>
      </c>
      <c r="D81" t="s">
        <v>20</v>
      </c>
      <c r="E81" t="s">
        <v>73</v>
      </c>
      <c r="F81" t="s">
        <v>15</v>
      </c>
      <c r="G81" t="s">
        <v>22</v>
      </c>
      <c r="H81" t="s">
        <v>74</v>
      </c>
      <c r="I81" t="s">
        <v>75</v>
      </c>
      <c r="J81">
        <v>1</v>
      </c>
      <c r="K81">
        <v>10900</v>
      </c>
      <c r="L81">
        <v>15500</v>
      </c>
      <c r="M81">
        <v>15500</v>
      </c>
      <c r="N81" t="s">
        <v>19</v>
      </c>
    </row>
    <row r="82" spans="1:14" x14ac:dyDescent="0.25">
      <c r="A82" t="s">
        <v>1506</v>
      </c>
      <c r="B82" t="s">
        <v>1766</v>
      </c>
      <c r="C82" t="s">
        <v>443</v>
      </c>
      <c r="D82" t="s">
        <v>20</v>
      </c>
      <c r="E82" t="s">
        <v>73</v>
      </c>
      <c r="F82" t="s">
        <v>15</v>
      </c>
      <c r="G82" t="s">
        <v>22</v>
      </c>
      <c r="H82" t="s">
        <v>74</v>
      </c>
      <c r="I82" t="s">
        <v>76</v>
      </c>
      <c r="J82">
        <v>1</v>
      </c>
      <c r="K82">
        <v>500</v>
      </c>
      <c r="L82">
        <v>500</v>
      </c>
      <c r="M82">
        <v>500</v>
      </c>
      <c r="N82" t="s">
        <v>19</v>
      </c>
    </row>
    <row r="83" spans="1:14" x14ac:dyDescent="0.25">
      <c r="A83" t="s">
        <v>1571</v>
      </c>
      <c r="B83" t="s">
        <v>1767</v>
      </c>
      <c r="C83" t="s">
        <v>66</v>
      </c>
      <c r="D83" t="s">
        <v>1028</v>
      </c>
      <c r="E83" t="s">
        <v>1029</v>
      </c>
      <c r="F83" t="s">
        <v>1030</v>
      </c>
      <c r="G83" t="s">
        <v>1031</v>
      </c>
      <c r="H83" t="s">
        <v>74</v>
      </c>
      <c r="I83" t="s">
        <v>1009</v>
      </c>
      <c r="J83">
        <v>1</v>
      </c>
      <c r="K83">
        <v>3675</v>
      </c>
      <c r="L83">
        <v>10500</v>
      </c>
      <c r="M83">
        <v>10500</v>
      </c>
      <c r="N83" t="s">
        <v>1010</v>
      </c>
    </row>
    <row r="84" spans="1:14" x14ac:dyDescent="0.25">
      <c r="A84" t="s">
        <v>1571</v>
      </c>
      <c r="B84" t="s">
        <v>1767</v>
      </c>
      <c r="C84" t="s">
        <v>66</v>
      </c>
      <c r="D84" t="s">
        <v>1028</v>
      </c>
      <c r="E84" t="s">
        <v>1029</v>
      </c>
      <c r="F84" t="s">
        <v>1030</v>
      </c>
      <c r="G84" t="s">
        <v>1031</v>
      </c>
      <c r="H84" t="s">
        <v>74</v>
      </c>
      <c r="I84" t="s">
        <v>1011</v>
      </c>
      <c r="J84">
        <v>1</v>
      </c>
      <c r="K84">
        <v>4200</v>
      </c>
      <c r="L84">
        <v>11500</v>
      </c>
      <c r="M84">
        <v>11500</v>
      </c>
      <c r="N84" t="s">
        <v>1010</v>
      </c>
    </row>
    <row r="85" spans="1:14" x14ac:dyDescent="0.25">
      <c r="A85" t="s">
        <v>1571</v>
      </c>
      <c r="B85" t="s">
        <v>1767</v>
      </c>
      <c r="C85" t="s">
        <v>66</v>
      </c>
      <c r="D85" t="s">
        <v>1028</v>
      </c>
      <c r="E85" t="s">
        <v>1029</v>
      </c>
      <c r="F85" t="s">
        <v>1030</v>
      </c>
      <c r="G85" t="s">
        <v>1031</v>
      </c>
      <c r="H85" t="s">
        <v>74</v>
      </c>
      <c r="I85" t="s">
        <v>24</v>
      </c>
      <c r="J85">
        <v>1</v>
      </c>
      <c r="K85">
        <v>4200</v>
      </c>
      <c r="L85">
        <v>11500</v>
      </c>
      <c r="M85">
        <v>11500</v>
      </c>
      <c r="N85" t="s">
        <v>1010</v>
      </c>
    </row>
    <row r="86" spans="1:14" x14ac:dyDescent="0.25">
      <c r="A86" t="s">
        <v>1571</v>
      </c>
      <c r="B86" t="s">
        <v>1767</v>
      </c>
      <c r="C86" t="s">
        <v>66</v>
      </c>
      <c r="D86" t="s">
        <v>1028</v>
      </c>
      <c r="E86" t="s">
        <v>1029</v>
      </c>
      <c r="F86" t="s">
        <v>1030</v>
      </c>
      <c r="G86" t="s">
        <v>1031</v>
      </c>
      <c r="H86" t="s">
        <v>74</v>
      </c>
      <c r="I86" t="s">
        <v>26</v>
      </c>
      <c r="J86">
        <v>1</v>
      </c>
      <c r="K86">
        <v>500</v>
      </c>
      <c r="L86">
        <v>500</v>
      </c>
      <c r="M86">
        <v>500</v>
      </c>
      <c r="N86" t="s">
        <v>1010</v>
      </c>
    </row>
    <row r="87" spans="1:14" x14ac:dyDescent="0.25">
      <c r="A87" t="s">
        <v>1571</v>
      </c>
      <c r="B87" t="s">
        <v>1767</v>
      </c>
      <c r="C87" t="s">
        <v>66</v>
      </c>
      <c r="D87" t="s">
        <v>1028</v>
      </c>
      <c r="E87" t="s">
        <v>1029</v>
      </c>
      <c r="F87" t="s">
        <v>1030</v>
      </c>
      <c r="G87" t="s">
        <v>1031</v>
      </c>
      <c r="H87" t="s">
        <v>74</v>
      </c>
      <c r="I87" t="s">
        <v>331</v>
      </c>
      <c r="J87">
        <v>1</v>
      </c>
      <c r="K87">
        <v>3500</v>
      </c>
      <c r="L87">
        <v>5000</v>
      </c>
      <c r="M87">
        <v>5000</v>
      </c>
      <c r="N87" t="s">
        <v>1010</v>
      </c>
    </row>
    <row r="88" spans="1:14" x14ac:dyDescent="0.25">
      <c r="A88" t="s">
        <v>1571</v>
      </c>
      <c r="B88" t="s">
        <v>1767</v>
      </c>
      <c r="C88" t="s">
        <v>66</v>
      </c>
      <c r="D88" t="s">
        <v>1028</v>
      </c>
      <c r="E88" t="s">
        <v>1029</v>
      </c>
      <c r="F88" t="s">
        <v>1030</v>
      </c>
      <c r="G88" t="s">
        <v>1031</v>
      </c>
      <c r="H88" t="s">
        <v>74</v>
      </c>
      <c r="I88" t="s">
        <v>1032</v>
      </c>
      <c r="J88">
        <v>1</v>
      </c>
      <c r="K88">
        <v>23450</v>
      </c>
      <c r="L88">
        <v>32300</v>
      </c>
      <c r="M88">
        <v>32300</v>
      </c>
      <c r="N88" t="s">
        <v>1010</v>
      </c>
    </row>
    <row r="89" spans="1:14" x14ac:dyDescent="0.25">
      <c r="A89" t="s">
        <v>1571</v>
      </c>
      <c r="B89" t="s">
        <v>1767</v>
      </c>
      <c r="C89" t="s">
        <v>66</v>
      </c>
      <c r="D89" t="s">
        <v>1028</v>
      </c>
      <c r="E89" t="s">
        <v>1029</v>
      </c>
      <c r="F89" t="s">
        <v>1030</v>
      </c>
      <c r="G89" t="s">
        <v>1031</v>
      </c>
      <c r="H89" t="s">
        <v>74</v>
      </c>
      <c r="I89" t="s">
        <v>118</v>
      </c>
      <c r="J89">
        <v>1</v>
      </c>
      <c r="K89">
        <v>2300</v>
      </c>
      <c r="L89">
        <v>4000</v>
      </c>
      <c r="M89">
        <v>4000</v>
      </c>
      <c r="N89" t="s">
        <v>1010</v>
      </c>
    </row>
    <row r="90" spans="1:14" x14ac:dyDescent="0.25">
      <c r="A90" t="s">
        <v>1571</v>
      </c>
      <c r="B90" t="s">
        <v>1767</v>
      </c>
      <c r="C90" t="s">
        <v>66</v>
      </c>
      <c r="D90" t="s">
        <v>1028</v>
      </c>
      <c r="E90" t="s">
        <v>1029</v>
      </c>
      <c r="F90" t="s">
        <v>1030</v>
      </c>
      <c r="G90" t="s">
        <v>1031</v>
      </c>
      <c r="H90" t="s">
        <v>74</v>
      </c>
      <c r="I90" t="s">
        <v>189</v>
      </c>
      <c r="J90">
        <v>1</v>
      </c>
      <c r="K90">
        <v>530</v>
      </c>
      <c r="L90">
        <v>700</v>
      </c>
      <c r="M90">
        <v>700</v>
      </c>
      <c r="N90" t="s">
        <v>1010</v>
      </c>
    </row>
    <row r="91" spans="1:14" x14ac:dyDescent="0.25">
      <c r="A91" t="s">
        <v>1571</v>
      </c>
      <c r="B91" t="s">
        <v>1767</v>
      </c>
      <c r="C91" t="s">
        <v>66</v>
      </c>
      <c r="D91" t="s">
        <v>1028</v>
      </c>
      <c r="E91" t="s">
        <v>1029</v>
      </c>
      <c r="F91" t="s">
        <v>1030</v>
      </c>
      <c r="G91" t="s">
        <v>1031</v>
      </c>
      <c r="H91" t="s">
        <v>74</v>
      </c>
      <c r="I91" t="s">
        <v>1033</v>
      </c>
      <c r="J91">
        <v>1</v>
      </c>
      <c r="K91">
        <v>350</v>
      </c>
      <c r="L91">
        <v>500</v>
      </c>
      <c r="M91">
        <v>500</v>
      </c>
      <c r="N91" t="s">
        <v>1010</v>
      </c>
    </row>
    <row r="92" spans="1:14" x14ac:dyDescent="0.25">
      <c r="A92" t="s">
        <v>1571</v>
      </c>
      <c r="B92" t="s">
        <v>1767</v>
      </c>
      <c r="C92" t="s">
        <v>66</v>
      </c>
      <c r="D92" t="s">
        <v>1028</v>
      </c>
      <c r="E92" t="s">
        <v>1029</v>
      </c>
      <c r="F92" t="s">
        <v>1030</v>
      </c>
      <c r="G92" t="s">
        <v>1031</v>
      </c>
      <c r="H92" t="s">
        <v>74</v>
      </c>
      <c r="I92" t="s">
        <v>1014</v>
      </c>
      <c r="J92">
        <v>1</v>
      </c>
      <c r="K92">
        <v>935</v>
      </c>
      <c r="L92">
        <v>1500</v>
      </c>
      <c r="M92">
        <v>1500</v>
      </c>
      <c r="N92" t="s">
        <v>1010</v>
      </c>
    </row>
    <row r="93" spans="1:14" x14ac:dyDescent="0.25">
      <c r="A93" t="s">
        <v>1571</v>
      </c>
      <c r="B93" t="s">
        <v>1767</v>
      </c>
      <c r="C93" t="s">
        <v>66</v>
      </c>
      <c r="D93" t="s">
        <v>1028</v>
      </c>
      <c r="E93" t="s">
        <v>1029</v>
      </c>
      <c r="F93" t="s">
        <v>1030</v>
      </c>
      <c r="G93" t="s">
        <v>1031</v>
      </c>
      <c r="H93" t="s">
        <v>74</v>
      </c>
      <c r="I93" t="s">
        <v>63</v>
      </c>
      <c r="J93">
        <v>1</v>
      </c>
      <c r="K93">
        <v>500</v>
      </c>
      <c r="L93">
        <v>500</v>
      </c>
      <c r="M93">
        <v>500</v>
      </c>
      <c r="N93" t="s">
        <v>1010</v>
      </c>
    </row>
    <row r="94" spans="1:14" x14ac:dyDescent="0.25">
      <c r="A94" t="s">
        <v>1648</v>
      </c>
      <c r="B94" t="s">
        <v>1768</v>
      </c>
      <c r="C94" t="s">
        <v>100</v>
      </c>
      <c r="D94" t="s">
        <v>57</v>
      </c>
      <c r="E94" t="s">
        <v>58</v>
      </c>
      <c r="F94" t="s">
        <v>101</v>
      </c>
      <c r="G94" t="s">
        <v>37</v>
      </c>
      <c r="H94" t="s">
        <v>102</v>
      </c>
      <c r="I94" t="s">
        <v>55</v>
      </c>
      <c r="J94">
        <v>1</v>
      </c>
      <c r="K94">
        <v>1200</v>
      </c>
      <c r="L94">
        <v>2000</v>
      </c>
      <c r="M94">
        <v>2000</v>
      </c>
      <c r="N94" t="s">
        <v>39</v>
      </c>
    </row>
    <row r="95" spans="1:14" x14ac:dyDescent="0.25">
      <c r="A95" t="s">
        <v>1566</v>
      </c>
      <c r="B95" t="s">
        <v>1769</v>
      </c>
      <c r="C95" t="s">
        <v>304</v>
      </c>
      <c r="D95" t="s">
        <v>305</v>
      </c>
      <c r="E95" t="s">
        <v>306</v>
      </c>
      <c r="F95" t="s">
        <v>307</v>
      </c>
      <c r="G95" t="s">
        <v>37</v>
      </c>
      <c r="H95" t="s">
        <v>102</v>
      </c>
      <c r="I95" t="s">
        <v>308</v>
      </c>
      <c r="J95">
        <v>1</v>
      </c>
      <c r="K95">
        <v>1200</v>
      </c>
      <c r="L95">
        <v>2000</v>
      </c>
      <c r="M95">
        <v>2000</v>
      </c>
      <c r="N95" t="s">
        <v>39</v>
      </c>
    </row>
    <row r="96" spans="1:14" x14ac:dyDescent="0.25">
      <c r="A96" t="s">
        <v>1663</v>
      </c>
      <c r="B96" t="s">
        <v>1770</v>
      </c>
      <c r="C96" t="s">
        <v>72</v>
      </c>
      <c r="D96" t="s">
        <v>1034</v>
      </c>
      <c r="E96" t="s">
        <v>1034</v>
      </c>
      <c r="F96" t="s">
        <v>1035</v>
      </c>
      <c r="G96" t="s">
        <v>37</v>
      </c>
      <c r="H96" t="s">
        <v>1036</v>
      </c>
      <c r="I96" t="s">
        <v>501</v>
      </c>
      <c r="J96">
        <v>2</v>
      </c>
      <c r="K96">
        <v>70</v>
      </c>
      <c r="L96">
        <v>250</v>
      </c>
      <c r="M96">
        <v>500</v>
      </c>
      <c r="N96" t="s">
        <v>1010</v>
      </c>
    </row>
    <row r="97" spans="1:14" x14ac:dyDescent="0.25">
      <c r="A97" t="s">
        <v>1690</v>
      </c>
      <c r="B97" t="s">
        <v>1771</v>
      </c>
      <c r="C97" t="s">
        <v>104</v>
      </c>
      <c r="D97" t="s">
        <v>107</v>
      </c>
      <c r="E97" t="s">
        <v>108</v>
      </c>
      <c r="F97" t="s">
        <v>15</v>
      </c>
      <c r="G97" t="s">
        <v>16</v>
      </c>
      <c r="H97" t="s">
        <v>109</v>
      </c>
      <c r="I97" t="s">
        <v>110</v>
      </c>
      <c r="J97">
        <v>2</v>
      </c>
      <c r="K97">
        <v>5075</v>
      </c>
      <c r="L97">
        <v>17500</v>
      </c>
      <c r="M97">
        <v>35000</v>
      </c>
      <c r="N97" t="s">
        <v>19</v>
      </c>
    </row>
    <row r="98" spans="1:14" x14ac:dyDescent="0.25">
      <c r="A98" t="s">
        <v>1690</v>
      </c>
      <c r="B98" t="s">
        <v>1771</v>
      </c>
      <c r="C98" t="s">
        <v>104</v>
      </c>
      <c r="D98" t="s">
        <v>107</v>
      </c>
      <c r="E98" t="s">
        <v>108</v>
      </c>
      <c r="F98" t="s">
        <v>15</v>
      </c>
      <c r="G98" t="s">
        <v>16</v>
      </c>
      <c r="H98" t="s">
        <v>109</v>
      </c>
      <c r="I98" t="s">
        <v>26</v>
      </c>
      <c r="J98">
        <v>2</v>
      </c>
      <c r="K98">
        <v>500</v>
      </c>
      <c r="L98">
        <v>500</v>
      </c>
      <c r="M98">
        <v>1000</v>
      </c>
      <c r="N98" t="s">
        <v>19</v>
      </c>
    </row>
    <row r="99" spans="1:14" x14ac:dyDescent="0.25">
      <c r="A99" t="s">
        <v>1498</v>
      </c>
      <c r="B99" t="s">
        <v>1772</v>
      </c>
      <c r="C99" t="s">
        <v>86</v>
      </c>
      <c r="D99" t="s">
        <v>20</v>
      </c>
      <c r="E99" t="s">
        <v>21</v>
      </c>
      <c r="F99" t="s">
        <v>15</v>
      </c>
      <c r="G99" t="s">
        <v>22</v>
      </c>
      <c r="H99" t="s">
        <v>90</v>
      </c>
      <c r="I99" t="s">
        <v>91</v>
      </c>
      <c r="J99">
        <v>2</v>
      </c>
      <c r="K99">
        <v>3675</v>
      </c>
      <c r="L99">
        <v>10500</v>
      </c>
      <c r="M99">
        <v>21000</v>
      </c>
      <c r="N99" t="s">
        <v>19</v>
      </c>
    </row>
    <row r="100" spans="1:14" x14ac:dyDescent="0.25">
      <c r="A100" t="s">
        <v>1498</v>
      </c>
      <c r="B100" t="s">
        <v>1772</v>
      </c>
      <c r="C100" t="s">
        <v>86</v>
      </c>
      <c r="D100" t="s">
        <v>20</v>
      </c>
      <c r="E100" t="s">
        <v>21</v>
      </c>
      <c r="F100" t="s">
        <v>15</v>
      </c>
      <c r="G100" t="s">
        <v>22</v>
      </c>
      <c r="H100" t="s">
        <v>90</v>
      </c>
      <c r="I100" t="s">
        <v>92</v>
      </c>
      <c r="J100">
        <v>2</v>
      </c>
      <c r="K100">
        <v>11000</v>
      </c>
      <c r="L100">
        <v>11000</v>
      </c>
      <c r="M100">
        <v>22000</v>
      </c>
      <c r="N100" t="s">
        <v>19</v>
      </c>
    </row>
    <row r="101" spans="1:14" x14ac:dyDescent="0.25">
      <c r="A101" t="s">
        <v>1498</v>
      </c>
      <c r="B101" t="s">
        <v>1772</v>
      </c>
      <c r="C101" t="s">
        <v>86</v>
      </c>
      <c r="D101" t="s">
        <v>20</v>
      </c>
      <c r="E101" t="s">
        <v>21</v>
      </c>
      <c r="F101" t="s">
        <v>15</v>
      </c>
      <c r="G101" t="s">
        <v>22</v>
      </c>
      <c r="H101" t="s">
        <v>90</v>
      </c>
      <c r="I101" t="s">
        <v>24</v>
      </c>
      <c r="J101">
        <v>2</v>
      </c>
      <c r="K101">
        <v>11000</v>
      </c>
      <c r="L101">
        <v>11000</v>
      </c>
      <c r="M101">
        <v>22000</v>
      </c>
      <c r="N101" t="s">
        <v>19</v>
      </c>
    </row>
    <row r="102" spans="1:14" x14ac:dyDescent="0.25">
      <c r="A102" t="s">
        <v>1498</v>
      </c>
      <c r="B102" t="s">
        <v>1772</v>
      </c>
      <c r="C102" t="s">
        <v>86</v>
      </c>
      <c r="D102" t="s">
        <v>20</v>
      </c>
      <c r="E102" t="s">
        <v>21</v>
      </c>
      <c r="F102" t="s">
        <v>15</v>
      </c>
      <c r="G102" t="s">
        <v>22</v>
      </c>
      <c r="H102" t="s">
        <v>90</v>
      </c>
      <c r="I102" t="s">
        <v>26</v>
      </c>
      <c r="J102">
        <v>2</v>
      </c>
      <c r="K102">
        <v>500</v>
      </c>
      <c r="L102">
        <v>500</v>
      </c>
      <c r="M102">
        <v>1000</v>
      </c>
      <c r="N102" t="s">
        <v>19</v>
      </c>
    </row>
    <row r="103" spans="1:14" x14ac:dyDescent="0.25">
      <c r="A103" t="s">
        <v>1498</v>
      </c>
      <c r="B103" t="s">
        <v>1772</v>
      </c>
      <c r="C103" t="s">
        <v>86</v>
      </c>
      <c r="D103" t="s">
        <v>20</v>
      </c>
      <c r="E103" t="s">
        <v>21</v>
      </c>
      <c r="F103" t="s">
        <v>15</v>
      </c>
      <c r="G103" t="s">
        <v>22</v>
      </c>
      <c r="H103" t="s">
        <v>90</v>
      </c>
      <c r="I103" t="s">
        <v>93</v>
      </c>
      <c r="J103">
        <v>2</v>
      </c>
      <c r="K103">
        <v>10750</v>
      </c>
      <c r="L103">
        <v>15000</v>
      </c>
      <c r="M103">
        <v>30000</v>
      </c>
      <c r="N103" t="s">
        <v>19</v>
      </c>
    </row>
    <row r="104" spans="1:14" x14ac:dyDescent="0.25">
      <c r="A104" t="s">
        <v>1498</v>
      </c>
      <c r="B104" t="s">
        <v>1772</v>
      </c>
      <c r="C104" t="s">
        <v>86</v>
      </c>
      <c r="D104" t="s">
        <v>20</v>
      </c>
      <c r="E104" t="s">
        <v>21</v>
      </c>
      <c r="F104" t="s">
        <v>15</v>
      </c>
      <c r="G104" t="s">
        <v>22</v>
      </c>
      <c r="H104" t="s">
        <v>90</v>
      </c>
      <c r="I104" t="s">
        <v>94</v>
      </c>
      <c r="J104">
        <v>2</v>
      </c>
      <c r="K104">
        <v>24250</v>
      </c>
      <c r="L104">
        <v>34500</v>
      </c>
      <c r="M104">
        <v>69000</v>
      </c>
      <c r="N104" t="s">
        <v>19</v>
      </c>
    </row>
    <row r="105" spans="1:14" x14ac:dyDescent="0.25">
      <c r="A105" t="s">
        <v>1498</v>
      </c>
      <c r="B105" t="s">
        <v>1772</v>
      </c>
      <c r="C105" t="s">
        <v>86</v>
      </c>
      <c r="D105" t="s">
        <v>20</v>
      </c>
      <c r="E105" t="s">
        <v>21</v>
      </c>
      <c r="F105" t="s">
        <v>15</v>
      </c>
      <c r="G105" t="s">
        <v>22</v>
      </c>
      <c r="H105" t="s">
        <v>90</v>
      </c>
      <c r="I105" t="s">
        <v>95</v>
      </c>
      <c r="J105">
        <v>2</v>
      </c>
      <c r="K105">
        <v>8500</v>
      </c>
      <c r="L105">
        <v>12500</v>
      </c>
      <c r="M105">
        <v>25000</v>
      </c>
      <c r="N105" t="s">
        <v>19</v>
      </c>
    </row>
    <row r="106" spans="1:14" x14ac:dyDescent="0.25">
      <c r="A106" t="s">
        <v>1498</v>
      </c>
      <c r="B106" t="s">
        <v>1772</v>
      </c>
      <c r="C106" t="s">
        <v>86</v>
      </c>
      <c r="D106" t="s">
        <v>20</v>
      </c>
      <c r="E106" t="s">
        <v>21</v>
      </c>
      <c r="F106" t="s">
        <v>15</v>
      </c>
      <c r="G106" t="s">
        <v>22</v>
      </c>
      <c r="H106" t="s">
        <v>90</v>
      </c>
      <c r="I106" t="s">
        <v>95</v>
      </c>
      <c r="J106">
        <v>2</v>
      </c>
      <c r="K106">
        <v>8500</v>
      </c>
      <c r="L106">
        <v>12500</v>
      </c>
      <c r="M106">
        <v>25000</v>
      </c>
      <c r="N106" t="s">
        <v>19</v>
      </c>
    </row>
    <row r="107" spans="1:14" x14ac:dyDescent="0.25">
      <c r="A107" t="s">
        <v>1498</v>
      </c>
      <c r="B107" t="s">
        <v>1772</v>
      </c>
      <c r="C107" t="s">
        <v>86</v>
      </c>
      <c r="D107" t="s">
        <v>20</v>
      </c>
      <c r="E107" t="s">
        <v>21</v>
      </c>
      <c r="F107" t="s">
        <v>15</v>
      </c>
      <c r="G107" t="s">
        <v>22</v>
      </c>
      <c r="H107" t="s">
        <v>90</v>
      </c>
      <c r="I107" t="s">
        <v>96</v>
      </c>
      <c r="J107">
        <v>2</v>
      </c>
      <c r="K107">
        <v>1350</v>
      </c>
      <c r="L107">
        <v>2000</v>
      </c>
      <c r="M107">
        <v>4000</v>
      </c>
      <c r="N107" t="s">
        <v>19</v>
      </c>
    </row>
    <row r="108" spans="1:14" x14ac:dyDescent="0.25">
      <c r="A108" t="s">
        <v>1498</v>
      </c>
      <c r="B108" t="s">
        <v>1772</v>
      </c>
      <c r="C108" t="s">
        <v>86</v>
      </c>
      <c r="D108" t="s">
        <v>20</v>
      </c>
      <c r="E108" t="s">
        <v>21</v>
      </c>
      <c r="F108" t="s">
        <v>15</v>
      </c>
      <c r="G108" t="s">
        <v>22</v>
      </c>
      <c r="H108" t="s">
        <v>90</v>
      </c>
      <c r="I108" t="s">
        <v>97</v>
      </c>
      <c r="J108">
        <v>2</v>
      </c>
      <c r="K108">
        <v>2250</v>
      </c>
      <c r="L108">
        <v>3500</v>
      </c>
      <c r="M108">
        <v>7000</v>
      </c>
      <c r="N108" t="s">
        <v>19</v>
      </c>
    </row>
    <row r="109" spans="1:14" x14ac:dyDescent="0.25">
      <c r="A109" t="s">
        <v>1498</v>
      </c>
      <c r="B109" t="s">
        <v>1772</v>
      </c>
      <c r="C109" t="s">
        <v>86</v>
      </c>
      <c r="D109" t="s">
        <v>20</v>
      </c>
      <c r="E109" t="s">
        <v>21</v>
      </c>
      <c r="F109" t="s">
        <v>15</v>
      </c>
      <c r="G109" t="s">
        <v>22</v>
      </c>
      <c r="H109" t="s">
        <v>90</v>
      </c>
      <c r="I109" t="s">
        <v>98</v>
      </c>
      <c r="J109">
        <v>2</v>
      </c>
      <c r="K109">
        <v>970</v>
      </c>
      <c r="L109">
        <v>1500</v>
      </c>
      <c r="M109">
        <v>3000</v>
      </c>
      <c r="N109" t="s">
        <v>19</v>
      </c>
    </row>
    <row r="110" spans="1:14" x14ac:dyDescent="0.25">
      <c r="A110" t="s">
        <v>1498</v>
      </c>
      <c r="B110" t="s">
        <v>1772</v>
      </c>
      <c r="C110" t="s">
        <v>86</v>
      </c>
      <c r="D110" t="s">
        <v>20</v>
      </c>
      <c r="E110" t="s">
        <v>21</v>
      </c>
      <c r="F110" t="s">
        <v>15</v>
      </c>
      <c r="G110" t="s">
        <v>22</v>
      </c>
      <c r="H110" t="s">
        <v>90</v>
      </c>
      <c r="I110" t="s">
        <v>99</v>
      </c>
      <c r="J110">
        <v>2</v>
      </c>
      <c r="K110">
        <v>2800</v>
      </c>
      <c r="L110">
        <v>4000</v>
      </c>
      <c r="M110">
        <v>8000</v>
      </c>
      <c r="N110" t="s">
        <v>19</v>
      </c>
    </row>
    <row r="111" spans="1:14" x14ac:dyDescent="0.25">
      <c r="A111" t="s">
        <v>1498</v>
      </c>
      <c r="B111" t="s">
        <v>1772</v>
      </c>
      <c r="C111" t="s">
        <v>86</v>
      </c>
      <c r="D111" t="s">
        <v>20</v>
      </c>
      <c r="E111" t="s">
        <v>21</v>
      </c>
      <c r="F111" t="s">
        <v>15</v>
      </c>
      <c r="G111" t="s">
        <v>22</v>
      </c>
      <c r="H111" t="s">
        <v>90</v>
      </c>
      <c r="I111" t="s">
        <v>76</v>
      </c>
      <c r="J111">
        <v>1</v>
      </c>
      <c r="K111">
        <v>800</v>
      </c>
      <c r="L111">
        <v>800</v>
      </c>
      <c r="M111">
        <v>800</v>
      </c>
      <c r="N111" t="s">
        <v>19</v>
      </c>
    </row>
    <row r="112" spans="1:14" x14ac:dyDescent="0.25">
      <c r="A112" t="s">
        <v>1478</v>
      </c>
      <c r="B112" t="s">
        <v>1773</v>
      </c>
      <c r="C112" t="s">
        <v>100</v>
      </c>
      <c r="D112" t="s">
        <v>20</v>
      </c>
      <c r="E112" t="s">
        <v>103</v>
      </c>
      <c r="F112" t="s">
        <v>15</v>
      </c>
      <c r="G112" t="s">
        <v>22</v>
      </c>
      <c r="H112" t="s">
        <v>90</v>
      </c>
      <c r="I112" t="s">
        <v>96</v>
      </c>
      <c r="J112">
        <v>1</v>
      </c>
      <c r="K112">
        <v>1350</v>
      </c>
      <c r="L112">
        <v>2600</v>
      </c>
      <c r="M112">
        <v>2600</v>
      </c>
      <c r="N112" t="s">
        <v>19</v>
      </c>
    </row>
    <row r="113" spans="1:14" x14ac:dyDescent="0.25">
      <c r="A113" t="s">
        <v>1478</v>
      </c>
      <c r="B113" t="s">
        <v>1773</v>
      </c>
      <c r="C113" t="s">
        <v>100</v>
      </c>
      <c r="D113" t="s">
        <v>20</v>
      </c>
      <c r="E113" t="s">
        <v>103</v>
      </c>
      <c r="F113" t="s">
        <v>15</v>
      </c>
      <c r="G113" t="s">
        <v>22</v>
      </c>
      <c r="H113" t="s">
        <v>90</v>
      </c>
      <c r="I113" t="s">
        <v>76</v>
      </c>
      <c r="J113">
        <v>1</v>
      </c>
      <c r="K113">
        <v>500</v>
      </c>
      <c r="L113">
        <v>500</v>
      </c>
      <c r="M113">
        <v>500</v>
      </c>
      <c r="N113" t="s">
        <v>19</v>
      </c>
    </row>
    <row r="114" spans="1:14" x14ac:dyDescent="0.25">
      <c r="A114" t="s">
        <v>1668</v>
      </c>
      <c r="B114" t="s">
        <v>1774</v>
      </c>
      <c r="C114" t="s">
        <v>111</v>
      </c>
      <c r="D114" t="s">
        <v>112</v>
      </c>
      <c r="E114" t="s">
        <v>42</v>
      </c>
      <c r="F114" t="s">
        <v>15</v>
      </c>
      <c r="G114" t="s">
        <v>113</v>
      </c>
      <c r="H114" t="s">
        <v>90</v>
      </c>
      <c r="I114" t="s">
        <v>114</v>
      </c>
      <c r="J114">
        <v>1</v>
      </c>
      <c r="K114">
        <v>3675</v>
      </c>
      <c r="L114">
        <v>10500</v>
      </c>
      <c r="M114">
        <v>10500</v>
      </c>
      <c r="N114" t="s">
        <v>19</v>
      </c>
    </row>
    <row r="115" spans="1:14" x14ac:dyDescent="0.25">
      <c r="A115" t="s">
        <v>1668</v>
      </c>
      <c r="B115" t="s">
        <v>1774</v>
      </c>
      <c r="C115" t="s">
        <v>111</v>
      </c>
      <c r="D115" t="s">
        <v>112</v>
      </c>
      <c r="E115" t="s">
        <v>42</v>
      </c>
      <c r="F115" t="s">
        <v>15</v>
      </c>
      <c r="G115" t="s">
        <v>113</v>
      </c>
      <c r="H115" t="s">
        <v>90</v>
      </c>
      <c r="I115" t="s">
        <v>48</v>
      </c>
      <c r="J115">
        <v>1</v>
      </c>
      <c r="K115">
        <v>2975</v>
      </c>
      <c r="L115">
        <v>8500</v>
      </c>
      <c r="M115">
        <v>8500</v>
      </c>
      <c r="N115" t="s">
        <v>19</v>
      </c>
    </row>
    <row r="116" spans="1:14" x14ac:dyDescent="0.25">
      <c r="A116" t="s">
        <v>1668</v>
      </c>
      <c r="B116" t="s">
        <v>1774</v>
      </c>
      <c r="C116" t="s">
        <v>111</v>
      </c>
      <c r="D116" t="s">
        <v>112</v>
      </c>
      <c r="E116" t="s">
        <v>42</v>
      </c>
      <c r="F116" t="s">
        <v>15</v>
      </c>
      <c r="G116" t="s">
        <v>113</v>
      </c>
      <c r="H116" t="s">
        <v>90</v>
      </c>
      <c r="I116" t="s">
        <v>24</v>
      </c>
      <c r="J116">
        <v>1</v>
      </c>
      <c r="K116">
        <v>2975</v>
      </c>
      <c r="L116">
        <v>8500</v>
      </c>
      <c r="M116">
        <v>8500</v>
      </c>
      <c r="N116" t="s">
        <v>19</v>
      </c>
    </row>
    <row r="117" spans="1:14" x14ac:dyDescent="0.25">
      <c r="A117" t="s">
        <v>1668</v>
      </c>
      <c r="B117" t="s">
        <v>1774</v>
      </c>
      <c r="C117" t="s">
        <v>111</v>
      </c>
      <c r="D117" t="s">
        <v>112</v>
      </c>
      <c r="E117" t="s">
        <v>42</v>
      </c>
      <c r="F117" t="s">
        <v>15</v>
      </c>
      <c r="G117" t="s">
        <v>113</v>
      </c>
      <c r="H117" t="s">
        <v>90</v>
      </c>
      <c r="I117" t="s">
        <v>26</v>
      </c>
      <c r="J117">
        <v>1</v>
      </c>
      <c r="K117">
        <v>500</v>
      </c>
      <c r="L117">
        <v>500</v>
      </c>
      <c r="M117">
        <v>500</v>
      </c>
      <c r="N117" t="s">
        <v>19</v>
      </c>
    </row>
    <row r="118" spans="1:14" x14ac:dyDescent="0.25">
      <c r="A118" t="s">
        <v>1668</v>
      </c>
      <c r="B118" t="s">
        <v>1774</v>
      </c>
      <c r="C118" t="s">
        <v>111</v>
      </c>
      <c r="D118" t="s">
        <v>112</v>
      </c>
      <c r="E118" t="s">
        <v>42</v>
      </c>
      <c r="F118" t="s">
        <v>15</v>
      </c>
      <c r="G118" t="s">
        <v>113</v>
      </c>
      <c r="H118" t="s">
        <v>90</v>
      </c>
      <c r="I118" t="s">
        <v>97</v>
      </c>
      <c r="J118">
        <v>1</v>
      </c>
      <c r="K118">
        <v>2250</v>
      </c>
      <c r="L118">
        <v>3000</v>
      </c>
      <c r="M118">
        <v>3000</v>
      </c>
      <c r="N118" t="s">
        <v>19</v>
      </c>
    </row>
    <row r="119" spans="1:14" x14ac:dyDescent="0.25">
      <c r="A119" t="s">
        <v>1668</v>
      </c>
      <c r="B119" t="s">
        <v>1774</v>
      </c>
      <c r="C119" t="s">
        <v>111</v>
      </c>
      <c r="D119" t="s">
        <v>112</v>
      </c>
      <c r="E119" t="s">
        <v>42</v>
      </c>
      <c r="F119" t="s">
        <v>15</v>
      </c>
      <c r="G119" t="s">
        <v>113</v>
      </c>
      <c r="H119" t="s">
        <v>90</v>
      </c>
      <c r="I119" t="s">
        <v>38</v>
      </c>
      <c r="J119">
        <v>1</v>
      </c>
      <c r="K119">
        <v>8500</v>
      </c>
      <c r="L119">
        <v>11500</v>
      </c>
      <c r="M119">
        <v>11500</v>
      </c>
      <c r="N119" t="s">
        <v>19</v>
      </c>
    </row>
    <row r="120" spans="1:14" x14ac:dyDescent="0.25">
      <c r="A120" t="s">
        <v>1668</v>
      </c>
      <c r="B120" t="s">
        <v>1774</v>
      </c>
      <c r="C120" t="s">
        <v>111</v>
      </c>
      <c r="D120" t="s">
        <v>112</v>
      </c>
      <c r="E120" t="s">
        <v>42</v>
      </c>
      <c r="F120" t="s">
        <v>15</v>
      </c>
      <c r="G120" t="s">
        <v>113</v>
      </c>
      <c r="H120" t="s">
        <v>90</v>
      </c>
      <c r="I120" t="s">
        <v>115</v>
      </c>
      <c r="J120">
        <v>1</v>
      </c>
      <c r="K120">
        <v>10750</v>
      </c>
      <c r="L120">
        <v>15000</v>
      </c>
      <c r="M120">
        <v>15000</v>
      </c>
      <c r="N120" t="s">
        <v>19</v>
      </c>
    </row>
    <row r="121" spans="1:14" x14ac:dyDescent="0.25">
      <c r="A121" t="s">
        <v>1668</v>
      </c>
      <c r="B121" t="s">
        <v>1774</v>
      </c>
      <c r="C121" t="s">
        <v>111</v>
      </c>
      <c r="D121" t="s">
        <v>112</v>
      </c>
      <c r="E121" t="s">
        <v>42</v>
      </c>
      <c r="F121" t="s">
        <v>15</v>
      </c>
      <c r="G121" t="s">
        <v>113</v>
      </c>
      <c r="H121" t="s">
        <v>90</v>
      </c>
      <c r="I121" t="s">
        <v>116</v>
      </c>
      <c r="J121">
        <v>1</v>
      </c>
      <c r="K121">
        <v>2185</v>
      </c>
      <c r="L121">
        <v>3000</v>
      </c>
      <c r="M121">
        <v>3000</v>
      </c>
      <c r="N121" t="s">
        <v>19</v>
      </c>
    </row>
    <row r="122" spans="1:14" x14ac:dyDescent="0.25">
      <c r="A122" t="s">
        <v>1668</v>
      </c>
      <c r="B122" t="s">
        <v>1774</v>
      </c>
      <c r="C122" t="s">
        <v>111</v>
      </c>
      <c r="D122" t="s">
        <v>112</v>
      </c>
      <c r="E122" t="s">
        <v>42</v>
      </c>
      <c r="F122" t="s">
        <v>15</v>
      </c>
      <c r="G122" t="s">
        <v>113</v>
      </c>
      <c r="H122" t="s">
        <v>90</v>
      </c>
      <c r="I122" t="s">
        <v>117</v>
      </c>
      <c r="J122">
        <v>1</v>
      </c>
      <c r="K122">
        <v>21500</v>
      </c>
      <c r="L122">
        <v>32000</v>
      </c>
      <c r="M122">
        <v>32000</v>
      </c>
      <c r="N122" t="s">
        <v>19</v>
      </c>
    </row>
    <row r="123" spans="1:14" x14ac:dyDescent="0.25">
      <c r="A123" t="s">
        <v>1668</v>
      </c>
      <c r="B123" t="s">
        <v>1774</v>
      </c>
      <c r="C123" t="s">
        <v>111</v>
      </c>
      <c r="D123" t="s">
        <v>112</v>
      </c>
      <c r="E123" t="s">
        <v>42</v>
      </c>
      <c r="F123" t="s">
        <v>15</v>
      </c>
      <c r="G123" t="s">
        <v>113</v>
      </c>
      <c r="H123" t="s">
        <v>90</v>
      </c>
      <c r="I123" t="s">
        <v>118</v>
      </c>
      <c r="J123">
        <v>1</v>
      </c>
      <c r="K123">
        <v>2500</v>
      </c>
      <c r="L123">
        <v>3500</v>
      </c>
      <c r="M123">
        <v>3500</v>
      </c>
      <c r="N123" t="s">
        <v>19</v>
      </c>
    </row>
    <row r="124" spans="1:14" x14ac:dyDescent="0.25">
      <c r="A124" t="s">
        <v>1605</v>
      </c>
      <c r="B124" t="s">
        <v>1775</v>
      </c>
      <c r="C124" t="s">
        <v>80</v>
      </c>
      <c r="D124" t="s">
        <v>1037</v>
      </c>
      <c r="E124" t="s">
        <v>1037</v>
      </c>
      <c r="F124" t="s">
        <v>647</v>
      </c>
      <c r="G124" t="s">
        <v>37</v>
      </c>
      <c r="H124" t="s">
        <v>90</v>
      </c>
      <c r="I124" t="s">
        <v>501</v>
      </c>
      <c r="J124">
        <v>3</v>
      </c>
      <c r="K124">
        <v>70</v>
      </c>
      <c r="L124">
        <v>250</v>
      </c>
      <c r="M124">
        <v>750</v>
      </c>
      <c r="N124" t="s">
        <v>1010</v>
      </c>
    </row>
    <row r="125" spans="1:14" x14ac:dyDescent="0.25">
      <c r="A125" t="s">
        <v>1483</v>
      </c>
      <c r="B125" t="s">
        <v>1776</v>
      </c>
      <c r="C125" t="s">
        <v>104</v>
      </c>
      <c r="D125" t="s">
        <v>20</v>
      </c>
      <c r="E125" t="s">
        <v>105</v>
      </c>
      <c r="F125" t="s">
        <v>15</v>
      </c>
      <c r="G125" t="s">
        <v>22</v>
      </c>
      <c r="H125" t="s">
        <v>106</v>
      </c>
      <c r="I125" t="s">
        <v>93</v>
      </c>
      <c r="J125">
        <v>1</v>
      </c>
      <c r="K125">
        <v>10750</v>
      </c>
      <c r="L125">
        <v>16500</v>
      </c>
      <c r="M125">
        <v>16500</v>
      </c>
      <c r="N125" t="s">
        <v>19</v>
      </c>
    </row>
    <row r="126" spans="1:14" x14ac:dyDescent="0.25">
      <c r="A126" t="s">
        <v>1606</v>
      </c>
      <c r="B126" t="s">
        <v>1777</v>
      </c>
      <c r="C126" t="s">
        <v>122</v>
      </c>
      <c r="D126" t="s">
        <v>123</v>
      </c>
      <c r="E126" t="s">
        <v>124</v>
      </c>
      <c r="F126" t="s">
        <v>15</v>
      </c>
      <c r="G126" t="s">
        <v>16</v>
      </c>
      <c r="H126" t="s">
        <v>106</v>
      </c>
      <c r="I126" t="s">
        <v>125</v>
      </c>
      <c r="J126">
        <v>2</v>
      </c>
      <c r="K126">
        <v>7350</v>
      </c>
      <c r="L126">
        <v>10500</v>
      </c>
      <c r="M126">
        <v>21000</v>
      </c>
      <c r="N126" t="s">
        <v>19</v>
      </c>
    </row>
    <row r="127" spans="1:14" x14ac:dyDescent="0.25">
      <c r="A127" t="s">
        <v>1606</v>
      </c>
      <c r="B127" t="s">
        <v>1777</v>
      </c>
      <c r="C127" t="s">
        <v>122</v>
      </c>
      <c r="D127" t="s">
        <v>123</v>
      </c>
      <c r="E127" t="s">
        <v>124</v>
      </c>
      <c r="F127" t="s">
        <v>15</v>
      </c>
      <c r="G127" t="s">
        <v>16</v>
      </c>
      <c r="H127" t="s">
        <v>106</v>
      </c>
      <c r="I127" t="s">
        <v>48</v>
      </c>
      <c r="J127">
        <v>2</v>
      </c>
      <c r="K127">
        <v>10150</v>
      </c>
      <c r="L127">
        <v>14500</v>
      </c>
      <c r="M127">
        <v>29000</v>
      </c>
      <c r="N127" t="s">
        <v>19</v>
      </c>
    </row>
    <row r="128" spans="1:14" x14ac:dyDescent="0.25">
      <c r="A128" t="s">
        <v>1606</v>
      </c>
      <c r="B128" t="s">
        <v>1777</v>
      </c>
      <c r="C128" t="s">
        <v>122</v>
      </c>
      <c r="D128" t="s">
        <v>123</v>
      </c>
      <c r="E128" t="s">
        <v>124</v>
      </c>
      <c r="F128" t="s">
        <v>15</v>
      </c>
      <c r="G128" t="s">
        <v>16</v>
      </c>
      <c r="H128" t="s">
        <v>106</v>
      </c>
      <c r="I128" t="s">
        <v>126</v>
      </c>
      <c r="J128">
        <v>2</v>
      </c>
      <c r="K128">
        <v>10150</v>
      </c>
      <c r="L128">
        <v>14500</v>
      </c>
      <c r="M128">
        <v>29000</v>
      </c>
      <c r="N128" t="s">
        <v>19</v>
      </c>
    </row>
    <row r="129" spans="1:14" x14ac:dyDescent="0.25">
      <c r="A129" t="s">
        <v>1606</v>
      </c>
      <c r="B129" t="s">
        <v>1777</v>
      </c>
      <c r="C129" t="s">
        <v>122</v>
      </c>
      <c r="D129" t="s">
        <v>123</v>
      </c>
      <c r="E129" t="s">
        <v>124</v>
      </c>
      <c r="F129" t="s">
        <v>15</v>
      </c>
      <c r="G129" t="s">
        <v>16</v>
      </c>
      <c r="H129" t="s">
        <v>106</v>
      </c>
      <c r="I129" t="s">
        <v>50</v>
      </c>
      <c r="J129">
        <v>2</v>
      </c>
      <c r="K129">
        <v>500</v>
      </c>
      <c r="L129">
        <v>500</v>
      </c>
      <c r="M129">
        <v>1000</v>
      </c>
      <c r="N129" t="s">
        <v>19</v>
      </c>
    </row>
    <row r="130" spans="1:14" x14ac:dyDescent="0.25">
      <c r="A130" t="s">
        <v>1606</v>
      </c>
      <c r="B130" t="s">
        <v>1777</v>
      </c>
      <c r="C130" t="s">
        <v>122</v>
      </c>
      <c r="D130" t="s">
        <v>123</v>
      </c>
      <c r="E130" t="s">
        <v>124</v>
      </c>
      <c r="F130" t="s">
        <v>15</v>
      </c>
      <c r="G130" t="s">
        <v>16</v>
      </c>
      <c r="H130" t="s">
        <v>106</v>
      </c>
      <c r="I130" t="s">
        <v>127</v>
      </c>
      <c r="J130">
        <v>1</v>
      </c>
      <c r="K130">
        <v>7000</v>
      </c>
      <c r="L130">
        <v>20000</v>
      </c>
      <c r="M130">
        <v>20000</v>
      </c>
      <c r="N130" t="s">
        <v>19</v>
      </c>
    </row>
    <row r="131" spans="1:14" x14ac:dyDescent="0.25">
      <c r="A131" t="s">
        <v>1606</v>
      </c>
      <c r="B131" t="s">
        <v>1777</v>
      </c>
      <c r="C131" t="s">
        <v>122</v>
      </c>
      <c r="D131" t="s">
        <v>123</v>
      </c>
      <c r="E131" t="s">
        <v>124</v>
      </c>
      <c r="F131" t="s">
        <v>15</v>
      </c>
      <c r="G131" t="s">
        <v>16</v>
      </c>
      <c r="H131" t="s">
        <v>106</v>
      </c>
      <c r="I131" t="s">
        <v>60</v>
      </c>
      <c r="J131">
        <v>3</v>
      </c>
      <c r="K131">
        <v>10750</v>
      </c>
      <c r="L131">
        <v>16500</v>
      </c>
      <c r="M131">
        <v>49500</v>
      </c>
      <c r="N131" t="s">
        <v>19</v>
      </c>
    </row>
    <row r="132" spans="1:14" x14ac:dyDescent="0.25">
      <c r="A132" t="s">
        <v>1606</v>
      </c>
      <c r="B132" t="s">
        <v>1777</v>
      </c>
      <c r="C132" t="s">
        <v>122</v>
      </c>
      <c r="D132" t="s">
        <v>123</v>
      </c>
      <c r="E132" t="s">
        <v>124</v>
      </c>
      <c r="F132" t="s">
        <v>15</v>
      </c>
      <c r="G132" t="s">
        <v>16</v>
      </c>
      <c r="H132" t="s">
        <v>106</v>
      </c>
      <c r="I132" t="s">
        <v>128</v>
      </c>
      <c r="J132">
        <v>1</v>
      </c>
      <c r="K132">
        <v>4250</v>
      </c>
      <c r="L132">
        <v>6000</v>
      </c>
      <c r="M132">
        <v>6000</v>
      </c>
      <c r="N132" t="s">
        <v>19</v>
      </c>
    </row>
    <row r="133" spans="1:14" x14ac:dyDescent="0.25">
      <c r="A133" t="s">
        <v>1606</v>
      </c>
      <c r="B133" t="s">
        <v>1777</v>
      </c>
      <c r="C133" t="s">
        <v>122</v>
      </c>
      <c r="D133" t="s">
        <v>123</v>
      </c>
      <c r="E133" t="s">
        <v>124</v>
      </c>
      <c r="F133" t="s">
        <v>15</v>
      </c>
      <c r="G133" t="s">
        <v>16</v>
      </c>
      <c r="H133" t="s">
        <v>106</v>
      </c>
      <c r="I133" t="s">
        <v>116</v>
      </c>
      <c r="J133">
        <v>2</v>
      </c>
      <c r="K133">
        <v>2185</v>
      </c>
      <c r="L133">
        <v>3000</v>
      </c>
      <c r="M133">
        <v>6000</v>
      </c>
      <c r="N133" t="s">
        <v>19</v>
      </c>
    </row>
    <row r="134" spans="1:14" x14ac:dyDescent="0.25">
      <c r="A134" t="s">
        <v>1606</v>
      </c>
      <c r="B134" t="s">
        <v>1777</v>
      </c>
      <c r="C134" t="s">
        <v>122</v>
      </c>
      <c r="D134" t="s">
        <v>123</v>
      </c>
      <c r="E134" t="s">
        <v>124</v>
      </c>
      <c r="F134" t="s">
        <v>15</v>
      </c>
      <c r="G134" t="s">
        <v>16</v>
      </c>
      <c r="H134" t="s">
        <v>106</v>
      </c>
      <c r="I134" t="s">
        <v>97</v>
      </c>
      <c r="J134">
        <v>4</v>
      </c>
      <c r="K134">
        <v>2200</v>
      </c>
      <c r="L134">
        <v>3500</v>
      </c>
      <c r="M134">
        <v>14000</v>
      </c>
      <c r="N134" t="s">
        <v>19</v>
      </c>
    </row>
    <row r="135" spans="1:14" x14ac:dyDescent="0.25">
      <c r="A135" t="s">
        <v>1606</v>
      </c>
      <c r="B135" t="s">
        <v>1777</v>
      </c>
      <c r="C135" t="s">
        <v>122</v>
      </c>
      <c r="D135" t="s">
        <v>123</v>
      </c>
      <c r="E135" t="s">
        <v>124</v>
      </c>
      <c r="F135" t="s">
        <v>15</v>
      </c>
      <c r="G135" t="s">
        <v>16</v>
      </c>
      <c r="H135" t="s">
        <v>106</v>
      </c>
      <c r="I135" t="s">
        <v>129</v>
      </c>
      <c r="J135">
        <v>2</v>
      </c>
      <c r="K135">
        <v>5740.5</v>
      </c>
      <c r="L135">
        <v>8000</v>
      </c>
      <c r="M135">
        <v>16000</v>
      </c>
      <c r="N135" t="s">
        <v>19</v>
      </c>
    </row>
    <row r="136" spans="1:14" x14ac:dyDescent="0.25">
      <c r="A136" t="s">
        <v>1606</v>
      </c>
      <c r="B136" t="s">
        <v>1777</v>
      </c>
      <c r="C136" t="s">
        <v>122</v>
      </c>
      <c r="D136" t="s">
        <v>123</v>
      </c>
      <c r="E136" t="s">
        <v>124</v>
      </c>
      <c r="F136" t="s">
        <v>15</v>
      </c>
      <c r="G136" t="s">
        <v>16</v>
      </c>
      <c r="H136" t="s">
        <v>106</v>
      </c>
      <c r="I136" t="s">
        <v>130</v>
      </c>
      <c r="J136">
        <v>2</v>
      </c>
      <c r="K136">
        <v>9500</v>
      </c>
      <c r="L136">
        <v>13000</v>
      </c>
      <c r="M136">
        <v>26000</v>
      </c>
      <c r="N136" t="s">
        <v>19</v>
      </c>
    </row>
    <row r="137" spans="1:14" x14ac:dyDescent="0.25">
      <c r="A137" t="s">
        <v>1606</v>
      </c>
      <c r="B137" t="s">
        <v>1777</v>
      </c>
      <c r="C137" t="s">
        <v>122</v>
      </c>
      <c r="D137" t="s">
        <v>123</v>
      </c>
      <c r="E137" t="s">
        <v>124</v>
      </c>
      <c r="F137" t="s">
        <v>15</v>
      </c>
      <c r="G137" t="s">
        <v>16</v>
      </c>
      <c r="H137" t="s">
        <v>106</v>
      </c>
      <c r="I137" t="s">
        <v>131</v>
      </c>
      <c r="J137">
        <v>1</v>
      </c>
      <c r="K137">
        <v>9500</v>
      </c>
      <c r="L137">
        <v>13000</v>
      </c>
      <c r="M137">
        <v>13000</v>
      </c>
      <c r="N137" t="s">
        <v>19</v>
      </c>
    </row>
    <row r="138" spans="1:14" x14ac:dyDescent="0.25">
      <c r="A138" t="s">
        <v>1606</v>
      </c>
      <c r="B138" t="s">
        <v>1777</v>
      </c>
      <c r="C138" t="s">
        <v>122</v>
      </c>
      <c r="D138" t="s">
        <v>123</v>
      </c>
      <c r="E138" t="s">
        <v>124</v>
      </c>
      <c r="F138" t="s">
        <v>15</v>
      </c>
      <c r="G138" t="s">
        <v>16</v>
      </c>
      <c r="H138" t="s">
        <v>106</v>
      </c>
      <c r="I138" t="s">
        <v>117</v>
      </c>
      <c r="J138">
        <v>4</v>
      </c>
      <c r="K138">
        <v>21500</v>
      </c>
      <c r="L138">
        <v>31075</v>
      </c>
      <c r="M138">
        <v>124300</v>
      </c>
      <c r="N138" t="s">
        <v>19</v>
      </c>
    </row>
    <row r="139" spans="1:14" x14ac:dyDescent="0.25">
      <c r="A139" t="s">
        <v>1561</v>
      </c>
      <c r="B139" t="s">
        <v>1778</v>
      </c>
      <c r="C139" t="s">
        <v>140</v>
      </c>
      <c r="D139" t="s">
        <v>141</v>
      </c>
      <c r="E139" t="s">
        <v>142</v>
      </c>
      <c r="F139" t="s">
        <v>15</v>
      </c>
      <c r="G139" t="s">
        <v>22</v>
      </c>
      <c r="H139" t="s">
        <v>106</v>
      </c>
      <c r="I139" t="s">
        <v>143</v>
      </c>
      <c r="J139">
        <v>1</v>
      </c>
      <c r="K139">
        <v>2975</v>
      </c>
      <c r="L139">
        <v>8500</v>
      </c>
      <c r="M139">
        <v>8500</v>
      </c>
      <c r="N139" t="s">
        <v>19</v>
      </c>
    </row>
    <row r="140" spans="1:14" x14ac:dyDescent="0.25">
      <c r="A140" t="s">
        <v>1561</v>
      </c>
      <c r="B140" t="s">
        <v>1778</v>
      </c>
      <c r="C140" t="s">
        <v>140</v>
      </c>
      <c r="D140" t="s">
        <v>141</v>
      </c>
      <c r="E140" t="s">
        <v>142</v>
      </c>
      <c r="F140" t="s">
        <v>15</v>
      </c>
      <c r="G140" t="s">
        <v>22</v>
      </c>
      <c r="H140" t="s">
        <v>106</v>
      </c>
      <c r="I140" t="s">
        <v>48</v>
      </c>
      <c r="J140">
        <v>1</v>
      </c>
      <c r="K140">
        <v>1925</v>
      </c>
      <c r="L140">
        <v>5500</v>
      </c>
      <c r="M140">
        <v>5500</v>
      </c>
      <c r="N140" t="s">
        <v>19</v>
      </c>
    </row>
    <row r="141" spans="1:14" x14ac:dyDescent="0.25">
      <c r="A141" t="s">
        <v>1561</v>
      </c>
      <c r="B141" t="s">
        <v>1778</v>
      </c>
      <c r="C141" t="s">
        <v>140</v>
      </c>
      <c r="D141" t="s">
        <v>141</v>
      </c>
      <c r="E141" t="s">
        <v>142</v>
      </c>
      <c r="F141" t="s">
        <v>15</v>
      </c>
      <c r="G141" t="s">
        <v>22</v>
      </c>
      <c r="H141" t="s">
        <v>106</v>
      </c>
      <c r="I141" t="s">
        <v>24</v>
      </c>
      <c r="J141">
        <v>1</v>
      </c>
      <c r="K141">
        <v>1925</v>
      </c>
      <c r="L141">
        <v>5500</v>
      </c>
      <c r="M141">
        <v>5500</v>
      </c>
      <c r="N141" t="s">
        <v>19</v>
      </c>
    </row>
    <row r="142" spans="1:14" x14ac:dyDescent="0.25">
      <c r="A142" t="s">
        <v>1561</v>
      </c>
      <c r="B142" t="s">
        <v>1778</v>
      </c>
      <c r="C142" t="s">
        <v>140</v>
      </c>
      <c r="D142" t="s">
        <v>141</v>
      </c>
      <c r="E142" t="s">
        <v>142</v>
      </c>
      <c r="F142" t="s">
        <v>15</v>
      </c>
      <c r="G142" t="s">
        <v>22</v>
      </c>
      <c r="H142" t="s">
        <v>106</v>
      </c>
      <c r="I142" t="s">
        <v>26</v>
      </c>
      <c r="J142">
        <v>1</v>
      </c>
      <c r="K142">
        <v>500</v>
      </c>
      <c r="L142">
        <v>500</v>
      </c>
      <c r="M142">
        <v>500</v>
      </c>
      <c r="N142" t="s">
        <v>19</v>
      </c>
    </row>
    <row r="143" spans="1:14" x14ac:dyDescent="0.25">
      <c r="A143" t="s">
        <v>1561</v>
      </c>
      <c r="B143" t="s">
        <v>1778</v>
      </c>
      <c r="C143" t="s">
        <v>140</v>
      </c>
      <c r="D143" t="s">
        <v>141</v>
      </c>
      <c r="E143" t="s">
        <v>142</v>
      </c>
      <c r="F143" t="s">
        <v>15</v>
      </c>
      <c r="G143" t="s">
        <v>22</v>
      </c>
      <c r="H143" t="s">
        <v>106</v>
      </c>
      <c r="I143" t="s">
        <v>116</v>
      </c>
      <c r="J143">
        <v>1</v>
      </c>
      <c r="K143">
        <v>2185</v>
      </c>
      <c r="L143">
        <v>3500</v>
      </c>
      <c r="M143">
        <v>3500</v>
      </c>
      <c r="N143" t="s">
        <v>19</v>
      </c>
    </row>
    <row r="144" spans="1:14" x14ac:dyDescent="0.25">
      <c r="A144" t="s">
        <v>1561</v>
      </c>
      <c r="B144" t="s">
        <v>1778</v>
      </c>
      <c r="C144" t="s">
        <v>140</v>
      </c>
      <c r="D144" t="s">
        <v>141</v>
      </c>
      <c r="E144" t="s">
        <v>142</v>
      </c>
      <c r="F144" t="s">
        <v>15</v>
      </c>
      <c r="G144" t="s">
        <v>22</v>
      </c>
      <c r="H144" t="s">
        <v>106</v>
      </c>
      <c r="I144" t="s">
        <v>38</v>
      </c>
      <c r="J144">
        <v>1</v>
      </c>
      <c r="K144">
        <v>8500</v>
      </c>
      <c r="L144">
        <v>12500</v>
      </c>
      <c r="M144">
        <v>12500</v>
      </c>
      <c r="N144" t="s">
        <v>19</v>
      </c>
    </row>
    <row r="145" spans="1:14" x14ac:dyDescent="0.25">
      <c r="A145" t="s">
        <v>1507</v>
      </c>
      <c r="B145" t="s">
        <v>1779</v>
      </c>
      <c r="C145" t="s">
        <v>111</v>
      </c>
      <c r="D145" t="s">
        <v>20</v>
      </c>
      <c r="E145" t="s">
        <v>119</v>
      </c>
      <c r="F145" t="s">
        <v>15</v>
      </c>
      <c r="G145" t="s">
        <v>22</v>
      </c>
      <c r="H145" t="s">
        <v>120</v>
      </c>
      <c r="I145" t="s">
        <v>121</v>
      </c>
      <c r="J145">
        <v>50</v>
      </c>
      <c r="K145">
        <v>32</v>
      </c>
      <c r="L145">
        <v>50</v>
      </c>
      <c r="M145">
        <v>2500</v>
      </c>
      <c r="N145" t="s">
        <v>19</v>
      </c>
    </row>
    <row r="146" spans="1:14" x14ac:dyDescent="0.25">
      <c r="A146" t="s">
        <v>1495</v>
      </c>
      <c r="B146" t="s">
        <v>1780</v>
      </c>
      <c r="C146" t="s">
        <v>122</v>
      </c>
      <c r="D146" t="s">
        <v>20</v>
      </c>
      <c r="E146" t="s">
        <v>132</v>
      </c>
      <c r="F146" t="s">
        <v>15</v>
      </c>
      <c r="G146" t="s">
        <v>22</v>
      </c>
      <c r="H146" t="s">
        <v>120</v>
      </c>
      <c r="I146" t="s">
        <v>133</v>
      </c>
      <c r="J146">
        <v>1</v>
      </c>
      <c r="K146">
        <v>3675</v>
      </c>
      <c r="L146">
        <v>10500</v>
      </c>
      <c r="M146">
        <v>10500</v>
      </c>
      <c r="N146" t="s">
        <v>19</v>
      </c>
    </row>
    <row r="147" spans="1:14" x14ac:dyDescent="0.25">
      <c r="A147" t="s">
        <v>1495</v>
      </c>
      <c r="B147" t="s">
        <v>1780</v>
      </c>
      <c r="C147" t="s">
        <v>122</v>
      </c>
      <c r="D147" t="s">
        <v>20</v>
      </c>
      <c r="E147" t="s">
        <v>132</v>
      </c>
      <c r="F147" t="s">
        <v>15</v>
      </c>
      <c r="G147" t="s">
        <v>22</v>
      </c>
      <c r="H147" t="s">
        <v>120</v>
      </c>
      <c r="I147" t="s">
        <v>25</v>
      </c>
      <c r="J147">
        <v>1</v>
      </c>
      <c r="K147">
        <v>12800</v>
      </c>
      <c r="L147">
        <v>12800</v>
      </c>
      <c r="M147">
        <v>12800</v>
      </c>
      <c r="N147" t="s">
        <v>19</v>
      </c>
    </row>
    <row r="148" spans="1:14" x14ac:dyDescent="0.25">
      <c r="A148" t="s">
        <v>1495</v>
      </c>
      <c r="B148" t="s">
        <v>1780</v>
      </c>
      <c r="C148" t="s">
        <v>122</v>
      </c>
      <c r="D148" t="s">
        <v>20</v>
      </c>
      <c r="E148" t="s">
        <v>132</v>
      </c>
      <c r="F148" t="s">
        <v>15</v>
      </c>
      <c r="G148" t="s">
        <v>22</v>
      </c>
      <c r="H148" t="s">
        <v>120</v>
      </c>
      <c r="I148" t="s">
        <v>24</v>
      </c>
      <c r="J148">
        <v>1</v>
      </c>
      <c r="K148">
        <v>12800</v>
      </c>
      <c r="L148">
        <v>12800</v>
      </c>
      <c r="M148">
        <v>12800</v>
      </c>
      <c r="N148" t="s">
        <v>19</v>
      </c>
    </row>
    <row r="149" spans="1:14" x14ac:dyDescent="0.25">
      <c r="A149" t="s">
        <v>1495</v>
      </c>
      <c r="B149" t="s">
        <v>1780</v>
      </c>
      <c r="C149" t="s">
        <v>122</v>
      </c>
      <c r="D149" t="s">
        <v>20</v>
      </c>
      <c r="E149" t="s">
        <v>132</v>
      </c>
      <c r="F149" t="s">
        <v>15</v>
      </c>
      <c r="G149" t="s">
        <v>22</v>
      </c>
      <c r="H149" t="s">
        <v>120</v>
      </c>
      <c r="I149" t="s">
        <v>134</v>
      </c>
      <c r="J149">
        <v>1</v>
      </c>
      <c r="K149">
        <v>500</v>
      </c>
      <c r="L149">
        <v>500</v>
      </c>
      <c r="M149">
        <v>500</v>
      </c>
      <c r="N149" t="s">
        <v>19</v>
      </c>
    </row>
    <row r="150" spans="1:14" x14ac:dyDescent="0.25">
      <c r="A150" t="s">
        <v>1495</v>
      </c>
      <c r="B150" t="s">
        <v>1780</v>
      </c>
      <c r="C150" t="s">
        <v>122</v>
      </c>
      <c r="D150" t="s">
        <v>20</v>
      </c>
      <c r="E150" t="s">
        <v>132</v>
      </c>
      <c r="F150" t="s">
        <v>15</v>
      </c>
      <c r="G150" t="s">
        <v>22</v>
      </c>
      <c r="H150" t="s">
        <v>120</v>
      </c>
      <c r="I150" t="s">
        <v>135</v>
      </c>
      <c r="J150">
        <v>1</v>
      </c>
      <c r="K150">
        <v>4550</v>
      </c>
      <c r="L150">
        <v>6500</v>
      </c>
      <c r="M150">
        <v>6500</v>
      </c>
      <c r="N150" t="s">
        <v>19</v>
      </c>
    </row>
    <row r="151" spans="1:14" x14ac:dyDescent="0.25">
      <c r="A151" t="s">
        <v>1495</v>
      </c>
      <c r="B151" t="s">
        <v>1780</v>
      </c>
      <c r="C151" t="s">
        <v>122</v>
      </c>
      <c r="D151" t="s">
        <v>20</v>
      </c>
      <c r="E151" t="s">
        <v>132</v>
      </c>
      <c r="F151" t="s">
        <v>15</v>
      </c>
      <c r="G151" t="s">
        <v>22</v>
      </c>
      <c r="H151" t="s">
        <v>120</v>
      </c>
      <c r="I151" t="s">
        <v>136</v>
      </c>
      <c r="J151">
        <v>1</v>
      </c>
      <c r="K151">
        <v>8500</v>
      </c>
      <c r="L151">
        <v>12000</v>
      </c>
      <c r="M151">
        <v>12000</v>
      </c>
      <c r="N151" t="s">
        <v>19</v>
      </c>
    </row>
    <row r="152" spans="1:14" x14ac:dyDescent="0.25">
      <c r="A152" t="s">
        <v>1495</v>
      </c>
      <c r="B152" t="s">
        <v>1780</v>
      </c>
      <c r="C152" t="s">
        <v>122</v>
      </c>
      <c r="D152" t="s">
        <v>20</v>
      </c>
      <c r="E152" t="s">
        <v>132</v>
      </c>
      <c r="F152" t="s">
        <v>15</v>
      </c>
      <c r="G152" t="s">
        <v>22</v>
      </c>
      <c r="H152" t="s">
        <v>120</v>
      </c>
      <c r="I152" t="s">
        <v>98</v>
      </c>
      <c r="J152">
        <v>1</v>
      </c>
      <c r="K152">
        <v>935</v>
      </c>
      <c r="L152">
        <v>1300</v>
      </c>
      <c r="M152">
        <v>1300</v>
      </c>
      <c r="N152" t="s">
        <v>19</v>
      </c>
    </row>
    <row r="153" spans="1:14" x14ac:dyDescent="0.25">
      <c r="A153" t="s">
        <v>1495</v>
      </c>
      <c r="B153" t="s">
        <v>1780</v>
      </c>
      <c r="C153" t="s">
        <v>122</v>
      </c>
      <c r="D153" t="s">
        <v>20</v>
      </c>
      <c r="E153" t="s">
        <v>132</v>
      </c>
      <c r="F153" t="s">
        <v>15</v>
      </c>
      <c r="G153" t="s">
        <v>22</v>
      </c>
      <c r="H153" t="s">
        <v>120</v>
      </c>
      <c r="I153" t="s">
        <v>116</v>
      </c>
      <c r="J153">
        <v>1</v>
      </c>
      <c r="K153">
        <v>2185</v>
      </c>
      <c r="L153">
        <v>3500</v>
      </c>
      <c r="M153">
        <v>3500</v>
      </c>
      <c r="N153" t="s">
        <v>19</v>
      </c>
    </row>
    <row r="154" spans="1:14" x14ac:dyDescent="0.25">
      <c r="A154" t="s">
        <v>1495</v>
      </c>
      <c r="B154" t="s">
        <v>1780</v>
      </c>
      <c r="C154" t="s">
        <v>122</v>
      </c>
      <c r="D154" t="s">
        <v>20</v>
      </c>
      <c r="E154" t="s">
        <v>132</v>
      </c>
      <c r="F154" t="s">
        <v>15</v>
      </c>
      <c r="G154" t="s">
        <v>22</v>
      </c>
      <c r="H154" t="s">
        <v>120</v>
      </c>
      <c r="I154" t="s">
        <v>137</v>
      </c>
      <c r="J154">
        <v>1</v>
      </c>
      <c r="K154">
        <v>2200</v>
      </c>
      <c r="L154">
        <v>3100</v>
      </c>
      <c r="M154">
        <v>3100</v>
      </c>
      <c r="N154" t="s">
        <v>19</v>
      </c>
    </row>
    <row r="155" spans="1:14" x14ac:dyDescent="0.25">
      <c r="A155" t="s">
        <v>1495</v>
      </c>
      <c r="B155" t="s">
        <v>1780</v>
      </c>
      <c r="C155" t="s">
        <v>122</v>
      </c>
      <c r="D155" t="s">
        <v>20</v>
      </c>
      <c r="E155" t="s">
        <v>132</v>
      </c>
      <c r="F155" t="s">
        <v>15</v>
      </c>
      <c r="G155" t="s">
        <v>22</v>
      </c>
      <c r="H155" t="s">
        <v>120</v>
      </c>
      <c r="I155" t="s">
        <v>138</v>
      </c>
      <c r="J155">
        <v>1</v>
      </c>
      <c r="K155">
        <v>18700</v>
      </c>
      <c r="L155">
        <v>27000</v>
      </c>
      <c r="M155">
        <v>27000</v>
      </c>
      <c r="N155" t="s">
        <v>19</v>
      </c>
    </row>
    <row r="156" spans="1:14" x14ac:dyDescent="0.25">
      <c r="A156" t="s">
        <v>1495</v>
      </c>
      <c r="B156" t="s">
        <v>1780</v>
      </c>
      <c r="C156" t="s">
        <v>122</v>
      </c>
      <c r="D156" t="s">
        <v>20</v>
      </c>
      <c r="E156" t="s">
        <v>132</v>
      </c>
      <c r="F156" t="s">
        <v>15</v>
      </c>
      <c r="G156" t="s">
        <v>22</v>
      </c>
      <c r="H156" t="s">
        <v>120</v>
      </c>
      <c r="I156" t="s">
        <v>139</v>
      </c>
      <c r="J156">
        <v>1</v>
      </c>
      <c r="K156">
        <v>2800</v>
      </c>
      <c r="L156">
        <v>4000</v>
      </c>
      <c r="M156">
        <v>4000</v>
      </c>
      <c r="N156" t="s">
        <v>19</v>
      </c>
    </row>
    <row r="157" spans="1:14" x14ac:dyDescent="0.25">
      <c r="A157" t="s">
        <v>1495</v>
      </c>
      <c r="B157" t="s">
        <v>1780</v>
      </c>
      <c r="C157" t="s">
        <v>122</v>
      </c>
      <c r="D157" t="s">
        <v>20</v>
      </c>
      <c r="E157" t="s">
        <v>132</v>
      </c>
      <c r="F157" t="s">
        <v>15</v>
      </c>
      <c r="G157" t="s">
        <v>22</v>
      </c>
      <c r="H157" t="s">
        <v>120</v>
      </c>
      <c r="I157" t="s">
        <v>99</v>
      </c>
      <c r="J157">
        <v>1</v>
      </c>
      <c r="K157">
        <v>2800</v>
      </c>
      <c r="L157">
        <v>4000</v>
      </c>
      <c r="M157">
        <v>4000</v>
      </c>
      <c r="N157" t="s">
        <v>19</v>
      </c>
    </row>
    <row r="158" spans="1:14" x14ac:dyDescent="0.25">
      <c r="A158" t="s">
        <v>1495</v>
      </c>
      <c r="B158" t="s">
        <v>1780</v>
      </c>
      <c r="C158" t="s">
        <v>122</v>
      </c>
      <c r="D158" t="s">
        <v>20</v>
      </c>
      <c r="E158" t="s">
        <v>132</v>
      </c>
      <c r="F158" t="s">
        <v>15</v>
      </c>
      <c r="G158" t="s">
        <v>22</v>
      </c>
      <c r="H158" t="s">
        <v>120</v>
      </c>
      <c r="I158" t="s">
        <v>76</v>
      </c>
      <c r="J158">
        <v>1</v>
      </c>
      <c r="K158">
        <v>500</v>
      </c>
      <c r="L158">
        <v>500</v>
      </c>
      <c r="M158">
        <v>500</v>
      </c>
      <c r="N158" t="s">
        <v>19</v>
      </c>
    </row>
    <row r="159" spans="1:14" x14ac:dyDescent="0.25">
      <c r="A159" t="s">
        <v>1474</v>
      </c>
      <c r="B159" t="s">
        <v>1781</v>
      </c>
      <c r="C159" t="s">
        <v>140</v>
      </c>
      <c r="D159" t="s">
        <v>20</v>
      </c>
      <c r="E159" t="s">
        <v>144</v>
      </c>
      <c r="F159" t="s">
        <v>15</v>
      </c>
      <c r="G159" t="s">
        <v>22</v>
      </c>
      <c r="H159" t="s">
        <v>120</v>
      </c>
      <c r="I159" t="s">
        <v>145</v>
      </c>
      <c r="J159">
        <v>1</v>
      </c>
      <c r="K159">
        <v>2975</v>
      </c>
      <c r="L159">
        <v>8500</v>
      </c>
      <c r="M159">
        <v>8500</v>
      </c>
      <c r="N159" t="s">
        <v>19</v>
      </c>
    </row>
    <row r="160" spans="1:14" x14ac:dyDescent="0.25">
      <c r="A160" t="s">
        <v>1474</v>
      </c>
      <c r="B160" t="s">
        <v>1781</v>
      </c>
      <c r="C160" t="s">
        <v>140</v>
      </c>
      <c r="D160" t="s">
        <v>20</v>
      </c>
      <c r="E160" t="s">
        <v>144</v>
      </c>
      <c r="F160" t="s">
        <v>15</v>
      </c>
      <c r="G160" t="s">
        <v>22</v>
      </c>
      <c r="H160" t="s">
        <v>120</v>
      </c>
      <c r="I160" t="s">
        <v>25</v>
      </c>
      <c r="J160">
        <v>1</v>
      </c>
      <c r="K160">
        <v>8000</v>
      </c>
      <c r="L160">
        <v>8000</v>
      </c>
      <c r="M160">
        <v>8000</v>
      </c>
      <c r="N160" t="s">
        <v>19</v>
      </c>
    </row>
    <row r="161" spans="1:14" x14ac:dyDescent="0.25">
      <c r="A161" t="s">
        <v>1474</v>
      </c>
      <c r="B161" t="s">
        <v>1781</v>
      </c>
      <c r="C161" t="s">
        <v>140</v>
      </c>
      <c r="D161" t="s">
        <v>20</v>
      </c>
      <c r="E161" t="s">
        <v>144</v>
      </c>
      <c r="F161" t="s">
        <v>15</v>
      </c>
      <c r="G161" t="s">
        <v>22</v>
      </c>
      <c r="H161" t="s">
        <v>120</v>
      </c>
      <c r="I161" t="s">
        <v>24</v>
      </c>
      <c r="J161">
        <v>1</v>
      </c>
      <c r="K161">
        <v>8000</v>
      </c>
      <c r="L161">
        <v>8000</v>
      </c>
      <c r="M161">
        <v>8000</v>
      </c>
      <c r="N161" t="s">
        <v>19</v>
      </c>
    </row>
    <row r="162" spans="1:14" x14ac:dyDescent="0.25">
      <c r="A162" t="s">
        <v>1474</v>
      </c>
      <c r="B162" t="s">
        <v>1781</v>
      </c>
      <c r="C162" t="s">
        <v>140</v>
      </c>
      <c r="D162" t="s">
        <v>20</v>
      </c>
      <c r="E162" t="s">
        <v>144</v>
      </c>
      <c r="F162" t="s">
        <v>15</v>
      </c>
      <c r="G162" t="s">
        <v>22</v>
      </c>
      <c r="H162" t="s">
        <v>120</v>
      </c>
      <c r="I162" t="s">
        <v>134</v>
      </c>
      <c r="J162">
        <v>1</v>
      </c>
      <c r="K162">
        <v>500</v>
      </c>
      <c r="L162">
        <v>500</v>
      </c>
      <c r="M162">
        <v>500</v>
      </c>
      <c r="N162" t="s">
        <v>19</v>
      </c>
    </row>
    <row r="163" spans="1:14" x14ac:dyDescent="0.25">
      <c r="A163" t="s">
        <v>1474</v>
      </c>
      <c r="B163" t="s">
        <v>1781</v>
      </c>
      <c r="C163" t="s">
        <v>140</v>
      </c>
      <c r="D163" t="s">
        <v>20</v>
      </c>
      <c r="E163" t="s">
        <v>144</v>
      </c>
      <c r="F163" t="s">
        <v>15</v>
      </c>
      <c r="G163" t="s">
        <v>22</v>
      </c>
      <c r="H163" t="s">
        <v>120</v>
      </c>
      <c r="I163" t="s">
        <v>146</v>
      </c>
      <c r="J163">
        <v>1</v>
      </c>
      <c r="K163">
        <v>10900</v>
      </c>
      <c r="L163">
        <v>15500</v>
      </c>
      <c r="M163">
        <v>15500</v>
      </c>
      <c r="N163" t="s">
        <v>19</v>
      </c>
    </row>
    <row r="164" spans="1:14" x14ac:dyDescent="0.25">
      <c r="A164" t="s">
        <v>1474</v>
      </c>
      <c r="B164" t="s">
        <v>1781</v>
      </c>
      <c r="C164" t="s">
        <v>140</v>
      </c>
      <c r="D164" t="s">
        <v>20</v>
      </c>
      <c r="E164" t="s">
        <v>144</v>
      </c>
      <c r="F164" t="s">
        <v>15</v>
      </c>
      <c r="G164" t="s">
        <v>22</v>
      </c>
      <c r="H164" t="s">
        <v>120</v>
      </c>
      <c r="I164" t="s">
        <v>96</v>
      </c>
      <c r="J164">
        <v>1</v>
      </c>
      <c r="K164">
        <v>2185</v>
      </c>
      <c r="L164">
        <v>3100</v>
      </c>
      <c r="M164">
        <v>3100</v>
      </c>
      <c r="N164" t="s">
        <v>19</v>
      </c>
    </row>
    <row r="165" spans="1:14" x14ac:dyDescent="0.25">
      <c r="A165" t="s">
        <v>1474</v>
      </c>
      <c r="B165" t="s">
        <v>1781</v>
      </c>
      <c r="C165" t="s">
        <v>140</v>
      </c>
      <c r="D165" t="s">
        <v>20</v>
      </c>
      <c r="E165" t="s">
        <v>144</v>
      </c>
      <c r="F165" t="s">
        <v>15</v>
      </c>
      <c r="G165" t="s">
        <v>22</v>
      </c>
      <c r="H165" t="s">
        <v>120</v>
      </c>
      <c r="I165" t="s">
        <v>76</v>
      </c>
      <c r="J165">
        <v>1</v>
      </c>
      <c r="K165">
        <v>500</v>
      </c>
      <c r="L165">
        <v>500</v>
      </c>
      <c r="M165">
        <v>500</v>
      </c>
      <c r="N165" t="s">
        <v>19</v>
      </c>
    </row>
    <row r="166" spans="1:14" x14ac:dyDescent="0.25">
      <c r="A166" t="s">
        <v>1486</v>
      </c>
      <c r="B166" t="s">
        <v>1782</v>
      </c>
      <c r="C166" t="s">
        <v>147</v>
      </c>
      <c r="D166" t="s">
        <v>20</v>
      </c>
      <c r="E166" t="s">
        <v>31</v>
      </c>
      <c r="F166" t="s">
        <v>15</v>
      </c>
      <c r="G166" t="s">
        <v>22</v>
      </c>
      <c r="H166" t="s">
        <v>153</v>
      </c>
      <c r="I166" t="s">
        <v>154</v>
      </c>
      <c r="J166">
        <v>5</v>
      </c>
      <c r="K166">
        <v>965</v>
      </c>
      <c r="L166">
        <v>1300</v>
      </c>
      <c r="M166">
        <v>6500</v>
      </c>
      <c r="N166" t="s">
        <v>19</v>
      </c>
    </row>
    <row r="167" spans="1:14" x14ac:dyDescent="0.25">
      <c r="A167" t="s">
        <v>1582</v>
      </c>
      <c r="B167" t="s">
        <v>1783</v>
      </c>
      <c r="C167" t="s">
        <v>155</v>
      </c>
      <c r="D167" t="s">
        <v>156</v>
      </c>
      <c r="E167" t="s">
        <v>157</v>
      </c>
      <c r="F167" t="s">
        <v>15</v>
      </c>
      <c r="G167" t="s">
        <v>22</v>
      </c>
      <c r="H167" t="s">
        <v>158</v>
      </c>
      <c r="I167" t="s">
        <v>33</v>
      </c>
      <c r="J167">
        <v>1</v>
      </c>
      <c r="K167">
        <v>10000</v>
      </c>
      <c r="L167">
        <v>10000</v>
      </c>
      <c r="M167">
        <v>10000</v>
      </c>
      <c r="N167" t="s">
        <v>19</v>
      </c>
    </row>
    <row r="168" spans="1:14" x14ac:dyDescent="0.25">
      <c r="A168" t="s">
        <v>1603</v>
      </c>
      <c r="B168" t="s">
        <v>1784</v>
      </c>
      <c r="C168" t="s">
        <v>155</v>
      </c>
      <c r="D168" t="s">
        <v>159</v>
      </c>
      <c r="E168" t="s">
        <v>160</v>
      </c>
      <c r="F168" t="s">
        <v>15</v>
      </c>
      <c r="G168" t="s">
        <v>22</v>
      </c>
      <c r="H168" t="s">
        <v>158</v>
      </c>
      <c r="I168" t="s">
        <v>161</v>
      </c>
      <c r="J168">
        <v>4</v>
      </c>
      <c r="K168">
        <v>8500</v>
      </c>
      <c r="L168">
        <v>12000</v>
      </c>
      <c r="M168">
        <v>48000</v>
      </c>
      <c r="N168" t="s">
        <v>19</v>
      </c>
    </row>
    <row r="169" spans="1:14" x14ac:dyDescent="0.25">
      <c r="A169" t="s">
        <v>1603</v>
      </c>
      <c r="B169" t="s">
        <v>1784</v>
      </c>
      <c r="C169" t="s">
        <v>155</v>
      </c>
      <c r="D169" t="s">
        <v>159</v>
      </c>
      <c r="E169" t="s">
        <v>160</v>
      </c>
      <c r="F169" t="s">
        <v>15</v>
      </c>
      <c r="G169" t="s">
        <v>22</v>
      </c>
      <c r="H169" t="s">
        <v>158</v>
      </c>
      <c r="I169" t="s">
        <v>63</v>
      </c>
      <c r="J169">
        <v>1</v>
      </c>
      <c r="K169">
        <v>500</v>
      </c>
      <c r="L169">
        <v>500</v>
      </c>
      <c r="M169">
        <v>500</v>
      </c>
      <c r="N169" t="s">
        <v>19</v>
      </c>
    </row>
    <row r="170" spans="1:14" x14ac:dyDescent="0.25">
      <c r="A170" t="s">
        <v>1473</v>
      </c>
      <c r="B170" t="s">
        <v>1785</v>
      </c>
      <c r="C170" t="s">
        <v>162</v>
      </c>
      <c r="D170" t="s">
        <v>20</v>
      </c>
      <c r="E170" t="s">
        <v>168</v>
      </c>
      <c r="F170" t="s">
        <v>15</v>
      </c>
      <c r="G170" t="s">
        <v>22</v>
      </c>
      <c r="H170" t="s">
        <v>158</v>
      </c>
      <c r="I170" t="s">
        <v>169</v>
      </c>
      <c r="J170">
        <v>1</v>
      </c>
      <c r="K170">
        <v>3675</v>
      </c>
      <c r="L170">
        <v>10500</v>
      </c>
      <c r="M170">
        <v>10500</v>
      </c>
      <c r="N170" t="s">
        <v>19</v>
      </c>
    </row>
    <row r="171" spans="1:14" x14ac:dyDescent="0.25">
      <c r="A171" t="s">
        <v>1473</v>
      </c>
      <c r="B171" t="s">
        <v>1785</v>
      </c>
      <c r="C171" t="s">
        <v>162</v>
      </c>
      <c r="D171" t="s">
        <v>20</v>
      </c>
      <c r="E171" t="s">
        <v>168</v>
      </c>
      <c r="F171" t="s">
        <v>15</v>
      </c>
      <c r="G171" t="s">
        <v>22</v>
      </c>
      <c r="H171" t="s">
        <v>158</v>
      </c>
      <c r="I171" t="s">
        <v>170</v>
      </c>
      <c r="J171">
        <v>1</v>
      </c>
      <c r="K171">
        <v>4000</v>
      </c>
      <c r="L171">
        <v>4000</v>
      </c>
      <c r="M171">
        <v>4000</v>
      </c>
      <c r="N171" t="s">
        <v>19</v>
      </c>
    </row>
    <row r="172" spans="1:14" x14ac:dyDescent="0.25">
      <c r="A172" t="s">
        <v>1473</v>
      </c>
      <c r="B172" t="s">
        <v>1785</v>
      </c>
      <c r="C172" t="s">
        <v>162</v>
      </c>
      <c r="D172" t="s">
        <v>20</v>
      </c>
      <c r="E172" t="s">
        <v>168</v>
      </c>
      <c r="F172" t="s">
        <v>15</v>
      </c>
      <c r="G172" t="s">
        <v>22</v>
      </c>
      <c r="H172" t="s">
        <v>158</v>
      </c>
      <c r="I172" t="s">
        <v>24</v>
      </c>
      <c r="J172">
        <v>1</v>
      </c>
      <c r="K172">
        <v>4000</v>
      </c>
      <c r="L172">
        <v>4000</v>
      </c>
      <c r="M172">
        <v>4000</v>
      </c>
      <c r="N172" t="s">
        <v>19</v>
      </c>
    </row>
    <row r="173" spans="1:14" x14ac:dyDescent="0.25">
      <c r="A173" t="s">
        <v>1473</v>
      </c>
      <c r="B173" t="s">
        <v>1785</v>
      </c>
      <c r="C173" t="s">
        <v>162</v>
      </c>
      <c r="D173" t="s">
        <v>20</v>
      </c>
      <c r="E173" t="s">
        <v>168</v>
      </c>
      <c r="F173" t="s">
        <v>15</v>
      </c>
      <c r="G173" t="s">
        <v>22</v>
      </c>
      <c r="H173" t="s">
        <v>158</v>
      </c>
      <c r="I173" t="s">
        <v>171</v>
      </c>
      <c r="J173">
        <v>1</v>
      </c>
      <c r="K173">
        <v>500</v>
      </c>
      <c r="L173">
        <v>500</v>
      </c>
      <c r="M173">
        <v>500</v>
      </c>
      <c r="N173" t="s">
        <v>19</v>
      </c>
    </row>
    <row r="174" spans="1:14" x14ac:dyDescent="0.25">
      <c r="A174" t="s">
        <v>1473</v>
      </c>
      <c r="B174" t="s">
        <v>1786</v>
      </c>
      <c r="C174" t="s">
        <v>172</v>
      </c>
      <c r="D174" t="s">
        <v>20</v>
      </c>
      <c r="E174" t="s">
        <v>168</v>
      </c>
      <c r="F174" t="s">
        <v>15</v>
      </c>
      <c r="G174" t="s">
        <v>22</v>
      </c>
      <c r="H174" t="s">
        <v>158</v>
      </c>
      <c r="I174" t="s">
        <v>169</v>
      </c>
      <c r="J174">
        <v>1</v>
      </c>
      <c r="K174">
        <v>3675</v>
      </c>
      <c r="L174">
        <v>10500</v>
      </c>
      <c r="M174">
        <v>10500</v>
      </c>
      <c r="N174" t="s">
        <v>19</v>
      </c>
    </row>
    <row r="175" spans="1:14" x14ac:dyDescent="0.25">
      <c r="A175" t="s">
        <v>1473</v>
      </c>
      <c r="B175" t="s">
        <v>1786</v>
      </c>
      <c r="C175" t="s">
        <v>172</v>
      </c>
      <c r="D175" t="s">
        <v>20</v>
      </c>
      <c r="E175" t="s">
        <v>168</v>
      </c>
      <c r="F175" t="s">
        <v>15</v>
      </c>
      <c r="G175" t="s">
        <v>22</v>
      </c>
      <c r="H175" t="s">
        <v>158</v>
      </c>
      <c r="I175" t="s">
        <v>170</v>
      </c>
      <c r="J175">
        <v>1</v>
      </c>
      <c r="K175">
        <v>4000</v>
      </c>
      <c r="L175">
        <v>4000</v>
      </c>
      <c r="M175">
        <v>4000</v>
      </c>
      <c r="N175" t="s">
        <v>19</v>
      </c>
    </row>
    <row r="176" spans="1:14" x14ac:dyDescent="0.25">
      <c r="A176" t="s">
        <v>1473</v>
      </c>
      <c r="B176" t="s">
        <v>1786</v>
      </c>
      <c r="C176" t="s">
        <v>172</v>
      </c>
      <c r="D176" t="s">
        <v>20</v>
      </c>
      <c r="E176" t="s">
        <v>168</v>
      </c>
      <c r="F176" t="s">
        <v>15</v>
      </c>
      <c r="G176" t="s">
        <v>22</v>
      </c>
      <c r="H176" t="s">
        <v>158</v>
      </c>
      <c r="I176" t="s">
        <v>24</v>
      </c>
      <c r="J176">
        <v>1</v>
      </c>
      <c r="K176">
        <v>4000</v>
      </c>
      <c r="L176">
        <v>4000</v>
      </c>
      <c r="M176">
        <v>4000</v>
      </c>
      <c r="N176" t="s">
        <v>19</v>
      </c>
    </row>
    <row r="177" spans="1:14" x14ac:dyDescent="0.25">
      <c r="A177" t="s">
        <v>1473</v>
      </c>
      <c r="B177" t="s">
        <v>1786</v>
      </c>
      <c r="C177" t="s">
        <v>172</v>
      </c>
      <c r="D177" t="s">
        <v>20</v>
      </c>
      <c r="E177" t="s">
        <v>168</v>
      </c>
      <c r="F177" t="s">
        <v>15</v>
      </c>
      <c r="G177" t="s">
        <v>22</v>
      </c>
      <c r="H177" t="s">
        <v>158</v>
      </c>
      <c r="I177" t="s">
        <v>171</v>
      </c>
      <c r="J177">
        <v>1</v>
      </c>
      <c r="K177">
        <v>500</v>
      </c>
      <c r="L177">
        <v>500</v>
      </c>
      <c r="M177">
        <v>500</v>
      </c>
      <c r="N177" t="s">
        <v>19</v>
      </c>
    </row>
    <row r="178" spans="1:14" x14ac:dyDescent="0.25">
      <c r="A178" t="s">
        <v>1473</v>
      </c>
      <c r="B178" t="s">
        <v>1787</v>
      </c>
      <c r="C178" t="s">
        <v>178</v>
      </c>
      <c r="D178" t="s">
        <v>20</v>
      </c>
      <c r="E178" t="s">
        <v>168</v>
      </c>
      <c r="F178" t="s">
        <v>15</v>
      </c>
      <c r="G178" t="s">
        <v>22</v>
      </c>
      <c r="H178" t="s">
        <v>158</v>
      </c>
      <c r="I178" t="s">
        <v>169</v>
      </c>
      <c r="J178">
        <v>1</v>
      </c>
      <c r="K178">
        <v>3675</v>
      </c>
      <c r="L178">
        <v>10500</v>
      </c>
      <c r="M178">
        <v>10500</v>
      </c>
      <c r="N178" t="s">
        <v>19</v>
      </c>
    </row>
    <row r="179" spans="1:14" x14ac:dyDescent="0.25">
      <c r="A179" t="s">
        <v>1473</v>
      </c>
      <c r="B179" t="s">
        <v>1787</v>
      </c>
      <c r="C179" t="s">
        <v>178</v>
      </c>
      <c r="D179" t="s">
        <v>20</v>
      </c>
      <c r="E179" t="s">
        <v>168</v>
      </c>
      <c r="F179" t="s">
        <v>15</v>
      </c>
      <c r="G179" t="s">
        <v>22</v>
      </c>
      <c r="H179" t="s">
        <v>158</v>
      </c>
      <c r="I179" t="s">
        <v>170</v>
      </c>
      <c r="J179">
        <v>1</v>
      </c>
      <c r="K179">
        <v>4750</v>
      </c>
      <c r="L179">
        <v>4750</v>
      </c>
      <c r="M179">
        <v>4750</v>
      </c>
      <c r="N179" t="s">
        <v>19</v>
      </c>
    </row>
    <row r="180" spans="1:14" x14ac:dyDescent="0.25">
      <c r="A180" t="s">
        <v>1473</v>
      </c>
      <c r="B180" t="s">
        <v>1787</v>
      </c>
      <c r="C180" t="s">
        <v>178</v>
      </c>
      <c r="D180" t="s">
        <v>20</v>
      </c>
      <c r="E180" t="s">
        <v>168</v>
      </c>
      <c r="F180" t="s">
        <v>15</v>
      </c>
      <c r="G180" t="s">
        <v>22</v>
      </c>
      <c r="H180" t="s">
        <v>158</v>
      </c>
      <c r="I180" t="s">
        <v>24</v>
      </c>
      <c r="J180">
        <v>1</v>
      </c>
      <c r="K180">
        <v>4750</v>
      </c>
      <c r="L180">
        <v>4750</v>
      </c>
      <c r="M180">
        <v>4750</v>
      </c>
      <c r="N180" t="s">
        <v>19</v>
      </c>
    </row>
    <row r="181" spans="1:14" x14ac:dyDescent="0.25">
      <c r="A181" t="s">
        <v>1637</v>
      </c>
      <c r="B181" t="s">
        <v>1788</v>
      </c>
      <c r="C181" t="s">
        <v>162</v>
      </c>
      <c r="D181" t="s">
        <v>163</v>
      </c>
      <c r="E181" t="s">
        <v>164</v>
      </c>
      <c r="F181" t="s">
        <v>15</v>
      </c>
      <c r="G181" t="s">
        <v>37</v>
      </c>
      <c r="H181" t="s">
        <v>165</v>
      </c>
      <c r="I181" t="s">
        <v>166</v>
      </c>
      <c r="J181">
        <v>1</v>
      </c>
      <c r="K181">
        <v>7000</v>
      </c>
      <c r="L181">
        <v>20000</v>
      </c>
      <c r="M181">
        <v>20000</v>
      </c>
      <c r="N181" t="s">
        <v>19</v>
      </c>
    </row>
    <row r="182" spans="1:14" x14ac:dyDescent="0.25">
      <c r="A182" t="s">
        <v>1637</v>
      </c>
      <c r="B182" t="s">
        <v>1788</v>
      </c>
      <c r="C182" t="s">
        <v>162</v>
      </c>
      <c r="D182" t="s">
        <v>163</v>
      </c>
      <c r="E182" t="s">
        <v>164</v>
      </c>
      <c r="F182" t="s">
        <v>15</v>
      </c>
      <c r="G182" t="s">
        <v>37</v>
      </c>
      <c r="H182" t="s">
        <v>165</v>
      </c>
      <c r="I182" t="s">
        <v>167</v>
      </c>
      <c r="J182">
        <v>1</v>
      </c>
      <c r="K182">
        <v>25995</v>
      </c>
      <c r="L182">
        <v>32000</v>
      </c>
      <c r="M182">
        <v>32000</v>
      </c>
      <c r="N182" t="s">
        <v>19</v>
      </c>
    </row>
    <row r="183" spans="1:14" x14ac:dyDescent="0.25">
      <c r="A183" t="s">
        <v>1609</v>
      </c>
      <c r="B183" t="s">
        <v>1789</v>
      </c>
      <c r="C183" t="s">
        <v>184</v>
      </c>
      <c r="D183" t="s">
        <v>191</v>
      </c>
      <c r="E183" t="s">
        <v>192</v>
      </c>
      <c r="F183" t="s">
        <v>15</v>
      </c>
      <c r="G183" t="s">
        <v>22</v>
      </c>
      <c r="H183" t="s">
        <v>193</v>
      </c>
      <c r="I183" t="s">
        <v>194</v>
      </c>
      <c r="J183">
        <v>1</v>
      </c>
      <c r="K183">
        <v>250000</v>
      </c>
      <c r="L183">
        <v>298000</v>
      </c>
      <c r="M183">
        <v>298000</v>
      </c>
      <c r="N183" t="s">
        <v>19</v>
      </c>
    </row>
    <row r="184" spans="1:14" x14ac:dyDescent="0.25">
      <c r="A184" t="s">
        <v>1609</v>
      </c>
      <c r="B184" t="s">
        <v>1789</v>
      </c>
      <c r="C184" t="s">
        <v>184</v>
      </c>
      <c r="D184" t="s">
        <v>191</v>
      </c>
      <c r="E184" t="s">
        <v>192</v>
      </c>
      <c r="F184" t="s">
        <v>15</v>
      </c>
      <c r="G184" t="s">
        <v>22</v>
      </c>
      <c r="H184" t="s">
        <v>193</v>
      </c>
      <c r="I184" t="s">
        <v>195</v>
      </c>
      <c r="J184">
        <v>6</v>
      </c>
      <c r="K184">
        <v>20000</v>
      </c>
      <c r="L184">
        <v>25333</v>
      </c>
      <c r="M184">
        <v>151998</v>
      </c>
      <c r="N184" t="s">
        <v>19</v>
      </c>
    </row>
    <row r="185" spans="1:14" x14ac:dyDescent="0.25">
      <c r="A185" t="s">
        <v>1609</v>
      </c>
      <c r="B185" t="s">
        <v>1789</v>
      </c>
      <c r="C185" t="s">
        <v>184</v>
      </c>
      <c r="D185" t="s">
        <v>191</v>
      </c>
      <c r="E185" t="s">
        <v>192</v>
      </c>
      <c r="F185" t="s">
        <v>15</v>
      </c>
      <c r="G185" t="s">
        <v>22</v>
      </c>
      <c r="H185" t="s">
        <v>193</v>
      </c>
      <c r="I185" t="s">
        <v>26</v>
      </c>
      <c r="J185">
        <v>5</v>
      </c>
      <c r="K185">
        <v>500</v>
      </c>
      <c r="L185">
        <v>500</v>
      </c>
      <c r="M185">
        <v>2500</v>
      </c>
      <c r="N185" t="s">
        <v>19</v>
      </c>
    </row>
    <row r="186" spans="1:14" x14ac:dyDescent="0.25">
      <c r="A186" t="s">
        <v>1609</v>
      </c>
      <c r="B186" t="s">
        <v>1789</v>
      </c>
      <c r="C186" t="s">
        <v>184</v>
      </c>
      <c r="D186" t="s">
        <v>191</v>
      </c>
      <c r="E186" t="s">
        <v>192</v>
      </c>
      <c r="F186" t="s">
        <v>15</v>
      </c>
      <c r="G186" t="s">
        <v>22</v>
      </c>
      <c r="H186" t="s">
        <v>193</v>
      </c>
      <c r="I186" t="s">
        <v>196</v>
      </c>
      <c r="J186">
        <v>1</v>
      </c>
      <c r="K186">
        <v>19000</v>
      </c>
      <c r="L186">
        <v>25000</v>
      </c>
      <c r="M186">
        <v>25000</v>
      </c>
      <c r="N186" t="s">
        <v>19</v>
      </c>
    </row>
    <row r="187" spans="1:14" x14ac:dyDescent="0.25">
      <c r="A187" t="s">
        <v>1609</v>
      </c>
      <c r="B187" t="s">
        <v>1789</v>
      </c>
      <c r="C187" t="s">
        <v>184</v>
      </c>
      <c r="D187" t="s">
        <v>191</v>
      </c>
      <c r="E187" t="s">
        <v>192</v>
      </c>
      <c r="F187" t="s">
        <v>15</v>
      </c>
      <c r="G187" t="s">
        <v>22</v>
      </c>
      <c r="H187" t="s">
        <v>193</v>
      </c>
      <c r="I187" t="s">
        <v>197</v>
      </c>
      <c r="J187">
        <v>1</v>
      </c>
      <c r="K187">
        <v>1500</v>
      </c>
      <c r="L187">
        <v>1500</v>
      </c>
      <c r="M187">
        <v>1500</v>
      </c>
      <c r="N187" t="s">
        <v>19</v>
      </c>
    </row>
    <row r="188" spans="1:14" x14ac:dyDescent="0.25">
      <c r="A188" t="s">
        <v>1554</v>
      </c>
      <c r="B188" t="s">
        <v>1790</v>
      </c>
      <c r="C188" t="s">
        <v>198</v>
      </c>
      <c r="D188" t="s">
        <v>204</v>
      </c>
      <c r="E188" t="s">
        <v>205</v>
      </c>
      <c r="F188" t="s">
        <v>15</v>
      </c>
      <c r="G188" t="s">
        <v>22</v>
      </c>
      <c r="H188" t="s">
        <v>193</v>
      </c>
      <c r="I188" t="s">
        <v>33</v>
      </c>
      <c r="J188">
        <v>3</v>
      </c>
      <c r="K188">
        <v>10000</v>
      </c>
      <c r="L188">
        <v>10000</v>
      </c>
      <c r="M188">
        <v>30000</v>
      </c>
      <c r="N188" t="s">
        <v>19</v>
      </c>
    </row>
    <row r="189" spans="1:14" x14ac:dyDescent="0.25">
      <c r="A189" t="s">
        <v>1553</v>
      </c>
      <c r="B189" t="s">
        <v>1791</v>
      </c>
      <c r="C189" t="s">
        <v>86</v>
      </c>
      <c r="D189" t="s">
        <v>1038</v>
      </c>
      <c r="E189" t="s">
        <v>1039</v>
      </c>
      <c r="F189" t="s">
        <v>15</v>
      </c>
      <c r="G189" t="s">
        <v>37</v>
      </c>
      <c r="H189" t="s">
        <v>1040</v>
      </c>
      <c r="I189" t="s">
        <v>33</v>
      </c>
      <c r="J189">
        <v>1</v>
      </c>
      <c r="K189">
        <v>18000</v>
      </c>
      <c r="L189">
        <v>18000</v>
      </c>
      <c r="M189">
        <v>18000</v>
      </c>
      <c r="N189" t="s">
        <v>19</v>
      </c>
    </row>
    <row r="190" spans="1:14" x14ac:dyDescent="0.25">
      <c r="A190" t="s">
        <v>1617</v>
      </c>
      <c r="B190" t="s">
        <v>1792</v>
      </c>
      <c r="C190" t="s">
        <v>172</v>
      </c>
      <c r="D190" t="s">
        <v>173</v>
      </c>
      <c r="E190" t="s">
        <v>174</v>
      </c>
      <c r="F190" t="s">
        <v>15</v>
      </c>
      <c r="G190" t="s">
        <v>22</v>
      </c>
      <c r="H190" t="s">
        <v>175</v>
      </c>
      <c r="I190" t="s">
        <v>176</v>
      </c>
      <c r="J190">
        <v>1</v>
      </c>
      <c r="K190">
        <v>9500</v>
      </c>
      <c r="L190">
        <v>13250</v>
      </c>
      <c r="M190">
        <v>13250</v>
      </c>
      <c r="N190" t="s">
        <v>19</v>
      </c>
    </row>
    <row r="191" spans="1:14" x14ac:dyDescent="0.25">
      <c r="A191" t="s">
        <v>1617</v>
      </c>
      <c r="B191" t="s">
        <v>1792</v>
      </c>
      <c r="C191" t="s">
        <v>172</v>
      </c>
      <c r="D191" t="s">
        <v>173</v>
      </c>
      <c r="E191" t="s">
        <v>174</v>
      </c>
      <c r="F191" t="s">
        <v>15</v>
      </c>
      <c r="G191" t="s">
        <v>22</v>
      </c>
      <c r="H191" t="s">
        <v>175</v>
      </c>
      <c r="I191" t="s">
        <v>177</v>
      </c>
      <c r="J191">
        <v>1</v>
      </c>
      <c r="K191">
        <v>9500</v>
      </c>
      <c r="L191">
        <v>13250</v>
      </c>
      <c r="M191">
        <v>13250</v>
      </c>
      <c r="N191" t="s">
        <v>19</v>
      </c>
    </row>
    <row r="192" spans="1:14" x14ac:dyDescent="0.25">
      <c r="A192" t="s">
        <v>1617</v>
      </c>
      <c r="B192" t="s">
        <v>1792</v>
      </c>
      <c r="C192" t="s">
        <v>172</v>
      </c>
      <c r="D192" t="s">
        <v>173</v>
      </c>
      <c r="E192" t="s">
        <v>174</v>
      </c>
      <c r="F192" t="s">
        <v>15</v>
      </c>
      <c r="G192" t="s">
        <v>22</v>
      </c>
      <c r="H192" t="s">
        <v>175</v>
      </c>
      <c r="I192" t="s">
        <v>63</v>
      </c>
      <c r="J192">
        <v>1</v>
      </c>
      <c r="K192">
        <v>500</v>
      </c>
      <c r="L192">
        <v>500</v>
      </c>
      <c r="M192">
        <v>500</v>
      </c>
      <c r="N192" t="s">
        <v>19</v>
      </c>
    </row>
    <row r="193" spans="1:14" x14ac:dyDescent="0.25">
      <c r="A193" t="s">
        <v>1486</v>
      </c>
      <c r="B193" t="s">
        <v>1793</v>
      </c>
      <c r="C193" t="s">
        <v>206</v>
      </c>
      <c r="D193" t="s">
        <v>20</v>
      </c>
      <c r="E193" t="s">
        <v>31</v>
      </c>
      <c r="F193" t="s">
        <v>15</v>
      </c>
      <c r="G193" t="s">
        <v>22</v>
      </c>
      <c r="H193" t="s">
        <v>175</v>
      </c>
      <c r="I193" t="s">
        <v>33</v>
      </c>
      <c r="J193">
        <v>1</v>
      </c>
      <c r="K193">
        <v>6500</v>
      </c>
      <c r="L193">
        <v>6500</v>
      </c>
      <c r="M193">
        <v>6500</v>
      </c>
      <c r="N193" t="s">
        <v>19</v>
      </c>
    </row>
    <row r="194" spans="1:14" x14ac:dyDescent="0.25">
      <c r="A194" t="s">
        <v>1486</v>
      </c>
      <c r="B194" t="s">
        <v>1794</v>
      </c>
      <c r="C194" t="s">
        <v>208</v>
      </c>
      <c r="D194" t="s">
        <v>20</v>
      </c>
      <c r="E194" t="s">
        <v>31</v>
      </c>
      <c r="F194" t="s">
        <v>15</v>
      </c>
      <c r="G194" t="s">
        <v>22</v>
      </c>
      <c r="H194" t="s">
        <v>175</v>
      </c>
      <c r="I194" t="s">
        <v>33</v>
      </c>
      <c r="J194">
        <v>3</v>
      </c>
      <c r="K194">
        <v>6500</v>
      </c>
      <c r="L194">
        <v>6500</v>
      </c>
      <c r="M194">
        <v>19500</v>
      </c>
      <c r="N194" t="s">
        <v>19</v>
      </c>
    </row>
    <row r="195" spans="1:14" x14ac:dyDescent="0.25">
      <c r="A195" t="s">
        <v>1486</v>
      </c>
      <c r="B195" t="s">
        <v>1795</v>
      </c>
      <c r="C195" t="s">
        <v>212</v>
      </c>
      <c r="D195" t="s">
        <v>20</v>
      </c>
      <c r="E195" t="s">
        <v>31</v>
      </c>
      <c r="F195" t="s">
        <v>15</v>
      </c>
      <c r="G195" t="s">
        <v>22</v>
      </c>
      <c r="H195" t="s">
        <v>175</v>
      </c>
      <c r="I195" t="s">
        <v>33</v>
      </c>
      <c r="J195">
        <v>2</v>
      </c>
      <c r="K195">
        <v>6500</v>
      </c>
      <c r="L195">
        <v>6500</v>
      </c>
      <c r="M195">
        <v>13000</v>
      </c>
      <c r="N195" t="s">
        <v>19</v>
      </c>
    </row>
    <row r="196" spans="1:14" x14ac:dyDescent="0.25">
      <c r="A196" t="s">
        <v>1486</v>
      </c>
      <c r="B196" t="s">
        <v>1796</v>
      </c>
      <c r="C196" t="s">
        <v>215</v>
      </c>
      <c r="D196" t="s">
        <v>20</v>
      </c>
      <c r="E196" t="s">
        <v>31</v>
      </c>
      <c r="F196" t="s">
        <v>15</v>
      </c>
      <c r="G196" t="s">
        <v>22</v>
      </c>
      <c r="H196" t="s">
        <v>175</v>
      </c>
      <c r="I196" t="s">
        <v>33</v>
      </c>
      <c r="J196">
        <v>2</v>
      </c>
      <c r="K196">
        <v>6500</v>
      </c>
      <c r="L196">
        <v>6500</v>
      </c>
      <c r="M196">
        <v>13000</v>
      </c>
      <c r="N196" t="s">
        <v>19</v>
      </c>
    </row>
    <row r="197" spans="1:14" x14ac:dyDescent="0.25">
      <c r="A197" t="s">
        <v>1486</v>
      </c>
      <c r="B197" t="s">
        <v>1797</v>
      </c>
      <c r="C197" t="s">
        <v>219</v>
      </c>
      <c r="D197" t="s">
        <v>20</v>
      </c>
      <c r="E197" t="s">
        <v>31</v>
      </c>
      <c r="F197" t="s">
        <v>15</v>
      </c>
      <c r="G197" t="s">
        <v>22</v>
      </c>
      <c r="H197" t="s">
        <v>175</v>
      </c>
      <c r="I197" t="s">
        <v>33</v>
      </c>
      <c r="J197">
        <v>1</v>
      </c>
      <c r="K197">
        <v>6500</v>
      </c>
      <c r="L197">
        <v>6500</v>
      </c>
      <c r="M197">
        <v>6500</v>
      </c>
      <c r="N197" t="s">
        <v>19</v>
      </c>
    </row>
    <row r="198" spans="1:14" x14ac:dyDescent="0.25">
      <c r="A198" t="s">
        <v>1460</v>
      </c>
      <c r="B198" t="s">
        <v>1798</v>
      </c>
      <c r="C198" t="s">
        <v>100</v>
      </c>
      <c r="D198" t="s">
        <v>1041</v>
      </c>
      <c r="E198" t="s">
        <v>1042</v>
      </c>
      <c r="F198" t="s">
        <v>15</v>
      </c>
      <c r="G198" t="s">
        <v>1043</v>
      </c>
      <c r="H198" t="s">
        <v>1044</v>
      </c>
      <c r="I198" t="s">
        <v>33</v>
      </c>
      <c r="J198">
        <v>1</v>
      </c>
      <c r="K198">
        <v>15000</v>
      </c>
      <c r="L198">
        <v>15000</v>
      </c>
      <c r="M198">
        <v>15000</v>
      </c>
      <c r="N198" t="s">
        <v>19</v>
      </c>
    </row>
    <row r="199" spans="1:14" x14ac:dyDescent="0.25">
      <c r="A199" t="s">
        <v>1549</v>
      </c>
      <c r="B199" t="s">
        <v>1799</v>
      </c>
      <c r="C199" t="s">
        <v>178</v>
      </c>
      <c r="D199" t="s">
        <v>179</v>
      </c>
      <c r="E199" t="s">
        <v>180</v>
      </c>
      <c r="F199" t="s">
        <v>15</v>
      </c>
      <c r="G199" t="s">
        <v>22</v>
      </c>
      <c r="H199" t="s">
        <v>181</v>
      </c>
      <c r="I199" t="s">
        <v>182</v>
      </c>
      <c r="J199">
        <v>5</v>
      </c>
      <c r="K199">
        <v>8000</v>
      </c>
      <c r="L199">
        <v>8000</v>
      </c>
      <c r="M199">
        <v>40000</v>
      </c>
      <c r="N199" t="s">
        <v>39</v>
      </c>
    </row>
    <row r="200" spans="1:14" x14ac:dyDescent="0.25">
      <c r="A200" t="s">
        <v>1549</v>
      </c>
      <c r="B200" t="s">
        <v>1799</v>
      </c>
      <c r="C200" t="s">
        <v>178</v>
      </c>
      <c r="D200" t="s">
        <v>179</v>
      </c>
      <c r="E200" t="s">
        <v>180</v>
      </c>
      <c r="F200" t="s">
        <v>15</v>
      </c>
      <c r="G200" t="s">
        <v>22</v>
      </c>
      <c r="H200" t="s">
        <v>181</v>
      </c>
      <c r="I200" t="s">
        <v>183</v>
      </c>
      <c r="J200">
        <v>1</v>
      </c>
      <c r="K200">
        <v>4000</v>
      </c>
      <c r="L200">
        <v>4000</v>
      </c>
      <c r="M200">
        <v>4000</v>
      </c>
      <c r="N200" t="s">
        <v>39</v>
      </c>
    </row>
    <row r="201" spans="1:14" x14ac:dyDescent="0.25">
      <c r="A201" t="s">
        <v>1636</v>
      </c>
      <c r="B201" t="s">
        <v>1800</v>
      </c>
      <c r="C201" t="s">
        <v>184</v>
      </c>
      <c r="D201" t="s">
        <v>185</v>
      </c>
      <c r="E201" t="s">
        <v>164</v>
      </c>
      <c r="F201" t="s">
        <v>15</v>
      </c>
      <c r="G201" t="s">
        <v>16</v>
      </c>
      <c r="H201" t="s">
        <v>186</v>
      </c>
      <c r="I201" t="s">
        <v>47</v>
      </c>
      <c r="J201">
        <v>1</v>
      </c>
      <c r="K201">
        <v>3675</v>
      </c>
      <c r="L201">
        <v>10500</v>
      </c>
      <c r="M201">
        <v>10500</v>
      </c>
      <c r="N201" t="s">
        <v>19</v>
      </c>
    </row>
    <row r="202" spans="1:14" x14ac:dyDescent="0.25">
      <c r="A202" t="s">
        <v>1636</v>
      </c>
      <c r="B202" t="s">
        <v>1800</v>
      </c>
      <c r="C202" t="s">
        <v>184</v>
      </c>
      <c r="D202" t="s">
        <v>185</v>
      </c>
      <c r="E202" t="s">
        <v>164</v>
      </c>
      <c r="F202" t="s">
        <v>15</v>
      </c>
      <c r="G202" t="s">
        <v>16</v>
      </c>
      <c r="H202" t="s">
        <v>186</v>
      </c>
      <c r="I202" t="s">
        <v>48</v>
      </c>
      <c r="J202">
        <v>1</v>
      </c>
      <c r="K202">
        <v>3220</v>
      </c>
      <c r="L202">
        <v>9200</v>
      </c>
      <c r="M202">
        <v>9200</v>
      </c>
      <c r="N202" t="s">
        <v>19</v>
      </c>
    </row>
    <row r="203" spans="1:14" x14ac:dyDescent="0.25">
      <c r="A203" t="s">
        <v>1636</v>
      </c>
      <c r="B203" t="s">
        <v>1800</v>
      </c>
      <c r="C203" t="s">
        <v>184</v>
      </c>
      <c r="D203" t="s">
        <v>185</v>
      </c>
      <c r="E203" t="s">
        <v>164</v>
      </c>
      <c r="F203" t="s">
        <v>15</v>
      </c>
      <c r="G203" t="s">
        <v>16</v>
      </c>
      <c r="H203" t="s">
        <v>186</v>
      </c>
      <c r="I203" t="s">
        <v>126</v>
      </c>
      <c r="J203">
        <v>1</v>
      </c>
      <c r="K203">
        <v>3220</v>
      </c>
      <c r="L203">
        <v>9200</v>
      </c>
      <c r="M203">
        <v>9200</v>
      </c>
      <c r="N203" t="s">
        <v>19</v>
      </c>
    </row>
    <row r="204" spans="1:14" x14ac:dyDescent="0.25">
      <c r="A204" t="s">
        <v>1636</v>
      </c>
      <c r="B204" t="s">
        <v>1800</v>
      </c>
      <c r="C204" t="s">
        <v>184</v>
      </c>
      <c r="D204" t="s">
        <v>185</v>
      </c>
      <c r="E204" t="s">
        <v>164</v>
      </c>
      <c r="F204" t="s">
        <v>15</v>
      </c>
      <c r="G204" t="s">
        <v>16</v>
      </c>
      <c r="H204" t="s">
        <v>186</v>
      </c>
      <c r="I204" t="s">
        <v>50</v>
      </c>
      <c r="J204">
        <v>1</v>
      </c>
      <c r="K204">
        <v>500</v>
      </c>
      <c r="L204">
        <v>500</v>
      </c>
      <c r="M204">
        <v>500</v>
      </c>
      <c r="N204" t="s">
        <v>19</v>
      </c>
    </row>
    <row r="205" spans="1:14" x14ac:dyDescent="0.25">
      <c r="A205" t="s">
        <v>1636</v>
      </c>
      <c r="B205" t="s">
        <v>1800</v>
      </c>
      <c r="C205" t="s">
        <v>184</v>
      </c>
      <c r="D205" t="s">
        <v>185</v>
      </c>
      <c r="E205" t="s">
        <v>164</v>
      </c>
      <c r="F205" t="s">
        <v>15</v>
      </c>
      <c r="G205" t="s">
        <v>16</v>
      </c>
      <c r="H205" t="s">
        <v>186</v>
      </c>
      <c r="I205" t="s">
        <v>161</v>
      </c>
      <c r="J205">
        <v>2</v>
      </c>
      <c r="K205">
        <v>8500</v>
      </c>
      <c r="L205">
        <v>10700</v>
      </c>
      <c r="M205">
        <v>21400</v>
      </c>
      <c r="N205" t="s">
        <v>19</v>
      </c>
    </row>
    <row r="206" spans="1:14" x14ac:dyDescent="0.25">
      <c r="A206" t="s">
        <v>1636</v>
      </c>
      <c r="B206" t="s">
        <v>1800</v>
      </c>
      <c r="C206" t="s">
        <v>184</v>
      </c>
      <c r="D206" t="s">
        <v>185</v>
      </c>
      <c r="E206" t="s">
        <v>164</v>
      </c>
      <c r="F206" t="s">
        <v>15</v>
      </c>
      <c r="G206" t="s">
        <v>16</v>
      </c>
      <c r="H206" t="s">
        <v>186</v>
      </c>
      <c r="I206" t="s">
        <v>38</v>
      </c>
      <c r="J206">
        <v>1</v>
      </c>
      <c r="K206">
        <v>8500</v>
      </c>
      <c r="L206">
        <v>10700</v>
      </c>
      <c r="M206">
        <v>10700</v>
      </c>
      <c r="N206" t="s">
        <v>19</v>
      </c>
    </row>
    <row r="207" spans="1:14" x14ac:dyDescent="0.25">
      <c r="A207" t="s">
        <v>1636</v>
      </c>
      <c r="B207" t="s">
        <v>1800</v>
      </c>
      <c r="C207" t="s">
        <v>184</v>
      </c>
      <c r="D207" t="s">
        <v>185</v>
      </c>
      <c r="E207" t="s">
        <v>164</v>
      </c>
      <c r="F207" t="s">
        <v>15</v>
      </c>
      <c r="G207" t="s">
        <v>16</v>
      </c>
      <c r="H207" t="s">
        <v>186</v>
      </c>
      <c r="I207" t="s">
        <v>116</v>
      </c>
      <c r="J207">
        <v>1</v>
      </c>
      <c r="K207">
        <v>2185</v>
      </c>
      <c r="L207">
        <v>3100</v>
      </c>
      <c r="M207">
        <v>3100</v>
      </c>
      <c r="N207" t="s">
        <v>19</v>
      </c>
    </row>
    <row r="208" spans="1:14" x14ac:dyDescent="0.25">
      <c r="A208" t="s">
        <v>1636</v>
      </c>
      <c r="B208" t="s">
        <v>1800</v>
      </c>
      <c r="C208" t="s">
        <v>184</v>
      </c>
      <c r="D208" t="s">
        <v>185</v>
      </c>
      <c r="E208" t="s">
        <v>164</v>
      </c>
      <c r="F208" t="s">
        <v>15</v>
      </c>
      <c r="G208" t="s">
        <v>16</v>
      </c>
      <c r="H208" t="s">
        <v>186</v>
      </c>
      <c r="I208" t="s">
        <v>79</v>
      </c>
      <c r="J208">
        <v>1</v>
      </c>
      <c r="K208">
        <v>10750</v>
      </c>
      <c r="L208">
        <v>14700</v>
      </c>
      <c r="M208">
        <v>14700</v>
      </c>
      <c r="N208" t="s">
        <v>19</v>
      </c>
    </row>
    <row r="209" spans="1:14" x14ac:dyDescent="0.25">
      <c r="A209" t="s">
        <v>1636</v>
      </c>
      <c r="B209" t="s">
        <v>1800</v>
      </c>
      <c r="C209" t="s">
        <v>184</v>
      </c>
      <c r="D209" t="s">
        <v>185</v>
      </c>
      <c r="E209" t="s">
        <v>164</v>
      </c>
      <c r="F209" t="s">
        <v>15</v>
      </c>
      <c r="G209" t="s">
        <v>16</v>
      </c>
      <c r="H209" t="s">
        <v>186</v>
      </c>
      <c r="I209" t="s">
        <v>137</v>
      </c>
      <c r="J209">
        <v>1</v>
      </c>
      <c r="K209">
        <v>2200</v>
      </c>
      <c r="L209">
        <v>3100</v>
      </c>
      <c r="M209">
        <v>3100</v>
      </c>
      <c r="N209" t="s">
        <v>19</v>
      </c>
    </row>
    <row r="210" spans="1:14" x14ac:dyDescent="0.25">
      <c r="A210" t="s">
        <v>1636</v>
      </c>
      <c r="B210" t="s">
        <v>1800</v>
      </c>
      <c r="C210" t="s">
        <v>184</v>
      </c>
      <c r="D210" t="s">
        <v>185</v>
      </c>
      <c r="E210" t="s">
        <v>164</v>
      </c>
      <c r="F210" t="s">
        <v>15</v>
      </c>
      <c r="G210" t="s">
        <v>16</v>
      </c>
      <c r="H210" t="s">
        <v>186</v>
      </c>
      <c r="I210" t="s">
        <v>187</v>
      </c>
      <c r="J210">
        <v>1</v>
      </c>
      <c r="K210">
        <v>850</v>
      </c>
      <c r="L210">
        <v>890</v>
      </c>
      <c r="M210">
        <v>890</v>
      </c>
      <c r="N210" t="s">
        <v>19</v>
      </c>
    </row>
    <row r="211" spans="1:14" x14ac:dyDescent="0.25">
      <c r="A211" t="s">
        <v>1636</v>
      </c>
      <c r="B211" t="s">
        <v>1800</v>
      </c>
      <c r="C211" t="s">
        <v>184</v>
      </c>
      <c r="D211" t="s">
        <v>185</v>
      </c>
      <c r="E211" t="s">
        <v>164</v>
      </c>
      <c r="F211" t="s">
        <v>15</v>
      </c>
      <c r="G211" t="s">
        <v>16</v>
      </c>
      <c r="H211" t="s">
        <v>186</v>
      </c>
      <c r="I211" t="s">
        <v>188</v>
      </c>
      <c r="J211">
        <v>1</v>
      </c>
      <c r="K211">
        <v>23450</v>
      </c>
      <c r="L211">
        <v>28900</v>
      </c>
      <c r="M211">
        <v>28900</v>
      </c>
      <c r="N211" t="s">
        <v>19</v>
      </c>
    </row>
    <row r="212" spans="1:14" x14ac:dyDescent="0.25">
      <c r="A212" t="s">
        <v>1636</v>
      </c>
      <c r="B212" t="s">
        <v>1800</v>
      </c>
      <c r="C212" t="s">
        <v>184</v>
      </c>
      <c r="D212" t="s">
        <v>185</v>
      </c>
      <c r="E212" t="s">
        <v>164</v>
      </c>
      <c r="F212" t="s">
        <v>15</v>
      </c>
      <c r="G212" t="s">
        <v>16</v>
      </c>
      <c r="H212" t="s">
        <v>186</v>
      </c>
      <c r="I212" t="s">
        <v>189</v>
      </c>
      <c r="J212">
        <v>1</v>
      </c>
      <c r="K212">
        <v>500</v>
      </c>
      <c r="L212">
        <v>600</v>
      </c>
      <c r="M212">
        <v>600</v>
      </c>
      <c r="N212" t="s">
        <v>19</v>
      </c>
    </row>
    <row r="213" spans="1:14" x14ac:dyDescent="0.25">
      <c r="A213" t="s">
        <v>1636</v>
      </c>
      <c r="B213" t="s">
        <v>1800</v>
      </c>
      <c r="C213" t="s">
        <v>184</v>
      </c>
      <c r="D213" t="s">
        <v>185</v>
      </c>
      <c r="E213" t="s">
        <v>164</v>
      </c>
      <c r="F213" t="s">
        <v>15</v>
      </c>
      <c r="G213" t="s">
        <v>16</v>
      </c>
      <c r="H213" t="s">
        <v>186</v>
      </c>
      <c r="I213" t="s">
        <v>190</v>
      </c>
      <c r="J213">
        <v>1</v>
      </c>
      <c r="K213">
        <v>350</v>
      </c>
      <c r="L213">
        <v>500</v>
      </c>
      <c r="M213">
        <v>500</v>
      </c>
      <c r="N213" t="s">
        <v>19</v>
      </c>
    </row>
    <row r="214" spans="1:14" x14ac:dyDescent="0.25">
      <c r="A214" t="s">
        <v>1636</v>
      </c>
      <c r="B214" t="s">
        <v>1800</v>
      </c>
      <c r="C214" t="s">
        <v>184</v>
      </c>
      <c r="D214" t="s">
        <v>185</v>
      </c>
      <c r="E214" t="s">
        <v>164</v>
      </c>
      <c r="F214" t="s">
        <v>15</v>
      </c>
      <c r="G214" t="s">
        <v>16</v>
      </c>
      <c r="H214" t="s">
        <v>186</v>
      </c>
      <c r="I214" t="s">
        <v>151</v>
      </c>
      <c r="J214">
        <v>1</v>
      </c>
      <c r="K214">
        <v>2800</v>
      </c>
      <c r="L214">
        <v>3500</v>
      </c>
      <c r="M214">
        <v>3500</v>
      </c>
      <c r="N214" t="s">
        <v>19</v>
      </c>
    </row>
    <row r="215" spans="1:14" x14ac:dyDescent="0.25">
      <c r="A215" t="s">
        <v>1636</v>
      </c>
      <c r="B215" t="s">
        <v>1800</v>
      </c>
      <c r="C215" t="s">
        <v>184</v>
      </c>
      <c r="D215" t="s">
        <v>185</v>
      </c>
      <c r="E215" t="s">
        <v>164</v>
      </c>
      <c r="F215" t="s">
        <v>15</v>
      </c>
      <c r="G215" t="s">
        <v>16</v>
      </c>
      <c r="H215" t="s">
        <v>186</v>
      </c>
      <c r="I215" t="s">
        <v>63</v>
      </c>
      <c r="J215">
        <v>1</v>
      </c>
      <c r="K215">
        <v>500</v>
      </c>
      <c r="L215">
        <v>600</v>
      </c>
      <c r="M215">
        <v>600</v>
      </c>
      <c r="N215" t="s">
        <v>19</v>
      </c>
    </row>
    <row r="216" spans="1:14" x14ac:dyDescent="0.25">
      <c r="A216" t="s">
        <v>1521</v>
      </c>
      <c r="B216" t="s">
        <v>1801</v>
      </c>
      <c r="C216" t="s">
        <v>223</v>
      </c>
      <c r="D216" t="s">
        <v>20</v>
      </c>
      <c r="E216" t="s">
        <v>229</v>
      </c>
      <c r="F216" t="s">
        <v>15</v>
      </c>
      <c r="G216" t="s">
        <v>22</v>
      </c>
      <c r="H216" t="s">
        <v>230</v>
      </c>
      <c r="I216" t="s">
        <v>231</v>
      </c>
      <c r="J216">
        <v>1</v>
      </c>
      <c r="K216">
        <v>3675</v>
      </c>
      <c r="L216">
        <v>10500</v>
      </c>
      <c r="M216">
        <v>10500</v>
      </c>
      <c r="N216" t="s">
        <v>19</v>
      </c>
    </row>
    <row r="217" spans="1:14" x14ac:dyDescent="0.25">
      <c r="A217" t="s">
        <v>1521</v>
      </c>
      <c r="B217" t="s">
        <v>1801</v>
      </c>
      <c r="C217" t="s">
        <v>223</v>
      </c>
      <c r="D217" t="s">
        <v>20</v>
      </c>
      <c r="E217" t="s">
        <v>229</v>
      </c>
      <c r="F217" t="s">
        <v>15</v>
      </c>
      <c r="G217" t="s">
        <v>22</v>
      </c>
      <c r="H217" t="s">
        <v>230</v>
      </c>
      <c r="I217" t="s">
        <v>232</v>
      </c>
      <c r="J217">
        <v>1</v>
      </c>
      <c r="K217">
        <v>13100</v>
      </c>
      <c r="L217">
        <v>13100</v>
      </c>
      <c r="M217">
        <v>13100</v>
      </c>
      <c r="N217" t="s">
        <v>19</v>
      </c>
    </row>
    <row r="218" spans="1:14" x14ac:dyDescent="0.25">
      <c r="A218" t="s">
        <v>1521</v>
      </c>
      <c r="B218" t="s">
        <v>1801</v>
      </c>
      <c r="C218" t="s">
        <v>223</v>
      </c>
      <c r="D218" t="s">
        <v>20</v>
      </c>
      <c r="E218" t="s">
        <v>229</v>
      </c>
      <c r="F218" t="s">
        <v>15</v>
      </c>
      <c r="G218" t="s">
        <v>22</v>
      </c>
      <c r="H218" t="s">
        <v>230</v>
      </c>
      <c r="I218" t="s">
        <v>24</v>
      </c>
      <c r="J218">
        <v>1</v>
      </c>
      <c r="K218">
        <v>13100</v>
      </c>
      <c r="L218">
        <v>13100</v>
      </c>
      <c r="M218">
        <v>13100</v>
      </c>
      <c r="N218" t="s">
        <v>19</v>
      </c>
    </row>
    <row r="219" spans="1:14" x14ac:dyDescent="0.25">
      <c r="A219" t="s">
        <v>1521</v>
      </c>
      <c r="B219" t="s">
        <v>1801</v>
      </c>
      <c r="C219" t="s">
        <v>223</v>
      </c>
      <c r="D219" t="s">
        <v>20</v>
      </c>
      <c r="E219" t="s">
        <v>229</v>
      </c>
      <c r="F219" t="s">
        <v>15</v>
      </c>
      <c r="G219" t="s">
        <v>22</v>
      </c>
      <c r="H219" t="s">
        <v>230</v>
      </c>
      <c r="I219" t="s">
        <v>26</v>
      </c>
      <c r="J219">
        <v>1</v>
      </c>
      <c r="K219">
        <v>500</v>
      </c>
      <c r="L219">
        <v>500</v>
      </c>
      <c r="M219">
        <v>500</v>
      </c>
      <c r="N219" t="s">
        <v>19</v>
      </c>
    </row>
    <row r="220" spans="1:14" x14ac:dyDescent="0.25">
      <c r="A220" t="s">
        <v>1521</v>
      </c>
      <c r="B220" t="s">
        <v>1801</v>
      </c>
      <c r="C220" t="s">
        <v>223</v>
      </c>
      <c r="D220" t="s">
        <v>20</v>
      </c>
      <c r="E220" t="s">
        <v>229</v>
      </c>
      <c r="F220" t="s">
        <v>15</v>
      </c>
      <c r="G220" t="s">
        <v>22</v>
      </c>
      <c r="H220" t="s">
        <v>230</v>
      </c>
      <c r="I220" t="s">
        <v>233</v>
      </c>
      <c r="J220">
        <v>1</v>
      </c>
      <c r="K220">
        <v>8500</v>
      </c>
      <c r="L220">
        <v>12100</v>
      </c>
      <c r="M220">
        <v>12100</v>
      </c>
      <c r="N220" t="s">
        <v>19</v>
      </c>
    </row>
    <row r="221" spans="1:14" x14ac:dyDescent="0.25">
      <c r="A221" t="s">
        <v>1521</v>
      </c>
      <c r="B221" t="s">
        <v>1801</v>
      </c>
      <c r="C221" t="s">
        <v>223</v>
      </c>
      <c r="D221" t="s">
        <v>20</v>
      </c>
      <c r="E221" t="s">
        <v>229</v>
      </c>
      <c r="F221" t="s">
        <v>15</v>
      </c>
      <c r="G221" t="s">
        <v>22</v>
      </c>
      <c r="H221" t="s">
        <v>230</v>
      </c>
      <c r="I221" t="s">
        <v>98</v>
      </c>
      <c r="J221">
        <v>1</v>
      </c>
      <c r="K221">
        <v>935</v>
      </c>
      <c r="L221">
        <v>1500</v>
      </c>
      <c r="M221">
        <v>1500</v>
      </c>
      <c r="N221" t="s">
        <v>19</v>
      </c>
    </row>
    <row r="222" spans="1:14" x14ac:dyDescent="0.25">
      <c r="A222" t="s">
        <v>1521</v>
      </c>
      <c r="B222" t="s">
        <v>1801</v>
      </c>
      <c r="C222" t="s">
        <v>223</v>
      </c>
      <c r="D222" t="s">
        <v>20</v>
      </c>
      <c r="E222" t="s">
        <v>229</v>
      </c>
      <c r="F222" t="s">
        <v>15</v>
      </c>
      <c r="G222" t="s">
        <v>22</v>
      </c>
      <c r="H222" t="s">
        <v>230</v>
      </c>
      <c r="I222" t="s">
        <v>234</v>
      </c>
      <c r="J222">
        <v>1</v>
      </c>
      <c r="K222">
        <v>4800</v>
      </c>
      <c r="L222">
        <v>7000</v>
      </c>
      <c r="M222">
        <v>7000</v>
      </c>
      <c r="N222" t="s">
        <v>19</v>
      </c>
    </row>
    <row r="223" spans="1:14" x14ac:dyDescent="0.25">
      <c r="A223" t="s">
        <v>1521</v>
      </c>
      <c r="B223" t="s">
        <v>1801</v>
      </c>
      <c r="C223" t="s">
        <v>223</v>
      </c>
      <c r="D223" t="s">
        <v>20</v>
      </c>
      <c r="E223" t="s">
        <v>229</v>
      </c>
      <c r="F223" t="s">
        <v>15</v>
      </c>
      <c r="G223" t="s">
        <v>22</v>
      </c>
      <c r="H223" t="s">
        <v>230</v>
      </c>
      <c r="I223" t="s">
        <v>235</v>
      </c>
      <c r="J223">
        <v>1</v>
      </c>
      <c r="K223">
        <v>1350</v>
      </c>
      <c r="L223">
        <v>2000</v>
      </c>
      <c r="M223">
        <v>2000</v>
      </c>
      <c r="N223" t="s">
        <v>19</v>
      </c>
    </row>
    <row r="224" spans="1:14" x14ac:dyDescent="0.25">
      <c r="A224" t="s">
        <v>1521</v>
      </c>
      <c r="B224" t="s">
        <v>1801</v>
      </c>
      <c r="C224" t="s">
        <v>223</v>
      </c>
      <c r="D224" t="s">
        <v>20</v>
      </c>
      <c r="E224" t="s">
        <v>229</v>
      </c>
      <c r="F224" t="s">
        <v>15</v>
      </c>
      <c r="G224" t="s">
        <v>22</v>
      </c>
      <c r="H224" t="s">
        <v>230</v>
      </c>
      <c r="I224" t="s">
        <v>236</v>
      </c>
      <c r="J224">
        <v>1</v>
      </c>
      <c r="K224">
        <v>2100</v>
      </c>
      <c r="L224">
        <v>3100</v>
      </c>
      <c r="M224">
        <v>3100</v>
      </c>
      <c r="N224" t="s">
        <v>19</v>
      </c>
    </row>
    <row r="225" spans="1:14" x14ac:dyDescent="0.25">
      <c r="A225" t="s">
        <v>1521</v>
      </c>
      <c r="B225" t="s">
        <v>1801</v>
      </c>
      <c r="C225" t="s">
        <v>223</v>
      </c>
      <c r="D225" t="s">
        <v>20</v>
      </c>
      <c r="E225" t="s">
        <v>229</v>
      </c>
      <c r="F225" t="s">
        <v>15</v>
      </c>
      <c r="G225" t="s">
        <v>22</v>
      </c>
      <c r="H225" t="s">
        <v>230</v>
      </c>
      <c r="I225" t="s">
        <v>76</v>
      </c>
      <c r="J225">
        <v>1</v>
      </c>
      <c r="K225">
        <v>500</v>
      </c>
      <c r="L225">
        <v>500</v>
      </c>
      <c r="M225">
        <v>500</v>
      </c>
      <c r="N225" t="s">
        <v>19</v>
      </c>
    </row>
    <row r="226" spans="1:14" x14ac:dyDescent="0.25">
      <c r="A226" t="s">
        <v>1488</v>
      </c>
      <c r="B226" t="s">
        <v>1802</v>
      </c>
      <c r="C226" t="s">
        <v>243</v>
      </c>
      <c r="D226" t="s">
        <v>20</v>
      </c>
      <c r="E226" t="s">
        <v>244</v>
      </c>
      <c r="F226" t="s">
        <v>15</v>
      </c>
      <c r="G226" t="s">
        <v>22</v>
      </c>
      <c r="H226" t="s">
        <v>230</v>
      </c>
      <c r="I226" t="s">
        <v>231</v>
      </c>
      <c r="J226">
        <v>1</v>
      </c>
      <c r="K226">
        <v>3675</v>
      </c>
      <c r="L226">
        <v>10500</v>
      </c>
      <c r="M226">
        <v>10500</v>
      </c>
      <c r="N226" t="s">
        <v>19</v>
      </c>
    </row>
    <row r="227" spans="1:14" x14ac:dyDescent="0.25">
      <c r="A227" t="s">
        <v>1488</v>
      </c>
      <c r="B227" t="s">
        <v>1802</v>
      </c>
      <c r="C227" t="s">
        <v>243</v>
      </c>
      <c r="D227" t="s">
        <v>20</v>
      </c>
      <c r="E227" t="s">
        <v>244</v>
      </c>
      <c r="F227" t="s">
        <v>15</v>
      </c>
      <c r="G227" t="s">
        <v>22</v>
      </c>
      <c r="H227" t="s">
        <v>230</v>
      </c>
      <c r="I227" t="s">
        <v>232</v>
      </c>
      <c r="J227">
        <v>1</v>
      </c>
      <c r="K227">
        <v>13100</v>
      </c>
      <c r="L227">
        <v>13100</v>
      </c>
      <c r="M227">
        <v>13100</v>
      </c>
      <c r="N227" t="s">
        <v>19</v>
      </c>
    </row>
    <row r="228" spans="1:14" x14ac:dyDescent="0.25">
      <c r="A228" t="s">
        <v>1488</v>
      </c>
      <c r="B228" t="s">
        <v>1802</v>
      </c>
      <c r="C228" t="s">
        <v>243</v>
      </c>
      <c r="D228" t="s">
        <v>20</v>
      </c>
      <c r="E228" t="s">
        <v>244</v>
      </c>
      <c r="F228" t="s">
        <v>15</v>
      </c>
      <c r="G228" t="s">
        <v>22</v>
      </c>
      <c r="H228" t="s">
        <v>230</v>
      </c>
      <c r="I228" t="s">
        <v>24</v>
      </c>
      <c r="J228">
        <v>1</v>
      </c>
      <c r="K228">
        <v>13100</v>
      </c>
      <c r="L228">
        <v>13100</v>
      </c>
      <c r="M228">
        <v>13100</v>
      </c>
      <c r="N228" t="s">
        <v>19</v>
      </c>
    </row>
    <row r="229" spans="1:14" x14ac:dyDescent="0.25">
      <c r="A229" t="s">
        <v>1488</v>
      </c>
      <c r="B229" t="s">
        <v>1802</v>
      </c>
      <c r="C229" t="s">
        <v>243</v>
      </c>
      <c r="D229" t="s">
        <v>20</v>
      </c>
      <c r="E229" t="s">
        <v>244</v>
      </c>
      <c r="F229" t="s">
        <v>15</v>
      </c>
      <c r="G229" t="s">
        <v>22</v>
      </c>
      <c r="H229" t="s">
        <v>230</v>
      </c>
      <c r="I229" t="s">
        <v>26</v>
      </c>
      <c r="J229">
        <v>1</v>
      </c>
      <c r="K229">
        <v>500</v>
      </c>
      <c r="L229">
        <v>500</v>
      </c>
      <c r="M229">
        <v>500</v>
      </c>
      <c r="N229" t="s">
        <v>19</v>
      </c>
    </row>
    <row r="230" spans="1:14" x14ac:dyDescent="0.25">
      <c r="A230" t="s">
        <v>1488</v>
      </c>
      <c r="B230" t="s">
        <v>1802</v>
      </c>
      <c r="C230" t="s">
        <v>243</v>
      </c>
      <c r="D230" t="s">
        <v>20</v>
      </c>
      <c r="E230" t="s">
        <v>244</v>
      </c>
      <c r="F230" t="s">
        <v>15</v>
      </c>
      <c r="G230" t="s">
        <v>22</v>
      </c>
      <c r="H230" t="s">
        <v>230</v>
      </c>
      <c r="I230" t="s">
        <v>233</v>
      </c>
      <c r="J230">
        <v>1</v>
      </c>
      <c r="K230">
        <v>8500</v>
      </c>
      <c r="L230">
        <v>12100</v>
      </c>
      <c r="M230">
        <v>12100</v>
      </c>
      <c r="N230" t="s">
        <v>19</v>
      </c>
    </row>
    <row r="231" spans="1:14" x14ac:dyDescent="0.25">
      <c r="A231" t="s">
        <v>1488</v>
      </c>
      <c r="B231" t="s">
        <v>1802</v>
      </c>
      <c r="C231" t="s">
        <v>243</v>
      </c>
      <c r="D231" t="s">
        <v>20</v>
      </c>
      <c r="E231" t="s">
        <v>244</v>
      </c>
      <c r="F231" t="s">
        <v>15</v>
      </c>
      <c r="G231" t="s">
        <v>22</v>
      </c>
      <c r="H231" t="s">
        <v>230</v>
      </c>
      <c r="I231" t="s">
        <v>98</v>
      </c>
      <c r="J231">
        <v>1</v>
      </c>
      <c r="K231">
        <v>935</v>
      </c>
      <c r="L231">
        <v>1500</v>
      </c>
      <c r="M231">
        <v>1500</v>
      </c>
      <c r="N231" t="s">
        <v>19</v>
      </c>
    </row>
    <row r="232" spans="1:14" x14ac:dyDescent="0.25">
      <c r="A232" t="s">
        <v>1488</v>
      </c>
      <c r="B232" t="s">
        <v>1802</v>
      </c>
      <c r="C232" t="s">
        <v>243</v>
      </c>
      <c r="D232" t="s">
        <v>20</v>
      </c>
      <c r="E232" t="s">
        <v>244</v>
      </c>
      <c r="F232" t="s">
        <v>15</v>
      </c>
      <c r="G232" t="s">
        <v>22</v>
      </c>
      <c r="H232" t="s">
        <v>230</v>
      </c>
      <c r="I232" t="s">
        <v>234</v>
      </c>
      <c r="J232">
        <v>1</v>
      </c>
      <c r="K232">
        <v>4800</v>
      </c>
      <c r="L232">
        <v>7000</v>
      </c>
      <c r="M232">
        <v>7000</v>
      </c>
      <c r="N232" t="s">
        <v>19</v>
      </c>
    </row>
    <row r="233" spans="1:14" x14ac:dyDescent="0.25">
      <c r="A233" t="s">
        <v>1488</v>
      </c>
      <c r="B233" t="s">
        <v>1802</v>
      </c>
      <c r="C233" t="s">
        <v>243</v>
      </c>
      <c r="D233" t="s">
        <v>20</v>
      </c>
      <c r="E233" t="s">
        <v>244</v>
      </c>
      <c r="F233" t="s">
        <v>15</v>
      </c>
      <c r="G233" t="s">
        <v>22</v>
      </c>
      <c r="H233" t="s">
        <v>230</v>
      </c>
      <c r="I233" t="s">
        <v>235</v>
      </c>
      <c r="J233">
        <v>1</v>
      </c>
      <c r="K233">
        <v>1350</v>
      </c>
      <c r="L233">
        <v>2000</v>
      </c>
      <c r="M233">
        <v>2000</v>
      </c>
      <c r="N233" t="s">
        <v>19</v>
      </c>
    </row>
    <row r="234" spans="1:14" x14ac:dyDescent="0.25">
      <c r="A234" t="s">
        <v>1488</v>
      </c>
      <c r="B234" t="s">
        <v>1802</v>
      </c>
      <c r="C234" t="s">
        <v>243</v>
      </c>
      <c r="D234" t="s">
        <v>20</v>
      </c>
      <c r="E234" t="s">
        <v>244</v>
      </c>
      <c r="F234" t="s">
        <v>15</v>
      </c>
      <c r="G234" t="s">
        <v>22</v>
      </c>
      <c r="H234" t="s">
        <v>230</v>
      </c>
      <c r="I234" t="s">
        <v>236</v>
      </c>
      <c r="J234">
        <v>1</v>
      </c>
      <c r="K234">
        <v>2100</v>
      </c>
      <c r="L234">
        <v>3100</v>
      </c>
      <c r="M234">
        <v>3100</v>
      </c>
      <c r="N234" t="s">
        <v>19</v>
      </c>
    </row>
    <row r="235" spans="1:14" x14ac:dyDescent="0.25">
      <c r="A235" t="s">
        <v>1488</v>
      </c>
      <c r="B235" t="s">
        <v>1802</v>
      </c>
      <c r="C235" t="s">
        <v>243</v>
      </c>
      <c r="D235" t="s">
        <v>20</v>
      </c>
      <c r="E235" t="s">
        <v>244</v>
      </c>
      <c r="F235" t="s">
        <v>15</v>
      </c>
      <c r="G235" t="s">
        <v>22</v>
      </c>
      <c r="H235" t="s">
        <v>230</v>
      </c>
      <c r="I235" t="s">
        <v>76</v>
      </c>
      <c r="J235">
        <v>1</v>
      </c>
      <c r="K235">
        <v>500</v>
      </c>
      <c r="L235">
        <v>500</v>
      </c>
      <c r="M235">
        <v>500</v>
      </c>
      <c r="N235" t="s">
        <v>19</v>
      </c>
    </row>
    <row r="236" spans="1:14" x14ac:dyDescent="0.25">
      <c r="A236" t="s">
        <v>1502</v>
      </c>
      <c r="B236" t="s">
        <v>1803</v>
      </c>
      <c r="C236" t="s">
        <v>245</v>
      </c>
      <c r="D236" t="s">
        <v>20</v>
      </c>
      <c r="E236" t="s">
        <v>250</v>
      </c>
      <c r="F236" t="s">
        <v>15</v>
      </c>
      <c r="G236" t="s">
        <v>22</v>
      </c>
      <c r="H236" t="s">
        <v>230</v>
      </c>
      <c r="I236" t="s">
        <v>231</v>
      </c>
      <c r="J236">
        <v>1</v>
      </c>
      <c r="K236">
        <v>3675</v>
      </c>
      <c r="L236">
        <v>10500</v>
      </c>
      <c r="M236">
        <v>10500</v>
      </c>
      <c r="N236" t="s">
        <v>19</v>
      </c>
    </row>
    <row r="237" spans="1:14" x14ac:dyDescent="0.25">
      <c r="A237" t="s">
        <v>1502</v>
      </c>
      <c r="B237" t="s">
        <v>1803</v>
      </c>
      <c r="C237" t="s">
        <v>245</v>
      </c>
      <c r="D237" t="s">
        <v>20</v>
      </c>
      <c r="E237" t="s">
        <v>250</v>
      </c>
      <c r="F237" t="s">
        <v>15</v>
      </c>
      <c r="G237" t="s">
        <v>22</v>
      </c>
      <c r="H237" t="s">
        <v>230</v>
      </c>
      <c r="I237" t="s">
        <v>232</v>
      </c>
      <c r="J237">
        <v>1</v>
      </c>
      <c r="K237">
        <v>13100</v>
      </c>
      <c r="L237">
        <v>13100</v>
      </c>
      <c r="M237">
        <v>13100</v>
      </c>
      <c r="N237" t="s">
        <v>19</v>
      </c>
    </row>
    <row r="238" spans="1:14" x14ac:dyDescent="0.25">
      <c r="A238" t="s">
        <v>1502</v>
      </c>
      <c r="B238" t="s">
        <v>1803</v>
      </c>
      <c r="C238" t="s">
        <v>245</v>
      </c>
      <c r="D238" t="s">
        <v>20</v>
      </c>
      <c r="E238" t="s">
        <v>250</v>
      </c>
      <c r="F238" t="s">
        <v>15</v>
      </c>
      <c r="G238" t="s">
        <v>22</v>
      </c>
      <c r="H238" t="s">
        <v>230</v>
      </c>
      <c r="I238" t="s">
        <v>24</v>
      </c>
      <c r="J238">
        <v>1</v>
      </c>
      <c r="K238">
        <v>13100</v>
      </c>
      <c r="L238">
        <v>13100</v>
      </c>
      <c r="M238">
        <v>13100</v>
      </c>
      <c r="N238" t="s">
        <v>19</v>
      </c>
    </row>
    <row r="239" spans="1:14" x14ac:dyDescent="0.25">
      <c r="A239" t="s">
        <v>1502</v>
      </c>
      <c r="B239" t="s">
        <v>1803</v>
      </c>
      <c r="C239" t="s">
        <v>245</v>
      </c>
      <c r="D239" t="s">
        <v>20</v>
      </c>
      <c r="E239" t="s">
        <v>250</v>
      </c>
      <c r="F239" t="s">
        <v>15</v>
      </c>
      <c r="G239" t="s">
        <v>22</v>
      </c>
      <c r="H239" t="s">
        <v>230</v>
      </c>
      <c r="I239" t="s">
        <v>26</v>
      </c>
      <c r="J239">
        <v>1</v>
      </c>
      <c r="K239">
        <v>500</v>
      </c>
      <c r="L239">
        <v>500</v>
      </c>
      <c r="M239">
        <v>500</v>
      </c>
      <c r="N239" t="s">
        <v>19</v>
      </c>
    </row>
    <row r="240" spans="1:14" x14ac:dyDescent="0.25">
      <c r="A240" t="s">
        <v>1502</v>
      </c>
      <c r="B240" t="s">
        <v>1803</v>
      </c>
      <c r="C240" t="s">
        <v>245</v>
      </c>
      <c r="D240" t="s">
        <v>20</v>
      </c>
      <c r="E240" t="s">
        <v>250</v>
      </c>
      <c r="F240" t="s">
        <v>15</v>
      </c>
      <c r="G240" t="s">
        <v>22</v>
      </c>
      <c r="H240" t="s">
        <v>230</v>
      </c>
      <c r="I240" t="s">
        <v>233</v>
      </c>
      <c r="J240">
        <v>1</v>
      </c>
      <c r="K240">
        <v>8500</v>
      </c>
      <c r="L240">
        <v>12100</v>
      </c>
      <c r="M240">
        <v>12100</v>
      </c>
      <c r="N240" t="s">
        <v>19</v>
      </c>
    </row>
    <row r="241" spans="1:14" x14ac:dyDescent="0.25">
      <c r="A241" t="s">
        <v>1502</v>
      </c>
      <c r="B241" t="s">
        <v>1803</v>
      </c>
      <c r="C241" t="s">
        <v>245</v>
      </c>
      <c r="D241" t="s">
        <v>20</v>
      </c>
      <c r="E241" t="s">
        <v>250</v>
      </c>
      <c r="F241" t="s">
        <v>15</v>
      </c>
      <c r="G241" t="s">
        <v>22</v>
      </c>
      <c r="H241" t="s">
        <v>230</v>
      </c>
      <c r="I241" t="s">
        <v>98</v>
      </c>
      <c r="J241">
        <v>1</v>
      </c>
      <c r="K241">
        <v>935</v>
      </c>
      <c r="L241">
        <v>1500</v>
      </c>
      <c r="M241">
        <v>1500</v>
      </c>
      <c r="N241" t="s">
        <v>19</v>
      </c>
    </row>
    <row r="242" spans="1:14" x14ac:dyDescent="0.25">
      <c r="A242" t="s">
        <v>1502</v>
      </c>
      <c r="B242" t="s">
        <v>1803</v>
      </c>
      <c r="C242" t="s">
        <v>245</v>
      </c>
      <c r="D242" t="s">
        <v>20</v>
      </c>
      <c r="E242" t="s">
        <v>250</v>
      </c>
      <c r="F242" t="s">
        <v>15</v>
      </c>
      <c r="G242" t="s">
        <v>22</v>
      </c>
      <c r="H242" t="s">
        <v>230</v>
      </c>
      <c r="I242" t="s">
        <v>234</v>
      </c>
      <c r="J242">
        <v>1</v>
      </c>
      <c r="K242">
        <v>4800</v>
      </c>
      <c r="L242">
        <v>7000</v>
      </c>
      <c r="M242">
        <v>7000</v>
      </c>
      <c r="N242" t="s">
        <v>19</v>
      </c>
    </row>
    <row r="243" spans="1:14" x14ac:dyDescent="0.25">
      <c r="A243" t="s">
        <v>1502</v>
      </c>
      <c r="B243" t="s">
        <v>1803</v>
      </c>
      <c r="C243" t="s">
        <v>245</v>
      </c>
      <c r="D243" t="s">
        <v>20</v>
      </c>
      <c r="E243" t="s">
        <v>250</v>
      </c>
      <c r="F243" t="s">
        <v>15</v>
      </c>
      <c r="G243" t="s">
        <v>22</v>
      </c>
      <c r="H243" t="s">
        <v>230</v>
      </c>
      <c r="I243" t="s">
        <v>235</v>
      </c>
      <c r="J243">
        <v>1</v>
      </c>
      <c r="K243">
        <v>1350</v>
      </c>
      <c r="L243">
        <v>2000</v>
      </c>
      <c r="M243">
        <v>2000</v>
      </c>
      <c r="N243" t="s">
        <v>19</v>
      </c>
    </row>
    <row r="244" spans="1:14" x14ac:dyDescent="0.25">
      <c r="A244" t="s">
        <v>1502</v>
      </c>
      <c r="B244" t="s">
        <v>1803</v>
      </c>
      <c r="C244" t="s">
        <v>245</v>
      </c>
      <c r="D244" t="s">
        <v>20</v>
      </c>
      <c r="E244" t="s">
        <v>250</v>
      </c>
      <c r="F244" t="s">
        <v>15</v>
      </c>
      <c r="G244" t="s">
        <v>22</v>
      </c>
      <c r="H244" t="s">
        <v>230</v>
      </c>
      <c r="I244" t="s">
        <v>236</v>
      </c>
      <c r="J244">
        <v>1</v>
      </c>
      <c r="K244">
        <v>2100</v>
      </c>
      <c r="L244">
        <v>3100</v>
      </c>
      <c r="M244">
        <v>3100</v>
      </c>
      <c r="N244" t="s">
        <v>19</v>
      </c>
    </row>
    <row r="245" spans="1:14" x14ac:dyDescent="0.25">
      <c r="A245" t="s">
        <v>1502</v>
      </c>
      <c r="B245" t="s">
        <v>1803</v>
      </c>
      <c r="C245" t="s">
        <v>245</v>
      </c>
      <c r="D245" t="s">
        <v>20</v>
      </c>
      <c r="E245" t="s">
        <v>250</v>
      </c>
      <c r="F245" t="s">
        <v>15</v>
      </c>
      <c r="G245" t="s">
        <v>22</v>
      </c>
      <c r="H245" t="s">
        <v>230</v>
      </c>
      <c r="I245" t="s">
        <v>76</v>
      </c>
      <c r="J245">
        <v>1</v>
      </c>
      <c r="K245">
        <v>500</v>
      </c>
      <c r="L245">
        <v>500</v>
      </c>
      <c r="M245">
        <v>500</v>
      </c>
      <c r="N245" t="s">
        <v>19</v>
      </c>
    </row>
    <row r="246" spans="1:14" x14ac:dyDescent="0.25">
      <c r="A246" t="s">
        <v>1503</v>
      </c>
      <c r="B246" t="s">
        <v>1804</v>
      </c>
      <c r="C246" t="s">
        <v>251</v>
      </c>
      <c r="D246" t="s">
        <v>20</v>
      </c>
      <c r="E246" t="s">
        <v>252</v>
      </c>
      <c r="F246" t="s">
        <v>15</v>
      </c>
      <c r="G246" t="s">
        <v>22</v>
      </c>
      <c r="H246" t="s">
        <v>230</v>
      </c>
      <c r="I246" t="s">
        <v>231</v>
      </c>
      <c r="J246">
        <v>1</v>
      </c>
      <c r="K246">
        <v>3675</v>
      </c>
      <c r="L246">
        <v>10500</v>
      </c>
      <c r="M246">
        <v>10500</v>
      </c>
      <c r="N246" t="s">
        <v>19</v>
      </c>
    </row>
    <row r="247" spans="1:14" x14ac:dyDescent="0.25">
      <c r="A247" t="s">
        <v>1503</v>
      </c>
      <c r="B247" t="s">
        <v>1804</v>
      </c>
      <c r="C247" t="s">
        <v>251</v>
      </c>
      <c r="D247" t="s">
        <v>20</v>
      </c>
      <c r="E247" t="s">
        <v>252</v>
      </c>
      <c r="F247" t="s">
        <v>15</v>
      </c>
      <c r="G247" t="s">
        <v>22</v>
      </c>
      <c r="H247" t="s">
        <v>230</v>
      </c>
      <c r="I247" t="s">
        <v>232</v>
      </c>
      <c r="J247">
        <v>1</v>
      </c>
      <c r="K247">
        <v>13100</v>
      </c>
      <c r="L247">
        <v>13100</v>
      </c>
      <c r="M247">
        <v>13100</v>
      </c>
      <c r="N247" t="s">
        <v>19</v>
      </c>
    </row>
    <row r="248" spans="1:14" x14ac:dyDescent="0.25">
      <c r="A248" t="s">
        <v>1503</v>
      </c>
      <c r="B248" t="s">
        <v>1804</v>
      </c>
      <c r="C248" t="s">
        <v>251</v>
      </c>
      <c r="D248" t="s">
        <v>20</v>
      </c>
      <c r="E248" t="s">
        <v>252</v>
      </c>
      <c r="F248" t="s">
        <v>15</v>
      </c>
      <c r="G248" t="s">
        <v>22</v>
      </c>
      <c r="H248" t="s">
        <v>230</v>
      </c>
      <c r="I248" t="s">
        <v>24</v>
      </c>
      <c r="J248">
        <v>1</v>
      </c>
      <c r="K248">
        <v>13100</v>
      </c>
      <c r="L248">
        <v>13100</v>
      </c>
      <c r="M248">
        <v>13100</v>
      </c>
      <c r="N248" t="s">
        <v>19</v>
      </c>
    </row>
    <row r="249" spans="1:14" x14ac:dyDescent="0.25">
      <c r="A249" t="s">
        <v>1503</v>
      </c>
      <c r="B249" t="s">
        <v>1804</v>
      </c>
      <c r="C249" t="s">
        <v>251</v>
      </c>
      <c r="D249" t="s">
        <v>20</v>
      </c>
      <c r="E249" t="s">
        <v>252</v>
      </c>
      <c r="F249" t="s">
        <v>15</v>
      </c>
      <c r="G249" t="s">
        <v>22</v>
      </c>
      <c r="H249" t="s">
        <v>230</v>
      </c>
      <c r="I249" t="s">
        <v>26</v>
      </c>
      <c r="J249">
        <v>1</v>
      </c>
      <c r="K249">
        <v>500</v>
      </c>
      <c r="L249">
        <v>500</v>
      </c>
      <c r="M249">
        <v>500</v>
      </c>
      <c r="N249" t="s">
        <v>19</v>
      </c>
    </row>
    <row r="250" spans="1:14" x14ac:dyDescent="0.25">
      <c r="A250" t="s">
        <v>1503</v>
      </c>
      <c r="B250" t="s">
        <v>1804</v>
      </c>
      <c r="C250" t="s">
        <v>251</v>
      </c>
      <c r="D250" t="s">
        <v>20</v>
      </c>
      <c r="E250" t="s">
        <v>252</v>
      </c>
      <c r="F250" t="s">
        <v>15</v>
      </c>
      <c r="G250" t="s">
        <v>22</v>
      </c>
      <c r="H250" t="s">
        <v>230</v>
      </c>
      <c r="I250" t="s">
        <v>233</v>
      </c>
      <c r="J250">
        <v>1</v>
      </c>
      <c r="K250">
        <v>8500</v>
      </c>
      <c r="L250">
        <v>12100</v>
      </c>
      <c r="M250">
        <v>12100</v>
      </c>
      <c r="N250" t="s">
        <v>19</v>
      </c>
    </row>
    <row r="251" spans="1:14" x14ac:dyDescent="0.25">
      <c r="A251" t="s">
        <v>1503</v>
      </c>
      <c r="B251" t="s">
        <v>1804</v>
      </c>
      <c r="C251" t="s">
        <v>251</v>
      </c>
      <c r="D251" t="s">
        <v>20</v>
      </c>
      <c r="E251" t="s">
        <v>252</v>
      </c>
      <c r="F251" t="s">
        <v>15</v>
      </c>
      <c r="G251" t="s">
        <v>22</v>
      </c>
      <c r="H251" t="s">
        <v>230</v>
      </c>
      <c r="I251" t="s">
        <v>98</v>
      </c>
      <c r="J251">
        <v>1</v>
      </c>
      <c r="K251">
        <v>935</v>
      </c>
      <c r="L251">
        <v>1500</v>
      </c>
      <c r="M251">
        <v>1500</v>
      </c>
      <c r="N251" t="s">
        <v>19</v>
      </c>
    </row>
    <row r="252" spans="1:14" x14ac:dyDescent="0.25">
      <c r="A252" t="s">
        <v>1503</v>
      </c>
      <c r="B252" t="s">
        <v>1804</v>
      </c>
      <c r="C252" t="s">
        <v>251</v>
      </c>
      <c r="D252" t="s">
        <v>20</v>
      </c>
      <c r="E252" t="s">
        <v>252</v>
      </c>
      <c r="F252" t="s">
        <v>15</v>
      </c>
      <c r="G252" t="s">
        <v>22</v>
      </c>
      <c r="H252" t="s">
        <v>230</v>
      </c>
      <c r="I252" t="s">
        <v>234</v>
      </c>
      <c r="J252">
        <v>1</v>
      </c>
      <c r="K252">
        <v>4800</v>
      </c>
      <c r="L252">
        <v>7000</v>
      </c>
      <c r="M252">
        <v>7000</v>
      </c>
      <c r="N252" t="s">
        <v>19</v>
      </c>
    </row>
    <row r="253" spans="1:14" x14ac:dyDescent="0.25">
      <c r="A253" t="s">
        <v>1503</v>
      </c>
      <c r="B253" t="s">
        <v>1804</v>
      </c>
      <c r="C253" t="s">
        <v>251</v>
      </c>
      <c r="D253" t="s">
        <v>20</v>
      </c>
      <c r="E253" t="s">
        <v>252</v>
      </c>
      <c r="F253" t="s">
        <v>15</v>
      </c>
      <c r="G253" t="s">
        <v>22</v>
      </c>
      <c r="H253" t="s">
        <v>230</v>
      </c>
      <c r="I253" t="s">
        <v>235</v>
      </c>
      <c r="J253">
        <v>1</v>
      </c>
      <c r="K253">
        <v>1350</v>
      </c>
      <c r="L253">
        <v>2000</v>
      </c>
      <c r="M253">
        <v>2000</v>
      </c>
      <c r="N253" t="s">
        <v>19</v>
      </c>
    </row>
    <row r="254" spans="1:14" x14ac:dyDescent="0.25">
      <c r="A254" t="s">
        <v>1503</v>
      </c>
      <c r="B254" t="s">
        <v>1804</v>
      </c>
      <c r="C254" t="s">
        <v>251</v>
      </c>
      <c r="D254" t="s">
        <v>20</v>
      </c>
      <c r="E254" t="s">
        <v>252</v>
      </c>
      <c r="F254" t="s">
        <v>15</v>
      </c>
      <c r="G254" t="s">
        <v>22</v>
      </c>
      <c r="H254" t="s">
        <v>230</v>
      </c>
      <c r="I254" t="s">
        <v>236</v>
      </c>
      <c r="J254">
        <v>1</v>
      </c>
      <c r="K254">
        <v>2100</v>
      </c>
      <c r="L254">
        <v>3100</v>
      </c>
      <c r="M254">
        <v>3100</v>
      </c>
      <c r="N254" t="s">
        <v>19</v>
      </c>
    </row>
    <row r="255" spans="1:14" x14ac:dyDescent="0.25">
      <c r="A255" t="s">
        <v>1503</v>
      </c>
      <c r="B255" t="s">
        <v>1804</v>
      </c>
      <c r="C255" t="s">
        <v>251</v>
      </c>
      <c r="D255" t="s">
        <v>20</v>
      </c>
      <c r="E255" t="s">
        <v>252</v>
      </c>
      <c r="F255" t="s">
        <v>15</v>
      </c>
      <c r="G255" t="s">
        <v>22</v>
      </c>
      <c r="H255" t="s">
        <v>230</v>
      </c>
      <c r="I255" t="s">
        <v>76</v>
      </c>
      <c r="J255">
        <v>1</v>
      </c>
      <c r="K255">
        <v>500</v>
      </c>
      <c r="L255">
        <v>500</v>
      </c>
      <c r="M255">
        <v>500</v>
      </c>
      <c r="N255" t="s">
        <v>19</v>
      </c>
    </row>
    <row r="256" spans="1:14" x14ac:dyDescent="0.25">
      <c r="A256" t="s">
        <v>1656</v>
      </c>
      <c r="B256" t="s">
        <v>1805</v>
      </c>
      <c r="C256" t="s">
        <v>198</v>
      </c>
      <c r="D256" t="s">
        <v>199</v>
      </c>
      <c r="E256" t="s">
        <v>200</v>
      </c>
      <c r="F256" t="s">
        <v>201</v>
      </c>
      <c r="G256" t="s">
        <v>22</v>
      </c>
      <c r="H256" t="s">
        <v>202</v>
      </c>
      <c r="I256" t="s">
        <v>188</v>
      </c>
      <c r="J256">
        <v>1</v>
      </c>
      <c r="K256">
        <v>23450</v>
      </c>
      <c r="L256">
        <v>29900</v>
      </c>
      <c r="M256">
        <v>29900</v>
      </c>
      <c r="N256" t="s">
        <v>39</v>
      </c>
    </row>
    <row r="257" spans="1:14" x14ac:dyDescent="0.25">
      <c r="A257" t="s">
        <v>1656</v>
      </c>
      <c r="B257" t="s">
        <v>1805</v>
      </c>
      <c r="C257" t="s">
        <v>198</v>
      </c>
      <c r="D257" t="s">
        <v>199</v>
      </c>
      <c r="E257" t="s">
        <v>200</v>
      </c>
      <c r="F257" t="s">
        <v>201</v>
      </c>
      <c r="G257" t="s">
        <v>22</v>
      </c>
      <c r="H257" t="s">
        <v>202</v>
      </c>
      <c r="I257" t="s">
        <v>189</v>
      </c>
      <c r="J257">
        <v>1</v>
      </c>
      <c r="K257">
        <v>500</v>
      </c>
      <c r="L257">
        <v>700</v>
      </c>
      <c r="M257">
        <v>700</v>
      </c>
      <c r="N257" t="s">
        <v>39</v>
      </c>
    </row>
    <row r="258" spans="1:14" x14ac:dyDescent="0.25">
      <c r="A258" t="s">
        <v>1656</v>
      </c>
      <c r="B258" t="s">
        <v>1805</v>
      </c>
      <c r="C258" t="s">
        <v>198</v>
      </c>
      <c r="D258" t="s">
        <v>199</v>
      </c>
      <c r="E258" t="s">
        <v>200</v>
      </c>
      <c r="F258" t="s">
        <v>201</v>
      </c>
      <c r="G258" t="s">
        <v>22</v>
      </c>
      <c r="H258" t="s">
        <v>202</v>
      </c>
      <c r="I258" t="s">
        <v>203</v>
      </c>
      <c r="J258">
        <v>1</v>
      </c>
      <c r="K258">
        <v>350</v>
      </c>
      <c r="L258">
        <v>500</v>
      </c>
      <c r="M258">
        <v>500</v>
      </c>
      <c r="N258" t="s">
        <v>39</v>
      </c>
    </row>
    <row r="259" spans="1:14" x14ac:dyDescent="0.25">
      <c r="A259" t="s">
        <v>1629</v>
      </c>
      <c r="B259" t="s">
        <v>1806</v>
      </c>
      <c r="C259" t="s">
        <v>255</v>
      </c>
      <c r="D259" t="s">
        <v>259</v>
      </c>
      <c r="E259" t="s">
        <v>260</v>
      </c>
      <c r="F259" t="s">
        <v>15</v>
      </c>
      <c r="G259" t="s">
        <v>22</v>
      </c>
      <c r="H259" t="s">
        <v>202</v>
      </c>
      <c r="I259" t="s">
        <v>261</v>
      </c>
      <c r="J259">
        <v>1</v>
      </c>
      <c r="K259">
        <v>4800</v>
      </c>
      <c r="L259">
        <v>8000</v>
      </c>
      <c r="M259">
        <v>8000</v>
      </c>
      <c r="N259" t="s">
        <v>19</v>
      </c>
    </row>
    <row r="260" spans="1:14" x14ac:dyDescent="0.25">
      <c r="A260" t="s">
        <v>1497</v>
      </c>
      <c r="B260" t="s">
        <v>1807</v>
      </c>
      <c r="C260" t="s">
        <v>262</v>
      </c>
      <c r="D260" t="s">
        <v>20</v>
      </c>
      <c r="E260" t="s">
        <v>263</v>
      </c>
      <c r="F260" t="s">
        <v>15</v>
      </c>
      <c r="G260" t="s">
        <v>22</v>
      </c>
      <c r="H260" t="s">
        <v>202</v>
      </c>
      <c r="I260" t="s">
        <v>264</v>
      </c>
      <c r="J260">
        <v>1</v>
      </c>
      <c r="K260">
        <v>1200</v>
      </c>
      <c r="L260">
        <v>1700</v>
      </c>
      <c r="M260">
        <v>1700</v>
      </c>
      <c r="N260" t="s">
        <v>19</v>
      </c>
    </row>
    <row r="261" spans="1:14" x14ac:dyDescent="0.25">
      <c r="A261" t="s">
        <v>1581</v>
      </c>
      <c r="B261" t="s">
        <v>1808</v>
      </c>
      <c r="C261" t="s">
        <v>206</v>
      </c>
      <c r="D261" t="s">
        <v>87</v>
      </c>
      <c r="E261" t="s">
        <v>87</v>
      </c>
      <c r="F261" t="s">
        <v>15</v>
      </c>
      <c r="G261" t="s">
        <v>37</v>
      </c>
      <c r="H261" t="s">
        <v>207</v>
      </c>
      <c r="I261" t="s">
        <v>89</v>
      </c>
      <c r="J261">
        <v>50</v>
      </c>
      <c r="K261">
        <v>32</v>
      </c>
      <c r="L261">
        <v>50</v>
      </c>
      <c r="M261">
        <v>2500</v>
      </c>
      <c r="N261" t="s">
        <v>39</v>
      </c>
    </row>
    <row r="262" spans="1:14" x14ac:dyDescent="0.25">
      <c r="A262" t="s">
        <v>1547</v>
      </c>
      <c r="B262" t="s">
        <v>1809</v>
      </c>
      <c r="C262" t="s">
        <v>208</v>
      </c>
      <c r="D262" t="s">
        <v>34</v>
      </c>
      <c r="E262" t="s">
        <v>35</v>
      </c>
      <c r="F262" t="s">
        <v>15</v>
      </c>
      <c r="G262" t="s">
        <v>37</v>
      </c>
      <c r="H262" t="s">
        <v>207</v>
      </c>
      <c r="I262" t="s">
        <v>209</v>
      </c>
      <c r="J262">
        <v>1</v>
      </c>
      <c r="K262">
        <v>23450</v>
      </c>
      <c r="L262">
        <v>30400</v>
      </c>
      <c r="M262">
        <v>30400</v>
      </c>
      <c r="N262" t="s">
        <v>19</v>
      </c>
    </row>
    <row r="263" spans="1:14" x14ac:dyDescent="0.25">
      <c r="A263" t="s">
        <v>1547</v>
      </c>
      <c r="B263" t="s">
        <v>1809</v>
      </c>
      <c r="C263" t="s">
        <v>208</v>
      </c>
      <c r="D263" t="s">
        <v>34</v>
      </c>
      <c r="E263" t="s">
        <v>35</v>
      </c>
      <c r="F263" t="s">
        <v>15</v>
      </c>
      <c r="G263" t="s">
        <v>37</v>
      </c>
      <c r="H263" t="s">
        <v>207</v>
      </c>
      <c r="I263" t="s">
        <v>151</v>
      </c>
      <c r="J263">
        <v>1</v>
      </c>
      <c r="K263">
        <v>2800</v>
      </c>
      <c r="L263">
        <v>4000</v>
      </c>
      <c r="M263">
        <v>4000</v>
      </c>
      <c r="N263" t="s">
        <v>19</v>
      </c>
    </row>
    <row r="264" spans="1:14" x14ac:dyDescent="0.25">
      <c r="A264" t="s">
        <v>1547</v>
      </c>
      <c r="B264" t="s">
        <v>1809</v>
      </c>
      <c r="C264" t="s">
        <v>208</v>
      </c>
      <c r="D264" t="s">
        <v>34</v>
      </c>
      <c r="E264" t="s">
        <v>35</v>
      </c>
      <c r="F264" t="s">
        <v>15</v>
      </c>
      <c r="G264" t="s">
        <v>37</v>
      </c>
      <c r="H264" t="s">
        <v>207</v>
      </c>
      <c r="I264" t="s">
        <v>210</v>
      </c>
      <c r="J264">
        <v>1</v>
      </c>
      <c r="K264">
        <v>530</v>
      </c>
      <c r="L264">
        <v>700</v>
      </c>
      <c r="M264">
        <v>700</v>
      </c>
      <c r="N264" t="s">
        <v>19</v>
      </c>
    </row>
    <row r="265" spans="1:14" x14ac:dyDescent="0.25">
      <c r="A265" t="s">
        <v>1547</v>
      </c>
      <c r="B265" t="s">
        <v>1809</v>
      </c>
      <c r="C265" t="s">
        <v>208</v>
      </c>
      <c r="D265" t="s">
        <v>34</v>
      </c>
      <c r="E265" t="s">
        <v>35</v>
      </c>
      <c r="F265" t="s">
        <v>15</v>
      </c>
      <c r="G265" t="s">
        <v>37</v>
      </c>
      <c r="H265" t="s">
        <v>207</v>
      </c>
      <c r="I265" t="s">
        <v>211</v>
      </c>
      <c r="J265">
        <v>1</v>
      </c>
      <c r="K265">
        <v>350</v>
      </c>
      <c r="L265">
        <v>500</v>
      </c>
      <c r="M265">
        <v>500</v>
      </c>
      <c r="N265" t="s">
        <v>19</v>
      </c>
    </row>
    <row r="266" spans="1:14" x14ac:dyDescent="0.25">
      <c r="A266" t="s">
        <v>1547</v>
      </c>
      <c r="B266" t="s">
        <v>1809</v>
      </c>
      <c r="C266" t="s">
        <v>208</v>
      </c>
      <c r="D266" t="s">
        <v>34</v>
      </c>
      <c r="E266" t="s">
        <v>35</v>
      </c>
      <c r="F266" t="s">
        <v>15</v>
      </c>
      <c r="G266" t="s">
        <v>37</v>
      </c>
      <c r="H266" t="s">
        <v>207</v>
      </c>
      <c r="I266" t="s">
        <v>98</v>
      </c>
      <c r="J266">
        <v>1</v>
      </c>
      <c r="K266">
        <v>935</v>
      </c>
      <c r="L266">
        <v>1500</v>
      </c>
      <c r="M266">
        <v>1500</v>
      </c>
      <c r="N266" t="s">
        <v>19</v>
      </c>
    </row>
    <row r="267" spans="1:14" x14ac:dyDescent="0.25">
      <c r="A267" t="s">
        <v>1547</v>
      </c>
      <c r="B267" t="s">
        <v>1809</v>
      </c>
      <c r="C267" t="s">
        <v>208</v>
      </c>
      <c r="D267" t="s">
        <v>34</v>
      </c>
      <c r="E267" t="s">
        <v>35</v>
      </c>
      <c r="F267" t="s">
        <v>15</v>
      </c>
      <c r="G267" t="s">
        <v>37</v>
      </c>
      <c r="H267" t="s">
        <v>207</v>
      </c>
      <c r="I267" t="s">
        <v>50</v>
      </c>
      <c r="J267">
        <v>1</v>
      </c>
      <c r="K267">
        <v>500</v>
      </c>
      <c r="L267">
        <v>500</v>
      </c>
      <c r="M267">
        <v>500</v>
      </c>
      <c r="N267" t="s">
        <v>19</v>
      </c>
    </row>
    <row r="268" spans="1:14" x14ac:dyDescent="0.25">
      <c r="A268" t="s">
        <v>1547</v>
      </c>
      <c r="B268" t="s">
        <v>1809</v>
      </c>
      <c r="C268" t="s">
        <v>208</v>
      </c>
      <c r="D268" t="s">
        <v>34</v>
      </c>
      <c r="E268" t="s">
        <v>35</v>
      </c>
      <c r="F268" t="s">
        <v>15</v>
      </c>
      <c r="G268" t="s">
        <v>37</v>
      </c>
      <c r="H268" t="s">
        <v>207</v>
      </c>
      <c r="I268" t="s">
        <v>63</v>
      </c>
      <c r="J268">
        <v>1</v>
      </c>
      <c r="K268">
        <v>400</v>
      </c>
      <c r="L268">
        <v>400</v>
      </c>
      <c r="M268">
        <v>400</v>
      </c>
      <c r="N268" t="s">
        <v>19</v>
      </c>
    </row>
    <row r="269" spans="1:14" x14ac:dyDescent="0.25">
      <c r="A269" t="s">
        <v>1507</v>
      </c>
      <c r="B269" t="s">
        <v>1810</v>
      </c>
      <c r="C269" t="s">
        <v>223</v>
      </c>
      <c r="D269" t="s">
        <v>20</v>
      </c>
      <c r="E269" t="s">
        <v>119</v>
      </c>
      <c r="F269" t="s">
        <v>15</v>
      </c>
      <c r="G269" t="s">
        <v>22</v>
      </c>
      <c r="H269" t="s">
        <v>1271</v>
      </c>
      <c r="I269" t="s">
        <v>121</v>
      </c>
      <c r="J269">
        <v>50</v>
      </c>
      <c r="K269">
        <v>32</v>
      </c>
      <c r="L269">
        <v>50</v>
      </c>
      <c r="M269">
        <v>2500</v>
      </c>
      <c r="N269" t="s">
        <v>19</v>
      </c>
    </row>
    <row r="270" spans="1:14" x14ac:dyDescent="0.25">
      <c r="A270" t="s">
        <v>1504</v>
      </c>
      <c r="B270" t="s">
        <v>1811</v>
      </c>
      <c r="C270" t="s">
        <v>268</v>
      </c>
      <c r="D270" t="s">
        <v>20</v>
      </c>
      <c r="E270" t="s">
        <v>270</v>
      </c>
      <c r="F270" t="s">
        <v>15</v>
      </c>
      <c r="G270" t="s">
        <v>22</v>
      </c>
      <c r="H270" t="s">
        <v>271</v>
      </c>
      <c r="I270" t="s">
        <v>231</v>
      </c>
      <c r="J270">
        <v>1</v>
      </c>
      <c r="K270">
        <v>3675</v>
      </c>
      <c r="L270">
        <v>10500</v>
      </c>
      <c r="M270">
        <v>10500</v>
      </c>
      <c r="N270" t="s">
        <v>19</v>
      </c>
    </row>
    <row r="271" spans="1:14" x14ac:dyDescent="0.25">
      <c r="A271" t="s">
        <v>1504</v>
      </c>
      <c r="B271" t="s">
        <v>1811</v>
      </c>
      <c r="C271" t="s">
        <v>268</v>
      </c>
      <c r="D271" t="s">
        <v>20</v>
      </c>
      <c r="E271" t="s">
        <v>270</v>
      </c>
      <c r="F271" t="s">
        <v>15</v>
      </c>
      <c r="G271" t="s">
        <v>22</v>
      </c>
      <c r="H271" t="s">
        <v>271</v>
      </c>
      <c r="I271" t="s">
        <v>232</v>
      </c>
      <c r="J271">
        <v>1</v>
      </c>
      <c r="K271">
        <v>13100</v>
      </c>
      <c r="L271">
        <v>13100</v>
      </c>
      <c r="M271">
        <v>13100</v>
      </c>
      <c r="N271" t="s">
        <v>19</v>
      </c>
    </row>
    <row r="272" spans="1:14" x14ac:dyDescent="0.25">
      <c r="A272" t="s">
        <v>1504</v>
      </c>
      <c r="B272" t="s">
        <v>1811</v>
      </c>
      <c r="C272" t="s">
        <v>268</v>
      </c>
      <c r="D272" t="s">
        <v>20</v>
      </c>
      <c r="E272" t="s">
        <v>270</v>
      </c>
      <c r="F272" t="s">
        <v>15</v>
      </c>
      <c r="G272" t="s">
        <v>22</v>
      </c>
      <c r="H272" t="s">
        <v>271</v>
      </c>
      <c r="I272" t="s">
        <v>24</v>
      </c>
      <c r="J272">
        <v>1</v>
      </c>
      <c r="K272">
        <v>13100</v>
      </c>
      <c r="L272">
        <v>13100</v>
      </c>
      <c r="M272">
        <v>13100</v>
      </c>
      <c r="N272" t="s">
        <v>19</v>
      </c>
    </row>
    <row r="273" spans="1:14" x14ac:dyDescent="0.25">
      <c r="A273" t="s">
        <v>1504</v>
      </c>
      <c r="B273" t="s">
        <v>1811</v>
      </c>
      <c r="C273" t="s">
        <v>268</v>
      </c>
      <c r="D273" t="s">
        <v>20</v>
      </c>
      <c r="E273" t="s">
        <v>270</v>
      </c>
      <c r="F273" t="s">
        <v>15</v>
      </c>
      <c r="G273" t="s">
        <v>22</v>
      </c>
      <c r="H273" t="s">
        <v>271</v>
      </c>
      <c r="I273" t="s">
        <v>26</v>
      </c>
      <c r="J273">
        <v>1</v>
      </c>
      <c r="K273">
        <v>500</v>
      </c>
      <c r="L273">
        <v>500</v>
      </c>
      <c r="M273">
        <v>500</v>
      </c>
      <c r="N273" t="s">
        <v>19</v>
      </c>
    </row>
    <row r="274" spans="1:14" x14ac:dyDescent="0.25">
      <c r="A274" t="s">
        <v>1504</v>
      </c>
      <c r="B274" t="s">
        <v>1811</v>
      </c>
      <c r="C274" t="s">
        <v>268</v>
      </c>
      <c r="D274" t="s">
        <v>20</v>
      </c>
      <c r="E274" t="s">
        <v>270</v>
      </c>
      <c r="F274" t="s">
        <v>15</v>
      </c>
      <c r="G274" t="s">
        <v>22</v>
      </c>
      <c r="H274" t="s">
        <v>271</v>
      </c>
      <c r="I274" t="s">
        <v>233</v>
      </c>
      <c r="J274">
        <v>1</v>
      </c>
      <c r="K274">
        <v>8500</v>
      </c>
      <c r="L274">
        <v>12100</v>
      </c>
      <c r="M274">
        <v>12100</v>
      </c>
      <c r="N274" t="s">
        <v>19</v>
      </c>
    </row>
    <row r="275" spans="1:14" x14ac:dyDescent="0.25">
      <c r="A275" t="s">
        <v>1504</v>
      </c>
      <c r="B275" t="s">
        <v>1811</v>
      </c>
      <c r="C275" t="s">
        <v>268</v>
      </c>
      <c r="D275" t="s">
        <v>20</v>
      </c>
      <c r="E275" t="s">
        <v>270</v>
      </c>
      <c r="F275" t="s">
        <v>15</v>
      </c>
      <c r="G275" t="s">
        <v>22</v>
      </c>
      <c r="H275" t="s">
        <v>271</v>
      </c>
      <c r="I275" t="s">
        <v>98</v>
      </c>
      <c r="J275">
        <v>1</v>
      </c>
      <c r="K275">
        <v>935</v>
      </c>
      <c r="L275">
        <v>1500</v>
      </c>
      <c r="M275">
        <v>1500</v>
      </c>
      <c r="N275" t="s">
        <v>19</v>
      </c>
    </row>
    <row r="276" spans="1:14" x14ac:dyDescent="0.25">
      <c r="A276" t="s">
        <v>1504</v>
      </c>
      <c r="B276" t="s">
        <v>1811</v>
      </c>
      <c r="C276" t="s">
        <v>268</v>
      </c>
      <c r="D276" t="s">
        <v>20</v>
      </c>
      <c r="E276" t="s">
        <v>270</v>
      </c>
      <c r="F276" t="s">
        <v>15</v>
      </c>
      <c r="G276" t="s">
        <v>22</v>
      </c>
      <c r="H276" t="s">
        <v>271</v>
      </c>
      <c r="I276" t="s">
        <v>234</v>
      </c>
      <c r="J276">
        <v>1</v>
      </c>
      <c r="K276">
        <v>4800</v>
      </c>
      <c r="L276">
        <v>7000</v>
      </c>
      <c r="M276">
        <v>7000</v>
      </c>
      <c r="N276" t="s">
        <v>19</v>
      </c>
    </row>
    <row r="277" spans="1:14" x14ac:dyDescent="0.25">
      <c r="A277" t="s">
        <v>1504</v>
      </c>
      <c r="B277" t="s">
        <v>1811</v>
      </c>
      <c r="C277" t="s">
        <v>268</v>
      </c>
      <c r="D277" t="s">
        <v>20</v>
      </c>
      <c r="E277" t="s">
        <v>270</v>
      </c>
      <c r="F277" t="s">
        <v>15</v>
      </c>
      <c r="G277" t="s">
        <v>22</v>
      </c>
      <c r="H277" t="s">
        <v>271</v>
      </c>
      <c r="I277" t="s">
        <v>235</v>
      </c>
      <c r="J277">
        <v>1</v>
      </c>
      <c r="K277">
        <v>1350</v>
      </c>
      <c r="L277">
        <v>2000</v>
      </c>
      <c r="M277">
        <v>2000</v>
      </c>
      <c r="N277" t="s">
        <v>19</v>
      </c>
    </row>
    <row r="278" spans="1:14" x14ac:dyDescent="0.25">
      <c r="A278" t="s">
        <v>1504</v>
      </c>
      <c r="B278" t="s">
        <v>1811</v>
      </c>
      <c r="C278" t="s">
        <v>268</v>
      </c>
      <c r="D278" t="s">
        <v>20</v>
      </c>
      <c r="E278" t="s">
        <v>270</v>
      </c>
      <c r="F278" t="s">
        <v>15</v>
      </c>
      <c r="G278" t="s">
        <v>22</v>
      </c>
      <c r="H278" t="s">
        <v>271</v>
      </c>
      <c r="I278" t="s">
        <v>236</v>
      </c>
      <c r="J278">
        <v>1</v>
      </c>
      <c r="K278">
        <v>2100</v>
      </c>
      <c r="L278">
        <v>3100</v>
      </c>
      <c r="M278">
        <v>3100</v>
      </c>
      <c r="N278" t="s">
        <v>19</v>
      </c>
    </row>
    <row r="279" spans="1:14" x14ac:dyDescent="0.25">
      <c r="A279" t="s">
        <v>1504</v>
      </c>
      <c r="B279" t="s">
        <v>1811</v>
      </c>
      <c r="C279" t="s">
        <v>268</v>
      </c>
      <c r="D279" t="s">
        <v>20</v>
      </c>
      <c r="E279" t="s">
        <v>270</v>
      </c>
      <c r="F279" t="s">
        <v>15</v>
      </c>
      <c r="G279" t="s">
        <v>22</v>
      </c>
      <c r="H279" t="s">
        <v>271</v>
      </c>
      <c r="I279" t="s">
        <v>76</v>
      </c>
      <c r="J279">
        <v>1</v>
      </c>
      <c r="K279">
        <v>500</v>
      </c>
      <c r="L279">
        <v>500</v>
      </c>
      <c r="M279">
        <v>500</v>
      </c>
      <c r="N279" t="s">
        <v>19</v>
      </c>
    </row>
    <row r="280" spans="1:14" x14ac:dyDescent="0.25">
      <c r="A280" t="s">
        <v>1526</v>
      </c>
      <c r="B280" t="s">
        <v>1812</v>
      </c>
      <c r="C280" t="s">
        <v>272</v>
      </c>
      <c r="D280" t="s">
        <v>20</v>
      </c>
      <c r="E280" t="s">
        <v>273</v>
      </c>
      <c r="F280" t="s">
        <v>15</v>
      </c>
      <c r="G280" t="s">
        <v>22</v>
      </c>
      <c r="H280" t="s">
        <v>271</v>
      </c>
      <c r="I280" t="s">
        <v>93</v>
      </c>
      <c r="J280">
        <v>1</v>
      </c>
      <c r="K280">
        <v>10750</v>
      </c>
      <c r="L280">
        <v>16000</v>
      </c>
      <c r="M280">
        <v>16000</v>
      </c>
      <c r="N280" t="s">
        <v>19</v>
      </c>
    </row>
    <row r="281" spans="1:14" x14ac:dyDescent="0.25">
      <c r="A281" t="s">
        <v>1526</v>
      </c>
      <c r="B281" t="s">
        <v>1812</v>
      </c>
      <c r="C281" t="s">
        <v>272</v>
      </c>
      <c r="D281" t="s">
        <v>20</v>
      </c>
      <c r="E281" t="s">
        <v>273</v>
      </c>
      <c r="F281" t="s">
        <v>15</v>
      </c>
      <c r="G281" t="s">
        <v>22</v>
      </c>
      <c r="H281" t="s">
        <v>271</v>
      </c>
      <c r="I281" t="s">
        <v>76</v>
      </c>
      <c r="J281">
        <v>1</v>
      </c>
      <c r="K281">
        <v>500</v>
      </c>
      <c r="L281">
        <v>500</v>
      </c>
      <c r="M281">
        <v>500</v>
      </c>
      <c r="N281" t="s">
        <v>19</v>
      </c>
    </row>
    <row r="282" spans="1:14" x14ac:dyDescent="0.25">
      <c r="A282" t="s">
        <v>1509</v>
      </c>
      <c r="B282" t="s">
        <v>1813</v>
      </c>
      <c r="C282" t="s">
        <v>274</v>
      </c>
      <c r="D282" t="s">
        <v>20</v>
      </c>
      <c r="E282" t="s">
        <v>70</v>
      </c>
      <c r="F282" t="s">
        <v>15</v>
      </c>
      <c r="G282" t="s">
        <v>22</v>
      </c>
      <c r="H282" t="s">
        <v>271</v>
      </c>
      <c r="I282" t="s">
        <v>169</v>
      </c>
      <c r="J282">
        <v>1</v>
      </c>
      <c r="K282">
        <v>3675</v>
      </c>
      <c r="L282">
        <v>10500</v>
      </c>
      <c r="M282">
        <v>10500</v>
      </c>
      <c r="N282" t="s">
        <v>19</v>
      </c>
    </row>
    <row r="283" spans="1:14" x14ac:dyDescent="0.25">
      <c r="A283" t="s">
        <v>1509</v>
      </c>
      <c r="B283" t="s">
        <v>1813</v>
      </c>
      <c r="C283" t="s">
        <v>274</v>
      </c>
      <c r="D283" t="s">
        <v>20</v>
      </c>
      <c r="E283" t="s">
        <v>70</v>
      </c>
      <c r="F283" t="s">
        <v>15</v>
      </c>
      <c r="G283" t="s">
        <v>22</v>
      </c>
      <c r="H283" t="s">
        <v>271</v>
      </c>
      <c r="I283" t="s">
        <v>170</v>
      </c>
      <c r="J283">
        <v>1</v>
      </c>
      <c r="K283">
        <v>3500</v>
      </c>
      <c r="L283">
        <v>3500</v>
      </c>
      <c r="M283">
        <v>3500</v>
      </c>
      <c r="N283" t="s">
        <v>19</v>
      </c>
    </row>
    <row r="284" spans="1:14" x14ac:dyDescent="0.25">
      <c r="A284" t="s">
        <v>1509</v>
      </c>
      <c r="B284" t="s">
        <v>1813</v>
      </c>
      <c r="C284" t="s">
        <v>274</v>
      </c>
      <c r="D284" t="s">
        <v>20</v>
      </c>
      <c r="E284" t="s">
        <v>70</v>
      </c>
      <c r="F284" t="s">
        <v>15</v>
      </c>
      <c r="G284" t="s">
        <v>22</v>
      </c>
      <c r="H284" t="s">
        <v>271</v>
      </c>
      <c r="I284" t="s">
        <v>24</v>
      </c>
      <c r="J284">
        <v>1</v>
      </c>
      <c r="K284">
        <v>3500</v>
      </c>
      <c r="L284">
        <v>3500</v>
      </c>
      <c r="M284">
        <v>3500</v>
      </c>
      <c r="N284" t="s">
        <v>19</v>
      </c>
    </row>
    <row r="285" spans="1:14" x14ac:dyDescent="0.25">
      <c r="A285" t="s">
        <v>1509</v>
      </c>
      <c r="B285" t="s">
        <v>1813</v>
      </c>
      <c r="C285" t="s">
        <v>274</v>
      </c>
      <c r="D285" t="s">
        <v>20</v>
      </c>
      <c r="E285" t="s">
        <v>70</v>
      </c>
      <c r="F285" t="s">
        <v>15</v>
      </c>
      <c r="G285" t="s">
        <v>22</v>
      </c>
      <c r="H285" t="s">
        <v>271</v>
      </c>
      <c r="I285" t="s">
        <v>26</v>
      </c>
      <c r="J285">
        <v>1</v>
      </c>
      <c r="K285">
        <v>500</v>
      </c>
      <c r="L285">
        <v>500</v>
      </c>
      <c r="M285">
        <v>500</v>
      </c>
      <c r="N285" t="s">
        <v>19</v>
      </c>
    </row>
    <row r="286" spans="1:14" x14ac:dyDescent="0.25">
      <c r="A286" t="s">
        <v>1509</v>
      </c>
      <c r="B286" t="s">
        <v>1813</v>
      </c>
      <c r="C286" t="s">
        <v>274</v>
      </c>
      <c r="D286" t="s">
        <v>20</v>
      </c>
      <c r="E286" t="s">
        <v>70</v>
      </c>
      <c r="F286" t="s">
        <v>15</v>
      </c>
      <c r="G286" t="s">
        <v>22</v>
      </c>
      <c r="H286" t="s">
        <v>271</v>
      </c>
      <c r="I286" t="s">
        <v>275</v>
      </c>
      <c r="J286">
        <v>1</v>
      </c>
      <c r="K286">
        <v>2800</v>
      </c>
      <c r="L286">
        <v>4000</v>
      </c>
      <c r="M286">
        <v>4000</v>
      </c>
      <c r="N286" t="s">
        <v>19</v>
      </c>
    </row>
    <row r="287" spans="1:14" x14ac:dyDescent="0.25">
      <c r="A287" t="s">
        <v>1509</v>
      </c>
      <c r="B287" t="s">
        <v>1814</v>
      </c>
      <c r="C287" t="s">
        <v>276</v>
      </c>
      <c r="D287" t="s">
        <v>20</v>
      </c>
      <c r="E287" t="s">
        <v>70</v>
      </c>
      <c r="F287" t="s">
        <v>15</v>
      </c>
      <c r="G287" t="s">
        <v>22</v>
      </c>
      <c r="H287" t="s">
        <v>271</v>
      </c>
      <c r="I287" t="s">
        <v>169</v>
      </c>
      <c r="J287">
        <v>1</v>
      </c>
      <c r="K287">
        <v>3675</v>
      </c>
      <c r="L287">
        <v>10500</v>
      </c>
      <c r="M287">
        <v>10500</v>
      </c>
      <c r="N287" t="s">
        <v>19</v>
      </c>
    </row>
    <row r="288" spans="1:14" x14ac:dyDescent="0.25">
      <c r="A288" t="s">
        <v>1509</v>
      </c>
      <c r="B288" t="s">
        <v>1814</v>
      </c>
      <c r="C288" t="s">
        <v>276</v>
      </c>
      <c r="D288" t="s">
        <v>20</v>
      </c>
      <c r="E288" t="s">
        <v>70</v>
      </c>
      <c r="F288" t="s">
        <v>15</v>
      </c>
      <c r="G288" t="s">
        <v>22</v>
      </c>
      <c r="H288" t="s">
        <v>271</v>
      </c>
      <c r="I288" t="s">
        <v>170</v>
      </c>
      <c r="J288">
        <v>1</v>
      </c>
      <c r="K288">
        <v>3500</v>
      </c>
      <c r="L288">
        <v>3500</v>
      </c>
      <c r="M288">
        <v>3500</v>
      </c>
      <c r="N288" t="s">
        <v>19</v>
      </c>
    </row>
    <row r="289" spans="1:14" x14ac:dyDescent="0.25">
      <c r="A289" t="s">
        <v>1509</v>
      </c>
      <c r="B289" t="s">
        <v>1814</v>
      </c>
      <c r="C289" t="s">
        <v>276</v>
      </c>
      <c r="D289" t="s">
        <v>20</v>
      </c>
      <c r="E289" t="s">
        <v>70</v>
      </c>
      <c r="F289" t="s">
        <v>15</v>
      </c>
      <c r="G289" t="s">
        <v>22</v>
      </c>
      <c r="H289" t="s">
        <v>271</v>
      </c>
      <c r="I289" t="s">
        <v>24</v>
      </c>
      <c r="J289">
        <v>1</v>
      </c>
      <c r="K289">
        <v>3500</v>
      </c>
      <c r="L289">
        <v>3500</v>
      </c>
      <c r="M289">
        <v>3500</v>
      </c>
      <c r="N289" t="s">
        <v>19</v>
      </c>
    </row>
    <row r="290" spans="1:14" x14ac:dyDescent="0.25">
      <c r="A290" t="s">
        <v>1509</v>
      </c>
      <c r="B290" t="s">
        <v>1814</v>
      </c>
      <c r="C290" t="s">
        <v>276</v>
      </c>
      <c r="D290" t="s">
        <v>20</v>
      </c>
      <c r="E290" t="s">
        <v>70</v>
      </c>
      <c r="F290" t="s">
        <v>15</v>
      </c>
      <c r="G290" t="s">
        <v>22</v>
      </c>
      <c r="H290" t="s">
        <v>271</v>
      </c>
      <c r="I290" t="s">
        <v>26</v>
      </c>
      <c r="J290">
        <v>1</v>
      </c>
      <c r="K290">
        <v>500</v>
      </c>
      <c r="L290">
        <v>500</v>
      </c>
      <c r="M290">
        <v>500</v>
      </c>
      <c r="N290" t="s">
        <v>19</v>
      </c>
    </row>
    <row r="291" spans="1:14" x14ac:dyDescent="0.25">
      <c r="A291" t="s">
        <v>1509</v>
      </c>
      <c r="B291" t="s">
        <v>1814</v>
      </c>
      <c r="C291" t="s">
        <v>276</v>
      </c>
      <c r="D291" t="s">
        <v>20</v>
      </c>
      <c r="E291" t="s">
        <v>70</v>
      </c>
      <c r="F291" t="s">
        <v>15</v>
      </c>
      <c r="G291" t="s">
        <v>22</v>
      </c>
      <c r="H291" t="s">
        <v>271</v>
      </c>
      <c r="I291" t="s">
        <v>275</v>
      </c>
      <c r="J291">
        <v>1</v>
      </c>
      <c r="K291">
        <v>2800</v>
      </c>
      <c r="L291">
        <v>4000</v>
      </c>
      <c r="M291">
        <v>4000</v>
      </c>
      <c r="N291" t="s">
        <v>19</v>
      </c>
    </row>
    <row r="292" spans="1:14" x14ac:dyDescent="0.25">
      <c r="A292" t="s">
        <v>1634</v>
      </c>
      <c r="B292" t="s">
        <v>1815</v>
      </c>
      <c r="C292" t="s">
        <v>212</v>
      </c>
      <c r="D292" t="s">
        <v>213</v>
      </c>
      <c r="E292" t="s">
        <v>46</v>
      </c>
      <c r="F292" t="s">
        <v>15</v>
      </c>
      <c r="G292" t="s">
        <v>22</v>
      </c>
      <c r="H292" t="s">
        <v>214</v>
      </c>
      <c r="I292" t="s">
        <v>47</v>
      </c>
      <c r="J292">
        <v>1</v>
      </c>
      <c r="K292">
        <v>2275</v>
      </c>
      <c r="L292">
        <v>6500</v>
      </c>
      <c r="M292">
        <v>6500</v>
      </c>
      <c r="N292" t="s">
        <v>19</v>
      </c>
    </row>
    <row r="293" spans="1:14" x14ac:dyDescent="0.25">
      <c r="A293" t="s">
        <v>1634</v>
      </c>
      <c r="B293" t="s">
        <v>1815</v>
      </c>
      <c r="C293" t="s">
        <v>212</v>
      </c>
      <c r="D293" t="s">
        <v>213</v>
      </c>
      <c r="E293" t="s">
        <v>46</v>
      </c>
      <c r="F293" t="s">
        <v>15</v>
      </c>
      <c r="G293" t="s">
        <v>22</v>
      </c>
      <c r="H293" t="s">
        <v>214</v>
      </c>
      <c r="I293" t="s">
        <v>48</v>
      </c>
      <c r="J293">
        <v>1</v>
      </c>
      <c r="K293">
        <v>2275</v>
      </c>
      <c r="L293">
        <v>6500</v>
      </c>
      <c r="M293">
        <v>6500</v>
      </c>
      <c r="N293" t="s">
        <v>19</v>
      </c>
    </row>
    <row r="294" spans="1:14" x14ac:dyDescent="0.25">
      <c r="A294" t="s">
        <v>1634</v>
      </c>
      <c r="B294" t="s">
        <v>1815</v>
      </c>
      <c r="C294" t="s">
        <v>212</v>
      </c>
      <c r="D294" t="s">
        <v>213</v>
      </c>
      <c r="E294" t="s">
        <v>46</v>
      </c>
      <c r="F294" t="s">
        <v>15</v>
      </c>
      <c r="G294" t="s">
        <v>22</v>
      </c>
      <c r="H294" t="s">
        <v>214</v>
      </c>
      <c r="I294" t="s">
        <v>49</v>
      </c>
      <c r="J294">
        <v>1</v>
      </c>
      <c r="K294">
        <v>2275</v>
      </c>
      <c r="L294">
        <v>6500</v>
      </c>
      <c r="M294">
        <v>6500</v>
      </c>
      <c r="N294" t="s">
        <v>19</v>
      </c>
    </row>
    <row r="295" spans="1:14" x14ac:dyDescent="0.25">
      <c r="A295" t="s">
        <v>1634</v>
      </c>
      <c r="B295" t="s">
        <v>1815</v>
      </c>
      <c r="C295" t="s">
        <v>212</v>
      </c>
      <c r="D295" t="s">
        <v>213</v>
      </c>
      <c r="E295" t="s">
        <v>46</v>
      </c>
      <c r="F295" t="s">
        <v>15</v>
      </c>
      <c r="G295" t="s">
        <v>22</v>
      </c>
      <c r="H295" t="s">
        <v>214</v>
      </c>
      <c r="I295" t="s">
        <v>50</v>
      </c>
      <c r="J295">
        <v>1</v>
      </c>
      <c r="K295">
        <v>500</v>
      </c>
      <c r="L295">
        <v>500</v>
      </c>
      <c r="M295">
        <v>500</v>
      </c>
      <c r="N295" t="s">
        <v>19</v>
      </c>
    </row>
    <row r="296" spans="1:14" x14ac:dyDescent="0.25">
      <c r="A296" t="s">
        <v>1516</v>
      </c>
      <c r="B296" t="s">
        <v>1816</v>
      </c>
      <c r="C296" t="s">
        <v>285</v>
      </c>
      <c r="D296" t="s">
        <v>20</v>
      </c>
      <c r="E296" t="s">
        <v>286</v>
      </c>
      <c r="F296" t="s">
        <v>15</v>
      </c>
      <c r="G296" t="s">
        <v>22</v>
      </c>
      <c r="H296" t="s">
        <v>214</v>
      </c>
      <c r="I296" t="s">
        <v>287</v>
      </c>
      <c r="J296">
        <v>1</v>
      </c>
      <c r="K296">
        <v>3745</v>
      </c>
      <c r="L296">
        <v>10000</v>
      </c>
      <c r="M296">
        <v>10000</v>
      </c>
      <c r="N296" t="s">
        <v>19</v>
      </c>
    </row>
    <row r="297" spans="1:14" x14ac:dyDescent="0.25">
      <c r="A297" t="s">
        <v>1516</v>
      </c>
      <c r="B297" t="s">
        <v>1816</v>
      </c>
      <c r="C297" t="s">
        <v>285</v>
      </c>
      <c r="D297" t="s">
        <v>20</v>
      </c>
      <c r="E297" t="s">
        <v>286</v>
      </c>
      <c r="F297" t="s">
        <v>15</v>
      </c>
      <c r="G297" t="s">
        <v>22</v>
      </c>
      <c r="H297" t="s">
        <v>214</v>
      </c>
      <c r="I297" t="s">
        <v>134</v>
      </c>
      <c r="J297">
        <v>1</v>
      </c>
      <c r="K297">
        <v>500</v>
      </c>
      <c r="L297">
        <v>500</v>
      </c>
      <c r="M297">
        <v>500</v>
      </c>
      <c r="N297" t="s">
        <v>19</v>
      </c>
    </row>
    <row r="298" spans="1:14" x14ac:dyDescent="0.25">
      <c r="A298" t="s">
        <v>1516</v>
      </c>
      <c r="B298" t="s">
        <v>1816</v>
      </c>
      <c r="C298" t="s">
        <v>285</v>
      </c>
      <c r="D298" t="s">
        <v>20</v>
      </c>
      <c r="E298" t="s">
        <v>286</v>
      </c>
      <c r="F298" t="s">
        <v>15</v>
      </c>
      <c r="G298" t="s">
        <v>22</v>
      </c>
      <c r="H298" t="s">
        <v>214</v>
      </c>
      <c r="I298" t="s">
        <v>24</v>
      </c>
      <c r="J298">
        <v>1</v>
      </c>
      <c r="K298">
        <v>13000</v>
      </c>
      <c r="L298">
        <v>13000</v>
      </c>
      <c r="M298">
        <v>13000</v>
      </c>
      <c r="N298" t="s">
        <v>19</v>
      </c>
    </row>
    <row r="299" spans="1:14" x14ac:dyDescent="0.25">
      <c r="A299" t="s">
        <v>1516</v>
      </c>
      <c r="B299" t="s">
        <v>1816</v>
      </c>
      <c r="C299" t="s">
        <v>285</v>
      </c>
      <c r="D299" t="s">
        <v>20</v>
      </c>
      <c r="E299" t="s">
        <v>286</v>
      </c>
      <c r="F299" t="s">
        <v>15</v>
      </c>
      <c r="G299" t="s">
        <v>22</v>
      </c>
      <c r="H299" t="s">
        <v>214</v>
      </c>
      <c r="I299" t="s">
        <v>288</v>
      </c>
      <c r="J299">
        <v>1</v>
      </c>
      <c r="K299">
        <v>13000</v>
      </c>
      <c r="L299">
        <v>13000</v>
      </c>
      <c r="M299">
        <v>13000</v>
      </c>
      <c r="N299" t="s">
        <v>19</v>
      </c>
    </row>
    <row r="300" spans="1:14" x14ac:dyDescent="0.25">
      <c r="A300" t="s">
        <v>1516</v>
      </c>
      <c r="B300" t="s">
        <v>1816</v>
      </c>
      <c r="C300" t="s">
        <v>285</v>
      </c>
      <c r="D300" t="s">
        <v>20</v>
      </c>
      <c r="E300" t="s">
        <v>286</v>
      </c>
      <c r="F300" t="s">
        <v>15</v>
      </c>
      <c r="G300" t="s">
        <v>22</v>
      </c>
      <c r="H300" t="s">
        <v>214</v>
      </c>
      <c r="I300" t="s">
        <v>289</v>
      </c>
      <c r="J300">
        <v>1</v>
      </c>
      <c r="K300">
        <v>935</v>
      </c>
      <c r="L300">
        <v>1300</v>
      </c>
      <c r="M300">
        <v>1300</v>
      </c>
      <c r="N300" t="s">
        <v>19</v>
      </c>
    </row>
    <row r="301" spans="1:14" x14ac:dyDescent="0.25">
      <c r="A301" t="s">
        <v>1516</v>
      </c>
      <c r="B301" t="s">
        <v>1816</v>
      </c>
      <c r="C301" t="s">
        <v>285</v>
      </c>
      <c r="D301" t="s">
        <v>20</v>
      </c>
      <c r="E301" t="s">
        <v>286</v>
      </c>
      <c r="F301" t="s">
        <v>15</v>
      </c>
      <c r="G301" t="s">
        <v>22</v>
      </c>
      <c r="H301" t="s">
        <v>214</v>
      </c>
      <c r="I301" t="s">
        <v>290</v>
      </c>
      <c r="J301">
        <v>1</v>
      </c>
      <c r="K301">
        <v>23450</v>
      </c>
      <c r="L301">
        <v>33500</v>
      </c>
      <c r="M301">
        <v>33500</v>
      </c>
      <c r="N301" t="s">
        <v>19</v>
      </c>
    </row>
    <row r="302" spans="1:14" x14ac:dyDescent="0.25">
      <c r="A302" t="s">
        <v>1516</v>
      </c>
      <c r="B302" t="s">
        <v>1816</v>
      </c>
      <c r="C302" t="s">
        <v>285</v>
      </c>
      <c r="D302" t="s">
        <v>20</v>
      </c>
      <c r="E302" t="s">
        <v>286</v>
      </c>
      <c r="F302" t="s">
        <v>15</v>
      </c>
      <c r="G302" t="s">
        <v>22</v>
      </c>
      <c r="H302" t="s">
        <v>214</v>
      </c>
      <c r="I302" t="s">
        <v>291</v>
      </c>
      <c r="J302">
        <v>1</v>
      </c>
      <c r="K302">
        <v>880</v>
      </c>
      <c r="L302">
        <v>1300</v>
      </c>
      <c r="M302">
        <v>1300</v>
      </c>
      <c r="N302" t="s">
        <v>19</v>
      </c>
    </row>
    <row r="303" spans="1:14" x14ac:dyDescent="0.25">
      <c r="A303" t="s">
        <v>1516</v>
      </c>
      <c r="B303" t="s">
        <v>1816</v>
      </c>
      <c r="C303" t="s">
        <v>285</v>
      </c>
      <c r="D303" t="s">
        <v>20</v>
      </c>
      <c r="E303" t="s">
        <v>286</v>
      </c>
      <c r="F303" t="s">
        <v>15</v>
      </c>
      <c r="G303" t="s">
        <v>22</v>
      </c>
      <c r="H303" t="s">
        <v>214</v>
      </c>
      <c r="I303" t="s">
        <v>275</v>
      </c>
      <c r="J303">
        <v>1</v>
      </c>
      <c r="K303">
        <v>2500</v>
      </c>
      <c r="L303">
        <v>4000</v>
      </c>
      <c r="M303">
        <v>4000</v>
      </c>
      <c r="N303" t="s">
        <v>19</v>
      </c>
    </row>
    <row r="304" spans="1:14" x14ac:dyDescent="0.25">
      <c r="A304" t="s">
        <v>1516</v>
      </c>
      <c r="B304" t="s">
        <v>1816</v>
      </c>
      <c r="C304" t="s">
        <v>285</v>
      </c>
      <c r="D304" t="s">
        <v>20</v>
      </c>
      <c r="E304" t="s">
        <v>286</v>
      </c>
      <c r="F304" t="s">
        <v>15</v>
      </c>
      <c r="G304" t="s">
        <v>22</v>
      </c>
      <c r="H304" t="s">
        <v>214</v>
      </c>
      <c r="I304" t="s">
        <v>76</v>
      </c>
      <c r="J304">
        <v>1</v>
      </c>
      <c r="K304">
        <v>500</v>
      </c>
      <c r="L304">
        <v>500</v>
      </c>
      <c r="M304">
        <v>500</v>
      </c>
      <c r="N304" t="s">
        <v>19</v>
      </c>
    </row>
    <row r="305" spans="1:14" x14ac:dyDescent="0.25">
      <c r="A305" t="s">
        <v>1486</v>
      </c>
      <c r="B305" t="s">
        <v>1817</v>
      </c>
      <c r="C305" t="s">
        <v>295</v>
      </c>
      <c r="D305" t="s">
        <v>20</v>
      </c>
      <c r="E305" t="s">
        <v>31</v>
      </c>
      <c r="F305" t="s">
        <v>15</v>
      </c>
      <c r="G305" t="s">
        <v>22</v>
      </c>
      <c r="H305" t="s">
        <v>214</v>
      </c>
      <c r="I305" t="s">
        <v>145</v>
      </c>
      <c r="J305">
        <v>1</v>
      </c>
      <c r="K305">
        <v>2975</v>
      </c>
      <c r="L305">
        <v>8500</v>
      </c>
      <c r="M305">
        <v>8500</v>
      </c>
      <c r="N305" t="s">
        <v>19</v>
      </c>
    </row>
    <row r="306" spans="1:14" x14ac:dyDescent="0.25">
      <c r="A306" t="s">
        <v>1486</v>
      </c>
      <c r="B306" t="s">
        <v>1817</v>
      </c>
      <c r="C306" t="s">
        <v>295</v>
      </c>
      <c r="D306" t="s">
        <v>20</v>
      </c>
      <c r="E306" t="s">
        <v>31</v>
      </c>
      <c r="F306" t="s">
        <v>15</v>
      </c>
      <c r="G306" t="s">
        <v>22</v>
      </c>
      <c r="H306" t="s">
        <v>214</v>
      </c>
      <c r="I306" t="s">
        <v>299</v>
      </c>
      <c r="J306">
        <v>1</v>
      </c>
      <c r="K306">
        <v>8675</v>
      </c>
      <c r="L306">
        <v>8675</v>
      </c>
      <c r="M306">
        <v>8675</v>
      </c>
      <c r="N306" t="s">
        <v>19</v>
      </c>
    </row>
    <row r="307" spans="1:14" x14ac:dyDescent="0.25">
      <c r="A307" t="s">
        <v>1486</v>
      </c>
      <c r="B307" t="s">
        <v>1817</v>
      </c>
      <c r="C307" t="s">
        <v>295</v>
      </c>
      <c r="D307" t="s">
        <v>20</v>
      </c>
      <c r="E307" t="s">
        <v>31</v>
      </c>
      <c r="F307" t="s">
        <v>15</v>
      </c>
      <c r="G307" t="s">
        <v>22</v>
      </c>
      <c r="H307" t="s">
        <v>214</v>
      </c>
      <c r="I307" t="s">
        <v>25</v>
      </c>
      <c r="J307">
        <v>1</v>
      </c>
      <c r="K307">
        <v>8675</v>
      </c>
      <c r="L307">
        <v>8675</v>
      </c>
      <c r="M307">
        <v>8675</v>
      </c>
      <c r="N307" t="s">
        <v>19</v>
      </c>
    </row>
    <row r="308" spans="1:14" x14ac:dyDescent="0.25">
      <c r="A308" t="s">
        <v>1486</v>
      </c>
      <c r="B308" t="s">
        <v>1817</v>
      </c>
      <c r="C308" t="s">
        <v>295</v>
      </c>
      <c r="D308" t="s">
        <v>20</v>
      </c>
      <c r="E308" t="s">
        <v>31</v>
      </c>
      <c r="F308" t="s">
        <v>15</v>
      </c>
      <c r="G308" t="s">
        <v>22</v>
      </c>
      <c r="H308" t="s">
        <v>214</v>
      </c>
      <c r="I308" t="s">
        <v>134</v>
      </c>
      <c r="J308">
        <v>1</v>
      </c>
      <c r="K308">
        <v>500</v>
      </c>
      <c r="L308">
        <v>500</v>
      </c>
      <c r="M308">
        <v>500</v>
      </c>
      <c r="N308" t="s">
        <v>19</v>
      </c>
    </row>
    <row r="309" spans="1:14" x14ac:dyDescent="0.25">
      <c r="A309" t="s">
        <v>1486</v>
      </c>
      <c r="B309" t="s">
        <v>1817</v>
      </c>
      <c r="C309" t="s">
        <v>295</v>
      </c>
      <c r="D309" t="s">
        <v>20</v>
      </c>
      <c r="E309" t="s">
        <v>31</v>
      </c>
      <c r="F309" t="s">
        <v>15</v>
      </c>
      <c r="G309" t="s">
        <v>22</v>
      </c>
      <c r="H309" t="s">
        <v>214</v>
      </c>
      <c r="I309" t="s">
        <v>300</v>
      </c>
      <c r="J309">
        <v>1</v>
      </c>
      <c r="K309">
        <v>5000</v>
      </c>
      <c r="L309">
        <v>14300</v>
      </c>
      <c r="M309">
        <v>14300</v>
      </c>
      <c r="N309" t="s">
        <v>19</v>
      </c>
    </row>
    <row r="310" spans="1:14" x14ac:dyDescent="0.25">
      <c r="A310" t="s">
        <v>1486</v>
      </c>
      <c r="B310" t="s">
        <v>1817</v>
      </c>
      <c r="C310" t="s">
        <v>295</v>
      </c>
      <c r="D310" t="s">
        <v>20</v>
      </c>
      <c r="E310" t="s">
        <v>31</v>
      </c>
      <c r="F310" t="s">
        <v>15</v>
      </c>
      <c r="G310" t="s">
        <v>22</v>
      </c>
      <c r="H310" t="s">
        <v>214</v>
      </c>
      <c r="I310" t="s">
        <v>301</v>
      </c>
      <c r="J310">
        <v>1</v>
      </c>
      <c r="K310">
        <v>21500</v>
      </c>
      <c r="L310">
        <v>31000</v>
      </c>
      <c r="M310">
        <v>31000</v>
      </c>
      <c r="N310" t="s">
        <v>19</v>
      </c>
    </row>
    <row r="311" spans="1:14" x14ac:dyDescent="0.25">
      <c r="A311" t="s">
        <v>1486</v>
      </c>
      <c r="B311" t="s">
        <v>1817</v>
      </c>
      <c r="C311" t="s">
        <v>295</v>
      </c>
      <c r="D311" t="s">
        <v>20</v>
      </c>
      <c r="E311" t="s">
        <v>31</v>
      </c>
      <c r="F311" t="s">
        <v>15</v>
      </c>
      <c r="G311" t="s">
        <v>22</v>
      </c>
      <c r="H311" t="s">
        <v>214</v>
      </c>
      <c r="I311" t="s">
        <v>302</v>
      </c>
      <c r="J311">
        <v>1</v>
      </c>
      <c r="K311">
        <v>3808</v>
      </c>
      <c r="L311">
        <v>5500</v>
      </c>
      <c r="M311">
        <v>5500</v>
      </c>
      <c r="N311" t="s">
        <v>19</v>
      </c>
    </row>
    <row r="312" spans="1:14" x14ac:dyDescent="0.25">
      <c r="A312" t="s">
        <v>1486</v>
      </c>
      <c r="B312" t="s">
        <v>1817</v>
      </c>
      <c r="C312" t="s">
        <v>295</v>
      </c>
      <c r="D312" t="s">
        <v>20</v>
      </c>
      <c r="E312" t="s">
        <v>31</v>
      </c>
      <c r="F312" t="s">
        <v>15</v>
      </c>
      <c r="G312" t="s">
        <v>22</v>
      </c>
      <c r="H312" t="s">
        <v>214</v>
      </c>
      <c r="I312" t="s">
        <v>303</v>
      </c>
      <c r="J312">
        <v>1</v>
      </c>
      <c r="K312">
        <v>8500</v>
      </c>
      <c r="L312">
        <v>12100</v>
      </c>
      <c r="M312">
        <v>12100</v>
      </c>
      <c r="N312" t="s">
        <v>19</v>
      </c>
    </row>
    <row r="313" spans="1:14" x14ac:dyDescent="0.25">
      <c r="A313" t="s">
        <v>1486</v>
      </c>
      <c r="B313" t="s">
        <v>1817</v>
      </c>
      <c r="C313" t="s">
        <v>295</v>
      </c>
      <c r="D313" t="s">
        <v>20</v>
      </c>
      <c r="E313" t="s">
        <v>31</v>
      </c>
      <c r="F313" t="s">
        <v>15</v>
      </c>
      <c r="G313" t="s">
        <v>22</v>
      </c>
      <c r="H313" t="s">
        <v>214</v>
      </c>
      <c r="I313" t="s">
        <v>96</v>
      </c>
      <c r="J313">
        <v>1</v>
      </c>
      <c r="K313">
        <v>1350</v>
      </c>
      <c r="L313">
        <v>2100</v>
      </c>
      <c r="M313">
        <v>2100</v>
      </c>
      <c r="N313" t="s">
        <v>19</v>
      </c>
    </row>
    <row r="314" spans="1:14" x14ac:dyDescent="0.25">
      <c r="A314" t="s">
        <v>1486</v>
      </c>
      <c r="B314" t="s">
        <v>1817</v>
      </c>
      <c r="C314" t="s">
        <v>295</v>
      </c>
      <c r="D314" t="s">
        <v>20</v>
      </c>
      <c r="E314" t="s">
        <v>31</v>
      </c>
      <c r="F314" t="s">
        <v>15</v>
      </c>
      <c r="G314" t="s">
        <v>22</v>
      </c>
      <c r="H314" t="s">
        <v>214</v>
      </c>
      <c r="I314" t="s">
        <v>76</v>
      </c>
      <c r="J314">
        <v>1</v>
      </c>
      <c r="K314">
        <v>500</v>
      </c>
      <c r="L314">
        <v>500</v>
      </c>
      <c r="M314">
        <v>500</v>
      </c>
      <c r="N314" t="s">
        <v>19</v>
      </c>
    </row>
    <row r="315" spans="1:14" x14ac:dyDescent="0.25">
      <c r="A315" t="s">
        <v>1486</v>
      </c>
      <c r="B315" t="s">
        <v>1818</v>
      </c>
      <c r="C315" t="s">
        <v>304</v>
      </c>
      <c r="D315" t="s">
        <v>20</v>
      </c>
      <c r="E315" t="s">
        <v>31</v>
      </c>
      <c r="F315" t="s">
        <v>15</v>
      </c>
      <c r="G315" t="s">
        <v>22</v>
      </c>
      <c r="H315" t="s">
        <v>214</v>
      </c>
      <c r="I315" t="s">
        <v>145</v>
      </c>
      <c r="J315">
        <v>1</v>
      </c>
      <c r="K315">
        <v>2975</v>
      </c>
      <c r="L315">
        <v>8500</v>
      </c>
      <c r="M315">
        <v>8500</v>
      </c>
      <c r="N315" t="s">
        <v>19</v>
      </c>
    </row>
    <row r="316" spans="1:14" x14ac:dyDescent="0.25">
      <c r="A316" t="s">
        <v>1486</v>
      </c>
      <c r="B316" t="s">
        <v>1818</v>
      </c>
      <c r="C316" t="s">
        <v>304</v>
      </c>
      <c r="D316" t="s">
        <v>20</v>
      </c>
      <c r="E316" t="s">
        <v>31</v>
      </c>
      <c r="F316" t="s">
        <v>15</v>
      </c>
      <c r="G316" t="s">
        <v>22</v>
      </c>
      <c r="H316" t="s">
        <v>214</v>
      </c>
      <c r="I316" t="s">
        <v>299</v>
      </c>
      <c r="J316">
        <v>1</v>
      </c>
      <c r="K316">
        <v>8675</v>
      </c>
      <c r="L316">
        <v>8675</v>
      </c>
      <c r="M316">
        <v>8675</v>
      </c>
      <c r="N316" t="s">
        <v>19</v>
      </c>
    </row>
    <row r="317" spans="1:14" x14ac:dyDescent="0.25">
      <c r="A317" t="s">
        <v>1486</v>
      </c>
      <c r="B317" t="s">
        <v>1818</v>
      </c>
      <c r="C317" t="s">
        <v>304</v>
      </c>
      <c r="D317" t="s">
        <v>20</v>
      </c>
      <c r="E317" t="s">
        <v>31</v>
      </c>
      <c r="F317" t="s">
        <v>15</v>
      </c>
      <c r="G317" t="s">
        <v>22</v>
      </c>
      <c r="H317" t="s">
        <v>214</v>
      </c>
      <c r="I317" t="s">
        <v>25</v>
      </c>
      <c r="J317">
        <v>1</v>
      </c>
      <c r="K317">
        <v>8675</v>
      </c>
      <c r="L317">
        <v>8675</v>
      </c>
      <c r="M317">
        <v>8675</v>
      </c>
      <c r="N317" t="s">
        <v>19</v>
      </c>
    </row>
    <row r="318" spans="1:14" x14ac:dyDescent="0.25">
      <c r="A318" t="s">
        <v>1486</v>
      </c>
      <c r="B318" t="s">
        <v>1818</v>
      </c>
      <c r="C318" t="s">
        <v>304</v>
      </c>
      <c r="D318" t="s">
        <v>20</v>
      </c>
      <c r="E318" t="s">
        <v>31</v>
      </c>
      <c r="F318" t="s">
        <v>15</v>
      </c>
      <c r="G318" t="s">
        <v>22</v>
      </c>
      <c r="H318" t="s">
        <v>214</v>
      </c>
      <c r="I318" t="s">
        <v>134</v>
      </c>
      <c r="J318">
        <v>1</v>
      </c>
      <c r="K318">
        <v>500</v>
      </c>
      <c r="L318">
        <v>500</v>
      </c>
      <c r="M318">
        <v>500</v>
      </c>
      <c r="N318" t="s">
        <v>19</v>
      </c>
    </row>
    <row r="319" spans="1:14" x14ac:dyDescent="0.25">
      <c r="A319" t="s">
        <v>1486</v>
      </c>
      <c r="B319" t="s">
        <v>1818</v>
      </c>
      <c r="C319" t="s">
        <v>304</v>
      </c>
      <c r="D319" t="s">
        <v>20</v>
      </c>
      <c r="E319" t="s">
        <v>31</v>
      </c>
      <c r="F319" t="s">
        <v>15</v>
      </c>
      <c r="G319" t="s">
        <v>22</v>
      </c>
      <c r="H319" t="s">
        <v>214</v>
      </c>
      <c r="I319" t="s">
        <v>300</v>
      </c>
      <c r="J319">
        <v>1</v>
      </c>
      <c r="K319">
        <v>5000</v>
      </c>
      <c r="L319">
        <v>14300</v>
      </c>
      <c r="M319">
        <v>14300</v>
      </c>
      <c r="N319" t="s">
        <v>19</v>
      </c>
    </row>
    <row r="320" spans="1:14" x14ac:dyDescent="0.25">
      <c r="A320" t="s">
        <v>1486</v>
      </c>
      <c r="B320" t="s">
        <v>1818</v>
      </c>
      <c r="C320" t="s">
        <v>304</v>
      </c>
      <c r="D320" t="s">
        <v>20</v>
      </c>
      <c r="E320" t="s">
        <v>31</v>
      </c>
      <c r="F320" t="s">
        <v>15</v>
      </c>
      <c r="G320" t="s">
        <v>22</v>
      </c>
      <c r="H320" t="s">
        <v>214</v>
      </c>
      <c r="I320" t="s">
        <v>301</v>
      </c>
      <c r="J320">
        <v>1</v>
      </c>
      <c r="K320">
        <v>21500</v>
      </c>
      <c r="L320">
        <v>31000</v>
      </c>
      <c r="M320">
        <v>31000</v>
      </c>
      <c r="N320" t="s">
        <v>19</v>
      </c>
    </row>
    <row r="321" spans="1:14" x14ac:dyDescent="0.25">
      <c r="A321" t="s">
        <v>1486</v>
      </c>
      <c r="B321" t="s">
        <v>1818</v>
      </c>
      <c r="C321" t="s">
        <v>304</v>
      </c>
      <c r="D321" t="s">
        <v>20</v>
      </c>
      <c r="E321" t="s">
        <v>31</v>
      </c>
      <c r="F321" t="s">
        <v>15</v>
      </c>
      <c r="G321" t="s">
        <v>22</v>
      </c>
      <c r="H321" t="s">
        <v>214</v>
      </c>
      <c r="I321" t="s">
        <v>302</v>
      </c>
      <c r="J321">
        <v>1</v>
      </c>
      <c r="K321">
        <v>3808</v>
      </c>
      <c r="L321">
        <v>5500</v>
      </c>
      <c r="M321">
        <v>5500</v>
      </c>
      <c r="N321" t="s">
        <v>19</v>
      </c>
    </row>
    <row r="322" spans="1:14" x14ac:dyDescent="0.25">
      <c r="A322" t="s">
        <v>1486</v>
      </c>
      <c r="B322" t="s">
        <v>1818</v>
      </c>
      <c r="C322" t="s">
        <v>304</v>
      </c>
      <c r="D322" t="s">
        <v>20</v>
      </c>
      <c r="E322" t="s">
        <v>31</v>
      </c>
      <c r="F322" t="s">
        <v>15</v>
      </c>
      <c r="G322" t="s">
        <v>22</v>
      </c>
      <c r="H322" t="s">
        <v>214</v>
      </c>
      <c r="I322" t="s">
        <v>303</v>
      </c>
      <c r="J322">
        <v>1</v>
      </c>
      <c r="K322">
        <v>8500</v>
      </c>
      <c r="L322">
        <v>12100</v>
      </c>
      <c r="M322">
        <v>12100</v>
      </c>
      <c r="N322" t="s">
        <v>19</v>
      </c>
    </row>
    <row r="323" spans="1:14" x14ac:dyDescent="0.25">
      <c r="A323" t="s">
        <v>1486</v>
      </c>
      <c r="B323" t="s">
        <v>1818</v>
      </c>
      <c r="C323" t="s">
        <v>304</v>
      </c>
      <c r="D323" t="s">
        <v>20</v>
      </c>
      <c r="E323" t="s">
        <v>31</v>
      </c>
      <c r="F323" t="s">
        <v>15</v>
      </c>
      <c r="G323" t="s">
        <v>22</v>
      </c>
      <c r="H323" t="s">
        <v>214</v>
      </c>
      <c r="I323" t="s">
        <v>96</v>
      </c>
      <c r="J323">
        <v>1</v>
      </c>
      <c r="K323">
        <v>1350</v>
      </c>
      <c r="L323">
        <v>2100</v>
      </c>
      <c r="M323">
        <v>2100</v>
      </c>
      <c r="N323" t="s">
        <v>19</v>
      </c>
    </row>
    <row r="324" spans="1:14" x14ac:dyDescent="0.25">
      <c r="A324" t="s">
        <v>1486</v>
      </c>
      <c r="B324" t="s">
        <v>1818</v>
      </c>
      <c r="C324" t="s">
        <v>304</v>
      </c>
      <c r="D324" t="s">
        <v>20</v>
      </c>
      <c r="E324" t="s">
        <v>31</v>
      </c>
      <c r="F324" t="s">
        <v>15</v>
      </c>
      <c r="G324" t="s">
        <v>22</v>
      </c>
      <c r="H324" t="s">
        <v>214</v>
      </c>
      <c r="I324" t="s">
        <v>76</v>
      </c>
      <c r="J324">
        <v>1</v>
      </c>
      <c r="K324">
        <v>500</v>
      </c>
      <c r="L324">
        <v>500</v>
      </c>
      <c r="M324">
        <v>500</v>
      </c>
      <c r="N324" t="s">
        <v>19</v>
      </c>
    </row>
    <row r="325" spans="1:14" x14ac:dyDescent="0.25">
      <c r="A325" t="s">
        <v>1519</v>
      </c>
      <c r="B325" t="s">
        <v>1819</v>
      </c>
      <c r="C325" t="s">
        <v>309</v>
      </c>
      <c r="D325" t="s">
        <v>20</v>
      </c>
      <c r="E325" t="s">
        <v>313</v>
      </c>
      <c r="F325" t="s">
        <v>15</v>
      </c>
      <c r="G325" t="s">
        <v>22</v>
      </c>
      <c r="H325" t="s">
        <v>314</v>
      </c>
      <c r="I325" t="s">
        <v>315</v>
      </c>
      <c r="J325">
        <v>2</v>
      </c>
      <c r="K325">
        <v>3675</v>
      </c>
      <c r="L325">
        <v>10500</v>
      </c>
      <c r="M325">
        <v>21000</v>
      </c>
      <c r="N325" t="s">
        <v>19</v>
      </c>
    </row>
    <row r="326" spans="1:14" x14ac:dyDescent="0.25">
      <c r="A326" t="s">
        <v>1519</v>
      </c>
      <c r="B326" t="s">
        <v>1819</v>
      </c>
      <c r="C326" t="s">
        <v>309</v>
      </c>
      <c r="D326" t="s">
        <v>20</v>
      </c>
      <c r="E326" t="s">
        <v>313</v>
      </c>
      <c r="F326" t="s">
        <v>15</v>
      </c>
      <c r="G326" t="s">
        <v>22</v>
      </c>
      <c r="H326" t="s">
        <v>314</v>
      </c>
      <c r="I326" t="s">
        <v>170</v>
      </c>
      <c r="J326">
        <v>2</v>
      </c>
      <c r="K326">
        <v>2500</v>
      </c>
      <c r="L326">
        <v>2500</v>
      </c>
      <c r="M326">
        <v>5000</v>
      </c>
      <c r="N326" t="s">
        <v>19</v>
      </c>
    </row>
    <row r="327" spans="1:14" x14ac:dyDescent="0.25">
      <c r="A327" t="s">
        <v>1519</v>
      </c>
      <c r="B327" t="s">
        <v>1819</v>
      </c>
      <c r="C327" t="s">
        <v>309</v>
      </c>
      <c r="D327" t="s">
        <v>20</v>
      </c>
      <c r="E327" t="s">
        <v>313</v>
      </c>
      <c r="F327" t="s">
        <v>15</v>
      </c>
      <c r="G327" t="s">
        <v>22</v>
      </c>
      <c r="H327" t="s">
        <v>314</v>
      </c>
      <c r="I327" t="s">
        <v>24</v>
      </c>
      <c r="J327">
        <v>2</v>
      </c>
      <c r="K327">
        <v>2500</v>
      </c>
      <c r="L327">
        <v>2500</v>
      </c>
      <c r="M327">
        <v>5000</v>
      </c>
      <c r="N327" t="s">
        <v>19</v>
      </c>
    </row>
    <row r="328" spans="1:14" x14ac:dyDescent="0.25">
      <c r="A328" t="s">
        <v>1519</v>
      </c>
      <c r="B328" t="s">
        <v>1819</v>
      </c>
      <c r="C328" t="s">
        <v>309</v>
      </c>
      <c r="D328" t="s">
        <v>20</v>
      </c>
      <c r="E328" t="s">
        <v>313</v>
      </c>
      <c r="F328" t="s">
        <v>15</v>
      </c>
      <c r="G328" t="s">
        <v>22</v>
      </c>
      <c r="H328" t="s">
        <v>314</v>
      </c>
      <c r="I328" t="s">
        <v>316</v>
      </c>
      <c r="J328">
        <v>2</v>
      </c>
      <c r="K328">
        <v>500</v>
      </c>
      <c r="L328">
        <v>500</v>
      </c>
      <c r="M328">
        <v>1000</v>
      </c>
      <c r="N328" t="s">
        <v>19</v>
      </c>
    </row>
    <row r="329" spans="1:14" x14ac:dyDescent="0.25">
      <c r="A329" t="s">
        <v>1519</v>
      </c>
      <c r="B329" t="s">
        <v>1819</v>
      </c>
      <c r="C329" t="s">
        <v>309</v>
      </c>
      <c r="D329" t="s">
        <v>20</v>
      </c>
      <c r="E329" t="s">
        <v>313</v>
      </c>
      <c r="F329" t="s">
        <v>15</v>
      </c>
      <c r="G329" t="s">
        <v>22</v>
      </c>
      <c r="H329" t="s">
        <v>314</v>
      </c>
      <c r="I329" t="s">
        <v>317</v>
      </c>
      <c r="J329">
        <v>1</v>
      </c>
      <c r="K329">
        <v>3675</v>
      </c>
      <c r="L329">
        <v>10500</v>
      </c>
      <c r="M329">
        <v>10500</v>
      </c>
      <c r="N329" t="s">
        <v>19</v>
      </c>
    </row>
    <row r="330" spans="1:14" x14ac:dyDescent="0.25">
      <c r="A330" t="s">
        <v>1519</v>
      </c>
      <c r="B330" t="s">
        <v>1819</v>
      </c>
      <c r="C330" t="s">
        <v>309</v>
      </c>
      <c r="D330" t="s">
        <v>20</v>
      </c>
      <c r="E330" t="s">
        <v>313</v>
      </c>
      <c r="F330" t="s">
        <v>15</v>
      </c>
      <c r="G330" t="s">
        <v>22</v>
      </c>
      <c r="H330" t="s">
        <v>314</v>
      </c>
      <c r="I330" t="s">
        <v>170</v>
      </c>
      <c r="J330">
        <v>1</v>
      </c>
      <c r="K330">
        <v>3900</v>
      </c>
      <c r="L330">
        <v>3900</v>
      </c>
      <c r="M330">
        <v>3900</v>
      </c>
      <c r="N330" t="s">
        <v>19</v>
      </c>
    </row>
    <row r="331" spans="1:14" x14ac:dyDescent="0.25">
      <c r="A331" t="s">
        <v>1519</v>
      </c>
      <c r="B331" t="s">
        <v>1819</v>
      </c>
      <c r="C331" t="s">
        <v>309</v>
      </c>
      <c r="D331" t="s">
        <v>20</v>
      </c>
      <c r="E331" t="s">
        <v>313</v>
      </c>
      <c r="F331" t="s">
        <v>15</v>
      </c>
      <c r="G331" t="s">
        <v>22</v>
      </c>
      <c r="H331" t="s">
        <v>314</v>
      </c>
      <c r="I331" t="s">
        <v>24</v>
      </c>
      <c r="J331">
        <v>1</v>
      </c>
      <c r="K331">
        <v>3900</v>
      </c>
      <c r="L331">
        <v>3900</v>
      </c>
      <c r="M331">
        <v>3900</v>
      </c>
      <c r="N331" t="s">
        <v>19</v>
      </c>
    </row>
    <row r="332" spans="1:14" x14ac:dyDescent="0.25">
      <c r="A332" t="s">
        <v>1519</v>
      </c>
      <c r="B332" t="s">
        <v>1819</v>
      </c>
      <c r="C332" t="s">
        <v>309</v>
      </c>
      <c r="D332" t="s">
        <v>20</v>
      </c>
      <c r="E332" t="s">
        <v>313</v>
      </c>
      <c r="F332" t="s">
        <v>15</v>
      </c>
      <c r="G332" t="s">
        <v>22</v>
      </c>
      <c r="H332" t="s">
        <v>314</v>
      </c>
      <c r="I332" t="s">
        <v>318</v>
      </c>
      <c r="J332">
        <v>1</v>
      </c>
      <c r="K332">
        <v>10500</v>
      </c>
      <c r="L332">
        <v>30000</v>
      </c>
      <c r="M332">
        <v>30000</v>
      </c>
      <c r="N332" t="s">
        <v>19</v>
      </c>
    </row>
    <row r="333" spans="1:14" x14ac:dyDescent="0.25">
      <c r="A333" t="s">
        <v>1519</v>
      </c>
      <c r="B333" t="s">
        <v>1819</v>
      </c>
      <c r="C333" t="s">
        <v>309</v>
      </c>
      <c r="D333" t="s">
        <v>20</v>
      </c>
      <c r="E333" t="s">
        <v>313</v>
      </c>
      <c r="F333" t="s">
        <v>15</v>
      </c>
      <c r="G333" t="s">
        <v>22</v>
      </c>
      <c r="H333" t="s">
        <v>314</v>
      </c>
      <c r="I333" t="s">
        <v>319</v>
      </c>
      <c r="J333">
        <v>5</v>
      </c>
      <c r="K333">
        <v>11000</v>
      </c>
      <c r="L333">
        <v>15700</v>
      </c>
      <c r="M333">
        <v>78500</v>
      </c>
      <c r="N333" t="s">
        <v>19</v>
      </c>
    </row>
    <row r="334" spans="1:14" x14ac:dyDescent="0.25">
      <c r="A334" t="s">
        <v>1489</v>
      </c>
      <c r="B334" t="s">
        <v>1820</v>
      </c>
      <c r="C334" t="s">
        <v>320</v>
      </c>
      <c r="D334" t="s">
        <v>20</v>
      </c>
      <c r="E334" t="s">
        <v>321</v>
      </c>
      <c r="F334" t="s">
        <v>15</v>
      </c>
      <c r="G334" t="s">
        <v>22</v>
      </c>
      <c r="H334" t="s">
        <v>314</v>
      </c>
      <c r="I334" t="s">
        <v>322</v>
      </c>
      <c r="J334">
        <v>1</v>
      </c>
      <c r="K334">
        <v>3675</v>
      </c>
      <c r="L334">
        <v>10500</v>
      </c>
      <c r="M334">
        <v>10500</v>
      </c>
      <c r="N334" t="s">
        <v>19</v>
      </c>
    </row>
    <row r="335" spans="1:14" x14ac:dyDescent="0.25">
      <c r="A335" t="s">
        <v>1489</v>
      </c>
      <c r="B335" t="s">
        <v>1820</v>
      </c>
      <c r="C335" t="s">
        <v>320</v>
      </c>
      <c r="D335" t="s">
        <v>20</v>
      </c>
      <c r="E335" t="s">
        <v>321</v>
      </c>
      <c r="F335" t="s">
        <v>15</v>
      </c>
      <c r="G335" t="s">
        <v>22</v>
      </c>
      <c r="H335" t="s">
        <v>314</v>
      </c>
      <c r="I335" t="s">
        <v>170</v>
      </c>
      <c r="J335">
        <v>1</v>
      </c>
      <c r="K335">
        <v>10000</v>
      </c>
      <c r="L335">
        <v>10000</v>
      </c>
      <c r="M335">
        <v>10000</v>
      </c>
      <c r="N335" t="s">
        <v>19</v>
      </c>
    </row>
    <row r="336" spans="1:14" x14ac:dyDescent="0.25">
      <c r="A336" t="s">
        <v>1489</v>
      </c>
      <c r="B336" t="s">
        <v>1820</v>
      </c>
      <c r="C336" t="s">
        <v>320</v>
      </c>
      <c r="D336" t="s">
        <v>20</v>
      </c>
      <c r="E336" t="s">
        <v>321</v>
      </c>
      <c r="F336" t="s">
        <v>15</v>
      </c>
      <c r="G336" t="s">
        <v>22</v>
      </c>
      <c r="H336" t="s">
        <v>314</v>
      </c>
      <c r="I336" t="s">
        <v>24</v>
      </c>
      <c r="J336">
        <v>1</v>
      </c>
      <c r="K336">
        <v>10000</v>
      </c>
      <c r="L336">
        <v>10000</v>
      </c>
      <c r="M336">
        <v>10000</v>
      </c>
      <c r="N336" t="s">
        <v>19</v>
      </c>
    </row>
    <row r="337" spans="1:14" x14ac:dyDescent="0.25">
      <c r="A337" t="s">
        <v>1489</v>
      </c>
      <c r="B337" t="s">
        <v>1820</v>
      </c>
      <c r="C337" t="s">
        <v>320</v>
      </c>
      <c r="D337" t="s">
        <v>20</v>
      </c>
      <c r="E337" t="s">
        <v>321</v>
      </c>
      <c r="F337" t="s">
        <v>15</v>
      </c>
      <c r="G337" t="s">
        <v>22</v>
      </c>
      <c r="H337" t="s">
        <v>314</v>
      </c>
      <c r="I337" t="s">
        <v>316</v>
      </c>
      <c r="J337">
        <v>1</v>
      </c>
      <c r="K337">
        <v>500</v>
      </c>
      <c r="L337">
        <v>500</v>
      </c>
      <c r="M337">
        <v>500</v>
      </c>
      <c r="N337" t="s">
        <v>19</v>
      </c>
    </row>
    <row r="338" spans="1:14" x14ac:dyDescent="0.25">
      <c r="A338" t="s">
        <v>1489</v>
      </c>
      <c r="B338" t="s">
        <v>1820</v>
      </c>
      <c r="C338" t="s">
        <v>320</v>
      </c>
      <c r="D338" t="s">
        <v>20</v>
      </c>
      <c r="E338" t="s">
        <v>321</v>
      </c>
      <c r="F338" t="s">
        <v>15</v>
      </c>
      <c r="G338" t="s">
        <v>22</v>
      </c>
      <c r="H338" t="s">
        <v>314</v>
      </c>
      <c r="I338" t="s">
        <v>323</v>
      </c>
      <c r="J338">
        <v>1</v>
      </c>
      <c r="K338">
        <v>6055</v>
      </c>
      <c r="L338">
        <v>17300</v>
      </c>
      <c r="M338">
        <v>17300</v>
      </c>
      <c r="N338" t="s">
        <v>19</v>
      </c>
    </row>
    <row r="339" spans="1:14" x14ac:dyDescent="0.25">
      <c r="A339" t="s">
        <v>1489</v>
      </c>
      <c r="B339" t="s">
        <v>1820</v>
      </c>
      <c r="C339" t="s">
        <v>320</v>
      </c>
      <c r="D339" t="s">
        <v>20</v>
      </c>
      <c r="E339" t="s">
        <v>321</v>
      </c>
      <c r="F339" t="s">
        <v>15</v>
      </c>
      <c r="G339" t="s">
        <v>22</v>
      </c>
      <c r="H339" t="s">
        <v>314</v>
      </c>
      <c r="I339" t="s">
        <v>324</v>
      </c>
      <c r="J339">
        <v>1</v>
      </c>
      <c r="K339">
        <v>28000</v>
      </c>
      <c r="L339">
        <v>80000</v>
      </c>
      <c r="M339">
        <v>80000</v>
      </c>
      <c r="N339" t="s">
        <v>19</v>
      </c>
    </row>
    <row r="340" spans="1:14" x14ac:dyDescent="0.25">
      <c r="A340" t="s">
        <v>1489</v>
      </c>
      <c r="B340" t="s">
        <v>1820</v>
      </c>
      <c r="C340" t="s">
        <v>320</v>
      </c>
      <c r="D340" t="s">
        <v>20</v>
      </c>
      <c r="E340" t="s">
        <v>321</v>
      </c>
      <c r="F340" t="s">
        <v>15</v>
      </c>
      <c r="G340" t="s">
        <v>22</v>
      </c>
      <c r="H340" t="s">
        <v>314</v>
      </c>
      <c r="I340" t="s">
        <v>170</v>
      </c>
      <c r="J340">
        <v>1</v>
      </c>
      <c r="K340">
        <v>10000</v>
      </c>
      <c r="L340">
        <v>10000</v>
      </c>
      <c r="M340">
        <v>10000</v>
      </c>
      <c r="N340" t="s">
        <v>19</v>
      </c>
    </row>
    <row r="341" spans="1:14" x14ac:dyDescent="0.25">
      <c r="A341" t="s">
        <v>1489</v>
      </c>
      <c r="B341" t="s">
        <v>1820</v>
      </c>
      <c r="C341" t="s">
        <v>320</v>
      </c>
      <c r="D341" t="s">
        <v>20</v>
      </c>
      <c r="E341" t="s">
        <v>321</v>
      </c>
      <c r="F341" t="s">
        <v>15</v>
      </c>
      <c r="G341" t="s">
        <v>22</v>
      </c>
      <c r="H341" t="s">
        <v>314</v>
      </c>
      <c r="I341" t="s">
        <v>24</v>
      </c>
      <c r="J341">
        <v>1</v>
      </c>
      <c r="K341">
        <v>10000</v>
      </c>
      <c r="L341">
        <v>10000</v>
      </c>
      <c r="M341">
        <v>10000</v>
      </c>
      <c r="N341" t="s">
        <v>19</v>
      </c>
    </row>
    <row r="342" spans="1:14" x14ac:dyDescent="0.25">
      <c r="A342" t="s">
        <v>1489</v>
      </c>
      <c r="B342" t="s">
        <v>1820</v>
      </c>
      <c r="C342" t="s">
        <v>320</v>
      </c>
      <c r="D342" t="s">
        <v>20</v>
      </c>
      <c r="E342" t="s">
        <v>321</v>
      </c>
      <c r="F342" t="s">
        <v>15</v>
      </c>
      <c r="G342" t="s">
        <v>22</v>
      </c>
      <c r="H342" t="s">
        <v>314</v>
      </c>
      <c r="I342" t="s">
        <v>325</v>
      </c>
      <c r="J342">
        <v>1</v>
      </c>
      <c r="K342">
        <v>21500</v>
      </c>
      <c r="L342">
        <v>31000</v>
      </c>
      <c r="M342">
        <v>31000</v>
      </c>
      <c r="N342" t="s">
        <v>19</v>
      </c>
    </row>
    <row r="343" spans="1:14" x14ac:dyDescent="0.25">
      <c r="A343" t="s">
        <v>1489</v>
      </c>
      <c r="B343" t="s">
        <v>1820</v>
      </c>
      <c r="C343" t="s">
        <v>320</v>
      </c>
      <c r="D343" t="s">
        <v>20</v>
      </c>
      <c r="E343" t="s">
        <v>321</v>
      </c>
      <c r="F343" t="s">
        <v>15</v>
      </c>
      <c r="G343" t="s">
        <v>22</v>
      </c>
      <c r="H343" t="s">
        <v>314</v>
      </c>
      <c r="I343" t="s">
        <v>326</v>
      </c>
      <c r="J343">
        <v>1</v>
      </c>
      <c r="K343">
        <v>27010</v>
      </c>
      <c r="L343">
        <v>38000</v>
      </c>
      <c r="M343">
        <v>38000</v>
      </c>
      <c r="N343" t="s">
        <v>19</v>
      </c>
    </row>
    <row r="344" spans="1:14" x14ac:dyDescent="0.25">
      <c r="A344" t="s">
        <v>1489</v>
      </c>
      <c r="B344" t="s">
        <v>1820</v>
      </c>
      <c r="C344" t="s">
        <v>320</v>
      </c>
      <c r="D344" t="s">
        <v>20</v>
      </c>
      <c r="E344" t="s">
        <v>321</v>
      </c>
      <c r="F344" t="s">
        <v>15</v>
      </c>
      <c r="G344" t="s">
        <v>22</v>
      </c>
      <c r="H344" t="s">
        <v>314</v>
      </c>
      <c r="I344" t="s">
        <v>116</v>
      </c>
      <c r="J344">
        <v>1</v>
      </c>
      <c r="K344">
        <v>1350</v>
      </c>
      <c r="L344">
        <v>2000</v>
      </c>
      <c r="M344">
        <v>2000</v>
      </c>
      <c r="N344" t="s">
        <v>19</v>
      </c>
    </row>
    <row r="345" spans="1:14" x14ac:dyDescent="0.25">
      <c r="A345" t="s">
        <v>1489</v>
      </c>
      <c r="B345" t="s">
        <v>1820</v>
      </c>
      <c r="C345" t="s">
        <v>320</v>
      </c>
      <c r="D345" t="s">
        <v>20</v>
      </c>
      <c r="E345" t="s">
        <v>321</v>
      </c>
      <c r="F345" t="s">
        <v>15</v>
      </c>
      <c r="G345" t="s">
        <v>22</v>
      </c>
      <c r="H345" t="s">
        <v>314</v>
      </c>
      <c r="I345" t="s">
        <v>327</v>
      </c>
      <c r="J345">
        <v>2</v>
      </c>
      <c r="K345">
        <v>11500</v>
      </c>
      <c r="L345">
        <v>16500</v>
      </c>
      <c r="M345">
        <v>33000</v>
      </c>
      <c r="N345" t="s">
        <v>19</v>
      </c>
    </row>
    <row r="346" spans="1:14" x14ac:dyDescent="0.25">
      <c r="A346" t="s">
        <v>1489</v>
      </c>
      <c r="B346" t="s">
        <v>1820</v>
      </c>
      <c r="C346" t="s">
        <v>320</v>
      </c>
      <c r="D346" t="s">
        <v>20</v>
      </c>
      <c r="E346" t="s">
        <v>321</v>
      </c>
      <c r="F346" t="s">
        <v>15</v>
      </c>
      <c r="G346" t="s">
        <v>22</v>
      </c>
      <c r="H346" t="s">
        <v>314</v>
      </c>
      <c r="I346" t="s">
        <v>97</v>
      </c>
      <c r="J346">
        <v>3</v>
      </c>
      <c r="K346">
        <v>2200</v>
      </c>
      <c r="L346">
        <v>3100</v>
      </c>
      <c r="M346">
        <v>9300</v>
      </c>
      <c r="N346" t="s">
        <v>19</v>
      </c>
    </row>
    <row r="347" spans="1:14" x14ac:dyDescent="0.25">
      <c r="A347" t="s">
        <v>1489</v>
      </c>
      <c r="B347" t="s">
        <v>1820</v>
      </c>
      <c r="C347" t="s">
        <v>320</v>
      </c>
      <c r="D347" t="s">
        <v>20</v>
      </c>
      <c r="E347" t="s">
        <v>321</v>
      </c>
      <c r="F347" t="s">
        <v>15</v>
      </c>
      <c r="G347" t="s">
        <v>22</v>
      </c>
      <c r="H347" t="s">
        <v>314</v>
      </c>
      <c r="I347" t="s">
        <v>328</v>
      </c>
      <c r="J347">
        <v>1</v>
      </c>
      <c r="K347">
        <v>24330</v>
      </c>
      <c r="L347">
        <v>34000</v>
      </c>
      <c r="M347">
        <v>34000</v>
      </c>
      <c r="N347" t="s">
        <v>19</v>
      </c>
    </row>
    <row r="348" spans="1:14" x14ac:dyDescent="0.25">
      <c r="A348" t="s">
        <v>1489</v>
      </c>
      <c r="B348" t="s">
        <v>1820</v>
      </c>
      <c r="C348" t="s">
        <v>320</v>
      </c>
      <c r="D348" t="s">
        <v>20</v>
      </c>
      <c r="E348" t="s">
        <v>321</v>
      </c>
      <c r="F348" t="s">
        <v>15</v>
      </c>
      <c r="G348" t="s">
        <v>22</v>
      </c>
      <c r="H348" t="s">
        <v>314</v>
      </c>
      <c r="I348" t="s">
        <v>329</v>
      </c>
      <c r="J348">
        <v>1</v>
      </c>
      <c r="K348">
        <v>4250</v>
      </c>
      <c r="L348">
        <v>6000</v>
      </c>
      <c r="M348">
        <v>6000</v>
      </c>
      <c r="N348" t="s">
        <v>19</v>
      </c>
    </row>
    <row r="349" spans="1:14" x14ac:dyDescent="0.25">
      <c r="A349" t="s">
        <v>1489</v>
      </c>
      <c r="B349" t="s">
        <v>1820</v>
      </c>
      <c r="C349" t="s">
        <v>320</v>
      </c>
      <c r="D349" t="s">
        <v>20</v>
      </c>
      <c r="E349" t="s">
        <v>321</v>
      </c>
      <c r="F349" t="s">
        <v>15</v>
      </c>
      <c r="G349" t="s">
        <v>22</v>
      </c>
      <c r="H349" t="s">
        <v>314</v>
      </c>
      <c r="I349" t="s">
        <v>330</v>
      </c>
      <c r="J349">
        <v>1</v>
      </c>
      <c r="K349">
        <v>6400</v>
      </c>
      <c r="L349">
        <v>6400</v>
      </c>
      <c r="M349">
        <v>6400</v>
      </c>
      <c r="N349" t="s">
        <v>19</v>
      </c>
    </row>
    <row r="350" spans="1:14" x14ac:dyDescent="0.25">
      <c r="A350" t="s">
        <v>1489</v>
      </c>
      <c r="B350" t="s">
        <v>1820</v>
      </c>
      <c r="C350" t="s">
        <v>320</v>
      </c>
      <c r="D350" t="s">
        <v>20</v>
      </c>
      <c r="E350" t="s">
        <v>321</v>
      </c>
      <c r="F350" t="s">
        <v>15</v>
      </c>
      <c r="G350" t="s">
        <v>22</v>
      </c>
      <c r="H350" t="s">
        <v>314</v>
      </c>
      <c r="I350" t="s">
        <v>331</v>
      </c>
      <c r="J350">
        <v>1</v>
      </c>
      <c r="K350">
        <v>50000</v>
      </c>
      <c r="L350">
        <v>50000</v>
      </c>
      <c r="M350">
        <v>50000</v>
      </c>
      <c r="N350" t="s">
        <v>19</v>
      </c>
    </row>
    <row r="351" spans="1:14" x14ac:dyDescent="0.25">
      <c r="A351" t="s">
        <v>1578</v>
      </c>
      <c r="B351" t="s">
        <v>1821</v>
      </c>
      <c r="C351" t="s">
        <v>215</v>
      </c>
      <c r="D351" t="s">
        <v>216</v>
      </c>
      <c r="E351" t="s">
        <v>217</v>
      </c>
      <c r="F351" t="s">
        <v>15</v>
      </c>
      <c r="G351" t="s">
        <v>37</v>
      </c>
      <c r="H351" t="s">
        <v>218</v>
      </c>
      <c r="I351" t="s">
        <v>89</v>
      </c>
      <c r="J351">
        <v>50</v>
      </c>
      <c r="K351">
        <v>32</v>
      </c>
      <c r="L351">
        <v>50</v>
      </c>
      <c r="M351">
        <v>2500</v>
      </c>
      <c r="N351" t="s">
        <v>39</v>
      </c>
    </row>
    <row r="352" spans="1:14" x14ac:dyDescent="0.25">
      <c r="A352" t="s">
        <v>1498</v>
      </c>
      <c r="B352" t="s">
        <v>1822</v>
      </c>
      <c r="C352" t="s">
        <v>334</v>
      </c>
      <c r="D352" t="s">
        <v>20</v>
      </c>
      <c r="E352" t="s">
        <v>21</v>
      </c>
      <c r="F352" t="s">
        <v>15</v>
      </c>
      <c r="G352" t="s">
        <v>22</v>
      </c>
      <c r="H352" t="s">
        <v>218</v>
      </c>
      <c r="I352" t="s">
        <v>96</v>
      </c>
      <c r="J352">
        <v>1</v>
      </c>
      <c r="K352">
        <v>1350</v>
      </c>
      <c r="L352">
        <v>2000</v>
      </c>
      <c r="M352">
        <v>2000</v>
      </c>
      <c r="N352" t="s">
        <v>19</v>
      </c>
    </row>
    <row r="353" spans="1:14" x14ac:dyDescent="0.25">
      <c r="A353" t="s">
        <v>1498</v>
      </c>
      <c r="B353" t="s">
        <v>1822</v>
      </c>
      <c r="C353" t="s">
        <v>334</v>
      </c>
      <c r="D353" t="s">
        <v>20</v>
      </c>
      <c r="E353" t="s">
        <v>21</v>
      </c>
      <c r="F353" t="s">
        <v>15</v>
      </c>
      <c r="G353" t="s">
        <v>22</v>
      </c>
      <c r="H353" t="s">
        <v>218</v>
      </c>
      <c r="I353" t="s">
        <v>97</v>
      </c>
      <c r="J353">
        <v>3</v>
      </c>
      <c r="K353">
        <v>2200</v>
      </c>
      <c r="L353">
        <v>3500</v>
      </c>
      <c r="M353">
        <v>10500</v>
      </c>
      <c r="N353" t="s">
        <v>19</v>
      </c>
    </row>
    <row r="354" spans="1:14" x14ac:dyDescent="0.25">
      <c r="A354" t="s">
        <v>1498</v>
      </c>
      <c r="B354" t="s">
        <v>1822</v>
      </c>
      <c r="C354" t="s">
        <v>334</v>
      </c>
      <c r="D354" t="s">
        <v>20</v>
      </c>
      <c r="E354" t="s">
        <v>21</v>
      </c>
      <c r="F354" t="s">
        <v>15</v>
      </c>
      <c r="G354" t="s">
        <v>22</v>
      </c>
      <c r="H354" t="s">
        <v>218</v>
      </c>
      <c r="I354" t="s">
        <v>98</v>
      </c>
      <c r="J354">
        <v>3</v>
      </c>
      <c r="K354">
        <v>935</v>
      </c>
      <c r="L354">
        <v>1300</v>
      </c>
      <c r="M354">
        <v>3900</v>
      </c>
      <c r="N354" t="s">
        <v>19</v>
      </c>
    </row>
    <row r="355" spans="1:14" x14ac:dyDescent="0.25">
      <c r="A355" t="s">
        <v>1498</v>
      </c>
      <c r="B355" t="s">
        <v>1822</v>
      </c>
      <c r="C355" t="s">
        <v>334</v>
      </c>
      <c r="D355" t="s">
        <v>20</v>
      </c>
      <c r="E355" t="s">
        <v>21</v>
      </c>
      <c r="F355" t="s">
        <v>15</v>
      </c>
      <c r="G355" t="s">
        <v>22</v>
      </c>
      <c r="H355" t="s">
        <v>218</v>
      </c>
      <c r="I355" t="s">
        <v>99</v>
      </c>
      <c r="J355">
        <v>3</v>
      </c>
      <c r="K355">
        <v>2800</v>
      </c>
      <c r="L355">
        <v>4000</v>
      </c>
      <c r="M355">
        <v>12000</v>
      </c>
      <c r="N355" t="s">
        <v>19</v>
      </c>
    </row>
    <row r="356" spans="1:14" x14ac:dyDescent="0.25">
      <c r="A356" t="s">
        <v>1498</v>
      </c>
      <c r="B356" t="s">
        <v>1822</v>
      </c>
      <c r="C356" t="s">
        <v>334</v>
      </c>
      <c r="D356" t="s">
        <v>20</v>
      </c>
      <c r="E356" t="s">
        <v>21</v>
      </c>
      <c r="F356" t="s">
        <v>15</v>
      </c>
      <c r="G356" t="s">
        <v>22</v>
      </c>
      <c r="H356" t="s">
        <v>218</v>
      </c>
      <c r="I356" t="s">
        <v>76</v>
      </c>
      <c r="J356">
        <v>1</v>
      </c>
      <c r="K356">
        <v>600</v>
      </c>
      <c r="L356">
        <v>600</v>
      </c>
      <c r="M356">
        <v>600</v>
      </c>
      <c r="N356" t="s">
        <v>19</v>
      </c>
    </row>
    <row r="357" spans="1:14" x14ac:dyDescent="0.25">
      <c r="A357" t="s">
        <v>1683</v>
      </c>
      <c r="B357" t="s">
        <v>1823</v>
      </c>
      <c r="C357" t="s">
        <v>219</v>
      </c>
      <c r="D357" t="s">
        <v>220</v>
      </c>
      <c r="E357" t="s">
        <v>221</v>
      </c>
      <c r="F357" t="s">
        <v>201</v>
      </c>
      <c r="G357" t="s">
        <v>16</v>
      </c>
      <c r="H357" t="s">
        <v>222</v>
      </c>
      <c r="I357" t="s">
        <v>114</v>
      </c>
      <c r="J357">
        <v>1</v>
      </c>
      <c r="K357">
        <v>3675</v>
      </c>
      <c r="L357">
        <v>10500</v>
      </c>
      <c r="M357">
        <v>10500</v>
      </c>
      <c r="N357" t="s">
        <v>39</v>
      </c>
    </row>
    <row r="358" spans="1:14" x14ac:dyDescent="0.25">
      <c r="A358" t="s">
        <v>1683</v>
      </c>
      <c r="B358" t="s">
        <v>1823</v>
      </c>
      <c r="C358" t="s">
        <v>219</v>
      </c>
      <c r="D358" t="s">
        <v>220</v>
      </c>
      <c r="E358" t="s">
        <v>221</v>
      </c>
      <c r="F358" t="s">
        <v>201</v>
      </c>
      <c r="G358" t="s">
        <v>16</v>
      </c>
      <c r="H358" t="s">
        <v>222</v>
      </c>
      <c r="I358" t="s">
        <v>48</v>
      </c>
      <c r="J358">
        <v>1</v>
      </c>
      <c r="K358">
        <v>4095</v>
      </c>
      <c r="L358">
        <v>11700</v>
      </c>
      <c r="M358">
        <v>11700</v>
      </c>
      <c r="N358" t="s">
        <v>39</v>
      </c>
    </row>
    <row r="359" spans="1:14" x14ac:dyDescent="0.25">
      <c r="A359" t="s">
        <v>1683</v>
      </c>
      <c r="B359" t="s">
        <v>1823</v>
      </c>
      <c r="C359" t="s">
        <v>219</v>
      </c>
      <c r="D359" t="s">
        <v>220</v>
      </c>
      <c r="E359" t="s">
        <v>221</v>
      </c>
      <c r="F359" t="s">
        <v>201</v>
      </c>
      <c r="G359" t="s">
        <v>16</v>
      </c>
      <c r="H359" t="s">
        <v>222</v>
      </c>
      <c r="I359" t="s">
        <v>126</v>
      </c>
      <c r="J359">
        <v>1</v>
      </c>
      <c r="K359">
        <v>4095</v>
      </c>
      <c r="L359">
        <v>11700</v>
      </c>
      <c r="M359">
        <v>11700</v>
      </c>
      <c r="N359" t="s">
        <v>39</v>
      </c>
    </row>
    <row r="360" spans="1:14" x14ac:dyDescent="0.25">
      <c r="A360" t="s">
        <v>1683</v>
      </c>
      <c r="B360" t="s">
        <v>1823</v>
      </c>
      <c r="C360" t="s">
        <v>219</v>
      </c>
      <c r="D360" t="s">
        <v>220</v>
      </c>
      <c r="E360" t="s">
        <v>221</v>
      </c>
      <c r="F360" t="s">
        <v>201</v>
      </c>
      <c r="G360" t="s">
        <v>16</v>
      </c>
      <c r="H360" t="s">
        <v>222</v>
      </c>
      <c r="I360" t="s">
        <v>26</v>
      </c>
      <c r="J360">
        <v>1</v>
      </c>
      <c r="K360">
        <v>500</v>
      </c>
      <c r="L360">
        <v>500</v>
      </c>
      <c r="M360">
        <v>500</v>
      </c>
      <c r="N360" t="s">
        <v>39</v>
      </c>
    </row>
    <row r="361" spans="1:14" x14ac:dyDescent="0.25">
      <c r="A361" t="s">
        <v>1683</v>
      </c>
      <c r="B361" t="s">
        <v>1823</v>
      </c>
      <c r="C361" t="s">
        <v>219</v>
      </c>
      <c r="D361" t="s">
        <v>220</v>
      </c>
      <c r="E361" t="s">
        <v>221</v>
      </c>
      <c r="F361" t="s">
        <v>201</v>
      </c>
      <c r="G361" t="s">
        <v>16</v>
      </c>
      <c r="H361" t="s">
        <v>222</v>
      </c>
      <c r="I361" t="s">
        <v>38</v>
      </c>
      <c r="J361">
        <v>1</v>
      </c>
      <c r="K361">
        <v>8500</v>
      </c>
      <c r="L361">
        <v>12500</v>
      </c>
      <c r="M361">
        <v>12500</v>
      </c>
      <c r="N361" t="s">
        <v>39</v>
      </c>
    </row>
    <row r="362" spans="1:14" x14ac:dyDescent="0.25">
      <c r="A362" t="s">
        <v>1683</v>
      </c>
      <c r="B362" t="s">
        <v>1823</v>
      </c>
      <c r="C362" t="s">
        <v>219</v>
      </c>
      <c r="D362" t="s">
        <v>220</v>
      </c>
      <c r="E362" t="s">
        <v>221</v>
      </c>
      <c r="F362" t="s">
        <v>201</v>
      </c>
      <c r="G362" t="s">
        <v>16</v>
      </c>
      <c r="H362" t="s">
        <v>222</v>
      </c>
      <c r="I362" t="s">
        <v>97</v>
      </c>
      <c r="J362">
        <v>1</v>
      </c>
      <c r="K362">
        <v>2200</v>
      </c>
      <c r="L362">
        <v>3000</v>
      </c>
      <c r="M362">
        <v>3000</v>
      </c>
      <c r="N362" t="s">
        <v>39</v>
      </c>
    </row>
    <row r="363" spans="1:14" x14ac:dyDescent="0.25">
      <c r="A363" t="s">
        <v>1683</v>
      </c>
      <c r="B363" t="s">
        <v>1823</v>
      </c>
      <c r="C363" t="s">
        <v>219</v>
      </c>
      <c r="D363" t="s">
        <v>220</v>
      </c>
      <c r="E363" t="s">
        <v>221</v>
      </c>
      <c r="F363" t="s">
        <v>201</v>
      </c>
      <c r="G363" t="s">
        <v>16</v>
      </c>
      <c r="H363" t="s">
        <v>222</v>
      </c>
      <c r="I363" t="s">
        <v>115</v>
      </c>
      <c r="J363">
        <v>1</v>
      </c>
      <c r="K363">
        <v>11000</v>
      </c>
      <c r="L363">
        <v>16000</v>
      </c>
      <c r="M363">
        <v>16000</v>
      </c>
      <c r="N363" t="s">
        <v>39</v>
      </c>
    </row>
    <row r="364" spans="1:14" x14ac:dyDescent="0.25">
      <c r="A364" t="s">
        <v>1683</v>
      </c>
      <c r="B364" t="s">
        <v>1823</v>
      </c>
      <c r="C364" t="s">
        <v>219</v>
      </c>
      <c r="D364" t="s">
        <v>220</v>
      </c>
      <c r="E364" t="s">
        <v>221</v>
      </c>
      <c r="F364" t="s">
        <v>201</v>
      </c>
      <c r="G364" t="s">
        <v>16</v>
      </c>
      <c r="H364" t="s">
        <v>222</v>
      </c>
      <c r="I364" t="s">
        <v>116</v>
      </c>
      <c r="J364">
        <v>1</v>
      </c>
      <c r="K364">
        <v>2185</v>
      </c>
      <c r="L364">
        <v>3500</v>
      </c>
      <c r="M364">
        <v>3500</v>
      </c>
      <c r="N364" t="s">
        <v>39</v>
      </c>
    </row>
    <row r="365" spans="1:14" x14ac:dyDescent="0.25">
      <c r="A365" t="s">
        <v>1683</v>
      </c>
      <c r="B365" t="s">
        <v>1823</v>
      </c>
      <c r="C365" t="s">
        <v>219</v>
      </c>
      <c r="D365" t="s">
        <v>220</v>
      </c>
      <c r="E365" t="s">
        <v>221</v>
      </c>
      <c r="F365" t="s">
        <v>201</v>
      </c>
      <c r="G365" t="s">
        <v>16</v>
      </c>
      <c r="H365" t="s">
        <v>222</v>
      </c>
      <c r="I365" t="s">
        <v>209</v>
      </c>
      <c r="J365">
        <v>1</v>
      </c>
      <c r="K365">
        <v>23450</v>
      </c>
      <c r="L365">
        <v>30300</v>
      </c>
      <c r="M365">
        <v>30300</v>
      </c>
      <c r="N365" t="s">
        <v>39</v>
      </c>
    </row>
    <row r="366" spans="1:14" x14ac:dyDescent="0.25">
      <c r="A366" t="s">
        <v>1683</v>
      </c>
      <c r="B366" t="s">
        <v>1823</v>
      </c>
      <c r="C366" t="s">
        <v>219</v>
      </c>
      <c r="D366" t="s">
        <v>220</v>
      </c>
      <c r="E366" t="s">
        <v>221</v>
      </c>
      <c r="F366" t="s">
        <v>201</v>
      </c>
      <c r="G366" t="s">
        <v>16</v>
      </c>
      <c r="H366" t="s">
        <v>222</v>
      </c>
      <c r="I366" t="s">
        <v>151</v>
      </c>
      <c r="J366">
        <v>1</v>
      </c>
      <c r="K366">
        <v>2800</v>
      </c>
      <c r="L366">
        <v>4000</v>
      </c>
      <c r="M366">
        <v>4000</v>
      </c>
      <c r="N366" t="s">
        <v>39</v>
      </c>
    </row>
    <row r="367" spans="1:14" x14ac:dyDescent="0.25">
      <c r="A367" t="s">
        <v>1683</v>
      </c>
      <c r="B367" t="s">
        <v>1823</v>
      </c>
      <c r="C367" t="s">
        <v>219</v>
      </c>
      <c r="D367" t="s">
        <v>220</v>
      </c>
      <c r="E367" t="s">
        <v>221</v>
      </c>
      <c r="F367" t="s">
        <v>201</v>
      </c>
      <c r="G367" t="s">
        <v>16</v>
      </c>
      <c r="H367" t="s">
        <v>222</v>
      </c>
      <c r="I367" t="s">
        <v>210</v>
      </c>
      <c r="J367">
        <v>1</v>
      </c>
      <c r="K367">
        <v>530</v>
      </c>
      <c r="L367">
        <v>700</v>
      </c>
      <c r="M367">
        <v>700</v>
      </c>
      <c r="N367" t="s">
        <v>39</v>
      </c>
    </row>
    <row r="368" spans="1:14" x14ac:dyDescent="0.25">
      <c r="A368" t="s">
        <v>1683</v>
      </c>
      <c r="B368" t="s">
        <v>1823</v>
      </c>
      <c r="C368" t="s">
        <v>219</v>
      </c>
      <c r="D368" t="s">
        <v>220</v>
      </c>
      <c r="E368" t="s">
        <v>221</v>
      </c>
      <c r="F368" t="s">
        <v>201</v>
      </c>
      <c r="G368" t="s">
        <v>16</v>
      </c>
      <c r="H368" t="s">
        <v>222</v>
      </c>
      <c r="I368" t="s">
        <v>211</v>
      </c>
      <c r="J368">
        <v>1</v>
      </c>
      <c r="K368">
        <v>350</v>
      </c>
      <c r="L368">
        <v>500</v>
      </c>
      <c r="M368">
        <v>500</v>
      </c>
      <c r="N368" t="s">
        <v>39</v>
      </c>
    </row>
    <row r="369" spans="1:14" x14ac:dyDescent="0.25">
      <c r="A369" t="s">
        <v>1683</v>
      </c>
      <c r="B369" t="s">
        <v>1823</v>
      </c>
      <c r="C369" t="s">
        <v>219</v>
      </c>
      <c r="D369" t="s">
        <v>220</v>
      </c>
      <c r="E369" t="s">
        <v>221</v>
      </c>
      <c r="F369" t="s">
        <v>201</v>
      </c>
      <c r="G369" t="s">
        <v>16</v>
      </c>
      <c r="H369" t="s">
        <v>222</v>
      </c>
      <c r="I369" t="s">
        <v>98</v>
      </c>
      <c r="J369">
        <v>1</v>
      </c>
      <c r="K369">
        <v>970</v>
      </c>
      <c r="L369">
        <v>1500</v>
      </c>
      <c r="M369">
        <v>1500</v>
      </c>
      <c r="N369" t="s">
        <v>39</v>
      </c>
    </row>
    <row r="370" spans="1:14" x14ac:dyDescent="0.25">
      <c r="A370" t="s">
        <v>1683</v>
      </c>
      <c r="B370" t="s">
        <v>1823</v>
      </c>
      <c r="C370" t="s">
        <v>219</v>
      </c>
      <c r="D370" t="s">
        <v>220</v>
      </c>
      <c r="E370" t="s">
        <v>221</v>
      </c>
      <c r="F370" t="s">
        <v>201</v>
      </c>
      <c r="G370" t="s">
        <v>16</v>
      </c>
      <c r="H370" t="s">
        <v>222</v>
      </c>
      <c r="I370" t="s">
        <v>63</v>
      </c>
      <c r="J370">
        <v>1</v>
      </c>
      <c r="K370">
        <v>600</v>
      </c>
      <c r="L370">
        <v>600</v>
      </c>
      <c r="M370">
        <v>600</v>
      </c>
      <c r="N370" t="s">
        <v>39</v>
      </c>
    </row>
    <row r="371" spans="1:14" x14ac:dyDescent="0.25">
      <c r="A371" t="s">
        <v>1486</v>
      </c>
      <c r="B371" t="s">
        <v>1824</v>
      </c>
      <c r="C371" t="s">
        <v>336</v>
      </c>
      <c r="D371" t="s">
        <v>20</v>
      </c>
      <c r="E371" t="s">
        <v>31</v>
      </c>
      <c r="F371" t="s">
        <v>15</v>
      </c>
      <c r="G371" t="s">
        <v>22</v>
      </c>
      <c r="H371" t="s">
        <v>222</v>
      </c>
      <c r="I371" t="s">
        <v>338</v>
      </c>
      <c r="J371">
        <v>1</v>
      </c>
      <c r="K371">
        <v>8500</v>
      </c>
      <c r="L371">
        <v>11500</v>
      </c>
      <c r="M371">
        <v>11500</v>
      </c>
      <c r="N371" t="s">
        <v>19</v>
      </c>
    </row>
    <row r="372" spans="1:14" x14ac:dyDescent="0.25">
      <c r="A372" t="s">
        <v>1486</v>
      </c>
      <c r="B372" t="s">
        <v>1824</v>
      </c>
      <c r="C372" t="s">
        <v>336</v>
      </c>
      <c r="D372" t="s">
        <v>20</v>
      </c>
      <c r="E372" t="s">
        <v>31</v>
      </c>
      <c r="F372" t="s">
        <v>15</v>
      </c>
      <c r="G372" t="s">
        <v>22</v>
      </c>
      <c r="H372" t="s">
        <v>222</v>
      </c>
      <c r="I372" t="s">
        <v>76</v>
      </c>
      <c r="J372">
        <v>1</v>
      </c>
      <c r="K372">
        <v>500</v>
      </c>
      <c r="L372">
        <v>500</v>
      </c>
      <c r="M372">
        <v>500</v>
      </c>
      <c r="N372" t="s">
        <v>19</v>
      </c>
    </row>
    <row r="373" spans="1:14" x14ac:dyDescent="0.25">
      <c r="A373" t="s">
        <v>1486</v>
      </c>
      <c r="B373" t="s">
        <v>1825</v>
      </c>
      <c r="C373" t="s">
        <v>344</v>
      </c>
      <c r="D373" t="s">
        <v>20</v>
      </c>
      <c r="E373" t="s">
        <v>31</v>
      </c>
      <c r="F373" t="s">
        <v>15</v>
      </c>
      <c r="G373" t="s">
        <v>22</v>
      </c>
      <c r="H373" t="s">
        <v>222</v>
      </c>
      <c r="I373" t="s">
        <v>338</v>
      </c>
      <c r="J373">
        <v>1</v>
      </c>
      <c r="K373">
        <v>8500</v>
      </c>
      <c r="L373">
        <v>11500</v>
      </c>
      <c r="M373">
        <v>11500</v>
      </c>
      <c r="N373" t="s">
        <v>19</v>
      </c>
    </row>
    <row r="374" spans="1:14" x14ac:dyDescent="0.25">
      <c r="A374" t="s">
        <v>1486</v>
      </c>
      <c r="B374" t="s">
        <v>1825</v>
      </c>
      <c r="C374" t="s">
        <v>344</v>
      </c>
      <c r="D374" t="s">
        <v>20</v>
      </c>
      <c r="E374" t="s">
        <v>31</v>
      </c>
      <c r="F374" t="s">
        <v>15</v>
      </c>
      <c r="G374" t="s">
        <v>22</v>
      </c>
      <c r="H374" t="s">
        <v>222</v>
      </c>
      <c r="I374" t="s">
        <v>76</v>
      </c>
      <c r="J374">
        <v>1</v>
      </c>
      <c r="K374">
        <v>500</v>
      </c>
      <c r="L374">
        <v>500</v>
      </c>
      <c r="M374">
        <v>500</v>
      </c>
      <c r="N374" t="s">
        <v>19</v>
      </c>
    </row>
    <row r="375" spans="1:14" x14ac:dyDescent="0.25">
      <c r="A375" t="s">
        <v>1486</v>
      </c>
      <c r="B375" t="s">
        <v>1826</v>
      </c>
      <c r="C375" t="s">
        <v>345</v>
      </c>
      <c r="D375" t="s">
        <v>20</v>
      </c>
      <c r="E375" t="s">
        <v>31</v>
      </c>
      <c r="F375" t="s">
        <v>15</v>
      </c>
      <c r="G375" t="s">
        <v>22</v>
      </c>
      <c r="H375" t="s">
        <v>222</v>
      </c>
      <c r="I375" t="s">
        <v>338</v>
      </c>
      <c r="J375">
        <v>1</v>
      </c>
      <c r="K375">
        <v>8500</v>
      </c>
      <c r="L375">
        <v>11500</v>
      </c>
      <c r="M375">
        <v>11500</v>
      </c>
      <c r="N375" t="s">
        <v>19</v>
      </c>
    </row>
    <row r="376" spans="1:14" x14ac:dyDescent="0.25">
      <c r="A376" t="s">
        <v>1486</v>
      </c>
      <c r="B376" t="s">
        <v>1826</v>
      </c>
      <c r="C376" t="s">
        <v>345</v>
      </c>
      <c r="D376" t="s">
        <v>20</v>
      </c>
      <c r="E376" t="s">
        <v>31</v>
      </c>
      <c r="F376" t="s">
        <v>15</v>
      </c>
      <c r="G376" t="s">
        <v>22</v>
      </c>
      <c r="H376" t="s">
        <v>222</v>
      </c>
      <c r="I376" t="s">
        <v>76</v>
      </c>
      <c r="J376">
        <v>1</v>
      </c>
      <c r="K376">
        <v>500</v>
      </c>
      <c r="L376">
        <v>500</v>
      </c>
      <c r="M376">
        <v>500</v>
      </c>
      <c r="N376" t="s">
        <v>19</v>
      </c>
    </row>
    <row r="377" spans="1:14" x14ac:dyDescent="0.25">
      <c r="A377" t="s">
        <v>1501</v>
      </c>
      <c r="B377" t="s">
        <v>1827</v>
      </c>
      <c r="C377" t="s">
        <v>346</v>
      </c>
      <c r="D377" t="s">
        <v>20</v>
      </c>
      <c r="E377" t="s">
        <v>348</v>
      </c>
      <c r="F377" t="s">
        <v>15</v>
      </c>
      <c r="G377" t="s">
        <v>22</v>
      </c>
      <c r="H377" t="s">
        <v>349</v>
      </c>
      <c r="I377" t="s">
        <v>350</v>
      </c>
      <c r="J377">
        <v>1</v>
      </c>
      <c r="K377">
        <v>9500</v>
      </c>
      <c r="L377">
        <v>13500</v>
      </c>
      <c r="M377">
        <v>13500</v>
      </c>
      <c r="N377" t="s">
        <v>19</v>
      </c>
    </row>
    <row r="378" spans="1:14" x14ac:dyDescent="0.25">
      <c r="A378" t="s">
        <v>1501</v>
      </c>
      <c r="B378" t="s">
        <v>1827</v>
      </c>
      <c r="C378" t="s">
        <v>346</v>
      </c>
      <c r="D378" t="s">
        <v>20</v>
      </c>
      <c r="E378" t="s">
        <v>348</v>
      </c>
      <c r="F378" t="s">
        <v>15</v>
      </c>
      <c r="G378" t="s">
        <v>22</v>
      </c>
      <c r="H378" t="s">
        <v>349</v>
      </c>
      <c r="I378" t="s">
        <v>76</v>
      </c>
      <c r="J378">
        <v>1</v>
      </c>
      <c r="K378">
        <v>500</v>
      </c>
      <c r="L378">
        <v>500</v>
      </c>
      <c r="M378">
        <v>500</v>
      </c>
      <c r="N378" t="s">
        <v>19</v>
      </c>
    </row>
    <row r="379" spans="1:14" x14ac:dyDescent="0.25">
      <c r="A379" t="s">
        <v>1641</v>
      </c>
      <c r="B379" t="s">
        <v>1828</v>
      </c>
      <c r="C379" t="s">
        <v>223</v>
      </c>
      <c r="D379" t="s">
        <v>224</v>
      </c>
      <c r="E379" t="s">
        <v>225</v>
      </c>
      <c r="F379" t="s">
        <v>226</v>
      </c>
      <c r="G379" t="s">
        <v>37</v>
      </c>
      <c r="H379" t="s">
        <v>227</v>
      </c>
      <c r="I379" t="s">
        <v>228</v>
      </c>
      <c r="J379">
        <v>2</v>
      </c>
      <c r="K379">
        <v>2350</v>
      </c>
      <c r="L379">
        <v>3750</v>
      </c>
      <c r="M379">
        <v>7500</v>
      </c>
      <c r="N379" t="s">
        <v>39</v>
      </c>
    </row>
    <row r="380" spans="1:14" x14ac:dyDescent="0.25">
      <c r="A380" t="s">
        <v>1544</v>
      </c>
      <c r="B380" t="s">
        <v>1829</v>
      </c>
      <c r="C380" t="s">
        <v>237</v>
      </c>
      <c r="D380" t="s">
        <v>238</v>
      </c>
      <c r="E380" t="s">
        <v>239</v>
      </c>
      <c r="F380" t="s">
        <v>15</v>
      </c>
      <c r="G380" t="s">
        <v>16</v>
      </c>
      <c r="H380" t="s">
        <v>240</v>
      </c>
      <c r="I380" t="s">
        <v>241</v>
      </c>
      <c r="J380">
        <v>1</v>
      </c>
      <c r="K380">
        <v>8000</v>
      </c>
      <c r="L380">
        <v>11100</v>
      </c>
      <c r="M380">
        <v>11100</v>
      </c>
      <c r="N380" t="s">
        <v>19</v>
      </c>
    </row>
    <row r="381" spans="1:14" x14ac:dyDescent="0.25">
      <c r="A381" t="s">
        <v>1544</v>
      </c>
      <c r="B381" t="s">
        <v>1829</v>
      </c>
      <c r="C381" t="s">
        <v>237</v>
      </c>
      <c r="D381" t="s">
        <v>238</v>
      </c>
      <c r="E381" t="s">
        <v>239</v>
      </c>
      <c r="F381" t="s">
        <v>15</v>
      </c>
      <c r="G381" t="s">
        <v>16</v>
      </c>
      <c r="H381" t="s">
        <v>240</v>
      </c>
      <c r="I381" t="s">
        <v>242</v>
      </c>
      <c r="J381">
        <v>3</v>
      </c>
      <c r="K381">
        <v>30</v>
      </c>
      <c r="L381">
        <v>45</v>
      </c>
      <c r="M381">
        <v>135</v>
      </c>
      <c r="N381" t="s">
        <v>19</v>
      </c>
    </row>
    <row r="382" spans="1:14" x14ac:dyDescent="0.25">
      <c r="A382" t="s">
        <v>1544</v>
      </c>
      <c r="B382" t="s">
        <v>1829</v>
      </c>
      <c r="C382" t="s">
        <v>237</v>
      </c>
      <c r="D382" t="s">
        <v>238</v>
      </c>
      <c r="E382" t="s">
        <v>239</v>
      </c>
      <c r="F382" t="s">
        <v>15</v>
      </c>
      <c r="G382" t="s">
        <v>16</v>
      </c>
      <c r="H382" t="s">
        <v>240</v>
      </c>
      <c r="I382" t="s">
        <v>63</v>
      </c>
      <c r="J382">
        <v>1</v>
      </c>
      <c r="K382">
        <v>400</v>
      </c>
      <c r="L382">
        <v>400</v>
      </c>
      <c r="M382">
        <v>400</v>
      </c>
      <c r="N382" t="s">
        <v>19</v>
      </c>
    </row>
    <row r="383" spans="1:14" x14ac:dyDescent="0.25">
      <c r="A383" t="s">
        <v>1699</v>
      </c>
      <c r="B383" t="s">
        <v>1830</v>
      </c>
      <c r="C383" t="s">
        <v>245</v>
      </c>
      <c r="D383" t="s">
        <v>246</v>
      </c>
      <c r="E383" t="s">
        <v>247</v>
      </c>
      <c r="F383" t="s">
        <v>15</v>
      </c>
      <c r="G383" t="s">
        <v>16</v>
      </c>
      <c r="H383" t="s">
        <v>240</v>
      </c>
      <c r="I383" t="s">
        <v>166</v>
      </c>
      <c r="J383">
        <v>1</v>
      </c>
      <c r="K383">
        <v>7000</v>
      </c>
      <c r="L383">
        <v>20000</v>
      </c>
      <c r="M383">
        <v>20000</v>
      </c>
      <c r="N383" t="s">
        <v>19</v>
      </c>
    </row>
    <row r="384" spans="1:14" x14ac:dyDescent="0.25">
      <c r="A384" t="s">
        <v>1699</v>
      </c>
      <c r="B384" t="s">
        <v>1830</v>
      </c>
      <c r="C384" t="s">
        <v>245</v>
      </c>
      <c r="D384" t="s">
        <v>246</v>
      </c>
      <c r="E384" t="s">
        <v>247</v>
      </c>
      <c r="F384" t="s">
        <v>15</v>
      </c>
      <c r="G384" t="s">
        <v>16</v>
      </c>
      <c r="H384" t="s">
        <v>240</v>
      </c>
      <c r="I384" t="s">
        <v>248</v>
      </c>
      <c r="J384">
        <v>1</v>
      </c>
      <c r="K384">
        <v>8500</v>
      </c>
      <c r="L384">
        <v>12000</v>
      </c>
      <c r="M384">
        <v>12000</v>
      </c>
      <c r="N384" t="s">
        <v>19</v>
      </c>
    </row>
    <row r="385" spans="1:14" x14ac:dyDescent="0.25">
      <c r="A385" t="s">
        <v>1699</v>
      </c>
      <c r="B385" t="s">
        <v>1830</v>
      </c>
      <c r="C385" t="s">
        <v>245</v>
      </c>
      <c r="D385" t="s">
        <v>246</v>
      </c>
      <c r="E385" t="s">
        <v>247</v>
      </c>
      <c r="F385" t="s">
        <v>15</v>
      </c>
      <c r="G385" t="s">
        <v>16</v>
      </c>
      <c r="H385" t="s">
        <v>240</v>
      </c>
      <c r="I385" t="s">
        <v>60</v>
      </c>
      <c r="J385">
        <v>1</v>
      </c>
      <c r="K385">
        <v>11000</v>
      </c>
      <c r="L385">
        <v>16000</v>
      </c>
      <c r="M385">
        <v>16000</v>
      </c>
      <c r="N385" t="s">
        <v>19</v>
      </c>
    </row>
    <row r="386" spans="1:14" x14ac:dyDescent="0.25">
      <c r="A386" t="s">
        <v>1699</v>
      </c>
      <c r="B386" t="s">
        <v>1830</v>
      </c>
      <c r="C386" t="s">
        <v>245</v>
      </c>
      <c r="D386" t="s">
        <v>246</v>
      </c>
      <c r="E386" t="s">
        <v>247</v>
      </c>
      <c r="F386" t="s">
        <v>15</v>
      </c>
      <c r="G386" t="s">
        <v>16</v>
      </c>
      <c r="H386" t="s">
        <v>240</v>
      </c>
      <c r="I386" t="s">
        <v>97</v>
      </c>
      <c r="J386">
        <v>1</v>
      </c>
      <c r="K386">
        <v>2200</v>
      </c>
      <c r="L386">
        <v>3000</v>
      </c>
      <c r="M386">
        <v>3000</v>
      </c>
      <c r="N386" t="s">
        <v>19</v>
      </c>
    </row>
    <row r="387" spans="1:14" x14ac:dyDescent="0.25">
      <c r="A387" t="s">
        <v>1699</v>
      </c>
      <c r="B387" t="s">
        <v>1830</v>
      </c>
      <c r="C387" t="s">
        <v>245</v>
      </c>
      <c r="D387" t="s">
        <v>246</v>
      </c>
      <c r="E387" t="s">
        <v>247</v>
      </c>
      <c r="F387" t="s">
        <v>15</v>
      </c>
      <c r="G387" t="s">
        <v>16</v>
      </c>
      <c r="H387" t="s">
        <v>240</v>
      </c>
      <c r="I387" t="s">
        <v>249</v>
      </c>
      <c r="J387">
        <v>1</v>
      </c>
      <c r="K387">
        <v>21500</v>
      </c>
      <c r="L387">
        <v>30000</v>
      </c>
      <c r="M387">
        <v>30000</v>
      </c>
      <c r="N387" t="s">
        <v>19</v>
      </c>
    </row>
    <row r="388" spans="1:14" x14ac:dyDescent="0.25">
      <c r="A388" t="s">
        <v>1593</v>
      </c>
      <c r="B388" t="s">
        <v>1831</v>
      </c>
      <c r="C388" t="s">
        <v>251</v>
      </c>
      <c r="D388" t="s">
        <v>253</v>
      </c>
      <c r="E388" t="s">
        <v>239</v>
      </c>
      <c r="F388" t="s">
        <v>15</v>
      </c>
      <c r="G388" t="s">
        <v>16</v>
      </c>
      <c r="H388" t="s">
        <v>240</v>
      </c>
      <c r="I388" t="s">
        <v>33</v>
      </c>
      <c r="J388">
        <v>1</v>
      </c>
      <c r="K388">
        <v>20000</v>
      </c>
      <c r="L388">
        <v>20000</v>
      </c>
      <c r="M388">
        <v>20000</v>
      </c>
      <c r="N388" t="s">
        <v>19</v>
      </c>
    </row>
    <row r="389" spans="1:14" x14ac:dyDescent="0.25">
      <c r="A389" t="s">
        <v>1593</v>
      </c>
      <c r="B389" t="s">
        <v>1831</v>
      </c>
      <c r="C389" t="s">
        <v>251</v>
      </c>
      <c r="D389" t="s">
        <v>253</v>
      </c>
      <c r="E389" t="s">
        <v>239</v>
      </c>
      <c r="F389" t="s">
        <v>15</v>
      </c>
      <c r="G389" t="s">
        <v>16</v>
      </c>
      <c r="H389" t="s">
        <v>240</v>
      </c>
      <c r="I389" t="s">
        <v>254</v>
      </c>
      <c r="J389">
        <v>1</v>
      </c>
      <c r="K389">
        <v>3000</v>
      </c>
      <c r="L389">
        <v>4500</v>
      </c>
      <c r="M389">
        <v>4500</v>
      </c>
      <c r="N389" t="s">
        <v>19</v>
      </c>
    </row>
    <row r="390" spans="1:14" x14ac:dyDescent="0.25">
      <c r="A390" t="s">
        <v>1593</v>
      </c>
      <c r="B390" t="s">
        <v>1831</v>
      </c>
      <c r="C390" t="s">
        <v>251</v>
      </c>
      <c r="D390" t="s">
        <v>253</v>
      </c>
      <c r="E390" t="s">
        <v>239</v>
      </c>
      <c r="F390" t="s">
        <v>15</v>
      </c>
      <c r="G390" t="s">
        <v>16</v>
      </c>
      <c r="H390" t="s">
        <v>240</v>
      </c>
      <c r="I390" t="s">
        <v>38</v>
      </c>
      <c r="J390">
        <v>1</v>
      </c>
      <c r="K390">
        <v>8500</v>
      </c>
      <c r="L390">
        <v>12500</v>
      </c>
      <c r="M390">
        <v>12500</v>
      </c>
      <c r="N390" t="s">
        <v>19</v>
      </c>
    </row>
    <row r="391" spans="1:14" x14ac:dyDescent="0.25">
      <c r="A391" t="s">
        <v>1593</v>
      </c>
      <c r="B391" t="s">
        <v>1831</v>
      </c>
      <c r="C391" t="s">
        <v>251</v>
      </c>
      <c r="D391" t="s">
        <v>253</v>
      </c>
      <c r="E391" t="s">
        <v>239</v>
      </c>
      <c r="F391" t="s">
        <v>15</v>
      </c>
      <c r="G391" t="s">
        <v>16</v>
      </c>
      <c r="H391" t="s">
        <v>240</v>
      </c>
      <c r="I391" t="s">
        <v>241</v>
      </c>
      <c r="J391">
        <v>1</v>
      </c>
      <c r="K391">
        <v>8000</v>
      </c>
      <c r="L391">
        <v>11100</v>
      </c>
      <c r="M391">
        <v>11100</v>
      </c>
      <c r="N391" t="s">
        <v>19</v>
      </c>
    </row>
    <row r="392" spans="1:14" x14ac:dyDescent="0.25">
      <c r="A392" t="s">
        <v>1593</v>
      </c>
      <c r="B392" t="s">
        <v>1831</v>
      </c>
      <c r="C392" t="s">
        <v>251</v>
      </c>
      <c r="D392" t="s">
        <v>253</v>
      </c>
      <c r="E392" t="s">
        <v>239</v>
      </c>
      <c r="F392" t="s">
        <v>15</v>
      </c>
      <c r="G392" t="s">
        <v>16</v>
      </c>
      <c r="H392" t="s">
        <v>240</v>
      </c>
      <c r="I392" t="s">
        <v>242</v>
      </c>
      <c r="J392">
        <v>3</v>
      </c>
      <c r="K392">
        <v>30</v>
      </c>
      <c r="L392">
        <v>45</v>
      </c>
      <c r="M392">
        <v>135</v>
      </c>
      <c r="N392" t="s">
        <v>19</v>
      </c>
    </row>
    <row r="393" spans="1:14" x14ac:dyDescent="0.25">
      <c r="A393" t="s">
        <v>1593</v>
      </c>
      <c r="B393" t="s">
        <v>1831</v>
      </c>
      <c r="C393" t="s">
        <v>251</v>
      </c>
      <c r="D393" t="s">
        <v>253</v>
      </c>
      <c r="E393" t="s">
        <v>239</v>
      </c>
      <c r="F393" t="s">
        <v>15</v>
      </c>
      <c r="G393" t="s">
        <v>16</v>
      </c>
      <c r="H393" t="s">
        <v>240</v>
      </c>
      <c r="I393" t="s">
        <v>189</v>
      </c>
      <c r="J393">
        <v>1</v>
      </c>
      <c r="K393">
        <v>500</v>
      </c>
      <c r="L393">
        <v>800</v>
      </c>
      <c r="M393">
        <v>800</v>
      </c>
      <c r="N393" t="s">
        <v>19</v>
      </c>
    </row>
    <row r="394" spans="1:14" x14ac:dyDescent="0.25">
      <c r="A394" t="s">
        <v>1593</v>
      </c>
      <c r="B394" t="s">
        <v>1831</v>
      </c>
      <c r="C394" t="s">
        <v>251</v>
      </c>
      <c r="D394" t="s">
        <v>253</v>
      </c>
      <c r="E394" t="s">
        <v>239</v>
      </c>
      <c r="F394" t="s">
        <v>15</v>
      </c>
      <c r="G394" t="s">
        <v>16</v>
      </c>
      <c r="H394" t="s">
        <v>240</v>
      </c>
      <c r="I394" t="s">
        <v>63</v>
      </c>
      <c r="J394">
        <v>1</v>
      </c>
      <c r="K394">
        <v>400</v>
      </c>
      <c r="L394">
        <v>400</v>
      </c>
      <c r="M394">
        <v>400</v>
      </c>
      <c r="N394" t="s">
        <v>19</v>
      </c>
    </row>
    <row r="395" spans="1:14" x14ac:dyDescent="0.25">
      <c r="A395" t="s">
        <v>1486</v>
      </c>
      <c r="B395" t="s">
        <v>1832</v>
      </c>
      <c r="C395" t="s">
        <v>268</v>
      </c>
      <c r="D395" t="s">
        <v>20</v>
      </c>
      <c r="E395" t="s">
        <v>31</v>
      </c>
      <c r="F395" t="s">
        <v>15</v>
      </c>
      <c r="G395" t="s">
        <v>22</v>
      </c>
      <c r="H395" t="s">
        <v>240</v>
      </c>
      <c r="I395" t="s">
        <v>33</v>
      </c>
      <c r="J395">
        <v>3</v>
      </c>
      <c r="K395">
        <v>6500</v>
      </c>
      <c r="L395">
        <v>6500</v>
      </c>
      <c r="M395">
        <v>19500</v>
      </c>
      <c r="N395" t="s">
        <v>19</v>
      </c>
    </row>
    <row r="396" spans="1:14" x14ac:dyDescent="0.25">
      <c r="A396" t="s">
        <v>1486</v>
      </c>
      <c r="B396" t="s">
        <v>1833</v>
      </c>
      <c r="C396" t="s">
        <v>272</v>
      </c>
      <c r="D396" t="s">
        <v>20</v>
      </c>
      <c r="E396" t="s">
        <v>31</v>
      </c>
      <c r="F396" t="s">
        <v>15</v>
      </c>
      <c r="G396" t="s">
        <v>22</v>
      </c>
      <c r="H396" t="s">
        <v>240</v>
      </c>
      <c r="I396" t="s">
        <v>33</v>
      </c>
      <c r="J396">
        <v>2</v>
      </c>
      <c r="K396">
        <v>6500</v>
      </c>
      <c r="L396">
        <v>6500</v>
      </c>
      <c r="M396">
        <v>13000</v>
      </c>
      <c r="N396" t="s">
        <v>19</v>
      </c>
    </row>
    <row r="397" spans="1:14" x14ac:dyDescent="0.25">
      <c r="A397" t="s">
        <v>1486</v>
      </c>
      <c r="B397" t="s">
        <v>1834</v>
      </c>
      <c r="C397" t="s">
        <v>274</v>
      </c>
      <c r="D397" t="s">
        <v>20</v>
      </c>
      <c r="E397" t="s">
        <v>31</v>
      </c>
      <c r="F397" t="s">
        <v>15</v>
      </c>
      <c r="G397" t="s">
        <v>22</v>
      </c>
      <c r="H397" t="s">
        <v>240</v>
      </c>
      <c r="I397" t="s">
        <v>33</v>
      </c>
      <c r="J397">
        <v>1</v>
      </c>
      <c r="K397">
        <v>6500</v>
      </c>
      <c r="L397">
        <v>6500</v>
      </c>
      <c r="M397">
        <v>6500</v>
      </c>
      <c r="N397" t="s">
        <v>19</v>
      </c>
    </row>
    <row r="398" spans="1:14" x14ac:dyDescent="0.25">
      <c r="A398" t="s">
        <v>1486</v>
      </c>
      <c r="B398" t="s">
        <v>1835</v>
      </c>
      <c r="C398" t="s">
        <v>276</v>
      </c>
      <c r="D398" t="s">
        <v>20</v>
      </c>
      <c r="E398" t="s">
        <v>31</v>
      </c>
      <c r="F398" t="s">
        <v>15</v>
      </c>
      <c r="G398" t="s">
        <v>22</v>
      </c>
      <c r="H398" t="s">
        <v>240</v>
      </c>
      <c r="I398" t="s">
        <v>33</v>
      </c>
      <c r="J398">
        <v>4</v>
      </c>
      <c r="K398">
        <v>6500</v>
      </c>
      <c r="L398">
        <v>6500</v>
      </c>
      <c r="M398">
        <v>26000</v>
      </c>
      <c r="N398" t="s">
        <v>19</v>
      </c>
    </row>
    <row r="399" spans="1:14" x14ac:dyDescent="0.25">
      <c r="A399" t="s">
        <v>1486</v>
      </c>
      <c r="B399" t="s">
        <v>1836</v>
      </c>
      <c r="C399" t="s">
        <v>351</v>
      </c>
      <c r="D399" t="s">
        <v>20</v>
      </c>
      <c r="E399" t="s">
        <v>31</v>
      </c>
      <c r="F399" t="s">
        <v>15</v>
      </c>
      <c r="G399" t="s">
        <v>22</v>
      </c>
      <c r="H399" t="s">
        <v>352</v>
      </c>
      <c r="I399" t="s">
        <v>33</v>
      </c>
      <c r="J399">
        <v>2</v>
      </c>
      <c r="K399">
        <v>6500</v>
      </c>
      <c r="L399">
        <v>6500</v>
      </c>
      <c r="M399">
        <v>13000</v>
      </c>
      <c r="N399" t="s">
        <v>19</v>
      </c>
    </row>
    <row r="400" spans="1:14" x14ac:dyDescent="0.25">
      <c r="A400" t="s">
        <v>1486</v>
      </c>
      <c r="B400" t="s">
        <v>1837</v>
      </c>
      <c r="C400" t="s">
        <v>353</v>
      </c>
      <c r="D400" t="s">
        <v>20</v>
      </c>
      <c r="E400" t="s">
        <v>31</v>
      </c>
      <c r="F400" t="s">
        <v>15</v>
      </c>
      <c r="G400" t="s">
        <v>22</v>
      </c>
      <c r="H400" t="s">
        <v>352</v>
      </c>
      <c r="I400" t="s">
        <v>33</v>
      </c>
      <c r="J400">
        <v>3</v>
      </c>
      <c r="K400">
        <v>6500</v>
      </c>
      <c r="L400">
        <v>6500</v>
      </c>
      <c r="M400">
        <v>19500</v>
      </c>
      <c r="N400" t="s">
        <v>19</v>
      </c>
    </row>
    <row r="401" spans="1:14" x14ac:dyDescent="0.25">
      <c r="A401" t="s">
        <v>1486</v>
      </c>
      <c r="B401" t="s">
        <v>1838</v>
      </c>
      <c r="C401" t="s">
        <v>356</v>
      </c>
      <c r="D401" t="s">
        <v>20</v>
      </c>
      <c r="E401" t="s">
        <v>31</v>
      </c>
      <c r="F401" t="s">
        <v>15</v>
      </c>
      <c r="G401" t="s">
        <v>22</v>
      </c>
      <c r="H401" t="s">
        <v>352</v>
      </c>
      <c r="I401" t="s">
        <v>33</v>
      </c>
      <c r="J401">
        <v>1</v>
      </c>
      <c r="K401">
        <v>6500</v>
      </c>
      <c r="L401">
        <v>6500</v>
      </c>
      <c r="M401">
        <v>6500</v>
      </c>
      <c r="N401" t="s">
        <v>19</v>
      </c>
    </row>
    <row r="402" spans="1:14" x14ac:dyDescent="0.25">
      <c r="A402" t="s">
        <v>1486</v>
      </c>
      <c r="B402" t="s">
        <v>1839</v>
      </c>
      <c r="C402" t="s">
        <v>362</v>
      </c>
      <c r="D402" t="s">
        <v>20</v>
      </c>
      <c r="E402" t="s">
        <v>31</v>
      </c>
      <c r="F402" t="s">
        <v>15</v>
      </c>
      <c r="G402" t="s">
        <v>22</v>
      </c>
      <c r="H402" t="s">
        <v>352</v>
      </c>
      <c r="I402" t="s">
        <v>33</v>
      </c>
      <c r="J402">
        <v>1</v>
      </c>
      <c r="K402">
        <v>6500</v>
      </c>
      <c r="L402">
        <v>6500</v>
      </c>
      <c r="M402">
        <v>6500</v>
      </c>
      <c r="N402" t="s">
        <v>19</v>
      </c>
    </row>
    <row r="403" spans="1:14" x14ac:dyDescent="0.25">
      <c r="A403" t="s">
        <v>1486</v>
      </c>
      <c r="B403" t="s">
        <v>1840</v>
      </c>
      <c r="C403" t="s">
        <v>368</v>
      </c>
      <c r="D403" t="s">
        <v>20</v>
      </c>
      <c r="E403" t="s">
        <v>31</v>
      </c>
      <c r="F403" t="s">
        <v>15</v>
      </c>
      <c r="G403" t="s">
        <v>22</v>
      </c>
      <c r="H403" t="s">
        <v>352</v>
      </c>
      <c r="I403" t="s">
        <v>33</v>
      </c>
      <c r="J403">
        <v>3</v>
      </c>
      <c r="K403">
        <v>6500</v>
      </c>
      <c r="L403">
        <v>6500</v>
      </c>
      <c r="M403">
        <v>19500</v>
      </c>
      <c r="N403" t="s">
        <v>19</v>
      </c>
    </row>
    <row r="404" spans="1:14" x14ac:dyDescent="0.25">
      <c r="A404" t="s">
        <v>1711</v>
      </c>
      <c r="B404" t="s">
        <v>1841</v>
      </c>
      <c r="C404" t="s">
        <v>111</v>
      </c>
      <c r="D404" t="s">
        <v>1022</v>
      </c>
      <c r="E404" t="s">
        <v>1023</v>
      </c>
      <c r="F404" t="s">
        <v>15</v>
      </c>
      <c r="G404" t="s">
        <v>1024</v>
      </c>
      <c r="H404" t="s">
        <v>352</v>
      </c>
      <c r="I404" t="s">
        <v>47</v>
      </c>
      <c r="J404">
        <v>1</v>
      </c>
      <c r="K404">
        <v>3675</v>
      </c>
      <c r="L404">
        <v>10500</v>
      </c>
      <c r="M404">
        <v>10500</v>
      </c>
      <c r="N404" t="s">
        <v>19</v>
      </c>
    </row>
    <row r="405" spans="1:14" x14ac:dyDescent="0.25">
      <c r="A405" t="s">
        <v>1711</v>
      </c>
      <c r="B405" t="s">
        <v>1841</v>
      </c>
      <c r="C405" t="s">
        <v>111</v>
      </c>
      <c r="D405" t="s">
        <v>1022</v>
      </c>
      <c r="E405" t="s">
        <v>1023</v>
      </c>
      <c r="F405" t="s">
        <v>15</v>
      </c>
      <c r="G405" t="s">
        <v>1024</v>
      </c>
      <c r="H405" t="s">
        <v>352</v>
      </c>
      <c r="I405" t="s">
        <v>25</v>
      </c>
      <c r="J405">
        <v>1</v>
      </c>
      <c r="K405">
        <v>3325</v>
      </c>
      <c r="L405">
        <v>9500</v>
      </c>
      <c r="M405">
        <v>9500</v>
      </c>
      <c r="N405" t="s">
        <v>19</v>
      </c>
    </row>
    <row r="406" spans="1:14" x14ac:dyDescent="0.25">
      <c r="A406" t="s">
        <v>1711</v>
      </c>
      <c r="B406" t="s">
        <v>1841</v>
      </c>
      <c r="C406" t="s">
        <v>111</v>
      </c>
      <c r="D406" t="s">
        <v>1022</v>
      </c>
      <c r="E406" t="s">
        <v>1023</v>
      </c>
      <c r="F406" t="s">
        <v>15</v>
      </c>
      <c r="G406" t="s">
        <v>1024</v>
      </c>
      <c r="H406" t="s">
        <v>352</v>
      </c>
      <c r="I406" t="s">
        <v>24</v>
      </c>
      <c r="J406">
        <v>1</v>
      </c>
      <c r="K406">
        <v>3325</v>
      </c>
      <c r="L406">
        <v>9500</v>
      </c>
      <c r="M406">
        <v>9500</v>
      </c>
      <c r="N406" t="s">
        <v>19</v>
      </c>
    </row>
    <row r="407" spans="1:14" x14ac:dyDescent="0.25">
      <c r="A407" t="s">
        <v>1711</v>
      </c>
      <c r="B407" t="s">
        <v>1841</v>
      </c>
      <c r="C407" t="s">
        <v>111</v>
      </c>
      <c r="D407" t="s">
        <v>1022</v>
      </c>
      <c r="E407" t="s">
        <v>1023</v>
      </c>
      <c r="F407" t="s">
        <v>15</v>
      </c>
      <c r="G407" t="s">
        <v>1024</v>
      </c>
      <c r="H407" t="s">
        <v>352</v>
      </c>
      <c r="I407" t="s">
        <v>26</v>
      </c>
      <c r="J407">
        <v>1</v>
      </c>
      <c r="K407">
        <v>500</v>
      </c>
      <c r="L407">
        <v>500</v>
      </c>
      <c r="M407">
        <v>500</v>
      </c>
      <c r="N407" t="s">
        <v>19</v>
      </c>
    </row>
    <row r="408" spans="1:14" x14ac:dyDescent="0.25">
      <c r="A408" t="s">
        <v>1711</v>
      </c>
      <c r="B408" t="s">
        <v>1841</v>
      </c>
      <c r="C408" t="s">
        <v>111</v>
      </c>
      <c r="D408" t="s">
        <v>1022</v>
      </c>
      <c r="E408" t="s">
        <v>1023</v>
      </c>
      <c r="F408" t="s">
        <v>15</v>
      </c>
      <c r="G408" t="s">
        <v>1024</v>
      </c>
      <c r="H408" t="s">
        <v>352</v>
      </c>
      <c r="I408" t="s">
        <v>97</v>
      </c>
      <c r="J408">
        <v>1</v>
      </c>
      <c r="K408">
        <v>2200</v>
      </c>
      <c r="L408">
        <v>3000</v>
      </c>
      <c r="M408">
        <v>3000</v>
      </c>
      <c r="N408" t="s">
        <v>19</v>
      </c>
    </row>
    <row r="409" spans="1:14" x14ac:dyDescent="0.25">
      <c r="A409" t="s">
        <v>1711</v>
      </c>
      <c r="B409" t="s">
        <v>1841</v>
      </c>
      <c r="C409" t="s">
        <v>111</v>
      </c>
      <c r="D409" t="s">
        <v>1022</v>
      </c>
      <c r="E409" t="s">
        <v>1023</v>
      </c>
      <c r="F409" t="s">
        <v>15</v>
      </c>
      <c r="G409" t="s">
        <v>1024</v>
      </c>
      <c r="H409" t="s">
        <v>352</v>
      </c>
      <c r="I409" t="s">
        <v>1045</v>
      </c>
      <c r="J409">
        <v>1</v>
      </c>
      <c r="K409">
        <v>1000</v>
      </c>
      <c r="L409">
        <v>15500</v>
      </c>
      <c r="M409">
        <v>15500</v>
      </c>
      <c r="N409" t="s">
        <v>19</v>
      </c>
    </row>
    <row r="410" spans="1:14" x14ac:dyDescent="0.25">
      <c r="A410" t="s">
        <v>1711</v>
      </c>
      <c r="B410" t="s">
        <v>1841</v>
      </c>
      <c r="C410" t="s">
        <v>111</v>
      </c>
      <c r="D410" t="s">
        <v>1022</v>
      </c>
      <c r="E410" t="s">
        <v>1023</v>
      </c>
      <c r="F410" t="s">
        <v>15</v>
      </c>
      <c r="G410" t="s">
        <v>1024</v>
      </c>
      <c r="H410" t="s">
        <v>352</v>
      </c>
      <c r="I410" t="s">
        <v>63</v>
      </c>
      <c r="J410">
        <v>1</v>
      </c>
      <c r="K410">
        <v>500</v>
      </c>
      <c r="L410">
        <v>500</v>
      </c>
      <c r="M410">
        <v>500</v>
      </c>
      <c r="N410" t="s">
        <v>19</v>
      </c>
    </row>
    <row r="411" spans="1:14" x14ac:dyDescent="0.25">
      <c r="A411" t="s">
        <v>1711</v>
      </c>
      <c r="B411" t="s">
        <v>1842</v>
      </c>
      <c r="C411" t="s">
        <v>122</v>
      </c>
      <c r="D411" t="s">
        <v>1022</v>
      </c>
      <c r="E411" t="s">
        <v>1023</v>
      </c>
      <c r="F411" t="s">
        <v>15</v>
      </c>
      <c r="G411" t="s">
        <v>1024</v>
      </c>
      <c r="H411" t="s">
        <v>352</v>
      </c>
      <c r="I411" t="s">
        <v>47</v>
      </c>
      <c r="J411">
        <v>1</v>
      </c>
      <c r="K411">
        <v>3675</v>
      </c>
      <c r="L411">
        <v>10500</v>
      </c>
      <c r="M411">
        <v>10500</v>
      </c>
      <c r="N411" t="s">
        <v>19</v>
      </c>
    </row>
    <row r="412" spans="1:14" x14ac:dyDescent="0.25">
      <c r="A412" t="s">
        <v>1711</v>
      </c>
      <c r="B412" t="s">
        <v>1842</v>
      </c>
      <c r="C412" t="s">
        <v>122</v>
      </c>
      <c r="D412" t="s">
        <v>1022</v>
      </c>
      <c r="E412" t="s">
        <v>1023</v>
      </c>
      <c r="F412" t="s">
        <v>15</v>
      </c>
      <c r="G412" t="s">
        <v>1024</v>
      </c>
      <c r="H412" t="s">
        <v>352</v>
      </c>
      <c r="I412" t="s">
        <v>25</v>
      </c>
      <c r="J412">
        <v>1</v>
      </c>
      <c r="K412">
        <v>3325</v>
      </c>
      <c r="L412">
        <v>9500</v>
      </c>
      <c r="M412">
        <v>9500</v>
      </c>
      <c r="N412" t="s">
        <v>19</v>
      </c>
    </row>
    <row r="413" spans="1:14" x14ac:dyDescent="0.25">
      <c r="A413" t="s">
        <v>1711</v>
      </c>
      <c r="B413" t="s">
        <v>1842</v>
      </c>
      <c r="C413" t="s">
        <v>122</v>
      </c>
      <c r="D413" t="s">
        <v>1022</v>
      </c>
      <c r="E413" t="s">
        <v>1023</v>
      </c>
      <c r="F413" t="s">
        <v>15</v>
      </c>
      <c r="G413" t="s">
        <v>1024</v>
      </c>
      <c r="H413" t="s">
        <v>352</v>
      </c>
      <c r="I413" t="s">
        <v>24</v>
      </c>
      <c r="J413">
        <v>1</v>
      </c>
      <c r="K413">
        <v>3325</v>
      </c>
      <c r="L413">
        <v>9500</v>
      </c>
      <c r="M413">
        <v>9500</v>
      </c>
      <c r="N413" t="s">
        <v>19</v>
      </c>
    </row>
    <row r="414" spans="1:14" x14ac:dyDescent="0.25">
      <c r="A414" t="s">
        <v>1711</v>
      </c>
      <c r="B414" t="s">
        <v>1842</v>
      </c>
      <c r="C414" t="s">
        <v>122</v>
      </c>
      <c r="D414" t="s">
        <v>1022</v>
      </c>
      <c r="E414" t="s">
        <v>1023</v>
      </c>
      <c r="F414" t="s">
        <v>15</v>
      </c>
      <c r="G414" t="s">
        <v>1024</v>
      </c>
      <c r="H414" t="s">
        <v>352</v>
      </c>
      <c r="I414" t="s">
        <v>26</v>
      </c>
      <c r="J414">
        <v>1</v>
      </c>
      <c r="K414">
        <v>500</v>
      </c>
      <c r="L414">
        <v>500</v>
      </c>
      <c r="M414">
        <v>500</v>
      </c>
      <c r="N414" t="s">
        <v>19</v>
      </c>
    </row>
    <row r="415" spans="1:14" x14ac:dyDescent="0.25">
      <c r="A415" t="s">
        <v>1711</v>
      </c>
      <c r="B415" t="s">
        <v>1842</v>
      </c>
      <c r="C415" t="s">
        <v>122</v>
      </c>
      <c r="D415" t="s">
        <v>1022</v>
      </c>
      <c r="E415" t="s">
        <v>1023</v>
      </c>
      <c r="F415" t="s">
        <v>15</v>
      </c>
      <c r="G415" t="s">
        <v>1024</v>
      </c>
      <c r="H415" t="s">
        <v>352</v>
      </c>
      <c r="I415" t="s">
        <v>97</v>
      </c>
      <c r="J415">
        <v>2</v>
      </c>
      <c r="K415">
        <v>2200</v>
      </c>
      <c r="L415">
        <v>3500</v>
      </c>
      <c r="M415">
        <v>7000</v>
      </c>
      <c r="N415" t="s">
        <v>19</v>
      </c>
    </row>
    <row r="416" spans="1:14" x14ac:dyDescent="0.25">
      <c r="A416" t="s">
        <v>1711</v>
      </c>
      <c r="B416" t="s">
        <v>1842</v>
      </c>
      <c r="C416" t="s">
        <v>122</v>
      </c>
      <c r="D416" t="s">
        <v>1022</v>
      </c>
      <c r="E416" t="s">
        <v>1023</v>
      </c>
      <c r="F416" t="s">
        <v>15</v>
      </c>
      <c r="G416" t="s">
        <v>1024</v>
      </c>
      <c r="H416" t="s">
        <v>352</v>
      </c>
      <c r="I416" t="s">
        <v>127</v>
      </c>
      <c r="J416">
        <v>1</v>
      </c>
      <c r="K416">
        <v>6825</v>
      </c>
      <c r="L416">
        <v>19500</v>
      </c>
      <c r="M416">
        <v>19500</v>
      </c>
      <c r="N416" t="s">
        <v>19</v>
      </c>
    </row>
    <row r="417" spans="1:14" x14ac:dyDescent="0.25">
      <c r="A417" t="s">
        <v>1711</v>
      </c>
      <c r="B417" t="s">
        <v>1842</v>
      </c>
      <c r="C417" t="s">
        <v>122</v>
      </c>
      <c r="D417" t="s">
        <v>1022</v>
      </c>
      <c r="E417" t="s">
        <v>1023</v>
      </c>
      <c r="F417" t="s">
        <v>15</v>
      </c>
      <c r="G417" t="s">
        <v>1024</v>
      </c>
      <c r="H417" t="s">
        <v>352</v>
      </c>
      <c r="I417" t="s">
        <v>63</v>
      </c>
      <c r="J417">
        <v>1</v>
      </c>
      <c r="K417">
        <v>500</v>
      </c>
      <c r="L417">
        <v>500</v>
      </c>
      <c r="M417">
        <v>500</v>
      </c>
      <c r="N417" t="s">
        <v>19</v>
      </c>
    </row>
    <row r="418" spans="1:14" x14ac:dyDescent="0.25">
      <c r="A418" t="s">
        <v>1711</v>
      </c>
      <c r="B418" t="s">
        <v>1843</v>
      </c>
      <c r="C418" t="s">
        <v>140</v>
      </c>
      <c r="D418" t="s">
        <v>1022</v>
      </c>
      <c r="E418" t="s">
        <v>1023</v>
      </c>
      <c r="F418" t="s">
        <v>15</v>
      </c>
      <c r="G418" t="s">
        <v>1024</v>
      </c>
      <c r="H418" t="s">
        <v>352</v>
      </c>
      <c r="I418" t="s">
        <v>47</v>
      </c>
      <c r="J418">
        <v>1</v>
      </c>
      <c r="K418">
        <v>3675</v>
      </c>
      <c r="L418">
        <v>10500</v>
      </c>
      <c r="M418">
        <v>10500</v>
      </c>
      <c r="N418" t="s">
        <v>19</v>
      </c>
    </row>
    <row r="419" spans="1:14" x14ac:dyDescent="0.25">
      <c r="A419" t="s">
        <v>1711</v>
      </c>
      <c r="B419" t="s">
        <v>1843</v>
      </c>
      <c r="C419" t="s">
        <v>140</v>
      </c>
      <c r="D419" t="s">
        <v>1022</v>
      </c>
      <c r="E419" t="s">
        <v>1023</v>
      </c>
      <c r="F419" t="s">
        <v>15</v>
      </c>
      <c r="G419" t="s">
        <v>1024</v>
      </c>
      <c r="H419" t="s">
        <v>352</v>
      </c>
      <c r="I419" t="s">
        <v>25</v>
      </c>
      <c r="J419">
        <v>1</v>
      </c>
      <c r="K419">
        <v>3325</v>
      </c>
      <c r="L419">
        <v>9500</v>
      </c>
      <c r="M419">
        <v>9500</v>
      </c>
      <c r="N419" t="s">
        <v>19</v>
      </c>
    </row>
    <row r="420" spans="1:14" x14ac:dyDescent="0.25">
      <c r="A420" t="s">
        <v>1711</v>
      </c>
      <c r="B420" t="s">
        <v>1843</v>
      </c>
      <c r="C420" t="s">
        <v>140</v>
      </c>
      <c r="D420" t="s">
        <v>1022</v>
      </c>
      <c r="E420" t="s">
        <v>1023</v>
      </c>
      <c r="F420" t="s">
        <v>15</v>
      </c>
      <c r="G420" t="s">
        <v>1024</v>
      </c>
      <c r="H420" t="s">
        <v>352</v>
      </c>
      <c r="I420" t="s">
        <v>24</v>
      </c>
      <c r="J420">
        <v>1</v>
      </c>
      <c r="K420">
        <v>3325</v>
      </c>
      <c r="L420">
        <v>9500</v>
      </c>
      <c r="M420">
        <v>9500</v>
      </c>
      <c r="N420" t="s">
        <v>19</v>
      </c>
    </row>
    <row r="421" spans="1:14" x14ac:dyDescent="0.25">
      <c r="A421" t="s">
        <v>1711</v>
      </c>
      <c r="B421" t="s">
        <v>1843</v>
      </c>
      <c r="C421" t="s">
        <v>140</v>
      </c>
      <c r="D421" t="s">
        <v>1022</v>
      </c>
      <c r="E421" t="s">
        <v>1023</v>
      </c>
      <c r="F421" t="s">
        <v>15</v>
      </c>
      <c r="G421" t="s">
        <v>1024</v>
      </c>
      <c r="H421" t="s">
        <v>352</v>
      </c>
      <c r="I421" t="s">
        <v>26</v>
      </c>
      <c r="J421">
        <v>1</v>
      </c>
      <c r="K421">
        <v>500</v>
      </c>
      <c r="L421">
        <v>500</v>
      </c>
      <c r="M421">
        <v>500</v>
      </c>
      <c r="N421" t="s">
        <v>19</v>
      </c>
    </row>
    <row r="422" spans="1:14" x14ac:dyDescent="0.25">
      <c r="A422" t="s">
        <v>1711</v>
      </c>
      <c r="B422" t="s">
        <v>1843</v>
      </c>
      <c r="C422" t="s">
        <v>140</v>
      </c>
      <c r="D422" t="s">
        <v>1022</v>
      </c>
      <c r="E422" t="s">
        <v>1023</v>
      </c>
      <c r="F422" t="s">
        <v>15</v>
      </c>
      <c r="G422" t="s">
        <v>1024</v>
      </c>
      <c r="H422" t="s">
        <v>352</v>
      </c>
      <c r="I422" t="s">
        <v>97</v>
      </c>
      <c r="J422">
        <v>1</v>
      </c>
      <c r="K422">
        <v>2200</v>
      </c>
      <c r="L422">
        <v>3000</v>
      </c>
      <c r="M422">
        <v>3000</v>
      </c>
      <c r="N422" t="s">
        <v>19</v>
      </c>
    </row>
    <row r="423" spans="1:14" x14ac:dyDescent="0.25">
      <c r="A423" t="s">
        <v>1711</v>
      </c>
      <c r="B423" t="s">
        <v>1843</v>
      </c>
      <c r="C423" t="s">
        <v>140</v>
      </c>
      <c r="D423" t="s">
        <v>1022</v>
      </c>
      <c r="E423" t="s">
        <v>1023</v>
      </c>
      <c r="F423" t="s">
        <v>15</v>
      </c>
      <c r="G423" t="s">
        <v>1024</v>
      </c>
      <c r="H423" t="s">
        <v>352</v>
      </c>
      <c r="I423" t="s">
        <v>1046</v>
      </c>
      <c r="J423">
        <v>1</v>
      </c>
      <c r="K423">
        <v>9500</v>
      </c>
      <c r="L423">
        <v>13500</v>
      </c>
      <c r="M423">
        <v>13500</v>
      </c>
      <c r="N423" t="s">
        <v>19</v>
      </c>
    </row>
    <row r="424" spans="1:14" x14ac:dyDescent="0.25">
      <c r="A424" t="s">
        <v>1711</v>
      </c>
      <c r="B424" t="s">
        <v>1843</v>
      </c>
      <c r="C424" t="s">
        <v>140</v>
      </c>
      <c r="D424" t="s">
        <v>1022</v>
      </c>
      <c r="E424" t="s">
        <v>1023</v>
      </c>
      <c r="F424" t="s">
        <v>15</v>
      </c>
      <c r="G424" t="s">
        <v>1024</v>
      </c>
      <c r="H424" t="s">
        <v>352</v>
      </c>
      <c r="I424" t="s">
        <v>63</v>
      </c>
      <c r="J424">
        <v>1</v>
      </c>
      <c r="K424">
        <v>500</v>
      </c>
      <c r="L424">
        <v>500</v>
      </c>
      <c r="M424">
        <v>500</v>
      </c>
      <c r="N424" t="s">
        <v>19</v>
      </c>
    </row>
    <row r="425" spans="1:14" x14ac:dyDescent="0.25">
      <c r="A425" t="s">
        <v>1711</v>
      </c>
      <c r="B425" t="s">
        <v>1844</v>
      </c>
      <c r="C425" t="s">
        <v>147</v>
      </c>
      <c r="D425" t="s">
        <v>1022</v>
      </c>
      <c r="E425" t="s">
        <v>1023</v>
      </c>
      <c r="F425" t="s">
        <v>15</v>
      </c>
      <c r="G425" t="s">
        <v>1024</v>
      </c>
      <c r="H425" t="s">
        <v>352</v>
      </c>
      <c r="I425" t="s">
        <v>47</v>
      </c>
      <c r="J425">
        <v>1</v>
      </c>
      <c r="K425">
        <v>3675</v>
      </c>
      <c r="L425">
        <v>10500</v>
      </c>
      <c r="M425">
        <v>10500</v>
      </c>
      <c r="N425" t="s">
        <v>19</v>
      </c>
    </row>
    <row r="426" spans="1:14" x14ac:dyDescent="0.25">
      <c r="A426" t="s">
        <v>1711</v>
      </c>
      <c r="B426" t="s">
        <v>1844</v>
      </c>
      <c r="C426" t="s">
        <v>147</v>
      </c>
      <c r="D426" t="s">
        <v>1022</v>
      </c>
      <c r="E426" t="s">
        <v>1023</v>
      </c>
      <c r="F426" t="s">
        <v>15</v>
      </c>
      <c r="G426" t="s">
        <v>1024</v>
      </c>
      <c r="H426" t="s">
        <v>352</v>
      </c>
      <c r="I426" t="s">
        <v>25</v>
      </c>
      <c r="J426">
        <v>1</v>
      </c>
      <c r="K426">
        <v>3237.5</v>
      </c>
      <c r="L426">
        <v>9250</v>
      </c>
      <c r="M426">
        <v>9250</v>
      </c>
      <c r="N426" t="s">
        <v>19</v>
      </c>
    </row>
    <row r="427" spans="1:14" x14ac:dyDescent="0.25">
      <c r="A427" t="s">
        <v>1711</v>
      </c>
      <c r="B427" t="s">
        <v>1844</v>
      </c>
      <c r="C427" t="s">
        <v>147</v>
      </c>
      <c r="D427" t="s">
        <v>1022</v>
      </c>
      <c r="E427" t="s">
        <v>1023</v>
      </c>
      <c r="F427" t="s">
        <v>15</v>
      </c>
      <c r="G427" t="s">
        <v>1024</v>
      </c>
      <c r="H427" t="s">
        <v>352</v>
      </c>
      <c r="I427" t="s">
        <v>24</v>
      </c>
      <c r="J427">
        <v>1</v>
      </c>
      <c r="K427">
        <v>3237.5</v>
      </c>
      <c r="L427">
        <v>9250</v>
      </c>
      <c r="M427">
        <v>9250</v>
      </c>
      <c r="N427" t="s">
        <v>19</v>
      </c>
    </row>
    <row r="428" spans="1:14" x14ac:dyDescent="0.25">
      <c r="A428" t="s">
        <v>1711</v>
      </c>
      <c r="B428" t="s">
        <v>1844</v>
      </c>
      <c r="C428" t="s">
        <v>147</v>
      </c>
      <c r="D428" t="s">
        <v>1022</v>
      </c>
      <c r="E428" t="s">
        <v>1023</v>
      </c>
      <c r="F428" t="s">
        <v>15</v>
      </c>
      <c r="G428" t="s">
        <v>1024</v>
      </c>
      <c r="H428" t="s">
        <v>352</v>
      </c>
      <c r="I428" t="s">
        <v>26</v>
      </c>
      <c r="J428">
        <v>1</v>
      </c>
      <c r="K428">
        <v>500</v>
      </c>
      <c r="L428">
        <v>500</v>
      </c>
      <c r="M428">
        <v>500</v>
      </c>
      <c r="N428" t="s">
        <v>19</v>
      </c>
    </row>
    <row r="429" spans="1:14" x14ac:dyDescent="0.25">
      <c r="A429" t="s">
        <v>1711</v>
      </c>
      <c r="B429" t="s">
        <v>1844</v>
      </c>
      <c r="C429" t="s">
        <v>147</v>
      </c>
      <c r="D429" t="s">
        <v>1022</v>
      </c>
      <c r="E429" t="s">
        <v>1023</v>
      </c>
      <c r="F429" t="s">
        <v>15</v>
      </c>
      <c r="G429" t="s">
        <v>1024</v>
      </c>
      <c r="H429" t="s">
        <v>352</v>
      </c>
      <c r="I429" t="s">
        <v>1047</v>
      </c>
      <c r="J429">
        <v>1</v>
      </c>
      <c r="K429">
        <v>21500</v>
      </c>
      <c r="L429">
        <v>31000</v>
      </c>
      <c r="M429">
        <v>31000</v>
      </c>
      <c r="N429" t="s">
        <v>19</v>
      </c>
    </row>
    <row r="430" spans="1:14" x14ac:dyDescent="0.25">
      <c r="A430" t="s">
        <v>1711</v>
      </c>
      <c r="B430" t="s">
        <v>1844</v>
      </c>
      <c r="C430" t="s">
        <v>147</v>
      </c>
      <c r="D430" t="s">
        <v>1022</v>
      </c>
      <c r="E430" t="s">
        <v>1023</v>
      </c>
      <c r="F430" t="s">
        <v>15</v>
      </c>
      <c r="G430" t="s">
        <v>1024</v>
      </c>
      <c r="H430" t="s">
        <v>352</v>
      </c>
      <c r="I430" t="s">
        <v>1045</v>
      </c>
      <c r="J430">
        <v>1</v>
      </c>
      <c r="K430">
        <v>11000</v>
      </c>
      <c r="L430">
        <v>15500</v>
      </c>
      <c r="M430">
        <v>15500</v>
      </c>
      <c r="N430" t="s">
        <v>19</v>
      </c>
    </row>
    <row r="431" spans="1:14" x14ac:dyDescent="0.25">
      <c r="A431" t="s">
        <v>1711</v>
      </c>
      <c r="B431" t="s">
        <v>1844</v>
      </c>
      <c r="C431" t="s">
        <v>147</v>
      </c>
      <c r="D431" t="s">
        <v>1022</v>
      </c>
      <c r="E431" t="s">
        <v>1023</v>
      </c>
      <c r="F431" t="s">
        <v>15</v>
      </c>
      <c r="G431" t="s">
        <v>1024</v>
      </c>
      <c r="H431" t="s">
        <v>352</v>
      </c>
      <c r="I431" t="s">
        <v>1021</v>
      </c>
      <c r="J431">
        <v>1</v>
      </c>
      <c r="K431">
        <v>2185</v>
      </c>
      <c r="L431">
        <v>3200</v>
      </c>
      <c r="M431">
        <v>3200</v>
      </c>
      <c r="N431" t="s">
        <v>19</v>
      </c>
    </row>
    <row r="432" spans="1:14" x14ac:dyDescent="0.25">
      <c r="A432" t="s">
        <v>1711</v>
      </c>
      <c r="B432" t="s">
        <v>1844</v>
      </c>
      <c r="C432" t="s">
        <v>147</v>
      </c>
      <c r="D432" t="s">
        <v>1022</v>
      </c>
      <c r="E432" t="s">
        <v>1023</v>
      </c>
      <c r="F432" t="s">
        <v>15</v>
      </c>
      <c r="G432" t="s">
        <v>1024</v>
      </c>
      <c r="H432" t="s">
        <v>352</v>
      </c>
      <c r="I432" t="s">
        <v>1048</v>
      </c>
      <c r="J432">
        <v>1</v>
      </c>
      <c r="K432">
        <v>8500</v>
      </c>
      <c r="L432">
        <v>12000</v>
      </c>
      <c r="M432">
        <v>12000</v>
      </c>
      <c r="N432" t="s">
        <v>19</v>
      </c>
    </row>
    <row r="433" spans="1:14" x14ac:dyDescent="0.25">
      <c r="A433" t="s">
        <v>1711</v>
      </c>
      <c r="B433" t="s">
        <v>1844</v>
      </c>
      <c r="C433" t="s">
        <v>147</v>
      </c>
      <c r="D433" t="s">
        <v>1022</v>
      </c>
      <c r="E433" t="s">
        <v>1023</v>
      </c>
      <c r="F433" t="s">
        <v>15</v>
      </c>
      <c r="G433" t="s">
        <v>1024</v>
      </c>
      <c r="H433" t="s">
        <v>352</v>
      </c>
      <c r="I433" t="s">
        <v>1049</v>
      </c>
      <c r="J433">
        <v>1</v>
      </c>
      <c r="K433">
        <v>9500</v>
      </c>
      <c r="L433">
        <v>12500</v>
      </c>
      <c r="M433">
        <v>12500</v>
      </c>
      <c r="N433" t="s">
        <v>19</v>
      </c>
    </row>
    <row r="434" spans="1:14" x14ac:dyDescent="0.25">
      <c r="A434" t="s">
        <v>1711</v>
      </c>
      <c r="B434" t="s">
        <v>1844</v>
      </c>
      <c r="C434" t="s">
        <v>147</v>
      </c>
      <c r="D434" t="s">
        <v>1022</v>
      </c>
      <c r="E434" t="s">
        <v>1023</v>
      </c>
      <c r="F434" t="s">
        <v>15</v>
      </c>
      <c r="G434" t="s">
        <v>1024</v>
      </c>
      <c r="H434" t="s">
        <v>352</v>
      </c>
      <c r="I434" t="s">
        <v>97</v>
      </c>
      <c r="J434">
        <v>1</v>
      </c>
      <c r="K434">
        <v>2200</v>
      </c>
      <c r="L434">
        <v>3300</v>
      </c>
      <c r="M434">
        <v>3300</v>
      </c>
      <c r="N434" t="s">
        <v>19</v>
      </c>
    </row>
    <row r="435" spans="1:14" x14ac:dyDescent="0.25">
      <c r="A435" t="s">
        <v>1711</v>
      </c>
      <c r="B435" t="s">
        <v>1844</v>
      </c>
      <c r="C435" t="s">
        <v>147</v>
      </c>
      <c r="D435" t="s">
        <v>1022</v>
      </c>
      <c r="E435" t="s">
        <v>1023</v>
      </c>
      <c r="F435" t="s">
        <v>15</v>
      </c>
      <c r="G435" t="s">
        <v>1024</v>
      </c>
      <c r="H435" t="s">
        <v>352</v>
      </c>
      <c r="I435" t="s">
        <v>1050</v>
      </c>
      <c r="J435">
        <v>1</v>
      </c>
      <c r="K435">
        <v>850</v>
      </c>
      <c r="L435">
        <v>1200</v>
      </c>
      <c r="M435">
        <v>1200</v>
      </c>
      <c r="N435" t="s">
        <v>19</v>
      </c>
    </row>
    <row r="436" spans="1:14" x14ac:dyDescent="0.25">
      <c r="A436" t="s">
        <v>1711</v>
      </c>
      <c r="B436" t="s">
        <v>1844</v>
      </c>
      <c r="C436" t="s">
        <v>147</v>
      </c>
      <c r="D436" t="s">
        <v>1022</v>
      </c>
      <c r="E436" t="s">
        <v>1023</v>
      </c>
      <c r="F436" t="s">
        <v>15</v>
      </c>
      <c r="G436" t="s">
        <v>1024</v>
      </c>
      <c r="H436" t="s">
        <v>352</v>
      </c>
      <c r="I436" t="s">
        <v>151</v>
      </c>
      <c r="J436">
        <v>1</v>
      </c>
      <c r="K436">
        <v>2800</v>
      </c>
      <c r="L436">
        <v>4000</v>
      </c>
      <c r="M436">
        <v>4000</v>
      </c>
      <c r="N436" t="s">
        <v>19</v>
      </c>
    </row>
    <row r="437" spans="1:14" x14ac:dyDescent="0.25">
      <c r="A437" t="s">
        <v>1711</v>
      </c>
      <c r="B437" t="s">
        <v>1844</v>
      </c>
      <c r="C437" t="s">
        <v>147</v>
      </c>
      <c r="D437" t="s">
        <v>1022</v>
      </c>
      <c r="E437" t="s">
        <v>1023</v>
      </c>
      <c r="F437" t="s">
        <v>15</v>
      </c>
      <c r="G437" t="s">
        <v>1024</v>
      </c>
      <c r="H437" t="s">
        <v>352</v>
      </c>
      <c r="I437" t="s">
        <v>1051</v>
      </c>
      <c r="J437">
        <v>1</v>
      </c>
      <c r="K437">
        <v>935</v>
      </c>
      <c r="L437">
        <v>1500</v>
      </c>
      <c r="M437">
        <v>1500</v>
      </c>
      <c r="N437" t="s">
        <v>19</v>
      </c>
    </row>
    <row r="438" spans="1:14" x14ac:dyDescent="0.25">
      <c r="A438" t="s">
        <v>1711</v>
      </c>
      <c r="B438" t="s">
        <v>1844</v>
      </c>
      <c r="C438" t="s">
        <v>147</v>
      </c>
      <c r="D438" t="s">
        <v>1022</v>
      </c>
      <c r="E438" t="s">
        <v>1023</v>
      </c>
      <c r="F438" t="s">
        <v>15</v>
      </c>
      <c r="G438" t="s">
        <v>1024</v>
      </c>
      <c r="H438" t="s">
        <v>352</v>
      </c>
      <c r="I438" t="s">
        <v>63</v>
      </c>
      <c r="J438">
        <v>1</v>
      </c>
      <c r="K438">
        <v>500</v>
      </c>
      <c r="L438">
        <v>500</v>
      </c>
      <c r="M438">
        <v>500</v>
      </c>
      <c r="N438" t="s">
        <v>19</v>
      </c>
    </row>
    <row r="439" spans="1:14" x14ac:dyDescent="0.25">
      <c r="A439" t="s">
        <v>1711</v>
      </c>
      <c r="B439" t="s">
        <v>1845</v>
      </c>
      <c r="C439" t="s">
        <v>155</v>
      </c>
      <c r="D439" t="s">
        <v>1022</v>
      </c>
      <c r="E439" t="s">
        <v>1023</v>
      </c>
      <c r="F439" t="s">
        <v>15</v>
      </c>
      <c r="G439" t="s">
        <v>1024</v>
      </c>
      <c r="H439" t="s">
        <v>352</v>
      </c>
      <c r="I439" t="s">
        <v>47</v>
      </c>
      <c r="J439">
        <v>1</v>
      </c>
      <c r="K439">
        <v>3675</v>
      </c>
      <c r="L439">
        <v>10500</v>
      </c>
      <c r="M439">
        <v>10500</v>
      </c>
      <c r="N439" t="s">
        <v>19</v>
      </c>
    </row>
    <row r="440" spans="1:14" x14ac:dyDescent="0.25">
      <c r="A440" t="s">
        <v>1711</v>
      </c>
      <c r="B440" t="s">
        <v>1845</v>
      </c>
      <c r="C440" t="s">
        <v>155</v>
      </c>
      <c r="D440" t="s">
        <v>1022</v>
      </c>
      <c r="E440" t="s">
        <v>1023</v>
      </c>
      <c r="F440" t="s">
        <v>15</v>
      </c>
      <c r="G440" t="s">
        <v>1024</v>
      </c>
      <c r="H440" t="s">
        <v>352</v>
      </c>
      <c r="I440" t="s">
        <v>25</v>
      </c>
      <c r="J440">
        <v>1</v>
      </c>
      <c r="K440">
        <v>3325</v>
      </c>
      <c r="L440">
        <v>9500</v>
      </c>
      <c r="M440">
        <v>9500</v>
      </c>
      <c r="N440" t="s">
        <v>19</v>
      </c>
    </row>
    <row r="441" spans="1:14" x14ac:dyDescent="0.25">
      <c r="A441" t="s">
        <v>1711</v>
      </c>
      <c r="B441" t="s">
        <v>1845</v>
      </c>
      <c r="C441" t="s">
        <v>155</v>
      </c>
      <c r="D441" t="s">
        <v>1022</v>
      </c>
      <c r="E441" t="s">
        <v>1023</v>
      </c>
      <c r="F441" t="s">
        <v>15</v>
      </c>
      <c r="G441" t="s">
        <v>1024</v>
      </c>
      <c r="H441" t="s">
        <v>352</v>
      </c>
      <c r="I441" t="s">
        <v>24</v>
      </c>
      <c r="J441">
        <v>1</v>
      </c>
      <c r="K441">
        <v>3325</v>
      </c>
      <c r="L441">
        <v>9500</v>
      </c>
      <c r="M441">
        <v>9500</v>
      </c>
      <c r="N441" t="s">
        <v>19</v>
      </c>
    </row>
    <row r="442" spans="1:14" x14ac:dyDescent="0.25">
      <c r="A442" t="s">
        <v>1711</v>
      </c>
      <c r="B442" t="s">
        <v>1845</v>
      </c>
      <c r="C442" t="s">
        <v>155</v>
      </c>
      <c r="D442" t="s">
        <v>1022</v>
      </c>
      <c r="E442" t="s">
        <v>1023</v>
      </c>
      <c r="F442" t="s">
        <v>15</v>
      </c>
      <c r="G442" t="s">
        <v>1024</v>
      </c>
      <c r="H442" t="s">
        <v>352</v>
      </c>
      <c r="I442" t="s">
        <v>26</v>
      </c>
      <c r="J442">
        <v>1</v>
      </c>
      <c r="K442">
        <v>500</v>
      </c>
      <c r="L442">
        <v>500</v>
      </c>
      <c r="M442">
        <v>500</v>
      </c>
      <c r="N442" t="s">
        <v>19</v>
      </c>
    </row>
    <row r="443" spans="1:14" x14ac:dyDescent="0.25">
      <c r="A443" t="s">
        <v>1711</v>
      </c>
      <c r="B443" t="s">
        <v>1845</v>
      </c>
      <c r="C443" t="s">
        <v>155</v>
      </c>
      <c r="D443" t="s">
        <v>1022</v>
      </c>
      <c r="E443" t="s">
        <v>1023</v>
      </c>
      <c r="F443" t="s">
        <v>15</v>
      </c>
      <c r="G443" t="s">
        <v>1024</v>
      </c>
      <c r="H443" t="s">
        <v>352</v>
      </c>
      <c r="I443" t="s">
        <v>97</v>
      </c>
      <c r="J443">
        <v>2</v>
      </c>
      <c r="K443">
        <v>2200</v>
      </c>
      <c r="L443">
        <v>3500</v>
      </c>
      <c r="M443">
        <v>7000</v>
      </c>
      <c r="N443" t="s">
        <v>19</v>
      </c>
    </row>
    <row r="444" spans="1:14" x14ac:dyDescent="0.25">
      <c r="A444" t="s">
        <v>1711</v>
      </c>
      <c r="B444" t="s">
        <v>1845</v>
      </c>
      <c r="C444" t="s">
        <v>155</v>
      </c>
      <c r="D444" t="s">
        <v>1022</v>
      </c>
      <c r="E444" t="s">
        <v>1023</v>
      </c>
      <c r="F444" t="s">
        <v>15</v>
      </c>
      <c r="G444" t="s">
        <v>1024</v>
      </c>
      <c r="H444" t="s">
        <v>352</v>
      </c>
      <c r="I444" t="s">
        <v>1045</v>
      </c>
      <c r="J444">
        <v>1</v>
      </c>
      <c r="K444">
        <v>11000</v>
      </c>
      <c r="L444">
        <v>15500</v>
      </c>
      <c r="M444">
        <v>15500</v>
      </c>
      <c r="N444" t="s">
        <v>19</v>
      </c>
    </row>
    <row r="445" spans="1:14" x14ac:dyDescent="0.25">
      <c r="A445" t="s">
        <v>1711</v>
      </c>
      <c r="B445" t="s">
        <v>1845</v>
      </c>
      <c r="C445" t="s">
        <v>155</v>
      </c>
      <c r="D445" t="s">
        <v>1022</v>
      </c>
      <c r="E445" t="s">
        <v>1023</v>
      </c>
      <c r="F445" t="s">
        <v>15</v>
      </c>
      <c r="G445" t="s">
        <v>1024</v>
      </c>
      <c r="H445" t="s">
        <v>352</v>
      </c>
      <c r="I445" t="s">
        <v>127</v>
      </c>
      <c r="J445">
        <v>1</v>
      </c>
      <c r="K445">
        <v>6825</v>
      </c>
      <c r="L445">
        <v>19500</v>
      </c>
      <c r="M445">
        <v>19500</v>
      </c>
      <c r="N445" t="s">
        <v>19</v>
      </c>
    </row>
    <row r="446" spans="1:14" x14ac:dyDescent="0.25">
      <c r="A446" t="s">
        <v>1711</v>
      </c>
      <c r="B446" t="s">
        <v>1845</v>
      </c>
      <c r="C446" t="s">
        <v>155</v>
      </c>
      <c r="D446" t="s">
        <v>1022</v>
      </c>
      <c r="E446" t="s">
        <v>1023</v>
      </c>
      <c r="F446" t="s">
        <v>15</v>
      </c>
      <c r="G446" t="s">
        <v>1024</v>
      </c>
      <c r="H446" t="s">
        <v>352</v>
      </c>
      <c r="I446" t="s">
        <v>63</v>
      </c>
      <c r="J446">
        <v>1</v>
      </c>
      <c r="K446">
        <v>500</v>
      </c>
      <c r="L446">
        <v>500</v>
      </c>
      <c r="M446">
        <v>500</v>
      </c>
      <c r="N446" t="s">
        <v>19</v>
      </c>
    </row>
    <row r="447" spans="1:14" x14ac:dyDescent="0.25">
      <c r="A447" t="s">
        <v>1711</v>
      </c>
      <c r="B447" t="s">
        <v>1846</v>
      </c>
      <c r="C447" t="s">
        <v>162</v>
      </c>
      <c r="D447" t="s">
        <v>1022</v>
      </c>
      <c r="E447" t="s">
        <v>1023</v>
      </c>
      <c r="F447" t="s">
        <v>15</v>
      </c>
      <c r="G447" t="s">
        <v>1024</v>
      </c>
      <c r="H447" t="s">
        <v>352</v>
      </c>
      <c r="I447" t="s">
        <v>47</v>
      </c>
      <c r="J447">
        <v>1</v>
      </c>
      <c r="K447">
        <v>3675</v>
      </c>
      <c r="L447">
        <v>10500</v>
      </c>
      <c r="M447">
        <v>10500</v>
      </c>
      <c r="N447" t="s">
        <v>19</v>
      </c>
    </row>
    <row r="448" spans="1:14" x14ac:dyDescent="0.25">
      <c r="A448" t="s">
        <v>1711</v>
      </c>
      <c r="B448" t="s">
        <v>1846</v>
      </c>
      <c r="C448" t="s">
        <v>162</v>
      </c>
      <c r="D448" t="s">
        <v>1022</v>
      </c>
      <c r="E448" t="s">
        <v>1023</v>
      </c>
      <c r="F448" t="s">
        <v>15</v>
      </c>
      <c r="G448" t="s">
        <v>1024</v>
      </c>
      <c r="H448" t="s">
        <v>352</v>
      </c>
      <c r="I448" t="s">
        <v>25</v>
      </c>
      <c r="J448">
        <v>1</v>
      </c>
      <c r="K448">
        <v>3325</v>
      </c>
      <c r="L448">
        <v>9500</v>
      </c>
      <c r="M448">
        <v>9500</v>
      </c>
      <c r="N448" t="s">
        <v>19</v>
      </c>
    </row>
    <row r="449" spans="1:14" x14ac:dyDescent="0.25">
      <c r="A449" t="s">
        <v>1711</v>
      </c>
      <c r="B449" t="s">
        <v>1846</v>
      </c>
      <c r="C449" t="s">
        <v>162</v>
      </c>
      <c r="D449" t="s">
        <v>1022</v>
      </c>
      <c r="E449" t="s">
        <v>1023</v>
      </c>
      <c r="F449" t="s">
        <v>15</v>
      </c>
      <c r="G449" t="s">
        <v>1024</v>
      </c>
      <c r="H449" t="s">
        <v>352</v>
      </c>
      <c r="I449" t="s">
        <v>24</v>
      </c>
      <c r="J449">
        <v>1</v>
      </c>
      <c r="K449">
        <v>3325</v>
      </c>
      <c r="L449">
        <v>9500</v>
      </c>
      <c r="M449">
        <v>9500</v>
      </c>
      <c r="N449" t="s">
        <v>19</v>
      </c>
    </row>
    <row r="450" spans="1:14" x14ac:dyDescent="0.25">
      <c r="A450" t="s">
        <v>1711</v>
      </c>
      <c r="B450" t="s">
        <v>1846</v>
      </c>
      <c r="C450" t="s">
        <v>162</v>
      </c>
      <c r="D450" t="s">
        <v>1022</v>
      </c>
      <c r="E450" t="s">
        <v>1023</v>
      </c>
      <c r="F450" t="s">
        <v>15</v>
      </c>
      <c r="G450" t="s">
        <v>1024</v>
      </c>
      <c r="H450" t="s">
        <v>352</v>
      </c>
      <c r="I450" t="s">
        <v>26</v>
      </c>
      <c r="J450">
        <v>1</v>
      </c>
      <c r="K450">
        <v>500</v>
      </c>
      <c r="L450">
        <v>500</v>
      </c>
      <c r="M450">
        <v>500</v>
      </c>
      <c r="N450" t="s">
        <v>19</v>
      </c>
    </row>
    <row r="451" spans="1:14" x14ac:dyDescent="0.25">
      <c r="A451" t="s">
        <v>1711</v>
      </c>
      <c r="B451" t="s">
        <v>1846</v>
      </c>
      <c r="C451" t="s">
        <v>162</v>
      </c>
      <c r="D451" t="s">
        <v>1022</v>
      </c>
      <c r="E451" t="s">
        <v>1023</v>
      </c>
      <c r="F451" t="s">
        <v>15</v>
      </c>
      <c r="G451" t="s">
        <v>1024</v>
      </c>
      <c r="H451" t="s">
        <v>352</v>
      </c>
      <c r="I451" t="s">
        <v>97</v>
      </c>
      <c r="J451">
        <v>1</v>
      </c>
      <c r="K451">
        <v>2200</v>
      </c>
      <c r="L451">
        <v>3000</v>
      </c>
      <c r="M451">
        <v>3000</v>
      </c>
      <c r="N451" t="s">
        <v>19</v>
      </c>
    </row>
    <row r="452" spans="1:14" x14ac:dyDescent="0.25">
      <c r="A452" t="s">
        <v>1711</v>
      </c>
      <c r="B452" t="s">
        <v>1846</v>
      </c>
      <c r="C452" t="s">
        <v>162</v>
      </c>
      <c r="D452" t="s">
        <v>1022</v>
      </c>
      <c r="E452" t="s">
        <v>1023</v>
      </c>
      <c r="F452" t="s">
        <v>15</v>
      </c>
      <c r="G452" t="s">
        <v>1024</v>
      </c>
      <c r="H452" t="s">
        <v>352</v>
      </c>
      <c r="I452" t="s">
        <v>63</v>
      </c>
      <c r="J452">
        <v>1</v>
      </c>
      <c r="K452">
        <v>500</v>
      </c>
      <c r="L452">
        <v>500</v>
      </c>
      <c r="M452">
        <v>500</v>
      </c>
      <c r="N452" t="s">
        <v>19</v>
      </c>
    </row>
    <row r="453" spans="1:14" x14ac:dyDescent="0.25">
      <c r="A453" t="s">
        <v>1604</v>
      </c>
      <c r="B453" t="s">
        <v>1847</v>
      </c>
      <c r="C453" t="s">
        <v>172</v>
      </c>
      <c r="D453" t="s">
        <v>1052</v>
      </c>
      <c r="E453" t="s">
        <v>1053</v>
      </c>
      <c r="F453" t="s">
        <v>1054</v>
      </c>
      <c r="G453" t="s">
        <v>1024</v>
      </c>
      <c r="H453" t="s">
        <v>352</v>
      </c>
      <c r="I453" t="s">
        <v>1009</v>
      </c>
      <c r="J453">
        <v>1</v>
      </c>
      <c r="K453">
        <v>3500</v>
      </c>
      <c r="L453">
        <v>10000</v>
      </c>
      <c r="M453">
        <v>10000</v>
      </c>
      <c r="N453" t="s">
        <v>1010</v>
      </c>
    </row>
    <row r="454" spans="1:14" x14ac:dyDescent="0.25">
      <c r="A454" t="s">
        <v>1604</v>
      </c>
      <c r="B454" t="s">
        <v>1847</v>
      </c>
      <c r="C454" t="s">
        <v>172</v>
      </c>
      <c r="D454" t="s">
        <v>1052</v>
      </c>
      <c r="E454" t="s">
        <v>1053</v>
      </c>
      <c r="F454" t="s">
        <v>1054</v>
      </c>
      <c r="G454" t="s">
        <v>1024</v>
      </c>
      <c r="H454" t="s">
        <v>352</v>
      </c>
      <c r="I454" t="s">
        <v>1011</v>
      </c>
      <c r="J454">
        <v>1</v>
      </c>
      <c r="K454">
        <v>4200</v>
      </c>
      <c r="L454">
        <v>12000</v>
      </c>
      <c r="M454">
        <v>12000</v>
      </c>
      <c r="N454" t="s">
        <v>1010</v>
      </c>
    </row>
    <row r="455" spans="1:14" x14ac:dyDescent="0.25">
      <c r="A455" t="s">
        <v>1604</v>
      </c>
      <c r="B455" t="s">
        <v>1847</v>
      </c>
      <c r="C455" t="s">
        <v>172</v>
      </c>
      <c r="D455" t="s">
        <v>1052</v>
      </c>
      <c r="E455" t="s">
        <v>1053</v>
      </c>
      <c r="F455" t="s">
        <v>1054</v>
      </c>
      <c r="G455" t="s">
        <v>1024</v>
      </c>
      <c r="H455" t="s">
        <v>352</v>
      </c>
      <c r="I455" t="s">
        <v>24</v>
      </c>
      <c r="J455">
        <v>1</v>
      </c>
      <c r="K455">
        <v>4200</v>
      </c>
      <c r="L455">
        <v>12000</v>
      </c>
      <c r="M455">
        <v>12000</v>
      </c>
      <c r="N455" t="s">
        <v>1010</v>
      </c>
    </row>
    <row r="456" spans="1:14" x14ac:dyDescent="0.25">
      <c r="A456" t="s">
        <v>1604</v>
      </c>
      <c r="B456" t="s">
        <v>1847</v>
      </c>
      <c r="C456" t="s">
        <v>172</v>
      </c>
      <c r="D456" t="s">
        <v>1052</v>
      </c>
      <c r="E456" t="s">
        <v>1053</v>
      </c>
      <c r="F456" t="s">
        <v>1054</v>
      </c>
      <c r="G456" t="s">
        <v>1024</v>
      </c>
      <c r="H456" t="s">
        <v>352</v>
      </c>
      <c r="I456" t="s">
        <v>26</v>
      </c>
      <c r="J456">
        <v>1</v>
      </c>
      <c r="K456">
        <v>500</v>
      </c>
      <c r="L456">
        <v>1000</v>
      </c>
      <c r="M456">
        <v>1000</v>
      </c>
      <c r="N456" t="s">
        <v>1010</v>
      </c>
    </row>
    <row r="457" spans="1:14" x14ac:dyDescent="0.25">
      <c r="A457" t="s">
        <v>1604</v>
      </c>
      <c r="B457" t="s">
        <v>1847</v>
      </c>
      <c r="C457" t="s">
        <v>172</v>
      </c>
      <c r="D457" t="s">
        <v>1052</v>
      </c>
      <c r="E457" t="s">
        <v>1053</v>
      </c>
      <c r="F457" t="s">
        <v>1054</v>
      </c>
      <c r="G457" t="s">
        <v>1024</v>
      </c>
      <c r="H457" t="s">
        <v>352</v>
      </c>
      <c r="I457" t="s">
        <v>331</v>
      </c>
      <c r="J457">
        <v>1</v>
      </c>
      <c r="K457">
        <v>3500</v>
      </c>
      <c r="L457">
        <v>5000</v>
      </c>
      <c r="M457">
        <v>5000</v>
      </c>
      <c r="N457" t="s">
        <v>1010</v>
      </c>
    </row>
    <row r="458" spans="1:14" x14ac:dyDescent="0.25">
      <c r="A458" t="s">
        <v>1445</v>
      </c>
      <c r="B458" t="s">
        <v>1848</v>
      </c>
      <c r="C458" t="s">
        <v>255</v>
      </c>
      <c r="D458" t="s">
        <v>256</v>
      </c>
      <c r="E458" t="s">
        <v>256</v>
      </c>
      <c r="F458" t="s">
        <v>15</v>
      </c>
      <c r="G458" t="s">
        <v>22</v>
      </c>
      <c r="H458" t="s">
        <v>257</v>
      </c>
      <c r="I458" t="s">
        <v>258</v>
      </c>
      <c r="J458">
        <v>19</v>
      </c>
      <c r="K458">
        <v>8000</v>
      </c>
      <c r="L458">
        <v>8000</v>
      </c>
      <c r="M458">
        <v>152000</v>
      </c>
      <c r="N458" t="s">
        <v>39</v>
      </c>
    </row>
    <row r="459" spans="1:14" x14ac:dyDescent="0.25">
      <c r="A459" t="s">
        <v>1675</v>
      </c>
      <c r="B459" t="s">
        <v>1849</v>
      </c>
      <c r="C459" t="s">
        <v>262</v>
      </c>
      <c r="D459" t="s">
        <v>265</v>
      </c>
      <c r="E459" t="s">
        <v>239</v>
      </c>
      <c r="F459" t="s">
        <v>266</v>
      </c>
      <c r="G459" t="s">
        <v>16</v>
      </c>
      <c r="H459" t="s">
        <v>257</v>
      </c>
      <c r="I459" t="s">
        <v>267</v>
      </c>
      <c r="J459">
        <v>2</v>
      </c>
      <c r="K459">
        <v>10000</v>
      </c>
      <c r="L459">
        <v>10000</v>
      </c>
      <c r="M459">
        <v>20000</v>
      </c>
      <c r="N459" t="s">
        <v>19</v>
      </c>
    </row>
    <row r="460" spans="1:14" x14ac:dyDescent="0.25">
      <c r="A460" t="s">
        <v>1427</v>
      </c>
      <c r="B460" t="s">
        <v>1850</v>
      </c>
      <c r="C460" t="s">
        <v>268</v>
      </c>
      <c r="D460" t="s">
        <v>269</v>
      </c>
      <c r="E460" t="s">
        <v>239</v>
      </c>
      <c r="F460" t="s">
        <v>266</v>
      </c>
      <c r="G460" t="s">
        <v>16</v>
      </c>
      <c r="H460" t="s">
        <v>257</v>
      </c>
      <c r="I460" t="s">
        <v>267</v>
      </c>
      <c r="J460">
        <v>3</v>
      </c>
      <c r="K460">
        <v>10000</v>
      </c>
      <c r="L460">
        <v>10000</v>
      </c>
      <c r="M460">
        <v>30000</v>
      </c>
      <c r="N460" t="s">
        <v>19</v>
      </c>
    </row>
    <row r="461" spans="1:14" x14ac:dyDescent="0.25">
      <c r="A461" t="s">
        <v>1543</v>
      </c>
      <c r="B461" t="s">
        <v>1851</v>
      </c>
      <c r="C461" t="s">
        <v>272</v>
      </c>
      <c r="D461" t="s">
        <v>238</v>
      </c>
      <c r="E461" t="s">
        <v>239</v>
      </c>
      <c r="F461" t="s">
        <v>266</v>
      </c>
      <c r="G461" t="s">
        <v>16</v>
      </c>
      <c r="H461" t="s">
        <v>257</v>
      </c>
      <c r="I461" t="s">
        <v>267</v>
      </c>
      <c r="J461">
        <v>3</v>
      </c>
      <c r="K461">
        <v>10000</v>
      </c>
      <c r="L461">
        <v>10000</v>
      </c>
      <c r="M461">
        <v>30000</v>
      </c>
      <c r="N461" t="s">
        <v>19</v>
      </c>
    </row>
    <row r="462" spans="1:14" x14ac:dyDescent="0.25">
      <c r="A462" t="s">
        <v>1592</v>
      </c>
      <c r="B462" t="s">
        <v>1852</v>
      </c>
      <c r="C462" t="s">
        <v>274</v>
      </c>
      <c r="D462" t="s">
        <v>253</v>
      </c>
      <c r="E462" t="s">
        <v>239</v>
      </c>
      <c r="F462" t="s">
        <v>266</v>
      </c>
      <c r="G462" t="s">
        <v>16</v>
      </c>
      <c r="H462" t="s">
        <v>257</v>
      </c>
      <c r="I462" t="s">
        <v>267</v>
      </c>
      <c r="J462">
        <v>4</v>
      </c>
      <c r="K462">
        <v>10000</v>
      </c>
      <c r="L462">
        <v>10000</v>
      </c>
      <c r="M462">
        <v>40000</v>
      </c>
      <c r="N462" t="s">
        <v>19</v>
      </c>
    </row>
    <row r="463" spans="1:14" x14ac:dyDescent="0.25">
      <c r="A463" t="s">
        <v>1581</v>
      </c>
      <c r="B463" t="s">
        <v>1853</v>
      </c>
      <c r="C463" t="s">
        <v>276</v>
      </c>
      <c r="D463" t="s">
        <v>87</v>
      </c>
      <c r="E463" t="s">
        <v>87</v>
      </c>
      <c r="F463" t="s">
        <v>15</v>
      </c>
      <c r="G463" t="s">
        <v>37</v>
      </c>
      <c r="H463" t="s">
        <v>257</v>
      </c>
      <c r="I463" t="s">
        <v>89</v>
      </c>
      <c r="J463">
        <v>50</v>
      </c>
      <c r="K463">
        <v>32</v>
      </c>
      <c r="L463">
        <v>50</v>
      </c>
      <c r="M463">
        <v>2500</v>
      </c>
      <c r="N463" t="s">
        <v>39</v>
      </c>
    </row>
    <row r="464" spans="1:14" x14ac:dyDescent="0.25">
      <c r="A464" t="s">
        <v>1554</v>
      </c>
      <c r="B464" t="s">
        <v>1854</v>
      </c>
      <c r="C464" t="s">
        <v>369</v>
      </c>
      <c r="D464" t="s">
        <v>204</v>
      </c>
      <c r="E464" t="s">
        <v>205</v>
      </c>
      <c r="F464" t="s">
        <v>15</v>
      </c>
      <c r="G464" t="s">
        <v>22</v>
      </c>
      <c r="H464" t="s">
        <v>372</v>
      </c>
      <c r="I464" t="s">
        <v>373</v>
      </c>
      <c r="J464">
        <v>2</v>
      </c>
      <c r="K464">
        <v>10000</v>
      </c>
      <c r="L464">
        <v>10000</v>
      </c>
      <c r="M464">
        <v>20000</v>
      </c>
      <c r="N464" t="s">
        <v>19</v>
      </c>
    </row>
    <row r="465" spans="1:14" x14ac:dyDescent="0.25">
      <c r="A465" t="s">
        <v>1554</v>
      </c>
      <c r="B465" t="s">
        <v>1854</v>
      </c>
      <c r="C465" t="s">
        <v>369</v>
      </c>
      <c r="D465" t="s">
        <v>204</v>
      </c>
      <c r="E465" t="s">
        <v>205</v>
      </c>
      <c r="F465" t="s">
        <v>15</v>
      </c>
      <c r="G465" t="s">
        <v>22</v>
      </c>
      <c r="H465" t="s">
        <v>372</v>
      </c>
      <c r="I465" t="s">
        <v>374</v>
      </c>
      <c r="J465">
        <v>1</v>
      </c>
      <c r="K465">
        <v>24330</v>
      </c>
      <c r="L465">
        <v>35800</v>
      </c>
      <c r="M465">
        <v>35800</v>
      </c>
      <c r="N465" t="s">
        <v>19</v>
      </c>
    </row>
    <row r="466" spans="1:14" x14ac:dyDescent="0.25">
      <c r="A466" t="s">
        <v>1554</v>
      </c>
      <c r="B466" t="s">
        <v>1854</v>
      </c>
      <c r="C466" t="s">
        <v>369</v>
      </c>
      <c r="D466" t="s">
        <v>204</v>
      </c>
      <c r="E466" t="s">
        <v>205</v>
      </c>
      <c r="F466" t="s">
        <v>15</v>
      </c>
      <c r="G466" t="s">
        <v>22</v>
      </c>
      <c r="H466" t="s">
        <v>372</v>
      </c>
      <c r="I466" t="s">
        <v>375</v>
      </c>
      <c r="J466">
        <v>1</v>
      </c>
      <c r="K466">
        <v>22000</v>
      </c>
      <c r="L466">
        <v>32700</v>
      </c>
      <c r="M466">
        <v>32700</v>
      </c>
      <c r="N466" t="s">
        <v>19</v>
      </c>
    </row>
    <row r="467" spans="1:14" x14ac:dyDescent="0.25">
      <c r="A467" t="s">
        <v>1554</v>
      </c>
      <c r="B467" t="s">
        <v>1854</v>
      </c>
      <c r="C467" t="s">
        <v>369</v>
      </c>
      <c r="D467" t="s">
        <v>204</v>
      </c>
      <c r="E467" t="s">
        <v>205</v>
      </c>
      <c r="F467" t="s">
        <v>15</v>
      </c>
      <c r="G467" t="s">
        <v>22</v>
      </c>
      <c r="H467" t="s">
        <v>372</v>
      </c>
      <c r="I467" t="s">
        <v>376</v>
      </c>
      <c r="J467">
        <v>1</v>
      </c>
      <c r="K467">
        <v>500</v>
      </c>
      <c r="L467">
        <v>500</v>
      </c>
      <c r="M467">
        <v>500</v>
      </c>
      <c r="N467" t="s">
        <v>19</v>
      </c>
    </row>
    <row r="468" spans="1:14" x14ac:dyDescent="0.25">
      <c r="A468" t="s">
        <v>1517</v>
      </c>
      <c r="B468" t="s">
        <v>1855</v>
      </c>
      <c r="C468" t="s">
        <v>377</v>
      </c>
      <c r="D468" t="s">
        <v>20</v>
      </c>
      <c r="E468" t="s">
        <v>379</v>
      </c>
      <c r="F468" t="s">
        <v>15</v>
      </c>
      <c r="G468" t="s">
        <v>22</v>
      </c>
      <c r="H468" t="s">
        <v>380</v>
      </c>
      <c r="I468" t="s">
        <v>381</v>
      </c>
      <c r="J468">
        <v>1</v>
      </c>
      <c r="K468">
        <v>17</v>
      </c>
      <c r="L468">
        <v>1250</v>
      </c>
      <c r="M468">
        <v>1250</v>
      </c>
      <c r="N468" t="s">
        <v>19</v>
      </c>
    </row>
    <row r="469" spans="1:14" x14ac:dyDescent="0.25">
      <c r="A469" t="s">
        <v>1503</v>
      </c>
      <c r="B469" t="s">
        <v>1856</v>
      </c>
      <c r="C469" t="s">
        <v>382</v>
      </c>
      <c r="D469" t="s">
        <v>20</v>
      </c>
      <c r="E469" t="s">
        <v>252</v>
      </c>
      <c r="F469" t="s">
        <v>15</v>
      </c>
      <c r="G469" t="s">
        <v>22</v>
      </c>
      <c r="H469" t="s">
        <v>380</v>
      </c>
      <c r="I469" t="s">
        <v>385</v>
      </c>
      <c r="J469">
        <v>30</v>
      </c>
      <c r="K469">
        <v>960</v>
      </c>
      <c r="L469">
        <v>1500</v>
      </c>
      <c r="M469">
        <v>45000</v>
      </c>
      <c r="N469" t="s">
        <v>19</v>
      </c>
    </row>
    <row r="470" spans="1:14" x14ac:dyDescent="0.25">
      <c r="A470" t="s">
        <v>1647</v>
      </c>
      <c r="B470" t="s">
        <v>1857</v>
      </c>
      <c r="C470" t="s">
        <v>277</v>
      </c>
      <c r="D470" t="s">
        <v>57</v>
      </c>
      <c r="E470" t="s">
        <v>58</v>
      </c>
      <c r="F470" t="s">
        <v>15</v>
      </c>
      <c r="G470" t="s">
        <v>16</v>
      </c>
      <c r="H470" t="s">
        <v>278</v>
      </c>
      <c r="I470" t="s">
        <v>125</v>
      </c>
      <c r="J470">
        <v>1</v>
      </c>
      <c r="K470">
        <v>3675</v>
      </c>
      <c r="L470">
        <v>10500</v>
      </c>
      <c r="M470">
        <v>10500</v>
      </c>
      <c r="N470" t="s">
        <v>19</v>
      </c>
    </row>
    <row r="471" spans="1:14" x14ac:dyDescent="0.25">
      <c r="A471" t="s">
        <v>1647</v>
      </c>
      <c r="B471" t="s">
        <v>1857</v>
      </c>
      <c r="C471" t="s">
        <v>277</v>
      </c>
      <c r="D471" t="s">
        <v>57</v>
      </c>
      <c r="E471" t="s">
        <v>58</v>
      </c>
      <c r="F471" t="s">
        <v>15</v>
      </c>
      <c r="G471" t="s">
        <v>16</v>
      </c>
      <c r="H471" t="s">
        <v>278</v>
      </c>
      <c r="I471" t="s">
        <v>48</v>
      </c>
      <c r="J471">
        <v>1</v>
      </c>
      <c r="K471">
        <v>4095</v>
      </c>
      <c r="L471">
        <v>13000</v>
      </c>
      <c r="M471">
        <v>13000</v>
      </c>
      <c r="N471" t="s">
        <v>19</v>
      </c>
    </row>
    <row r="472" spans="1:14" x14ac:dyDescent="0.25">
      <c r="A472" t="s">
        <v>1647</v>
      </c>
      <c r="B472" t="s">
        <v>1857</v>
      </c>
      <c r="C472" t="s">
        <v>277</v>
      </c>
      <c r="D472" t="s">
        <v>57</v>
      </c>
      <c r="E472" t="s">
        <v>58</v>
      </c>
      <c r="F472" t="s">
        <v>15</v>
      </c>
      <c r="G472" t="s">
        <v>16</v>
      </c>
      <c r="H472" t="s">
        <v>278</v>
      </c>
      <c r="I472" t="s">
        <v>126</v>
      </c>
      <c r="J472">
        <v>1</v>
      </c>
      <c r="K472">
        <v>4095</v>
      </c>
      <c r="L472">
        <v>13000</v>
      </c>
      <c r="M472">
        <v>13000</v>
      </c>
      <c r="N472" t="s">
        <v>19</v>
      </c>
    </row>
    <row r="473" spans="1:14" x14ac:dyDescent="0.25">
      <c r="A473" t="s">
        <v>1647</v>
      </c>
      <c r="B473" t="s">
        <v>1857</v>
      </c>
      <c r="C473" t="s">
        <v>277</v>
      </c>
      <c r="D473" t="s">
        <v>57</v>
      </c>
      <c r="E473" t="s">
        <v>58</v>
      </c>
      <c r="F473" t="s">
        <v>15</v>
      </c>
      <c r="G473" t="s">
        <v>16</v>
      </c>
      <c r="H473" t="s">
        <v>278</v>
      </c>
      <c r="I473" t="s">
        <v>50</v>
      </c>
      <c r="J473">
        <v>1</v>
      </c>
      <c r="K473">
        <v>500</v>
      </c>
      <c r="L473">
        <v>500</v>
      </c>
      <c r="M473">
        <v>500</v>
      </c>
      <c r="N473" t="s">
        <v>19</v>
      </c>
    </row>
    <row r="474" spans="1:14" x14ac:dyDescent="0.25">
      <c r="A474" t="s">
        <v>1647</v>
      </c>
      <c r="B474" t="s">
        <v>1857</v>
      </c>
      <c r="C474" t="s">
        <v>277</v>
      </c>
      <c r="D474" t="s">
        <v>57</v>
      </c>
      <c r="E474" t="s">
        <v>58</v>
      </c>
      <c r="F474" t="s">
        <v>15</v>
      </c>
      <c r="G474" t="s">
        <v>16</v>
      </c>
      <c r="H474" t="s">
        <v>278</v>
      </c>
      <c r="I474" t="s">
        <v>60</v>
      </c>
      <c r="J474">
        <v>1</v>
      </c>
      <c r="K474">
        <v>10500</v>
      </c>
      <c r="L474">
        <v>16500</v>
      </c>
      <c r="M474">
        <v>16500</v>
      </c>
      <c r="N474" t="s">
        <v>19</v>
      </c>
    </row>
    <row r="475" spans="1:14" x14ac:dyDescent="0.25">
      <c r="A475" t="s">
        <v>1647</v>
      </c>
      <c r="B475" t="s">
        <v>1857</v>
      </c>
      <c r="C475" t="s">
        <v>277</v>
      </c>
      <c r="D475" t="s">
        <v>57</v>
      </c>
      <c r="E475" t="s">
        <v>58</v>
      </c>
      <c r="F475" t="s">
        <v>15</v>
      </c>
      <c r="G475" t="s">
        <v>16</v>
      </c>
      <c r="H475" t="s">
        <v>278</v>
      </c>
      <c r="I475" t="s">
        <v>116</v>
      </c>
      <c r="J475">
        <v>1</v>
      </c>
      <c r="K475">
        <v>2185</v>
      </c>
      <c r="L475">
        <v>3500</v>
      </c>
      <c r="M475">
        <v>3500</v>
      </c>
      <c r="N475" t="s">
        <v>19</v>
      </c>
    </row>
    <row r="476" spans="1:14" x14ac:dyDescent="0.25">
      <c r="A476" t="s">
        <v>1647</v>
      </c>
      <c r="B476" t="s">
        <v>1857</v>
      </c>
      <c r="C476" t="s">
        <v>277</v>
      </c>
      <c r="D476" t="s">
        <v>57</v>
      </c>
      <c r="E476" t="s">
        <v>58</v>
      </c>
      <c r="F476" t="s">
        <v>15</v>
      </c>
      <c r="G476" t="s">
        <v>16</v>
      </c>
      <c r="H476" t="s">
        <v>278</v>
      </c>
      <c r="I476" t="s">
        <v>279</v>
      </c>
      <c r="J476">
        <v>1</v>
      </c>
      <c r="K476">
        <v>8500</v>
      </c>
      <c r="L476">
        <v>12000</v>
      </c>
      <c r="M476">
        <v>12000</v>
      </c>
      <c r="N476" t="s">
        <v>19</v>
      </c>
    </row>
    <row r="477" spans="1:14" x14ac:dyDescent="0.25">
      <c r="A477" t="s">
        <v>1647</v>
      </c>
      <c r="B477" t="s">
        <v>1857</v>
      </c>
      <c r="C477" t="s">
        <v>277</v>
      </c>
      <c r="D477" t="s">
        <v>57</v>
      </c>
      <c r="E477" t="s">
        <v>58</v>
      </c>
      <c r="F477" t="s">
        <v>15</v>
      </c>
      <c r="G477" t="s">
        <v>16</v>
      </c>
      <c r="H477" t="s">
        <v>278</v>
      </c>
      <c r="I477" t="s">
        <v>61</v>
      </c>
      <c r="J477">
        <v>1</v>
      </c>
      <c r="K477">
        <v>8500</v>
      </c>
      <c r="L477">
        <v>12000</v>
      </c>
      <c r="M477">
        <v>12000</v>
      </c>
      <c r="N477" t="s">
        <v>19</v>
      </c>
    </row>
    <row r="478" spans="1:14" x14ac:dyDescent="0.25">
      <c r="A478" t="s">
        <v>1647</v>
      </c>
      <c r="B478" t="s">
        <v>1857</v>
      </c>
      <c r="C478" t="s">
        <v>277</v>
      </c>
      <c r="D478" t="s">
        <v>57</v>
      </c>
      <c r="E478" t="s">
        <v>58</v>
      </c>
      <c r="F478" t="s">
        <v>15</v>
      </c>
      <c r="G478" t="s">
        <v>16</v>
      </c>
      <c r="H478" t="s">
        <v>278</v>
      </c>
      <c r="I478" t="s">
        <v>62</v>
      </c>
      <c r="J478">
        <v>5</v>
      </c>
      <c r="K478">
        <v>47</v>
      </c>
      <c r="L478">
        <v>70</v>
      </c>
      <c r="M478">
        <v>350</v>
      </c>
      <c r="N478" t="s">
        <v>19</v>
      </c>
    </row>
    <row r="479" spans="1:14" x14ac:dyDescent="0.25">
      <c r="A479" t="s">
        <v>1647</v>
      </c>
      <c r="B479" t="s">
        <v>1857</v>
      </c>
      <c r="C479" t="s">
        <v>277</v>
      </c>
      <c r="D479" t="s">
        <v>57</v>
      </c>
      <c r="E479" t="s">
        <v>58</v>
      </c>
      <c r="F479" t="s">
        <v>15</v>
      </c>
      <c r="G479" t="s">
        <v>16</v>
      </c>
      <c r="H479" t="s">
        <v>278</v>
      </c>
      <c r="I479" t="s">
        <v>280</v>
      </c>
      <c r="J479">
        <v>1</v>
      </c>
      <c r="K479">
        <v>850</v>
      </c>
      <c r="L479">
        <v>1200</v>
      </c>
      <c r="M479">
        <v>1200</v>
      </c>
      <c r="N479" t="s">
        <v>19</v>
      </c>
    </row>
    <row r="480" spans="1:14" x14ac:dyDescent="0.25">
      <c r="A480" t="s">
        <v>1647</v>
      </c>
      <c r="B480" t="s">
        <v>1857</v>
      </c>
      <c r="C480" t="s">
        <v>277</v>
      </c>
      <c r="D480" t="s">
        <v>57</v>
      </c>
      <c r="E480" t="s">
        <v>58</v>
      </c>
      <c r="F480" t="s">
        <v>15</v>
      </c>
      <c r="G480" t="s">
        <v>16</v>
      </c>
      <c r="H480" t="s">
        <v>278</v>
      </c>
      <c r="I480" t="s">
        <v>97</v>
      </c>
      <c r="J480">
        <v>1</v>
      </c>
      <c r="K480">
        <v>2200</v>
      </c>
      <c r="L480">
        <v>3200</v>
      </c>
      <c r="M480">
        <v>3200</v>
      </c>
      <c r="N480" t="s">
        <v>19</v>
      </c>
    </row>
    <row r="481" spans="1:14" x14ac:dyDescent="0.25">
      <c r="A481" t="s">
        <v>1647</v>
      </c>
      <c r="B481" t="s">
        <v>1857</v>
      </c>
      <c r="C481" t="s">
        <v>277</v>
      </c>
      <c r="D481" t="s">
        <v>57</v>
      </c>
      <c r="E481" t="s">
        <v>58</v>
      </c>
      <c r="F481" t="s">
        <v>15</v>
      </c>
      <c r="G481" t="s">
        <v>16</v>
      </c>
      <c r="H481" t="s">
        <v>278</v>
      </c>
      <c r="I481" t="s">
        <v>209</v>
      </c>
      <c r="J481">
        <v>1</v>
      </c>
      <c r="K481">
        <v>23450</v>
      </c>
      <c r="L481">
        <v>30550</v>
      </c>
      <c r="M481">
        <v>30550</v>
      </c>
      <c r="N481" t="s">
        <v>19</v>
      </c>
    </row>
    <row r="482" spans="1:14" x14ac:dyDescent="0.25">
      <c r="A482" t="s">
        <v>1647</v>
      </c>
      <c r="B482" t="s">
        <v>1857</v>
      </c>
      <c r="C482" t="s">
        <v>277</v>
      </c>
      <c r="D482" t="s">
        <v>57</v>
      </c>
      <c r="E482" t="s">
        <v>58</v>
      </c>
      <c r="F482" t="s">
        <v>15</v>
      </c>
      <c r="G482" t="s">
        <v>16</v>
      </c>
      <c r="H482" t="s">
        <v>278</v>
      </c>
      <c r="I482" t="s">
        <v>151</v>
      </c>
      <c r="J482">
        <v>1</v>
      </c>
      <c r="K482">
        <v>2800</v>
      </c>
      <c r="L482">
        <v>4000</v>
      </c>
      <c r="M482">
        <v>4000</v>
      </c>
      <c r="N482" t="s">
        <v>19</v>
      </c>
    </row>
    <row r="483" spans="1:14" x14ac:dyDescent="0.25">
      <c r="A483" t="s">
        <v>1647</v>
      </c>
      <c r="B483" t="s">
        <v>1857</v>
      </c>
      <c r="C483" t="s">
        <v>277</v>
      </c>
      <c r="D483" t="s">
        <v>57</v>
      </c>
      <c r="E483" t="s">
        <v>58</v>
      </c>
      <c r="F483" t="s">
        <v>15</v>
      </c>
      <c r="G483" t="s">
        <v>16</v>
      </c>
      <c r="H483" t="s">
        <v>278</v>
      </c>
      <c r="I483" t="s">
        <v>210</v>
      </c>
      <c r="J483">
        <v>1</v>
      </c>
      <c r="K483">
        <v>530</v>
      </c>
      <c r="L483">
        <v>700</v>
      </c>
      <c r="M483">
        <v>700</v>
      </c>
      <c r="N483" t="s">
        <v>19</v>
      </c>
    </row>
    <row r="484" spans="1:14" x14ac:dyDescent="0.25">
      <c r="A484" t="s">
        <v>1647</v>
      </c>
      <c r="B484" t="s">
        <v>1857</v>
      </c>
      <c r="C484" t="s">
        <v>277</v>
      </c>
      <c r="D484" t="s">
        <v>57</v>
      </c>
      <c r="E484" t="s">
        <v>58</v>
      </c>
      <c r="F484" t="s">
        <v>15</v>
      </c>
      <c r="G484" t="s">
        <v>16</v>
      </c>
      <c r="H484" t="s">
        <v>278</v>
      </c>
      <c r="I484" t="s">
        <v>211</v>
      </c>
      <c r="J484">
        <v>1</v>
      </c>
      <c r="K484">
        <v>350</v>
      </c>
      <c r="L484">
        <v>500</v>
      </c>
      <c r="M484">
        <v>500</v>
      </c>
      <c r="N484" t="s">
        <v>19</v>
      </c>
    </row>
    <row r="485" spans="1:14" x14ac:dyDescent="0.25">
      <c r="A485" t="s">
        <v>1647</v>
      </c>
      <c r="B485" t="s">
        <v>1857</v>
      </c>
      <c r="C485" t="s">
        <v>277</v>
      </c>
      <c r="D485" t="s">
        <v>57</v>
      </c>
      <c r="E485" t="s">
        <v>58</v>
      </c>
      <c r="F485" t="s">
        <v>15</v>
      </c>
      <c r="G485" t="s">
        <v>16</v>
      </c>
      <c r="H485" t="s">
        <v>278</v>
      </c>
      <c r="I485" t="s">
        <v>98</v>
      </c>
      <c r="J485">
        <v>1</v>
      </c>
      <c r="K485">
        <v>935</v>
      </c>
      <c r="L485">
        <v>1300</v>
      </c>
      <c r="M485">
        <v>1300</v>
      </c>
      <c r="N485" t="s">
        <v>19</v>
      </c>
    </row>
    <row r="486" spans="1:14" x14ac:dyDescent="0.25">
      <c r="A486" t="s">
        <v>1647</v>
      </c>
      <c r="B486" t="s">
        <v>1857</v>
      </c>
      <c r="C486" t="s">
        <v>277</v>
      </c>
      <c r="D486" t="s">
        <v>57</v>
      </c>
      <c r="E486" t="s">
        <v>58</v>
      </c>
      <c r="F486" t="s">
        <v>15</v>
      </c>
      <c r="G486" t="s">
        <v>16</v>
      </c>
      <c r="H486" t="s">
        <v>278</v>
      </c>
      <c r="I486" t="s">
        <v>63</v>
      </c>
      <c r="J486">
        <v>1</v>
      </c>
      <c r="K486">
        <v>500</v>
      </c>
      <c r="L486">
        <v>500</v>
      </c>
      <c r="M486">
        <v>500</v>
      </c>
      <c r="N486" t="s">
        <v>19</v>
      </c>
    </row>
    <row r="487" spans="1:14" x14ac:dyDescent="0.25">
      <c r="A487" t="s">
        <v>1647</v>
      </c>
      <c r="B487" t="s">
        <v>1858</v>
      </c>
      <c r="C487" t="s">
        <v>282</v>
      </c>
      <c r="D487" t="s">
        <v>57</v>
      </c>
      <c r="E487" t="s">
        <v>58</v>
      </c>
      <c r="F487" t="s">
        <v>15</v>
      </c>
      <c r="G487" t="s">
        <v>16</v>
      </c>
      <c r="H487" t="s">
        <v>278</v>
      </c>
      <c r="I487" t="s">
        <v>125</v>
      </c>
      <c r="J487">
        <v>1</v>
      </c>
      <c r="K487">
        <v>3675</v>
      </c>
      <c r="L487">
        <v>10500</v>
      </c>
      <c r="M487">
        <v>10500</v>
      </c>
      <c r="N487" t="s">
        <v>19</v>
      </c>
    </row>
    <row r="488" spans="1:14" x14ac:dyDescent="0.25">
      <c r="A488" t="s">
        <v>1647</v>
      </c>
      <c r="B488" t="s">
        <v>1858</v>
      </c>
      <c r="C488" t="s">
        <v>282</v>
      </c>
      <c r="D488" t="s">
        <v>57</v>
      </c>
      <c r="E488" t="s">
        <v>58</v>
      </c>
      <c r="F488" t="s">
        <v>15</v>
      </c>
      <c r="G488" t="s">
        <v>16</v>
      </c>
      <c r="H488" t="s">
        <v>278</v>
      </c>
      <c r="I488" t="s">
        <v>48</v>
      </c>
      <c r="J488">
        <v>1</v>
      </c>
      <c r="K488">
        <v>4095</v>
      </c>
      <c r="L488">
        <v>11700</v>
      </c>
      <c r="M488">
        <v>11700</v>
      </c>
      <c r="N488" t="s">
        <v>19</v>
      </c>
    </row>
    <row r="489" spans="1:14" x14ac:dyDescent="0.25">
      <c r="A489" t="s">
        <v>1647</v>
      </c>
      <c r="B489" t="s">
        <v>1858</v>
      </c>
      <c r="C489" t="s">
        <v>282</v>
      </c>
      <c r="D489" t="s">
        <v>57</v>
      </c>
      <c r="E489" t="s">
        <v>58</v>
      </c>
      <c r="F489" t="s">
        <v>15</v>
      </c>
      <c r="G489" t="s">
        <v>16</v>
      </c>
      <c r="H489" t="s">
        <v>278</v>
      </c>
      <c r="I489" t="s">
        <v>126</v>
      </c>
      <c r="J489">
        <v>1</v>
      </c>
      <c r="K489">
        <v>4095</v>
      </c>
      <c r="L489">
        <v>11700</v>
      </c>
      <c r="M489">
        <v>11700</v>
      </c>
      <c r="N489" t="s">
        <v>19</v>
      </c>
    </row>
    <row r="490" spans="1:14" x14ac:dyDescent="0.25">
      <c r="A490" t="s">
        <v>1647</v>
      </c>
      <c r="B490" t="s">
        <v>1858</v>
      </c>
      <c r="C490" t="s">
        <v>282</v>
      </c>
      <c r="D490" t="s">
        <v>57</v>
      </c>
      <c r="E490" t="s">
        <v>58</v>
      </c>
      <c r="F490" t="s">
        <v>15</v>
      </c>
      <c r="G490" t="s">
        <v>16</v>
      </c>
      <c r="H490" t="s">
        <v>278</v>
      </c>
      <c r="I490" t="s">
        <v>50</v>
      </c>
      <c r="J490">
        <v>1</v>
      </c>
      <c r="K490">
        <v>500</v>
      </c>
      <c r="L490">
        <v>500</v>
      </c>
      <c r="M490">
        <v>500</v>
      </c>
      <c r="N490" t="s">
        <v>19</v>
      </c>
    </row>
    <row r="491" spans="1:14" x14ac:dyDescent="0.25">
      <c r="A491" t="s">
        <v>1647</v>
      </c>
      <c r="B491" t="s">
        <v>1858</v>
      </c>
      <c r="C491" t="s">
        <v>282</v>
      </c>
      <c r="D491" t="s">
        <v>57</v>
      </c>
      <c r="E491" t="s">
        <v>58</v>
      </c>
      <c r="F491" t="s">
        <v>15</v>
      </c>
      <c r="G491" t="s">
        <v>16</v>
      </c>
      <c r="H491" t="s">
        <v>278</v>
      </c>
      <c r="I491" t="s">
        <v>283</v>
      </c>
      <c r="J491">
        <v>1</v>
      </c>
      <c r="K491">
        <v>7000</v>
      </c>
      <c r="L491">
        <v>20000</v>
      </c>
      <c r="M491">
        <v>20000</v>
      </c>
      <c r="N491" t="s">
        <v>19</v>
      </c>
    </row>
    <row r="492" spans="1:14" x14ac:dyDescent="0.25">
      <c r="A492" t="s">
        <v>1647</v>
      </c>
      <c r="B492" t="s">
        <v>1858</v>
      </c>
      <c r="C492" t="s">
        <v>282</v>
      </c>
      <c r="D492" t="s">
        <v>57</v>
      </c>
      <c r="E492" t="s">
        <v>58</v>
      </c>
      <c r="F492" t="s">
        <v>15</v>
      </c>
      <c r="G492" t="s">
        <v>16</v>
      </c>
      <c r="H492" t="s">
        <v>278</v>
      </c>
      <c r="I492" t="s">
        <v>284</v>
      </c>
      <c r="J492">
        <v>1</v>
      </c>
      <c r="K492">
        <v>11000</v>
      </c>
      <c r="L492">
        <v>16500</v>
      </c>
      <c r="M492">
        <v>16500</v>
      </c>
      <c r="N492" t="s">
        <v>19</v>
      </c>
    </row>
    <row r="493" spans="1:14" x14ac:dyDescent="0.25">
      <c r="A493" t="s">
        <v>1647</v>
      </c>
      <c r="B493" t="s">
        <v>1858</v>
      </c>
      <c r="C493" t="s">
        <v>282</v>
      </c>
      <c r="D493" t="s">
        <v>57</v>
      </c>
      <c r="E493" t="s">
        <v>58</v>
      </c>
      <c r="F493" t="s">
        <v>15</v>
      </c>
      <c r="G493" t="s">
        <v>16</v>
      </c>
      <c r="H493" t="s">
        <v>278</v>
      </c>
      <c r="I493" t="s">
        <v>116</v>
      </c>
      <c r="J493">
        <v>1</v>
      </c>
      <c r="K493">
        <v>2185</v>
      </c>
      <c r="L493">
        <v>3500</v>
      </c>
      <c r="M493">
        <v>3500</v>
      </c>
      <c r="N493" t="s">
        <v>19</v>
      </c>
    </row>
    <row r="494" spans="1:14" x14ac:dyDescent="0.25">
      <c r="A494" t="s">
        <v>1647</v>
      </c>
      <c r="B494" t="s">
        <v>1858</v>
      </c>
      <c r="C494" t="s">
        <v>282</v>
      </c>
      <c r="D494" t="s">
        <v>57</v>
      </c>
      <c r="E494" t="s">
        <v>58</v>
      </c>
      <c r="F494" t="s">
        <v>15</v>
      </c>
      <c r="G494" t="s">
        <v>16</v>
      </c>
      <c r="H494" t="s">
        <v>278</v>
      </c>
      <c r="I494" t="s">
        <v>279</v>
      </c>
      <c r="J494">
        <v>3</v>
      </c>
      <c r="K494">
        <v>8500</v>
      </c>
      <c r="L494">
        <v>12000</v>
      </c>
      <c r="M494">
        <v>36000</v>
      </c>
      <c r="N494" t="s">
        <v>19</v>
      </c>
    </row>
    <row r="495" spans="1:14" x14ac:dyDescent="0.25">
      <c r="A495" t="s">
        <v>1647</v>
      </c>
      <c r="B495" t="s">
        <v>1858</v>
      </c>
      <c r="C495" t="s">
        <v>282</v>
      </c>
      <c r="D495" t="s">
        <v>57</v>
      </c>
      <c r="E495" t="s">
        <v>58</v>
      </c>
      <c r="F495" t="s">
        <v>15</v>
      </c>
      <c r="G495" t="s">
        <v>16</v>
      </c>
      <c r="H495" t="s">
        <v>278</v>
      </c>
      <c r="I495" t="s">
        <v>61</v>
      </c>
      <c r="J495">
        <v>1</v>
      </c>
      <c r="K495">
        <v>8500</v>
      </c>
      <c r="L495">
        <v>12000</v>
      </c>
      <c r="M495">
        <v>12000</v>
      </c>
      <c r="N495" t="s">
        <v>19</v>
      </c>
    </row>
    <row r="496" spans="1:14" x14ac:dyDescent="0.25">
      <c r="A496" t="s">
        <v>1647</v>
      </c>
      <c r="B496" t="s">
        <v>1858</v>
      </c>
      <c r="C496" t="s">
        <v>282</v>
      </c>
      <c r="D496" t="s">
        <v>57</v>
      </c>
      <c r="E496" t="s">
        <v>58</v>
      </c>
      <c r="F496" t="s">
        <v>15</v>
      </c>
      <c r="G496" t="s">
        <v>16</v>
      </c>
      <c r="H496" t="s">
        <v>278</v>
      </c>
      <c r="I496" t="s">
        <v>62</v>
      </c>
      <c r="J496">
        <v>10</v>
      </c>
      <c r="K496">
        <v>47</v>
      </c>
      <c r="L496">
        <v>70</v>
      </c>
      <c r="M496">
        <v>700</v>
      </c>
      <c r="N496" t="s">
        <v>19</v>
      </c>
    </row>
    <row r="497" spans="1:14" x14ac:dyDescent="0.25">
      <c r="A497" t="s">
        <v>1647</v>
      </c>
      <c r="B497" t="s">
        <v>1858</v>
      </c>
      <c r="C497" t="s">
        <v>282</v>
      </c>
      <c r="D497" t="s">
        <v>57</v>
      </c>
      <c r="E497" t="s">
        <v>58</v>
      </c>
      <c r="F497" t="s">
        <v>15</v>
      </c>
      <c r="G497" t="s">
        <v>16</v>
      </c>
      <c r="H497" t="s">
        <v>278</v>
      </c>
      <c r="I497" t="s">
        <v>280</v>
      </c>
      <c r="J497">
        <v>1</v>
      </c>
      <c r="K497">
        <v>850</v>
      </c>
      <c r="L497">
        <v>1200</v>
      </c>
      <c r="M497">
        <v>1200</v>
      </c>
      <c r="N497" t="s">
        <v>19</v>
      </c>
    </row>
    <row r="498" spans="1:14" x14ac:dyDescent="0.25">
      <c r="A498" t="s">
        <v>1647</v>
      </c>
      <c r="B498" t="s">
        <v>1858</v>
      </c>
      <c r="C498" t="s">
        <v>282</v>
      </c>
      <c r="D498" t="s">
        <v>57</v>
      </c>
      <c r="E498" t="s">
        <v>58</v>
      </c>
      <c r="F498" t="s">
        <v>15</v>
      </c>
      <c r="G498" t="s">
        <v>16</v>
      </c>
      <c r="H498" t="s">
        <v>278</v>
      </c>
      <c r="I498" t="s">
        <v>97</v>
      </c>
      <c r="J498">
        <v>1</v>
      </c>
      <c r="K498">
        <v>2200</v>
      </c>
      <c r="L498">
        <v>3500</v>
      </c>
      <c r="M498">
        <v>3500</v>
      </c>
      <c r="N498" t="s">
        <v>19</v>
      </c>
    </row>
    <row r="499" spans="1:14" x14ac:dyDescent="0.25">
      <c r="A499" t="s">
        <v>1647</v>
      </c>
      <c r="B499" t="s">
        <v>1858</v>
      </c>
      <c r="C499" t="s">
        <v>282</v>
      </c>
      <c r="D499" t="s">
        <v>57</v>
      </c>
      <c r="E499" t="s">
        <v>58</v>
      </c>
      <c r="F499" t="s">
        <v>15</v>
      </c>
      <c r="G499" t="s">
        <v>16</v>
      </c>
      <c r="H499" t="s">
        <v>278</v>
      </c>
      <c r="I499" t="s">
        <v>249</v>
      </c>
      <c r="J499">
        <v>1</v>
      </c>
      <c r="K499">
        <v>23450</v>
      </c>
      <c r="L499">
        <v>31200</v>
      </c>
      <c r="M499">
        <v>31200</v>
      </c>
      <c r="N499" t="s">
        <v>19</v>
      </c>
    </row>
    <row r="500" spans="1:14" x14ac:dyDescent="0.25">
      <c r="A500" t="s">
        <v>1628</v>
      </c>
      <c r="B500" t="s">
        <v>1859</v>
      </c>
      <c r="C500" t="s">
        <v>285</v>
      </c>
      <c r="D500" t="s">
        <v>292</v>
      </c>
      <c r="E500" t="s">
        <v>293</v>
      </c>
      <c r="F500" t="s">
        <v>294</v>
      </c>
      <c r="G500" t="s">
        <v>37</v>
      </c>
      <c r="H500" t="s">
        <v>278</v>
      </c>
      <c r="I500" t="s">
        <v>89</v>
      </c>
      <c r="J500">
        <v>20</v>
      </c>
      <c r="K500">
        <v>32</v>
      </c>
      <c r="L500">
        <v>50</v>
      </c>
      <c r="M500">
        <v>1000</v>
      </c>
      <c r="N500" t="s">
        <v>39</v>
      </c>
    </row>
    <row r="501" spans="1:14" x14ac:dyDescent="0.25">
      <c r="A501" t="s">
        <v>1726</v>
      </c>
      <c r="B501" t="s">
        <v>1860</v>
      </c>
      <c r="C501" t="s">
        <v>178</v>
      </c>
      <c r="D501" t="s">
        <v>1055</v>
      </c>
      <c r="E501" t="s">
        <v>1056</v>
      </c>
      <c r="F501" t="s">
        <v>15</v>
      </c>
      <c r="G501" t="s">
        <v>37</v>
      </c>
      <c r="H501" t="s">
        <v>278</v>
      </c>
      <c r="I501" t="s">
        <v>38</v>
      </c>
      <c r="J501">
        <v>2</v>
      </c>
      <c r="K501">
        <v>8500</v>
      </c>
      <c r="L501">
        <v>12500</v>
      </c>
      <c r="M501">
        <v>25000</v>
      </c>
      <c r="N501" t="s">
        <v>1010</v>
      </c>
    </row>
    <row r="502" spans="1:14" x14ac:dyDescent="0.25">
      <c r="A502" t="s">
        <v>1726</v>
      </c>
      <c r="B502" t="s">
        <v>1860</v>
      </c>
      <c r="C502" t="s">
        <v>178</v>
      </c>
      <c r="D502" t="s">
        <v>1055</v>
      </c>
      <c r="E502" t="s">
        <v>1056</v>
      </c>
      <c r="F502" t="s">
        <v>15</v>
      </c>
      <c r="G502" t="s">
        <v>37</v>
      </c>
      <c r="H502" t="s">
        <v>278</v>
      </c>
      <c r="I502" t="s">
        <v>137</v>
      </c>
      <c r="J502">
        <v>2</v>
      </c>
      <c r="K502">
        <v>2200</v>
      </c>
      <c r="L502">
        <v>3250</v>
      </c>
      <c r="M502">
        <v>6500</v>
      </c>
      <c r="N502" t="s">
        <v>1010</v>
      </c>
    </row>
    <row r="503" spans="1:14" x14ac:dyDescent="0.25">
      <c r="A503" t="s">
        <v>1726</v>
      </c>
      <c r="B503" t="s">
        <v>1860</v>
      </c>
      <c r="C503" t="s">
        <v>178</v>
      </c>
      <c r="D503" t="s">
        <v>1055</v>
      </c>
      <c r="E503" t="s">
        <v>1056</v>
      </c>
      <c r="F503" t="s">
        <v>15</v>
      </c>
      <c r="G503" t="s">
        <v>37</v>
      </c>
      <c r="H503" t="s">
        <v>278</v>
      </c>
      <c r="I503" t="s">
        <v>1057</v>
      </c>
      <c r="J503">
        <v>2</v>
      </c>
      <c r="K503">
        <v>5400</v>
      </c>
      <c r="L503">
        <v>7000</v>
      </c>
      <c r="M503">
        <v>14000</v>
      </c>
      <c r="N503" t="s">
        <v>1010</v>
      </c>
    </row>
    <row r="504" spans="1:14" x14ac:dyDescent="0.25">
      <c r="A504" t="s">
        <v>1726</v>
      </c>
      <c r="B504" t="s">
        <v>1860</v>
      </c>
      <c r="C504" t="s">
        <v>178</v>
      </c>
      <c r="D504" t="s">
        <v>1055</v>
      </c>
      <c r="E504" t="s">
        <v>1056</v>
      </c>
      <c r="F504" t="s">
        <v>15</v>
      </c>
      <c r="G504" t="s">
        <v>37</v>
      </c>
      <c r="H504" t="s">
        <v>278</v>
      </c>
      <c r="I504" t="s">
        <v>1021</v>
      </c>
      <c r="J504">
        <v>2</v>
      </c>
      <c r="K504">
        <v>2185</v>
      </c>
      <c r="L504">
        <v>3500</v>
      </c>
      <c r="M504">
        <v>7000</v>
      </c>
      <c r="N504" t="s">
        <v>1010</v>
      </c>
    </row>
    <row r="505" spans="1:14" x14ac:dyDescent="0.25">
      <c r="A505" t="s">
        <v>1726</v>
      </c>
      <c r="B505" t="s">
        <v>1860</v>
      </c>
      <c r="C505" t="s">
        <v>178</v>
      </c>
      <c r="D505" t="s">
        <v>1055</v>
      </c>
      <c r="E505" t="s">
        <v>1056</v>
      </c>
      <c r="F505" t="s">
        <v>15</v>
      </c>
      <c r="G505" t="s">
        <v>37</v>
      </c>
      <c r="H505" t="s">
        <v>278</v>
      </c>
      <c r="I505" t="s">
        <v>63</v>
      </c>
      <c r="J505">
        <v>1</v>
      </c>
      <c r="K505">
        <v>500</v>
      </c>
      <c r="L505">
        <v>500</v>
      </c>
      <c r="M505">
        <v>500</v>
      </c>
      <c r="N505" t="s">
        <v>1010</v>
      </c>
    </row>
    <row r="506" spans="1:14" x14ac:dyDescent="0.25">
      <c r="A506" t="s">
        <v>1659</v>
      </c>
      <c r="B506" t="s">
        <v>1861</v>
      </c>
      <c r="C506" t="s">
        <v>295</v>
      </c>
      <c r="D506" t="s">
        <v>296</v>
      </c>
      <c r="E506" t="s">
        <v>296</v>
      </c>
      <c r="F506" t="s">
        <v>15</v>
      </c>
      <c r="G506" t="s">
        <v>37</v>
      </c>
      <c r="H506" t="s">
        <v>297</v>
      </c>
      <c r="I506" t="s">
        <v>177</v>
      </c>
      <c r="J506">
        <v>3</v>
      </c>
      <c r="K506">
        <v>9500</v>
      </c>
      <c r="L506">
        <v>12800</v>
      </c>
      <c r="M506">
        <v>38400</v>
      </c>
      <c r="N506" t="s">
        <v>19</v>
      </c>
    </row>
    <row r="507" spans="1:14" x14ac:dyDescent="0.25">
      <c r="A507" t="s">
        <v>1659</v>
      </c>
      <c r="B507" t="s">
        <v>1861</v>
      </c>
      <c r="C507" t="s">
        <v>295</v>
      </c>
      <c r="D507" t="s">
        <v>296</v>
      </c>
      <c r="E507" t="s">
        <v>296</v>
      </c>
      <c r="F507" t="s">
        <v>15</v>
      </c>
      <c r="G507" t="s">
        <v>37</v>
      </c>
      <c r="H507" t="s">
        <v>297</v>
      </c>
      <c r="I507" t="s">
        <v>298</v>
      </c>
      <c r="J507">
        <v>2</v>
      </c>
      <c r="K507">
        <v>11000</v>
      </c>
      <c r="L507">
        <v>15250</v>
      </c>
      <c r="M507">
        <v>30500</v>
      </c>
      <c r="N507" t="s">
        <v>19</v>
      </c>
    </row>
    <row r="508" spans="1:14" x14ac:dyDescent="0.25">
      <c r="A508" t="s">
        <v>1659</v>
      </c>
      <c r="B508" t="s">
        <v>1861</v>
      </c>
      <c r="C508" t="s">
        <v>295</v>
      </c>
      <c r="D508" t="s">
        <v>296</v>
      </c>
      <c r="E508" t="s">
        <v>296</v>
      </c>
      <c r="F508" t="s">
        <v>15</v>
      </c>
      <c r="G508" t="s">
        <v>37</v>
      </c>
      <c r="H508" t="s">
        <v>297</v>
      </c>
      <c r="I508" t="s">
        <v>97</v>
      </c>
      <c r="J508">
        <v>8</v>
      </c>
      <c r="K508">
        <v>2200</v>
      </c>
      <c r="L508">
        <v>2800</v>
      </c>
      <c r="M508">
        <v>22400</v>
      </c>
      <c r="N508" t="s">
        <v>19</v>
      </c>
    </row>
    <row r="509" spans="1:14" x14ac:dyDescent="0.25">
      <c r="A509" t="s">
        <v>1659</v>
      </c>
      <c r="B509" t="s">
        <v>1861</v>
      </c>
      <c r="C509" t="s">
        <v>295</v>
      </c>
      <c r="D509" t="s">
        <v>296</v>
      </c>
      <c r="E509" t="s">
        <v>296</v>
      </c>
      <c r="F509" t="s">
        <v>15</v>
      </c>
      <c r="G509" t="s">
        <v>37</v>
      </c>
      <c r="H509" t="s">
        <v>297</v>
      </c>
      <c r="I509" t="s">
        <v>76</v>
      </c>
      <c r="J509">
        <v>1</v>
      </c>
      <c r="K509">
        <v>500</v>
      </c>
      <c r="L509">
        <v>500</v>
      </c>
      <c r="M509">
        <v>500</v>
      </c>
      <c r="N509" t="s">
        <v>19</v>
      </c>
    </row>
    <row r="510" spans="1:14" x14ac:dyDescent="0.25">
      <c r="A510" t="s">
        <v>1495</v>
      </c>
      <c r="B510" t="s">
        <v>1862</v>
      </c>
      <c r="C510" t="s">
        <v>386</v>
      </c>
      <c r="D510" t="s">
        <v>20</v>
      </c>
      <c r="E510" t="s">
        <v>132</v>
      </c>
      <c r="F510" t="s">
        <v>15</v>
      </c>
      <c r="G510" t="s">
        <v>22</v>
      </c>
      <c r="H510" t="s">
        <v>388</v>
      </c>
      <c r="I510" t="s">
        <v>133</v>
      </c>
      <c r="J510">
        <v>1</v>
      </c>
      <c r="K510">
        <v>3675</v>
      </c>
      <c r="L510">
        <v>10500</v>
      </c>
      <c r="M510">
        <v>10500</v>
      </c>
      <c r="N510" t="s">
        <v>19</v>
      </c>
    </row>
    <row r="511" spans="1:14" x14ac:dyDescent="0.25">
      <c r="A511" t="s">
        <v>1495</v>
      </c>
      <c r="B511" t="s">
        <v>1862</v>
      </c>
      <c r="C511" t="s">
        <v>386</v>
      </c>
      <c r="D511" t="s">
        <v>20</v>
      </c>
      <c r="E511" t="s">
        <v>132</v>
      </c>
      <c r="F511" t="s">
        <v>15</v>
      </c>
      <c r="G511" t="s">
        <v>22</v>
      </c>
      <c r="H511" t="s">
        <v>388</v>
      </c>
      <c r="I511" t="s">
        <v>25</v>
      </c>
      <c r="J511">
        <v>1</v>
      </c>
      <c r="K511">
        <v>12800</v>
      </c>
      <c r="L511">
        <v>12800</v>
      </c>
      <c r="M511">
        <v>12800</v>
      </c>
      <c r="N511" t="s">
        <v>19</v>
      </c>
    </row>
    <row r="512" spans="1:14" x14ac:dyDescent="0.25">
      <c r="A512" t="s">
        <v>1495</v>
      </c>
      <c r="B512" t="s">
        <v>1862</v>
      </c>
      <c r="C512" t="s">
        <v>386</v>
      </c>
      <c r="D512" t="s">
        <v>20</v>
      </c>
      <c r="E512" t="s">
        <v>132</v>
      </c>
      <c r="F512" t="s">
        <v>15</v>
      </c>
      <c r="G512" t="s">
        <v>22</v>
      </c>
      <c r="H512" t="s">
        <v>388</v>
      </c>
      <c r="I512" t="s">
        <v>24</v>
      </c>
      <c r="J512">
        <v>1</v>
      </c>
      <c r="K512">
        <v>12800</v>
      </c>
      <c r="L512">
        <v>12800</v>
      </c>
      <c r="M512">
        <v>12800</v>
      </c>
      <c r="N512" t="s">
        <v>19</v>
      </c>
    </row>
    <row r="513" spans="1:14" x14ac:dyDescent="0.25">
      <c r="A513" t="s">
        <v>1495</v>
      </c>
      <c r="B513" t="s">
        <v>1862</v>
      </c>
      <c r="C513" t="s">
        <v>386</v>
      </c>
      <c r="D513" t="s">
        <v>20</v>
      </c>
      <c r="E513" t="s">
        <v>132</v>
      </c>
      <c r="F513" t="s">
        <v>15</v>
      </c>
      <c r="G513" t="s">
        <v>22</v>
      </c>
      <c r="H513" t="s">
        <v>388</v>
      </c>
      <c r="I513" t="s">
        <v>134</v>
      </c>
      <c r="J513">
        <v>1</v>
      </c>
      <c r="K513">
        <v>500</v>
      </c>
      <c r="L513">
        <v>500</v>
      </c>
      <c r="M513">
        <v>500</v>
      </c>
      <c r="N513" t="s">
        <v>19</v>
      </c>
    </row>
    <row r="514" spans="1:14" x14ac:dyDescent="0.25">
      <c r="A514" t="s">
        <v>1495</v>
      </c>
      <c r="B514" t="s">
        <v>1862</v>
      </c>
      <c r="C514" t="s">
        <v>386</v>
      </c>
      <c r="D514" t="s">
        <v>20</v>
      </c>
      <c r="E514" t="s">
        <v>132</v>
      </c>
      <c r="F514" t="s">
        <v>15</v>
      </c>
      <c r="G514" t="s">
        <v>22</v>
      </c>
      <c r="H514" t="s">
        <v>388</v>
      </c>
      <c r="I514" t="s">
        <v>135</v>
      </c>
      <c r="J514">
        <v>1</v>
      </c>
      <c r="K514">
        <v>4550</v>
      </c>
      <c r="L514">
        <v>6500</v>
      </c>
      <c r="M514">
        <v>6500</v>
      </c>
      <c r="N514" t="s">
        <v>19</v>
      </c>
    </row>
    <row r="515" spans="1:14" x14ac:dyDescent="0.25">
      <c r="A515" t="s">
        <v>1495</v>
      </c>
      <c r="B515" t="s">
        <v>1862</v>
      </c>
      <c r="C515" t="s">
        <v>386</v>
      </c>
      <c r="D515" t="s">
        <v>20</v>
      </c>
      <c r="E515" t="s">
        <v>132</v>
      </c>
      <c r="F515" t="s">
        <v>15</v>
      </c>
      <c r="G515" t="s">
        <v>22</v>
      </c>
      <c r="H515" t="s">
        <v>388</v>
      </c>
      <c r="I515" t="s">
        <v>136</v>
      </c>
      <c r="J515">
        <v>1</v>
      </c>
      <c r="K515">
        <v>8500</v>
      </c>
      <c r="L515">
        <v>12000</v>
      </c>
      <c r="M515">
        <v>12000</v>
      </c>
      <c r="N515" t="s">
        <v>19</v>
      </c>
    </row>
    <row r="516" spans="1:14" x14ac:dyDescent="0.25">
      <c r="A516" t="s">
        <v>1495</v>
      </c>
      <c r="B516" t="s">
        <v>1862</v>
      </c>
      <c r="C516" t="s">
        <v>386</v>
      </c>
      <c r="D516" t="s">
        <v>20</v>
      </c>
      <c r="E516" t="s">
        <v>132</v>
      </c>
      <c r="F516" t="s">
        <v>15</v>
      </c>
      <c r="G516" t="s">
        <v>22</v>
      </c>
      <c r="H516" t="s">
        <v>388</v>
      </c>
      <c r="I516" t="s">
        <v>98</v>
      </c>
      <c r="J516">
        <v>1</v>
      </c>
      <c r="K516">
        <v>935</v>
      </c>
      <c r="L516">
        <v>1300</v>
      </c>
      <c r="M516">
        <v>1300</v>
      </c>
      <c r="N516" t="s">
        <v>19</v>
      </c>
    </row>
    <row r="517" spans="1:14" x14ac:dyDescent="0.25">
      <c r="A517" t="s">
        <v>1495</v>
      </c>
      <c r="B517" t="s">
        <v>1862</v>
      </c>
      <c r="C517" t="s">
        <v>386</v>
      </c>
      <c r="D517" t="s">
        <v>20</v>
      </c>
      <c r="E517" t="s">
        <v>132</v>
      </c>
      <c r="F517" t="s">
        <v>15</v>
      </c>
      <c r="G517" t="s">
        <v>22</v>
      </c>
      <c r="H517" t="s">
        <v>388</v>
      </c>
      <c r="I517" t="s">
        <v>116</v>
      </c>
      <c r="J517">
        <v>1</v>
      </c>
      <c r="K517">
        <v>2185</v>
      </c>
      <c r="L517">
        <v>3500</v>
      </c>
      <c r="M517">
        <v>3500</v>
      </c>
      <c r="N517" t="s">
        <v>19</v>
      </c>
    </row>
    <row r="518" spans="1:14" x14ac:dyDescent="0.25">
      <c r="A518" t="s">
        <v>1495</v>
      </c>
      <c r="B518" t="s">
        <v>1862</v>
      </c>
      <c r="C518" t="s">
        <v>386</v>
      </c>
      <c r="D518" t="s">
        <v>20</v>
      </c>
      <c r="E518" t="s">
        <v>132</v>
      </c>
      <c r="F518" t="s">
        <v>15</v>
      </c>
      <c r="G518" t="s">
        <v>22</v>
      </c>
      <c r="H518" t="s">
        <v>388</v>
      </c>
      <c r="I518" t="s">
        <v>137</v>
      </c>
      <c r="J518">
        <v>1</v>
      </c>
      <c r="K518">
        <v>2200</v>
      </c>
      <c r="L518">
        <v>3100</v>
      </c>
      <c r="M518">
        <v>3100</v>
      </c>
      <c r="N518" t="s">
        <v>19</v>
      </c>
    </row>
    <row r="519" spans="1:14" x14ac:dyDescent="0.25">
      <c r="A519" t="s">
        <v>1495</v>
      </c>
      <c r="B519" t="s">
        <v>1862</v>
      </c>
      <c r="C519" t="s">
        <v>386</v>
      </c>
      <c r="D519" t="s">
        <v>20</v>
      </c>
      <c r="E519" t="s">
        <v>132</v>
      </c>
      <c r="F519" t="s">
        <v>15</v>
      </c>
      <c r="G519" t="s">
        <v>22</v>
      </c>
      <c r="H519" t="s">
        <v>388</v>
      </c>
      <c r="I519" t="s">
        <v>138</v>
      </c>
      <c r="J519">
        <v>1</v>
      </c>
      <c r="K519">
        <v>18700</v>
      </c>
      <c r="L519">
        <v>27000</v>
      </c>
      <c r="M519">
        <v>27000</v>
      </c>
      <c r="N519" t="s">
        <v>19</v>
      </c>
    </row>
    <row r="520" spans="1:14" x14ac:dyDescent="0.25">
      <c r="A520" t="s">
        <v>1495</v>
      </c>
      <c r="B520" t="s">
        <v>1862</v>
      </c>
      <c r="C520" t="s">
        <v>386</v>
      </c>
      <c r="D520" t="s">
        <v>20</v>
      </c>
      <c r="E520" t="s">
        <v>132</v>
      </c>
      <c r="F520" t="s">
        <v>15</v>
      </c>
      <c r="G520" t="s">
        <v>22</v>
      </c>
      <c r="H520" t="s">
        <v>388</v>
      </c>
      <c r="I520" t="s">
        <v>139</v>
      </c>
      <c r="J520">
        <v>1</v>
      </c>
      <c r="K520">
        <v>2800</v>
      </c>
      <c r="L520">
        <v>4000</v>
      </c>
      <c r="M520">
        <v>4000</v>
      </c>
      <c r="N520" t="s">
        <v>19</v>
      </c>
    </row>
    <row r="521" spans="1:14" x14ac:dyDescent="0.25">
      <c r="A521" t="s">
        <v>1495</v>
      </c>
      <c r="B521" t="s">
        <v>1862</v>
      </c>
      <c r="C521" t="s">
        <v>386</v>
      </c>
      <c r="D521" t="s">
        <v>20</v>
      </c>
      <c r="E521" t="s">
        <v>132</v>
      </c>
      <c r="F521" t="s">
        <v>15</v>
      </c>
      <c r="G521" t="s">
        <v>22</v>
      </c>
      <c r="H521" t="s">
        <v>388</v>
      </c>
      <c r="I521" t="s">
        <v>99</v>
      </c>
      <c r="J521">
        <v>1</v>
      </c>
      <c r="K521">
        <v>2800</v>
      </c>
      <c r="L521">
        <v>4000</v>
      </c>
      <c r="M521">
        <v>4000</v>
      </c>
      <c r="N521" t="s">
        <v>19</v>
      </c>
    </row>
    <row r="522" spans="1:14" x14ac:dyDescent="0.25">
      <c r="A522" t="s">
        <v>1495</v>
      </c>
      <c r="B522" t="s">
        <v>1862</v>
      </c>
      <c r="C522" t="s">
        <v>386</v>
      </c>
      <c r="D522" t="s">
        <v>20</v>
      </c>
      <c r="E522" t="s">
        <v>132</v>
      </c>
      <c r="F522" t="s">
        <v>15</v>
      </c>
      <c r="G522" t="s">
        <v>22</v>
      </c>
      <c r="H522" t="s">
        <v>388</v>
      </c>
      <c r="I522" t="s">
        <v>76</v>
      </c>
      <c r="J522">
        <v>1</v>
      </c>
      <c r="K522">
        <v>500</v>
      </c>
      <c r="L522">
        <v>500</v>
      </c>
      <c r="M522">
        <v>500</v>
      </c>
      <c r="N522" t="s">
        <v>19</v>
      </c>
    </row>
    <row r="523" spans="1:14" x14ac:dyDescent="0.25">
      <c r="A523" t="s">
        <v>1507</v>
      </c>
      <c r="B523" t="s">
        <v>1863</v>
      </c>
      <c r="C523" t="s">
        <v>345</v>
      </c>
      <c r="D523" t="s">
        <v>20</v>
      </c>
      <c r="E523" t="s">
        <v>119</v>
      </c>
      <c r="F523" t="s">
        <v>15</v>
      </c>
      <c r="G523" t="s">
        <v>22</v>
      </c>
      <c r="H523" t="s">
        <v>1347</v>
      </c>
      <c r="I523" t="s">
        <v>154</v>
      </c>
      <c r="J523">
        <v>1</v>
      </c>
      <c r="K523">
        <v>1100</v>
      </c>
      <c r="L523">
        <v>1600</v>
      </c>
      <c r="M523">
        <v>1600</v>
      </c>
      <c r="N523" t="s">
        <v>19</v>
      </c>
    </row>
    <row r="524" spans="1:14" x14ac:dyDescent="0.25">
      <c r="A524" t="s">
        <v>1507</v>
      </c>
      <c r="B524" t="s">
        <v>1863</v>
      </c>
      <c r="C524" t="s">
        <v>345</v>
      </c>
      <c r="D524" t="s">
        <v>20</v>
      </c>
      <c r="E524" t="s">
        <v>119</v>
      </c>
      <c r="F524" t="s">
        <v>15</v>
      </c>
      <c r="G524" t="s">
        <v>22</v>
      </c>
      <c r="H524" t="s">
        <v>1347</v>
      </c>
      <c r="I524" t="s">
        <v>1079</v>
      </c>
      <c r="J524">
        <v>1</v>
      </c>
      <c r="K524">
        <v>80</v>
      </c>
      <c r="L524">
        <v>200</v>
      </c>
      <c r="M524">
        <v>200</v>
      </c>
      <c r="N524" t="s">
        <v>19</v>
      </c>
    </row>
    <row r="525" spans="1:14" x14ac:dyDescent="0.25">
      <c r="A525" t="s">
        <v>1507</v>
      </c>
      <c r="B525" t="s">
        <v>1863</v>
      </c>
      <c r="C525" t="s">
        <v>345</v>
      </c>
      <c r="D525" t="s">
        <v>20</v>
      </c>
      <c r="E525" t="s">
        <v>119</v>
      </c>
      <c r="F525" t="s">
        <v>15</v>
      </c>
      <c r="G525" t="s">
        <v>22</v>
      </c>
      <c r="H525" t="s">
        <v>1347</v>
      </c>
      <c r="I525" t="s">
        <v>1078</v>
      </c>
      <c r="J525">
        <v>1</v>
      </c>
      <c r="K525">
        <v>30</v>
      </c>
      <c r="L525">
        <v>200</v>
      </c>
      <c r="M525">
        <v>200</v>
      </c>
      <c r="N525" t="s">
        <v>19</v>
      </c>
    </row>
    <row r="526" spans="1:14" x14ac:dyDescent="0.25">
      <c r="A526" t="s">
        <v>1509</v>
      </c>
      <c r="B526" t="s">
        <v>1864</v>
      </c>
      <c r="C526" t="s">
        <v>398</v>
      </c>
      <c r="D526" t="s">
        <v>20</v>
      </c>
      <c r="E526" t="s">
        <v>70</v>
      </c>
      <c r="F526" t="s">
        <v>15</v>
      </c>
      <c r="G526" t="s">
        <v>22</v>
      </c>
      <c r="H526" t="s">
        <v>399</v>
      </c>
      <c r="I526" t="s">
        <v>400</v>
      </c>
      <c r="J526">
        <v>100</v>
      </c>
      <c r="K526">
        <v>17</v>
      </c>
      <c r="L526">
        <v>25</v>
      </c>
      <c r="M526">
        <v>2500</v>
      </c>
      <c r="N526" t="s">
        <v>19</v>
      </c>
    </row>
    <row r="527" spans="1:14" x14ac:dyDescent="0.25">
      <c r="A527" t="s">
        <v>1509</v>
      </c>
      <c r="B527" t="s">
        <v>1864</v>
      </c>
      <c r="C527" t="s">
        <v>398</v>
      </c>
      <c r="D527" t="s">
        <v>20</v>
      </c>
      <c r="E527" t="s">
        <v>70</v>
      </c>
      <c r="F527" t="s">
        <v>15</v>
      </c>
      <c r="G527" t="s">
        <v>22</v>
      </c>
      <c r="H527" t="s">
        <v>399</v>
      </c>
      <c r="I527" t="s">
        <v>401</v>
      </c>
      <c r="J527">
        <v>100</v>
      </c>
      <c r="K527">
        <v>47</v>
      </c>
      <c r="L527">
        <v>80</v>
      </c>
      <c r="M527">
        <v>8000</v>
      </c>
      <c r="N527" t="s">
        <v>19</v>
      </c>
    </row>
    <row r="528" spans="1:14" x14ac:dyDescent="0.25">
      <c r="A528" t="s">
        <v>1458</v>
      </c>
      <c r="B528" t="s">
        <v>1865</v>
      </c>
      <c r="C528" t="s">
        <v>309</v>
      </c>
      <c r="D528" t="s">
        <v>310</v>
      </c>
      <c r="E528" t="s">
        <v>311</v>
      </c>
      <c r="F528" t="s">
        <v>15</v>
      </c>
      <c r="G528" t="s">
        <v>22</v>
      </c>
      <c r="H528" t="s">
        <v>312</v>
      </c>
      <c r="I528" t="s">
        <v>114</v>
      </c>
      <c r="J528">
        <v>1</v>
      </c>
      <c r="K528">
        <v>3675</v>
      </c>
      <c r="L528">
        <v>10500</v>
      </c>
      <c r="M528">
        <v>10500</v>
      </c>
      <c r="N528" t="s">
        <v>19</v>
      </c>
    </row>
    <row r="529" spans="1:14" x14ac:dyDescent="0.25">
      <c r="A529" t="s">
        <v>1458</v>
      </c>
      <c r="B529" t="s">
        <v>1865</v>
      </c>
      <c r="C529" t="s">
        <v>309</v>
      </c>
      <c r="D529" t="s">
        <v>310</v>
      </c>
      <c r="E529" t="s">
        <v>311</v>
      </c>
      <c r="F529" t="s">
        <v>15</v>
      </c>
      <c r="G529" t="s">
        <v>22</v>
      </c>
      <c r="H529" t="s">
        <v>312</v>
      </c>
      <c r="I529" t="s">
        <v>48</v>
      </c>
      <c r="J529">
        <v>1</v>
      </c>
      <c r="K529">
        <v>4970</v>
      </c>
      <c r="L529">
        <v>14200</v>
      </c>
      <c r="M529">
        <v>14200</v>
      </c>
      <c r="N529" t="s">
        <v>19</v>
      </c>
    </row>
    <row r="530" spans="1:14" x14ac:dyDescent="0.25">
      <c r="A530" t="s">
        <v>1458</v>
      </c>
      <c r="B530" t="s">
        <v>1865</v>
      </c>
      <c r="C530" t="s">
        <v>309</v>
      </c>
      <c r="D530" t="s">
        <v>310</v>
      </c>
      <c r="E530" t="s">
        <v>311</v>
      </c>
      <c r="F530" t="s">
        <v>15</v>
      </c>
      <c r="G530" t="s">
        <v>22</v>
      </c>
      <c r="H530" t="s">
        <v>312</v>
      </c>
      <c r="I530" t="s">
        <v>24</v>
      </c>
      <c r="J530">
        <v>1</v>
      </c>
      <c r="K530">
        <v>4970</v>
      </c>
      <c r="L530">
        <v>14200</v>
      </c>
      <c r="M530">
        <v>14200</v>
      </c>
      <c r="N530" t="s">
        <v>19</v>
      </c>
    </row>
    <row r="531" spans="1:14" x14ac:dyDescent="0.25">
      <c r="A531" t="s">
        <v>1458</v>
      </c>
      <c r="B531" t="s">
        <v>1865</v>
      </c>
      <c r="C531" t="s">
        <v>309</v>
      </c>
      <c r="D531" t="s">
        <v>310</v>
      </c>
      <c r="E531" t="s">
        <v>311</v>
      </c>
      <c r="F531" t="s">
        <v>15</v>
      </c>
      <c r="G531" t="s">
        <v>22</v>
      </c>
      <c r="H531" t="s">
        <v>312</v>
      </c>
      <c r="I531" t="s">
        <v>26</v>
      </c>
      <c r="J531">
        <v>1</v>
      </c>
      <c r="K531">
        <v>500</v>
      </c>
      <c r="L531">
        <v>500</v>
      </c>
      <c r="M531">
        <v>500</v>
      </c>
      <c r="N531" t="s">
        <v>19</v>
      </c>
    </row>
    <row r="532" spans="1:14" x14ac:dyDescent="0.25">
      <c r="A532" t="s">
        <v>1458</v>
      </c>
      <c r="B532" t="s">
        <v>1865</v>
      </c>
      <c r="C532" t="s">
        <v>309</v>
      </c>
      <c r="D532" t="s">
        <v>310</v>
      </c>
      <c r="E532" t="s">
        <v>311</v>
      </c>
      <c r="F532" t="s">
        <v>15</v>
      </c>
      <c r="G532" t="s">
        <v>22</v>
      </c>
      <c r="H532" t="s">
        <v>312</v>
      </c>
      <c r="I532" t="s">
        <v>97</v>
      </c>
      <c r="J532">
        <v>1</v>
      </c>
      <c r="K532">
        <v>2200</v>
      </c>
      <c r="L532">
        <v>3500</v>
      </c>
      <c r="M532">
        <v>3500</v>
      </c>
      <c r="N532" t="s">
        <v>19</v>
      </c>
    </row>
    <row r="533" spans="1:14" x14ac:dyDescent="0.25">
      <c r="A533" t="s">
        <v>1458</v>
      </c>
      <c r="B533" t="s">
        <v>1865</v>
      </c>
      <c r="C533" t="s">
        <v>309</v>
      </c>
      <c r="D533" t="s">
        <v>310</v>
      </c>
      <c r="E533" t="s">
        <v>311</v>
      </c>
      <c r="F533" t="s">
        <v>15</v>
      </c>
      <c r="G533" t="s">
        <v>22</v>
      </c>
      <c r="H533" t="s">
        <v>312</v>
      </c>
      <c r="I533" t="s">
        <v>38</v>
      </c>
      <c r="J533">
        <v>1</v>
      </c>
      <c r="K533">
        <v>8500</v>
      </c>
      <c r="L533">
        <v>12500</v>
      </c>
      <c r="M533">
        <v>12500</v>
      </c>
      <c r="N533" t="s">
        <v>19</v>
      </c>
    </row>
    <row r="534" spans="1:14" x14ac:dyDescent="0.25">
      <c r="A534" t="s">
        <v>1458</v>
      </c>
      <c r="B534" t="s">
        <v>1865</v>
      </c>
      <c r="C534" t="s">
        <v>309</v>
      </c>
      <c r="D534" t="s">
        <v>310</v>
      </c>
      <c r="E534" t="s">
        <v>311</v>
      </c>
      <c r="F534" t="s">
        <v>15</v>
      </c>
      <c r="G534" t="s">
        <v>22</v>
      </c>
      <c r="H534" t="s">
        <v>312</v>
      </c>
      <c r="I534" t="s">
        <v>161</v>
      </c>
      <c r="J534">
        <v>1</v>
      </c>
      <c r="K534">
        <v>8500</v>
      </c>
      <c r="L534">
        <v>12500</v>
      </c>
      <c r="M534">
        <v>12500</v>
      </c>
      <c r="N534" t="s">
        <v>19</v>
      </c>
    </row>
    <row r="535" spans="1:14" x14ac:dyDescent="0.25">
      <c r="A535" t="s">
        <v>1458</v>
      </c>
      <c r="B535" t="s">
        <v>1865</v>
      </c>
      <c r="C535" t="s">
        <v>309</v>
      </c>
      <c r="D535" t="s">
        <v>310</v>
      </c>
      <c r="E535" t="s">
        <v>311</v>
      </c>
      <c r="F535" t="s">
        <v>15</v>
      </c>
      <c r="G535" t="s">
        <v>22</v>
      </c>
      <c r="H535" t="s">
        <v>312</v>
      </c>
      <c r="I535" t="s">
        <v>280</v>
      </c>
      <c r="J535">
        <v>1</v>
      </c>
      <c r="K535">
        <v>850</v>
      </c>
      <c r="L535">
        <v>1500</v>
      </c>
      <c r="M535">
        <v>1500</v>
      </c>
      <c r="N535" t="s">
        <v>19</v>
      </c>
    </row>
    <row r="536" spans="1:14" x14ac:dyDescent="0.25">
      <c r="A536" t="s">
        <v>1458</v>
      </c>
      <c r="B536" t="s">
        <v>1865</v>
      </c>
      <c r="C536" t="s">
        <v>309</v>
      </c>
      <c r="D536" t="s">
        <v>310</v>
      </c>
      <c r="E536" t="s">
        <v>311</v>
      </c>
      <c r="F536" t="s">
        <v>15</v>
      </c>
      <c r="G536" t="s">
        <v>22</v>
      </c>
      <c r="H536" t="s">
        <v>312</v>
      </c>
      <c r="I536" t="s">
        <v>115</v>
      </c>
      <c r="J536">
        <v>1</v>
      </c>
      <c r="K536">
        <v>11000</v>
      </c>
      <c r="L536">
        <v>16500</v>
      </c>
      <c r="M536">
        <v>16500</v>
      </c>
      <c r="N536" t="s">
        <v>19</v>
      </c>
    </row>
    <row r="537" spans="1:14" x14ac:dyDescent="0.25">
      <c r="A537" t="s">
        <v>1458</v>
      </c>
      <c r="B537" t="s">
        <v>1865</v>
      </c>
      <c r="C537" t="s">
        <v>309</v>
      </c>
      <c r="D537" t="s">
        <v>310</v>
      </c>
      <c r="E537" t="s">
        <v>311</v>
      </c>
      <c r="F537" t="s">
        <v>15</v>
      </c>
      <c r="G537" t="s">
        <v>22</v>
      </c>
      <c r="H537" t="s">
        <v>312</v>
      </c>
      <c r="I537" t="s">
        <v>116</v>
      </c>
      <c r="J537">
        <v>1</v>
      </c>
      <c r="K537">
        <v>2185</v>
      </c>
      <c r="L537">
        <v>3500</v>
      </c>
      <c r="M537">
        <v>3500</v>
      </c>
      <c r="N537" t="s">
        <v>19</v>
      </c>
    </row>
    <row r="538" spans="1:14" x14ac:dyDescent="0.25">
      <c r="A538" t="s">
        <v>1458</v>
      </c>
      <c r="B538" t="s">
        <v>1865</v>
      </c>
      <c r="C538" t="s">
        <v>309</v>
      </c>
      <c r="D538" t="s">
        <v>310</v>
      </c>
      <c r="E538" t="s">
        <v>311</v>
      </c>
      <c r="F538" t="s">
        <v>15</v>
      </c>
      <c r="G538" t="s">
        <v>22</v>
      </c>
      <c r="H538" t="s">
        <v>312</v>
      </c>
      <c r="I538" t="s">
        <v>254</v>
      </c>
      <c r="J538">
        <v>1</v>
      </c>
      <c r="K538">
        <v>3300</v>
      </c>
      <c r="L538">
        <v>4500</v>
      </c>
      <c r="M538">
        <v>4500</v>
      </c>
      <c r="N538" t="s">
        <v>19</v>
      </c>
    </row>
    <row r="539" spans="1:14" x14ac:dyDescent="0.25">
      <c r="A539" t="s">
        <v>1458</v>
      </c>
      <c r="B539" t="s">
        <v>1865</v>
      </c>
      <c r="C539" t="s">
        <v>309</v>
      </c>
      <c r="D539" t="s">
        <v>310</v>
      </c>
      <c r="E539" t="s">
        <v>311</v>
      </c>
      <c r="F539" t="s">
        <v>15</v>
      </c>
      <c r="G539" t="s">
        <v>22</v>
      </c>
      <c r="H539" t="s">
        <v>312</v>
      </c>
      <c r="I539" t="s">
        <v>249</v>
      </c>
      <c r="J539">
        <v>1</v>
      </c>
      <c r="K539">
        <v>21500</v>
      </c>
      <c r="L539">
        <v>32500</v>
      </c>
      <c r="M539">
        <v>32500</v>
      </c>
      <c r="N539" t="s">
        <v>19</v>
      </c>
    </row>
    <row r="540" spans="1:14" x14ac:dyDescent="0.25">
      <c r="A540" t="s">
        <v>1609</v>
      </c>
      <c r="B540" t="s">
        <v>1866</v>
      </c>
      <c r="C540" t="s">
        <v>391</v>
      </c>
      <c r="D540" t="s">
        <v>191</v>
      </c>
      <c r="E540" t="s">
        <v>192</v>
      </c>
      <c r="F540" t="s">
        <v>15</v>
      </c>
      <c r="G540" t="s">
        <v>22</v>
      </c>
      <c r="H540" t="s">
        <v>312</v>
      </c>
      <c r="I540" t="s">
        <v>392</v>
      </c>
      <c r="J540">
        <v>2</v>
      </c>
      <c r="K540">
        <v>3360</v>
      </c>
      <c r="L540">
        <v>5300</v>
      </c>
      <c r="M540">
        <v>10600</v>
      </c>
      <c r="N540" t="s">
        <v>19</v>
      </c>
    </row>
    <row r="541" spans="1:14" x14ac:dyDescent="0.25">
      <c r="A541" t="s">
        <v>1609</v>
      </c>
      <c r="B541" t="s">
        <v>1866</v>
      </c>
      <c r="C541" t="s">
        <v>391</v>
      </c>
      <c r="D541" t="s">
        <v>191</v>
      </c>
      <c r="E541" t="s">
        <v>192</v>
      </c>
      <c r="F541" t="s">
        <v>15</v>
      </c>
      <c r="G541" t="s">
        <v>22</v>
      </c>
      <c r="H541" t="s">
        <v>312</v>
      </c>
      <c r="I541" t="s">
        <v>393</v>
      </c>
      <c r="J541">
        <v>1</v>
      </c>
      <c r="K541">
        <v>1000</v>
      </c>
      <c r="L541">
        <v>1000</v>
      </c>
      <c r="M541">
        <v>1000</v>
      </c>
      <c r="N541" t="s">
        <v>19</v>
      </c>
    </row>
    <row r="542" spans="1:14" x14ac:dyDescent="0.25">
      <c r="A542" t="s">
        <v>1673</v>
      </c>
      <c r="B542" t="s">
        <v>1867</v>
      </c>
      <c r="C542" t="s">
        <v>320</v>
      </c>
      <c r="D542" t="s">
        <v>239</v>
      </c>
      <c r="E542" t="s">
        <v>239</v>
      </c>
      <c r="F542" t="s">
        <v>15</v>
      </c>
      <c r="G542" t="s">
        <v>37</v>
      </c>
      <c r="H542" t="s">
        <v>332</v>
      </c>
      <c r="I542" t="s">
        <v>154</v>
      </c>
      <c r="J542">
        <v>3</v>
      </c>
      <c r="K542">
        <v>965</v>
      </c>
      <c r="L542">
        <v>1300</v>
      </c>
      <c r="M542">
        <v>3900</v>
      </c>
      <c r="N542" t="s">
        <v>19</v>
      </c>
    </row>
    <row r="543" spans="1:14" x14ac:dyDescent="0.25">
      <c r="A543" t="s">
        <v>1673</v>
      </c>
      <c r="B543" t="s">
        <v>1867</v>
      </c>
      <c r="C543" t="s">
        <v>320</v>
      </c>
      <c r="D543" t="s">
        <v>239</v>
      </c>
      <c r="E543" t="s">
        <v>239</v>
      </c>
      <c r="F543" t="s">
        <v>15</v>
      </c>
      <c r="G543" t="s">
        <v>37</v>
      </c>
      <c r="H543" t="s">
        <v>332</v>
      </c>
      <c r="I543" t="s">
        <v>333</v>
      </c>
      <c r="J543">
        <v>3</v>
      </c>
      <c r="K543">
        <v>20</v>
      </c>
      <c r="L543">
        <v>100</v>
      </c>
      <c r="M543">
        <v>300</v>
      </c>
      <c r="N543" t="s">
        <v>19</v>
      </c>
    </row>
    <row r="544" spans="1:14" x14ac:dyDescent="0.25">
      <c r="A544" t="s">
        <v>1426</v>
      </c>
      <c r="B544" t="s">
        <v>1868</v>
      </c>
      <c r="C544" t="s">
        <v>334</v>
      </c>
      <c r="D544" t="s">
        <v>335</v>
      </c>
      <c r="E544" t="s">
        <v>335</v>
      </c>
      <c r="F544" t="s">
        <v>15</v>
      </c>
      <c r="G544" t="s">
        <v>37</v>
      </c>
      <c r="H544" t="s">
        <v>332</v>
      </c>
      <c r="I544" t="s">
        <v>298</v>
      </c>
      <c r="J544">
        <v>3</v>
      </c>
      <c r="K544">
        <v>11000</v>
      </c>
      <c r="L544">
        <v>16500</v>
      </c>
      <c r="M544">
        <v>49500</v>
      </c>
      <c r="N544" t="s">
        <v>19</v>
      </c>
    </row>
    <row r="545" spans="1:14" x14ac:dyDescent="0.25">
      <c r="A545" t="s">
        <v>1466</v>
      </c>
      <c r="B545" t="s">
        <v>1869</v>
      </c>
      <c r="C545" t="s">
        <v>336</v>
      </c>
      <c r="D545" t="s">
        <v>337</v>
      </c>
      <c r="E545" t="s">
        <v>337</v>
      </c>
      <c r="F545" t="s">
        <v>15</v>
      </c>
      <c r="G545" t="s">
        <v>16</v>
      </c>
      <c r="H545" t="s">
        <v>332</v>
      </c>
      <c r="I545" t="s">
        <v>33</v>
      </c>
      <c r="J545">
        <v>1</v>
      </c>
      <c r="K545">
        <v>20000</v>
      </c>
      <c r="L545">
        <v>20000</v>
      </c>
      <c r="M545">
        <v>20000</v>
      </c>
      <c r="N545" t="s">
        <v>19</v>
      </c>
    </row>
    <row r="546" spans="1:14" x14ac:dyDescent="0.25">
      <c r="A546" t="s">
        <v>1466</v>
      </c>
      <c r="B546" t="s">
        <v>1869</v>
      </c>
      <c r="C546" t="s">
        <v>336</v>
      </c>
      <c r="D546" t="s">
        <v>337</v>
      </c>
      <c r="E546" t="s">
        <v>337</v>
      </c>
      <c r="F546" t="s">
        <v>15</v>
      </c>
      <c r="G546" t="s">
        <v>16</v>
      </c>
      <c r="H546" t="s">
        <v>332</v>
      </c>
      <c r="I546" t="s">
        <v>151</v>
      </c>
      <c r="J546">
        <v>1</v>
      </c>
      <c r="K546">
        <v>2800</v>
      </c>
      <c r="L546">
        <v>4000</v>
      </c>
      <c r="M546">
        <v>4000</v>
      </c>
      <c r="N546" t="s">
        <v>19</v>
      </c>
    </row>
    <row r="547" spans="1:14" x14ac:dyDescent="0.25">
      <c r="A547" t="s">
        <v>1685</v>
      </c>
      <c r="B547" t="s">
        <v>1870</v>
      </c>
      <c r="C547" t="s">
        <v>339</v>
      </c>
      <c r="D547" t="s">
        <v>340</v>
      </c>
      <c r="E547" t="s">
        <v>341</v>
      </c>
      <c r="F547" t="s">
        <v>342</v>
      </c>
      <c r="G547" t="s">
        <v>37</v>
      </c>
      <c r="H547" t="s">
        <v>343</v>
      </c>
      <c r="I547" t="s">
        <v>143</v>
      </c>
      <c r="J547">
        <v>1</v>
      </c>
      <c r="K547">
        <v>2975</v>
      </c>
      <c r="L547">
        <v>8500</v>
      </c>
      <c r="M547">
        <v>8500</v>
      </c>
      <c r="N547" t="s">
        <v>39</v>
      </c>
    </row>
    <row r="548" spans="1:14" x14ac:dyDescent="0.25">
      <c r="A548" t="s">
        <v>1685</v>
      </c>
      <c r="B548" t="s">
        <v>1870</v>
      </c>
      <c r="C548" t="s">
        <v>339</v>
      </c>
      <c r="D548" t="s">
        <v>340</v>
      </c>
      <c r="E548" t="s">
        <v>341</v>
      </c>
      <c r="F548" t="s">
        <v>342</v>
      </c>
      <c r="G548" t="s">
        <v>37</v>
      </c>
      <c r="H548" t="s">
        <v>343</v>
      </c>
      <c r="I548" t="s">
        <v>48</v>
      </c>
      <c r="J548">
        <v>1</v>
      </c>
      <c r="K548">
        <v>1645</v>
      </c>
      <c r="L548">
        <v>4700</v>
      </c>
      <c r="M548">
        <v>4700</v>
      </c>
      <c r="N548" t="s">
        <v>39</v>
      </c>
    </row>
    <row r="549" spans="1:14" x14ac:dyDescent="0.25">
      <c r="A549" t="s">
        <v>1685</v>
      </c>
      <c r="B549" t="s">
        <v>1870</v>
      </c>
      <c r="C549" t="s">
        <v>339</v>
      </c>
      <c r="D549" t="s">
        <v>340</v>
      </c>
      <c r="E549" t="s">
        <v>341</v>
      </c>
      <c r="F549" t="s">
        <v>342</v>
      </c>
      <c r="G549" t="s">
        <v>37</v>
      </c>
      <c r="H549" t="s">
        <v>343</v>
      </c>
      <c r="I549" t="s">
        <v>24</v>
      </c>
      <c r="J549">
        <v>1</v>
      </c>
      <c r="K549">
        <v>1680</v>
      </c>
      <c r="L549">
        <v>4800</v>
      </c>
      <c r="M549">
        <v>4800</v>
      </c>
      <c r="N549" t="s">
        <v>39</v>
      </c>
    </row>
    <row r="550" spans="1:14" x14ac:dyDescent="0.25">
      <c r="A550" t="s">
        <v>1685</v>
      </c>
      <c r="B550" t="s">
        <v>1870</v>
      </c>
      <c r="C550" t="s">
        <v>339</v>
      </c>
      <c r="D550" t="s">
        <v>340</v>
      </c>
      <c r="E550" t="s">
        <v>341</v>
      </c>
      <c r="F550" t="s">
        <v>342</v>
      </c>
      <c r="G550" t="s">
        <v>37</v>
      </c>
      <c r="H550" t="s">
        <v>343</v>
      </c>
      <c r="I550" t="s">
        <v>26</v>
      </c>
      <c r="J550">
        <v>1</v>
      </c>
      <c r="K550">
        <v>500</v>
      </c>
      <c r="L550">
        <v>500</v>
      </c>
      <c r="M550">
        <v>500</v>
      </c>
      <c r="N550" t="s">
        <v>39</v>
      </c>
    </row>
    <row r="551" spans="1:14" x14ac:dyDescent="0.25">
      <c r="A551" t="s">
        <v>1458</v>
      </c>
      <c r="B551" t="s">
        <v>1871</v>
      </c>
      <c r="C551" t="s">
        <v>345</v>
      </c>
      <c r="D551" t="s">
        <v>310</v>
      </c>
      <c r="E551" t="s">
        <v>311</v>
      </c>
      <c r="F551" t="s">
        <v>15</v>
      </c>
      <c r="G551" t="s">
        <v>22</v>
      </c>
      <c r="H551" t="s">
        <v>343</v>
      </c>
      <c r="I551" t="s">
        <v>116</v>
      </c>
      <c r="J551">
        <v>1</v>
      </c>
      <c r="K551">
        <v>2185</v>
      </c>
      <c r="L551">
        <v>3500</v>
      </c>
      <c r="M551">
        <v>3500</v>
      </c>
      <c r="N551" t="s">
        <v>19</v>
      </c>
    </row>
    <row r="552" spans="1:14" x14ac:dyDescent="0.25">
      <c r="A552" t="s">
        <v>1495</v>
      </c>
      <c r="B552" t="s">
        <v>1872</v>
      </c>
      <c r="C552" t="s">
        <v>502</v>
      </c>
      <c r="D552" t="s">
        <v>20</v>
      </c>
      <c r="E552" t="s">
        <v>132</v>
      </c>
      <c r="F552" t="s">
        <v>15</v>
      </c>
      <c r="G552" t="s">
        <v>22</v>
      </c>
      <c r="H552" t="s">
        <v>507</v>
      </c>
      <c r="I552" t="s">
        <v>508</v>
      </c>
      <c r="J552">
        <v>1</v>
      </c>
      <c r="K552">
        <v>6000</v>
      </c>
      <c r="L552">
        <v>6000</v>
      </c>
      <c r="M552">
        <v>6000</v>
      </c>
      <c r="N552" t="s">
        <v>19</v>
      </c>
    </row>
    <row r="553" spans="1:14" x14ac:dyDescent="0.25">
      <c r="A553" t="s">
        <v>1565</v>
      </c>
      <c r="B553" t="s">
        <v>1873</v>
      </c>
      <c r="C553" t="s">
        <v>346</v>
      </c>
      <c r="D553" t="s">
        <v>305</v>
      </c>
      <c r="E553" t="s">
        <v>306</v>
      </c>
      <c r="F553" t="s">
        <v>15</v>
      </c>
      <c r="G553" t="s">
        <v>37</v>
      </c>
      <c r="H553" t="s">
        <v>347</v>
      </c>
      <c r="I553" t="s">
        <v>38</v>
      </c>
      <c r="J553">
        <v>1</v>
      </c>
      <c r="K553">
        <v>8500</v>
      </c>
      <c r="L553">
        <v>12000</v>
      </c>
      <c r="M553">
        <v>12000</v>
      </c>
      <c r="N553" t="s">
        <v>19</v>
      </c>
    </row>
    <row r="554" spans="1:14" x14ac:dyDescent="0.25">
      <c r="A554" t="s">
        <v>1565</v>
      </c>
      <c r="B554" t="s">
        <v>1873</v>
      </c>
      <c r="C554" t="s">
        <v>346</v>
      </c>
      <c r="D554" t="s">
        <v>305</v>
      </c>
      <c r="E554" t="s">
        <v>306</v>
      </c>
      <c r="F554" t="s">
        <v>15</v>
      </c>
      <c r="G554" t="s">
        <v>37</v>
      </c>
      <c r="H554" t="s">
        <v>347</v>
      </c>
      <c r="I554" t="s">
        <v>76</v>
      </c>
      <c r="J554">
        <v>1</v>
      </c>
      <c r="K554">
        <v>500</v>
      </c>
      <c r="L554">
        <v>500</v>
      </c>
      <c r="M554">
        <v>500</v>
      </c>
      <c r="N554" t="s">
        <v>19</v>
      </c>
    </row>
    <row r="555" spans="1:14" x14ac:dyDescent="0.25">
      <c r="A555" t="s">
        <v>1581</v>
      </c>
      <c r="B555" t="s">
        <v>1874</v>
      </c>
      <c r="C555" t="s">
        <v>351</v>
      </c>
      <c r="D555" t="s">
        <v>87</v>
      </c>
      <c r="E555" t="s">
        <v>87</v>
      </c>
      <c r="F555" t="s">
        <v>15</v>
      </c>
      <c r="G555" t="s">
        <v>37</v>
      </c>
      <c r="H555" t="s">
        <v>347</v>
      </c>
      <c r="I555" t="s">
        <v>89</v>
      </c>
      <c r="J555">
        <v>50</v>
      </c>
      <c r="K555">
        <v>32</v>
      </c>
      <c r="L555">
        <v>50</v>
      </c>
      <c r="M555">
        <v>2500</v>
      </c>
      <c r="N555" t="s">
        <v>39</v>
      </c>
    </row>
    <row r="556" spans="1:14" x14ac:dyDescent="0.25">
      <c r="A556" t="s">
        <v>1674</v>
      </c>
      <c r="B556" t="s">
        <v>1875</v>
      </c>
      <c r="C556" t="s">
        <v>353</v>
      </c>
      <c r="D556" t="s">
        <v>354</v>
      </c>
      <c r="E556" t="s">
        <v>239</v>
      </c>
      <c r="F556" t="s">
        <v>15</v>
      </c>
      <c r="G556" t="s">
        <v>37</v>
      </c>
      <c r="H556" t="s">
        <v>355</v>
      </c>
      <c r="I556" t="s">
        <v>38</v>
      </c>
      <c r="J556">
        <v>1</v>
      </c>
      <c r="K556">
        <v>8500</v>
      </c>
      <c r="L556">
        <v>12000</v>
      </c>
      <c r="M556">
        <v>12000</v>
      </c>
      <c r="N556" t="s">
        <v>19</v>
      </c>
    </row>
    <row r="557" spans="1:14" x14ac:dyDescent="0.25">
      <c r="A557" t="s">
        <v>1674</v>
      </c>
      <c r="B557" t="s">
        <v>1875</v>
      </c>
      <c r="C557" t="s">
        <v>353</v>
      </c>
      <c r="D557" t="s">
        <v>354</v>
      </c>
      <c r="E557" t="s">
        <v>239</v>
      </c>
      <c r="F557" t="s">
        <v>15</v>
      </c>
      <c r="G557" t="s">
        <v>37</v>
      </c>
      <c r="H557" t="s">
        <v>355</v>
      </c>
      <c r="I557" t="s">
        <v>76</v>
      </c>
      <c r="J557">
        <v>1</v>
      </c>
      <c r="K557">
        <v>500</v>
      </c>
      <c r="L557">
        <v>500</v>
      </c>
      <c r="M557">
        <v>500</v>
      </c>
      <c r="N557" t="s">
        <v>19</v>
      </c>
    </row>
    <row r="558" spans="1:14" x14ac:dyDescent="0.25">
      <c r="A558" t="s">
        <v>1709</v>
      </c>
      <c r="B558" t="s">
        <v>1876</v>
      </c>
      <c r="C558" t="s">
        <v>184</v>
      </c>
      <c r="D558" t="s">
        <v>1022</v>
      </c>
      <c r="E558" t="s">
        <v>1023</v>
      </c>
      <c r="F558" t="s">
        <v>1058</v>
      </c>
      <c r="G558" t="s">
        <v>1059</v>
      </c>
      <c r="H558" t="s">
        <v>355</v>
      </c>
      <c r="I558" t="s">
        <v>1060</v>
      </c>
      <c r="J558">
        <v>1</v>
      </c>
      <c r="K558">
        <v>9500</v>
      </c>
      <c r="L558">
        <v>13500</v>
      </c>
      <c r="M558">
        <v>13500</v>
      </c>
      <c r="N558" t="s">
        <v>1010</v>
      </c>
    </row>
    <row r="559" spans="1:14" x14ac:dyDescent="0.25">
      <c r="A559" t="s">
        <v>1709</v>
      </c>
      <c r="B559" t="s">
        <v>1876</v>
      </c>
      <c r="C559" t="s">
        <v>184</v>
      </c>
      <c r="D559" t="s">
        <v>1022</v>
      </c>
      <c r="E559" t="s">
        <v>1023</v>
      </c>
      <c r="F559" t="s">
        <v>1058</v>
      </c>
      <c r="G559" t="s">
        <v>1059</v>
      </c>
      <c r="H559" t="s">
        <v>355</v>
      </c>
      <c r="I559" t="s">
        <v>1049</v>
      </c>
      <c r="J559">
        <v>1</v>
      </c>
      <c r="K559">
        <v>9500</v>
      </c>
      <c r="L559">
        <v>13500</v>
      </c>
      <c r="M559">
        <v>13500</v>
      </c>
      <c r="N559" t="s">
        <v>1010</v>
      </c>
    </row>
    <row r="560" spans="1:14" x14ac:dyDescent="0.25">
      <c r="A560" t="s">
        <v>1709</v>
      </c>
      <c r="B560" t="s">
        <v>1876</v>
      </c>
      <c r="C560" t="s">
        <v>184</v>
      </c>
      <c r="D560" t="s">
        <v>1022</v>
      </c>
      <c r="E560" t="s">
        <v>1023</v>
      </c>
      <c r="F560" t="s">
        <v>1058</v>
      </c>
      <c r="G560" t="s">
        <v>1059</v>
      </c>
      <c r="H560" t="s">
        <v>355</v>
      </c>
      <c r="I560" t="s">
        <v>63</v>
      </c>
      <c r="J560">
        <v>1</v>
      </c>
      <c r="K560">
        <v>500</v>
      </c>
      <c r="L560">
        <v>500</v>
      </c>
      <c r="M560">
        <v>500</v>
      </c>
      <c r="N560" t="s">
        <v>1010</v>
      </c>
    </row>
    <row r="561" spans="1:14" x14ac:dyDescent="0.25">
      <c r="A561" t="s">
        <v>1710</v>
      </c>
      <c r="B561" t="s">
        <v>1877</v>
      </c>
      <c r="C561" t="s">
        <v>184</v>
      </c>
      <c r="D561" t="s">
        <v>1022</v>
      </c>
      <c r="E561" t="s">
        <v>1023</v>
      </c>
      <c r="F561" t="s">
        <v>1061</v>
      </c>
      <c r="G561" t="s">
        <v>1059</v>
      </c>
      <c r="H561" t="s">
        <v>355</v>
      </c>
      <c r="I561" t="s">
        <v>1060</v>
      </c>
      <c r="J561">
        <v>1</v>
      </c>
      <c r="K561">
        <v>9500</v>
      </c>
      <c r="L561">
        <v>13500</v>
      </c>
      <c r="M561">
        <v>13500</v>
      </c>
      <c r="N561" t="s">
        <v>1010</v>
      </c>
    </row>
    <row r="562" spans="1:14" x14ac:dyDescent="0.25">
      <c r="A562" t="s">
        <v>1710</v>
      </c>
      <c r="B562" t="s">
        <v>1877</v>
      </c>
      <c r="C562" t="s">
        <v>184</v>
      </c>
      <c r="D562" t="s">
        <v>1022</v>
      </c>
      <c r="E562" t="s">
        <v>1023</v>
      </c>
      <c r="F562" t="s">
        <v>1061</v>
      </c>
      <c r="G562" t="s">
        <v>1059</v>
      </c>
      <c r="H562" t="s">
        <v>355</v>
      </c>
      <c r="I562" t="s">
        <v>1049</v>
      </c>
      <c r="J562">
        <v>1</v>
      </c>
      <c r="K562">
        <v>9500</v>
      </c>
      <c r="L562">
        <v>13500</v>
      </c>
      <c r="M562">
        <v>13500</v>
      </c>
      <c r="N562" t="s">
        <v>1010</v>
      </c>
    </row>
    <row r="563" spans="1:14" x14ac:dyDescent="0.25">
      <c r="A563" t="s">
        <v>1710</v>
      </c>
      <c r="B563" t="s">
        <v>1877</v>
      </c>
      <c r="C563" t="s">
        <v>184</v>
      </c>
      <c r="D563" t="s">
        <v>1022</v>
      </c>
      <c r="E563" t="s">
        <v>1023</v>
      </c>
      <c r="F563" t="s">
        <v>1061</v>
      </c>
      <c r="G563" t="s">
        <v>1059</v>
      </c>
      <c r="H563" t="s">
        <v>355</v>
      </c>
      <c r="I563" t="s">
        <v>63</v>
      </c>
      <c r="J563">
        <v>1</v>
      </c>
      <c r="K563">
        <v>500</v>
      </c>
      <c r="L563">
        <v>500</v>
      </c>
      <c r="M563">
        <v>500</v>
      </c>
      <c r="N563" t="s">
        <v>1010</v>
      </c>
    </row>
    <row r="564" spans="1:14" x14ac:dyDescent="0.25">
      <c r="A564" t="s">
        <v>1669</v>
      </c>
      <c r="B564" t="s">
        <v>1878</v>
      </c>
      <c r="C564" t="s">
        <v>356</v>
      </c>
      <c r="D564" t="s">
        <v>357</v>
      </c>
      <c r="E564" t="s">
        <v>358</v>
      </c>
      <c r="F564" t="s">
        <v>15</v>
      </c>
      <c r="G564" t="s">
        <v>37</v>
      </c>
      <c r="H564" t="s">
        <v>359</v>
      </c>
      <c r="I564" t="s">
        <v>360</v>
      </c>
      <c r="J564">
        <v>1</v>
      </c>
      <c r="K564">
        <v>3675</v>
      </c>
      <c r="L564">
        <v>10500</v>
      </c>
      <c r="M564">
        <v>10500</v>
      </c>
      <c r="N564" t="s">
        <v>19</v>
      </c>
    </row>
    <row r="565" spans="1:14" x14ac:dyDescent="0.25">
      <c r="A565" t="s">
        <v>1669</v>
      </c>
      <c r="B565" t="s">
        <v>1878</v>
      </c>
      <c r="C565" t="s">
        <v>356</v>
      </c>
      <c r="D565" t="s">
        <v>357</v>
      </c>
      <c r="E565" t="s">
        <v>358</v>
      </c>
      <c r="F565" t="s">
        <v>15</v>
      </c>
      <c r="G565" t="s">
        <v>37</v>
      </c>
      <c r="H565" t="s">
        <v>359</v>
      </c>
      <c r="I565" t="s">
        <v>48</v>
      </c>
      <c r="J565">
        <v>1</v>
      </c>
      <c r="K565">
        <v>4620</v>
      </c>
      <c r="L565">
        <v>13200</v>
      </c>
      <c r="M565">
        <v>13200</v>
      </c>
      <c r="N565" t="s">
        <v>19</v>
      </c>
    </row>
    <row r="566" spans="1:14" x14ac:dyDescent="0.25">
      <c r="A566" t="s">
        <v>1669</v>
      </c>
      <c r="B566" t="s">
        <v>1878</v>
      </c>
      <c r="C566" t="s">
        <v>356</v>
      </c>
      <c r="D566" t="s">
        <v>357</v>
      </c>
      <c r="E566" t="s">
        <v>358</v>
      </c>
      <c r="F566" t="s">
        <v>15</v>
      </c>
      <c r="G566" t="s">
        <v>37</v>
      </c>
      <c r="H566" t="s">
        <v>359</v>
      </c>
      <c r="I566" t="s">
        <v>126</v>
      </c>
      <c r="J566">
        <v>1</v>
      </c>
      <c r="K566">
        <v>4620</v>
      </c>
      <c r="L566">
        <v>13200</v>
      </c>
      <c r="M566">
        <v>13200</v>
      </c>
      <c r="N566" t="s">
        <v>19</v>
      </c>
    </row>
    <row r="567" spans="1:14" x14ac:dyDescent="0.25">
      <c r="A567" t="s">
        <v>1669</v>
      </c>
      <c r="B567" t="s">
        <v>1878</v>
      </c>
      <c r="C567" t="s">
        <v>356</v>
      </c>
      <c r="D567" t="s">
        <v>357</v>
      </c>
      <c r="E567" t="s">
        <v>358</v>
      </c>
      <c r="F567" t="s">
        <v>15</v>
      </c>
      <c r="G567" t="s">
        <v>37</v>
      </c>
      <c r="H567" t="s">
        <v>359</v>
      </c>
      <c r="I567" t="s">
        <v>50</v>
      </c>
      <c r="J567">
        <v>1</v>
      </c>
      <c r="K567">
        <v>500</v>
      </c>
      <c r="L567">
        <v>500</v>
      </c>
      <c r="M567">
        <v>500</v>
      </c>
      <c r="N567" t="s">
        <v>19</v>
      </c>
    </row>
    <row r="568" spans="1:14" x14ac:dyDescent="0.25">
      <c r="A568" t="s">
        <v>1669</v>
      </c>
      <c r="B568" t="s">
        <v>1878</v>
      </c>
      <c r="C568" t="s">
        <v>356</v>
      </c>
      <c r="D568" t="s">
        <v>357</v>
      </c>
      <c r="E568" t="s">
        <v>358</v>
      </c>
      <c r="F568" t="s">
        <v>15</v>
      </c>
      <c r="G568" t="s">
        <v>37</v>
      </c>
      <c r="H568" t="s">
        <v>359</v>
      </c>
      <c r="I568" t="s">
        <v>116</v>
      </c>
      <c r="J568">
        <v>1</v>
      </c>
      <c r="K568">
        <v>2185</v>
      </c>
      <c r="L568">
        <v>3500</v>
      </c>
      <c r="M568">
        <v>3500</v>
      </c>
      <c r="N568" t="s">
        <v>19</v>
      </c>
    </row>
    <row r="569" spans="1:14" x14ac:dyDescent="0.25">
      <c r="A569" t="s">
        <v>1669</v>
      </c>
      <c r="B569" t="s">
        <v>1878</v>
      </c>
      <c r="C569" t="s">
        <v>356</v>
      </c>
      <c r="D569" t="s">
        <v>357</v>
      </c>
      <c r="E569" t="s">
        <v>358</v>
      </c>
      <c r="F569" t="s">
        <v>15</v>
      </c>
      <c r="G569" t="s">
        <v>37</v>
      </c>
      <c r="H569" t="s">
        <v>359</v>
      </c>
      <c r="I569" t="s">
        <v>361</v>
      </c>
      <c r="J569">
        <v>1</v>
      </c>
      <c r="K569">
        <v>8500</v>
      </c>
      <c r="L569">
        <v>12500</v>
      </c>
      <c r="M569">
        <v>12500</v>
      </c>
      <c r="N569" t="s">
        <v>19</v>
      </c>
    </row>
    <row r="570" spans="1:14" x14ac:dyDescent="0.25">
      <c r="A570" t="s">
        <v>1669</v>
      </c>
      <c r="B570" t="s">
        <v>1878</v>
      </c>
      <c r="C570" t="s">
        <v>356</v>
      </c>
      <c r="D570" t="s">
        <v>357</v>
      </c>
      <c r="E570" t="s">
        <v>358</v>
      </c>
      <c r="F570" t="s">
        <v>15</v>
      </c>
      <c r="G570" t="s">
        <v>37</v>
      </c>
      <c r="H570" t="s">
        <v>359</v>
      </c>
      <c r="I570" t="s">
        <v>63</v>
      </c>
      <c r="J570">
        <v>1</v>
      </c>
      <c r="K570">
        <v>600</v>
      </c>
      <c r="L570">
        <v>600</v>
      </c>
      <c r="M570">
        <v>600</v>
      </c>
      <c r="N570" t="s">
        <v>19</v>
      </c>
    </row>
    <row r="571" spans="1:14" x14ac:dyDescent="0.25">
      <c r="A571" t="s">
        <v>1486</v>
      </c>
      <c r="B571" t="s">
        <v>1879</v>
      </c>
      <c r="C571" t="s">
        <v>402</v>
      </c>
      <c r="D571" t="s">
        <v>20</v>
      </c>
      <c r="E571" t="s">
        <v>31</v>
      </c>
      <c r="F571" t="s">
        <v>15</v>
      </c>
      <c r="G571" t="s">
        <v>22</v>
      </c>
      <c r="H571" t="s">
        <v>359</v>
      </c>
      <c r="I571" t="s">
        <v>33</v>
      </c>
      <c r="J571">
        <v>3</v>
      </c>
      <c r="K571">
        <v>6500</v>
      </c>
      <c r="L571">
        <v>6500</v>
      </c>
      <c r="M571">
        <v>19500</v>
      </c>
      <c r="N571" t="s">
        <v>19</v>
      </c>
    </row>
    <row r="572" spans="1:14" x14ac:dyDescent="0.25">
      <c r="A572" t="s">
        <v>1486</v>
      </c>
      <c r="B572" t="s">
        <v>1880</v>
      </c>
      <c r="C572" t="s">
        <v>405</v>
      </c>
      <c r="D572" t="s">
        <v>20</v>
      </c>
      <c r="E572" t="s">
        <v>31</v>
      </c>
      <c r="F572" t="s">
        <v>15</v>
      </c>
      <c r="G572" t="s">
        <v>22</v>
      </c>
      <c r="H572" t="s">
        <v>359</v>
      </c>
      <c r="I572" t="s">
        <v>33</v>
      </c>
      <c r="J572">
        <v>1</v>
      </c>
      <c r="K572">
        <v>6500</v>
      </c>
      <c r="L572">
        <v>6500</v>
      </c>
      <c r="M572">
        <v>6500</v>
      </c>
      <c r="N572" t="s">
        <v>19</v>
      </c>
    </row>
    <row r="573" spans="1:14" x14ac:dyDescent="0.25">
      <c r="A573" t="s">
        <v>1486</v>
      </c>
      <c r="B573" t="s">
        <v>1881</v>
      </c>
      <c r="C573" t="s">
        <v>409</v>
      </c>
      <c r="D573" t="s">
        <v>20</v>
      </c>
      <c r="E573" t="s">
        <v>31</v>
      </c>
      <c r="F573" t="s">
        <v>15</v>
      </c>
      <c r="G573" t="s">
        <v>22</v>
      </c>
      <c r="H573" t="s">
        <v>359</v>
      </c>
      <c r="I573" t="s">
        <v>33</v>
      </c>
      <c r="J573">
        <v>1</v>
      </c>
      <c r="K573">
        <v>6500</v>
      </c>
      <c r="L573">
        <v>6500</v>
      </c>
      <c r="M573">
        <v>6500</v>
      </c>
      <c r="N573" t="s">
        <v>19</v>
      </c>
    </row>
    <row r="574" spans="1:14" x14ac:dyDescent="0.25">
      <c r="A574" t="s">
        <v>1486</v>
      </c>
      <c r="B574" t="s">
        <v>1882</v>
      </c>
      <c r="C574" t="s">
        <v>410</v>
      </c>
      <c r="D574" t="s">
        <v>20</v>
      </c>
      <c r="E574" t="s">
        <v>31</v>
      </c>
      <c r="F574" t="s">
        <v>15</v>
      </c>
      <c r="G574" t="s">
        <v>22</v>
      </c>
      <c r="H574" t="s">
        <v>359</v>
      </c>
      <c r="I574" t="s">
        <v>33</v>
      </c>
      <c r="J574">
        <v>5</v>
      </c>
      <c r="K574">
        <v>6500</v>
      </c>
      <c r="L574">
        <v>6500</v>
      </c>
      <c r="M574">
        <v>32500</v>
      </c>
      <c r="N574" t="s">
        <v>19</v>
      </c>
    </row>
    <row r="575" spans="1:14" x14ac:dyDescent="0.25">
      <c r="A575" t="s">
        <v>1486</v>
      </c>
      <c r="B575" t="s">
        <v>1883</v>
      </c>
      <c r="C575" t="s">
        <v>413</v>
      </c>
      <c r="D575" t="s">
        <v>20</v>
      </c>
      <c r="E575" t="s">
        <v>31</v>
      </c>
      <c r="F575" t="s">
        <v>15</v>
      </c>
      <c r="G575" t="s">
        <v>22</v>
      </c>
      <c r="H575" t="s">
        <v>359</v>
      </c>
      <c r="I575" t="s">
        <v>33</v>
      </c>
      <c r="J575">
        <v>2</v>
      </c>
      <c r="K575">
        <v>6500</v>
      </c>
      <c r="L575">
        <v>6500</v>
      </c>
      <c r="M575">
        <v>13000</v>
      </c>
      <c r="N575" t="s">
        <v>19</v>
      </c>
    </row>
    <row r="576" spans="1:14" x14ac:dyDescent="0.25">
      <c r="A576" t="s">
        <v>1486</v>
      </c>
      <c r="B576" t="s">
        <v>1884</v>
      </c>
      <c r="C576" t="s">
        <v>424</v>
      </c>
      <c r="D576" t="s">
        <v>20</v>
      </c>
      <c r="E576" t="s">
        <v>31</v>
      </c>
      <c r="F576" t="s">
        <v>15</v>
      </c>
      <c r="G576" t="s">
        <v>22</v>
      </c>
      <c r="H576" t="s">
        <v>359</v>
      </c>
      <c r="I576" t="s">
        <v>33</v>
      </c>
      <c r="J576">
        <v>1</v>
      </c>
      <c r="K576">
        <v>6500</v>
      </c>
      <c r="L576">
        <v>6500</v>
      </c>
      <c r="M576">
        <v>6500</v>
      </c>
      <c r="N576" t="s">
        <v>19</v>
      </c>
    </row>
    <row r="577" spans="1:14" x14ac:dyDescent="0.25">
      <c r="A577" t="s">
        <v>1507</v>
      </c>
      <c r="B577" t="s">
        <v>1885</v>
      </c>
      <c r="C577" t="s">
        <v>429</v>
      </c>
      <c r="D577" t="s">
        <v>20</v>
      </c>
      <c r="E577" t="s">
        <v>119</v>
      </c>
      <c r="F577" t="s">
        <v>15</v>
      </c>
      <c r="G577" t="s">
        <v>22</v>
      </c>
      <c r="H577" t="s">
        <v>359</v>
      </c>
      <c r="I577" t="s">
        <v>121</v>
      </c>
      <c r="J577">
        <v>50</v>
      </c>
      <c r="K577">
        <v>32</v>
      </c>
      <c r="L577">
        <v>50</v>
      </c>
      <c r="M577">
        <v>2500</v>
      </c>
      <c r="N577" t="s">
        <v>19</v>
      </c>
    </row>
    <row r="578" spans="1:14" x14ac:dyDescent="0.25">
      <c r="A578" t="s">
        <v>1514</v>
      </c>
      <c r="B578" t="s">
        <v>1886</v>
      </c>
      <c r="C578" t="s">
        <v>433</v>
      </c>
      <c r="D578" t="s">
        <v>20</v>
      </c>
      <c r="E578" t="s">
        <v>434</v>
      </c>
      <c r="F578" t="s">
        <v>15</v>
      </c>
      <c r="G578" t="s">
        <v>22</v>
      </c>
      <c r="H578" t="s">
        <v>359</v>
      </c>
      <c r="I578" t="s">
        <v>145</v>
      </c>
      <c r="J578">
        <v>1</v>
      </c>
      <c r="K578">
        <v>2975</v>
      </c>
      <c r="L578">
        <v>8500</v>
      </c>
      <c r="M578">
        <v>8500</v>
      </c>
      <c r="N578" t="s">
        <v>19</v>
      </c>
    </row>
    <row r="579" spans="1:14" x14ac:dyDescent="0.25">
      <c r="A579" t="s">
        <v>1514</v>
      </c>
      <c r="B579" t="s">
        <v>1886</v>
      </c>
      <c r="C579" t="s">
        <v>433</v>
      </c>
      <c r="D579" t="s">
        <v>20</v>
      </c>
      <c r="E579" t="s">
        <v>434</v>
      </c>
      <c r="F579" t="s">
        <v>15</v>
      </c>
      <c r="G579" t="s">
        <v>22</v>
      </c>
      <c r="H579" t="s">
        <v>359</v>
      </c>
      <c r="I579" t="s">
        <v>25</v>
      </c>
      <c r="J579">
        <v>1</v>
      </c>
      <c r="K579">
        <v>8000</v>
      </c>
      <c r="L579">
        <v>8000</v>
      </c>
      <c r="M579">
        <v>8000</v>
      </c>
      <c r="N579" t="s">
        <v>19</v>
      </c>
    </row>
    <row r="580" spans="1:14" x14ac:dyDescent="0.25">
      <c r="A580" t="s">
        <v>1514</v>
      </c>
      <c r="B580" t="s">
        <v>1886</v>
      </c>
      <c r="C580" t="s">
        <v>433</v>
      </c>
      <c r="D580" t="s">
        <v>20</v>
      </c>
      <c r="E580" t="s">
        <v>434</v>
      </c>
      <c r="F580" t="s">
        <v>15</v>
      </c>
      <c r="G580" t="s">
        <v>22</v>
      </c>
      <c r="H580" t="s">
        <v>359</v>
      </c>
      <c r="I580" t="s">
        <v>24</v>
      </c>
      <c r="J580">
        <v>1</v>
      </c>
      <c r="K580">
        <v>8000</v>
      </c>
      <c r="L580">
        <v>8000</v>
      </c>
      <c r="M580">
        <v>8000</v>
      </c>
      <c r="N580" t="s">
        <v>19</v>
      </c>
    </row>
    <row r="581" spans="1:14" x14ac:dyDescent="0.25">
      <c r="A581" t="s">
        <v>1514</v>
      </c>
      <c r="B581" t="s">
        <v>1886</v>
      </c>
      <c r="C581" t="s">
        <v>433</v>
      </c>
      <c r="D581" t="s">
        <v>20</v>
      </c>
      <c r="E581" t="s">
        <v>434</v>
      </c>
      <c r="F581" t="s">
        <v>15</v>
      </c>
      <c r="G581" t="s">
        <v>22</v>
      </c>
      <c r="H581" t="s">
        <v>359</v>
      </c>
      <c r="I581" t="s">
        <v>134</v>
      </c>
      <c r="J581">
        <v>1</v>
      </c>
      <c r="K581">
        <v>500</v>
      </c>
      <c r="L581">
        <v>500</v>
      </c>
      <c r="M581">
        <v>500</v>
      </c>
      <c r="N581" t="s">
        <v>19</v>
      </c>
    </row>
    <row r="582" spans="1:14" x14ac:dyDescent="0.25">
      <c r="A582" t="s">
        <v>1486</v>
      </c>
      <c r="B582" t="s">
        <v>1887</v>
      </c>
      <c r="C582" t="s">
        <v>438</v>
      </c>
      <c r="D582" t="s">
        <v>20</v>
      </c>
      <c r="E582" t="s">
        <v>31</v>
      </c>
      <c r="F582" t="s">
        <v>15</v>
      </c>
      <c r="G582" t="s">
        <v>22</v>
      </c>
      <c r="H582" t="s">
        <v>359</v>
      </c>
      <c r="I582" t="s">
        <v>154</v>
      </c>
      <c r="J582">
        <v>5</v>
      </c>
      <c r="K582">
        <v>1100</v>
      </c>
      <c r="L582">
        <v>1700</v>
      </c>
      <c r="M582">
        <v>8500</v>
      </c>
      <c r="N582" t="s">
        <v>19</v>
      </c>
    </row>
    <row r="583" spans="1:14" x14ac:dyDescent="0.25">
      <c r="A583" t="s">
        <v>1609</v>
      </c>
      <c r="B583" t="s">
        <v>1888</v>
      </c>
      <c r="C583" t="s">
        <v>439</v>
      </c>
      <c r="D583" t="s">
        <v>191</v>
      </c>
      <c r="E583" t="s">
        <v>192</v>
      </c>
      <c r="F583" t="s">
        <v>15</v>
      </c>
      <c r="G583" t="s">
        <v>22</v>
      </c>
      <c r="H583" t="s">
        <v>359</v>
      </c>
      <c r="I583" t="s">
        <v>440</v>
      </c>
      <c r="J583">
        <v>3</v>
      </c>
      <c r="K583">
        <v>9500</v>
      </c>
      <c r="L583">
        <v>13500</v>
      </c>
      <c r="M583">
        <v>40500</v>
      </c>
      <c r="N583" t="s">
        <v>19</v>
      </c>
    </row>
    <row r="584" spans="1:14" x14ac:dyDescent="0.25">
      <c r="A584" t="s">
        <v>1687</v>
      </c>
      <c r="B584" t="s">
        <v>1889</v>
      </c>
      <c r="C584" t="s">
        <v>206</v>
      </c>
      <c r="D584" t="s">
        <v>1062</v>
      </c>
      <c r="E584" t="s">
        <v>1063</v>
      </c>
      <c r="F584" t="s">
        <v>1064</v>
      </c>
      <c r="G584" t="s">
        <v>1031</v>
      </c>
      <c r="H584" t="s">
        <v>1065</v>
      </c>
      <c r="I584" t="s">
        <v>1009</v>
      </c>
      <c r="J584">
        <v>1</v>
      </c>
      <c r="K584">
        <v>3675</v>
      </c>
      <c r="L584">
        <v>10500</v>
      </c>
      <c r="M584">
        <v>10500</v>
      </c>
      <c r="N584" t="s">
        <v>1010</v>
      </c>
    </row>
    <row r="585" spans="1:14" x14ac:dyDescent="0.25">
      <c r="A585" t="s">
        <v>1687</v>
      </c>
      <c r="B585" t="s">
        <v>1889</v>
      </c>
      <c r="C585" t="s">
        <v>206</v>
      </c>
      <c r="D585" t="s">
        <v>1062</v>
      </c>
      <c r="E585" t="s">
        <v>1063</v>
      </c>
      <c r="F585" t="s">
        <v>1064</v>
      </c>
      <c r="G585" t="s">
        <v>1031</v>
      </c>
      <c r="H585" t="s">
        <v>1065</v>
      </c>
      <c r="I585" t="s">
        <v>1011</v>
      </c>
      <c r="J585">
        <v>1</v>
      </c>
      <c r="K585">
        <v>3500</v>
      </c>
      <c r="L585">
        <v>11500</v>
      </c>
      <c r="M585">
        <v>11500</v>
      </c>
      <c r="N585" t="s">
        <v>1010</v>
      </c>
    </row>
    <row r="586" spans="1:14" x14ac:dyDescent="0.25">
      <c r="A586" t="s">
        <v>1687</v>
      </c>
      <c r="B586" t="s">
        <v>1889</v>
      </c>
      <c r="C586" t="s">
        <v>206</v>
      </c>
      <c r="D586" t="s">
        <v>1062</v>
      </c>
      <c r="E586" t="s">
        <v>1063</v>
      </c>
      <c r="F586" t="s">
        <v>1064</v>
      </c>
      <c r="G586" t="s">
        <v>1031</v>
      </c>
      <c r="H586" t="s">
        <v>1065</v>
      </c>
      <c r="I586" t="s">
        <v>24</v>
      </c>
      <c r="J586">
        <v>1</v>
      </c>
      <c r="K586">
        <v>3500</v>
      </c>
      <c r="L586">
        <v>11500</v>
      </c>
      <c r="M586">
        <v>11500</v>
      </c>
      <c r="N586" t="s">
        <v>1010</v>
      </c>
    </row>
    <row r="587" spans="1:14" x14ac:dyDescent="0.25">
      <c r="A587" t="s">
        <v>1687</v>
      </c>
      <c r="B587" t="s">
        <v>1889</v>
      </c>
      <c r="C587" t="s">
        <v>206</v>
      </c>
      <c r="D587" t="s">
        <v>1062</v>
      </c>
      <c r="E587" t="s">
        <v>1063</v>
      </c>
      <c r="F587" t="s">
        <v>1064</v>
      </c>
      <c r="G587" t="s">
        <v>1031</v>
      </c>
      <c r="H587" t="s">
        <v>1065</v>
      </c>
      <c r="I587" t="s">
        <v>26</v>
      </c>
      <c r="J587">
        <v>1</v>
      </c>
      <c r="K587">
        <v>500</v>
      </c>
      <c r="L587">
        <v>500</v>
      </c>
      <c r="M587">
        <v>500</v>
      </c>
      <c r="N587" t="s">
        <v>1010</v>
      </c>
    </row>
    <row r="588" spans="1:14" x14ac:dyDescent="0.25">
      <c r="A588" t="s">
        <v>1687</v>
      </c>
      <c r="B588" t="s">
        <v>1889</v>
      </c>
      <c r="C588" t="s">
        <v>206</v>
      </c>
      <c r="D588" t="s">
        <v>1062</v>
      </c>
      <c r="E588" t="s">
        <v>1063</v>
      </c>
      <c r="F588" t="s">
        <v>1064</v>
      </c>
      <c r="G588" t="s">
        <v>1031</v>
      </c>
      <c r="H588" t="s">
        <v>1065</v>
      </c>
      <c r="I588" t="s">
        <v>1066</v>
      </c>
      <c r="J588">
        <v>1</v>
      </c>
      <c r="K588">
        <v>23450</v>
      </c>
      <c r="L588">
        <v>30300</v>
      </c>
      <c r="M588">
        <v>30300</v>
      </c>
      <c r="N588" t="s">
        <v>1010</v>
      </c>
    </row>
    <row r="589" spans="1:14" x14ac:dyDescent="0.25">
      <c r="A589" t="s">
        <v>1687</v>
      </c>
      <c r="B589" t="s">
        <v>1889</v>
      </c>
      <c r="C589" t="s">
        <v>206</v>
      </c>
      <c r="D589" t="s">
        <v>1062</v>
      </c>
      <c r="E589" t="s">
        <v>1063</v>
      </c>
      <c r="F589" t="s">
        <v>1064</v>
      </c>
      <c r="G589" t="s">
        <v>1031</v>
      </c>
      <c r="H589" t="s">
        <v>1065</v>
      </c>
      <c r="I589" t="s">
        <v>151</v>
      </c>
      <c r="J589">
        <v>1</v>
      </c>
      <c r="K589">
        <v>2800</v>
      </c>
      <c r="L589">
        <v>4000</v>
      </c>
      <c r="M589">
        <v>4000</v>
      </c>
      <c r="N589" t="s">
        <v>1010</v>
      </c>
    </row>
    <row r="590" spans="1:14" x14ac:dyDescent="0.25">
      <c r="A590" t="s">
        <v>1687</v>
      </c>
      <c r="B590" t="s">
        <v>1889</v>
      </c>
      <c r="C590" t="s">
        <v>206</v>
      </c>
      <c r="D590" t="s">
        <v>1062</v>
      </c>
      <c r="E590" t="s">
        <v>1063</v>
      </c>
      <c r="F590" t="s">
        <v>1064</v>
      </c>
      <c r="G590" t="s">
        <v>1031</v>
      </c>
      <c r="H590" t="s">
        <v>1065</v>
      </c>
      <c r="I590" t="s">
        <v>189</v>
      </c>
      <c r="J590">
        <v>1</v>
      </c>
      <c r="K590">
        <v>500</v>
      </c>
      <c r="L590">
        <v>700</v>
      </c>
      <c r="M590">
        <v>700</v>
      </c>
      <c r="N590" t="s">
        <v>1010</v>
      </c>
    </row>
    <row r="591" spans="1:14" x14ac:dyDescent="0.25">
      <c r="A591" t="s">
        <v>1687</v>
      </c>
      <c r="B591" t="s">
        <v>1889</v>
      </c>
      <c r="C591" t="s">
        <v>206</v>
      </c>
      <c r="D591" t="s">
        <v>1062</v>
      </c>
      <c r="E591" t="s">
        <v>1063</v>
      </c>
      <c r="F591" t="s">
        <v>1064</v>
      </c>
      <c r="G591" t="s">
        <v>1031</v>
      </c>
      <c r="H591" t="s">
        <v>1065</v>
      </c>
      <c r="I591" t="s">
        <v>1033</v>
      </c>
      <c r="J591">
        <v>1</v>
      </c>
      <c r="K591">
        <v>350</v>
      </c>
      <c r="L591">
        <v>500</v>
      </c>
      <c r="M591">
        <v>500</v>
      </c>
      <c r="N591" t="s">
        <v>1010</v>
      </c>
    </row>
    <row r="592" spans="1:14" x14ac:dyDescent="0.25">
      <c r="A592" t="s">
        <v>1687</v>
      </c>
      <c r="B592" t="s">
        <v>1889</v>
      </c>
      <c r="C592" t="s">
        <v>206</v>
      </c>
      <c r="D592" t="s">
        <v>1062</v>
      </c>
      <c r="E592" t="s">
        <v>1063</v>
      </c>
      <c r="F592" t="s">
        <v>1064</v>
      </c>
      <c r="G592" t="s">
        <v>1031</v>
      </c>
      <c r="H592" t="s">
        <v>1065</v>
      </c>
      <c r="I592" t="s">
        <v>1014</v>
      </c>
      <c r="J592">
        <v>1</v>
      </c>
      <c r="K592">
        <v>935</v>
      </c>
      <c r="L592">
        <v>1500</v>
      </c>
      <c r="M592">
        <v>1500</v>
      </c>
      <c r="N592" t="s">
        <v>1010</v>
      </c>
    </row>
    <row r="593" spans="1:14" x14ac:dyDescent="0.25">
      <c r="A593" t="s">
        <v>1687</v>
      </c>
      <c r="B593" t="s">
        <v>1889</v>
      </c>
      <c r="C593" t="s">
        <v>206</v>
      </c>
      <c r="D593" t="s">
        <v>1062</v>
      </c>
      <c r="E593" t="s">
        <v>1063</v>
      </c>
      <c r="F593" t="s">
        <v>1064</v>
      </c>
      <c r="G593" t="s">
        <v>1031</v>
      </c>
      <c r="H593" t="s">
        <v>1065</v>
      </c>
      <c r="I593" t="s">
        <v>1067</v>
      </c>
      <c r="J593">
        <v>1</v>
      </c>
      <c r="K593">
        <v>4250</v>
      </c>
      <c r="L593">
        <v>6500</v>
      </c>
      <c r="M593">
        <v>6500</v>
      </c>
      <c r="N593" t="s">
        <v>1010</v>
      </c>
    </row>
    <row r="594" spans="1:14" x14ac:dyDescent="0.25">
      <c r="A594" t="s">
        <v>1687</v>
      </c>
      <c r="B594" t="s">
        <v>1889</v>
      </c>
      <c r="C594" t="s">
        <v>206</v>
      </c>
      <c r="D594" t="s">
        <v>1062</v>
      </c>
      <c r="E594" t="s">
        <v>1063</v>
      </c>
      <c r="F594" t="s">
        <v>1064</v>
      </c>
      <c r="G594" t="s">
        <v>1031</v>
      </c>
      <c r="H594" t="s">
        <v>1065</v>
      </c>
      <c r="I594" t="s">
        <v>85</v>
      </c>
      <c r="J594">
        <v>1</v>
      </c>
      <c r="K594">
        <v>1350</v>
      </c>
      <c r="L594">
        <v>2000</v>
      </c>
      <c r="M594">
        <v>2000</v>
      </c>
      <c r="N594" t="s">
        <v>1010</v>
      </c>
    </row>
    <row r="595" spans="1:14" x14ac:dyDescent="0.25">
      <c r="A595" t="s">
        <v>1687</v>
      </c>
      <c r="B595" t="s">
        <v>1889</v>
      </c>
      <c r="C595" t="s">
        <v>206</v>
      </c>
      <c r="D595" t="s">
        <v>1062</v>
      </c>
      <c r="E595" t="s">
        <v>1063</v>
      </c>
      <c r="F595" t="s">
        <v>1064</v>
      </c>
      <c r="G595" t="s">
        <v>1031</v>
      </c>
      <c r="H595" t="s">
        <v>1065</v>
      </c>
      <c r="I595" t="s">
        <v>97</v>
      </c>
      <c r="J595">
        <v>1</v>
      </c>
      <c r="K595">
        <v>2200</v>
      </c>
      <c r="L595">
        <v>3500</v>
      </c>
      <c r="M595">
        <v>3500</v>
      </c>
      <c r="N595" t="s">
        <v>1010</v>
      </c>
    </row>
    <row r="596" spans="1:14" x14ac:dyDescent="0.25">
      <c r="A596" t="s">
        <v>1687</v>
      </c>
      <c r="B596" t="s">
        <v>1889</v>
      </c>
      <c r="C596" t="s">
        <v>206</v>
      </c>
      <c r="D596" t="s">
        <v>1062</v>
      </c>
      <c r="E596" t="s">
        <v>1063</v>
      </c>
      <c r="F596" t="s">
        <v>1064</v>
      </c>
      <c r="G596" t="s">
        <v>1031</v>
      </c>
      <c r="H596" t="s">
        <v>1065</v>
      </c>
      <c r="I596" t="s">
        <v>63</v>
      </c>
      <c r="J596">
        <v>1</v>
      </c>
      <c r="K596">
        <v>500</v>
      </c>
      <c r="L596">
        <v>500</v>
      </c>
      <c r="M596">
        <v>500</v>
      </c>
      <c r="N596" t="s">
        <v>1010</v>
      </c>
    </row>
    <row r="597" spans="1:14" x14ac:dyDescent="0.25">
      <c r="A597" t="s">
        <v>1469</v>
      </c>
      <c r="B597" t="s">
        <v>1890</v>
      </c>
      <c r="C597" t="s">
        <v>362</v>
      </c>
      <c r="D597" t="s">
        <v>363</v>
      </c>
      <c r="E597" t="s">
        <v>364</v>
      </c>
      <c r="F597" t="s">
        <v>15</v>
      </c>
      <c r="G597" t="s">
        <v>22</v>
      </c>
      <c r="H597" t="s">
        <v>365</v>
      </c>
      <c r="I597" t="s">
        <v>154</v>
      </c>
      <c r="J597">
        <v>10</v>
      </c>
      <c r="K597">
        <v>1100</v>
      </c>
      <c r="L597">
        <v>1325</v>
      </c>
      <c r="M597">
        <v>13250</v>
      </c>
      <c r="N597" t="s">
        <v>19</v>
      </c>
    </row>
    <row r="598" spans="1:14" x14ac:dyDescent="0.25">
      <c r="A598" t="s">
        <v>1469</v>
      </c>
      <c r="B598" t="s">
        <v>1890</v>
      </c>
      <c r="C598" t="s">
        <v>362</v>
      </c>
      <c r="D598" t="s">
        <v>363</v>
      </c>
      <c r="E598" t="s">
        <v>364</v>
      </c>
      <c r="F598" t="s">
        <v>15</v>
      </c>
      <c r="G598" t="s">
        <v>22</v>
      </c>
      <c r="H598" t="s">
        <v>365</v>
      </c>
      <c r="I598" t="s">
        <v>366</v>
      </c>
      <c r="J598">
        <v>5</v>
      </c>
      <c r="K598">
        <v>65</v>
      </c>
      <c r="L598">
        <v>100</v>
      </c>
      <c r="M598">
        <v>500</v>
      </c>
      <c r="N598" t="s">
        <v>19</v>
      </c>
    </row>
    <row r="599" spans="1:14" x14ac:dyDescent="0.25">
      <c r="A599" t="s">
        <v>1593</v>
      </c>
      <c r="B599" t="s">
        <v>1891</v>
      </c>
      <c r="C599" t="s">
        <v>367</v>
      </c>
      <c r="D599" t="s">
        <v>253</v>
      </c>
      <c r="E599" t="s">
        <v>239</v>
      </c>
      <c r="F599" t="s">
        <v>15</v>
      </c>
      <c r="G599" t="s">
        <v>37</v>
      </c>
      <c r="H599" t="s">
        <v>365</v>
      </c>
      <c r="I599" t="s">
        <v>151</v>
      </c>
      <c r="J599">
        <v>1</v>
      </c>
      <c r="K599">
        <v>2800</v>
      </c>
      <c r="L599">
        <v>4000</v>
      </c>
      <c r="M599">
        <v>4000</v>
      </c>
      <c r="N599" t="s">
        <v>19</v>
      </c>
    </row>
    <row r="600" spans="1:14" x14ac:dyDescent="0.25">
      <c r="A600" t="s">
        <v>1654</v>
      </c>
      <c r="B600" t="s">
        <v>1892</v>
      </c>
      <c r="C600" t="s">
        <v>208</v>
      </c>
      <c r="D600" t="s">
        <v>1068</v>
      </c>
      <c r="E600" t="s">
        <v>1068</v>
      </c>
      <c r="F600" t="s">
        <v>1069</v>
      </c>
      <c r="G600" t="s">
        <v>37</v>
      </c>
      <c r="H600" t="s">
        <v>365</v>
      </c>
      <c r="I600" t="s">
        <v>1051</v>
      </c>
      <c r="J600">
        <v>2</v>
      </c>
      <c r="K600">
        <v>970</v>
      </c>
      <c r="L600">
        <v>1500</v>
      </c>
      <c r="M600">
        <v>3000</v>
      </c>
      <c r="N600" t="s">
        <v>1010</v>
      </c>
    </row>
    <row r="601" spans="1:14" x14ac:dyDescent="0.25">
      <c r="A601" t="s">
        <v>1606</v>
      </c>
      <c r="B601" t="s">
        <v>1893</v>
      </c>
      <c r="C601" t="s">
        <v>369</v>
      </c>
      <c r="D601" t="s">
        <v>123</v>
      </c>
      <c r="E601" t="s">
        <v>124</v>
      </c>
      <c r="F601" t="s">
        <v>15</v>
      </c>
      <c r="G601" t="s">
        <v>37</v>
      </c>
      <c r="H601" t="s">
        <v>370</v>
      </c>
      <c r="I601" t="s">
        <v>371</v>
      </c>
      <c r="J601">
        <v>1000</v>
      </c>
      <c r="K601">
        <v>32</v>
      </c>
      <c r="L601">
        <v>50</v>
      </c>
      <c r="M601">
        <v>50000</v>
      </c>
      <c r="N601" t="s">
        <v>19</v>
      </c>
    </row>
    <row r="602" spans="1:14" x14ac:dyDescent="0.25">
      <c r="A602" t="s">
        <v>1699</v>
      </c>
      <c r="B602" t="s">
        <v>1894</v>
      </c>
      <c r="C602" t="s">
        <v>377</v>
      </c>
      <c r="D602" t="s">
        <v>246</v>
      </c>
      <c r="E602" t="s">
        <v>247</v>
      </c>
      <c r="F602" t="s">
        <v>15</v>
      </c>
      <c r="G602" t="s">
        <v>378</v>
      </c>
      <c r="H602" t="s">
        <v>370</v>
      </c>
      <c r="I602" t="s">
        <v>371</v>
      </c>
      <c r="J602">
        <v>250</v>
      </c>
      <c r="K602">
        <v>32</v>
      </c>
      <c r="L602">
        <v>50</v>
      </c>
      <c r="M602">
        <v>12500</v>
      </c>
      <c r="N602" t="s">
        <v>19</v>
      </c>
    </row>
    <row r="603" spans="1:14" x14ac:dyDescent="0.25">
      <c r="A603" t="s">
        <v>1606</v>
      </c>
      <c r="B603" t="s">
        <v>1895</v>
      </c>
      <c r="C603" t="s">
        <v>382</v>
      </c>
      <c r="D603" t="s">
        <v>123</v>
      </c>
      <c r="E603" t="s">
        <v>124</v>
      </c>
      <c r="F603" t="s">
        <v>15</v>
      </c>
      <c r="G603" t="s">
        <v>16</v>
      </c>
      <c r="H603" t="s">
        <v>370</v>
      </c>
      <c r="I603" t="s">
        <v>125</v>
      </c>
      <c r="J603">
        <v>2</v>
      </c>
      <c r="K603">
        <v>7350</v>
      </c>
      <c r="L603">
        <v>10500</v>
      </c>
      <c r="M603">
        <v>21000</v>
      </c>
      <c r="N603" t="s">
        <v>19</v>
      </c>
    </row>
    <row r="604" spans="1:14" x14ac:dyDescent="0.25">
      <c r="A604" t="s">
        <v>1606</v>
      </c>
      <c r="B604" t="s">
        <v>1895</v>
      </c>
      <c r="C604" t="s">
        <v>382</v>
      </c>
      <c r="D604" t="s">
        <v>123</v>
      </c>
      <c r="E604" t="s">
        <v>124</v>
      </c>
      <c r="F604" t="s">
        <v>15</v>
      </c>
      <c r="G604" t="s">
        <v>16</v>
      </c>
      <c r="H604" t="s">
        <v>370</v>
      </c>
      <c r="I604" t="s">
        <v>48</v>
      </c>
      <c r="J604">
        <v>2</v>
      </c>
      <c r="K604">
        <v>11900</v>
      </c>
      <c r="L604">
        <v>17000</v>
      </c>
      <c r="M604">
        <v>34000</v>
      </c>
      <c r="N604" t="s">
        <v>19</v>
      </c>
    </row>
    <row r="605" spans="1:14" x14ac:dyDescent="0.25">
      <c r="A605" t="s">
        <v>1606</v>
      </c>
      <c r="B605" t="s">
        <v>1895</v>
      </c>
      <c r="C605" t="s">
        <v>382</v>
      </c>
      <c r="D605" t="s">
        <v>123</v>
      </c>
      <c r="E605" t="s">
        <v>124</v>
      </c>
      <c r="F605" t="s">
        <v>15</v>
      </c>
      <c r="G605" t="s">
        <v>16</v>
      </c>
      <c r="H605" t="s">
        <v>370</v>
      </c>
      <c r="I605" t="s">
        <v>126</v>
      </c>
      <c r="J605">
        <v>2</v>
      </c>
      <c r="K605">
        <v>11900</v>
      </c>
      <c r="L605">
        <v>17000</v>
      </c>
      <c r="M605">
        <v>34000</v>
      </c>
      <c r="N605" t="s">
        <v>19</v>
      </c>
    </row>
    <row r="606" spans="1:14" x14ac:dyDescent="0.25">
      <c r="A606" t="s">
        <v>1606</v>
      </c>
      <c r="B606" t="s">
        <v>1895</v>
      </c>
      <c r="C606" t="s">
        <v>382</v>
      </c>
      <c r="D606" t="s">
        <v>123</v>
      </c>
      <c r="E606" t="s">
        <v>124</v>
      </c>
      <c r="F606" t="s">
        <v>15</v>
      </c>
      <c r="G606" t="s">
        <v>16</v>
      </c>
      <c r="H606" t="s">
        <v>370</v>
      </c>
      <c r="I606" t="s">
        <v>50</v>
      </c>
      <c r="J606">
        <v>2</v>
      </c>
      <c r="K606">
        <v>500</v>
      </c>
      <c r="L606">
        <v>500</v>
      </c>
      <c r="M606">
        <v>1000</v>
      </c>
      <c r="N606" t="s">
        <v>19</v>
      </c>
    </row>
    <row r="607" spans="1:14" x14ac:dyDescent="0.25">
      <c r="A607" t="s">
        <v>1606</v>
      </c>
      <c r="B607" t="s">
        <v>1895</v>
      </c>
      <c r="C607" t="s">
        <v>382</v>
      </c>
      <c r="D607" t="s">
        <v>123</v>
      </c>
      <c r="E607" t="s">
        <v>124</v>
      </c>
      <c r="F607" t="s">
        <v>15</v>
      </c>
      <c r="G607" t="s">
        <v>16</v>
      </c>
      <c r="H607" t="s">
        <v>370</v>
      </c>
      <c r="I607" t="s">
        <v>127</v>
      </c>
      <c r="J607">
        <v>1</v>
      </c>
      <c r="K607">
        <v>3500</v>
      </c>
      <c r="L607">
        <v>10000</v>
      </c>
      <c r="M607">
        <v>10000</v>
      </c>
      <c r="N607" t="s">
        <v>19</v>
      </c>
    </row>
    <row r="608" spans="1:14" x14ac:dyDescent="0.25">
      <c r="A608" t="s">
        <v>1606</v>
      </c>
      <c r="B608" t="s">
        <v>1895</v>
      </c>
      <c r="C608" t="s">
        <v>382</v>
      </c>
      <c r="D608" t="s">
        <v>123</v>
      </c>
      <c r="E608" t="s">
        <v>124</v>
      </c>
      <c r="F608" t="s">
        <v>15</v>
      </c>
      <c r="G608" t="s">
        <v>16</v>
      </c>
      <c r="H608" t="s">
        <v>370</v>
      </c>
      <c r="I608" t="s">
        <v>60</v>
      </c>
      <c r="J608">
        <v>3</v>
      </c>
      <c r="K608">
        <v>11000</v>
      </c>
      <c r="L608">
        <v>16500</v>
      </c>
      <c r="M608">
        <v>49500</v>
      </c>
      <c r="N608" t="s">
        <v>19</v>
      </c>
    </row>
    <row r="609" spans="1:14" x14ac:dyDescent="0.25">
      <c r="A609" t="s">
        <v>1606</v>
      </c>
      <c r="B609" t="s">
        <v>1895</v>
      </c>
      <c r="C609" t="s">
        <v>382</v>
      </c>
      <c r="D609" t="s">
        <v>123</v>
      </c>
      <c r="E609" t="s">
        <v>124</v>
      </c>
      <c r="F609" t="s">
        <v>15</v>
      </c>
      <c r="G609" t="s">
        <v>16</v>
      </c>
      <c r="H609" t="s">
        <v>370</v>
      </c>
      <c r="I609" t="s">
        <v>383</v>
      </c>
      <c r="J609">
        <v>1</v>
      </c>
      <c r="K609">
        <v>4250</v>
      </c>
      <c r="L609">
        <v>6000</v>
      </c>
      <c r="M609">
        <v>6000</v>
      </c>
      <c r="N609" t="s">
        <v>19</v>
      </c>
    </row>
    <row r="610" spans="1:14" x14ac:dyDescent="0.25">
      <c r="A610" t="s">
        <v>1606</v>
      </c>
      <c r="B610" t="s">
        <v>1895</v>
      </c>
      <c r="C610" t="s">
        <v>382</v>
      </c>
      <c r="D610" t="s">
        <v>123</v>
      </c>
      <c r="E610" t="s">
        <v>124</v>
      </c>
      <c r="F610" t="s">
        <v>15</v>
      </c>
      <c r="G610" t="s">
        <v>16</v>
      </c>
      <c r="H610" t="s">
        <v>370</v>
      </c>
      <c r="I610" t="s">
        <v>116</v>
      </c>
      <c r="J610">
        <v>2</v>
      </c>
      <c r="K610">
        <v>2185</v>
      </c>
      <c r="L610">
        <v>3000</v>
      </c>
      <c r="M610">
        <v>6000</v>
      </c>
      <c r="N610" t="s">
        <v>19</v>
      </c>
    </row>
    <row r="611" spans="1:14" x14ac:dyDescent="0.25">
      <c r="A611" t="s">
        <v>1606</v>
      </c>
      <c r="B611" t="s">
        <v>1895</v>
      </c>
      <c r="C611" t="s">
        <v>382</v>
      </c>
      <c r="D611" t="s">
        <v>123</v>
      </c>
      <c r="E611" t="s">
        <v>124</v>
      </c>
      <c r="F611" t="s">
        <v>15</v>
      </c>
      <c r="G611" t="s">
        <v>16</v>
      </c>
      <c r="H611" t="s">
        <v>370</v>
      </c>
      <c r="I611" t="s">
        <v>97</v>
      </c>
      <c r="J611">
        <v>4</v>
      </c>
      <c r="K611">
        <v>2200</v>
      </c>
      <c r="L611">
        <v>3500</v>
      </c>
      <c r="M611">
        <v>14000</v>
      </c>
      <c r="N611" t="s">
        <v>19</v>
      </c>
    </row>
    <row r="612" spans="1:14" x14ac:dyDescent="0.25">
      <c r="A612" t="s">
        <v>1606</v>
      </c>
      <c r="B612" t="s">
        <v>1895</v>
      </c>
      <c r="C612" t="s">
        <v>382</v>
      </c>
      <c r="D612" t="s">
        <v>123</v>
      </c>
      <c r="E612" t="s">
        <v>124</v>
      </c>
      <c r="F612" t="s">
        <v>15</v>
      </c>
      <c r="G612" t="s">
        <v>16</v>
      </c>
      <c r="H612" t="s">
        <v>370</v>
      </c>
      <c r="I612" t="s">
        <v>129</v>
      </c>
      <c r="J612">
        <v>2</v>
      </c>
      <c r="K612">
        <v>5740.5</v>
      </c>
      <c r="L612">
        <v>8000</v>
      </c>
      <c r="M612">
        <v>16000</v>
      </c>
      <c r="N612" t="s">
        <v>19</v>
      </c>
    </row>
    <row r="613" spans="1:14" x14ac:dyDescent="0.25">
      <c r="A613" t="s">
        <v>1606</v>
      </c>
      <c r="B613" t="s">
        <v>1895</v>
      </c>
      <c r="C613" t="s">
        <v>382</v>
      </c>
      <c r="D613" t="s">
        <v>123</v>
      </c>
      <c r="E613" t="s">
        <v>124</v>
      </c>
      <c r="F613" t="s">
        <v>15</v>
      </c>
      <c r="G613" t="s">
        <v>16</v>
      </c>
      <c r="H613" t="s">
        <v>370</v>
      </c>
      <c r="I613" t="s">
        <v>248</v>
      </c>
      <c r="J613">
        <v>2</v>
      </c>
      <c r="K613">
        <v>8500</v>
      </c>
      <c r="L613">
        <v>13000</v>
      </c>
      <c r="M613">
        <v>26000</v>
      </c>
      <c r="N613" t="s">
        <v>19</v>
      </c>
    </row>
    <row r="614" spans="1:14" x14ac:dyDescent="0.25">
      <c r="A614" t="s">
        <v>1606</v>
      </c>
      <c r="B614" t="s">
        <v>1895</v>
      </c>
      <c r="C614" t="s">
        <v>382</v>
      </c>
      <c r="D614" t="s">
        <v>123</v>
      </c>
      <c r="E614" t="s">
        <v>124</v>
      </c>
      <c r="F614" t="s">
        <v>15</v>
      </c>
      <c r="G614" t="s">
        <v>16</v>
      </c>
      <c r="H614" t="s">
        <v>370</v>
      </c>
      <c r="I614" t="s">
        <v>384</v>
      </c>
      <c r="J614">
        <v>1</v>
      </c>
      <c r="K614">
        <v>8500</v>
      </c>
      <c r="L614">
        <v>13000</v>
      </c>
      <c r="M614">
        <v>13000</v>
      </c>
      <c r="N614" t="s">
        <v>19</v>
      </c>
    </row>
    <row r="615" spans="1:14" x14ac:dyDescent="0.25">
      <c r="A615" t="s">
        <v>1606</v>
      </c>
      <c r="B615" t="s">
        <v>1895</v>
      </c>
      <c r="C615" t="s">
        <v>382</v>
      </c>
      <c r="D615" t="s">
        <v>123</v>
      </c>
      <c r="E615" t="s">
        <v>124</v>
      </c>
      <c r="F615" t="s">
        <v>15</v>
      </c>
      <c r="G615" t="s">
        <v>16</v>
      </c>
      <c r="H615" t="s">
        <v>370</v>
      </c>
      <c r="I615" t="s">
        <v>249</v>
      </c>
      <c r="J615">
        <v>4</v>
      </c>
      <c r="K615">
        <v>21500</v>
      </c>
      <c r="L615">
        <v>31075</v>
      </c>
      <c r="M615">
        <v>124300</v>
      </c>
      <c r="N615" t="s">
        <v>19</v>
      </c>
    </row>
    <row r="616" spans="1:14" x14ac:dyDescent="0.25">
      <c r="A616" t="s">
        <v>1506</v>
      </c>
      <c r="B616" t="s">
        <v>1896</v>
      </c>
      <c r="C616" t="s">
        <v>448</v>
      </c>
      <c r="D616" t="s">
        <v>20</v>
      </c>
      <c r="E616" t="s">
        <v>73</v>
      </c>
      <c r="F616" t="s">
        <v>15</v>
      </c>
      <c r="G616" t="s">
        <v>22</v>
      </c>
      <c r="H616" t="s">
        <v>370</v>
      </c>
      <c r="I616" t="s">
        <v>235</v>
      </c>
      <c r="J616">
        <v>1</v>
      </c>
      <c r="K616">
        <v>1350</v>
      </c>
      <c r="L616">
        <v>2600</v>
      </c>
      <c r="M616">
        <v>2600</v>
      </c>
      <c r="N616" t="s">
        <v>19</v>
      </c>
    </row>
    <row r="617" spans="1:14" x14ac:dyDescent="0.25">
      <c r="A617" t="s">
        <v>1506</v>
      </c>
      <c r="B617" t="s">
        <v>1896</v>
      </c>
      <c r="C617" t="s">
        <v>448</v>
      </c>
      <c r="D617" t="s">
        <v>20</v>
      </c>
      <c r="E617" t="s">
        <v>73</v>
      </c>
      <c r="F617" t="s">
        <v>15</v>
      </c>
      <c r="G617" t="s">
        <v>22</v>
      </c>
      <c r="H617" t="s">
        <v>370</v>
      </c>
      <c r="I617" t="s">
        <v>76</v>
      </c>
      <c r="J617">
        <v>1</v>
      </c>
      <c r="K617">
        <v>500</v>
      </c>
      <c r="L617">
        <v>500</v>
      </c>
      <c r="M617">
        <v>500</v>
      </c>
      <c r="N617" t="s">
        <v>19</v>
      </c>
    </row>
    <row r="618" spans="1:14" x14ac:dyDescent="0.25">
      <c r="A618" t="s">
        <v>1485</v>
      </c>
      <c r="B618" t="s">
        <v>1897</v>
      </c>
      <c r="C618" t="s">
        <v>450</v>
      </c>
      <c r="D618" t="s">
        <v>20</v>
      </c>
      <c r="E618" t="s">
        <v>15</v>
      </c>
      <c r="F618" t="s">
        <v>15</v>
      </c>
      <c r="G618" t="s">
        <v>22</v>
      </c>
      <c r="H618" t="s">
        <v>454</v>
      </c>
      <c r="I618" t="s">
        <v>455</v>
      </c>
      <c r="J618">
        <v>10</v>
      </c>
      <c r="K618">
        <v>5075</v>
      </c>
      <c r="L618">
        <v>14500</v>
      </c>
      <c r="M618">
        <v>145000</v>
      </c>
      <c r="N618" t="s">
        <v>19</v>
      </c>
    </row>
    <row r="619" spans="1:14" x14ac:dyDescent="0.25">
      <c r="A619" t="s">
        <v>1485</v>
      </c>
      <c r="B619" t="s">
        <v>1897</v>
      </c>
      <c r="C619" t="s">
        <v>450</v>
      </c>
      <c r="D619" t="s">
        <v>20</v>
      </c>
      <c r="E619" t="s">
        <v>15</v>
      </c>
      <c r="F619" t="s">
        <v>15</v>
      </c>
      <c r="G619" t="s">
        <v>22</v>
      </c>
      <c r="H619" t="s">
        <v>454</v>
      </c>
      <c r="I619" t="s">
        <v>456</v>
      </c>
      <c r="J619">
        <v>1</v>
      </c>
      <c r="K619">
        <v>7000</v>
      </c>
      <c r="L619">
        <v>20000</v>
      </c>
      <c r="M619">
        <v>20000</v>
      </c>
      <c r="N619" t="s">
        <v>19</v>
      </c>
    </row>
    <row r="620" spans="1:14" x14ac:dyDescent="0.25">
      <c r="A620" t="s">
        <v>1485</v>
      </c>
      <c r="B620" t="s">
        <v>1897</v>
      </c>
      <c r="C620" t="s">
        <v>450</v>
      </c>
      <c r="D620" t="s">
        <v>20</v>
      </c>
      <c r="E620" t="s">
        <v>15</v>
      </c>
      <c r="F620" t="s">
        <v>15</v>
      </c>
      <c r="G620" t="s">
        <v>22</v>
      </c>
      <c r="H620" t="s">
        <v>454</v>
      </c>
      <c r="I620" t="s">
        <v>26</v>
      </c>
      <c r="J620">
        <v>10</v>
      </c>
      <c r="K620">
        <v>5000</v>
      </c>
      <c r="L620">
        <v>5000</v>
      </c>
      <c r="M620">
        <v>50000</v>
      </c>
      <c r="N620" t="s">
        <v>19</v>
      </c>
    </row>
    <row r="621" spans="1:14" x14ac:dyDescent="0.25">
      <c r="A621" t="s">
        <v>1486</v>
      </c>
      <c r="B621" t="s">
        <v>1898</v>
      </c>
      <c r="C621" t="s">
        <v>457</v>
      </c>
      <c r="D621" t="s">
        <v>20</v>
      </c>
      <c r="E621" t="s">
        <v>31</v>
      </c>
      <c r="F621" t="s">
        <v>15</v>
      </c>
      <c r="G621" t="s">
        <v>22</v>
      </c>
      <c r="H621" t="s">
        <v>454</v>
      </c>
      <c r="I621" t="s">
        <v>145</v>
      </c>
      <c r="J621">
        <v>1</v>
      </c>
      <c r="K621">
        <v>3675</v>
      </c>
      <c r="L621">
        <v>10500</v>
      </c>
      <c r="M621">
        <v>10500</v>
      </c>
      <c r="N621" t="s">
        <v>19</v>
      </c>
    </row>
    <row r="622" spans="1:14" x14ac:dyDescent="0.25">
      <c r="A622" t="s">
        <v>1486</v>
      </c>
      <c r="B622" t="s">
        <v>1898</v>
      </c>
      <c r="C622" t="s">
        <v>457</v>
      </c>
      <c r="D622" t="s">
        <v>20</v>
      </c>
      <c r="E622" t="s">
        <v>31</v>
      </c>
      <c r="F622" t="s">
        <v>15</v>
      </c>
      <c r="G622" t="s">
        <v>22</v>
      </c>
      <c r="H622" t="s">
        <v>454</v>
      </c>
      <c r="I622" t="s">
        <v>299</v>
      </c>
      <c r="J622">
        <v>1</v>
      </c>
      <c r="K622">
        <v>9500</v>
      </c>
      <c r="L622">
        <v>9500</v>
      </c>
      <c r="M622">
        <v>9500</v>
      </c>
      <c r="N622" t="s">
        <v>19</v>
      </c>
    </row>
    <row r="623" spans="1:14" x14ac:dyDescent="0.25">
      <c r="A623" t="s">
        <v>1486</v>
      </c>
      <c r="B623" t="s">
        <v>1898</v>
      </c>
      <c r="C623" t="s">
        <v>457</v>
      </c>
      <c r="D623" t="s">
        <v>20</v>
      </c>
      <c r="E623" t="s">
        <v>31</v>
      </c>
      <c r="F623" t="s">
        <v>15</v>
      </c>
      <c r="G623" t="s">
        <v>22</v>
      </c>
      <c r="H623" t="s">
        <v>454</v>
      </c>
      <c r="I623" t="s">
        <v>25</v>
      </c>
      <c r="J623">
        <v>1</v>
      </c>
      <c r="K623">
        <v>9500</v>
      </c>
      <c r="L623">
        <v>9500</v>
      </c>
      <c r="M623">
        <v>9500</v>
      </c>
      <c r="N623" t="s">
        <v>19</v>
      </c>
    </row>
    <row r="624" spans="1:14" x14ac:dyDescent="0.25">
      <c r="A624" t="s">
        <v>1486</v>
      </c>
      <c r="B624" t="s">
        <v>1898</v>
      </c>
      <c r="C624" t="s">
        <v>457</v>
      </c>
      <c r="D624" t="s">
        <v>20</v>
      </c>
      <c r="E624" t="s">
        <v>31</v>
      </c>
      <c r="F624" t="s">
        <v>15</v>
      </c>
      <c r="G624" t="s">
        <v>22</v>
      </c>
      <c r="H624" t="s">
        <v>454</v>
      </c>
      <c r="I624" t="s">
        <v>134</v>
      </c>
      <c r="J624">
        <v>1</v>
      </c>
      <c r="K624">
        <v>500</v>
      </c>
      <c r="L624">
        <v>500</v>
      </c>
      <c r="M624">
        <v>500</v>
      </c>
      <c r="N624" t="s">
        <v>19</v>
      </c>
    </row>
    <row r="625" spans="1:14" x14ac:dyDescent="0.25">
      <c r="A625" t="s">
        <v>1469</v>
      </c>
      <c r="B625" t="s">
        <v>1899</v>
      </c>
      <c r="C625" t="s">
        <v>386</v>
      </c>
      <c r="D625" t="s">
        <v>363</v>
      </c>
      <c r="E625" t="s">
        <v>364</v>
      </c>
      <c r="F625" t="s">
        <v>15</v>
      </c>
      <c r="G625" t="s">
        <v>22</v>
      </c>
      <c r="H625" t="s">
        <v>387</v>
      </c>
      <c r="I625" t="s">
        <v>151</v>
      </c>
      <c r="J625">
        <v>3</v>
      </c>
      <c r="K625">
        <v>2800</v>
      </c>
      <c r="L625">
        <v>4268</v>
      </c>
      <c r="M625">
        <v>12804</v>
      </c>
      <c r="N625" t="s">
        <v>19</v>
      </c>
    </row>
    <row r="626" spans="1:14" x14ac:dyDescent="0.25">
      <c r="A626" t="s">
        <v>1544</v>
      </c>
      <c r="B626" t="s">
        <v>1900</v>
      </c>
      <c r="C626" t="s">
        <v>389</v>
      </c>
      <c r="D626" t="s">
        <v>238</v>
      </c>
      <c r="E626" t="s">
        <v>239</v>
      </c>
      <c r="F626" t="s">
        <v>15</v>
      </c>
      <c r="G626" t="s">
        <v>37</v>
      </c>
      <c r="H626" t="s">
        <v>390</v>
      </c>
      <c r="I626" t="s">
        <v>209</v>
      </c>
      <c r="J626">
        <v>1</v>
      </c>
      <c r="K626">
        <v>23450</v>
      </c>
      <c r="L626">
        <v>31100</v>
      </c>
      <c r="M626">
        <v>31100</v>
      </c>
      <c r="N626" t="s">
        <v>19</v>
      </c>
    </row>
    <row r="627" spans="1:14" x14ac:dyDescent="0.25">
      <c r="A627" t="s">
        <v>1544</v>
      </c>
      <c r="B627" t="s">
        <v>1900</v>
      </c>
      <c r="C627" t="s">
        <v>389</v>
      </c>
      <c r="D627" t="s">
        <v>238</v>
      </c>
      <c r="E627" t="s">
        <v>239</v>
      </c>
      <c r="F627" t="s">
        <v>15</v>
      </c>
      <c r="G627" t="s">
        <v>37</v>
      </c>
      <c r="H627" t="s">
        <v>390</v>
      </c>
      <c r="I627" t="s">
        <v>151</v>
      </c>
      <c r="J627">
        <v>1</v>
      </c>
      <c r="K627">
        <v>2800</v>
      </c>
      <c r="L627">
        <v>4000</v>
      </c>
      <c r="M627">
        <v>4000</v>
      </c>
      <c r="N627" t="s">
        <v>19</v>
      </c>
    </row>
    <row r="628" spans="1:14" x14ac:dyDescent="0.25">
      <c r="A628" t="s">
        <v>1544</v>
      </c>
      <c r="B628" t="s">
        <v>1900</v>
      </c>
      <c r="C628" t="s">
        <v>389</v>
      </c>
      <c r="D628" t="s">
        <v>238</v>
      </c>
      <c r="E628" t="s">
        <v>239</v>
      </c>
      <c r="F628" t="s">
        <v>15</v>
      </c>
      <c r="G628" t="s">
        <v>37</v>
      </c>
      <c r="H628" t="s">
        <v>390</v>
      </c>
      <c r="I628" t="s">
        <v>210</v>
      </c>
      <c r="J628">
        <v>1</v>
      </c>
      <c r="K628">
        <v>530</v>
      </c>
      <c r="L628">
        <v>700</v>
      </c>
      <c r="M628">
        <v>700</v>
      </c>
      <c r="N628" t="s">
        <v>19</v>
      </c>
    </row>
    <row r="629" spans="1:14" x14ac:dyDescent="0.25">
      <c r="A629" t="s">
        <v>1544</v>
      </c>
      <c r="B629" t="s">
        <v>1900</v>
      </c>
      <c r="C629" t="s">
        <v>389</v>
      </c>
      <c r="D629" t="s">
        <v>238</v>
      </c>
      <c r="E629" t="s">
        <v>239</v>
      </c>
      <c r="F629" t="s">
        <v>15</v>
      </c>
      <c r="G629" t="s">
        <v>37</v>
      </c>
      <c r="H629" t="s">
        <v>390</v>
      </c>
      <c r="I629" t="s">
        <v>211</v>
      </c>
      <c r="J629">
        <v>1</v>
      </c>
      <c r="K629">
        <v>350</v>
      </c>
      <c r="L629">
        <v>500</v>
      </c>
      <c r="M629">
        <v>500</v>
      </c>
      <c r="N629" t="s">
        <v>19</v>
      </c>
    </row>
    <row r="630" spans="1:14" x14ac:dyDescent="0.25">
      <c r="A630" t="s">
        <v>1544</v>
      </c>
      <c r="B630" t="s">
        <v>1900</v>
      </c>
      <c r="C630" t="s">
        <v>389</v>
      </c>
      <c r="D630" t="s">
        <v>238</v>
      </c>
      <c r="E630" t="s">
        <v>239</v>
      </c>
      <c r="F630" t="s">
        <v>15</v>
      </c>
      <c r="G630" t="s">
        <v>37</v>
      </c>
      <c r="H630" t="s">
        <v>390</v>
      </c>
      <c r="I630" t="s">
        <v>298</v>
      </c>
      <c r="J630">
        <v>1</v>
      </c>
      <c r="K630">
        <v>11000</v>
      </c>
      <c r="L630">
        <v>16000</v>
      </c>
      <c r="M630">
        <v>16000</v>
      </c>
      <c r="N630" t="s">
        <v>19</v>
      </c>
    </row>
    <row r="631" spans="1:14" x14ac:dyDescent="0.25">
      <c r="A631" t="s">
        <v>1544</v>
      </c>
      <c r="B631" t="s">
        <v>1900</v>
      </c>
      <c r="C631" t="s">
        <v>389</v>
      </c>
      <c r="D631" t="s">
        <v>238</v>
      </c>
      <c r="E631" t="s">
        <v>239</v>
      </c>
      <c r="F631" t="s">
        <v>15</v>
      </c>
      <c r="G631" t="s">
        <v>37</v>
      </c>
      <c r="H631" t="s">
        <v>390</v>
      </c>
      <c r="I631" t="s">
        <v>50</v>
      </c>
      <c r="J631">
        <v>1</v>
      </c>
      <c r="K631">
        <v>500</v>
      </c>
      <c r="L631">
        <v>500</v>
      </c>
      <c r="M631">
        <v>500</v>
      </c>
      <c r="N631" t="s">
        <v>19</v>
      </c>
    </row>
    <row r="632" spans="1:14" x14ac:dyDescent="0.25">
      <c r="A632" t="s">
        <v>1544</v>
      </c>
      <c r="B632" t="s">
        <v>1900</v>
      </c>
      <c r="C632" t="s">
        <v>389</v>
      </c>
      <c r="D632" t="s">
        <v>238</v>
      </c>
      <c r="E632" t="s">
        <v>239</v>
      </c>
      <c r="F632" t="s">
        <v>15</v>
      </c>
      <c r="G632" t="s">
        <v>37</v>
      </c>
      <c r="H632" t="s">
        <v>390</v>
      </c>
      <c r="I632" t="s">
        <v>63</v>
      </c>
      <c r="J632">
        <v>1</v>
      </c>
      <c r="K632">
        <v>700</v>
      </c>
      <c r="L632">
        <v>700</v>
      </c>
      <c r="M632">
        <v>700</v>
      </c>
      <c r="N632" t="s">
        <v>19</v>
      </c>
    </row>
    <row r="633" spans="1:14" x14ac:dyDescent="0.25">
      <c r="A633" t="s">
        <v>1473</v>
      </c>
      <c r="B633" t="s">
        <v>1901</v>
      </c>
      <c r="C633" t="s">
        <v>459</v>
      </c>
      <c r="D633" t="s">
        <v>20</v>
      </c>
      <c r="E633" t="s">
        <v>168</v>
      </c>
      <c r="F633" t="s">
        <v>15</v>
      </c>
      <c r="G633" t="s">
        <v>22</v>
      </c>
      <c r="H633" t="s">
        <v>390</v>
      </c>
      <c r="I633" t="s">
        <v>169</v>
      </c>
      <c r="J633">
        <v>1</v>
      </c>
      <c r="K633">
        <v>3675</v>
      </c>
      <c r="L633">
        <v>10500</v>
      </c>
      <c r="M633">
        <v>10500</v>
      </c>
      <c r="N633" t="s">
        <v>19</v>
      </c>
    </row>
    <row r="634" spans="1:14" x14ac:dyDescent="0.25">
      <c r="A634" t="s">
        <v>1473</v>
      </c>
      <c r="B634" t="s">
        <v>1901</v>
      </c>
      <c r="C634" t="s">
        <v>459</v>
      </c>
      <c r="D634" t="s">
        <v>20</v>
      </c>
      <c r="E634" t="s">
        <v>168</v>
      </c>
      <c r="F634" t="s">
        <v>15</v>
      </c>
      <c r="G634" t="s">
        <v>22</v>
      </c>
      <c r="H634" t="s">
        <v>390</v>
      </c>
      <c r="I634" t="s">
        <v>170</v>
      </c>
      <c r="J634">
        <v>1</v>
      </c>
      <c r="K634">
        <v>4000</v>
      </c>
      <c r="L634">
        <v>4000</v>
      </c>
      <c r="M634">
        <v>4000</v>
      </c>
      <c r="N634" t="s">
        <v>19</v>
      </c>
    </row>
    <row r="635" spans="1:14" x14ac:dyDescent="0.25">
      <c r="A635" t="s">
        <v>1473</v>
      </c>
      <c r="B635" t="s">
        <v>1901</v>
      </c>
      <c r="C635" t="s">
        <v>459</v>
      </c>
      <c r="D635" t="s">
        <v>20</v>
      </c>
      <c r="E635" t="s">
        <v>168</v>
      </c>
      <c r="F635" t="s">
        <v>15</v>
      </c>
      <c r="G635" t="s">
        <v>22</v>
      </c>
      <c r="H635" t="s">
        <v>390</v>
      </c>
      <c r="I635" t="s">
        <v>24</v>
      </c>
      <c r="J635">
        <v>1</v>
      </c>
      <c r="K635">
        <v>4000</v>
      </c>
      <c r="L635">
        <v>4000</v>
      </c>
      <c r="M635">
        <v>4000</v>
      </c>
      <c r="N635" t="s">
        <v>19</v>
      </c>
    </row>
    <row r="636" spans="1:14" x14ac:dyDescent="0.25">
      <c r="A636" t="s">
        <v>1473</v>
      </c>
      <c r="B636" t="s">
        <v>1901</v>
      </c>
      <c r="C636" t="s">
        <v>459</v>
      </c>
      <c r="D636" t="s">
        <v>20</v>
      </c>
      <c r="E636" t="s">
        <v>168</v>
      </c>
      <c r="F636" t="s">
        <v>15</v>
      </c>
      <c r="G636" t="s">
        <v>22</v>
      </c>
      <c r="H636" t="s">
        <v>390</v>
      </c>
      <c r="I636" t="s">
        <v>171</v>
      </c>
      <c r="J636">
        <v>1</v>
      </c>
      <c r="K636">
        <v>500</v>
      </c>
      <c r="L636">
        <v>500</v>
      </c>
      <c r="M636">
        <v>500</v>
      </c>
      <c r="N636" t="s">
        <v>19</v>
      </c>
    </row>
    <row r="637" spans="1:14" x14ac:dyDescent="0.25">
      <c r="A637" t="s">
        <v>1473</v>
      </c>
      <c r="B637" t="s">
        <v>1902</v>
      </c>
      <c r="C637" t="s">
        <v>466</v>
      </c>
      <c r="D637" t="s">
        <v>20</v>
      </c>
      <c r="E637" t="s">
        <v>168</v>
      </c>
      <c r="F637" t="s">
        <v>15</v>
      </c>
      <c r="G637" t="s">
        <v>22</v>
      </c>
      <c r="H637" t="s">
        <v>390</v>
      </c>
      <c r="I637" t="s">
        <v>169</v>
      </c>
      <c r="J637">
        <v>1</v>
      </c>
      <c r="K637">
        <v>3675</v>
      </c>
      <c r="L637">
        <v>10500</v>
      </c>
      <c r="M637">
        <v>10500</v>
      </c>
      <c r="N637" t="s">
        <v>19</v>
      </c>
    </row>
    <row r="638" spans="1:14" x14ac:dyDescent="0.25">
      <c r="A638" t="s">
        <v>1473</v>
      </c>
      <c r="B638" t="s">
        <v>1902</v>
      </c>
      <c r="C638" t="s">
        <v>466</v>
      </c>
      <c r="D638" t="s">
        <v>20</v>
      </c>
      <c r="E638" t="s">
        <v>168</v>
      </c>
      <c r="F638" t="s">
        <v>15</v>
      </c>
      <c r="G638" t="s">
        <v>22</v>
      </c>
      <c r="H638" t="s">
        <v>390</v>
      </c>
      <c r="I638" t="s">
        <v>170</v>
      </c>
      <c r="J638">
        <v>1</v>
      </c>
      <c r="K638">
        <v>4000</v>
      </c>
      <c r="L638">
        <v>4000</v>
      </c>
      <c r="M638">
        <v>4000</v>
      </c>
      <c r="N638" t="s">
        <v>19</v>
      </c>
    </row>
    <row r="639" spans="1:14" x14ac:dyDescent="0.25">
      <c r="A639" t="s">
        <v>1473</v>
      </c>
      <c r="B639" t="s">
        <v>1902</v>
      </c>
      <c r="C639" t="s">
        <v>466</v>
      </c>
      <c r="D639" t="s">
        <v>20</v>
      </c>
      <c r="E639" t="s">
        <v>168</v>
      </c>
      <c r="F639" t="s">
        <v>15</v>
      </c>
      <c r="G639" t="s">
        <v>22</v>
      </c>
      <c r="H639" t="s">
        <v>390</v>
      </c>
      <c r="I639" t="s">
        <v>24</v>
      </c>
      <c r="J639">
        <v>1</v>
      </c>
      <c r="K639">
        <v>4000</v>
      </c>
      <c r="L639">
        <v>4000</v>
      </c>
      <c r="M639">
        <v>4000</v>
      </c>
      <c r="N639" t="s">
        <v>19</v>
      </c>
    </row>
    <row r="640" spans="1:14" x14ac:dyDescent="0.25">
      <c r="A640" t="s">
        <v>1473</v>
      </c>
      <c r="B640" t="s">
        <v>1902</v>
      </c>
      <c r="C640" t="s">
        <v>466</v>
      </c>
      <c r="D640" t="s">
        <v>20</v>
      </c>
      <c r="E640" t="s">
        <v>168</v>
      </c>
      <c r="F640" t="s">
        <v>15</v>
      </c>
      <c r="G640" t="s">
        <v>22</v>
      </c>
      <c r="H640" t="s">
        <v>390</v>
      </c>
      <c r="I640" t="s">
        <v>171</v>
      </c>
      <c r="J640">
        <v>1</v>
      </c>
      <c r="K640">
        <v>500</v>
      </c>
      <c r="L640">
        <v>500</v>
      </c>
      <c r="M640">
        <v>500</v>
      </c>
      <c r="N640" t="s">
        <v>19</v>
      </c>
    </row>
    <row r="641" spans="1:14" x14ac:dyDescent="0.25">
      <c r="A641" t="s">
        <v>1473</v>
      </c>
      <c r="B641" t="s">
        <v>1903</v>
      </c>
      <c r="C641" t="s">
        <v>470</v>
      </c>
      <c r="D641" t="s">
        <v>20</v>
      </c>
      <c r="E641" t="s">
        <v>168</v>
      </c>
      <c r="F641" t="s">
        <v>15</v>
      </c>
      <c r="G641" t="s">
        <v>22</v>
      </c>
      <c r="H641" t="s">
        <v>390</v>
      </c>
      <c r="I641" t="s">
        <v>169</v>
      </c>
      <c r="J641">
        <v>1</v>
      </c>
      <c r="K641">
        <v>3675</v>
      </c>
      <c r="L641">
        <v>10500</v>
      </c>
      <c r="M641">
        <v>10500</v>
      </c>
      <c r="N641" t="s">
        <v>19</v>
      </c>
    </row>
    <row r="642" spans="1:14" x14ac:dyDescent="0.25">
      <c r="A642" t="s">
        <v>1473</v>
      </c>
      <c r="B642" t="s">
        <v>1903</v>
      </c>
      <c r="C642" t="s">
        <v>470</v>
      </c>
      <c r="D642" t="s">
        <v>20</v>
      </c>
      <c r="E642" t="s">
        <v>168</v>
      </c>
      <c r="F642" t="s">
        <v>15</v>
      </c>
      <c r="G642" t="s">
        <v>22</v>
      </c>
      <c r="H642" t="s">
        <v>390</v>
      </c>
      <c r="I642" t="s">
        <v>170</v>
      </c>
      <c r="J642">
        <v>1</v>
      </c>
      <c r="K642">
        <v>4000</v>
      </c>
      <c r="L642">
        <v>4000</v>
      </c>
      <c r="M642">
        <v>4000</v>
      </c>
      <c r="N642" t="s">
        <v>19</v>
      </c>
    </row>
    <row r="643" spans="1:14" x14ac:dyDescent="0.25">
      <c r="A643" t="s">
        <v>1473</v>
      </c>
      <c r="B643" t="s">
        <v>1903</v>
      </c>
      <c r="C643" t="s">
        <v>470</v>
      </c>
      <c r="D643" t="s">
        <v>20</v>
      </c>
      <c r="E643" t="s">
        <v>168</v>
      </c>
      <c r="F643" t="s">
        <v>15</v>
      </c>
      <c r="G643" t="s">
        <v>22</v>
      </c>
      <c r="H643" t="s">
        <v>390</v>
      </c>
      <c r="I643" t="s">
        <v>24</v>
      </c>
      <c r="J643">
        <v>1</v>
      </c>
      <c r="K643">
        <v>4000</v>
      </c>
      <c r="L643">
        <v>4000</v>
      </c>
      <c r="M643">
        <v>4000</v>
      </c>
      <c r="N643" t="s">
        <v>19</v>
      </c>
    </row>
    <row r="644" spans="1:14" x14ac:dyDescent="0.25">
      <c r="A644" t="s">
        <v>1473</v>
      </c>
      <c r="B644" t="s">
        <v>1903</v>
      </c>
      <c r="C644" t="s">
        <v>470</v>
      </c>
      <c r="D644" t="s">
        <v>20</v>
      </c>
      <c r="E644" t="s">
        <v>168</v>
      </c>
      <c r="F644" t="s">
        <v>15</v>
      </c>
      <c r="G644" t="s">
        <v>22</v>
      </c>
      <c r="H644" t="s">
        <v>390</v>
      </c>
      <c r="I644" t="s">
        <v>171</v>
      </c>
      <c r="J644">
        <v>1</v>
      </c>
      <c r="K644">
        <v>500</v>
      </c>
      <c r="L644">
        <v>500</v>
      </c>
      <c r="M644">
        <v>500</v>
      </c>
      <c r="N644" t="s">
        <v>19</v>
      </c>
    </row>
    <row r="645" spans="1:14" x14ac:dyDescent="0.25">
      <c r="A645" t="s">
        <v>1473</v>
      </c>
      <c r="B645" t="s">
        <v>1904</v>
      </c>
      <c r="C645" t="s">
        <v>474</v>
      </c>
      <c r="D645" t="s">
        <v>20</v>
      </c>
      <c r="E645" t="s">
        <v>168</v>
      </c>
      <c r="F645" t="s">
        <v>15</v>
      </c>
      <c r="G645" t="s">
        <v>22</v>
      </c>
      <c r="H645" t="s">
        <v>390</v>
      </c>
      <c r="I645" t="s">
        <v>169</v>
      </c>
      <c r="J645">
        <v>1</v>
      </c>
      <c r="K645">
        <v>3675</v>
      </c>
      <c r="L645">
        <v>10500</v>
      </c>
      <c r="M645">
        <v>10500</v>
      </c>
      <c r="N645" t="s">
        <v>19</v>
      </c>
    </row>
    <row r="646" spans="1:14" x14ac:dyDescent="0.25">
      <c r="A646" t="s">
        <v>1473</v>
      </c>
      <c r="B646" t="s">
        <v>1904</v>
      </c>
      <c r="C646" t="s">
        <v>474</v>
      </c>
      <c r="D646" t="s">
        <v>20</v>
      </c>
      <c r="E646" t="s">
        <v>168</v>
      </c>
      <c r="F646" t="s">
        <v>15</v>
      </c>
      <c r="G646" t="s">
        <v>22</v>
      </c>
      <c r="H646" t="s">
        <v>390</v>
      </c>
      <c r="I646" t="s">
        <v>170</v>
      </c>
      <c r="J646">
        <v>1</v>
      </c>
      <c r="K646">
        <v>4000</v>
      </c>
      <c r="L646">
        <v>4000</v>
      </c>
      <c r="M646">
        <v>4000</v>
      </c>
      <c r="N646" t="s">
        <v>19</v>
      </c>
    </row>
    <row r="647" spans="1:14" x14ac:dyDescent="0.25">
      <c r="A647" t="s">
        <v>1473</v>
      </c>
      <c r="B647" t="s">
        <v>1904</v>
      </c>
      <c r="C647" t="s">
        <v>474</v>
      </c>
      <c r="D647" t="s">
        <v>20</v>
      </c>
      <c r="E647" t="s">
        <v>168</v>
      </c>
      <c r="F647" t="s">
        <v>15</v>
      </c>
      <c r="G647" t="s">
        <v>22</v>
      </c>
      <c r="H647" t="s">
        <v>390</v>
      </c>
      <c r="I647" t="s">
        <v>24</v>
      </c>
      <c r="J647">
        <v>1</v>
      </c>
      <c r="K647">
        <v>4000</v>
      </c>
      <c r="L647">
        <v>4000</v>
      </c>
      <c r="M647">
        <v>4000</v>
      </c>
      <c r="N647" t="s">
        <v>19</v>
      </c>
    </row>
    <row r="648" spans="1:14" x14ac:dyDescent="0.25">
      <c r="A648" t="s">
        <v>1473</v>
      </c>
      <c r="B648" t="s">
        <v>1904</v>
      </c>
      <c r="C648" t="s">
        <v>474</v>
      </c>
      <c r="D648" t="s">
        <v>20</v>
      </c>
      <c r="E648" t="s">
        <v>168</v>
      </c>
      <c r="F648" t="s">
        <v>15</v>
      </c>
      <c r="G648" t="s">
        <v>22</v>
      </c>
      <c r="H648" t="s">
        <v>390</v>
      </c>
      <c r="I648" t="s">
        <v>171</v>
      </c>
      <c r="J648">
        <v>1</v>
      </c>
      <c r="K648">
        <v>500</v>
      </c>
      <c r="L648">
        <v>500</v>
      </c>
      <c r="M648">
        <v>500</v>
      </c>
      <c r="N648" t="s">
        <v>19</v>
      </c>
    </row>
    <row r="649" spans="1:14" x14ac:dyDescent="0.25">
      <c r="A649" t="s">
        <v>1473</v>
      </c>
      <c r="B649" t="s">
        <v>1905</v>
      </c>
      <c r="C649" t="s">
        <v>477</v>
      </c>
      <c r="D649" t="s">
        <v>20</v>
      </c>
      <c r="E649" t="s">
        <v>168</v>
      </c>
      <c r="F649" t="s">
        <v>15</v>
      </c>
      <c r="G649" t="s">
        <v>22</v>
      </c>
      <c r="H649" t="s">
        <v>390</v>
      </c>
      <c r="I649" t="s">
        <v>169</v>
      </c>
      <c r="J649">
        <v>1</v>
      </c>
      <c r="K649">
        <v>3675</v>
      </c>
      <c r="L649">
        <v>10500</v>
      </c>
      <c r="M649">
        <v>10500</v>
      </c>
      <c r="N649" t="s">
        <v>19</v>
      </c>
    </row>
    <row r="650" spans="1:14" x14ac:dyDescent="0.25">
      <c r="A650" t="s">
        <v>1473</v>
      </c>
      <c r="B650" t="s">
        <v>1905</v>
      </c>
      <c r="C650" t="s">
        <v>477</v>
      </c>
      <c r="D650" t="s">
        <v>20</v>
      </c>
      <c r="E650" t="s">
        <v>168</v>
      </c>
      <c r="F650" t="s">
        <v>15</v>
      </c>
      <c r="G650" t="s">
        <v>22</v>
      </c>
      <c r="H650" t="s">
        <v>390</v>
      </c>
      <c r="I650" t="s">
        <v>170</v>
      </c>
      <c r="J650">
        <v>1</v>
      </c>
      <c r="K650">
        <v>4000</v>
      </c>
      <c r="L650">
        <v>4000</v>
      </c>
      <c r="M650">
        <v>4000</v>
      </c>
      <c r="N650" t="s">
        <v>19</v>
      </c>
    </row>
    <row r="651" spans="1:14" x14ac:dyDescent="0.25">
      <c r="A651" t="s">
        <v>1473</v>
      </c>
      <c r="B651" t="s">
        <v>1905</v>
      </c>
      <c r="C651" t="s">
        <v>477</v>
      </c>
      <c r="D651" t="s">
        <v>20</v>
      </c>
      <c r="E651" t="s">
        <v>168</v>
      </c>
      <c r="F651" t="s">
        <v>15</v>
      </c>
      <c r="G651" t="s">
        <v>22</v>
      </c>
      <c r="H651" t="s">
        <v>390</v>
      </c>
      <c r="I651" t="s">
        <v>24</v>
      </c>
      <c r="J651">
        <v>1</v>
      </c>
      <c r="K651">
        <v>4000</v>
      </c>
      <c r="L651">
        <v>4000</v>
      </c>
      <c r="M651">
        <v>4000</v>
      </c>
      <c r="N651" t="s">
        <v>19</v>
      </c>
    </row>
    <row r="652" spans="1:14" x14ac:dyDescent="0.25">
      <c r="A652" t="s">
        <v>1473</v>
      </c>
      <c r="B652" t="s">
        <v>1905</v>
      </c>
      <c r="C652" t="s">
        <v>477</v>
      </c>
      <c r="D652" t="s">
        <v>20</v>
      </c>
      <c r="E652" t="s">
        <v>168</v>
      </c>
      <c r="F652" t="s">
        <v>15</v>
      </c>
      <c r="G652" t="s">
        <v>22</v>
      </c>
      <c r="H652" t="s">
        <v>390</v>
      </c>
      <c r="I652" t="s">
        <v>171</v>
      </c>
      <c r="J652">
        <v>1</v>
      </c>
      <c r="K652">
        <v>500</v>
      </c>
      <c r="L652">
        <v>500</v>
      </c>
      <c r="M652">
        <v>500</v>
      </c>
      <c r="N652" t="s">
        <v>19</v>
      </c>
    </row>
    <row r="653" spans="1:14" x14ac:dyDescent="0.25">
      <c r="A653" t="s">
        <v>1473</v>
      </c>
      <c r="B653" t="s">
        <v>1906</v>
      </c>
      <c r="C653" t="s">
        <v>481</v>
      </c>
      <c r="D653" t="s">
        <v>20</v>
      </c>
      <c r="E653" t="s">
        <v>168</v>
      </c>
      <c r="F653" t="s">
        <v>15</v>
      </c>
      <c r="G653" t="s">
        <v>22</v>
      </c>
      <c r="H653" t="s">
        <v>390</v>
      </c>
      <c r="I653" t="s">
        <v>169</v>
      </c>
      <c r="J653">
        <v>1</v>
      </c>
      <c r="K653">
        <v>3675</v>
      </c>
      <c r="L653">
        <v>10500</v>
      </c>
      <c r="M653">
        <v>10500</v>
      </c>
      <c r="N653" t="s">
        <v>19</v>
      </c>
    </row>
    <row r="654" spans="1:14" x14ac:dyDescent="0.25">
      <c r="A654" t="s">
        <v>1473</v>
      </c>
      <c r="B654" t="s">
        <v>1906</v>
      </c>
      <c r="C654" t="s">
        <v>481</v>
      </c>
      <c r="D654" t="s">
        <v>20</v>
      </c>
      <c r="E654" t="s">
        <v>168</v>
      </c>
      <c r="F654" t="s">
        <v>15</v>
      </c>
      <c r="G654" t="s">
        <v>22</v>
      </c>
      <c r="H654" t="s">
        <v>390</v>
      </c>
      <c r="I654" t="s">
        <v>170</v>
      </c>
      <c r="J654">
        <v>1</v>
      </c>
      <c r="K654">
        <v>4000</v>
      </c>
      <c r="L654">
        <v>4000</v>
      </c>
      <c r="M654">
        <v>4000</v>
      </c>
      <c r="N654" t="s">
        <v>19</v>
      </c>
    </row>
    <row r="655" spans="1:14" x14ac:dyDescent="0.25">
      <c r="A655" t="s">
        <v>1473</v>
      </c>
      <c r="B655" t="s">
        <v>1906</v>
      </c>
      <c r="C655" t="s">
        <v>481</v>
      </c>
      <c r="D655" t="s">
        <v>20</v>
      </c>
      <c r="E655" t="s">
        <v>168</v>
      </c>
      <c r="F655" t="s">
        <v>15</v>
      </c>
      <c r="G655" t="s">
        <v>22</v>
      </c>
      <c r="H655" t="s">
        <v>390</v>
      </c>
      <c r="I655" t="s">
        <v>24</v>
      </c>
      <c r="J655">
        <v>1</v>
      </c>
      <c r="K655">
        <v>4000</v>
      </c>
      <c r="L655">
        <v>4000</v>
      </c>
      <c r="M655">
        <v>4000</v>
      </c>
      <c r="N655" t="s">
        <v>19</v>
      </c>
    </row>
    <row r="656" spans="1:14" x14ac:dyDescent="0.25">
      <c r="A656" t="s">
        <v>1473</v>
      </c>
      <c r="B656" t="s">
        <v>1906</v>
      </c>
      <c r="C656" t="s">
        <v>481</v>
      </c>
      <c r="D656" t="s">
        <v>20</v>
      </c>
      <c r="E656" t="s">
        <v>168</v>
      </c>
      <c r="F656" t="s">
        <v>15</v>
      </c>
      <c r="G656" t="s">
        <v>22</v>
      </c>
      <c r="H656" t="s">
        <v>390</v>
      </c>
      <c r="I656" t="s">
        <v>171</v>
      </c>
      <c r="J656">
        <v>1</v>
      </c>
      <c r="K656">
        <v>500</v>
      </c>
      <c r="L656">
        <v>500</v>
      </c>
      <c r="M656">
        <v>500</v>
      </c>
      <c r="N656" t="s">
        <v>19</v>
      </c>
    </row>
    <row r="657" spans="1:14" x14ac:dyDescent="0.25">
      <c r="A657" t="s">
        <v>1611</v>
      </c>
      <c r="B657" t="s">
        <v>1907</v>
      </c>
      <c r="C657" t="s">
        <v>394</v>
      </c>
      <c r="D657" t="s">
        <v>395</v>
      </c>
      <c r="E657" t="s">
        <v>396</v>
      </c>
      <c r="F657" t="s">
        <v>15</v>
      </c>
      <c r="G657" t="s">
        <v>37</v>
      </c>
      <c r="H657" t="s">
        <v>397</v>
      </c>
      <c r="I657" t="s">
        <v>97</v>
      </c>
      <c r="J657">
        <v>1</v>
      </c>
      <c r="K657">
        <v>2200</v>
      </c>
      <c r="L657">
        <v>3500</v>
      </c>
      <c r="M657">
        <v>3500</v>
      </c>
      <c r="N657" t="s">
        <v>19</v>
      </c>
    </row>
    <row r="658" spans="1:14" x14ac:dyDescent="0.25">
      <c r="A658" t="s">
        <v>1486</v>
      </c>
      <c r="B658" t="s">
        <v>1908</v>
      </c>
      <c r="C658" t="s">
        <v>486</v>
      </c>
      <c r="D658" t="s">
        <v>20</v>
      </c>
      <c r="E658" t="s">
        <v>31</v>
      </c>
      <c r="F658" t="s">
        <v>15</v>
      </c>
      <c r="G658" t="s">
        <v>22</v>
      </c>
      <c r="H658" t="s">
        <v>397</v>
      </c>
      <c r="I658" t="s">
        <v>33</v>
      </c>
      <c r="J658">
        <v>2</v>
      </c>
      <c r="K658">
        <v>6500</v>
      </c>
      <c r="L658">
        <v>6500</v>
      </c>
      <c r="M658">
        <v>13000</v>
      </c>
      <c r="N658" t="s">
        <v>19</v>
      </c>
    </row>
    <row r="659" spans="1:14" x14ac:dyDescent="0.25">
      <c r="A659" t="s">
        <v>1486</v>
      </c>
      <c r="B659" t="s">
        <v>1909</v>
      </c>
      <c r="C659" t="s">
        <v>487</v>
      </c>
      <c r="D659" t="s">
        <v>20</v>
      </c>
      <c r="E659" t="s">
        <v>31</v>
      </c>
      <c r="F659" t="s">
        <v>15</v>
      </c>
      <c r="G659" t="s">
        <v>22</v>
      </c>
      <c r="H659" t="s">
        <v>397</v>
      </c>
      <c r="I659" t="s">
        <v>33</v>
      </c>
      <c r="J659">
        <v>1</v>
      </c>
      <c r="K659">
        <v>6500</v>
      </c>
      <c r="L659">
        <v>6500</v>
      </c>
      <c r="M659">
        <v>6500</v>
      </c>
      <c r="N659" t="s">
        <v>19</v>
      </c>
    </row>
    <row r="660" spans="1:14" x14ac:dyDescent="0.25">
      <c r="A660" t="s">
        <v>1486</v>
      </c>
      <c r="B660" t="s">
        <v>1910</v>
      </c>
      <c r="C660" t="s">
        <v>492</v>
      </c>
      <c r="D660" t="s">
        <v>20</v>
      </c>
      <c r="E660" t="s">
        <v>31</v>
      </c>
      <c r="F660" t="s">
        <v>15</v>
      </c>
      <c r="G660" t="s">
        <v>22</v>
      </c>
      <c r="H660" t="s">
        <v>397</v>
      </c>
      <c r="I660" t="s">
        <v>33</v>
      </c>
      <c r="J660">
        <v>1</v>
      </c>
      <c r="K660">
        <v>6500</v>
      </c>
      <c r="L660">
        <v>6500</v>
      </c>
      <c r="M660">
        <v>6500</v>
      </c>
      <c r="N660" t="s">
        <v>19</v>
      </c>
    </row>
    <row r="661" spans="1:14" x14ac:dyDescent="0.25">
      <c r="A661" t="s">
        <v>1486</v>
      </c>
      <c r="B661" t="s">
        <v>1911</v>
      </c>
      <c r="C661" t="s">
        <v>495</v>
      </c>
      <c r="D661" t="s">
        <v>20</v>
      </c>
      <c r="E661" t="s">
        <v>31</v>
      </c>
      <c r="F661" t="s">
        <v>15</v>
      </c>
      <c r="G661" t="s">
        <v>22</v>
      </c>
      <c r="H661" t="s">
        <v>397</v>
      </c>
      <c r="I661" t="s">
        <v>33</v>
      </c>
      <c r="J661">
        <v>1</v>
      </c>
      <c r="K661">
        <v>6500</v>
      </c>
      <c r="L661">
        <v>6500</v>
      </c>
      <c r="M661">
        <v>6500</v>
      </c>
      <c r="N661" t="s">
        <v>19</v>
      </c>
    </row>
    <row r="662" spans="1:14" x14ac:dyDescent="0.25">
      <c r="A662" t="s">
        <v>1575</v>
      </c>
      <c r="B662" t="s">
        <v>1912</v>
      </c>
      <c r="C662" t="s">
        <v>212</v>
      </c>
      <c r="D662" t="s">
        <v>1070</v>
      </c>
      <c r="E662" t="s">
        <v>1071</v>
      </c>
      <c r="F662" t="s">
        <v>15</v>
      </c>
      <c r="G662" t="s">
        <v>1072</v>
      </c>
      <c r="H662" t="s">
        <v>1073</v>
      </c>
      <c r="I662" t="s">
        <v>114</v>
      </c>
      <c r="J662">
        <v>1</v>
      </c>
      <c r="K662">
        <v>3675</v>
      </c>
      <c r="L662">
        <v>10500</v>
      </c>
      <c r="M662">
        <v>10500</v>
      </c>
      <c r="N662" t="s">
        <v>19</v>
      </c>
    </row>
    <row r="663" spans="1:14" x14ac:dyDescent="0.25">
      <c r="A663" t="s">
        <v>1575</v>
      </c>
      <c r="B663" t="s">
        <v>1912</v>
      </c>
      <c r="C663" t="s">
        <v>212</v>
      </c>
      <c r="D663" t="s">
        <v>1070</v>
      </c>
      <c r="E663" t="s">
        <v>1071</v>
      </c>
      <c r="F663" t="s">
        <v>15</v>
      </c>
      <c r="G663" t="s">
        <v>1072</v>
      </c>
      <c r="H663" t="s">
        <v>1073</v>
      </c>
      <c r="I663" t="s">
        <v>25</v>
      </c>
      <c r="J663">
        <v>1</v>
      </c>
      <c r="K663">
        <v>4025</v>
      </c>
      <c r="L663">
        <v>11500</v>
      </c>
      <c r="M663">
        <v>11500</v>
      </c>
      <c r="N663" t="s">
        <v>19</v>
      </c>
    </row>
    <row r="664" spans="1:14" x14ac:dyDescent="0.25">
      <c r="A664" t="s">
        <v>1575</v>
      </c>
      <c r="B664" t="s">
        <v>1912</v>
      </c>
      <c r="C664" t="s">
        <v>212</v>
      </c>
      <c r="D664" t="s">
        <v>1070</v>
      </c>
      <c r="E664" t="s">
        <v>1071</v>
      </c>
      <c r="F664" t="s">
        <v>15</v>
      </c>
      <c r="G664" t="s">
        <v>1072</v>
      </c>
      <c r="H664" t="s">
        <v>1073</v>
      </c>
      <c r="I664" t="s">
        <v>24</v>
      </c>
      <c r="J664">
        <v>1</v>
      </c>
      <c r="K664">
        <v>4025</v>
      </c>
      <c r="L664">
        <v>11500</v>
      </c>
      <c r="M664">
        <v>11500</v>
      </c>
      <c r="N664" t="s">
        <v>19</v>
      </c>
    </row>
    <row r="665" spans="1:14" x14ac:dyDescent="0.25">
      <c r="A665" t="s">
        <v>1575</v>
      </c>
      <c r="B665" t="s">
        <v>1912</v>
      </c>
      <c r="C665" t="s">
        <v>212</v>
      </c>
      <c r="D665" t="s">
        <v>1070</v>
      </c>
      <c r="E665" t="s">
        <v>1071</v>
      </c>
      <c r="F665" t="s">
        <v>15</v>
      </c>
      <c r="G665" t="s">
        <v>1072</v>
      </c>
      <c r="H665" t="s">
        <v>1073</v>
      </c>
      <c r="I665" t="s">
        <v>26</v>
      </c>
      <c r="J665">
        <v>1</v>
      </c>
      <c r="K665">
        <v>500</v>
      </c>
      <c r="L665">
        <v>500</v>
      </c>
      <c r="M665">
        <v>500</v>
      </c>
      <c r="N665" t="s">
        <v>19</v>
      </c>
    </row>
    <row r="666" spans="1:14" x14ac:dyDescent="0.25">
      <c r="A666" t="s">
        <v>1575</v>
      </c>
      <c r="B666" t="s">
        <v>1912</v>
      </c>
      <c r="C666" t="s">
        <v>212</v>
      </c>
      <c r="D666" t="s">
        <v>1070</v>
      </c>
      <c r="E666" t="s">
        <v>1071</v>
      </c>
      <c r="F666" t="s">
        <v>15</v>
      </c>
      <c r="G666" t="s">
        <v>1072</v>
      </c>
      <c r="H666" t="s">
        <v>1073</v>
      </c>
      <c r="I666" t="s">
        <v>1032</v>
      </c>
      <c r="J666">
        <v>1</v>
      </c>
      <c r="K666">
        <v>23450</v>
      </c>
      <c r="L666">
        <v>32300</v>
      </c>
      <c r="M666">
        <v>32300</v>
      </c>
      <c r="N666" t="s">
        <v>19</v>
      </c>
    </row>
    <row r="667" spans="1:14" x14ac:dyDescent="0.25">
      <c r="A667" t="s">
        <v>1575</v>
      </c>
      <c r="B667" t="s">
        <v>1912</v>
      </c>
      <c r="C667" t="s">
        <v>212</v>
      </c>
      <c r="D667" t="s">
        <v>1070</v>
      </c>
      <c r="E667" t="s">
        <v>1071</v>
      </c>
      <c r="F667" t="s">
        <v>15</v>
      </c>
      <c r="G667" t="s">
        <v>1072</v>
      </c>
      <c r="H667" t="s">
        <v>1073</v>
      </c>
      <c r="I667" t="s">
        <v>1045</v>
      </c>
      <c r="J667">
        <v>1</v>
      </c>
      <c r="K667">
        <v>11000</v>
      </c>
      <c r="L667">
        <v>16500</v>
      </c>
      <c r="M667">
        <v>16500</v>
      </c>
      <c r="N667" t="s">
        <v>19</v>
      </c>
    </row>
    <row r="668" spans="1:14" x14ac:dyDescent="0.25">
      <c r="A668" t="s">
        <v>1575</v>
      </c>
      <c r="B668" t="s">
        <v>1912</v>
      </c>
      <c r="C668" t="s">
        <v>212</v>
      </c>
      <c r="D668" t="s">
        <v>1070</v>
      </c>
      <c r="E668" t="s">
        <v>1071</v>
      </c>
      <c r="F668" t="s">
        <v>15</v>
      </c>
      <c r="G668" t="s">
        <v>1072</v>
      </c>
      <c r="H668" t="s">
        <v>1073</v>
      </c>
      <c r="I668" t="s">
        <v>85</v>
      </c>
      <c r="J668">
        <v>1</v>
      </c>
      <c r="K668">
        <v>2185</v>
      </c>
      <c r="L668">
        <v>2000</v>
      </c>
      <c r="M668">
        <v>2000</v>
      </c>
      <c r="N668" t="s">
        <v>19</v>
      </c>
    </row>
    <row r="669" spans="1:14" x14ac:dyDescent="0.25">
      <c r="A669" t="s">
        <v>1575</v>
      </c>
      <c r="B669" t="s">
        <v>1912</v>
      </c>
      <c r="C669" t="s">
        <v>212</v>
      </c>
      <c r="D669" t="s">
        <v>1070</v>
      </c>
      <c r="E669" t="s">
        <v>1071</v>
      </c>
      <c r="F669" t="s">
        <v>15</v>
      </c>
      <c r="G669" t="s">
        <v>1072</v>
      </c>
      <c r="H669" t="s">
        <v>1073</v>
      </c>
      <c r="I669" t="s">
        <v>1048</v>
      </c>
      <c r="J669">
        <v>1</v>
      </c>
      <c r="K669">
        <v>8500</v>
      </c>
      <c r="L669">
        <v>12500</v>
      </c>
      <c r="M669">
        <v>12500</v>
      </c>
      <c r="N669" t="s">
        <v>19</v>
      </c>
    </row>
    <row r="670" spans="1:14" x14ac:dyDescent="0.25">
      <c r="A670" t="s">
        <v>1575</v>
      </c>
      <c r="B670" t="s">
        <v>1912</v>
      </c>
      <c r="C670" t="s">
        <v>212</v>
      </c>
      <c r="D670" t="s">
        <v>1070</v>
      </c>
      <c r="E670" t="s">
        <v>1071</v>
      </c>
      <c r="F670" t="s">
        <v>15</v>
      </c>
      <c r="G670" t="s">
        <v>1072</v>
      </c>
      <c r="H670" t="s">
        <v>1073</v>
      </c>
      <c r="I670" t="s">
        <v>97</v>
      </c>
      <c r="J670">
        <v>1</v>
      </c>
      <c r="K670">
        <v>2200</v>
      </c>
      <c r="L670">
        <v>3000</v>
      </c>
      <c r="M670">
        <v>3000</v>
      </c>
      <c r="N670" t="s">
        <v>19</v>
      </c>
    </row>
    <row r="671" spans="1:14" x14ac:dyDescent="0.25">
      <c r="A671" t="s">
        <v>1575</v>
      </c>
      <c r="B671" t="s">
        <v>1912</v>
      </c>
      <c r="C671" t="s">
        <v>212</v>
      </c>
      <c r="D671" t="s">
        <v>1070</v>
      </c>
      <c r="E671" t="s">
        <v>1071</v>
      </c>
      <c r="F671" t="s">
        <v>15</v>
      </c>
      <c r="G671" t="s">
        <v>1072</v>
      </c>
      <c r="H671" t="s">
        <v>1073</v>
      </c>
      <c r="I671" t="s">
        <v>151</v>
      </c>
      <c r="J671">
        <v>1</v>
      </c>
      <c r="K671">
        <v>2800</v>
      </c>
      <c r="L671">
        <v>4000</v>
      </c>
      <c r="M671">
        <v>4000</v>
      </c>
      <c r="N671" t="s">
        <v>19</v>
      </c>
    </row>
    <row r="672" spans="1:14" x14ac:dyDescent="0.25">
      <c r="A672" t="s">
        <v>1575</v>
      </c>
      <c r="B672" t="s">
        <v>1912</v>
      </c>
      <c r="C672" t="s">
        <v>212</v>
      </c>
      <c r="D672" t="s">
        <v>1070</v>
      </c>
      <c r="E672" t="s">
        <v>1071</v>
      </c>
      <c r="F672" t="s">
        <v>15</v>
      </c>
      <c r="G672" t="s">
        <v>1072</v>
      </c>
      <c r="H672" t="s">
        <v>1073</v>
      </c>
      <c r="I672" t="s">
        <v>1051</v>
      </c>
      <c r="J672">
        <v>1</v>
      </c>
      <c r="K672">
        <v>935</v>
      </c>
      <c r="L672">
        <v>1500</v>
      </c>
      <c r="M672">
        <v>1500</v>
      </c>
      <c r="N672" t="s">
        <v>19</v>
      </c>
    </row>
    <row r="673" spans="1:14" x14ac:dyDescent="0.25">
      <c r="A673" t="s">
        <v>1575</v>
      </c>
      <c r="B673" t="s">
        <v>1912</v>
      </c>
      <c r="C673" t="s">
        <v>212</v>
      </c>
      <c r="D673" t="s">
        <v>1070</v>
      </c>
      <c r="E673" t="s">
        <v>1071</v>
      </c>
      <c r="F673" t="s">
        <v>15</v>
      </c>
      <c r="G673" t="s">
        <v>1072</v>
      </c>
      <c r="H673" t="s">
        <v>1073</v>
      </c>
      <c r="I673" t="s">
        <v>63</v>
      </c>
      <c r="J673">
        <v>1</v>
      </c>
      <c r="K673">
        <v>1000</v>
      </c>
      <c r="L673">
        <v>1000</v>
      </c>
      <c r="M673">
        <v>1000</v>
      </c>
      <c r="N673" t="s">
        <v>19</v>
      </c>
    </row>
    <row r="674" spans="1:14" x14ac:dyDescent="0.25">
      <c r="A674" t="s">
        <v>1575</v>
      </c>
      <c r="B674" t="s">
        <v>1912</v>
      </c>
      <c r="C674" t="s">
        <v>212</v>
      </c>
      <c r="D674" t="s">
        <v>1070</v>
      </c>
      <c r="E674" t="s">
        <v>1071</v>
      </c>
      <c r="F674" t="s">
        <v>15</v>
      </c>
      <c r="G674" t="s">
        <v>1072</v>
      </c>
      <c r="H674" t="s">
        <v>1073</v>
      </c>
      <c r="I674" t="s">
        <v>189</v>
      </c>
      <c r="J674">
        <v>1</v>
      </c>
      <c r="K674">
        <v>500</v>
      </c>
      <c r="L674">
        <v>700</v>
      </c>
      <c r="M674">
        <v>700</v>
      </c>
      <c r="N674" t="s">
        <v>19</v>
      </c>
    </row>
    <row r="675" spans="1:14" x14ac:dyDescent="0.25">
      <c r="A675" t="s">
        <v>1575</v>
      </c>
      <c r="B675" t="s">
        <v>1912</v>
      </c>
      <c r="C675" t="s">
        <v>212</v>
      </c>
      <c r="D675" t="s">
        <v>1070</v>
      </c>
      <c r="E675" t="s">
        <v>1071</v>
      </c>
      <c r="F675" t="s">
        <v>15</v>
      </c>
      <c r="G675" t="s">
        <v>1072</v>
      </c>
      <c r="H675" t="s">
        <v>1073</v>
      </c>
      <c r="I675" t="s">
        <v>1033</v>
      </c>
      <c r="J675">
        <v>1</v>
      </c>
      <c r="K675">
        <v>350</v>
      </c>
      <c r="L675">
        <v>500</v>
      </c>
      <c r="M675">
        <v>500</v>
      </c>
      <c r="N675" t="s">
        <v>19</v>
      </c>
    </row>
    <row r="676" spans="1:14" x14ac:dyDescent="0.25">
      <c r="A676" t="s">
        <v>1507</v>
      </c>
      <c r="B676" t="s">
        <v>1913</v>
      </c>
      <c r="C676" t="s">
        <v>496</v>
      </c>
      <c r="D676" t="s">
        <v>20</v>
      </c>
      <c r="E676" t="s">
        <v>119</v>
      </c>
      <c r="F676" t="s">
        <v>15</v>
      </c>
      <c r="G676" t="s">
        <v>22</v>
      </c>
      <c r="H676" t="s">
        <v>500</v>
      </c>
      <c r="I676" t="s">
        <v>501</v>
      </c>
      <c r="J676">
        <v>10</v>
      </c>
      <c r="K676">
        <v>67</v>
      </c>
      <c r="L676">
        <v>250</v>
      </c>
      <c r="M676">
        <v>2500</v>
      </c>
      <c r="N676" t="s">
        <v>19</v>
      </c>
    </row>
    <row r="677" spans="1:14" x14ac:dyDescent="0.25">
      <c r="A677" t="s">
        <v>1601</v>
      </c>
      <c r="B677" t="s">
        <v>1914</v>
      </c>
      <c r="C677" t="s">
        <v>215</v>
      </c>
      <c r="D677" t="s">
        <v>1074</v>
      </c>
      <c r="E677" t="s">
        <v>1075</v>
      </c>
      <c r="F677" t="s">
        <v>15</v>
      </c>
      <c r="G677" t="s">
        <v>37</v>
      </c>
      <c r="H677" t="s">
        <v>500</v>
      </c>
      <c r="I677" t="s">
        <v>33</v>
      </c>
      <c r="J677">
        <v>1</v>
      </c>
      <c r="K677">
        <v>15000</v>
      </c>
      <c r="L677">
        <v>15000</v>
      </c>
      <c r="M677">
        <v>15000</v>
      </c>
      <c r="N677" t="s">
        <v>19</v>
      </c>
    </row>
    <row r="678" spans="1:14" x14ac:dyDescent="0.25">
      <c r="A678" t="s">
        <v>1452</v>
      </c>
      <c r="B678" t="s">
        <v>1915</v>
      </c>
      <c r="C678" t="s">
        <v>402</v>
      </c>
      <c r="D678" t="s">
        <v>403</v>
      </c>
      <c r="E678" t="s">
        <v>200</v>
      </c>
      <c r="F678" t="s">
        <v>15</v>
      </c>
      <c r="G678" t="s">
        <v>22</v>
      </c>
      <c r="H678" t="s">
        <v>404</v>
      </c>
      <c r="I678" t="s">
        <v>154</v>
      </c>
      <c r="J678">
        <v>1</v>
      </c>
      <c r="K678">
        <v>1100</v>
      </c>
      <c r="L678">
        <v>1600</v>
      </c>
      <c r="M678">
        <v>1600</v>
      </c>
      <c r="N678" t="s">
        <v>19</v>
      </c>
    </row>
    <row r="679" spans="1:14" x14ac:dyDescent="0.25">
      <c r="A679" t="s">
        <v>1452</v>
      </c>
      <c r="B679" t="s">
        <v>1915</v>
      </c>
      <c r="C679" t="s">
        <v>402</v>
      </c>
      <c r="D679" t="s">
        <v>403</v>
      </c>
      <c r="E679" t="s">
        <v>200</v>
      </c>
      <c r="F679" t="s">
        <v>15</v>
      </c>
      <c r="G679" t="s">
        <v>22</v>
      </c>
      <c r="H679" t="s">
        <v>404</v>
      </c>
      <c r="I679" t="s">
        <v>333</v>
      </c>
      <c r="J679">
        <v>1</v>
      </c>
      <c r="K679">
        <v>20</v>
      </c>
      <c r="L679">
        <v>100</v>
      </c>
      <c r="M679">
        <v>100</v>
      </c>
      <c r="N679" t="s">
        <v>19</v>
      </c>
    </row>
    <row r="680" spans="1:14" x14ac:dyDescent="0.25">
      <c r="A680" t="s">
        <v>1712</v>
      </c>
      <c r="B680" t="s">
        <v>1916</v>
      </c>
      <c r="C680" t="s">
        <v>219</v>
      </c>
      <c r="D680" t="s">
        <v>1022</v>
      </c>
      <c r="E680" t="s">
        <v>1023</v>
      </c>
      <c r="F680" t="s">
        <v>294</v>
      </c>
      <c r="G680" t="s">
        <v>1076</v>
      </c>
      <c r="H680" t="s">
        <v>404</v>
      </c>
      <c r="I680" t="s">
        <v>1060</v>
      </c>
      <c r="J680">
        <v>1</v>
      </c>
      <c r="K680">
        <v>9500</v>
      </c>
      <c r="L680">
        <v>13500</v>
      </c>
      <c r="M680">
        <v>13500</v>
      </c>
      <c r="N680" t="s">
        <v>1010</v>
      </c>
    </row>
    <row r="681" spans="1:14" x14ac:dyDescent="0.25">
      <c r="A681" t="s">
        <v>1581</v>
      </c>
      <c r="B681" t="s">
        <v>1917</v>
      </c>
      <c r="C681" t="s">
        <v>405</v>
      </c>
      <c r="D681" t="s">
        <v>87</v>
      </c>
      <c r="E681" t="s">
        <v>87</v>
      </c>
      <c r="F681" t="s">
        <v>15</v>
      </c>
      <c r="G681" t="s">
        <v>37</v>
      </c>
      <c r="H681" t="s">
        <v>406</v>
      </c>
      <c r="I681" t="s">
        <v>89</v>
      </c>
      <c r="J681">
        <v>50</v>
      </c>
      <c r="K681">
        <v>32</v>
      </c>
      <c r="L681">
        <v>50</v>
      </c>
      <c r="M681">
        <v>2500</v>
      </c>
      <c r="N681" t="s">
        <v>39</v>
      </c>
    </row>
    <row r="682" spans="1:14" x14ac:dyDescent="0.25">
      <c r="A682" t="s">
        <v>1461</v>
      </c>
      <c r="B682" t="s">
        <v>1918</v>
      </c>
      <c r="C682" t="s">
        <v>223</v>
      </c>
      <c r="D682" t="s">
        <v>1041</v>
      </c>
      <c r="E682" t="s">
        <v>1042</v>
      </c>
      <c r="F682" t="s">
        <v>1077</v>
      </c>
      <c r="G682" t="s">
        <v>1043</v>
      </c>
      <c r="H682" t="s">
        <v>406</v>
      </c>
      <c r="I682" t="s">
        <v>154</v>
      </c>
      <c r="J682">
        <v>1</v>
      </c>
      <c r="K682">
        <v>1100</v>
      </c>
      <c r="L682">
        <v>1600</v>
      </c>
      <c r="M682">
        <v>1600</v>
      </c>
      <c r="N682" t="s">
        <v>1010</v>
      </c>
    </row>
    <row r="683" spans="1:14" x14ac:dyDescent="0.25">
      <c r="A683" t="s">
        <v>1461</v>
      </c>
      <c r="B683" t="s">
        <v>1918</v>
      </c>
      <c r="C683" t="s">
        <v>223</v>
      </c>
      <c r="D683" t="s">
        <v>1041</v>
      </c>
      <c r="E683" t="s">
        <v>1042</v>
      </c>
      <c r="F683" t="s">
        <v>1077</v>
      </c>
      <c r="G683" t="s">
        <v>1043</v>
      </c>
      <c r="H683" t="s">
        <v>406</v>
      </c>
      <c r="I683" t="s">
        <v>1078</v>
      </c>
      <c r="J683">
        <v>1</v>
      </c>
      <c r="K683">
        <v>20</v>
      </c>
      <c r="L683">
        <v>200</v>
      </c>
      <c r="M683">
        <v>200</v>
      </c>
      <c r="N683" t="s">
        <v>1010</v>
      </c>
    </row>
    <row r="684" spans="1:14" x14ac:dyDescent="0.25">
      <c r="A684" t="s">
        <v>1461</v>
      </c>
      <c r="B684" t="s">
        <v>1918</v>
      </c>
      <c r="C684" t="s">
        <v>223</v>
      </c>
      <c r="D684" t="s">
        <v>1041</v>
      </c>
      <c r="E684" t="s">
        <v>1042</v>
      </c>
      <c r="F684" t="s">
        <v>1077</v>
      </c>
      <c r="G684" t="s">
        <v>1043</v>
      </c>
      <c r="H684" t="s">
        <v>406</v>
      </c>
      <c r="I684" t="s">
        <v>1079</v>
      </c>
      <c r="J684">
        <v>1</v>
      </c>
      <c r="K684">
        <v>65</v>
      </c>
      <c r="L684">
        <v>200</v>
      </c>
      <c r="M684">
        <v>200</v>
      </c>
      <c r="N684" t="s">
        <v>1010</v>
      </c>
    </row>
    <row r="685" spans="1:14" x14ac:dyDescent="0.25">
      <c r="A685" t="s">
        <v>1498</v>
      </c>
      <c r="B685" t="s">
        <v>1919</v>
      </c>
      <c r="C685" t="s">
        <v>509</v>
      </c>
      <c r="D685" t="s">
        <v>20</v>
      </c>
      <c r="E685" t="s">
        <v>21</v>
      </c>
      <c r="F685" t="s">
        <v>15</v>
      </c>
      <c r="G685" t="s">
        <v>22</v>
      </c>
      <c r="H685" t="s">
        <v>513</v>
      </c>
      <c r="I685" t="s">
        <v>23</v>
      </c>
      <c r="J685">
        <v>1</v>
      </c>
      <c r="K685">
        <v>3675</v>
      </c>
      <c r="L685">
        <v>10500</v>
      </c>
      <c r="M685">
        <v>10500</v>
      </c>
      <c r="N685" t="s">
        <v>19</v>
      </c>
    </row>
    <row r="686" spans="1:14" x14ac:dyDescent="0.25">
      <c r="A686" t="s">
        <v>1498</v>
      </c>
      <c r="B686" t="s">
        <v>1919</v>
      </c>
      <c r="C686" t="s">
        <v>509</v>
      </c>
      <c r="D686" t="s">
        <v>20</v>
      </c>
      <c r="E686" t="s">
        <v>21</v>
      </c>
      <c r="F686" t="s">
        <v>15</v>
      </c>
      <c r="G686" t="s">
        <v>22</v>
      </c>
      <c r="H686" t="s">
        <v>513</v>
      </c>
      <c r="I686" t="s">
        <v>24</v>
      </c>
      <c r="J686">
        <v>1</v>
      </c>
      <c r="K686">
        <v>10400</v>
      </c>
      <c r="L686">
        <v>10400</v>
      </c>
      <c r="M686">
        <v>10400</v>
      </c>
      <c r="N686" t="s">
        <v>19</v>
      </c>
    </row>
    <row r="687" spans="1:14" x14ac:dyDescent="0.25">
      <c r="A687" t="s">
        <v>1498</v>
      </c>
      <c r="B687" t="s">
        <v>1919</v>
      </c>
      <c r="C687" t="s">
        <v>509</v>
      </c>
      <c r="D687" t="s">
        <v>20</v>
      </c>
      <c r="E687" t="s">
        <v>21</v>
      </c>
      <c r="F687" t="s">
        <v>15</v>
      </c>
      <c r="G687" t="s">
        <v>22</v>
      </c>
      <c r="H687" t="s">
        <v>513</v>
      </c>
      <c r="I687" t="s">
        <v>25</v>
      </c>
      <c r="J687">
        <v>1</v>
      </c>
      <c r="K687">
        <v>10400</v>
      </c>
      <c r="L687">
        <v>10400</v>
      </c>
      <c r="M687">
        <v>10400</v>
      </c>
      <c r="N687" t="s">
        <v>19</v>
      </c>
    </row>
    <row r="688" spans="1:14" x14ac:dyDescent="0.25">
      <c r="A688" t="s">
        <v>1498</v>
      </c>
      <c r="B688" t="s">
        <v>1919</v>
      </c>
      <c r="C688" t="s">
        <v>509</v>
      </c>
      <c r="D688" t="s">
        <v>20</v>
      </c>
      <c r="E688" t="s">
        <v>21</v>
      </c>
      <c r="F688" t="s">
        <v>15</v>
      </c>
      <c r="G688" t="s">
        <v>22</v>
      </c>
      <c r="H688" t="s">
        <v>513</v>
      </c>
      <c r="I688" t="s">
        <v>26</v>
      </c>
      <c r="J688">
        <v>1</v>
      </c>
      <c r="K688">
        <v>500</v>
      </c>
      <c r="L688">
        <v>0</v>
      </c>
      <c r="M688">
        <v>0</v>
      </c>
      <c r="N688" t="s">
        <v>19</v>
      </c>
    </row>
    <row r="689" spans="1:14" x14ac:dyDescent="0.25">
      <c r="A689" t="s">
        <v>1498</v>
      </c>
      <c r="B689" t="s">
        <v>1919</v>
      </c>
      <c r="C689" t="s">
        <v>509</v>
      </c>
      <c r="D689" t="s">
        <v>20</v>
      </c>
      <c r="E689" t="s">
        <v>21</v>
      </c>
      <c r="F689" t="s">
        <v>15</v>
      </c>
      <c r="G689" t="s">
        <v>22</v>
      </c>
      <c r="H689" t="s">
        <v>513</v>
      </c>
      <c r="I689" t="s">
        <v>514</v>
      </c>
      <c r="J689">
        <v>1</v>
      </c>
      <c r="K689">
        <v>11000</v>
      </c>
      <c r="L689">
        <v>0</v>
      </c>
      <c r="M689">
        <v>0</v>
      </c>
      <c r="N689" t="s">
        <v>19</v>
      </c>
    </row>
    <row r="690" spans="1:14" x14ac:dyDescent="0.25">
      <c r="A690" t="s">
        <v>1498</v>
      </c>
      <c r="B690" t="s">
        <v>1919</v>
      </c>
      <c r="C690" t="s">
        <v>509</v>
      </c>
      <c r="D690" t="s">
        <v>20</v>
      </c>
      <c r="E690" t="s">
        <v>21</v>
      </c>
      <c r="F690" t="s">
        <v>15</v>
      </c>
      <c r="G690" t="s">
        <v>22</v>
      </c>
      <c r="H690" t="s">
        <v>513</v>
      </c>
      <c r="I690" t="s">
        <v>233</v>
      </c>
      <c r="J690">
        <v>1</v>
      </c>
      <c r="K690">
        <v>8500</v>
      </c>
      <c r="L690">
        <v>12100</v>
      </c>
      <c r="M690">
        <v>12100</v>
      </c>
      <c r="N690" t="s">
        <v>19</v>
      </c>
    </row>
    <row r="691" spans="1:14" x14ac:dyDescent="0.25">
      <c r="A691" t="s">
        <v>1498</v>
      </c>
      <c r="B691" t="s">
        <v>1919</v>
      </c>
      <c r="C691" t="s">
        <v>509</v>
      </c>
      <c r="D691" t="s">
        <v>20</v>
      </c>
      <c r="E691" t="s">
        <v>21</v>
      </c>
      <c r="F691" t="s">
        <v>15</v>
      </c>
      <c r="G691" t="s">
        <v>22</v>
      </c>
      <c r="H691" t="s">
        <v>513</v>
      </c>
      <c r="I691" t="s">
        <v>236</v>
      </c>
      <c r="J691">
        <v>1</v>
      </c>
      <c r="K691">
        <v>2200</v>
      </c>
      <c r="L691">
        <v>0</v>
      </c>
      <c r="M691">
        <v>0</v>
      </c>
      <c r="N691" t="s">
        <v>19</v>
      </c>
    </row>
    <row r="692" spans="1:14" x14ac:dyDescent="0.25">
      <c r="A692" t="s">
        <v>1498</v>
      </c>
      <c r="B692" t="s">
        <v>1919</v>
      </c>
      <c r="C692" t="s">
        <v>509</v>
      </c>
      <c r="D692" t="s">
        <v>20</v>
      </c>
      <c r="E692" t="s">
        <v>21</v>
      </c>
      <c r="F692" t="s">
        <v>15</v>
      </c>
      <c r="G692" t="s">
        <v>22</v>
      </c>
      <c r="H692" t="s">
        <v>513</v>
      </c>
      <c r="I692" t="s">
        <v>289</v>
      </c>
      <c r="J692">
        <v>1</v>
      </c>
      <c r="K692">
        <v>900</v>
      </c>
      <c r="L692">
        <v>0</v>
      </c>
      <c r="M692">
        <v>0</v>
      </c>
      <c r="N692" t="s">
        <v>19</v>
      </c>
    </row>
    <row r="693" spans="1:14" x14ac:dyDescent="0.25">
      <c r="A693" t="s">
        <v>1498</v>
      </c>
      <c r="B693" t="s">
        <v>1919</v>
      </c>
      <c r="C693" t="s">
        <v>509</v>
      </c>
      <c r="D693" t="s">
        <v>20</v>
      </c>
      <c r="E693" t="s">
        <v>21</v>
      </c>
      <c r="F693" t="s">
        <v>15</v>
      </c>
      <c r="G693" t="s">
        <v>22</v>
      </c>
      <c r="H693" t="s">
        <v>513</v>
      </c>
      <c r="I693" t="s">
        <v>76</v>
      </c>
      <c r="J693">
        <v>1</v>
      </c>
      <c r="K693">
        <v>500</v>
      </c>
      <c r="L693">
        <v>500</v>
      </c>
      <c r="M693">
        <v>500</v>
      </c>
      <c r="N693" t="s">
        <v>19</v>
      </c>
    </row>
    <row r="694" spans="1:14" x14ac:dyDescent="0.25">
      <c r="A694" t="s">
        <v>1473</v>
      </c>
      <c r="B694" t="s">
        <v>1920</v>
      </c>
      <c r="C694" t="s">
        <v>515</v>
      </c>
      <c r="D694" t="s">
        <v>20</v>
      </c>
      <c r="E694" t="s">
        <v>168</v>
      </c>
      <c r="F694" t="s">
        <v>15</v>
      </c>
      <c r="G694" t="s">
        <v>22</v>
      </c>
      <c r="H694" t="s">
        <v>516</v>
      </c>
      <c r="I694" t="s">
        <v>169</v>
      </c>
      <c r="J694">
        <v>1</v>
      </c>
      <c r="K694">
        <v>3675</v>
      </c>
      <c r="L694">
        <v>10500</v>
      </c>
      <c r="M694">
        <v>10500</v>
      </c>
      <c r="N694" t="s">
        <v>19</v>
      </c>
    </row>
    <row r="695" spans="1:14" x14ac:dyDescent="0.25">
      <c r="A695" t="s">
        <v>1473</v>
      </c>
      <c r="B695" t="s">
        <v>1920</v>
      </c>
      <c r="C695" t="s">
        <v>515</v>
      </c>
      <c r="D695" t="s">
        <v>20</v>
      </c>
      <c r="E695" t="s">
        <v>168</v>
      </c>
      <c r="F695" t="s">
        <v>15</v>
      </c>
      <c r="G695" t="s">
        <v>22</v>
      </c>
      <c r="H695" t="s">
        <v>516</v>
      </c>
      <c r="I695" t="s">
        <v>170</v>
      </c>
      <c r="J695">
        <v>1</v>
      </c>
      <c r="K695">
        <v>4000</v>
      </c>
      <c r="L695">
        <v>4000</v>
      </c>
      <c r="M695">
        <v>4000</v>
      </c>
      <c r="N695" t="s">
        <v>19</v>
      </c>
    </row>
    <row r="696" spans="1:14" x14ac:dyDescent="0.25">
      <c r="A696" t="s">
        <v>1473</v>
      </c>
      <c r="B696" t="s">
        <v>1920</v>
      </c>
      <c r="C696" t="s">
        <v>515</v>
      </c>
      <c r="D696" t="s">
        <v>20</v>
      </c>
      <c r="E696" t="s">
        <v>168</v>
      </c>
      <c r="F696" t="s">
        <v>15</v>
      </c>
      <c r="G696" t="s">
        <v>22</v>
      </c>
      <c r="H696" t="s">
        <v>516</v>
      </c>
      <c r="I696" t="s">
        <v>24</v>
      </c>
      <c r="J696">
        <v>1</v>
      </c>
      <c r="K696">
        <v>4000</v>
      </c>
      <c r="L696">
        <v>4000</v>
      </c>
      <c r="M696">
        <v>4000</v>
      </c>
      <c r="N696" t="s">
        <v>19</v>
      </c>
    </row>
    <row r="697" spans="1:14" x14ac:dyDescent="0.25">
      <c r="A697" t="s">
        <v>1473</v>
      </c>
      <c r="B697" t="s">
        <v>1920</v>
      </c>
      <c r="C697" t="s">
        <v>515</v>
      </c>
      <c r="D697" t="s">
        <v>20</v>
      </c>
      <c r="E697" t="s">
        <v>168</v>
      </c>
      <c r="F697" t="s">
        <v>15</v>
      </c>
      <c r="G697" t="s">
        <v>22</v>
      </c>
      <c r="H697" t="s">
        <v>516</v>
      </c>
      <c r="I697" t="s">
        <v>171</v>
      </c>
      <c r="J697">
        <v>1</v>
      </c>
      <c r="K697">
        <v>500</v>
      </c>
      <c r="L697">
        <v>500</v>
      </c>
      <c r="M697">
        <v>500</v>
      </c>
      <c r="N697" t="s">
        <v>19</v>
      </c>
    </row>
    <row r="698" spans="1:14" x14ac:dyDescent="0.25">
      <c r="A698" t="s">
        <v>1473</v>
      </c>
      <c r="B698" t="s">
        <v>1921</v>
      </c>
      <c r="C698" t="s">
        <v>517</v>
      </c>
      <c r="D698" t="s">
        <v>20</v>
      </c>
      <c r="E698" t="s">
        <v>168</v>
      </c>
      <c r="F698" t="s">
        <v>15</v>
      </c>
      <c r="G698" t="s">
        <v>22</v>
      </c>
      <c r="H698" t="s">
        <v>516</v>
      </c>
      <c r="I698" t="s">
        <v>169</v>
      </c>
      <c r="J698">
        <v>1</v>
      </c>
      <c r="K698">
        <v>3675</v>
      </c>
      <c r="L698">
        <v>10500</v>
      </c>
      <c r="M698">
        <v>10500</v>
      </c>
      <c r="N698" t="s">
        <v>19</v>
      </c>
    </row>
    <row r="699" spans="1:14" x14ac:dyDescent="0.25">
      <c r="A699" t="s">
        <v>1473</v>
      </c>
      <c r="B699" t="s">
        <v>1921</v>
      </c>
      <c r="C699" t="s">
        <v>517</v>
      </c>
      <c r="D699" t="s">
        <v>20</v>
      </c>
      <c r="E699" t="s">
        <v>168</v>
      </c>
      <c r="F699" t="s">
        <v>15</v>
      </c>
      <c r="G699" t="s">
        <v>22</v>
      </c>
      <c r="H699" t="s">
        <v>516</v>
      </c>
      <c r="I699" t="s">
        <v>170</v>
      </c>
      <c r="J699">
        <v>1</v>
      </c>
      <c r="K699">
        <v>4000</v>
      </c>
      <c r="L699">
        <v>4000</v>
      </c>
      <c r="M699">
        <v>4000</v>
      </c>
      <c r="N699" t="s">
        <v>19</v>
      </c>
    </row>
    <row r="700" spans="1:14" x14ac:dyDescent="0.25">
      <c r="A700" t="s">
        <v>1473</v>
      </c>
      <c r="B700" t="s">
        <v>1921</v>
      </c>
      <c r="C700" t="s">
        <v>517</v>
      </c>
      <c r="D700" t="s">
        <v>20</v>
      </c>
      <c r="E700" t="s">
        <v>168</v>
      </c>
      <c r="F700" t="s">
        <v>15</v>
      </c>
      <c r="G700" t="s">
        <v>22</v>
      </c>
      <c r="H700" t="s">
        <v>516</v>
      </c>
      <c r="I700" t="s">
        <v>24</v>
      </c>
      <c r="J700">
        <v>1</v>
      </c>
      <c r="K700">
        <v>4000</v>
      </c>
      <c r="L700">
        <v>4000</v>
      </c>
      <c r="M700">
        <v>4000</v>
      </c>
      <c r="N700" t="s">
        <v>19</v>
      </c>
    </row>
    <row r="701" spans="1:14" x14ac:dyDescent="0.25">
      <c r="A701" t="s">
        <v>1473</v>
      </c>
      <c r="B701" t="s">
        <v>1921</v>
      </c>
      <c r="C701" t="s">
        <v>517</v>
      </c>
      <c r="D701" t="s">
        <v>20</v>
      </c>
      <c r="E701" t="s">
        <v>168</v>
      </c>
      <c r="F701" t="s">
        <v>15</v>
      </c>
      <c r="G701" t="s">
        <v>22</v>
      </c>
      <c r="H701" t="s">
        <v>516</v>
      </c>
      <c r="I701" t="s">
        <v>171</v>
      </c>
      <c r="J701">
        <v>1</v>
      </c>
      <c r="K701">
        <v>500</v>
      </c>
      <c r="L701">
        <v>500</v>
      </c>
      <c r="M701">
        <v>500</v>
      </c>
      <c r="N701" t="s">
        <v>19</v>
      </c>
    </row>
    <row r="702" spans="1:14" x14ac:dyDescent="0.25">
      <c r="A702" t="s">
        <v>1544</v>
      </c>
      <c r="B702" t="s">
        <v>1922</v>
      </c>
      <c r="C702" t="s">
        <v>407</v>
      </c>
      <c r="D702" t="s">
        <v>238</v>
      </c>
      <c r="E702" t="s">
        <v>239</v>
      </c>
      <c r="F702" t="s">
        <v>15</v>
      </c>
      <c r="G702" t="s">
        <v>37</v>
      </c>
      <c r="H702" t="s">
        <v>408</v>
      </c>
      <c r="I702" t="s">
        <v>38</v>
      </c>
      <c r="J702">
        <v>1</v>
      </c>
      <c r="K702">
        <v>8500</v>
      </c>
      <c r="L702">
        <v>12500</v>
      </c>
      <c r="M702">
        <v>12500</v>
      </c>
      <c r="N702" t="s">
        <v>19</v>
      </c>
    </row>
    <row r="703" spans="1:14" x14ac:dyDescent="0.25">
      <c r="A703" t="s">
        <v>1509</v>
      </c>
      <c r="B703" t="s">
        <v>1923</v>
      </c>
      <c r="C703" t="s">
        <v>519</v>
      </c>
      <c r="D703" t="s">
        <v>20</v>
      </c>
      <c r="E703" t="s">
        <v>70</v>
      </c>
      <c r="F703" t="s">
        <v>15</v>
      </c>
      <c r="G703" t="s">
        <v>22</v>
      </c>
      <c r="H703" t="s">
        <v>521</v>
      </c>
      <c r="I703" t="s">
        <v>275</v>
      </c>
      <c r="J703">
        <v>2</v>
      </c>
      <c r="K703">
        <v>2500</v>
      </c>
      <c r="L703">
        <v>4000</v>
      </c>
      <c r="M703">
        <v>8000</v>
      </c>
      <c r="N703" t="s">
        <v>19</v>
      </c>
    </row>
    <row r="704" spans="1:14" x14ac:dyDescent="0.25">
      <c r="A704" t="s">
        <v>1486</v>
      </c>
      <c r="B704" t="s">
        <v>1924</v>
      </c>
      <c r="C704" t="s">
        <v>522</v>
      </c>
      <c r="D704" t="s">
        <v>20</v>
      </c>
      <c r="E704" t="s">
        <v>31</v>
      </c>
      <c r="F704" t="s">
        <v>15</v>
      </c>
      <c r="G704" t="s">
        <v>22</v>
      </c>
      <c r="H704" t="s">
        <v>521</v>
      </c>
      <c r="I704" t="s">
        <v>145</v>
      </c>
      <c r="J704">
        <v>1</v>
      </c>
      <c r="K704">
        <v>2975</v>
      </c>
      <c r="L704">
        <v>8500</v>
      </c>
      <c r="M704">
        <v>8500</v>
      </c>
      <c r="N704" t="s">
        <v>19</v>
      </c>
    </row>
    <row r="705" spans="1:14" x14ac:dyDescent="0.25">
      <c r="A705" t="s">
        <v>1486</v>
      </c>
      <c r="B705" t="s">
        <v>1924</v>
      </c>
      <c r="C705" t="s">
        <v>522</v>
      </c>
      <c r="D705" t="s">
        <v>20</v>
      </c>
      <c r="E705" t="s">
        <v>31</v>
      </c>
      <c r="F705" t="s">
        <v>15</v>
      </c>
      <c r="G705" t="s">
        <v>22</v>
      </c>
      <c r="H705" t="s">
        <v>521</v>
      </c>
      <c r="I705" t="s">
        <v>299</v>
      </c>
      <c r="J705">
        <v>1</v>
      </c>
      <c r="K705">
        <v>10500</v>
      </c>
      <c r="L705">
        <v>10500</v>
      </c>
      <c r="M705">
        <v>10500</v>
      </c>
      <c r="N705" t="s">
        <v>19</v>
      </c>
    </row>
    <row r="706" spans="1:14" x14ac:dyDescent="0.25">
      <c r="A706" t="s">
        <v>1486</v>
      </c>
      <c r="B706" t="s">
        <v>1924</v>
      </c>
      <c r="C706" t="s">
        <v>522</v>
      </c>
      <c r="D706" t="s">
        <v>20</v>
      </c>
      <c r="E706" t="s">
        <v>31</v>
      </c>
      <c r="F706" t="s">
        <v>15</v>
      </c>
      <c r="G706" t="s">
        <v>22</v>
      </c>
      <c r="H706" t="s">
        <v>521</v>
      </c>
      <c r="I706" t="s">
        <v>25</v>
      </c>
      <c r="J706">
        <v>1</v>
      </c>
      <c r="K706">
        <v>10500</v>
      </c>
      <c r="L706">
        <v>10500</v>
      </c>
      <c r="M706">
        <v>10500</v>
      </c>
      <c r="N706" t="s">
        <v>19</v>
      </c>
    </row>
    <row r="707" spans="1:14" x14ac:dyDescent="0.25">
      <c r="A707" t="s">
        <v>1486</v>
      </c>
      <c r="B707" t="s">
        <v>1924</v>
      </c>
      <c r="C707" t="s">
        <v>522</v>
      </c>
      <c r="D707" t="s">
        <v>20</v>
      </c>
      <c r="E707" t="s">
        <v>31</v>
      </c>
      <c r="F707" t="s">
        <v>15</v>
      </c>
      <c r="G707" t="s">
        <v>22</v>
      </c>
      <c r="H707" t="s">
        <v>521</v>
      </c>
      <c r="I707" t="s">
        <v>134</v>
      </c>
      <c r="J707">
        <v>1</v>
      </c>
      <c r="K707">
        <v>500</v>
      </c>
      <c r="L707">
        <v>500</v>
      </c>
      <c r="M707">
        <v>500</v>
      </c>
      <c r="N707" t="s">
        <v>19</v>
      </c>
    </row>
    <row r="708" spans="1:14" x14ac:dyDescent="0.25">
      <c r="A708" t="s">
        <v>1575</v>
      </c>
      <c r="B708" t="s">
        <v>1925</v>
      </c>
      <c r="C708" t="s">
        <v>243</v>
      </c>
      <c r="D708" t="s">
        <v>1070</v>
      </c>
      <c r="E708" t="s">
        <v>1071</v>
      </c>
      <c r="F708" t="s">
        <v>15</v>
      </c>
      <c r="G708" t="s">
        <v>37</v>
      </c>
      <c r="H708" t="s">
        <v>521</v>
      </c>
      <c r="I708" t="s">
        <v>1080</v>
      </c>
      <c r="J708">
        <v>100</v>
      </c>
      <c r="K708">
        <v>32</v>
      </c>
      <c r="L708">
        <v>50</v>
      </c>
      <c r="M708">
        <v>5000</v>
      </c>
      <c r="N708" t="s">
        <v>19</v>
      </c>
    </row>
    <row r="709" spans="1:14" x14ac:dyDescent="0.25">
      <c r="A709" t="s">
        <v>1720</v>
      </c>
      <c r="B709" t="s">
        <v>1926</v>
      </c>
      <c r="C709" t="s">
        <v>410</v>
      </c>
      <c r="D709" t="s">
        <v>411</v>
      </c>
      <c r="E709" t="s">
        <v>411</v>
      </c>
      <c r="F709" t="s">
        <v>15</v>
      </c>
      <c r="G709" t="s">
        <v>22</v>
      </c>
      <c r="H709" t="s">
        <v>412</v>
      </c>
      <c r="I709" t="s">
        <v>154</v>
      </c>
      <c r="J709">
        <v>1</v>
      </c>
      <c r="K709">
        <v>1100</v>
      </c>
      <c r="L709">
        <v>1600</v>
      </c>
      <c r="M709">
        <v>1600</v>
      </c>
      <c r="N709" t="s">
        <v>19</v>
      </c>
    </row>
    <row r="710" spans="1:14" x14ac:dyDescent="0.25">
      <c r="A710" t="s">
        <v>1720</v>
      </c>
      <c r="B710" t="s">
        <v>1926</v>
      </c>
      <c r="C710" t="s">
        <v>410</v>
      </c>
      <c r="D710" t="s">
        <v>411</v>
      </c>
      <c r="E710" t="s">
        <v>411</v>
      </c>
      <c r="F710" t="s">
        <v>15</v>
      </c>
      <c r="G710" t="s">
        <v>22</v>
      </c>
      <c r="H710" t="s">
        <v>412</v>
      </c>
      <c r="I710" t="s">
        <v>333</v>
      </c>
      <c r="J710">
        <v>1</v>
      </c>
      <c r="K710">
        <v>20</v>
      </c>
      <c r="L710">
        <v>100</v>
      </c>
      <c r="M710">
        <v>100</v>
      </c>
      <c r="N710" t="s">
        <v>19</v>
      </c>
    </row>
    <row r="711" spans="1:14" x14ac:dyDescent="0.25">
      <c r="A711" t="s">
        <v>1731</v>
      </c>
      <c r="B711" t="s">
        <v>1927</v>
      </c>
      <c r="C711" t="s">
        <v>251</v>
      </c>
      <c r="D711" t="s">
        <v>1055</v>
      </c>
      <c r="E711" t="s">
        <v>1056</v>
      </c>
      <c r="F711" t="s">
        <v>883</v>
      </c>
      <c r="G711" t="s">
        <v>37</v>
      </c>
      <c r="H711" t="s">
        <v>412</v>
      </c>
      <c r="I711" t="s">
        <v>38</v>
      </c>
      <c r="J711">
        <v>1</v>
      </c>
      <c r="K711">
        <v>8500</v>
      </c>
      <c r="L711">
        <v>12500</v>
      </c>
      <c r="M711">
        <v>12500</v>
      </c>
      <c r="N711" t="s">
        <v>1010</v>
      </c>
    </row>
    <row r="712" spans="1:14" x14ac:dyDescent="0.25">
      <c r="A712" t="s">
        <v>1731</v>
      </c>
      <c r="B712" t="s">
        <v>1927</v>
      </c>
      <c r="C712" t="s">
        <v>251</v>
      </c>
      <c r="D712" t="s">
        <v>1055</v>
      </c>
      <c r="E712" t="s">
        <v>1056</v>
      </c>
      <c r="F712" t="s">
        <v>883</v>
      </c>
      <c r="G712" t="s">
        <v>37</v>
      </c>
      <c r="H712" t="s">
        <v>412</v>
      </c>
      <c r="I712" t="s">
        <v>137</v>
      </c>
      <c r="J712">
        <v>1</v>
      </c>
      <c r="K712">
        <v>2200</v>
      </c>
      <c r="L712">
        <v>3250</v>
      </c>
      <c r="M712">
        <v>3250</v>
      </c>
      <c r="N712" t="s">
        <v>1010</v>
      </c>
    </row>
    <row r="713" spans="1:14" x14ac:dyDescent="0.25">
      <c r="A713" t="s">
        <v>1731</v>
      </c>
      <c r="B713" t="s">
        <v>1927</v>
      </c>
      <c r="C713" t="s">
        <v>251</v>
      </c>
      <c r="D713" t="s">
        <v>1055</v>
      </c>
      <c r="E713" t="s">
        <v>1056</v>
      </c>
      <c r="F713" t="s">
        <v>883</v>
      </c>
      <c r="G713" t="s">
        <v>37</v>
      </c>
      <c r="H713" t="s">
        <v>412</v>
      </c>
      <c r="I713" t="s">
        <v>1057</v>
      </c>
      <c r="J713">
        <v>1</v>
      </c>
      <c r="K713">
        <v>5400</v>
      </c>
      <c r="L713">
        <v>7000</v>
      </c>
      <c r="M713">
        <v>7000</v>
      </c>
      <c r="N713" t="s">
        <v>1010</v>
      </c>
    </row>
    <row r="714" spans="1:14" x14ac:dyDescent="0.25">
      <c r="A714" t="s">
        <v>1731</v>
      </c>
      <c r="B714" t="s">
        <v>1927</v>
      </c>
      <c r="C714" t="s">
        <v>251</v>
      </c>
      <c r="D714" t="s">
        <v>1055</v>
      </c>
      <c r="E714" t="s">
        <v>1056</v>
      </c>
      <c r="F714" t="s">
        <v>883</v>
      </c>
      <c r="G714" t="s">
        <v>37</v>
      </c>
      <c r="H714" t="s">
        <v>412</v>
      </c>
      <c r="I714" t="s">
        <v>1021</v>
      </c>
      <c r="J714">
        <v>1</v>
      </c>
      <c r="K714">
        <v>2185</v>
      </c>
      <c r="L714">
        <v>3500</v>
      </c>
      <c r="M714">
        <v>3500</v>
      </c>
      <c r="N714" t="s">
        <v>1010</v>
      </c>
    </row>
    <row r="715" spans="1:14" x14ac:dyDescent="0.25">
      <c r="A715" t="s">
        <v>1731</v>
      </c>
      <c r="B715" t="s">
        <v>1927</v>
      </c>
      <c r="C715" t="s">
        <v>251</v>
      </c>
      <c r="D715" t="s">
        <v>1055</v>
      </c>
      <c r="E715" t="s">
        <v>1056</v>
      </c>
      <c r="F715" t="s">
        <v>883</v>
      </c>
      <c r="G715" t="s">
        <v>37</v>
      </c>
      <c r="H715" t="s">
        <v>412</v>
      </c>
      <c r="I715" t="s">
        <v>63</v>
      </c>
      <c r="J715">
        <v>1</v>
      </c>
      <c r="K715">
        <v>500</v>
      </c>
      <c r="L715">
        <v>500</v>
      </c>
      <c r="M715">
        <v>500</v>
      </c>
      <c r="N715" t="s">
        <v>1010</v>
      </c>
    </row>
    <row r="716" spans="1:14" x14ac:dyDescent="0.25">
      <c r="A716" t="s">
        <v>1573</v>
      </c>
      <c r="B716" t="s">
        <v>1928</v>
      </c>
      <c r="C716" t="s">
        <v>413</v>
      </c>
      <c r="D716" t="s">
        <v>414</v>
      </c>
      <c r="E716" t="s">
        <v>415</v>
      </c>
      <c r="F716" t="s">
        <v>15</v>
      </c>
      <c r="G716" t="s">
        <v>22</v>
      </c>
      <c r="H716" t="s">
        <v>416</v>
      </c>
      <c r="I716" t="s">
        <v>154</v>
      </c>
      <c r="J716">
        <v>1</v>
      </c>
      <c r="K716">
        <v>1100</v>
      </c>
      <c r="L716">
        <v>1600</v>
      </c>
      <c r="M716">
        <v>1600</v>
      </c>
      <c r="N716" t="s">
        <v>19</v>
      </c>
    </row>
    <row r="717" spans="1:14" x14ac:dyDescent="0.25">
      <c r="A717" t="s">
        <v>1573</v>
      </c>
      <c r="B717" t="s">
        <v>1928</v>
      </c>
      <c r="C717" t="s">
        <v>413</v>
      </c>
      <c r="D717" t="s">
        <v>414</v>
      </c>
      <c r="E717" t="s">
        <v>415</v>
      </c>
      <c r="F717" t="s">
        <v>15</v>
      </c>
      <c r="G717" t="s">
        <v>22</v>
      </c>
      <c r="H717" t="s">
        <v>416</v>
      </c>
      <c r="I717" t="s">
        <v>333</v>
      </c>
      <c r="J717">
        <v>1</v>
      </c>
      <c r="K717">
        <v>20</v>
      </c>
      <c r="L717">
        <v>100</v>
      </c>
      <c r="M717">
        <v>100</v>
      </c>
      <c r="N717" t="s">
        <v>19</v>
      </c>
    </row>
    <row r="718" spans="1:14" x14ac:dyDescent="0.25">
      <c r="A718" t="s">
        <v>1719</v>
      </c>
      <c r="B718" t="s">
        <v>1929</v>
      </c>
      <c r="C718" t="s">
        <v>417</v>
      </c>
      <c r="D718" t="s">
        <v>418</v>
      </c>
      <c r="E718" t="s">
        <v>419</v>
      </c>
      <c r="F718" t="s">
        <v>420</v>
      </c>
      <c r="G718" t="s">
        <v>37</v>
      </c>
      <c r="H718" t="s">
        <v>421</v>
      </c>
      <c r="I718" t="s">
        <v>422</v>
      </c>
      <c r="J718">
        <v>1</v>
      </c>
      <c r="K718">
        <v>3675</v>
      </c>
      <c r="L718">
        <v>10500</v>
      </c>
      <c r="M718">
        <v>10500</v>
      </c>
      <c r="N718" t="s">
        <v>39</v>
      </c>
    </row>
    <row r="719" spans="1:14" x14ac:dyDescent="0.25">
      <c r="A719" t="s">
        <v>1719</v>
      </c>
      <c r="B719" t="s">
        <v>1929</v>
      </c>
      <c r="C719" t="s">
        <v>417</v>
      </c>
      <c r="D719" t="s">
        <v>418</v>
      </c>
      <c r="E719" t="s">
        <v>419</v>
      </c>
      <c r="F719" t="s">
        <v>420</v>
      </c>
      <c r="G719" t="s">
        <v>37</v>
      </c>
      <c r="H719" t="s">
        <v>421</v>
      </c>
      <c r="I719" t="s">
        <v>48</v>
      </c>
      <c r="J719">
        <v>1</v>
      </c>
      <c r="K719">
        <v>4095</v>
      </c>
      <c r="L719">
        <v>11700</v>
      </c>
      <c r="M719">
        <v>11700</v>
      </c>
      <c r="N719" t="s">
        <v>39</v>
      </c>
    </row>
    <row r="720" spans="1:14" x14ac:dyDescent="0.25">
      <c r="A720" t="s">
        <v>1719</v>
      </c>
      <c r="B720" t="s">
        <v>1929</v>
      </c>
      <c r="C720" t="s">
        <v>417</v>
      </c>
      <c r="D720" t="s">
        <v>418</v>
      </c>
      <c r="E720" t="s">
        <v>419</v>
      </c>
      <c r="F720" t="s">
        <v>420</v>
      </c>
      <c r="G720" t="s">
        <v>37</v>
      </c>
      <c r="H720" t="s">
        <v>421</v>
      </c>
      <c r="I720" t="s">
        <v>126</v>
      </c>
      <c r="J720">
        <v>1</v>
      </c>
      <c r="K720">
        <v>4095</v>
      </c>
      <c r="L720">
        <v>11700</v>
      </c>
      <c r="M720">
        <v>11700</v>
      </c>
      <c r="N720" t="s">
        <v>39</v>
      </c>
    </row>
    <row r="721" spans="1:14" x14ac:dyDescent="0.25">
      <c r="A721" t="s">
        <v>1719</v>
      </c>
      <c r="B721" t="s">
        <v>1929</v>
      </c>
      <c r="C721" t="s">
        <v>417</v>
      </c>
      <c r="D721" t="s">
        <v>418</v>
      </c>
      <c r="E721" t="s">
        <v>419</v>
      </c>
      <c r="F721" t="s">
        <v>420</v>
      </c>
      <c r="G721" t="s">
        <v>37</v>
      </c>
      <c r="H721" t="s">
        <v>421</v>
      </c>
      <c r="I721" t="s">
        <v>50</v>
      </c>
      <c r="J721">
        <v>1</v>
      </c>
      <c r="K721">
        <v>600</v>
      </c>
      <c r="L721">
        <v>600</v>
      </c>
      <c r="M721">
        <v>600</v>
      </c>
      <c r="N721" t="s">
        <v>39</v>
      </c>
    </row>
    <row r="722" spans="1:14" x14ac:dyDescent="0.25">
      <c r="A722" t="s">
        <v>1719</v>
      </c>
      <c r="B722" t="s">
        <v>1929</v>
      </c>
      <c r="C722" t="s">
        <v>417</v>
      </c>
      <c r="D722" t="s">
        <v>418</v>
      </c>
      <c r="E722" t="s">
        <v>419</v>
      </c>
      <c r="F722" t="s">
        <v>420</v>
      </c>
      <c r="G722" t="s">
        <v>37</v>
      </c>
      <c r="H722" t="s">
        <v>421</v>
      </c>
      <c r="I722" t="s">
        <v>423</v>
      </c>
      <c r="J722">
        <v>1</v>
      </c>
      <c r="K722">
        <v>23450</v>
      </c>
      <c r="L722">
        <v>31300</v>
      </c>
      <c r="M722">
        <v>31300</v>
      </c>
      <c r="N722" t="s">
        <v>39</v>
      </c>
    </row>
    <row r="723" spans="1:14" x14ac:dyDescent="0.25">
      <c r="A723" t="s">
        <v>1719</v>
      </c>
      <c r="B723" t="s">
        <v>1929</v>
      </c>
      <c r="C723" t="s">
        <v>417</v>
      </c>
      <c r="D723" t="s">
        <v>418</v>
      </c>
      <c r="E723" t="s">
        <v>419</v>
      </c>
      <c r="F723" t="s">
        <v>420</v>
      </c>
      <c r="G723" t="s">
        <v>37</v>
      </c>
      <c r="H723" t="s">
        <v>421</v>
      </c>
      <c r="I723" t="s">
        <v>151</v>
      </c>
      <c r="J723">
        <v>1</v>
      </c>
      <c r="K723">
        <v>2800</v>
      </c>
      <c r="L723">
        <v>4000</v>
      </c>
      <c r="M723">
        <v>4000</v>
      </c>
      <c r="N723" t="s">
        <v>39</v>
      </c>
    </row>
    <row r="724" spans="1:14" x14ac:dyDescent="0.25">
      <c r="A724" t="s">
        <v>1719</v>
      </c>
      <c r="B724" t="s">
        <v>1929</v>
      </c>
      <c r="C724" t="s">
        <v>417</v>
      </c>
      <c r="D724" t="s">
        <v>418</v>
      </c>
      <c r="E724" t="s">
        <v>419</v>
      </c>
      <c r="F724" t="s">
        <v>420</v>
      </c>
      <c r="G724" t="s">
        <v>37</v>
      </c>
      <c r="H724" t="s">
        <v>421</v>
      </c>
      <c r="I724" t="s">
        <v>210</v>
      </c>
      <c r="J724">
        <v>1</v>
      </c>
      <c r="K724">
        <v>530</v>
      </c>
      <c r="L724">
        <v>700</v>
      </c>
      <c r="M724">
        <v>700</v>
      </c>
      <c r="N724" t="s">
        <v>39</v>
      </c>
    </row>
    <row r="725" spans="1:14" x14ac:dyDescent="0.25">
      <c r="A725" t="s">
        <v>1719</v>
      </c>
      <c r="B725" t="s">
        <v>1929</v>
      </c>
      <c r="C725" t="s">
        <v>417</v>
      </c>
      <c r="D725" t="s">
        <v>418</v>
      </c>
      <c r="E725" t="s">
        <v>419</v>
      </c>
      <c r="F725" t="s">
        <v>420</v>
      </c>
      <c r="G725" t="s">
        <v>37</v>
      </c>
      <c r="H725" t="s">
        <v>421</v>
      </c>
      <c r="I725" t="s">
        <v>211</v>
      </c>
      <c r="J725">
        <v>1</v>
      </c>
      <c r="K725">
        <v>350</v>
      </c>
      <c r="L725">
        <v>500</v>
      </c>
      <c r="M725">
        <v>500</v>
      </c>
      <c r="N725" t="s">
        <v>39</v>
      </c>
    </row>
    <row r="726" spans="1:14" x14ac:dyDescent="0.25">
      <c r="A726" t="s">
        <v>1719</v>
      </c>
      <c r="B726" t="s">
        <v>1929</v>
      </c>
      <c r="C726" t="s">
        <v>417</v>
      </c>
      <c r="D726" t="s">
        <v>418</v>
      </c>
      <c r="E726" t="s">
        <v>419</v>
      </c>
      <c r="F726" t="s">
        <v>420</v>
      </c>
      <c r="G726" t="s">
        <v>37</v>
      </c>
      <c r="H726" t="s">
        <v>421</v>
      </c>
      <c r="I726" t="s">
        <v>63</v>
      </c>
      <c r="J726">
        <v>1</v>
      </c>
      <c r="K726">
        <v>500</v>
      </c>
      <c r="L726">
        <v>500</v>
      </c>
      <c r="M726">
        <v>500</v>
      </c>
      <c r="N726" t="s">
        <v>39</v>
      </c>
    </row>
    <row r="727" spans="1:14" x14ac:dyDescent="0.25">
      <c r="A727" t="s">
        <v>1516</v>
      </c>
      <c r="B727" t="s">
        <v>1930</v>
      </c>
      <c r="C727" t="s">
        <v>524</v>
      </c>
      <c r="D727" t="s">
        <v>20</v>
      </c>
      <c r="E727" t="s">
        <v>286</v>
      </c>
      <c r="F727" t="s">
        <v>15</v>
      </c>
      <c r="G727" t="s">
        <v>22</v>
      </c>
      <c r="H727" t="s">
        <v>421</v>
      </c>
      <c r="I727" t="s">
        <v>525</v>
      </c>
      <c r="J727">
        <v>1</v>
      </c>
      <c r="K727">
        <v>12000</v>
      </c>
      <c r="L727">
        <v>12000</v>
      </c>
      <c r="M727">
        <v>12000</v>
      </c>
      <c r="N727" t="s">
        <v>19</v>
      </c>
    </row>
    <row r="728" spans="1:14" x14ac:dyDescent="0.25">
      <c r="A728" t="s">
        <v>1516</v>
      </c>
      <c r="B728" t="s">
        <v>1930</v>
      </c>
      <c r="C728" t="s">
        <v>524</v>
      </c>
      <c r="D728" t="s">
        <v>20</v>
      </c>
      <c r="E728" t="s">
        <v>286</v>
      </c>
      <c r="F728" t="s">
        <v>15</v>
      </c>
      <c r="G728" t="s">
        <v>22</v>
      </c>
      <c r="H728" t="s">
        <v>421</v>
      </c>
      <c r="I728" t="s">
        <v>526</v>
      </c>
      <c r="J728">
        <v>1</v>
      </c>
      <c r="K728">
        <v>12000</v>
      </c>
      <c r="L728">
        <v>12000</v>
      </c>
      <c r="M728">
        <v>12000</v>
      </c>
      <c r="N728" t="s">
        <v>19</v>
      </c>
    </row>
    <row r="729" spans="1:14" x14ac:dyDescent="0.25">
      <c r="A729" t="s">
        <v>1516</v>
      </c>
      <c r="B729" t="s">
        <v>1930</v>
      </c>
      <c r="C729" t="s">
        <v>524</v>
      </c>
      <c r="D729" t="s">
        <v>20</v>
      </c>
      <c r="E729" t="s">
        <v>286</v>
      </c>
      <c r="F729" t="s">
        <v>15</v>
      </c>
      <c r="G729" t="s">
        <v>22</v>
      </c>
      <c r="H729" t="s">
        <v>421</v>
      </c>
      <c r="I729" t="s">
        <v>527</v>
      </c>
      <c r="J729">
        <v>1</v>
      </c>
      <c r="K729">
        <v>12000</v>
      </c>
      <c r="L729">
        <v>12000</v>
      </c>
      <c r="M729">
        <v>12000</v>
      </c>
      <c r="N729" t="s">
        <v>19</v>
      </c>
    </row>
    <row r="730" spans="1:14" x14ac:dyDescent="0.25">
      <c r="A730" t="s">
        <v>1516</v>
      </c>
      <c r="B730" t="s">
        <v>1930</v>
      </c>
      <c r="C730" t="s">
        <v>524</v>
      </c>
      <c r="D730" t="s">
        <v>20</v>
      </c>
      <c r="E730" t="s">
        <v>286</v>
      </c>
      <c r="F730" t="s">
        <v>15</v>
      </c>
      <c r="G730" t="s">
        <v>22</v>
      </c>
      <c r="H730" t="s">
        <v>421</v>
      </c>
      <c r="I730" t="s">
        <v>528</v>
      </c>
      <c r="J730">
        <v>1</v>
      </c>
      <c r="K730">
        <v>12000</v>
      </c>
      <c r="L730">
        <v>12000</v>
      </c>
      <c r="M730">
        <v>12000</v>
      </c>
      <c r="N730" t="s">
        <v>19</v>
      </c>
    </row>
    <row r="731" spans="1:14" x14ac:dyDescent="0.25">
      <c r="A731" t="s">
        <v>1516</v>
      </c>
      <c r="B731" t="s">
        <v>1930</v>
      </c>
      <c r="C731" t="s">
        <v>524</v>
      </c>
      <c r="D731" t="s">
        <v>20</v>
      </c>
      <c r="E731" t="s">
        <v>286</v>
      </c>
      <c r="F731" t="s">
        <v>15</v>
      </c>
      <c r="G731" t="s">
        <v>22</v>
      </c>
      <c r="H731" t="s">
        <v>421</v>
      </c>
      <c r="I731" t="s">
        <v>529</v>
      </c>
      <c r="J731">
        <v>1</v>
      </c>
      <c r="K731">
        <v>12000</v>
      </c>
      <c r="L731">
        <v>12000</v>
      </c>
      <c r="M731">
        <v>12000</v>
      </c>
      <c r="N731" t="s">
        <v>19</v>
      </c>
    </row>
    <row r="732" spans="1:14" x14ac:dyDescent="0.25">
      <c r="A732" t="s">
        <v>1516</v>
      </c>
      <c r="B732" t="s">
        <v>1930</v>
      </c>
      <c r="C732" t="s">
        <v>524</v>
      </c>
      <c r="D732" t="s">
        <v>20</v>
      </c>
      <c r="E732" t="s">
        <v>286</v>
      </c>
      <c r="F732" t="s">
        <v>15</v>
      </c>
      <c r="G732" t="s">
        <v>22</v>
      </c>
      <c r="H732" t="s">
        <v>421</v>
      </c>
      <c r="I732" t="s">
        <v>530</v>
      </c>
      <c r="J732">
        <v>1</v>
      </c>
      <c r="K732">
        <v>12000</v>
      </c>
      <c r="L732">
        <v>12000</v>
      </c>
      <c r="M732">
        <v>12000</v>
      </c>
      <c r="N732" t="s">
        <v>19</v>
      </c>
    </row>
    <row r="733" spans="1:14" x14ac:dyDescent="0.25">
      <c r="A733" t="s">
        <v>1577</v>
      </c>
      <c r="B733" t="s">
        <v>1931</v>
      </c>
      <c r="C733" t="s">
        <v>425</v>
      </c>
      <c r="D733" t="s">
        <v>216</v>
      </c>
      <c r="E733" t="s">
        <v>426</v>
      </c>
      <c r="F733" t="s">
        <v>15</v>
      </c>
      <c r="G733" t="s">
        <v>37</v>
      </c>
      <c r="H733" t="s">
        <v>427</v>
      </c>
      <c r="I733" t="s">
        <v>177</v>
      </c>
      <c r="J733">
        <v>1</v>
      </c>
      <c r="K733">
        <v>9500</v>
      </c>
      <c r="L733">
        <v>13500</v>
      </c>
      <c r="M733">
        <v>13500</v>
      </c>
      <c r="N733" t="s">
        <v>19</v>
      </c>
    </row>
    <row r="734" spans="1:14" x14ac:dyDescent="0.25">
      <c r="A734" t="s">
        <v>1577</v>
      </c>
      <c r="B734" t="s">
        <v>1931</v>
      </c>
      <c r="C734" t="s">
        <v>425</v>
      </c>
      <c r="D734" t="s">
        <v>216</v>
      </c>
      <c r="E734" t="s">
        <v>426</v>
      </c>
      <c r="F734" t="s">
        <v>15</v>
      </c>
      <c r="G734" t="s">
        <v>37</v>
      </c>
      <c r="H734" t="s">
        <v>427</v>
      </c>
      <c r="I734" t="s">
        <v>428</v>
      </c>
      <c r="J734">
        <v>1</v>
      </c>
      <c r="K734">
        <v>70</v>
      </c>
      <c r="L734">
        <v>300</v>
      </c>
      <c r="M734">
        <v>300</v>
      </c>
      <c r="N734" t="s">
        <v>19</v>
      </c>
    </row>
    <row r="735" spans="1:14" x14ac:dyDescent="0.25">
      <c r="A735" t="s">
        <v>1626</v>
      </c>
      <c r="B735" t="s">
        <v>1932</v>
      </c>
      <c r="C735" t="s">
        <v>430</v>
      </c>
      <c r="D735" t="s">
        <v>431</v>
      </c>
      <c r="E735" t="s">
        <v>239</v>
      </c>
      <c r="F735" t="s">
        <v>432</v>
      </c>
      <c r="G735" t="s">
        <v>37</v>
      </c>
      <c r="H735" t="s">
        <v>427</v>
      </c>
      <c r="I735" t="s">
        <v>38</v>
      </c>
      <c r="J735">
        <v>1</v>
      </c>
      <c r="K735">
        <v>8500</v>
      </c>
      <c r="L735">
        <v>12300</v>
      </c>
      <c r="M735">
        <v>12300</v>
      </c>
      <c r="N735" t="s">
        <v>39</v>
      </c>
    </row>
    <row r="736" spans="1:14" x14ac:dyDescent="0.25">
      <c r="A736" t="s">
        <v>1626</v>
      </c>
      <c r="B736" t="s">
        <v>1932</v>
      </c>
      <c r="C736" t="s">
        <v>430</v>
      </c>
      <c r="D736" t="s">
        <v>431</v>
      </c>
      <c r="E736" t="s">
        <v>239</v>
      </c>
      <c r="F736" t="s">
        <v>432</v>
      </c>
      <c r="G736" t="s">
        <v>37</v>
      </c>
      <c r="H736" t="s">
        <v>427</v>
      </c>
      <c r="I736" t="s">
        <v>241</v>
      </c>
      <c r="J736">
        <v>1</v>
      </c>
      <c r="K736">
        <v>8000</v>
      </c>
      <c r="L736">
        <v>11165</v>
      </c>
      <c r="M736">
        <v>11165</v>
      </c>
      <c r="N736" t="s">
        <v>39</v>
      </c>
    </row>
    <row r="737" spans="1:14" x14ac:dyDescent="0.25">
      <c r="A737" t="s">
        <v>1626</v>
      </c>
      <c r="B737" t="s">
        <v>1932</v>
      </c>
      <c r="C737" t="s">
        <v>430</v>
      </c>
      <c r="D737" t="s">
        <v>431</v>
      </c>
      <c r="E737" t="s">
        <v>239</v>
      </c>
      <c r="F737" t="s">
        <v>432</v>
      </c>
      <c r="G737" t="s">
        <v>37</v>
      </c>
      <c r="H737" t="s">
        <v>427</v>
      </c>
      <c r="I737" t="s">
        <v>242</v>
      </c>
      <c r="J737">
        <v>3</v>
      </c>
      <c r="K737">
        <v>30</v>
      </c>
      <c r="L737">
        <v>45</v>
      </c>
      <c r="M737">
        <v>135</v>
      </c>
      <c r="N737" t="s">
        <v>39</v>
      </c>
    </row>
    <row r="738" spans="1:14" x14ac:dyDescent="0.25">
      <c r="A738" t="s">
        <v>1626</v>
      </c>
      <c r="B738" t="s">
        <v>1932</v>
      </c>
      <c r="C738" t="s">
        <v>430</v>
      </c>
      <c r="D738" t="s">
        <v>431</v>
      </c>
      <c r="E738" t="s">
        <v>239</v>
      </c>
      <c r="F738" t="s">
        <v>432</v>
      </c>
      <c r="G738" t="s">
        <v>37</v>
      </c>
      <c r="H738" t="s">
        <v>427</v>
      </c>
      <c r="I738" t="s">
        <v>63</v>
      </c>
      <c r="J738">
        <v>1</v>
      </c>
      <c r="K738">
        <v>400</v>
      </c>
      <c r="L738">
        <v>400</v>
      </c>
      <c r="M738">
        <v>400</v>
      </c>
      <c r="N738" t="s">
        <v>39</v>
      </c>
    </row>
    <row r="739" spans="1:14" x14ac:dyDescent="0.25">
      <c r="A739" t="s">
        <v>1465</v>
      </c>
      <c r="B739" t="s">
        <v>1933</v>
      </c>
      <c r="C739" t="s">
        <v>435</v>
      </c>
      <c r="D739" t="s">
        <v>436</v>
      </c>
      <c r="E739" t="s">
        <v>437</v>
      </c>
      <c r="F739" t="s">
        <v>266</v>
      </c>
      <c r="G739" t="s">
        <v>22</v>
      </c>
      <c r="H739" t="s">
        <v>427</v>
      </c>
      <c r="I739" t="s">
        <v>33</v>
      </c>
      <c r="J739">
        <v>4</v>
      </c>
      <c r="K739">
        <v>7500</v>
      </c>
      <c r="L739">
        <v>7500</v>
      </c>
      <c r="M739">
        <v>30000</v>
      </c>
      <c r="N739" t="s">
        <v>19</v>
      </c>
    </row>
    <row r="740" spans="1:14" x14ac:dyDescent="0.25">
      <c r="A740" t="s">
        <v>1724</v>
      </c>
      <c r="B740" t="s">
        <v>1934</v>
      </c>
      <c r="C740" t="s">
        <v>439</v>
      </c>
      <c r="D740" t="s">
        <v>148</v>
      </c>
      <c r="E740" t="s">
        <v>437</v>
      </c>
      <c r="F740" t="s">
        <v>15</v>
      </c>
      <c r="G740" t="s">
        <v>16</v>
      </c>
      <c r="H740" t="s">
        <v>427</v>
      </c>
      <c r="I740" t="s">
        <v>441</v>
      </c>
      <c r="J740">
        <v>7</v>
      </c>
      <c r="K740">
        <v>7500</v>
      </c>
      <c r="L740">
        <v>7500</v>
      </c>
      <c r="M740">
        <v>52500</v>
      </c>
      <c r="N740" t="s">
        <v>39</v>
      </c>
    </row>
    <row r="741" spans="1:14" x14ac:dyDescent="0.25">
      <c r="A741" t="s">
        <v>1724</v>
      </c>
      <c r="B741" t="s">
        <v>1934</v>
      </c>
      <c r="C741" t="s">
        <v>439</v>
      </c>
      <c r="D741" t="s">
        <v>148</v>
      </c>
      <c r="E741" t="s">
        <v>437</v>
      </c>
      <c r="F741" t="s">
        <v>15</v>
      </c>
      <c r="G741" t="s">
        <v>16</v>
      </c>
      <c r="H741" t="s">
        <v>427</v>
      </c>
      <c r="I741" t="s">
        <v>442</v>
      </c>
      <c r="J741">
        <v>1</v>
      </c>
      <c r="K741">
        <v>3750</v>
      </c>
      <c r="L741">
        <v>3750</v>
      </c>
      <c r="M741">
        <v>3750</v>
      </c>
      <c r="N741" t="s">
        <v>39</v>
      </c>
    </row>
    <row r="742" spans="1:14" x14ac:dyDescent="0.25">
      <c r="A742" t="s">
        <v>1638</v>
      </c>
      <c r="B742" t="s">
        <v>1935</v>
      </c>
      <c r="C742" t="s">
        <v>443</v>
      </c>
      <c r="D742" t="s">
        <v>444</v>
      </c>
      <c r="E742" t="s">
        <v>445</v>
      </c>
      <c r="F742" t="s">
        <v>15</v>
      </c>
      <c r="G742" t="s">
        <v>37</v>
      </c>
      <c r="H742" t="s">
        <v>446</v>
      </c>
      <c r="I742" t="s">
        <v>447</v>
      </c>
      <c r="J742">
        <v>1</v>
      </c>
      <c r="K742">
        <v>18000</v>
      </c>
      <c r="L742">
        <v>18000</v>
      </c>
      <c r="M742">
        <v>18000</v>
      </c>
      <c r="N742" t="s">
        <v>39</v>
      </c>
    </row>
    <row r="743" spans="1:14" x14ac:dyDescent="0.25">
      <c r="A743" t="s">
        <v>1638</v>
      </c>
      <c r="B743" t="s">
        <v>1935</v>
      </c>
      <c r="C743" t="s">
        <v>443</v>
      </c>
      <c r="D743" t="s">
        <v>444</v>
      </c>
      <c r="E743" t="s">
        <v>445</v>
      </c>
      <c r="F743" t="s">
        <v>15</v>
      </c>
      <c r="G743" t="s">
        <v>37</v>
      </c>
      <c r="H743" t="s">
        <v>446</v>
      </c>
      <c r="I743" t="s">
        <v>26</v>
      </c>
      <c r="J743">
        <v>1</v>
      </c>
      <c r="K743">
        <v>500</v>
      </c>
      <c r="L743">
        <v>500</v>
      </c>
      <c r="M743">
        <v>500</v>
      </c>
      <c r="N743" t="s">
        <v>39</v>
      </c>
    </row>
    <row r="744" spans="1:14" x14ac:dyDescent="0.25">
      <c r="A744" t="s">
        <v>1509</v>
      </c>
      <c r="B744" t="s">
        <v>1936</v>
      </c>
      <c r="C744" t="s">
        <v>535</v>
      </c>
      <c r="D744" t="s">
        <v>20</v>
      </c>
      <c r="E744" t="s">
        <v>70</v>
      </c>
      <c r="F744" t="s">
        <v>15</v>
      </c>
      <c r="G744" t="s">
        <v>22</v>
      </c>
      <c r="H744" t="s">
        <v>446</v>
      </c>
      <c r="I744" t="s">
        <v>231</v>
      </c>
      <c r="J744">
        <v>1</v>
      </c>
      <c r="K744">
        <v>3675</v>
      </c>
      <c r="L744">
        <v>10500</v>
      </c>
      <c r="M744">
        <v>10500</v>
      </c>
      <c r="N744" t="s">
        <v>19</v>
      </c>
    </row>
    <row r="745" spans="1:14" x14ac:dyDescent="0.25">
      <c r="A745" t="s">
        <v>1509</v>
      </c>
      <c r="B745" t="s">
        <v>1936</v>
      </c>
      <c r="C745" t="s">
        <v>535</v>
      </c>
      <c r="D745" t="s">
        <v>20</v>
      </c>
      <c r="E745" t="s">
        <v>70</v>
      </c>
      <c r="F745" t="s">
        <v>15</v>
      </c>
      <c r="G745" t="s">
        <v>22</v>
      </c>
      <c r="H745" t="s">
        <v>446</v>
      </c>
      <c r="I745" t="s">
        <v>537</v>
      </c>
      <c r="J745">
        <v>1</v>
      </c>
      <c r="K745">
        <v>9750</v>
      </c>
      <c r="L745">
        <v>9750</v>
      </c>
      <c r="M745">
        <v>9750</v>
      </c>
      <c r="N745" t="s">
        <v>19</v>
      </c>
    </row>
    <row r="746" spans="1:14" x14ac:dyDescent="0.25">
      <c r="A746" t="s">
        <v>1509</v>
      </c>
      <c r="B746" t="s">
        <v>1936</v>
      </c>
      <c r="C746" t="s">
        <v>535</v>
      </c>
      <c r="D746" t="s">
        <v>20</v>
      </c>
      <c r="E746" t="s">
        <v>70</v>
      </c>
      <c r="F746" t="s">
        <v>15</v>
      </c>
      <c r="G746" t="s">
        <v>22</v>
      </c>
      <c r="H746" t="s">
        <v>446</v>
      </c>
      <c r="I746" t="s">
        <v>24</v>
      </c>
      <c r="J746">
        <v>1</v>
      </c>
      <c r="K746">
        <v>9750</v>
      </c>
      <c r="L746">
        <v>9750</v>
      </c>
      <c r="M746">
        <v>9750</v>
      </c>
      <c r="N746" t="s">
        <v>19</v>
      </c>
    </row>
    <row r="747" spans="1:14" x14ac:dyDescent="0.25">
      <c r="A747" t="s">
        <v>1509</v>
      </c>
      <c r="B747" t="s">
        <v>1936</v>
      </c>
      <c r="C747" t="s">
        <v>535</v>
      </c>
      <c r="D747" t="s">
        <v>20</v>
      </c>
      <c r="E747" t="s">
        <v>70</v>
      </c>
      <c r="F747" t="s">
        <v>15</v>
      </c>
      <c r="G747" t="s">
        <v>22</v>
      </c>
      <c r="H747" t="s">
        <v>446</v>
      </c>
      <c r="I747" t="s">
        <v>538</v>
      </c>
      <c r="J747">
        <v>1</v>
      </c>
      <c r="K747">
        <v>18700</v>
      </c>
      <c r="L747">
        <v>27500</v>
      </c>
      <c r="M747">
        <v>27500</v>
      </c>
      <c r="N747" t="s">
        <v>19</v>
      </c>
    </row>
    <row r="748" spans="1:14" x14ac:dyDescent="0.25">
      <c r="A748" t="s">
        <v>1509</v>
      </c>
      <c r="B748" t="s">
        <v>1936</v>
      </c>
      <c r="C748" t="s">
        <v>535</v>
      </c>
      <c r="D748" t="s">
        <v>20</v>
      </c>
      <c r="E748" t="s">
        <v>70</v>
      </c>
      <c r="F748" t="s">
        <v>15</v>
      </c>
      <c r="G748" t="s">
        <v>22</v>
      </c>
      <c r="H748" t="s">
        <v>446</v>
      </c>
      <c r="I748" t="s">
        <v>539</v>
      </c>
      <c r="J748">
        <v>1</v>
      </c>
      <c r="K748">
        <v>2800</v>
      </c>
      <c r="L748">
        <v>4000</v>
      </c>
      <c r="M748">
        <v>4000</v>
      </c>
      <c r="N748" t="s">
        <v>19</v>
      </c>
    </row>
    <row r="749" spans="1:14" x14ac:dyDescent="0.25">
      <c r="A749" t="s">
        <v>1509</v>
      </c>
      <c r="B749" t="s">
        <v>1936</v>
      </c>
      <c r="C749" t="s">
        <v>535</v>
      </c>
      <c r="D749" t="s">
        <v>20</v>
      </c>
      <c r="E749" t="s">
        <v>70</v>
      </c>
      <c r="F749" t="s">
        <v>15</v>
      </c>
      <c r="G749" t="s">
        <v>22</v>
      </c>
      <c r="H749" t="s">
        <v>446</v>
      </c>
      <c r="I749" t="s">
        <v>134</v>
      </c>
      <c r="J749">
        <v>1</v>
      </c>
      <c r="K749">
        <v>500</v>
      </c>
      <c r="L749">
        <v>500</v>
      </c>
      <c r="M749">
        <v>500</v>
      </c>
      <c r="N749" t="s">
        <v>19</v>
      </c>
    </row>
    <row r="750" spans="1:14" x14ac:dyDescent="0.25">
      <c r="A750" t="s">
        <v>1509</v>
      </c>
      <c r="B750" t="s">
        <v>1936</v>
      </c>
      <c r="C750" t="s">
        <v>535</v>
      </c>
      <c r="D750" t="s">
        <v>20</v>
      </c>
      <c r="E750" t="s">
        <v>70</v>
      </c>
      <c r="F750" t="s">
        <v>15</v>
      </c>
      <c r="G750" t="s">
        <v>22</v>
      </c>
      <c r="H750" t="s">
        <v>446</v>
      </c>
      <c r="I750" t="s">
        <v>135</v>
      </c>
      <c r="J750">
        <v>1</v>
      </c>
      <c r="K750">
        <v>4250</v>
      </c>
      <c r="L750">
        <v>6500</v>
      </c>
      <c r="M750">
        <v>6500</v>
      </c>
      <c r="N750" t="s">
        <v>19</v>
      </c>
    </row>
    <row r="751" spans="1:14" x14ac:dyDescent="0.25">
      <c r="A751" t="s">
        <v>1509</v>
      </c>
      <c r="B751" t="s">
        <v>1936</v>
      </c>
      <c r="C751" t="s">
        <v>535</v>
      </c>
      <c r="D751" t="s">
        <v>20</v>
      </c>
      <c r="E751" t="s">
        <v>70</v>
      </c>
      <c r="F751" t="s">
        <v>15</v>
      </c>
      <c r="G751" t="s">
        <v>22</v>
      </c>
      <c r="H751" t="s">
        <v>446</v>
      </c>
      <c r="I751" t="s">
        <v>233</v>
      </c>
      <c r="J751">
        <v>1</v>
      </c>
      <c r="K751">
        <v>8500</v>
      </c>
      <c r="L751">
        <v>12100</v>
      </c>
      <c r="M751">
        <v>12100</v>
      </c>
      <c r="N751" t="s">
        <v>19</v>
      </c>
    </row>
    <row r="752" spans="1:14" x14ac:dyDescent="0.25">
      <c r="A752" t="s">
        <v>1509</v>
      </c>
      <c r="B752" t="s">
        <v>1936</v>
      </c>
      <c r="C752" t="s">
        <v>535</v>
      </c>
      <c r="D752" t="s">
        <v>20</v>
      </c>
      <c r="E752" t="s">
        <v>70</v>
      </c>
      <c r="F752" t="s">
        <v>15</v>
      </c>
      <c r="G752" t="s">
        <v>22</v>
      </c>
      <c r="H752" t="s">
        <v>446</v>
      </c>
      <c r="I752" t="s">
        <v>99</v>
      </c>
      <c r="J752">
        <v>1</v>
      </c>
      <c r="K752">
        <v>2800</v>
      </c>
      <c r="L752">
        <v>4000</v>
      </c>
      <c r="M752">
        <v>4000</v>
      </c>
      <c r="N752" t="s">
        <v>19</v>
      </c>
    </row>
    <row r="753" spans="1:14" x14ac:dyDescent="0.25">
      <c r="A753" t="s">
        <v>1509</v>
      </c>
      <c r="B753" t="s">
        <v>1936</v>
      </c>
      <c r="C753" t="s">
        <v>535</v>
      </c>
      <c r="D753" t="s">
        <v>20</v>
      </c>
      <c r="E753" t="s">
        <v>70</v>
      </c>
      <c r="F753" t="s">
        <v>15</v>
      </c>
      <c r="G753" t="s">
        <v>22</v>
      </c>
      <c r="H753" t="s">
        <v>446</v>
      </c>
      <c r="I753" t="s">
        <v>76</v>
      </c>
      <c r="J753">
        <v>1</v>
      </c>
      <c r="K753">
        <v>500</v>
      </c>
      <c r="L753">
        <v>500</v>
      </c>
      <c r="M753">
        <v>500</v>
      </c>
      <c r="N753" t="s">
        <v>19</v>
      </c>
    </row>
    <row r="754" spans="1:14" x14ac:dyDescent="0.25">
      <c r="A754" t="s">
        <v>1509</v>
      </c>
      <c r="B754" t="s">
        <v>1937</v>
      </c>
      <c r="C754" t="s">
        <v>540</v>
      </c>
      <c r="D754" t="s">
        <v>20</v>
      </c>
      <c r="E754" t="s">
        <v>70</v>
      </c>
      <c r="F754" t="s">
        <v>15</v>
      </c>
      <c r="G754" t="s">
        <v>22</v>
      </c>
      <c r="H754" t="s">
        <v>446</v>
      </c>
      <c r="I754" t="s">
        <v>231</v>
      </c>
      <c r="J754">
        <v>1</v>
      </c>
      <c r="K754">
        <v>3675</v>
      </c>
      <c r="L754">
        <v>10500</v>
      </c>
      <c r="M754">
        <v>10500</v>
      </c>
      <c r="N754" t="s">
        <v>19</v>
      </c>
    </row>
    <row r="755" spans="1:14" x14ac:dyDescent="0.25">
      <c r="A755" t="s">
        <v>1509</v>
      </c>
      <c r="B755" t="s">
        <v>1937</v>
      </c>
      <c r="C755" t="s">
        <v>540</v>
      </c>
      <c r="D755" t="s">
        <v>20</v>
      </c>
      <c r="E755" t="s">
        <v>70</v>
      </c>
      <c r="F755" t="s">
        <v>15</v>
      </c>
      <c r="G755" t="s">
        <v>22</v>
      </c>
      <c r="H755" t="s">
        <v>446</v>
      </c>
      <c r="I755" t="s">
        <v>537</v>
      </c>
      <c r="J755">
        <v>1</v>
      </c>
      <c r="K755">
        <v>9750</v>
      </c>
      <c r="L755">
        <v>9750</v>
      </c>
      <c r="M755">
        <v>9750</v>
      </c>
      <c r="N755" t="s">
        <v>19</v>
      </c>
    </row>
    <row r="756" spans="1:14" x14ac:dyDescent="0.25">
      <c r="A756" t="s">
        <v>1509</v>
      </c>
      <c r="B756" t="s">
        <v>1937</v>
      </c>
      <c r="C756" t="s">
        <v>540</v>
      </c>
      <c r="D756" t="s">
        <v>20</v>
      </c>
      <c r="E756" t="s">
        <v>70</v>
      </c>
      <c r="F756" t="s">
        <v>15</v>
      </c>
      <c r="G756" t="s">
        <v>22</v>
      </c>
      <c r="H756" t="s">
        <v>446</v>
      </c>
      <c r="I756" t="s">
        <v>24</v>
      </c>
      <c r="J756">
        <v>1</v>
      </c>
      <c r="K756">
        <v>9750</v>
      </c>
      <c r="L756">
        <v>9750</v>
      </c>
      <c r="M756">
        <v>9750</v>
      </c>
      <c r="N756" t="s">
        <v>19</v>
      </c>
    </row>
    <row r="757" spans="1:14" x14ac:dyDescent="0.25">
      <c r="A757" t="s">
        <v>1509</v>
      </c>
      <c r="B757" t="s">
        <v>1937</v>
      </c>
      <c r="C757" t="s">
        <v>540</v>
      </c>
      <c r="D757" t="s">
        <v>20</v>
      </c>
      <c r="E757" t="s">
        <v>70</v>
      </c>
      <c r="F757" t="s">
        <v>15</v>
      </c>
      <c r="G757" t="s">
        <v>22</v>
      </c>
      <c r="H757" t="s">
        <v>446</v>
      </c>
      <c r="I757" t="s">
        <v>538</v>
      </c>
      <c r="J757">
        <v>1</v>
      </c>
      <c r="K757">
        <v>18700</v>
      </c>
      <c r="L757">
        <v>27500</v>
      </c>
      <c r="M757">
        <v>27500</v>
      </c>
      <c r="N757" t="s">
        <v>19</v>
      </c>
    </row>
    <row r="758" spans="1:14" x14ac:dyDescent="0.25">
      <c r="A758" t="s">
        <v>1509</v>
      </c>
      <c r="B758" t="s">
        <v>1937</v>
      </c>
      <c r="C758" t="s">
        <v>540</v>
      </c>
      <c r="D758" t="s">
        <v>20</v>
      </c>
      <c r="E758" t="s">
        <v>70</v>
      </c>
      <c r="F758" t="s">
        <v>15</v>
      </c>
      <c r="G758" t="s">
        <v>22</v>
      </c>
      <c r="H758" t="s">
        <v>446</v>
      </c>
      <c r="I758" t="s">
        <v>539</v>
      </c>
      <c r="J758">
        <v>1</v>
      </c>
      <c r="K758">
        <v>2800</v>
      </c>
      <c r="L758">
        <v>4000</v>
      </c>
      <c r="M758">
        <v>4000</v>
      </c>
      <c r="N758" t="s">
        <v>19</v>
      </c>
    </row>
    <row r="759" spans="1:14" x14ac:dyDescent="0.25">
      <c r="A759" t="s">
        <v>1509</v>
      </c>
      <c r="B759" t="s">
        <v>1937</v>
      </c>
      <c r="C759" t="s">
        <v>540</v>
      </c>
      <c r="D759" t="s">
        <v>20</v>
      </c>
      <c r="E759" t="s">
        <v>70</v>
      </c>
      <c r="F759" t="s">
        <v>15</v>
      </c>
      <c r="G759" t="s">
        <v>22</v>
      </c>
      <c r="H759" t="s">
        <v>446</v>
      </c>
      <c r="I759" t="s">
        <v>134</v>
      </c>
      <c r="J759">
        <v>1</v>
      </c>
      <c r="K759">
        <v>500</v>
      </c>
      <c r="L759">
        <v>500</v>
      </c>
      <c r="M759">
        <v>500</v>
      </c>
      <c r="N759" t="s">
        <v>19</v>
      </c>
    </row>
    <row r="760" spans="1:14" x14ac:dyDescent="0.25">
      <c r="A760" t="s">
        <v>1509</v>
      </c>
      <c r="B760" t="s">
        <v>1937</v>
      </c>
      <c r="C760" t="s">
        <v>540</v>
      </c>
      <c r="D760" t="s">
        <v>20</v>
      </c>
      <c r="E760" t="s">
        <v>70</v>
      </c>
      <c r="F760" t="s">
        <v>15</v>
      </c>
      <c r="G760" t="s">
        <v>22</v>
      </c>
      <c r="H760" t="s">
        <v>446</v>
      </c>
      <c r="I760" t="s">
        <v>135</v>
      </c>
      <c r="J760">
        <v>1</v>
      </c>
      <c r="K760">
        <v>4250</v>
      </c>
      <c r="L760">
        <v>6500</v>
      </c>
      <c r="M760">
        <v>6500</v>
      </c>
      <c r="N760" t="s">
        <v>19</v>
      </c>
    </row>
    <row r="761" spans="1:14" x14ac:dyDescent="0.25">
      <c r="A761" t="s">
        <v>1509</v>
      </c>
      <c r="B761" t="s">
        <v>1937</v>
      </c>
      <c r="C761" t="s">
        <v>540</v>
      </c>
      <c r="D761" t="s">
        <v>20</v>
      </c>
      <c r="E761" t="s">
        <v>70</v>
      </c>
      <c r="F761" t="s">
        <v>15</v>
      </c>
      <c r="G761" t="s">
        <v>22</v>
      </c>
      <c r="H761" t="s">
        <v>446</v>
      </c>
      <c r="I761" t="s">
        <v>233</v>
      </c>
      <c r="J761">
        <v>1</v>
      </c>
      <c r="K761">
        <v>8500</v>
      </c>
      <c r="L761">
        <v>12100</v>
      </c>
      <c r="M761">
        <v>12100</v>
      </c>
      <c r="N761" t="s">
        <v>19</v>
      </c>
    </row>
    <row r="762" spans="1:14" x14ac:dyDescent="0.25">
      <c r="A762" t="s">
        <v>1509</v>
      </c>
      <c r="B762" t="s">
        <v>1937</v>
      </c>
      <c r="C762" t="s">
        <v>540</v>
      </c>
      <c r="D762" t="s">
        <v>20</v>
      </c>
      <c r="E762" t="s">
        <v>70</v>
      </c>
      <c r="F762" t="s">
        <v>15</v>
      </c>
      <c r="G762" t="s">
        <v>22</v>
      </c>
      <c r="H762" t="s">
        <v>446</v>
      </c>
      <c r="I762" t="s">
        <v>99</v>
      </c>
      <c r="J762">
        <v>1</v>
      </c>
      <c r="K762">
        <v>2800</v>
      </c>
      <c r="L762">
        <v>4000</v>
      </c>
      <c r="M762">
        <v>4000</v>
      </c>
      <c r="N762" t="s">
        <v>19</v>
      </c>
    </row>
    <row r="763" spans="1:14" x14ac:dyDescent="0.25">
      <c r="A763" t="s">
        <v>1509</v>
      </c>
      <c r="B763" t="s">
        <v>1937</v>
      </c>
      <c r="C763" t="s">
        <v>540</v>
      </c>
      <c r="D763" t="s">
        <v>20</v>
      </c>
      <c r="E763" t="s">
        <v>70</v>
      </c>
      <c r="F763" t="s">
        <v>15</v>
      </c>
      <c r="G763" t="s">
        <v>22</v>
      </c>
      <c r="H763" t="s">
        <v>446</v>
      </c>
      <c r="I763" t="s">
        <v>76</v>
      </c>
      <c r="J763">
        <v>1</v>
      </c>
      <c r="K763">
        <v>500</v>
      </c>
      <c r="L763">
        <v>500</v>
      </c>
      <c r="M763">
        <v>500</v>
      </c>
      <c r="N763" t="s">
        <v>19</v>
      </c>
    </row>
    <row r="764" spans="1:14" x14ac:dyDescent="0.25">
      <c r="A764" t="s">
        <v>1618</v>
      </c>
      <c r="B764" t="s">
        <v>1938</v>
      </c>
      <c r="C764" t="s">
        <v>255</v>
      </c>
      <c r="D764" t="s">
        <v>1083</v>
      </c>
      <c r="E764" t="s">
        <v>1084</v>
      </c>
      <c r="F764" t="s">
        <v>15</v>
      </c>
      <c r="G764" t="s">
        <v>37</v>
      </c>
      <c r="H764" t="s">
        <v>446</v>
      </c>
      <c r="I764" t="s">
        <v>33</v>
      </c>
      <c r="J764">
        <v>1</v>
      </c>
      <c r="K764">
        <v>15000</v>
      </c>
      <c r="L764">
        <v>15000</v>
      </c>
      <c r="M764">
        <v>15000</v>
      </c>
      <c r="N764" t="s">
        <v>19</v>
      </c>
    </row>
    <row r="765" spans="1:14" x14ac:dyDescent="0.25">
      <c r="A765" t="s">
        <v>1647</v>
      </c>
      <c r="B765" t="s">
        <v>1939</v>
      </c>
      <c r="C765" t="s">
        <v>448</v>
      </c>
      <c r="D765" t="s">
        <v>57</v>
      </c>
      <c r="E765" t="s">
        <v>58</v>
      </c>
      <c r="F765" t="s">
        <v>15</v>
      </c>
      <c r="G765" t="s">
        <v>37</v>
      </c>
      <c r="H765" t="s">
        <v>449</v>
      </c>
      <c r="I765" t="s">
        <v>284</v>
      </c>
      <c r="J765">
        <v>1</v>
      </c>
      <c r="K765">
        <v>11000</v>
      </c>
      <c r="L765">
        <v>16500</v>
      </c>
      <c r="M765">
        <v>16500</v>
      </c>
      <c r="N765" t="s">
        <v>19</v>
      </c>
    </row>
    <row r="766" spans="1:14" x14ac:dyDescent="0.25">
      <c r="A766" t="s">
        <v>1723</v>
      </c>
      <c r="B766" t="s">
        <v>1940</v>
      </c>
      <c r="C766" t="s">
        <v>450</v>
      </c>
      <c r="D766" t="s">
        <v>451</v>
      </c>
      <c r="E766" t="s">
        <v>452</v>
      </c>
      <c r="F766" t="s">
        <v>15</v>
      </c>
      <c r="G766" t="s">
        <v>37</v>
      </c>
      <c r="H766" t="s">
        <v>449</v>
      </c>
      <c r="I766" t="s">
        <v>453</v>
      </c>
      <c r="J766">
        <v>50</v>
      </c>
      <c r="K766">
        <v>17</v>
      </c>
      <c r="L766">
        <v>25</v>
      </c>
      <c r="M766">
        <v>1250</v>
      </c>
      <c r="N766" t="s">
        <v>19</v>
      </c>
    </row>
    <row r="767" spans="1:14" x14ac:dyDescent="0.25">
      <c r="A767" t="s">
        <v>1469</v>
      </c>
      <c r="B767" t="s">
        <v>1941</v>
      </c>
      <c r="C767" t="s">
        <v>457</v>
      </c>
      <c r="D767" t="s">
        <v>363</v>
      </c>
      <c r="E767" t="s">
        <v>364</v>
      </c>
      <c r="F767" t="s">
        <v>15</v>
      </c>
      <c r="G767" t="s">
        <v>22</v>
      </c>
      <c r="H767" t="s">
        <v>458</v>
      </c>
      <c r="I767" t="s">
        <v>151</v>
      </c>
      <c r="J767">
        <v>2</v>
      </c>
      <c r="K767">
        <v>2800</v>
      </c>
      <c r="L767">
        <v>4268</v>
      </c>
      <c r="M767">
        <v>8536</v>
      </c>
      <c r="N767" t="s">
        <v>19</v>
      </c>
    </row>
    <row r="768" spans="1:14" x14ac:dyDescent="0.25">
      <c r="A768" t="s">
        <v>1734</v>
      </c>
      <c r="B768" t="s">
        <v>1942</v>
      </c>
      <c r="C768" t="s">
        <v>459</v>
      </c>
      <c r="D768" t="s">
        <v>460</v>
      </c>
      <c r="E768" t="s">
        <v>461</v>
      </c>
      <c r="F768" t="s">
        <v>462</v>
      </c>
      <c r="G768" t="s">
        <v>37</v>
      </c>
      <c r="H768" t="s">
        <v>458</v>
      </c>
      <c r="I768" t="s">
        <v>463</v>
      </c>
      <c r="J768">
        <v>1</v>
      </c>
      <c r="K768">
        <v>1200</v>
      </c>
      <c r="L768">
        <v>2500</v>
      </c>
      <c r="M768">
        <v>2500</v>
      </c>
      <c r="N768" t="s">
        <v>39</v>
      </c>
    </row>
    <row r="769" spans="1:14" x14ac:dyDescent="0.25">
      <c r="A769" t="s">
        <v>1674</v>
      </c>
      <c r="B769" t="s">
        <v>1943</v>
      </c>
      <c r="C769" t="s">
        <v>464</v>
      </c>
      <c r="D769" t="s">
        <v>354</v>
      </c>
      <c r="E769" t="s">
        <v>239</v>
      </c>
      <c r="F769" t="s">
        <v>15</v>
      </c>
      <c r="G769" t="s">
        <v>37</v>
      </c>
      <c r="H769" t="s">
        <v>458</v>
      </c>
      <c r="I769" t="s">
        <v>465</v>
      </c>
      <c r="J769">
        <v>1</v>
      </c>
      <c r="K769">
        <v>8000</v>
      </c>
      <c r="L769">
        <v>8000</v>
      </c>
      <c r="M769">
        <v>8000</v>
      </c>
      <c r="N769" t="s">
        <v>39</v>
      </c>
    </row>
    <row r="770" spans="1:14" x14ac:dyDescent="0.25">
      <c r="A770" t="s">
        <v>1446</v>
      </c>
      <c r="B770" t="s">
        <v>1944</v>
      </c>
      <c r="C770" t="s">
        <v>467</v>
      </c>
      <c r="D770" t="s">
        <v>468</v>
      </c>
      <c r="E770" t="s">
        <v>239</v>
      </c>
      <c r="F770" t="s">
        <v>15</v>
      </c>
      <c r="G770" t="s">
        <v>37</v>
      </c>
      <c r="H770" t="s">
        <v>458</v>
      </c>
      <c r="I770" t="s">
        <v>469</v>
      </c>
      <c r="J770">
        <v>4</v>
      </c>
      <c r="K770">
        <v>8000</v>
      </c>
      <c r="L770">
        <v>8000</v>
      </c>
      <c r="M770">
        <v>32000</v>
      </c>
      <c r="N770" t="s">
        <v>39</v>
      </c>
    </row>
    <row r="771" spans="1:14" x14ac:dyDescent="0.25">
      <c r="A771" t="s">
        <v>1633</v>
      </c>
      <c r="B771" t="s">
        <v>1945</v>
      </c>
      <c r="C771" t="s">
        <v>471</v>
      </c>
      <c r="D771" t="s">
        <v>472</v>
      </c>
      <c r="E771" t="s">
        <v>239</v>
      </c>
      <c r="F771" t="s">
        <v>15</v>
      </c>
      <c r="G771" t="s">
        <v>37</v>
      </c>
      <c r="H771" t="s">
        <v>458</v>
      </c>
      <c r="I771" t="s">
        <v>473</v>
      </c>
      <c r="J771">
        <v>3</v>
      </c>
      <c r="K771">
        <v>8000</v>
      </c>
      <c r="L771">
        <v>8000</v>
      </c>
      <c r="M771">
        <v>24000</v>
      </c>
      <c r="N771" t="s">
        <v>39</v>
      </c>
    </row>
    <row r="772" spans="1:14" x14ac:dyDescent="0.25">
      <c r="A772" t="s">
        <v>1625</v>
      </c>
      <c r="B772" t="s">
        <v>1946</v>
      </c>
      <c r="C772" t="s">
        <v>475</v>
      </c>
      <c r="D772" t="s">
        <v>431</v>
      </c>
      <c r="E772" t="s">
        <v>239</v>
      </c>
      <c r="F772" t="s">
        <v>15</v>
      </c>
      <c r="G772" t="s">
        <v>37</v>
      </c>
      <c r="H772" t="s">
        <v>458</v>
      </c>
      <c r="I772" t="s">
        <v>476</v>
      </c>
      <c r="J772">
        <v>8</v>
      </c>
      <c r="K772">
        <v>8000</v>
      </c>
      <c r="L772">
        <v>8000</v>
      </c>
      <c r="M772">
        <v>64000</v>
      </c>
      <c r="N772" t="s">
        <v>39</v>
      </c>
    </row>
    <row r="773" spans="1:14" x14ac:dyDescent="0.25">
      <c r="A773" t="s">
        <v>1540</v>
      </c>
      <c r="B773" t="s">
        <v>1947</v>
      </c>
      <c r="C773" t="s">
        <v>478</v>
      </c>
      <c r="D773" t="s">
        <v>479</v>
      </c>
      <c r="E773" t="s">
        <v>239</v>
      </c>
      <c r="F773" t="s">
        <v>15</v>
      </c>
      <c r="G773" t="s">
        <v>37</v>
      </c>
      <c r="H773" t="s">
        <v>458</v>
      </c>
      <c r="I773" t="s">
        <v>480</v>
      </c>
      <c r="J773">
        <v>2</v>
      </c>
      <c r="K773">
        <v>8000</v>
      </c>
      <c r="L773">
        <v>8000</v>
      </c>
      <c r="M773">
        <v>16000</v>
      </c>
      <c r="N773" t="s">
        <v>39</v>
      </c>
    </row>
    <row r="774" spans="1:14" x14ac:dyDescent="0.25">
      <c r="A774" t="s">
        <v>1563</v>
      </c>
      <c r="B774" t="s">
        <v>1948</v>
      </c>
      <c r="C774" t="s">
        <v>482</v>
      </c>
      <c r="D774" t="s">
        <v>483</v>
      </c>
      <c r="E774" t="s">
        <v>239</v>
      </c>
      <c r="F774" t="s">
        <v>15</v>
      </c>
      <c r="G774" t="s">
        <v>37</v>
      </c>
      <c r="H774" t="s">
        <v>458</v>
      </c>
      <c r="I774" t="s">
        <v>484</v>
      </c>
      <c r="J774">
        <v>6</v>
      </c>
      <c r="K774">
        <v>8000</v>
      </c>
      <c r="L774">
        <v>8000</v>
      </c>
      <c r="M774">
        <v>48000</v>
      </c>
      <c r="N774" t="s">
        <v>39</v>
      </c>
    </row>
    <row r="775" spans="1:14" x14ac:dyDescent="0.25">
      <c r="A775" t="s">
        <v>1563</v>
      </c>
      <c r="B775" t="s">
        <v>1948</v>
      </c>
      <c r="C775" t="s">
        <v>482</v>
      </c>
      <c r="D775" t="s">
        <v>483</v>
      </c>
      <c r="E775" t="s">
        <v>239</v>
      </c>
      <c r="F775" t="s">
        <v>15</v>
      </c>
      <c r="G775" t="s">
        <v>37</v>
      </c>
      <c r="H775" t="s">
        <v>458</v>
      </c>
      <c r="I775" t="s">
        <v>485</v>
      </c>
      <c r="J775">
        <v>1</v>
      </c>
      <c r="K775">
        <v>6600</v>
      </c>
      <c r="L775">
        <v>6600</v>
      </c>
      <c r="M775">
        <v>6600</v>
      </c>
      <c r="N775" t="s">
        <v>39</v>
      </c>
    </row>
    <row r="776" spans="1:14" x14ac:dyDescent="0.25">
      <c r="A776" t="s">
        <v>1486</v>
      </c>
      <c r="B776" t="s">
        <v>1949</v>
      </c>
      <c r="C776" t="s">
        <v>542</v>
      </c>
      <c r="D776" t="s">
        <v>20</v>
      </c>
      <c r="E776" t="s">
        <v>31</v>
      </c>
      <c r="F776" t="s">
        <v>15</v>
      </c>
      <c r="G776" t="s">
        <v>22</v>
      </c>
      <c r="H776" t="s">
        <v>543</v>
      </c>
      <c r="I776" t="s">
        <v>33</v>
      </c>
      <c r="J776">
        <v>1</v>
      </c>
      <c r="K776">
        <v>6500</v>
      </c>
      <c r="L776">
        <v>6500</v>
      </c>
      <c r="M776">
        <v>6500</v>
      </c>
      <c r="N776" t="s">
        <v>19</v>
      </c>
    </row>
    <row r="777" spans="1:14" x14ac:dyDescent="0.25">
      <c r="A777" t="s">
        <v>1486</v>
      </c>
      <c r="B777" t="s">
        <v>1950</v>
      </c>
      <c r="C777" t="s">
        <v>546</v>
      </c>
      <c r="D777" t="s">
        <v>20</v>
      </c>
      <c r="E777" t="s">
        <v>31</v>
      </c>
      <c r="F777" t="s">
        <v>15</v>
      </c>
      <c r="G777" t="s">
        <v>22</v>
      </c>
      <c r="H777" t="s">
        <v>543</v>
      </c>
      <c r="I777" t="s">
        <v>33</v>
      </c>
      <c r="J777">
        <v>2</v>
      </c>
      <c r="K777">
        <v>6500</v>
      </c>
      <c r="L777">
        <v>6500</v>
      </c>
      <c r="M777">
        <v>13000</v>
      </c>
      <c r="N777" t="s">
        <v>19</v>
      </c>
    </row>
    <row r="778" spans="1:14" x14ac:dyDescent="0.25">
      <c r="A778" t="s">
        <v>1486</v>
      </c>
      <c r="B778" t="s">
        <v>1951</v>
      </c>
      <c r="C778" t="s">
        <v>549</v>
      </c>
      <c r="D778" t="s">
        <v>20</v>
      </c>
      <c r="E778" t="s">
        <v>31</v>
      </c>
      <c r="F778" t="s">
        <v>15</v>
      </c>
      <c r="G778" t="s">
        <v>22</v>
      </c>
      <c r="H778" t="s">
        <v>543</v>
      </c>
      <c r="I778" t="s">
        <v>33</v>
      </c>
      <c r="J778">
        <v>4</v>
      </c>
      <c r="K778">
        <v>6500</v>
      </c>
      <c r="L778">
        <v>6500</v>
      </c>
      <c r="M778">
        <v>26000</v>
      </c>
      <c r="N778" t="s">
        <v>19</v>
      </c>
    </row>
    <row r="779" spans="1:14" x14ac:dyDescent="0.25">
      <c r="A779" t="s">
        <v>1486</v>
      </c>
      <c r="B779" t="s">
        <v>1952</v>
      </c>
      <c r="C779" t="s">
        <v>550</v>
      </c>
      <c r="D779" t="s">
        <v>20</v>
      </c>
      <c r="E779" t="s">
        <v>31</v>
      </c>
      <c r="F779" t="s">
        <v>15</v>
      </c>
      <c r="G779" t="s">
        <v>22</v>
      </c>
      <c r="H779" t="s">
        <v>543</v>
      </c>
      <c r="I779" t="s">
        <v>33</v>
      </c>
      <c r="J779">
        <v>3</v>
      </c>
      <c r="K779">
        <v>6500</v>
      </c>
      <c r="L779">
        <v>6500</v>
      </c>
      <c r="M779">
        <v>19500</v>
      </c>
      <c r="N779" t="s">
        <v>19</v>
      </c>
    </row>
    <row r="780" spans="1:14" x14ac:dyDescent="0.25">
      <c r="A780" t="s">
        <v>1486</v>
      </c>
      <c r="B780" t="s">
        <v>1953</v>
      </c>
      <c r="C780" t="s">
        <v>553</v>
      </c>
      <c r="D780" t="s">
        <v>20</v>
      </c>
      <c r="E780" t="s">
        <v>31</v>
      </c>
      <c r="F780" t="s">
        <v>15</v>
      </c>
      <c r="G780" t="s">
        <v>22</v>
      </c>
      <c r="H780" t="s">
        <v>543</v>
      </c>
      <c r="I780" t="s">
        <v>33</v>
      </c>
      <c r="J780">
        <v>1</v>
      </c>
      <c r="K780">
        <v>6500</v>
      </c>
      <c r="L780">
        <v>6500</v>
      </c>
      <c r="M780">
        <v>6500</v>
      </c>
      <c r="N780" t="s">
        <v>19</v>
      </c>
    </row>
    <row r="781" spans="1:14" x14ac:dyDescent="0.25">
      <c r="A781" t="s">
        <v>1486</v>
      </c>
      <c r="B781" t="s">
        <v>1954</v>
      </c>
      <c r="C781" t="s">
        <v>554</v>
      </c>
      <c r="D781" t="s">
        <v>20</v>
      </c>
      <c r="E781" t="s">
        <v>31</v>
      </c>
      <c r="F781" t="s">
        <v>15</v>
      </c>
      <c r="G781" t="s">
        <v>22</v>
      </c>
      <c r="H781" t="s">
        <v>543</v>
      </c>
      <c r="I781" t="s">
        <v>33</v>
      </c>
      <c r="J781">
        <v>1</v>
      </c>
      <c r="K781">
        <v>6500</v>
      </c>
      <c r="L781">
        <v>6500</v>
      </c>
      <c r="M781">
        <v>6500</v>
      </c>
      <c r="N781" t="s">
        <v>19</v>
      </c>
    </row>
    <row r="782" spans="1:14" x14ac:dyDescent="0.25">
      <c r="A782" t="s">
        <v>1537</v>
      </c>
      <c r="B782" t="s">
        <v>1955</v>
      </c>
      <c r="C782" t="s">
        <v>487</v>
      </c>
      <c r="D782" t="s">
        <v>488</v>
      </c>
      <c r="E782" t="s">
        <v>489</v>
      </c>
      <c r="F782" t="s">
        <v>15</v>
      </c>
      <c r="G782" t="s">
        <v>490</v>
      </c>
      <c r="H782" t="s">
        <v>491</v>
      </c>
      <c r="I782" t="s">
        <v>125</v>
      </c>
      <c r="J782">
        <v>1</v>
      </c>
      <c r="K782">
        <v>3675</v>
      </c>
      <c r="L782">
        <v>10500</v>
      </c>
      <c r="M782">
        <v>10500</v>
      </c>
      <c r="N782" t="s">
        <v>19</v>
      </c>
    </row>
    <row r="783" spans="1:14" x14ac:dyDescent="0.25">
      <c r="A783" t="s">
        <v>1537</v>
      </c>
      <c r="B783" t="s">
        <v>1955</v>
      </c>
      <c r="C783" t="s">
        <v>487</v>
      </c>
      <c r="D783" t="s">
        <v>488</v>
      </c>
      <c r="E783" t="s">
        <v>489</v>
      </c>
      <c r="F783" t="s">
        <v>15</v>
      </c>
      <c r="G783" t="s">
        <v>490</v>
      </c>
      <c r="H783" t="s">
        <v>491</v>
      </c>
      <c r="I783" t="s">
        <v>48</v>
      </c>
      <c r="J783">
        <v>1</v>
      </c>
      <c r="K783">
        <v>4935</v>
      </c>
      <c r="L783">
        <v>14100</v>
      </c>
      <c r="M783">
        <v>14100</v>
      </c>
      <c r="N783" t="s">
        <v>19</v>
      </c>
    </row>
    <row r="784" spans="1:14" x14ac:dyDescent="0.25">
      <c r="A784" t="s">
        <v>1537</v>
      </c>
      <c r="B784" t="s">
        <v>1955</v>
      </c>
      <c r="C784" t="s">
        <v>487</v>
      </c>
      <c r="D784" t="s">
        <v>488</v>
      </c>
      <c r="E784" t="s">
        <v>489</v>
      </c>
      <c r="F784" t="s">
        <v>15</v>
      </c>
      <c r="G784" t="s">
        <v>490</v>
      </c>
      <c r="H784" t="s">
        <v>491</v>
      </c>
      <c r="I784" t="s">
        <v>126</v>
      </c>
      <c r="J784">
        <v>1</v>
      </c>
      <c r="K784">
        <v>4935</v>
      </c>
      <c r="L784">
        <v>14100</v>
      </c>
      <c r="M784">
        <v>14100</v>
      </c>
      <c r="N784" t="s">
        <v>19</v>
      </c>
    </row>
    <row r="785" spans="1:14" x14ac:dyDescent="0.25">
      <c r="A785" t="s">
        <v>1537</v>
      </c>
      <c r="B785" t="s">
        <v>1955</v>
      </c>
      <c r="C785" t="s">
        <v>487</v>
      </c>
      <c r="D785" t="s">
        <v>488</v>
      </c>
      <c r="E785" t="s">
        <v>489</v>
      </c>
      <c r="F785" t="s">
        <v>15</v>
      </c>
      <c r="G785" t="s">
        <v>490</v>
      </c>
      <c r="H785" t="s">
        <v>491</v>
      </c>
      <c r="I785" t="s">
        <v>50</v>
      </c>
      <c r="J785">
        <v>1</v>
      </c>
      <c r="K785">
        <v>500</v>
      </c>
      <c r="L785">
        <v>500</v>
      </c>
      <c r="M785">
        <v>500</v>
      </c>
      <c r="N785" t="s">
        <v>19</v>
      </c>
    </row>
    <row r="786" spans="1:14" x14ac:dyDescent="0.25">
      <c r="A786" t="s">
        <v>1537</v>
      </c>
      <c r="B786" t="s">
        <v>1955</v>
      </c>
      <c r="C786" t="s">
        <v>487</v>
      </c>
      <c r="D786" t="s">
        <v>488</v>
      </c>
      <c r="E786" t="s">
        <v>489</v>
      </c>
      <c r="F786" t="s">
        <v>15</v>
      </c>
      <c r="G786" t="s">
        <v>490</v>
      </c>
      <c r="H786" t="s">
        <v>491</v>
      </c>
      <c r="I786" t="s">
        <v>284</v>
      </c>
      <c r="J786">
        <v>1</v>
      </c>
      <c r="K786">
        <v>11000</v>
      </c>
      <c r="L786">
        <v>16500</v>
      </c>
      <c r="M786">
        <v>16500</v>
      </c>
      <c r="N786" t="s">
        <v>19</v>
      </c>
    </row>
    <row r="787" spans="1:14" x14ac:dyDescent="0.25">
      <c r="A787" t="s">
        <v>1537</v>
      </c>
      <c r="B787" t="s">
        <v>1955</v>
      </c>
      <c r="C787" t="s">
        <v>487</v>
      </c>
      <c r="D787" t="s">
        <v>488</v>
      </c>
      <c r="E787" t="s">
        <v>489</v>
      </c>
      <c r="F787" t="s">
        <v>15</v>
      </c>
      <c r="G787" t="s">
        <v>490</v>
      </c>
      <c r="H787" t="s">
        <v>491</v>
      </c>
      <c r="I787" t="s">
        <v>116</v>
      </c>
      <c r="J787">
        <v>1</v>
      </c>
      <c r="K787">
        <v>2185</v>
      </c>
      <c r="L787">
        <v>3500</v>
      </c>
      <c r="M787">
        <v>3500</v>
      </c>
      <c r="N787" t="s">
        <v>19</v>
      </c>
    </row>
    <row r="788" spans="1:14" x14ac:dyDescent="0.25">
      <c r="A788" t="s">
        <v>1537</v>
      </c>
      <c r="B788" t="s">
        <v>1955</v>
      </c>
      <c r="C788" t="s">
        <v>487</v>
      </c>
      <c r="D788" t="s">
        <v>488</v>
      </c>
      <c r="E788" t="s">
        <v>489</v>
      </c>
      <c r="F788" t="s">
        <v>15</v>
      </c>
      <c r="G788" t="s">
        <v>490</v>
      </c>
      <c r="H788" t="s">
        <v>491</v>
      </c>
      <c r="I788" t="s">
        <v>38</v>
      </c>
      <c r="J788">
        <v>1</v>
      </c>
      <c r="K788">
        <v>8500</v>
      </c>
      <c r="L788">
        <v>12500</v>
      </c>
      <c r="M788">
        <v>12500</v>
      </c>
      <c r="N788" t="s">
        <v>19</v>
      </c>
    </row>
    <row r="789" spans="1:14" x14ac:dyDescent="0.25">
      <c r="A789" t="s">
        <v>1537</v>
      </c>
      <c r="B789" t="s">
        <v>1955</v>
      </c>
      <c r="C789" t="s">
        <v>487</v>
      </c>
      <c r="D789" t="s">
        <v>488</v>
      </c>
      <c r="E789" t="s">
        <v>489</v>
      </c>
      <c r="F789" t="s">
        <v>15</v>
      </c>
      <c r="G789" t="s">
        <v>490</v>
      </c>
      <c r="H789" t="s">
        <v>491</v>
      </c>
      <c r="I789" t="s">
        <v>161</v>
      </c>
      <c r="J789">
        <v>1</v>
      </c>
      <c r="K789">
        <v>8500</v>
      </c>
      <c r="L789">
        <v>12500</v>
      </c>
      <c r="M789">
        <v>12500</v>
      </c>
      <c r="N789" t="s">
        <v>19</v>
      </c>
    </row>
    <row r="790" spans="1:14" x14ac:dyDescent="0.25">
      <c r="A790" t="s">
        <v>1537</v>
      </c>
      <c r="B790" t="s">
        <v>1955</v>
      </c>
      <c r="C790" t="s">
        <v>487</v>
      </c>
      <c r="D790" t="s">
        <v>488</v>
      </c>
      <c r="E790" t="s">
        <v>489</v>
      </c>
      <c r="F790" t="s">
        <v>15</v>
      </c>
      <c r="G790" t="s">
        <v>490</v>
      </c>
      <c r="H790" t="s">
        <v>491</v>
      </c>
      <c r="I790" t="s">
        <v>97</v>
      </c>
      <c r="J790">
        <v>1</v>
      </c>
      <c r="K790">
        <v>2200</v>
      </c>
      <c r="L790">
        <v>3500</v>
      </c>
      <c r="M790">
        <v>3500</v>
      </c>
      <c r="N790" t="s">
        <v>19</v>
      </c>
    </row>
    <row r="791" spans="1:14" x14ac:dyDescent="0.25">
      <c r="A791" t="s">
        <v>1537</v>
      </c>
      <c r="B791" t="s">
        <v>1955</v>
      </c>
      <c r="C791" t="s">
        <v>487</v>
      </c>
      <c r="D791" t="s">
        <v>488</v>
      </c>
      <c r="E791" t="s">
        <v>489</v>
      </c>
      <c r="F791" t="s">
        <v>15</v>
      </c>
      <c r="G791" t="s">
        <v>490</v>
      </c>
      <c r="H791" t="s">
        <v>491</v>
      </c>
      <c r="I791" t="s">
        <v>249</v>
      </c>
      <c r="J791">
        <v>1</v>
      </c>
      <c r="K791">
        <v>23450</v>
      </c>
      <c r="L791">
        <v>32500</v>
      </c>
      <c r="M791">
        <v>32500</v>
      </c>
      <c r="N791" t="s">
        <v>19</v>
      </c>
    </row>
    <row r="792" spans="1:14" x14ac:dyDescent="0.25">
      <c r="A792" t="s">
        <v>1438</v>
      </c>
      <c r="B792" t="s">
        <v>1956</v>
      </c>
      <c r="C792" t="s">
        <v>268</v>
      </c>
      <c r="D792" t="s">
        <v>1085</v>
      </c>
      <c r="E792" t="s">
        <v>1086</v>
      </c>
      <c r="F792" t="s">
        <v>1089</v>
      </c>
      <c r="G792" t="s">
        <v>1088</v>
      </c>
      <c r="H792" t="s">
        <v>1090</v>
      </c>
      <c r="I792" t="s">
        <v>422</v>
      </c>
      <c r="J792">
        <v>1</v>
      </c>
      <c r="K792">
        <v>3675</v>
      </c>
      <c r="L792">
        <v>10500</v>
      </c>
      <c r="M792">
        <v>10500</v>
      </c>
      <c r="N792" t="s">
        <v>1010</v>
      </c>
    </row>
    <row r="793" spans="1:14" x14ac:dyDescent="0.25">
      <c r="A793" t="s">
        <v>1438</v>
      </c>
      <c r="B793" t="s">
        <v>1956</v>
      </c>
      <c r="C793" t="s">
        <v>268</v>
      </c>
      <c r="D793" t="s">
        <v>1085</v>
      </c>
      <c r="E793" t="s">
        <v>1086</v>
      </c>
      <c r="F793" t="s">
        <v>1089</v>
      </c>
      <c r="G793" t="s">
        <v>1088</v>
      </c>
      <c r="H793" t="s">
        <v>1090</v>
      </c>
      <c r="I793" t="s">
        <v>26</v>
      </c>
      <c r="J793">
        <v>1</v>
      </c>
      <c r="K793">
        <v>500</v>
      </c>
      <c r="L793">
        <v>500</v>
      </c>
      <c r="M793">
        <v>500</v>
      </c>
      <c r="N793" t="s">
        <v>1010</v>
      </c>
    </row>
    <row r="794" spans="1:14" x14ac:dyDescent="0.25">
      <c r="A794" t="s">
        <v>1438</v>
      </c>
      <c r="B794" t="s">
        <v>1956</v>
      </c>
      <c r="C794" t="s">
        <v>268</v>
      </c>
      <c r="D794" t="s">
        <v>1085</v>
      </c>
      <c r="E794" t="s">
        <v>1086</v>
      </c>
      <c r="F794" t="s">
        <v>1089</v>
      </c>
      <c r="G794" t="s">
        <v>1088</v>
      </c>
      <c r="H794" t="s">
        <v>1090</v>
      </c>
      <c r="I794" t="s">
        <v>537</v>
      </c>
      <c r="J794">
        <v>1</v>
      </c>
      <c r="K794">
        <v>4200</v>
      </c>
      <c r="L794">
        <v>3587.5</v>
      </c>
      <c r="M794">
        <v>3587.5</v>
      </c>
      <c r="N794" t="s">
        <v>1010</v>
      </c>
    </row>
    <row r="795" spans="1:14" x14ac:dyDescent="0.25">
      <c r="A795" t="s">
        <v>1438</v>
      </c>
      <c r="B795" t="s">
        <v>1956</v>
      </c>
      <c r="C795" t="s">
        <v>268</v>
      </c>
      <c r="D795" t="s">
        <v>1085</v>
      </c>
      <c r="E795" t="s">
        <v>1086</v>
      </c>
      <c r="F795" t="s">
        <v>1089</v>
      </c>
      <c r="G795" t="s">
        <v>1088</v>
      </c>
      <c r="H795" t="s">
        <v>1090</v>
      </c>
      <c r="I795" t="s">
        <v>24</v>
      </c>
      <c r="J795">
        <v>1</v>
      </c>
      <c r="K795">
        <v>4200</v>
      </c>
      <c r="L795">
        <v>3587.5</v>
      </c>
      <c r="M795">
        <v>3587.5</v>
      </c>
      <c r="N795" t="s">
        <v>1010</v>
      </c>
    </row>
    <row r="796" spans="1:14" x14ac:dyDescent="0.25">
      <c r="A796" t="s">
        <v>1439</v>
      </c>
      <c r="B796" t="s">
        <v>1957</v>
      </c>
      <c r="C796" t="s">
        <v>272</v>
      </c>
      <c r="D796" t="s">
        <v>1085</v>
      </c>
      <c r="E796" t="s">
        <v>1086</v>
      </c>
      <c r="F796" t="s">
        <v>1091</v>
      </c>
      <c r="G796" t="s">
        <v>1088</v>
      </c>
      <c r="H796" t="s">
        <v>1090</v>
      </c>
      <c r="I796" t="s">
        <v>422</v>
      </c>
      <c r="J796">
        <v>1</v>
      </c>
      <c r="K796">
        <v>3675</v>
      </c>
      <c r="L796">
        <v>10500</v>
      </c>
      <c r="M796">
        <v>10500</v>
      </c>
      <c r="N796" t="s">
        <v>1010</v>
      </c>
    </row>
    <row r="797" spans="1:14" x14ac:dyDescent="0.25">
      <c r="A797" t="s">
        <v>1439</v>
      </c>
      <c r="B797" t="s">
        <v>1957</v>
      </c>
      <c r="C797" t="s">
        <v>272</v>
      </c>
      <c r="D797" t="s">
        <v>1085</v>
      </c>
      <c r="E797" t="s">
        <v>1086</v>
      </c>
      <c r="F797" t="s">
        <v>1091</v>
      </c>
      <c r="G797" t="s">
        <v>1088</v>
      </c>
      <c r="H797" t="s">
        <v>1090</v>
      </c>
      <c r="I797" t="s">
        <v>26</v>
      </c>
      <c r="J797">
        <v>1</v>
      </c>
      <c r="K797">
        <v>500</v>
      </c>
      <c r="L797">
        <v>500</v>
      </c>
      <c r="M797">
        <v>500</v>
      </c>
      <c r="N797" t="s">
        <v>1010</v>
      </c>
    </row>
    <row r="798" spans="1:14" x14ac:dyDescent="0.25">
      <c r="A798" t="s">
        <v>1439</v>
      </c>
      <c r="B798" t="s">
        <v>1957</v>
      </c>
      <c r="C798" t="s">
        <v>272</v>
      </c>
      <c r="D798" t="s">
        <v>1085</v>
      </c>
      <c r="E798" t="s">
        <v>1086</v>
      </c>
      <c r="F798" t="s">
        <v>1091</v>
      </c>
      <c r="G798" t="s">
        <v>1088</v>
      </c>
      <c r="H798" t="s">
        <v>1090</v>
      </c>
      <c r="I798" t="s">
        <v>537</v>
      </c>
      <c r="J798">
        <v>1</v>
      </c>
      <c r="K798">
        <v>4200</v>
      </c>
      <c r="L798">
        <v>3587.5</v>
      </c>
      <c r="M798">
        <v>3587.5</v>
      </c>
      <c r="N798" t="s">
        <v>1010</v>
      </c>
    </row>
    <row r="799" spans="1:14" x14ac:dyDescent="0.25">
      <c r="A799" t="s">
        <v>1439</v>
      </c>
      <c r="B799" t="s">
        <v>1957</v>
      </c>
      <c r="C799" t="s">
        <v>272</v>
      </c>
      <c r="D799" t="s">
        <v>1085</v>
      </c>
      <c r="E799" t="s">
        <v>1086</v>
      </c>
      <c r="F799" t="s">
        <v>1091</v>
      </c>
      <c r="G799" t="s">
        <v>1088</v>
      </c>
      <c r="H799" t="s">
        <v>1090</v>
      </c>
      <c r="I799" t="s">
        <v>24</v>
      </c>
      <c r="J799">
        <v>1</v>
      </c>
      <c r="K799">
        <v>4200</v>
      </c>
      <c r="L799">
        <v>3587.5</v>
      </c>
      <c r="M799">
        <v>3587.5</v>
      </c>
      <c r="N799" t="s">
        <v>1010</v>
      </c>
    </row>
    <row r="800" spans="1:14" x14ac:dyDescent="0.25">
      <c r="A800" t="s">
        <v>1479</v>
      </c>
      <c r="B800" t="s">
        <v>1958</v>
      </c>
      <c r="C800" t="s">
        <v>556</v>
      </c>
      <c r="D800" t="s">
        <v>20</v>
      </c>
      <c r="E800" t="s">
        <v>81</v>
      </c>
      <c r="F800" t="s">
        <v>15</v>
      </c>
      <c r="G800" t="s">
        <v>22</v>
      </c>
      <c r="H800" t="s">
        <v>560</v>
      </c>
      <c r="I800" t="s">
        <v>561</v>
      </c>
      <c r="J800">
        <v>1</v>
      </c>
      <c r="K800">
        <v>8500</v>
      </c>
      <c r="L800">
        <v>12100</v>
      </c>
      <c r="M800">
        <v>12100</v>
      </c>
      <c r="N800" t="s">
        <v>19</v>
      </c>
    </row>
    <row r="801" spans="1:14" x14ac:dyDescent="0.25">
      <c r="A801" t="s">
        <v>1479</v>
      </c>
      <c r="B801" t="s">
        <v>1958</v>
      </c>
      <c r="C801" t="s">
        <v>556</v>
      </c>
      <c r="D801" t="s">
        <v>20</v>
      </c>
      <c r="E801" t="s">
        <v>81</v>
      </c>
      <c r="F801" t="s">
        <v>15</v>
      </c>
      <c r="G801" t="s">
        <v>22</v>
      </c>
      <c r="H801" t="s">
        <v>560</v>
      </c>
      <c r="I801" t="s">
        <v>76</v>
      </c>
      <c r="J801">
        <v>1</v>
      </c>
      <c r="K801">
        <v>400</v>
      </c>
      <c r="L801">
        <v>400</v>
      </c>
      <c r="M801">
        <v>400</v>
      </c>
      <c r="N801" t="s">
        <v>19</v>
      </c>
    </row>
    <row r="802" spans="1:14" x14ac:dyDescent="0.25">
      <c r="A802" t="s">
        <v>1479</v>
      </c>
      <c r="B802" t="s">
        <v>1959</v>
      </c>
      <c r="C802" t="s">
        <v>562</v>
      </c>
      <c r="D802" t="s">
        <v>20</v>
      </c>
      <c r="E802" t="s">
        <v>81</v>
      </c>
      <c r="F802" t="s">
        <v>15</v>
      </c>
      <c r="G802" t="s">
        <v>22</v>
      </c>
      <c r="H802" t="s">
        <v>560</v>
      </c>
      <c r="I802" t="s">
        <v>561</v>
      </c>
      <c r="J802">
        <v>1</v>
      </c>
      <c r="K802">
        <v>8500</v>
      </c>
      <c r="L802">
        <v>12100</v>
      </c>
      <c r="M802">
        <v>12100</v>
      </c>
      <c r="N802" t="s">
        <v>19</v>
      </c>
    </row>
    <row r="803" spans="1:14" x14ac:dyDescent="0.25">
      <c r="A803" t="s">
        <v>1479</v>
      </c>
      <c r="B803" t="s">
        <v>1959</v>
      </c>
      <c r="C803" t="s">
        <v>562</v>
      </c>
      <c r="D803" t="s">
        <v>20</v>
      </c>
      <c r="E803" t="s">
        <v>81</v>
      </c>
      <c r="F803" t="s">
        <v>15</v>
      </c>
      <c r="G803" t="s">
        <v>22</v>
      </c>
      <c r="H803" t="s">
        <v>560</v>
      </c>
      <c r="I803" t="s">
        <v>76</v>
      </c>
      <c r="J803">
        <v>1</v>
      </c>
      <c r="K803">
        <v>400</v>
      </c>
      <c r="L803">
        <v>400</v>
      </c>
      <c r="M803">
        <v>400</v>
      </c>
      <c r="N803" t="s">
        <v>19</v>
      </c>
    </row>
    <row r="804" spans="1:14" x14ac:dyDescent="0.25">
      <c r="A804" t="s">
        <v>1507</v>
      </c>
      <c r="B804" t="s">
        <v>1960</v>
      </c>
      <c r="C804" t="s">
        <v>564</v>
      </c>
      <c r="D804" t="s">
        <v>20</v>
      </c>
      <c r="E804" t="s">
        <v>119</v>
      </c>
      <c r="F804" t="s">
        <v>15</v>
      </c>
      <c r="G804" t="s">
        <v>22</v>
      </c>
      <c r="H804" t="s">
        <v>570</v>
      </c>
      <c r="I804" t="s">
        <v>571</v>
      </c>
      <c r="J804">
        <v>1</v>
      </c>
      <c r="K804">
        <v>52000</v>
      </c>
      <c r="L804">
        <v>52000</v>
      </c>
      <c r="M804">
        <v>52000</v>
      </c>
      <c r="N804" t="s">
        <v>19</v>
      </c>
    </row>
    <row r="805" spans="1:14" x14ac:dyDescent="0.25">
      <c r="A805" t="s">
        <v>1475</v>
      </c>
      <c r="B805" t="s">
        <v>1961</v>
      </c>
      <c r="C805" t="s">
        <v>572</v>
      </c>
      <c r="D805" t="s">
        <v>20</v>
      </c>
      <c r="E805" t="s">
        <v>573</v>
      </c>
      <c r="F805" t="s">
        <v>15</v>
      </c>
      <c r="G805" t="s">
        <v>22</v>
      </c>
      <c r="H805" t="s">
        <v>570</v>
      </c>
      <c r="I805" t="s">
        <v>574</v>
      </c>
      <c r="J805">
        <v>1</v>
      </c>
      <c r="K805">
        <v>2975</v>
      </c>
      <c r="L805">
        <v>8500</v>
      </c>
      <c r="M805">
        <v>8500</v>
      </c>
      <c r="N805" t="s">
        <v>19</v>
      </c>
    </row>
    <row r="806" spans="1:14" x14ac:dyDescent="0.25">
      <c r="A806" t="s">
        <v>1475</v>
      </c>
      <c r="B806" t="s">
        <v>1961</v>
      </c>
      <c r="C806" t="s">
        <v>572</v>
      </c>
      <c r="D806" t="s">
        <v>20</v>
      </c>
      <c r="E806" t="s">
        <v>573</v>
      </c>
      <c r="F806" t="s">
        <v>15</v>
      </c>
      <c r="G806" t="s">
        <v>22</v>
      </c>
      <c r="H806" t="s">
        <v>570</v>
      </c>
      <c r="I806" t="s">
        <v>575</v>
      </c>
      <c r="J806">
        <v>1</v>
      </c>
      <c r="K806">
        <v>4700</v>
      </c>
      <c r="L806">
        <v>4700</v>
      </c>
      <c r="M806">
        <v>4700</v>
      </c>
      <c r="N806" t="s">
        <v>19</v>
      </c>
    </row>
    <row r="807" spans="1:14" x14ac:dyDescent="0.25">
      <c r="A807" t="s">
        <v>1475</v>
      </c>
      <c r="B807" t="s">
        <v>1961</v>
      </c>
      <c r="C807" t="s">
        <v>572</v>
      </c>
      <c r="D807" t="s">
        <v>20</v>
      </c>
      <c r="E807" t="s">
        <v>573</v>
      </c>
      <c r="F807" t="s">
        <v>15</v>
      </c>
      <c r="G807" t="s">
        <v>22</v>
      </c>
      <c r="H807" t="s">
        <v>570</v>
      </c>
      <c r="I807" t="s">
        <v>24</v>
      </c>
      <c r="J807">
        <v>1</v>
      </c>
      <c r="K807">
        <v>4700</v>
      </c>
      <c r="L807">
        <v>4700</v>
      </c>
      <c r="M807">
        <v>4700</v>
      </c>
      <c r="N807" t="s">
        <v>19</v>
      </c>
    </row>
    <row r="808" spans="1:14" x14ac:dyDescent="0.25">
      <c r="A808" t="s">
        <v>1475</v>
      </c>
      <c r="B808" t="s">
        <v>1961</v>
      </c>
      <c r="C808" t="s">
        <v>572</v>
      </c>
      <c r="D808" t="s">
        <v>20</v>
      </c>
      <c r="E808" t="s">
        <v>573</v>
      </c>
      <c r="F808" t="s">
        <v>15</v>
      </c>
      <c r="G808" t="s">
        <v>22</v>
      </c>
      <c r="H808" t="s">
        <v>570</v>
      </c>
      <c r="I808" t="s">
        <v>576</v>
      </c>
      <c r="J808">
        <v>1</v>
      </c>
      <c r="K808">
        <v>21000</v>
      </c>
      <c r="L808">
        <v>30000</v>
      </c>
      <c r="M808">
        <v>30000</v>
      </c>
      <c r="N808" t="s">
        <v>19</v>
      </c>
    </row>
    <row r="809" spans="1:14" x14ac:dyDescent="0.25">
      <c r="A809" t="s">
        <v>1475</v>
      </c>
      <c r="B809" t="s">
        <v>1961</v>
      </c>
      <c r="C809" t="s">
        <v>572</v>
      </c>
      <c r="D809" t="s">
        <v>20</v>
      </c>
      <c r="E809" t="s">
        <v>573</v>
      </c>
      <c r="F809" t="s">
        <v>15</v>
      </c>
      <c r="G809" t="s">
        <v>22</v>
      </c>
      <c r="H809" t="s">
        <v>570</v>
      </c>
      <c r="I809" t="s">
        <v>577</v>
      </c>
      <c r="J809">
        <v>1</v>
      </c>
      <c r="K809">
        <v>11700</v>
      </c>
      <c r="L809">
        <v>17000</v>
      </c>
      <c r="M809">
        <v>17000</v>
      </c>
      <c r="N809" t="s">
        <v>19</v>
      </c>
    </row>
    <row r="810" spans="1:14" x14ac:dyDescent="0.25">
      <c r="A810" t="s">
        <v>1475</v>
      </c>
      <c r="B810" t="s">
        <v>1961</v>
      </c>
      <c r="C810" t="s">
        <v>572</v>
      </c>
      <c r="D810" t="s">
        <v>20</v>
      </c>
      <c r="E810" t="s">
        <v>573</v>
      </c>
      <c r="F810" t="s">
        <v>15</v>
      </c>
      <c r="G810" t="s">
        <v>22</v>
      </c>
      <c r="H810" t="s">
        <v>570</v>
      </c>
      <c r="I810" t="s">
        <v>236</v>
      </c>
      <c r="J810">
        <v>1</v>
      </c>
      <c r="K810">
        <v>2200</v>
      </c>
      <c r="L810">
        <v>3100</v>
      </c>
      <c r="M810">
        <v>3100</v>
      </c>
      <c r="N810" t="s">
        <v>19</v>
      </c>
    </row>
    <row r="811" spans="1:14" x14ac:dyDescent="0.25">
      <c r="A811" t="s">
        <v>1475</v>
      </c>
      <c r="B811" t="s">
        <v>1961</v>
      </c>
      <c r="C811" t="s">
        <v>572</v>
      </c>
      <c r="D811" t="s">
        <v>20</v>
      </c>
      <c r="E811" t="s">
        <v>573</v>
      </c>
      <c r="F811" t="s">
        <v>15</v>
      </c>
      <c r="G811" t="s">
        <v>22</v>
      </c>
      <c r="H811" t="s">
        <v>570</v>
      </c>
      <c r="I811" t="s">
        <v>235</v>
      </c>
      <c r="J811">
        <v>1</v>
      </c>
      <c r="K811">
        <v>1350</v>
      </c>
      <c r="L811">
        <v>2000</v>
      </c>
      <c r="M811">
        <v>2000</v>
      </c>
      <c r="N811" t="s">
        <v>19</v>
      </c>
    </row>
    <row r="812" spans="1:14" x14ac:dyDescent="0.25">
      <c r="A812" t="s">
        <v>1475</v>
      </c>
      <c r="B812" t="s">
        <v>1961</v>
      </c>
      <c r="C812" t="s">
        <v>572</v>
      </c>
      <c r="D812" t="s">
        <v>20</v>
      </c>
      <c r="E812" t="s">
        <v>573</v>
      </c>
      <c r="F812" t="s">
        <v>15</v>
      </c>
      <c r="G812" t="s">
        <v>22</v>
      </c>
      <c r="H812" t="s">
        <v>570</v>
      </c>
      <c r="I812" t="s">
        <v>171</v>
      </c>
      <c r="J812">
        <v>1</v>
      </c>
      <c r="K812">
        <v>500</v>
      </c>
      <c r="L812">
        <v>500</v>
      </c>
      <c r="M812">
        <v>500</v>
      </c>
      <c r="N812" t="s">
        <v>19</v>
      </c>
    </row>
    <row r="813" spans="1:14" x14ac:dyDescent="0.25">
      <c r="A813" t="s">
        <v>1475</v>
      </c>
      <c r="B813" t="s">
        <v>1961</v>
      </c>
      <c r="C813" t="s">
        <v>572</v>
      </c>
      <c r="D813" t="s">
        <v>20</v>
      </c>
      <c r="E813" t="s">
        <v>573</v>
      </c>
      <c r="F813" t="s">
        <v>15</v>
      </c>
      <c r="G813" t="s">
        <v>22</v>
      </c>
      <c r="H813" t="s">
        <v>570</v>
      </c>
      <c r="I813" t="s">
        <v>393</v>
      </c>
      <c r="J813">
        <v>1</v>
      </c>
      <c r="K813">
        <v>500</v>
      </c>
      <c r="L813">
        <v>500</v>
      </c>
      <c r="M813">
        <v>500</v>
      </c>
      <c r="N813" t="s">
        <v>19</v>
      </c>
    </row>
    <row r="814" spans="1:14" x14ac:dyDescent="0.25">
      <c r="A814" t="s">
        <v>1591</v>
      </c>
      <c r="B814" t="s">
        <v>1962</v>
      </c>
      <c r="C814" t="s">
        <v>274</v>
      </c>
      <c r="D814" t="s">
        <v>1092</v>
      </c>
      <c r="E814" t="s">
        <v>1093</v>
      </c>
      <c r="F814" t="s">
        <v>15</v>
      </c>
      <c r="G814" t="s">
        <v>37</v>
      </c>
      <c r="H814" t="s">
        <v>570</v>
      </c>
      <c r="I814" t="s">
        <v>33</v>
      </c>
      <c r="J814">
        <v>1</v>
      </c>
      <c r="K814">
        <v>10000</v>
      </c>
      <c r="L814">
        <v>10000</v>
      </c>
      <c r="M814">
        <v>10000</v>
      </c>
      <c r="N814" t="s">
        <v>19</v>
      </c>
    </row>
    <row r="815" spans="1:14" x14ac:dyDescent="0.25">
      <c r="A815" t="s">
        <v>1486</v>
      </c>
      <c r="B815" t="s">
        <v>1963</v>
      </c>
      <c r="C815" t="s">
        <v>582</v>
      </c>
      <c r="D815" t="s">
        <v>20</v>
      </c>
      <c r="E815" t="s">
        <v>31</v>
      </c>
      <c r="F815" t="s">
        <v>15</v>
      </c>
      <c r="G815" t="s">
        <v>22</v>
      </c>
      <c r="H815" t="s">
        <v>584</v>
      </c>
      <c r="I815" t="s">
        <v>585</v>
      </c>
      <c r="J815">
        <v>1</v>
      </c>
      <c r="K815">
        <v>8500</v>
      </c>
      <c r="L815">
        <v>12100</v>
      </c>
      <c r="M815">
        <v>12100</v>
      </c>
      <c r="N815" t="s">
        <v>19</v>
      </c>
    </row>
    <row r="816" spans="1:14" x14ac:dyDescent="0.25">
      <c r="A816" t="s">
        <v>1486</v>
      </c>
      <c r="B816" t="s">
        <v>1963</v>
      </c>
      <c r="C816" t="s">
        <v>582</v>
      </c>
      <c r="D816" t="s">
        <v>20</v>
      </c>
      <c r="E816" t="s">
        <v>31</v>
      </c>
      <c r="F816" t="s">
        <v>15</v>
      </c>
      <c r="G816" t="s">
        <v>22</v>
      </c>
      <c r="H816" t="s">
        <v>584</v>
      </c>
      <c r="I816" t="s">
        <v>76</v>
      </c>
      <c r="J816">
        <v>1</v>
      </c>
      <c r="K816">
        <v>400</v>
      </c>
      <c r="L816">
        <v>400</v>
      </c>
      <c r="M816">
        <v>400</v>
      </c>
      <c r="N816" t="s">
        <v>19</v>
      </c>
    </row>
    <row r="817" spans="1:14" x14ac:dyDescent="0.25">
      <c r="A817" t="s">
        <v>1496</v>
      </c>
      <c r="B817" t="s">
        <v>1964</v>
      </c>
      <c r="C817" t="s">
        <v>586</v>
      </c>
      <c r="D817" t="s">
        <v>20</v>
      </c>
      <c r="E817" t="s">
        <v>587</v>
      </c>
      <c r="F817" t="s">
        <v>15</v>
      </c>
      <c r="G817" t="s">
        <v>22</v>
      </c>
      <c r="H817" t="s">
        <v>584</v>
      </c>
      <c r="I817" t="s">
        <v>585</v>
      </c>
      <c r="J817">
        <v>1</v>
      </c>
      <c r="K817">
        <v>8500</v>
      </c>
      <c r="L817">
        <v>12100</v>
      </c>
      <c r="M817">
        <v>12100</v>
      </c>
      <c r="N817" t="s">
        <v>19</v>
      </c>
    </row>
    <row r="818" spans="1:14" x14ac:dyDescent="0.25">
      <c r="A818" t="s">
        <v>1496</v>
      </c>
      <c r="B818" t="s">
        <v>1964</v>
      </c>
      <c r="C818" t="s">
        <v>586</v>
      </c>
      <c r="D818" t="s">
        <v>20</v>
      </c>
      <c r="E818" t="s">
        <v>587</v>
      </c>
      <c r="F818" t="s">
        <v>15</v>
      </c>
      <c r="G818" t="s">
        <v>22</v>
      </c>
      <c r="H818" t="s">
        <v>584</v>
      </c>
      <c r="I818" t="s">
        <v>76</v>
      </c>
      <c r="J818">
        <v>1</v>
      </c>
      <c r="K818">
        <v>400</v>
      </c>
      <c r="L818">
        <v>400</v>
      </c>
      <c r="M818">
        <v>400</v>
      </c>
      <c r="N818" t="s">
        <v>19</v>
      </c>
    </row>
    <row r="819" spans="1:14" x14ac:dyDescent="0.25">
      <c r="A819" t="s">
        <v>1487</v>
      </c>
      <c r="B819" t="s">
        <v>1965</v>
      </c>
      <c r="C819" t="s">
        <v>588</v>
      </c>
      <c r="D819" t="s">
        <v>20</v>
      </c>
      <c r="E819" t="s">
        <v>589</v>
      </c>
      <c r="F819" t="s">
        <v>15</v>
      </c>
      <c r="G819" t="s">
        <v>22</v>
      </c>
      <c r="H819" t="s">
        <v>584</v>
      </c>
      <c r="I819" t="s">
        <v>590</v>
      </c>
      <c r="J819">
        <v>10</v>
      </c>
      <c r="K819">
        <v>20</v>
      </c>
      <c r="L819">
        <v>100</v>
      </c>
      <c r="M819">
        <v>1000</v>
      </c>
      <c r="N819" t="s">
        <v>19</v>
      </c>
    </row>
    <row r="820" spans="1:14" x14ac:dyDescent="0.25">
      <c r="A820" t="s">
        <v>1647</v>
      </c>
      <c r="B820" t="s">
        <v>1966</v>
      </c>
      <c r="C820" t="s">
        <v>492</v>
      </c>
      <c r="D820" t="s">
        <v>57</v>
      </c>
      <c r="E820" t="s">
        <v>58</v>
      </c>
      <c r="F820" t="s">
        <v>15</v>
      </c>
      <c r="G820" t="s">
        <v>37</v>
      </c>
      <c r="H820" t="s">
        <v>493</v>
      </c>
      <c r="I820" t="s">
        <v>61</v>
      </c>
      <c r="J820">
        <v>1</v>
      </c>
      <c r="K820">
        <v>8500</v>
      </c>
      <c r="L820">
        <v>12000</v>
      </c>
      <c r="M820">
        <v>12000</v>
      </c>
      <c r="N820" t="s">
        <v>19</v>
      </c>
    </row>
    <row r="821" spans="1:14" x14ac:dyDescent="0.25">
      <c r="A821" t="s">
        <v>1625</v>
      </c>
      <c r="B821" t="s">
        <v>1967</v>
      </c>
      <c r="C821" t="s">
        <v>494</v>
      </c>
      <c r="D821" t="s">
        <v>431</v>
      </c>
      <c r="E821" t="s">
        <v>239</v>
      </c>
      <c r="F821" t="s">
        <v>15</v>
      </c>
      <c r="G821" t="s">
        <v>37</v>
      </c>
      <c r="H821" t="s">
        <v>493</v>
      </c>
      <c r="I821" t="s">
        <v>33</v>
      </c>
      <c r="J821">
        <v>1</v>
      </c>
      <c r="K821">
        <v>8000</v>
      </c>
      <c r="L821">
        <v>8000</v>
      </c>
      <c r="M821">
        <v>8000</v>
      </c>
      <c r="N821" t="s">
        <v>19</v>
      </c>
    </row>
    <row r="822" spans="1:14" x14ac:dyDescent="0.25">
      <c r="A822" t="s">
        <v>1625</v>
      </c>
      <c r="B822" t="s">
        <v>1967</v>
      </c>
      <c r="C822" t="s">
        <v>494</v>
      </c>
      <c r="D822" t="s">
        <v>431</v>
      </c>
      <c r="E822" t="s">
        <v>239</v>
      </c>
      <c r="F822" t="s">
        <v>15</v>
      </c>
      <c r="G822" t="s">
        <v>37</v>
      </c>
      <c r="H822" t="s">
        <v>493</v>
      </c>
      <c r="I822" t="s">
        <v>50</v>
      </c>
      <c r="J822">
        <v>1</v>
      </c>
      <c r="K822">
        <v>500</v>
      </c>
      <c r="L822">
        <v>500</v>
      </c>
      <c r="M822">
        <v>500</v>
      </c>
      <c r="N822" t="s">
        <v>19</v>
      </c>
    </row>
    <row r="823" spans="1:14" x14ac:dyDescent="0.25">
      <c r="A823" t="s">
        <v>1625</v>
      </c>
      <c r="B823" t="s">
        <v>1967</v>
      </c>
      <c r="C823" t="s">
        <v>494</v>
      </c>
      <c r="D823" t="s">
        <v>431</v>
      </c>
      <c r="E823" t="s">
        <v>239</v>
      </c>
      <c r="F823" t="s">
        <v>15</v>
      </c>
      <c r="G823" t="s">
        <v>37</v>
      </c>
      <c r="H823" t="s">
        <v>493</v>
      </c>
      <c r="I823" t="s">
        <v>116</v>
      </c>
      <c r="J823">
        <v>1</v>
      </c>
      <c r="K823">
        <v>2185</v>
      </c>
      <c r="L823">
        <v>3100</v>
      </c>
      <c r="M823">
        <v>3100</v>
      </c>
      <c r="N823" t="s">
        <v>19</v>
      </c>
    </row>
    <row r="824" spans="1:14" x14ac:dyDescent="0.25">
      <c r="A824" t="s">
        <v>1625</v>
      </c>
      <c r="B824" t="s">
        <v>1967</v>
      </c>
      <c r="C824" t="s">
        <v>494</v>
      </c>
      <c r="D824" t="s">
        <v>431</v>
      </c>
      <c r="E824" t="s">
        <v>239</v>
      </c>
      <c r="F824" t="s">
        <v>15</v>
      </c>
      <c r="G824" t="s">
        <v>37</v>
      </c>
      <c r="H824" t="s">
        <v>493</v>
      </c>
      <c r="I824" t="s">
        <v>189</v>
      </c>
      <c r="J824">
        <v>1</v>
      </c>
      <c r="K824">
        <v>500</v>
      </c>
      <c r="L824">
        <v>750</v>
      </c>
      <c r="M824">
        <v>750</v>
      </c>
      <c r="N824" t="s">
        <v>19</v>
      </c>
    </row>
    <row r="825" spans="1:14" x14ac:dyDescent="0.25">
      <c r="A825" t="s">
        <v>1625</v>
      </c>
      <c r="B825" t="s">
        <v>1967</v>
      </c>
      <c r="C825" t="s">
        <v>494</v>
      </c>
      <c r="D825" t="s">
        <v>431</v>
      </c>
      <c r="E825" t="s">
        <v>239</v>
      </c>
      <c r="F825" t="s">
        <v>15</v>
      </c>
      <c r="G825" t="s">
        <v>37</v>
      </c>
      <c r="H825" t="s">
        <v>493</v>
      </c>
      <c r="I825" t="s">
        <v>97</v>
      </c>
      <c r="J825">
        <v>1</v>
      </c>
      <c r="K825">
        <v>2200</v>
      </c>
      <c r="L825">
        <v>3000</v>
      </c>
      <c r="M825">
        <v>3000</v>
      </c>
      <c r="N825" t="s">
        <v>19</v>
      </c>
    </row>
    <row r="826" spans="1:14" x14ac:dyDescent="0.25">
      <c r="A826" t="s">
        <v>1625</v>
      </c>
      <c r="B826" t="s">
        <v>1967</v>
      </c>
      <c r="C826" t="s">
        <v>494</v>
      </c>
      <c r="D826" t="s">
        <v>431</v>
      </c>
      <c r="E826" t="s">
        <v>239</v>
      </c>
      <c r="F826" t="s">
        <v>15</v>
      </c>
      <c r="G826" t="s">
        <v>37</v>
      </c>
      <c r="H826" t="s">
        <v>493</v>
      </c>
      <c r="I826" t="s">
        <v>63</v>
      </c>
      <c r="J826">
        <v>1</v>
      </c>
      <c r="K826">
        <v>400</v>
      </c>
      <c r="L826">
        <v>400</v>
      </c>
      <c r="M826">
        <v>400</v>
      </c>
      <c r="N826" t="s">
        <v>19</v>
      </c>
    </row>
    <row r="827" spans="1:14" x14ac:dyDescent="0.25">
      <c r="A827" t="s">
        <v>1714</v>
      </c>
      <c r="B827" t="s">
        <v>1968</v>
      </c>
      <c r="C827" t="s">
        <v>496</v>
      </c>
      <c r="D827" t="s">
        <v>497</v>
      </c>
      <c r="E827" t="s">
        <v>498</v>
      </c>
      <c r="F827" t="s">
        <v>499</v>
      </c>
      <c r="G827" t="s">
        <v>16</v>
      </c>
      <c r="H827" t="s">
        <v>493</v>
      </c>
      <c r="I827" t="s">
        <v>114</v>
      </c>
      <c r="J827">
        <v>1</v>
      </c>
      <c r="K827">
        <v>3675</v>
      </c>
      <c r="L827">
        <v>10500</v>
      </c>
      <c r="M827">
        <v>10500</v>
      </c>
      <c r="N827" t="s">
        <v>39</v>
      </c>
    </row>
    <row r="828" spans="1:14" x14ac:dyDescent="0.25">
      <c r="A828" t="s">
        <v>1714</v>
      </c>
      <c r="B828" t="s">
        <v>1968</v>
      </c>
      <c r="C828" t="s">
        <v>496</v>
      </c>
      <c r="D828" t="s">
        <v>497</v>
      </c>
      <c r="E828" t="s">
        <v>498</v>
      </c>
      <c r="F828" t="s">
        <v>499</v>
      </c>
      <c r="G828" t="s">
        <v>16</v>
      </c>
      <c r="H828" t="s">
        <v>493</v>
      </c>
      <c r="I828" t="s">
        <v>48</v>
      </c>
      <c r="J828">
        <v>1</v>
      </c>
      <c r="K828">
        <v>3255</v>
      </c>
      <c r="L828">
        <v>9300</v>
      </c>
      <c r="M828">
        <v>9300</v>
      </c>
      <c r="N828" t="s">
        <v>39</v>
      </c>
    </row>
    <row r="829" spans="1:14" x14ac:dyDescent="0.25">
      <c r="A829" t="s">
        <v>1714</v>
      </c>
      <c r="B829" t="s">
        <v>1968</v>
      </c>
      <c r="C829" t="s">
        <v>496</v>
      </c>
      <c r="D829" t="s">
        <v>497</v>
      </c>
      <c r="E829" t="s">
        <v>498</v>
      </c>
      <c r="F829" t="s">
        <v>499</v>
      </c>
      <c r="G829" t="s">
        <v>16</v>
      </c>
      <c r="H829" t="s">
        <v>493</v>
      </c>
      <c r="I829" t="s">
        <v>126</v>
      </c>
      <c r="J829">
        <v>1</v>
      </c>
      <c r="K829">
        <v>3220</v>
      </c>
      <c r="L829">
        <v>9200</v>
      </c>
      <c r="M829">
        <v>9200</v>
      </c>
      <c r="N829" t="s">
        <v>39</v>
      </c>
    </row>
    <row r="830" spans="1:14" x14ac:dyDescent="0.25">
      <c r="A830" t="s">
        <v>1714</v>
      </c>
      <c r="B830" t="s">
        <v>1968</v>
      </c>
      <c r="C830" t="s">
        <v>496</v>
      </c>
      <c r="D830" t="s">
        <v>497</v>
      </c>
      <c r="E830" t="s">
        <v>498</v>
      </c>
      <c r="F830" t="s">
        <v>499</v>
      </c>
      <c r="G830" t="s">
        <v>16</v>
      </c>
      <c r="H830" t="s">
        <v>493</v>
      </c>
      <c r="I830" t="s">
        <v>38</v>
      </c>
      <c r="J830">
        <v>1</v>
      </c>
      <c r="K830">
        <v>8500</v>
      </c>
      <c r="L830">
        <v>12000</v>
      </c>
      <c r="M830">
        <v>12000</v>
      </c>
      <c r="N830" t="s">
        <v>39</v>
      </c>
    </row>
    <row r="831" spans="1:14" x14ac:dyDescent="0.25">
      <c r="A831" t="s">
        <v>1714</v>
      </c>
      <c r="B831" t="s">
        <v>1968</v>
      </c>
      <c r="C831" t="s">
        <v>496</v>
      </c>
      <c r="D831" t="s">
        <v>497</v>
      </c>
      <c r="E831" t="s">
        <v>498</v>
      </c>
      <c r="F831" t="s">
        <v>499</v>
      </c>
      <c r="G831" t="s">
        <v>16</v>
      </c>
      <c r="H831" t="s">
        <v>493</v>
      </c>
      <c r="I831" t="s">
        <v>97</v>
      </c>
      <c r="J831">
        <v>1</v>
      </c>
      <c r="K831">
        <v>2200</v>
      </c>
      <c r="L831">
        <v>3000</v>
      </c>
      <c r="M831">
        <v>3000</v>
      </c>
      <c r="N831" t="s">
        <v>39</v>
      </c>
    </row>
    <row r="832" spans="1:14" x14ac:dyDescent="0.25">
      <c r="A832" t="s">
        <v>1714</v>
      </c>
      <c r="B832" t="s">
        <v>1968</v>
      </c>
      <c r="C832" t="s">
        <v>496</v>
      </c>
      <c r="D832" t="s">
        <v>497</v>
      </c>
      <c r="E832" t="s">
        <v>498</v>
      </c>
      <c r="F832" t="s">
        <v>499</v>
      </c>
      <c r="G832" t="s">
        <v>16</v>
      </c>
      <c r="H832" t="s">
        <v>493</v>
      </c>
      <c r="I832" t="s">
        <v>115</v>
      </c>
      <c r="J832">
        <v>1</v>
      </c>
      <c r="K832">
        <v>10750</v>
      </c>
      <c r="L832">
        <v>15000</v>
      </c>
      <c r="M832">
        <v>15000</v>
      </c>
      <c r="N832" t="s">
        <v>39</v>
      </c>
    </row>
    <row r="833" spans="1:14" x14ac:dyDescent="0.25">
      <c r="A833" t="s">
        <v>1714</v>
      </c>
      <c r="B833" t="s">
        <v>1968</v>
      </c>
      <c r="C833" t="s">
        <v>496</v>
      </c>
      <c r="D833" t="s">
        <v>497</v>
      </c>
      <c r="E833" t="s">
        <v>498</v>
      </c>
      <c r="F833" t="s">
        <v>499</v>
      </c>
      <c r="G833" t="s">
        <v>16</v>
      </c>
      <c r="H833" t="s">
        <v>493</v>
      </c>
      <c r="I833" t="s">
        <v>85</v>
      </c>
      <c r="J833">
        <v>1</v>
      </c>
      <c r="K833">
        <v>1350</v>
      </c>
      <c r="L833">
        <v>2500</v>
      </c>
      <c r="M833">
        <v>2500</v>
      </c>
      <c r="N833" t="s">
        <v>39</v>
      </c>
    </row>
    <row r="834" spans="1:14" x14ac:dyDescent="0.25">
      <c r="A834" t="s">
        <v>1714</v>
      </c>
      <c r="B834" t="s">
        <v>1968</v>
      </c>
      <c r="C834" t="s">
        <v>496</v>
      </c>
      <c r="D834" t="s">
        <v>497</v>
      </c>
      <c r="E834" t="s">
        <v>498</v>
      </c>
      <c r="F834" t="s">
        <v>499</v>
      </c>
      <c r="G834" t="s">
        <v>16</v>
      </c>
      <c r="H834" t="s">
        <v>493</v>
      </c>
      <c r="I834" t="s">
        <v>209</v>
      </c>
      <c r="J834">
        <v>1</v>
      </c>
      <c r="K834">
        <v>23450</v>
      </c>
      <c r="L834">
        <v>32300</v>
      </c>
      <c r="M834">
        <v>32300</v>
      </c>
      <c r="N834" t="s">
        <v>39</v>
      </c>
    </row>
    <row r="835" spans="1:14" x14ac:dyDescent="0.25">
      <c r="A835" t="s">
        <v>1714</v>
      </c>
      <c r="B835" t="s">
        <v>1968</v>
      </c>
      <c r="C835" t="s">
        <v>496</v>
      </c>
      <c r="D835" t="s">
        <v>497</v>
      </c>
      <c r="E835" t="s">
        <v>498</v>
      </c>
      <c r="F835" t="s">
        <v>499</v>
      </c>
      <c r="G835" t="s">
        <v>16</v>
      </c>
      <c r="H835" t="s">
        <v>493</v>
      </c>
      <c r="I835" t="s">
        <v>151</v>
      </c>
      <c r="J835">
        <v>1</v>
      </c>
      <c r="K835">
        <v>2800</v>
      </c>
      <c r="L835">
        <v>4000</v>
      </c>
      <c r="M835">
        <v>4000</v>
      </c>
      <c r="N835" t="s">
        <v>39</v>
      </c>
    </row>
    <row r="836" spans="1:14" x14ac:dyDescent="0.25">
      <c r="A836" t="s">
        <v>1714</v>
      </c>
      <c r="B836" t="s">
        <v>1968</v>
      </c>
      <c r="C836" t="s">
        <v>496</v>
      </c>
      <c r="D836" t="s">
        <v>497</v>
      </c>
      <c r="E836" t="s">
        <v>498</v>
      </c>
      <c r="F836" t="s">
        <v>499</v>
      </c>
      <c r="G836" t="s">
        <v>16</v>
      </c>
      <c r="H836" t="s">
        <v>493</v>
      </c>
      <c r="I836" t="s">
        <v>210</v>
      </c>
      <c r="J836">
        <v>1</v>
      </c>
      <c r="K836">
        <v>500</v>
      </c>
      <c r="L836">
        <v>700</v>
      </c>
      <c r="M836">
        <v>700</v>
      </c>
      <c r="N836" t="s">
        <v>39</v>
      </c>
    </row>
    <row r="837" spans="1:14" x14ac:dyDescent="0.25">
      <c r="A837" t="s">
        <v>1714</v>
      </c>
      <c r="B837" t="s">
        <v>1968</v>
      </c>
      <c r="C837" t="s">
        <v>496</v>
      </c>
      <c r="D837" t="s">
        <v>497</v>
      </c>
      <c r="E837" t="s">
        <v>498</v>
      </c>
      <c r="F837" t="s">
        <v>499</v>
      </c>
      <c r="G837" t="s">
        <v>16</v>
      </c>
      <c r="H837" t="s">
        <v>493</v>
      </c>
      <c r="I837" t="s">
        <v>211</v>
      </c>
      <c r="J837">
        <v>1</v>
      </c>
      <c r="K837">
        <v>350</v>
      </c>
      <c r="L837">
        <v>500</v>
      </c>
      <c r="M837">
        <v>500</v>
      </c>
      <c r="N837" t="s">
        <v>39</v>
      </c>
    </row>
    <row r="838" spans="1:14" x14ac:dyDescent="0.25">
      <c r="A838" t="s">
        <v>1714</v>
      </c>
      <c r="B838" t="s">
        <v>1968</v>
      </c>
      <c r="C838" t="s">
        <v>496</v>
      </c>
      <c r="D838" t="s">
        <v>497</v>
      </c>
      <c r="E838" t="s">
        <v>498</v>
      </c>
      <c r="F838" t="s">
        <v>499</v>
      </c>
      <c r="G838" t="s">
        <v>16</v>
      </c>
      <c r="H838" t="s">
        <v>493</v>
      </c>
      <c r="I838" t="s">
        <v>26</v>
      </c>
      <c r="J838">
        <v>1</v>
      </c>
      <c r="K838">
        <v>500</v>
      </c>
      <c r="L838">
        <v>500</v>
      </c>
      <c r="M838">
        <v>500</v>
      </c>
      <c r="N838" t="s">
        <v>39</v>
      </c>
    </row>
    <row r="839" spans="1:14" x14ac:dyDescent="0.25">
      <c r="A839" t="s">
        <v>1714</v>
      </c>
      <c r="B839" t="s">
        <v>1968</v>
      </c>
      <c r="C839" t="s">
        <v>496</v>
      </c>
      <c r="D839" t="s">
        <v>497</v>
      </c>
      <c r="E839" t="s">
        <v>498</v>
      </c>
      <c r="F839" t="s">
        <v>499</v>
      </c>
      <c r="G839" t="s">
        <v>16</v>
      </c>
      <c r="H839" t="s">
        <v>493</v>
      </c>
      <c r="I839" t="s">
        <v>63</v>
      </c>
      <c r="J839">
        <v>1</v>
      </c>
      <c r="K839">
        <v>500</v>
      </c>
      <c r="L839">
        <v>500</v>
      </c>
      <c r="M839">
        <v>500</v>
      </c>
      <c r="N839" t="s">
        <v>39</v>
      </c>
    </row>
    <row r="840" spans="1:14" x14ac:dyDescent="0.25">
      <c r="A840" t="s">
        <v>1507</v>
      </c>
      <c r="B840" t="s">
        <v>1969</v>
      </c>
      <c r="C840" t="s">
        <v>601</v>
      </c>
      <c r="D840" t="s">
        <v>20</v>
      </c>
      <c r="E840" t="s">
        <v>119</v>
      </c>
      <c r="F840" t="s">
        <v>15</v>
      </c>
      <c r="G840" t="s">
        <v>22</v>
      </c>
      <c r="H840" t="s">
        <v>493</v>
      </c>
      <c r="I840" t="s">
        <v>121</v>
      </c>
      <c r="J840">
        <v>50</v>
      </c>
      <c r="K840">
        <v>32</v>
      </c>
      <c r="L840">
        <v>50</v>
      </c>
      <c r="M840">
        <v>2500</v>
      </c>
      <c r="N840" t="s">
        <v>19</v>
      </c>
    </row>
    <row r="841" spans="1:14" x14ac:dyDescent="0.25">
      <c r="A841" t="s">
        <v>1688</v>
      </c>
      <c r="B841" t="s">
        <v>1970</v>
      </c>
      <c r="C841" t="s">
        <v>276</v>
      </c>
      <c r="D841" t="s">
        <v>1094</v>
      </c>
      <c r="E841" t="s">
        <v>1094</v>
      </c>
      <c r="F841" t="s">
        <v>36</v>
      </c>
      <c r="G841" t="s">
        <v>37</v>
      </c>
      <c r="H841" t="s">
        <v>493</v>
      </c>
      <c r="I841" t="s">
        <v>383</v>
      </c>
      <c r="J841">
        <v>1</v>
      </c>
      <c r="K841">
        <v>4250</v>
      </c>
      <c r="L841">
        <v>6500</v>
      </c>
      <c r="M841">
        <v>6500</v>
      </c>
      <c r="N841" t="s">
        <v>1010</v>
      </c>
    </row>
    <row r="842" spans="1:14" x14ac:dyDescent="0.25">
      <c r="A842" t="s">
        <v>1436</v>
      </c>
      <c r="B842" t="s">
        <v>1971</v>
      </c>
      <c r="C842" t="s">
        <v>277</v>
      </c>
      <c r="D842" t="s">
        <v>1085</v>
      </c>
      <c r="E842" t="s">
        <v>1095</v>
      </c>
      <c r="F842" t="s">
        <v>15</v>
      </c>
      <c r="G842" t="s">
        <v>37</v>
      </c>
      <c r="H842" t="s">
        <v>1096</v>
      </c>
      <c r="I842" t="s">
        <v>1097</v>
      </c>
      <c r="J842">
        <v>1</v>
      </c>
      <c r="K842">
        <v>1150</v>
      </c>
      <c r="L842">
        <v>2600</v>
      </c>
      <c r="M842">
        <v>2600</v>
      </c>
      <c r="N842" t="s">
        <v>19</v>
      </c>
    </row>
    <row r="843" spans="1:14" x14ac:dyDescent="0.25">
      <c r="A843" t="s">
        <v>1702</v>
      </c>
      <c r="B843" t="s">
        <v>1972</v>
      </c>
      <c r="C843" t="s">
        <v>502</v>
      </c>
      <c r="D843" t="s">
        <v>503</v>
      </c>
      <c r="E843" t="s">
        <v>504</v>
      </c>
      <c r="F843" t="s">
        <v>505</v>
      </c>
      <c r="G843" t="s">
        <v>37</v>
      </c>
      <c r="H843" t="s">
        <v>506</v>
      </c>
      <c r="I843" t="s">
        <v>284</v>
      </c>
      <c r="J843">
        <v>1</v>
      </c>
      <c r="K843">
        <v>11000</v>
      </c>
      <c r="L843">
        <v>16500</v>
      </c>
      <c r="M843">
        <v>16500</v>
      </c>
      <c r="N843" t="s">
        <v>39</v>
      </c>
    </row>
    <row r="844" spans="1:14" x14ac:dyDescent="0.25">
      <c r="A844" t="s">
        <v>1567</v>
      </c>
      <c r="B844" t="s">
        <v>1973</v>
      </c>
      <c r="C844" t="s">
        <v>509</v>
      </c>
      <c r="D844" t="s">
        <v>510</v>
      </c>
      <c r="E844" t="s">
        <v>511</v>
      </c>
      <c r="F844" t="s">
        <v>15</v>
      </c>
      <c r="G844" t="s">
        <v>22</v>
      </c>
      <c r="H844" t="s">
        <v>506</v>
      </c>
      <c r="I844" t="s">
        <v>512</v>
      </c>
      <c r="J844">
        <v>1</v>
      </c>
      <c r="K844">
        <v>2975</v>
      </c>
      <c r="L844">
        <v>8500</v>
      </c>
      <c r="M844">
        <v>8500</v>
      </c>
      <c r="N844" t="s">
        <v>19</v>
      </c>
    </row>
    <row r="845" spans="1:14" x14ac:dyDescent="0.25">
      <c r="A845" t="s">
        <v>1567</v>
      </c>
      <c r="B845" t="s">
        <v>1973</v>
      </c>
      <c r="C845" t="s">
        <v>509</v>
      </c>
      <c r="D845" t="s">
        <v>510</v>
      </c>
      <c r="E845" t="s">
        <v>511</v>
      </c>
      <c r="F845" t="s">
        <v>15</v>
      </c>
      <c r="G845" t="s">
        <v>22</v>
      </c>
      <c r="H845" t="s">
        <v>506</v>
      </c>
      <c r="I845" t="s">
        <v>48</v>
      </c>
      <c r="J845">
        <v>1</v>
      </c>
      <c r="K845">
        <v>2800</v>
      </c>
      <c r="L845">
        <v>8000</v>
      </c>
      <c r="M845">
        <v>8000</v>
      </c>
      <c r="N845" t="s">
        <v>19</v>
      </c>
    </row>
    <row r="846" spans="1:14" x14ac:dyDescent="0.25">
      <c r="A846" t="s">
        <v>1567</v>
      </c>
      <c r="B846" t="s">
        <v>1973</v>
      </c>
      <c r="C846" t="s">
        <v>509</v>
      </c>
      <c r="D846" t="s">
        <v>510</v>
      </c>
      <c r="E846" t="s">
        <v>511</v>
      </c>
      <c r="F846" t="s">
        <v>15</v>
      </c>
      <c r="G846" t="s">
        <v>22</v>
      </c>
      <c r="H846" t="s">
        <v>506</v>
      </c>
      <c r="I846" t="s">
        <v>24</v>
      </c>
      <c r="J846">
        <v>1</v>
      </c>
      <c r="K846">
        <v>2800</v>
      </c>
      <c r="L846">
        <v>8000</v>
      </c>
      <c r="M846">
        <v>8000</v>
      </c>
      <c r="N846" t="s">
        <v>19</v>
      </c>
    </row>
    <row r="847" spans="1:14" x14ac:dyDescent="0.25">
      <c r="A847" t="s">
        <v>1567</v>
      </c>
      <c r="B847" t="s">
        <v>1973</v>
      </c>
      <c r="C847" t="s">
        <v>509</v>
      </c>
      <c r="D847" t="s">
        <v>510</v>
      </c>
      <c r="E847" t="s">
        <v>511</v>
      </c>
      <c r="F847" t="s">
        <v>15</v>
      </c>
      <c r="G847" t="s">
        <v>22</v>
      </c>
      <c r="H847" t="s">
        <v>506</v>
      </c>
      <c r="I847" t="s">
        <v>26</v>
      </c>
      <c r="J847">
        <v>1</v>
      </c>
      <c r="K847">
        <v>500</v>
      </c>
      <c r="L847">
        <v>500</v>
      </c>
      <c r="M847">
        <v>500</v>
      </c>
      <c r="N847" t="s">
        <v>19</v>
      </c>
    </row>
    <row r="848" spans="1:14" x14ac:dyDescent="0.25">
      <c r="A848" t="s">
        <v>1581</v>
      </c>
      <c r="B848" t="s">
        <v>1974</v>
      </c>
      <c r="C848" t="s">
        <v>515</v>
      </c>
      <c r="D848" t="s">
        <v>87</v>
      </c>
      <c r="E848" t="s">
        <v>87</v>
      </c>
      <c r="F848" t="s">
        <v>15</v>
      </c>
      <c r="G848" t="s">
        <v>37</v>
      </c>
      <c r="H848" t="s">
        <v>506</v>
      </c>
      <c r="I848" t="s">
        <v>89</v>
      </c>
      <c r="J848">
        <v>50</v>
      </c>
      <c r="K848">
        <v>32</v>
      </c>
      <c r="L848">
        <v>50</v>
      </c>
      <c r="M848">
        <v>2500</v>
      </c>
      <c r="N848" t="s">
        <v>39</v>
      </c>
    </row>
    <row r="849" spans="1:14" x14ac:dyDescent="0.25">
      <c r="A849" t="s">
        <v>1490</v>
      </c>
      <c r="B849" t="s">
        <v>1975</v>
      </c>
      <c r="C849" t="s">
        <v>606</v>
      </c>
      <c r="D849" t="s">
        <v>20</v>
      </c>
      <c r="E849" t="s">
        <v>608</v>
      </c>
      <c r="F849" t="s">
        <v>15</v>
      </c>
      <c r="G849" t="s">
        <v>22</v>
      </c>
      <c r="H849" t="s">
        <v>609</v>
      </c>
      <c r="I849" t="s">
        <v>610</v>
      </c>
      <c r="J849">
        <v>1</v>
      </c>
      <c r="K849">
        <v>11500</v>
      </c>
      <c r="L849">
        <v>16500</v>
      </c>
      <c r="M849">
        <v>16500</v>
      </c>
      <c r="N849" t="s">
        <v>19</v>
      </c>
    </row>
    <row r="850" spans="1:14" x14ac:dyDescent="0.25">
      <c r="A850" t="s">
        <v>1634</v>
      </c>
      <c r="B850" t="s">
        <v>1976</v>
      </c>
      <c r="C850" t="s">
        <v>517</v>
      </c>
      <c r="D850" t="s">
        <v>213</v>
      </c>
      <c r="E850" t="s">
        <v>46</v>
      </c>
      <c r="F850" t="s">
        <v>15</v>
      </c>
      <c r="G850" t="s">
        <v>22</v>
      </c>
      <c r="H850" t="s">
        <v>518</v>
      </c>
      <c r="I850" t="s">
        <v>47</v>
      </c>
      <c r="J850">
        <v>1</v>
      </c>
      <c r="K850">
        <v>2975</v>
      </c>
      <c r="L850">
        <v>8500</v>
      </c>
      <c r="M850">
        <v>8500</v>
      </c>
      <c r="N850" t="s">
        <v>19</v>
      </c>
    </row>
    <row r="851" spans="1:14" x14ac:dyDescent="0.25">
      <c r="A851" t="s">
        <v>1634</v>
      </c>
      <c r="B851" t="s">
        <v>1976</v>
      </c>
      <c r="C851" t="s">
        <v>517</v>
      </c>
      <c r="D851" t="s">
        <v>213</v>
      </c>
      <c r="E851" t="s">
        <v>46</v>
      </c>
      <c r="F851" t="s">
        <v>15</v>
      </c>
      <c r="G851" t="s">
        <v>22</v>
      </c>
      <c r="H851" t="s">
        <v>518</v>
      </c>
      <c r="I851" t="s">
        <v>48</v>
      </c>
      <c r="J851">
        <v>1</v>
      </c>
      <c r="K851">
        <v>1925</v>
      </c>
      <c r="L851">
        <v>5500</v>
      </c>
      <c r="M851">
        <v>5500</v>
      </c>
      <c r="N851" t="s">
        <v>19</v>
      </c>
    </row>
    <row r="852" spans="1:14" x14ac:dyDescent="0.25">
      <c r="A852" t="s">
        <v>1634</v>
      </c>
      <c r="B852" t="s">
        <v>1976</v>
      </c>
      <c r="C852" t="s">
        <v>517</v>
      </c>
      <c r="D852" t="s">
        <v>213</v>
      </c>
      <c r="E852" t="s">
        <v>46</v>
      </c>
      <c r="F852" t="s">
        <v>15</v>
      </c>
      <c r="G852" t="s">
        <v>22</v>
      </c>
      <c r="H852" t="s">
        <v>518</v>
      </c>
      <c r="I852" t="s">
        <v>49</v>
      </c>
      <c r="J852">
        <v>1</v>
      </c>
      <c r="K852">
        <v>1925</v>
      </c>
      <c r="L852">
        <v>5500</v>
      </c>
      <c r="M852">
        <v>5500</v>
      </c>
      <c r="N852" t="s">
        <v>19</v>
      </c>
    </row>
    <row r="853" spans="1:14" x14ac:dyDescent="0.25">
      <c r="A853" t="s">
        <v>1634</v>
      </c>
      <c r="B853" t="s">
        <v>1976</v>
      </c>
      <c r="C853" t="s">
        <v>517</v>
      </c>
      <c r="D853" t="s">
        <v>213</v>
      </c>
      <c r="E853" t="s">
        <v>46</v>
      </c>
      <c r="F853" t="s">
        <v>15</v>
      </c>
      <c r="G853" t="s">
        <v>22</v>
      </c>
      <c r="H853" t="s">
        <v>518</v>
      </c>
      <c r="I853" t="s">
        <v>50</v>
      </c>
      <c r="J853">
        <v>1</v>
      </c>
      <c r="K853">
        <v>500</v>
      </c>
      <c r="L853">
        <v>500</v>
      </c>
      <c r="M853">
        <v>500</v>
      </c>
      <c r="N853" t="s">
        <v>19</v>
      </c>
    </row>
    <row r="854" spans="1:14" x14ac:dyDescent="0.25">
      <c r="A854" t="s">
        <v>1635</v>
      </c>
      <c r="B854" t="s">
        <v>1977</v>
      </c>
      <c r="C854" t="s">
        <v>519</v>
      </c>
      <c r="D854" t="s">
        <v>213</v>
      </c>
      <c r="E854" t="s">
        <v>520</v>
      </c>
      <c r="F854" t="s">
        <v>15</v>
      </c>
      <c r="G854" t="s">
        <v>22</v>
      </c>
      <c r="H854" t="s">
        <v>518</v>
      </c>
      <c r="I854" t="s">
        <v>47</v>
      </c>
      <c r="J854">
        <v>1</v>
      </c>
      <c r="K854">
        <v>2975</v>
      </c>
      <c r="L854">
        <v>8500</v>
      </c>
      <c r="M854">
        <v>8500</v>
      </c>
      <c r="N854" t="s">
        <v>19</v>
      </c>
    </row>
    <row r="855" spans="1:14" x14ac:dyDescent="0.25">
      <c r="A855" t="s">
        <v>1635</v>
      </c>
      <c r="B855" t="s">
        <v>1977</v>
      </c>
      <c r="C855" t="s">
        <v>519</v>
      </c>
      <c r="D855" t="s">
        <v>213</v>
      </c>
      <c r="E855" t="s">
        <v>520</v>
      </c>
      <c r="F855" t="s">
        <v>15</v>
      </c>
      <c r="G855" t="s">
        <v>22</v>
      </c>
      <c r="H855" t="s">
        <v>518</v>
      </c>
      <c r="I855" t="s">
        <v>48</v>
      </c>
      <c r="J855">
        <v>1</v>
      </c>
      <c r="K855">
        <v>1925</v>
      </c>
      <c r="L855">
        <v>5500</v>
      </c>
      <c r="M855">
        <v>5500</v>
      </c>
      <c r="N855" t="s">
        <v>19</v>
      </c>
    </row>
    <row r="856" spans="1:14" x14ac:dyDescent="0.25">
      <c r="A856" t="s">
        <v>1635</v>
      </c>
      <c r="B856" t="s">
        <v>1977</v>
      </c>
      <c r="C856" t="s">
        <v>519</v>
      </c>
      <c r="D856" t="s">
        <v>213</v>
      </c>
      <c r="E856" t="s">
        <v>520</v>
      </c>
      <c r="F856" t="s">
        <v>15</v>
      </c>
      <c r="G856" t="s">
        <v>22</v>
      </c>
      <c r="H856" t="s">
        <v>518</v>
      </c>
      <c r="I856" t="s">
        <v>49</v>
      </c>
      <c r="J856">
        <v>1</v>
      </c>
      <c r="K856">
        <v>1925</v>
      </c>
      <c r="L856">
        <v>5500</v>
      </c>
      <c r="M856">
        <v>5500</v>
      </c>
      <c r="N856" t="s">
        <v>19</v>
      </c>
    </row>
    <row r="857" spans="1:14" x14ac:dyDescent="0.25">
      <c r="A857" t="s">
        <v>1635</v>
      </c>
      <c r="B857" t="s">
        <v>1977</v>
      </c>
      <c r="C857" t="s">
        <v>519</v>
      </c>
      <c r="D857" t="s">
        <v>213</v>
      </c>
      <c r="E857" t="s">
        <v>520</v>
      </c>
      <c r="F857" t="s">
        <v>15</v>
      </c>
      <c r="G857" t="s">
        <v>22</v>
      </c>
      <c r="H857" t="s">
        <v>518</v>
      </c>
      <c r="I857" t="s">
        <v>50</v>
      </c>
      <c r="J857">
        <v>1</v>
      </c>
      <c r="K857">
        <v>500</v>
      </c>
      <c r="L857">
        <v>500</v>
      </c>
      <c r="M857">
        <v>500</v>
      </c>
      <c r="N857" t="s">
        <v>19</v>
      </c>
    </row>
    <row r="858" spans="1:14" x14ac:dyDescent="0.25">
      <c r="A858" t="s">
        <v>1457</v>
      </c>
      <c r="B858" t="s">
        <v>1978</v>
      </c>
      <c r="C858" t="s">
        <v>522</v>
      </c>
      <c r="D858" t="s">
        <v>523</v>
      </c>
      <c r="E858" t="s">
        <v>311</v>
      </c>
      <c r="F858" t="s">
        <v>15</v>
      </c>
      <c r="G858" t="s">
        <v>22</v>
      </c>
      <c r="H858" t="s">
        <v>518</v>
      </c>
      <c r="I858" t="s">
        <v>284</v>
      </c>
      <c r="J858">
        <v>1</v>
      </c>
      <c r="K858">
        <v>11000</v>
      </c>
      <c r="L858">
        <v>16100</v>
      </c>
      <c r="M858">
        <v>16100</v>
      </c>
      <c r="N858" t="s">
        <v>19</v>
      </c>
    </row>
    <row r="859" spans="1:14" x14ac:dyDescent="0.25">
      <c r="A859" t="s">
        <v>1457</v>
      </c>
      <c r="B859" t="s">
        <v>1978</v>
      </c>
      <c r="C859" t="s">
        <v>522</v>
      </c>
      <c r="D859" t="s">
        <v>523</v>
      </c>
      <c r="E859" t="s">
        <v>311</v>
      </c>
      <c r="F859" t="s">
        <v>15</v>
      </c>
      <c r="G859" t="s">
        <v>22</v>
      </c>
      <c r="H859" t="s">
        <v>518</v>
      </c>
      <c r="I859" t="s">
        <v>63</v>
      </c>
      <c r="J859">
        <v>1</v>
      </c>
      <c r="K859">
        <v>0</v>
      </c>
      <c r="L859">
        <v>400</v>
      </c>
      <c r="M859">
        <v>400</v>
      </c>
      <c r="N859" t="s">
        <v>19</v>
      </c>
    </row>
    <row r="860" spans="1:14" x14ac:dyDescent="0.25">
      <c r="A860" t="s">
        <v>1517</v>
      </c>
      <c r="B860" t="s">
        <v>1979</v>
      </c>
      <c r="C860" t="s">
        <v>611</v>
      </c>
      <c r="D860" t="s">
        <v>20</v>
      </c>
      <c r="E860" t="s">
        <v>379</v>
      </c>
      <c r="F860" t="s">
        <v>15</v>
      </c>
      <c r="G860" t="s">
        <v>22</v>
      </c>
      <c r="H860" t="s">
        <v>617</v>
      </c>
      <c r="I860" t="s">
        <v>381</v>
      </c>
      <c r="J860">
        <v>1</v>
      </c>
      <c r="K860">
        <v>17</v>
      </c>
      <c r="L860">
        <v>1250</v>
      </c>
      <c r="M860">
        <v>1250</v>
      </c>
      <c r="N860" t="s">
        <v>19</v>
      </c>
    </row>
    <row r="861" spans="1:14" x14ac:dyDescent="0.25">
      <c r="A861" t="s">
        <v>1486</v>
      </c>
      <c r="B861" t="s">
        <v>1980</v>
      </c>
      <c r="C861" t="s">
        <v>618</v>
      </c>
      <c r="D861" t="s">
        <v>20</v>
      </c>
      <c r="E861" t="s">
        <v>31</v>
      </c>
      <c r="F861" t="s">
        <v>15</v>
      </c>
      <c r="G861" t="s">
        <v>22</v>
      </c>
      <c r="H861" t="s">
        <v>617</v>
      </c>
      <c r="I861" t="s">
        <v>93</v>
      </c>
      <c r="J861">
        <v>1</v>
      </c>
      <c r="K861">
        <v>11000</v>
      </c>
      <c r="L861">
        <v>16500</v>
      </c>
      <c r="M861">
        <v>16500</v>
      </c>
      <c r="N861" t="s">
        <v>19</v>
      </c>
    </row>
    <row r="862" spans="1:14" x14ac:dyDescent="0.25">
      <c r="A862" t="s">
        <v>1486</v>
      </c>
      <c r="B862" t="s">
        <v>1980</v>
      </c>
      <c r="C862" t="s">
        <v>618</v>
      </c>
      <c r="D862" t="s">
        <v>20</v>
      </c>
      <c r="E862" t="s">
        <v>31</v>
      </c>
      <c r="F862" t="s">
        <v>15</v>
      </c>
      <c r="G862" t="s">
        <v>22</v>
      </c>
      <c r="H862" t="s">
        <v>617</v>
      </c>
      <c r="I862" t="s">
        <v>76</v>
      </c>
      <c r="J862">
        <v>1</v>
      </c>
      <c r="K862">
        <v>500</v>
      </c>
      <c r="L862">
        <v>500</v>
      </c>
      <c r="M862">
        <v>500</v>
      </c>
      <c r="N862" t="s">
        <v>19</v>
      </c>
    </row>
    <row r="863" spans="1:14" x14ac:dyDescent="0.25">
      <c r="A863" t="s">
        <v>1680</v>
      </c>
      <c r="B863" t="s">
        <v>1981</v>
      </c>
      <c r="C863" t="s">
        <v>524</v>
      </c>
      <c r="D863" t="s">
        <v>531</v>
      </c>
      <c r="E863" t="s">
        <v>532</v>
      </c>
      <c r="F863" t="s">
        <v>15</v>
      </c>
      <c r="G863" t="s">
        <v>22</v>
      </c>
      <c r="H863" t="s">
        <v>533</v>
      </c>
      <c r="I863" t="s">
        <v>534</v>
      </c>
      <c r="J863">
        <v>1</v>
      </c>
      <c r="K863">
        <v>2975</v>
      </c>
      <c r="L863">
        <v>8500</v>
      </c>
      <c r="M863">
        <v>8500</v>
      </c>
      <c r="N863" t="s">
        <v>19</v>
      </c>
    </row>
    <row r="864" spans="1:14" x14ac:dyDescent="0.25">
      <c r="A864" t="s">
        <v>1680</v>
      </c>
      <c r="B864" t="s">
        <v>1981</v>
      </c>
      <c r="C864" t="s">
        <v>524</v>
      </c>
      <c r="D864" t="s">
        <v>531</v>
      </c>
      <c r="E864" t="s">
        <v>532</v>
      </c>
      <c r="F864" t="s">
        <v>15</v>
      </c>
      <c r="G864" t="s">
        <v>22</v>
      </c>
      <c r="H864" t="s">
        <v>533</v>
      </c>
      <c r="I864" t="s">
        <v>48</v>
      </c>
      <c r="J864">
        <v>1</v>
      </c>
      <c r="K864">
        <v>2800</v>
      </c>
      <c r="L864">
        <v>8000</v>
      </c>
      <c r="M864">
        <v>8000</v>
      </c>
      <c r="N864" t="s">
        <v>19</v>
      </c>
    </row>
    <row r="865" spans="1:14" x14ac:dyDescent="0.25">
      <c r="A865" t="s">
        <v>1680</v>
      </c>
      <c r="B865" t="s">
        <v>1981</v>
      </c>
      <c r="C865" t="s">
        <v>524</v>
      </c>
      <c r="D865" t="s">
        <v>531</v>
      </c>
      <c r="E865" t="s">
        <v>532</v>
      </c>
      <c r="F865" t="s">
        <v>15</v>
      </c>
      <c r="G865" t="s">
        <v>22</v>
      </c>
      <c r="H865" t="s">
        <v>533</v>
      </c>
      <c r="I865" t="s">
        <v>24</v>
      </c>
      <c r="J865">
        <v>1</v>
      </c>
      <c r="K865">
        <v>2800</v>
      </c>
      <c r="L865">
        <v>8000</v>
      </c>
      <c r="M865">
        <v>8000</v>
      </c>
      <c r="N865" t="s">
        <v>19</v>
      </c>
    </row>
    <row r="866" spans="1:14" x14ac:dyDescent="0.25">
      <c r="A866" t="s">
        <v>1680</v>
      </c>
      <c r="B866" t="s">
        <v>1981</v>
      </c>
      <c r="C866" t="s">
        <v>524</v>
      </c>
      <c r="D866" t="s">
        <v>531</v>
      </c>
      <c r="E866" t="s">
        <v>532</v>
      </c>
      <c r="F866" t="s">
        <v>15</v>
      </c>
      <c r="G866" t="s">
        <v>22</v>
      </c>
      <c r="H866" t="s">
        <v>533</v>
      </c>
      <c r="I866" t="s">
        <v>26</v>
      </c>
      <c r="J866">
        <v>1</v>
      </c>
      <c r="K866">
        <v>500</v>
      </c>
      <c r="L866">
        <v>500</v>
      </c>
      <c r="M866">
        <v>500</v>
      </c>
      <c r="N866" t="s">
        <v>19</v>
      </c>
    </row>
    <row r="867" spans="1:14" x14ac:dyDescent="0.25">
      <c r="A867" t="s">
        <v>1717</v>
      </c>
      <c r="B867" t="s">
        <v>1982</v>
      </c>
      <c r="C867" t="s">
        <v>535</v>
      </c>
      <c r="D867" t="s">
        <v>497</v>
      </c>
      <c r="E867" t="s">
        <v>498</v>
      </c>
      <c r="F867" t="s">
        <v>536</v>
      </c>
      <c r="G867" t="s">
        <v>16</v>
      </c>
      <c r="H867" t="s">
        <v>533</v>
      </c>
      <c r="I867" t="s">
        <v>114</v>
      </c>
      <c r="J867">
        <v>1</v>
      </c>
      <c r="K867">
        <v>3675</v>
      </c>
      <c r="L867">
        <v>10500</v>
      </c>
      <c r="M867">
        <v>10500</v>
      </c>
      <c r="N867" t="s">
        <v>39</v>
      </c>
    </row>
    <row r="868" spans="1:14" x14ac:dyDescent="0.25">
      <c r="A868" t="s">
        <v>1717</v>
      </c>
      <c r="B868" t="s">
        <v>1982</v>
      </c>
      <c r="C868" t="s">
        <v>535</v>
      </c>
      <c r="D868" t="s">
        <v>497</v>
      </c>
      <c r="E868" t="s">
        <v>498</v>
      </c>
      <c r="F868" t="s">
        <v>536</v>
      </c>
      <c r="G868" t="s">
        <v>16</v>
      </c>
      <c r="H868" t="s">
        <v>533</v>
      </c>
      <c r="I868" t="s">
        <v>48</v>
      </c>
      <c r="J868">
        <v>1</v>
      </c>
      <c r="K868">
        <v>3255</v>
      </c>
      <c r="L868">
        <v>9300</v>
      </c>
      <c r="M868">
        <v>9300</v>
      </c>
      <c r="N868" t="s">
        <v>39</v>
      </c>
    </row>
    <row r="869" spans="1:14" x14ac:dyDescent="0.25">
      <c r="A869" t="s">
        <v>1717</v>
      </c>
      <c r="B869" t="s">
        <v>1982</v>
      </c>
      <c r="C869" t="s">
        <v>535</v>
      </c>
      <c r="D869" t="s">
        <v>497</v>
      </c>
      <c r="E869" t="s">
        <v>498</v>
      </c>
      <c r="F869" t="s">
        <v>536</v>
      </c>
      <c r="G869" t="s">
        <v>16</v>
      </c>
      <c r="H869" t="s">
        <v>533</v>
      </c>
      <c r="I869" t="s">
        <v>126</v>
      </c>
      <c r="J869">
        <v>1</v>
      </c>
      <c r="K869">
        <v>3220</v>
      </c>
      <c r="L869">
        <v>9200</v>
      </c>
      <c r="M869">
        <v>9200</v>
      </c>
      <c r="N869" t="s">
        <v>39</v>
      </c>
    </row>
    <row r="870" spans="1:14" x14ac:dyDescent="0.25">
      <c r="A870" t="s">
        <v>1717</v>
      </c>
      <c r="B870" t="s">
        <v>1982</v>
      </c>
      <c r="C870" t="s">
        <v>535</v>
      </c>
      <c r="D870" t="s">
        <v>497</v>
      </c>
      <c r="E870" t="s">
        <v>498</v>
      </c>
      <c r="F870" t="s">
        <v>536</v>
      </c>
      <c r="G870" t="s">
        <v>16</v>
      </c>
      <c r="H870" t="s">
        <v>533</v>
      </c>
      <c r="I870" t="s">
        <v>38</v>
      </c>
      <c r="J870">
        <v>1</v>
      </c>
      <c r="K870">
        <v>8500</v>
      </c>
      <c r="L870">
        <v>12000</v>
      </c>
      <c r="M870">
        <v>12000</v>
      </c>
      <c r="N870" t="s">
        <v>39</v>
      </c>
    </row>
    <row r="871" spans="1:14" x14ac:dyDescent="0.25">
      <c r="A871" t="s">
        <v>1717</v>
      </c>
      <c r="B871" t="s">
        <v>1982</v>
      </c>
      <c r="C871" t="s">
        <v>535</v>
      </c>
      <c r="D871" t="s">
        <v>497</v>
      </c>
      <c r="E871" t="s">
        <v>498</v>
      </c>
      <c r="F871" t="s">
        <v>536</v>
      </c>
      <c r="G871" t="s">
        <v>16</v>
      </c>
      <c r="H871" t="s">
        <v>533</v>
      </c>
      <c r="I871" t="s">
        <v>97</v>
      </c>
      <c r="J871">
        <v>1</v>
      </c>
      <c r="K871">
        <v>2200</v>
      </c>
      <c r="L871">
        <v>3000</v>
      </c>
      <c r="M871">
        <v>3000</v>
      </c>
      <c r="N871" t="s">
        <v>39</v>
      </c>
    </row>
    <row r="872" spans="1:14" x14ac:dyDescent="0.25">
      <c r="A872" t="s">
        <v>1717</v>
      </c>
      <c r="B872" t="s">
        <v>1982</v>
      </c>
      <c r="C872" t="s">
        <v>535</v>
      </c>
      <c r="D872" t="s">
        <v>497</v>
      </c>
      <c r="E872" t="s">
        <v>498</v>
      </c>
      <c r="F872" t="s">
        <v>536</v>
      </c>
      <c r="G872" t="s">
        <v>16</v>
      </c>
      <c r="H872" t="s">
        <v>533</v>
      </c>
      <c r="I872" t="s">
        <v>115</v>
      </c>
      <c r="J872">
        <v>1</v>
      </c>
      <c r="K872">
        <v>10750</v>
      </c>
      <c r="L872">
        <v>15000</v>
      </c>
      <c r="M872">
        <v>15000</v>
      </c>
      <c r="N872" t="s">
        <v>39</v>
      </c>
    </row>
    <row r="873" spans="1:14" x14ac:dyDescent="0.25">
      <c r="A873" t="s">
        <v>1717</v>
      </c>
      <c r="B873" t="s">
        <v>1982</v>
      </c>
      <c r="C873" t="s">
        <v>535</v>
      </c>
      <c r="D873" t="s">
        <v>497</v>
      </c>
      <c r="E873" t="s">
        <v>498</v>
      </c>
      <c r="F873" t="s">
        <v>536</v>
      </c>
      <c r="G873" t="s">
        <v>16</v>
      </c>
      <c r="H873" t="s">
        <v>533</v>
      </c>
      <c r="I873" t="s">
        <v>85</v>
      </c>
      <c r="J873">
        <v>1</v>
      </c>
      <c r="K873">
        <v>1350</v>
      </c>
      <c r="L873">
        <v>2500</v>
      </c>
      <c r="M873">
        <v>2500</v>
      </c>
      <c r="N873" t="s">
        <v>39</v>
      </c>
    </row>
    <row r="874" spans="1:14" x14ac:dyDescent="0.25">
      <c r="A874" t="s">
        <v>1717</v>
      </c>
      <c r="B874" t="s">
        <v>1982</v>
      </c>
      <c r="C874" t="s">
        <v>535</v>
      </c>
      <c r="D874" t="s">
        <v>497</v>
      </c>
      <c r="E874" t="s">
        <v>498</v>
      </c>
      <c r="F874" t="s">
        <v>536</v>
      </c>
      <c r="G874" t="s">
        <v>16</v>
      </c>
      <c r="H874" t="s">
        <v>533</v>
      </c>
      <c r="I874" t="s">
        <v>209</v>
      </c>
      <c r="J874">
        <v>1</v>
      </c>
      <c r="K874">
        <v>23450</v>
      </c>
      <c r="L874">
        <v>32300</v>
      </c>
      <c r="M874">
        <v>32300</v>
      </c>
      <c r="N874" t="s">
        <v>39</v>
      </c>
    </row>
    <row r="875" spans="1:14" x14ac:dyDescent="0.25">
      <c r="A875" t="s">
        <v>1717</v>
      </c>
      <c r="B875" t="s">
        <v>1982</v>
      </c>
      <c r="C875" t="s">
        <v>535</v>
      </c>
      <c r="D875" t="s">
        <v>497</v>
      </c>
      <c r="E875" t="s">
        <v>498</v>
      </c>
      <c r="F875" t="s">
        <v>536</v>
      </c>
      <c r="G875" t="s">
        <v>16</v>
      </c>
      <c r="H875" t="s">
        <v>533</v>
      </c>
      <c r="I875" t="s">
        <v>151</v>
      </c>
      <c r="J875">
        <v>1</v>
      </c>
      <c r="K875">
        <v>2800</v>
      </c>
      <c r="L875">
        <v>4000</v>
      </c>
      <c r="M875">
        <v>4000</v>
      </c>
      <c r="N875" t="s">
        <v>39</v>
      </c>
    </row>
    <row r="876" spans="1:14" x14ac:dyDescent="0.25">
      <c r="A876" t="s">
        <v>1717</v>
      </c>
      <c r="B876" t="s">
        <v>1982</v>
      </c>
      <c r="C876" t="s">
        <v>535</v>
      </c>
      <c r="D876" t="s">
        <v>497</v>
      </c>
      <c r="E876" t="s">
        <v>498</v>
      </c>
      <c r="F876" t="s">
        <v>536</v>
      </c>
      <c r="G876" t="s">
        <v>16</v>
      </c>
      <c r="H876" t="s">
        <v>533</v>
      </c>
      <c r="I876" t="s">
        <v>210</v>
      </c>
      <c r="J876">
        <v>1</v>
      </c>
      <c r="K876">
        <v>500</v>
      </c>
      <c r="L876">
        <v>700</v>
      </c>
      <c r="M876">
        <v>700</v>
      </c>
      <c r="N876" t="s">
        <v>39</v>
      </c>
    </row>
    <row r="877" spans="1:14" x14ac:dyDescent="0.25">
      <c r="A877" t="s">
        <v>1717</v>
      </c>
      <c r="B877" t="s">
        <v>1982</v>
      </c>
      <c r="C877" t="s">
        <v>535</v>
      </c>
      <c r="D877" t="s">
        <v>497</v>
      </c>
      <c r="E877" t="s">
        <v>498</v>
      </c>
      <c r="F877" t="s">
        <v>536</v>
      </c>
      <c r="G877" t="s">
        <v>16</v>
      </c>
      <c r="H877" t="s">
        <v>533</v>
      </c>
      <c r="I877" t="s">
        <v>211</v>
      </c>
      <c r="J877">
        <v>1</v>
      </c>
      <c r="K877">
        <v>350</v>
      </c>
      <c r="L877">
        <v>500</v>
      </c>
      <c r="M877">
        <v>500</v>
      </c>
      <c r="N877" t="s">
        <v>39</v>
      </c>
    </row>
    <row r="878" spans="1:14" x14ac:dyDescent="0.25">
      <c r="A878" t="s">
        <v>1717</v>
      </c>
      <c r="B878" t="s">
        <v>1982</v>
      </c>
      <c r="C878" t="s">
        <v>535</v>
      </c>
      <c r="D878" t="s">
        <v>497</v>
      </c>
      <c r="E878" t="s">
        <v>498</v>
      </c>
      <c r="F878" t="s">
        <v>536</v>
      </c>
      <c r="G878" t="s">
        <v>16</v>
      </c>
      <c r="H878" t="s">
        <v>533</v>
      </c>
      <c r="I878" t="s">
        <v>26</v>
      </c>
      <c r="J878">
        <v>1</v>
      </c>
      <c r="K878">
        <v>500</v>
      </c>
      <c r="L878">
        <v>500</v>
      </c>
      <c r="M878">
        <v>500</v>
      </c>
      <c r="N878" t="s">
        <v>39</v>
      </c>
    </row>
    <row r="879" spans="1:14" x14ac:dyDescent="0.25">
      <c r="A879" t="s">
        <v>1717</v>
      </c>
      <c r="B879" t="s">
        <v>1982</v>
      </c>
      <c r="C879" t="s">
        <v>535</v>
      </c>
      <c r="D879" t="s">
        <v>497</v>
      </c>
      <c r="E879" t="s">
        <v>498</v>
      </c>
      <c r="F879" t="s">
        <v>536</v>
      </c>
      <c r="G879" t="s">
        <v>16</v>
      </c>
      <c r="H879" t="s">
        <v>533</v>
      </c>
      <c r="I879" t="s">
        <v>63</v>
      </c>
      <c r="J879">
        <v>1</v>
      </c>
      <c r="K879">
        <v>500</v>
      </c>
      <c r="L879">
        <v>500</v>
      </c>
      <c r="M879">
        <v>500</v>
      </c>
      <c r="N879" t="s">
        <v>39</v>
      </c>
    </row>
    <row r="880" spans="1:14" x14ac:dyDescent="0.25">
      <c r="A880" t="s">
        <v>1511</v>
      </c>
      <c r="B880" t="s">
        <v>1983</v>
      </c>
      <c r="C880" t="s">
        <v>621</v>
      </c>
      <c r="D880" t="s">
        <v>20</v>
      </c>
      <c r="E880" t="s">
        <v>623</v>
      </c>
      <c r="F880" t="s">
        <v>15</v>
      </c>
      <c r="G880" t="s">
        <v>22</v>
      </c>
      <c r="H880" t="s">
        <v>533</v>
      </c>
      <c r="I880" t="s">
        <v>137</v>
      </c>
      <c r="J880">
        <v>1</v>
      </c>
      <c r="K880">
        <v>2200</v>
      </c>
      <c r="L880">
        <v>4200</v>
      </c>
      <c r="M880">
        <v>4200</v>
      </c>
      <c r="N880" t="s">
        <v>19</v>
      </c>
    </row>
    <row r="881" spans="1:14" x14ac:dyDescent="0.25">
      <c r="A881" t="s">
        <v>1511</v>
      </c>
      <c r="B881" t="s">
        <v>1983</v>
      </c>
      <c r="C881" t="s">
        <v>621</v>
      </c>
      <c r="D881" t="s">
        <v>20</v>
      </c>
      <c r="E881" t="s">
        <v>623</v>
      </c>
      <c r="F881" t="s">
        <v>15</v>
      </c>
      <c r="G881" t="s">
        <v>22</v>
      </c>
      <c r="H881" t="s">
        <v>533</v>
      </c>
      <c r="I881" t="s">
        <v>624</v>
      </c>
      <c r="J881">
        <v>1</v>
      </c>
      <c r="K881">
        <v>350</v>
      </c>
      <c r="L881">
        <v>500</v>
      </c>
      <c r="M881">
        <v>500</v>
      </c>
      <c r="N881" t="s">
        <v>19</v>
      </c>
    </row>
    <row r="882" spans="1:14" x14ac:dyDescent="0.25">
      <c r="A882" t="s">
        <v>1511</v>
      </c>
      <c r="B882" t="s">
        <v>1983</v>
      </c>
      <c r="C882" t="s">
        <v>621</v>
      </c>
      <c r="D882" t="s">
        <v>20</v>
      </c>
      <c r="E882" t="s">
        <v>623</v>
      </c>
      <c r="F882" t="s">
        <v>15</v>
      </c>
      <c r="G882" t="s">
        <v>22</v>
      </c>
      <c r="H882" t="s">
        <v>533</v>
      </c>
      <c r="I882" t="s">
        <v>76</v>
      </c>
      <c r="J882">
        <v>1</v>
      </c>
      <c r="K882">
        <v>500</v>
      </c>
      <c r="L882">
        <v>500</v>
      </c>
      <c r="M882">
        <v>500</v>
      </c>
      <c r="N882" t="s">
        <v>19</v>
      </c>
    </row>
    <row r="883" spans="1:14" x14ac:dyDescent="0.25">
      <c r="A883" t="s">
        <v>1727</v>
      </c>
      <c r="B883" t="s">
        <v>1984</v>
      </c>
      <c r="C883" t="s">
        <v>282</v>
      </c>
      <c r="D883" t="s">
        <v>1055</v>
      </c>
      <c r="E883" t="s">
        <v>1056</v>
      </c>
      <c r="F883" t="s">
        <v>1098</v>
      </c>
      <c r="G883" t="s">
        <v>37</v>
      </c>
      <c r="H883" t="s">
        <v>533</v>
      </c>
      <c r="I883" t="s">
        <v>38</v>
      </c>
      <c r="J883">
        <v>1</v>
      </c>
      <c r="K883">
        <v>8500</v>
      </c>
      <c r="L883">
        <v>12500</v>
      </c>
      <c r="M883">
        <v>12500</v>
      </c>
      <c r="N883" t="s">
        <v>1010</v>
      </c>
    </row>
    <row r="884" spans="1:14" x14ac:dyDescent="0.25">
      <c r="A884" t="s">
        <v>1727</v>
      </c>
      <c r="B884" t="s">
        <v>1984</v>
      </c>
      <c r="C884" t="s">
        <v>282</v>
      </c>
      <c r="D884" t="s">
        <v>1055</v>
      </c>
      <c r="E884" t="s">
        <v>1056</v>
      </c>
      <c r="F884" t="s">
        <v>1098</v>
      </c>
      <c r="G884" t="s">
        <v>37</v>
      </c>
      <c r="H884" t="s">
        <v>533</v>
      </c>
      <c r="I884" t="s">
        <v>137</v>
      </c>
      <c r="J884">
        <v>1</v>
      </c>
      <c r="K884">
        <v>2200</v>
      </c>
      <c r="L884">
        <v>3250</v>
      </c>
      <c r="M884">
        <v>3250</v>
      </c>
      <c r="N884" t="s">
        <v>1010</v>
      </c>
    </row>
    <row r="885" spans="1:14" x14ac:dyDescent="0.25">
      <c r="A885" t="s">
        <v>1727</v>
      </c>
      <c r="B885" t="s">
        <v>1984</v>
      </c>
      <c r="C885" t="s">
        <v>282</v>
      </c>
      <c r="D885" t="s">
        <v>1055</v>
      </c>
      <c r="E885" t="s">
        <v>1056</v>
      </c>
      <c r="F885" t="s">
        <v>1098</v>
      </c>
      <c r="G885" t="s">
        <v>37</v>
      </c>
      <c r="H885" t="s">
        <v>533</v>
      </c>
      <c r="I885" t="s">
        <v>1057</v>
      </c>
      <c r="J885">
        <v>1</v>
      </c>
      <c r="K885">
        <v>5400</v>
      </c>
      <c r="L885">
        <v>7000</v>
      </c>
      <c r="M885">
        <v>7000</v>
      </c>
      <c r="N885" t="s">
        <v>1010</v>
      </c>
    </row>
    <row r="886" spans="1:14" x14ac:dyDescent="0.25">
      <c r="A886" t="s">
        <v>1727</v>
      </c>
      <c r="B886" t="s">
        <v>1984</v>
      </c>
      <c r="C886" t="s">
        <v>282</v>
      </c>
      <c r="D886" t="s">
        <v>1055</v>
      </c>
      <c r="E886" t="s">
        <v>1056</v>
      </c>
      <c r="F886" t="s">
        <v>1098</v>
      </c>
      <c r="G886" t="s">
        <v>37</v>
      </c>
      <c r="H886" t="s">
        <v>533</v>
      </c>
      <c r="I886" t="s">
        <v>1021</v>
      </c>
      <c r="J886">
        <v>1</v>
      </c>
      <c r="K886">
        <v>2185</v>
      </c>
      <c r="L886">
        <v>3250</v>
      </c>
      <c r="M886">
        <v>3250</v>
      </c>
      <c r="N886" t="s">
        <v>1010</v>
      </c>
    </row>
    <row r="887" spans="1:14" x14ac:dyDescent="0.25">
      <c r="A887" t="s">
        <v>1727</v>
      </c>
      <c r="B887" t="s">
        <v>1984</v>
      </c>
      <c r="C887" t="s">
        <v>282</v>
      </c>
      <c r="D887" t="s">
        <v>1055</v>
      </c>
      <c r="E887" t="s">
        <v>1056</v>
      </c>
      <c r="F887" t="s">
        <v>1098</v>
      </c>
      <c r="G887" t="s">
        <v>37</v>
      </c>
      <c r="H887" t="s">
        <v>533</v>
      </c>
      <c r="I887" t="s">
        <v>63</v>
      </c>
      <c r="J887">
        <v>1</v>
      </c>
      <c r="K887">
        <v>500</v>
      </c>
      <c r="L887">
        <v>500</v>
      </c>
      <c r="M887">
        <v>500</v>
      </c>
      <c r="N887" t="s">
        <v>1010</v>
      </c>
    </row>
    <row r="888" spans="1:14" x14ac:dyDescent="0.25">
      <c r="A888" t="s">
        <v>1683</v>
      </c>
      <c r="B888" t="s">
        <v>1985</v>
      </c>
      <c r="C888" t="s">
        <v>540</v>
      </c>
      <c r="D888" t="s">
        <v>220</v>
      </c>
      <c r="E888" t="s">
        <v>221</v>
      </c>
      <c r="F888" t="s">
        <v>201</v>
      </c>
      <c r="G888" t="s">
        <v>37</v>
      </c>
      <c r="H888" t="s">
        <v>541</v>
      </c>
      <c r="I888" t="s">
        <v>241</v>
      </c>
      <c r="J888">
        <v>1</v>
      </c>
      <c r="K888">
        <v>8000</v>
      </c>
      <c r="L888">
        <v>11965</v>
      </c>
      <c r="M888">
        <v>11965</v>
      </c>
      <c r="N888" t="s">
        <v>39</v>
      </c>
    </row>
    <row r="889" spans="1:14" x14ac:dyDescent="0.25">
      <c r="A889" t="s">
        <v>1683</v>
      </c>
      <c r="B889" t="s">
        <v>1985</v>
      </c>
      <c r="C889" t="s">
        <v>540</v>
      </c>
      <c r="D889" t="s">
        <v>220</v>
      </c>
      <c r="E889" t="s">
        <v>221</v>
      </c>
      <c r="F889" t="s">
        <v>201</v>
      </c>
      <c r="G889" t="s">
        <v>37</v>
      </c>
      <c r="H889" t="s">
        <v>541</v>
      </c>
      <c r="I889" t="s">
        <v>242</v>
      </c>
      <c r="J889">
        <v>3</v>
      </c>
      <c r="K889">
        <v>30</v>
      </c>
      <c r="L889">
        <v>45</v>
      </c>
      <c r="M889">
        <v>135</v>
      </c>
      <c r="N889" t="s">
        <v>39</v>
      </c>
    </row>
    <row r="890" spans="1:14" x14ac:dyDescent="0.25">
      <c r="A890" t="s">
        <v>1683</v>
      </c>
      <c r="B890" t="s">
        <v>1985</v>
      </c>
      <c r="C890" t="s">
        <v>540</v>
      </c>
      <c r="D890" t="s">
        <v>220</v>
      </c>
      <c r="E890" t="s">
        <v>221</v>
      </c>
      <c r="F890" t="s">
        <v>201</v>
      </c>
      <c r="G890" t="s">
        <v>37</v>
      </c>
      <c r="H890" t="s">
        <v>541</v>
      </c>
      <c r="I890" t="s">
        <v>63</v>
      </c>
      <c r="J890">
        <v>1</v>
      </c>
      <c r="K890">
        <v>400</v>
      </c>
      <c r="L890">
        <v>400</v>
      </c>
      <c r="M890">
        <v>400</v>
      </c>
      <c r="N890" t="s">
        <v>39</v>
      </c>
    </row>
    <row r="891" spans="1:14" x14ac:dyDescent="0.25">
      <c r="A891" t="s">
        <v>1666</v>
      </c>
      <c r="B891" t="s">
        <v>1986</v>
      </c>
      <c r="C891" t="s">
        <v>549</v>
      </c>
      <c r="D891" t="s">
        <v>544</v>
      </c>
      <c r="E891" t="s">
        <v>547</v>
      </c>
      <c r="F891" t="s">
        <v>15</v>
      </c>
      <c r="G891" t="s">
        <v>113</v>
      </c>
      <c r="H891" t="s">
        <v>541</v>
      </c>
      <c r="I891" t="s">
        <v>548</v>
      </c>
      <c r="J891">
        <v>1</v>
      </c>
      <c r="K891">
        <v>3675</v>
      </c>
      <c r="L891">
        <v>10500</v>
      </c>
      <c r="M891">
        <v>10500</v>
      </c>
      <c r="N891" t="s">
        <v>19</v>
      </c>
    </row>
    <row r="892" spans="1:14" x14ac:dyDescent="0.25">
      <c r="A892" t="s">
        <v>1666</v>
      </c>
      <c r="B892" t="s">
        <v>1986</v>
      </c>
      <c r="C892" t="s">
        <v>549</v>
      </c>
      <c r="D892" t="s">
        <v>544</v>
      </c>
      <c r="E892" t="s">
        <v>547</v>
      </c>
      <c r="F892" t="s">
        <v>15</v>
      </c>
      <c r="G892" t="s">
        <v>113</v>
      </c>
      <c r="H892" t="s">
        <v>541</v>
      </c>
      <c r="I892" t="s">
        <v>48</v>
      </c>
      <c r="J892">
        <v>1</v>
      </c>
      <c r="K892">
        <v>2975</v>
      </c>
      <c r="L892">
        <v>8500</v>
      </c>
      <c r="M892">
        <v>8500</v>
      </c>
      <c r="N892" t="s">
        <v>19</v>
      </c>
    </row>
    <row r="893" spans="1:14" x14ac:dyDescent="0.25">
      <c r="A893" t="s">
        <v>1666</v>
      </c>
      <c r="B893" t="s">
        <v>1986</v>
      </c>
      <c r="C893" t="s">
        <v>549</v>
      </c>
      <c r="D893" t="s">
        <v>544</v>
      </c>
      <c r="E893" t="s">
        <v>547</v>
      </c>
      <c r="F893" t="s">
        <v>15</v>
      </c>
      <c r="G893" t="s">
        <v>113</v>
      </c>
      <c r="H893" t="s">
        <v>541</v>
      </c>
      <c r="I893" t="s">
        <v>24</v>
      </c>
      <c r="J893">
        <v>1</v>
      </c>
      <c r="K893">
        <v>2975</v>
      </c>
      <c r="L893">
        <v>8500</v>
      </c>
      <c r="M893">
        <v>8500</v>
      </c>
      <c r="N893" t="s">
        <v>19</v>
      </c>
    </row>
    <row r="894" spans="1:14" x14ac:dyDescent="0.25">
      <c r="A894" t="s">
        <v>1666</v>
      </c>
      <c r="B894" t="s">
        <v>1986</v>
      </c>
      <c r="C894" t="s">
        <v>549</v>
      </c>
      <c r="D894" t="s">
        <v>544</v>
      </c>
      <c r="E894" t="s">
        <v>547</v>
      </c>
      <c r="F894" t="s">
        <v>15</v>
      </c>
      <c r="G894" t="s">
        <v>113</v>
      </c>
      <c r="H894" t="s">
        <v>541</v>
      </c>
      <c r="I894" t="s">
        <v>26</v>
      </c>
      <c r="J894">
        <v>1</v>
      </c>
      <c r="K894">
        <v>500</v>
      </c>
      <c r="L894">
        <v>500</v>
      </c>
      <c r="M894">
        <v>500</v>
      </c>
      <c r="N894" t="s">
        <v>19</v>
      </c>
    </row>
    <row r="895" spans="1:14" x14ac:dyDescent="0.25">
      <c r="A895" t="s">
        <v>1666</v>
      </c>
      <c r="B895" t="s">
        <v>1986</v>
      </c>
      <c r="C895" t="s">
        <v>549</v>
      </c>
      <c r="D895" t="s">
        <v>544</v>
      </c>
      <c r="E895" t="s">
        <v>547</v>
      </c>
      <c r="F895" t="s">
        <v>15</v>
      </c>
      <c r="G895" t="s">
        <v>113</v>
      </c>
      <c r="H895" t="s">
        <v>541</v>
      </c>
      <c r="I895" t="s">
        <v>166</v>
      </c>
      <c r="J895">
        <v>1</v>
      </c>
      <c r="K895">
        <v>3500</v>
      </c>
      <c r="L895">
        <v>10000</v>
      </c>
      <c r="M895">
        <v>10000</v>
      </c>
      <c r="N895" t="s">
        <v>19</v>
      </c>
    </row>
    <row r="896" spans="1:14" x14ac:dyDescent="0.25">
      <c r="A896" t="s">
        <v>1666</v>
      </c>
      <c r="B896" t="s">
        <v>1986</v>
      </c>
      <c r="C896" t="s">
        <v>549</v>
      </c>
      <c r="D896" t="s">
        <v>544</v>
      </c>
      <c r="E896" t="s">
        <v>547</v>
      </c>
      <c r="F896" t="s">
        <v>15</v>
      </c>
      <c r="G896" t="s">
        <v>113</v>
      </c>
      <c r="H896" t="s">
        <v>541</v>
      </c>
      <c r="I896" t="s">
        <v>48</v>
      </c>
      <c r="J896">
        <v>1</v>
      </c>
      <c r="K896">
        <v>1750</v>
      </c>
      <c r="L896">
        <v>5000</v>
      </c>
      <c r="M896">
        <v>5000</v>
      </c>
      <c r="N896" t="s">
        <v>19</v>
      </c>
    </row>
    <row r="897" spans="1:14" x14ac:dyDescent="0.25">
      <c r="A897" t="s">
        <v>1666</v>
      </c>
      <c r="B897" t="s">
        <v>1986</v>
      </c>
      <c r="C897" t="s">
        <v>549</v>
      </c>
      <c r="D897" t="s">
        <v>544</v>
      </c>
      <c r="E897" t="s">
        <v>547</v>
      </c>
      <c r="F897" t="s">
        <v>15</v>
      </c>
      <c r="G897" t="s">
        <v>113</v>
      </c>
      <c r="H897" t="s">
        <v>541</v>
      </c>
      <c r="I897" t="s">
        <v>24</v>
      </c>
      <c r="J897">
        <v>1</v>
      </c>
      <c r="K897">
        <v>1750</v>
      </c>
      <c r="L897">
        <v>5000</v>
      </c>
      <c r="M897">
        <v>5000</v>
      </c>
      <c r="N897" t="s">
        <v>19</v>
      </c>
    </row>
    <row r="898" spans="1:14" x14ac:dyDescent="0.25">
      <c r="A898" t="s">
        <v>1666</v>
      </c>
      <c r="B898" t="s">
        <v>1986</v>
      </c>
      <c r="C898" t="s">
        <v>549</v>
      </c>
      <c r="D898" t="s">
        <v>544</v>
      </c>
      <c r="E898" t="s">
        <v>547</v>
      </c>
      <c r="F898" t="s">
        <v>15</v>
      </c>
      <c r="G898" t="s">
        <v>113</v>
      </c>
      <c r="H898" t="s">
        <v>541</v>
      </c>
      <c r="I898" t="s">
        <v>93</v>
      </c>
      <c r="J898">
        <v>1</v>
      </c>
      <c r="K898">
        <v>11000</v>
      </c>
      <c r="L898">
        <v>16000</v>
      </c>
      <c r="M898">
        <v>16000</v>
      </c>
      <c r="N898" t="s">
        <v>19</v>
      </c>
    </row>
    <row r="899" spans="1:14" x14ac:dyDescent="0.25">
      <c r="A899" t="s">
        <v>1666</v>
      </c>
      <c r="B899" t="s">
        <v>1986</v>
      </c>
      <c r="C899" t="s">
        <v>549</v>
      </c>
      <c r="D899" t="s">
        <v>544</v>
      </c>
      <c r="E899" t="s">
        <v>547</v>
      </c>
      <c r="F899" t="s">
        <v>15</v>
      </c>
      <c r="G899" t="s">
        <v>113</v>
      </c>
      <c r="H899" t="s">
        <v>541</v>
      </c>
      <c r="I899" t="s">
        <v>176</v>
      </c>
      <c r="J899">
        <v>1</v>
      </c>
      <c r="K899">
        <v>9500</v>
      </c>
      <c r="L899">
        <v>13500</v>
      </c>
      <c r="M899">
        <v>13500</v>
      </c>
      <c r="N899" t="s">
        <v>19</v>
      </c>
    </row>
    <row r="900" spans="1:14" x14ac:dyDescent="0.25">
      <c r="A900" t="s">
        <v>1666</v>
      </c>
      <c r="B900" t="s">
        <v>1986</v>
      </c>
      <c r="C900" t="s">
        <v>549</v>
      </c>
      <c r="D900" t="s">
        <v>544</v>
      </c>
      <c r="E900" t="s">
        <v>547</v>
      </c>
      <c r="F900" t="s">
        <v>15</v>
      </c>
      <c r="G900" t="s">
        <v>113</v>
      </c>
      <c r="H900" t="s">
        <v>541</v>
      </c>
      <c r="I900" t="s">
        <v>249</v>
      </c>
      <c r="J900">
        <v>1</v>
      </c>
      <c r="K900">
        <v>21500</v>
      </c>
      <c r="L900">
        <v>31500</v>
      </c>
      <c r="M900">
        <v>31500</v>
      </c>
      <c r="N900" t="s">
        <v>19</v>
      </c>
    </row>
    <row r="901" spans="1:14" x14ac:dyDescent="0.25">
      <c r="A901" t="s">
        <v>1666</v>
      </c>
      <c r="B901" t="s">
        <v>1986</v>
      </c>
      <c r="C901" t="s">
        <v>549</v>
      </c>
      <c r="D901" t="s">
        <v>544</v>
      </c>
      <c r="E901" t="s">
        <v>547</v>
      </c>
      <c r="F901" t="s">
        <v>15</v>
      </c>
      <c r="G901" t="s">
        <v>113</v>
      </c>
      <c r="H901" t="s">
        <v>541</v>
      </c>
      <c r="I901" t="s">
        <v>151</v>
      </c>
      <c r="J901">
        <v>1</v>
      </c>
      <c r="K901">
        <v>2800</v>
      </c>
      <c r="L901">
        <v>4000</v>
      </c>
      <c r="M901">
        <v>4000</v>
      </c>
      <c r="N901" t="s">
        <v>19</v>
      </c>
    </row>
    <row r="902" spans="1:14" x14ac:dyDescent="0.25">
      <c r="A902" t="s">
        <v>1667</v>
      </c>
      <c r="B902" t="s">
        <v>1987</v>
      </c>
      <c r="C902" t="s">
        <v>542</v>
      </c>
      <c r="D902" t="s">
        <v>544</v>
      </c>
      <c r="E902" t="s">
        <v>42</v>
      </c>
      <c r="F902" t="s">
        <v>15</v>
      </c>
      <c r="G902" t="s">
        <v>113</v>
      </c>
      <c r="H902" t="s">
        <v>545</v>
      </c>
      <c r="I902" t="s">
        <v>114</v>
      </c>
      <c r="J902">
        <v>1</v>
      </c>
      <c r="K902">
        <v>3675</v>
      </c>
      <c r="L902">
        <v>10500</v>
      </c>
      <c r="M902">
        <v>10500</v>
      </c>
      <c r="N902" t="s">
        <v>19</v>
      </c>
    </row>
    <row r="903" spans="1:14" x14ac:dyDescent="0.25">
      <c r="A903" t="s">
        <v>1667</v>
      </c>
      <c r="B903" t="s">
        <v>1987</v>
      </c>
      <c r="C903" t="s">
        <v>542</v>
      </c>
      <c r="D903" t="s">
        <v>544</v>
      </c>
      <c r="E903" t="s">
        <v>42</v>
      </c>
      <c r="F903" t="s">
        <v>15</v>
      </c>
      <c r="G903" t="s">
        <v>113</v>
      </c>
      <c r="H903" t="s">
        <v>545</v>
      </c>
      <c r="I903" t="s">
        <v>48</v>
      </c>
      <c r="J903">
        <v>1</v>
      </c>
      <c r="K903">
        <v>2975</v>
      </c>
      <c r="L903">
        <v>8500</v>
      </c>
      <c r="M903">
        <v>8500</v>
      </c>
      <c r="N903" t="s">
        <v>19</v>
      </c>
    </row>
    <row r="904" spans="1:14" x14ac:dyDescent="0.25">
      <c r="A904" t="s">
        <v>1667</v>
      </c>
      <c r="B904" t="s">
        <v>1987</v>
      </c>
      <c r="C904" t="s">
        <v>542</v>
      </c>
      <c r="D904" t="s">
        <v>544</v>
      </c>
      <c r="E904" t="s">
        <v>42</v>
      </c>
      <c r="F904" t="s">
        <v>15</v>
      </c>
      <c r="G904" t="s">
        <v>113</v>
      </c>
      <c r="H904" t="s">
        <v>545</v>
      </c>
      <c r="I904" t="s">
        <v>24</v>
      </c>
      <c r="J904">
        <v>1</v>
      </c>
      <c r="K904">
        <v>2975</v>
      </c>
      <c r="L904">
        <v>8500</v>
      </c>
      <c r="M904">
        <v>8500</v>
      </c>
      <c r="N904" t="s">
        <v>19</v>
      </c>
    </row>
    <row r="905" spans="1:14" x14ac:dyDescent="0.25">
      <c r="A905" t="s">
        <v>1667</v>
      </c>
      <c r="B905" t="s">
        <v>1987</v>
      </c>
      <c r="C905" t="s">
        <v>542</v>
      </c>
      <c r="D905" t="s">
        <v>544</v>
      </c>
      <c r="E905" t="s">
        <v>42</v>
      </c>
      <c r="F905" t="s">
        <v>15</v>
      </c>
      <c r="G905" t="s">
        <v>113</v>
      </c>
      <c r="H905" t="s">
        <v>545</v>
      </c>
      <c r="I905" t="s">
        <v>26</v>
      </c>
      <c r="J905">
        <v>1</v>
      </c>
      <c r="K905">
        <v>500</v>
      </c>
      <c r="L905">
        <v>500</v>
      </c>
      <c r="M905">
        <v>500</v>
      </c>
      <c r="N905" t="s">
        <v>19</v>
      </c>
    </row>
    <row r="906" spans="1:14" x14ac:dyDescent="0.25">
      <c r="A906" t="s">
        <v>1667</v>
      </c>
      <c r="B906" t="s">
        <v>1987</v>
      </c>
      <c r="C906" t="s">
        <v>542</v>
      </c>
      <c r="D906" t="s">
        <v>544</v>
      </c>
      <c r="E906" t="s">
        <v>42</v>
      </c>
      <c r="F906" t="s">
        <v>15</v>
      </c>
      <c r="G906" t="s">
        <v>113</v>
      </c>
      <c r="H906" t="s">
        <v>545</v>
      </c>
      <c r="I906" t="s">
        <v>249</v>
      </c>
      <c r="J906">
        <v>1</v>
      </c>
      <c r="K906">
        <v>21500</v>
      </c>
      <c r="L906">
        <v>31500</v>
      </c>
      <c r="M906">
        <v>31500</v>
      </c>
      <c r="N906" t="s">
        <v>19</v>
      </c>
    </row>
    <row r="907" spans="1:14" x14ac:dyDescent="0.25">
      <c r="A907" t="s">
        <v>1667</v>
      </c>
      <c r="B907" t="s">
        <v>1987</v>
      </c>
      <c r="C907" t="s">
        <v>542</v>
      </c>
      <c r="D907" t="s">
        <v>544</v>
      </c>
      <c r="E907" t="s">
        <v>42</v>
      </c>
      <c r="F907" t="s">
        <v>15</v>
      </c>
      <c r="G907" t="s">
        <v>113</v>
      </c>
      <c r="H907" t="s">
        <v>545</v>
      </c>
      <c r="I907" t="s">
        <v>151</v>
      </c>
      <c r="J907">
        <v>1</v>
      </c>
      <c r="K907">
        <v>2800</v>
      </c>
      <c r="L907">
        <v>4000</v>
      </c>
      <c r="M907">
        <v>4000</v>
      </c>
      <c r="N907" t="s">
        <v>19</v>
      </c>
    </row>
    <row r="908" spans="1:14" x14ac:dyDescent="0.25">
      <c r="A908" t="s">
        <v>1666</v>
      </c>
      <c r="B908" t="s">
        <v>1988</v>
      </c>
      <c r="C908" t="s">
        <v>546</v>
      </c>
      <c r="D908" t="s">
        <v>544</v>
      </c>
      <c r="E908" t="s">
        <v>547</v>
      </c>
      <c r="F908" t="s">
        <v>15</v>
      </c>
      <c r="G908" t="s">
        <v>113</v>
      </c>
      <c r="H908" t="s">
        <v>545</v>
      </c>
      <c r="I908" t="s">
        <v>548</v>
      </c>
      <c r="J908">
        <v>1</v>
      </c>
      <c r="K908">
        <v>3675</v>
      </c>
      <c r="L908">
        <v>10500</v>
      </c>
      <c r="M908">
        <v>10500</v>
      </c>
      <c r="N908" t="s">
        <v>19</v>
      </c>
    </row>
    <row r="909" spans="1:14" x14ac:dyDescent="0.25">
      <c r="A909" t="s">
        <v>1666</v>
      </c>
      <c r="B909" t="s">
        <v>1988</v>
      </c>
      <c r="C909" t="s">
        <v>546</v>
      </c>
      <c r="D909" t="s">
        <v>544</v>
      </c>
      <c r="E909" t="s">
        <v>547</v>
      </c>
      <c r="F909" t="s">
        <v>15</v>
      </c>
      <c r="G909" t="s">
        <v>113</v>
      </c>
      <c r="H909" t="s">
        <v>545</v>
      </c>
      <c r="I909" t="s">
        <v>48</v>
      </c>
      <c r="J909">
        <v>1</v>
      </c>
      <c r="K909">
        <v>2975</v>
      </c>
      <c r="L909">
        <v>8500</v>
      </c>
      <c r="M909">
        <v>8500</v>
      </c>
      <c r="N909" t="s">
        <v>19</v>
      </c>
    </row>
    <row r="910" spans="1:14" x14ac:dyDescent="0.25">
      <c r="A910" t="s">
        <v>1666</v>
      </c>
      <c r="B910" t="s">
        <v>1988</v>
      </c>
      <c r="C910" t="s">
        <v>546</v>
      </c>
      <c r="D910" t="s">
        <v>544</v>
      </c>
      <c r="E910" t="s">
        <v>547</v>
      </c>
      <c r="F910" t="s">
        <v>15</v>
      </c>
      <c r="G910" t="s">
        <v>113</v>
      </c>
      <c r="H910" t="s">
        <v>545</v>
      </c>
      <c r="I910" t="s">
        <v>24</v>
      </c>
      <c r="J910">
        <v>1</v>
      </c>
      <c r="K910">
        <v>2975</v>
      </c>
      <c r="L910">
        <v>8500</v>
      </c>
      <c r="M910">
        <v>8500</v>
      </c>
      <c r="N910" t="s">
        <v>19</v>
      </c>
    </row>
    <row r="911" spans="1:14" x14ac:dyDescent="0.25">
      <c r="A911" t="s">
        <v>1666</v>
      </c>
      <c r="B911" t="s">
        <v>1988</v>
      </c>
      <c r="C911" t="s">
        <v>546</v>
      </c>
      <c r="D911" t="s">
        <v>544</v>
      </c>
      <c r="E911" t="s">
        <v>547</v>
      </c>
      <c r="F911" t="s">
        <v>15</v>
      </c>
      <c r="G911" t="s">
        <v>113</v>
      </c>
      <c r="H911" t="s">
        <v>545</v>
      </c>
      <c r="I911" t="s">
        <v>26</v>
      </c>
      <c r="J911">
        <v>1</v>
      </c>
      <c r="K911">
        <v>500</v>
      </c>
      <c r="L911">
        <v>500</v>
      </c>
      <c r="M911">
        <v>500</v>
      </c>
      <c r="N911" t="s">
        <v>19</v>
      </c>
    </row>
    <row r="912" spans="1:14" x14ac:dyDescent="0.25">
      <c r="A912" t="s">
        <v>1666</v>
      </c>
      <c r="B912" t="s">
        <v>1988</v>
      </c>
      <c r="C912" t="s">
        <v>546</v>
      </c>
      <c r="D912" t="s">
        <v>544</v>
      </c>
      <c r="E912" t="s">
        <v>547</v>
      </c>
      <c r="F912" t="s">
        <v>15</v>
      </c>
      <c r="G912" t="s">
        <v>113</v>
      </c>
      <c r="H912" t="s">
        <v>545</v>
      </c>
      <c r="I912" t="s">
        <v>166</v>
      </c>
      <c r="J912">
        <v>1</v>
      </c>
      <c r="K912">
        <v>3500</v>
      </c>
      <c r="L912">
        <v>10000</v>
      </c>
      <c r="M912">
        <v>10000</v>
      </c>
      <c r="N912" t="s">
        <v>19</v>
      </c>
    </row>
    <row r="913" spans="1:14" x14ac:dyDescent="0.25">
      <c r="A913" t="s">
        <v>1666</v>
      </c>
      <c r="B913" t="s">
        <v>1988</v>
      </c>
      <c r="C913" t="s">
        <v>546</v>
      </c>
      <c r="D913" t="s">
        <v>544</v>
      </c>
      <c r="E913" t="s">
        <v>547</v>
      </c>
      <c r="F913" t="s">
        <v>15</v>
      </c>
      <c r="G913" t="s">
        <v>113</v>
      </c>
      <c r="H913" t="s">
        <v>545</v>
      </c>
      <c r="I913" t="s">
        <v>48</v>
      </c>
      <c r="J913">
        <v>1</v>
      </c>
      <c r="K913">
        <v>1750</v>
      </c>
      <c r="L913">
        <v>5000</v>
      </c>
      <c r="M913">
        <v>5000</v>
      </c>
      <c r="N913" t="s">
        <v>19</v>
      </c>
    </row>
    <row r="914" spans="1:14" x14ac:dyDescent="0.25">
      <c r="A914" t="s">
        <v>1666</v>
      </c>
      <c r="B914" t="s">
        <v>1988</v>
      </c>
      <c r="C914" t="s">
        <v>546</v>
      </c>
      <c r="D914" t="s">
        <v>544</v>
      </c>
      <c r="E914" t="s">
        <v>547</v>
      </c>
      <c r="F914" t="s">
        <v>15</v>
      </c>
      <c r="G914" t="s">
        <v>113</v>
      </c>
      <c r="H914" t="s">
        <v>545</v>
      </c>
      <c r="I914" t="s">
        <v>24</v>
      </c>
      <c r="J914">
        <v>1</v>
      </c>
      <c r="K914">
        <v>1750</v>
      </c>
      <c r="L914">
        <v>5000</v>
      </c>
      <c r="M914">
        <v>5000</v>
      </c>
      <c r="N914" t="s">
        <v>19</v>
      </c>
    </row>
    <row r="915" spans="1:14" x14ac:dyDescent="0.25">
      <c r="A915" t="s">
        <v>1666</v>
      </c>
      <c r="B915" t="s">
        <v>1988</v>
      </c>
      <c r="C915" t="s">
        <v>546</v>
      </c>
      <c r="D915" t="s">
        <v>544</v>
      </c>
      <c r="E915" t="s">
        <v>547</v>
      </c>
      <c r="F915" t="s">
        <v>15</v>
      </c>
      <c r="G915" t="s">
        <v>113</v>
      </c>
      <c r="H915" t="s">
        <v>545</v>
      </c>
      <c r="I915" t="s">
        <v>249</v>
      </c>
      <c r="J915">
        <v>1</v>
      </c>
      <c r="K915">
        <v>21500</v>
      </c>
      <c r="L915">
        <v>31500</v>
      </c>
      <c r="M915">
        <v>31500</v>
      </c>
      <c r="N915" t="s">
        <v>19</v>
      </c>
    </row>
    <row r="916" spans="1:14" x14ac:dyDescent="0.25">
      <c r="A916" t="s">
        <v>1666</v>
      </c>
      <c r="B916" t="s">
        <v>1988</v>
      </c>
      <c r="C916" t="s">
        <v>546</v>
      </c>
      <c r="D916" t="s">
        <v>544</v>
      </c>
      <c r="E916" t="s">
        <v>547</v>
      </c>
      <c r="F916" t="s">
        <v>15</v>
      </c>
      <c r="G916" t="s">
        <v>113</v>
      </c>
      <c r="H916" t="s">
        <v>545</v>
      </c>
      <c r="I916" t="s">
        <v>151</v>
      </c>
      <c r="J916">
        <v>1</v>
      </c>
      <c r="K916">
        <v>2800</v>
      </c>
      <c r="L916">
        <v>4000</v>
      </c>
      <c r="M916">
        <v>4000</v>
      </c>
      <c r="N916" t="s">
        <v>19</v>
      </c>
    </row>
    <row r="917" spans="1:14" x14ac:dyDescent="0.25">
      <c r="A917" t="s">
        <v>1625</v>
      </c>
      <c r="B917" t="s">
        <v>1989</v>
      </c>
      <c r="C917" t="s">
        <v>551</v>
      </c>
      <c r="D917" t="s">
        <v>431</v>
      </c>
      <c r="E917" t="s">
        <v>239</v>
      </c>
      <c r="F917" t="s">
        <v>15</v>
      </c>
      <c r="G917" t="s">
        <v>37</v>
      </c>
      <c r="H917" t="s">
        <v>552</v>
      </c>
      <c r="I917" t="s">
        <v>154</v>
      </c>
      <c r="J917">
        <v>1</v>
      </c>
      <c r="K917">
        <v>1100</v>
      </c>
      <c r="L917">
        <v>1600</v>
      </c>
      <c r="M917">
        <v>1600</v>
      </c>
      <c r="N917" t="s">
        <v>19</v>
      </c>
    </row>
    <row r="918" spans="1:14" x14ac:dyDescent="0.25">
      <c r="A918" t="s">
        <v>1625</v>
      </c>
      <c r="B918" t="s">
        <v>1989</v>
      </c>
      <c r="C918" t="s">
        <v>551</v>
      </c>
      <c r="D918" t="s">
        <v>431</v>
      </c>
      <c r="E918" t="s">
        <v>239</v>
      </c>
      <c r="F918" t="s">
        <v>15</v>
      </c>
      <c r="G918" t="s">
        <v>37</v>
      </c>
      <c r="H918" t="s">
        <v>552</v>
      </c>
      <c r="I918" t="s">
        <v>333</v>
      </c>
      <c r="J918">
        <v>1</v>
      </c>
      <c r="K918">
        <v>20</v>
      </c>
      <c r="L918">
        <v>100</v>
      </c>
      <c r="M918">
        <v>100</v>
      </c>
      <c r="N918" t="s">
        <v>19</v>
      </c>
    </row>
    <row r="919" spans="1:14" x14ac:dyDescent="0.25">
      <c r="A919" t="s">
        <v>1625</v>
      </c>
      <c r="B919" t="s">
        <v>1990</v>
      </c>
      <c r="C919" t="s">
        <v>553</v>
      </c>
      <c r="D919" t="s">
        <v>431</v>
      </c>
      <c r="E919" t="s">
        <v>239</v>
      </c>
      <c r="F919" t="s">
        <v>15</v>
      </c>
      <c r="G919" t="s">
        <v>37</v>
      </c>
      <c r="H919" t="s">
        <v>552</v>
      </c>
      <c r="I919" t="s">
        <v>463</v>
      </c>
      <c r="J919">
        <v>1</v>
      </c>
      <c r="K919">
        <v>1200</v>
      </c>
      <c r="L919">
        <v>2000</v>
      </c>
      <c r="M919">
        <v>2000</v>
      </c>
      <c r="N919" t="s">
        <v>19</v>
      </c>
    </row>
    <row r="920" spans="1:14" x14ac:dyDescent="0.25">
      <c r="A920" t="s">
        <v>1711</v>
      </c>
      <c r="B920" t="s">
        <v>1991</v>
      </c>
      <c r="C920" t="s">
        <v>285</v>
      </c>
      <c r="D920" t="s">
        <v>1022</v>
      </c>
      <c r="E920" t="s">
        <v>1023</v>
      </c>
      <c r="F920" t="s">
        <v>15</v>
      </c>
      <c r="G920" t="s">
        <v>1024</v>
      </c>
      <c r="H920" t="s">
        <v>552</v>
      </c>
      <c r="I920" t="s">
        <v>47</v>
      </c>
      <c r="J920">
        <v>1</v>
      </c>
      <c r="K920">
        <v>3675</v>
      </c>
      <c r="L920">
        <v>10500</v>
      </c>
      <c r="M920">
        <v>10500</v>
      </c>
      <c r="N920" t="s">
        <v>19</v>
      </c>
    </row>
    <row r="921" spans="1:14" x14ac:dyDescent="0.25">
      <c r="A921" t="s">
        <v>1711</v>
      </c>
      <c r="B921" t="s">
        <v>1991</v>
      </c>
      <c r="C921" t="s">
        <v>285</v>
      </c>
      <c r="D921" t="s">
        <v>1022</v>
      </c>
      <c r="E921" t="s">
        <v>1023</v>
      </c>
      <c r="F921" t="s">
        <v>15</v>
      </c>
      <c r="G921" t="s">
        <v>1024</v>
      </c>
      <c r="H921" t="s">
        <v>552</v>
      </c>
      <c r="I921" t="s">
        <v>25</v>
      </c>
      <c r="J921">
        <v>1</v>
      </c>
      <c r="K921">
        <v>3325</v>
      </c>
      <c r="L921">
        <v>9500</v>
      </c>
      <c r="M921">
        <v>9500</v>
      </c>
      <c r="N921" t="s">
        <v>19</v>
      </c>
    </row>
    <row r="922" spans="1:14" x14ac:dyDescent="0.25">
      <c r="A922" t="s">
        <v>1711</v>
      </c>
      <c r="B922" t="s">
        <v>1991</v>
      </c>
      <c r="C922" t="s">
        <v>285</v>
      </c>
      <c r="D922" t="s">
        <v>1022</v>
      </c>
      <c r="E922" t="s">
        <v>1023</v>
      </c>
      <c r="F922" t="s">
        <v>15</v>
      </c>
      <c r="G922" t="s">
        <v>1024</v>
      </c>
      <c r="H922" t="s">
        <v>552</v>
      </c>
      <c r="I922" t="s">
        <v>24</v>
      </c>
      <c r="J922">
        <v>1</v>
      </c>
      <c r="K922">
        <v>3325</v>
      </c>
      <c r="L922">
        <v>9500</v>
      </c>
      <c r="M922">
        <v>9500</v>
      </c>
      <c r="N922" t="s">
        <v>19</v>
      </c>
    </row>
    <row r="923" spans="1:14" x14ac:dyDescent="0.25">
      <c r="A923" t="s">
        <v>1711</v>
      </c>
      <c r="B923" t="s">
        <v>1991</v>
      </c>
      <c r="C923" t="s">
        <v>285</v>
      </c>
      <c r="D923" t="s">
        <v>1022</v>
      </c>
      <c r="E923" t="s">
        <v>1023</v>
      </c>
      <c r="F923" t="s">
        <v>15</v>
      </c>
      <c r="G923" t="s">
        <v>1024</v>
      </c>
      <c r="H923" t="s">
        <v>552</v>
      </c>
      <c r="I923" t="s">
        <v>26</v>
      </c>
      <c r="J923">
        <v>1</v>
      </c>
      <c r="K923">
        <v>500</v>
      </c>
      <c r="L923">
        <v>500</v>
      </c>
      <c r="M923">
        <v>500</v>
      </c>
      <c r="N923" t="s">
        <v>19</v>
      </c>
    </row>
    <row r="924" spans="1:14" x14ac:dyDescent="0.25">
      <c r="A924" t="s">
        <v>1711</v>
      </c>
      <c r="B924" t="s">
        <v>1991</v>
      </c>
      <c r="C924" t="s">
        <v>285</v>
      </c>
      <c r="D924" t="s">
        <v>1022</v>
      </c>
      <c r="E924" t="s">
        <v>1023</v>
      </c>
      <c r="F924" t="s">
        <v>15</v>
      </c>
      <c r="G924" t="s">
        <v>1024</v>
      </c>
      <c r="H924" t="s">
        <v>552</v>
      </c>
      <c r="I924" t="s">
        <v>97</v>
      </c>
      <c r="J924">
        <v>1</v>
      </c>
      <c r="K924">
        <v>2200</v>
      </c>
      <c r="L924">
        <v>3000</v>
      </c>
      <c r="M924">
        <v>3000</v>
      </c>
      <c r="N924" t="s">
        <v>19</v>
      </c>
    </row>
    <row r="925" spans="1:14" x14ac:dyDescent="0.25">
      <c r="A925" t="s">
        <v>1711</v>
      </c>
      <c r="B925" t="s">
        <v>1991</v>
      </c>
      <c r="C925" t="s">
        <v>285</v>
      </c>
      <c r="D925" t="s">
        <v>1022</v>
      </c>
      <c r="E925" t="s">
        <v>1023</v>
      </c>
      <c r="F925" t="s">
        <v>15</v>
      </c>
      <c r="G925" t="s">
        <v>1024</v>
      </c>
      <c r="H925" t="s">
        <v>552</v>
      </c>
      <c r="I925" t="s">
        <v>63</v>
      </c>
      <c r="J925">
        <v>1</v>
      </c>
      <c r="K925">
        <v>500</v>
      </c>
      <c r="L925">
        <v>500</v>
      </c>
      <c r="M925">
        <v>500</v>
      </c>
      <c r="N925" t="s">
        <v>19</v>
      </c>
    </row>
    <row r="926" spans="1:14" x14ac:dyDescent="0.25">
      <c r="A926" t="s">
        <v>1606</v>
      </c>
      <c r="B926" t="s">
        <v>1992</v>
      </c>
      <c r="C926" t="s">
        <v>554</v>
      </c>
      <c r="D926" t="s">
        <v>123</v>
      </c>
      <c r="E926" t="s">
        <v>124</v>
      </c>
      <c r="F926" t="s">
        <v>15</v>
      </c>
      <c r="G926" t="s">
        <v>37</v>
      </c>
      <c r="H926" t="s">
        <v>555</v>
      </c>
      <c r="I926" t="s">
        <v>371</v>
      </c>
      <c r="J926">
        <v>1500</v>
      </c>
      <c r="K926">
        <v>32</v>
      </c>
      <c r="L926">
        <v>50</v>
      </c>
      <c r="M926">
        <v>75000</v>
      </c>
      <c r="N926" t="s">
        <v>19</v>
      </c>
    </row>
    <row r="927" spans="1:14" x14ac:dyDescent="0.25">
      <c r="A927" t="s">
        <v>1610</v>
      </c>
      <c r="B927" t="s">
        <v>1993</v>
      </c>
      <c r="C927" t="s">
        <v>556</v>
      </c>
      <c r="D927" t="s">
        <v>557</v>
      </c>
      <c r="E927" t="s">
        <v>558</v>
      </c>
      <c r="F927" t="s">
        <v>36</v>
      </c>
      <c r="G927" t="s">
        <v>16</v>
      </c>
      <c r="H927" t="s">
        <v>555</v>
      </c>
      <c r="I927" t="s">
        <v>125</v>
      </c>
      <c r="J927">
        <v>1</v>
      </c>
      <c r="K927">
        <v>3675</v>
      </c>
      <c r="L927">
        <v>10500</v>
      </c>
      <c r="M927">
        <v>10500</v>
      </c>
      <c r="N927" t="s">
        <v>39</v>
      </c>
    </row>
    <row r="928" spans="1:14" x14ac:dyDescent="0.25">
      <c r="A928" t="s">
        <v>1610</v>
      </c>
      <c r="B928" t="s">
        <v>1993</v>
      </c>
      <c r="C928" t="s">
        <v>556</v>
      </c>
      <c r="D928" t="s">
        <v>557</v>
      </c>
      <c r="E928" t="s">
        <v>558</v>
      </c>
      <c r="F928" t="s">
        <v>36</v>
      </c>
      <c r="G928" t="s">
        <v>16</v>
      </c>
      <c r="H928" t="s">
        <v>555</v>
      </c>
      <c r="I928" t="s">
        <v>48</v>
      </c>
      <c r="J928">
        <v>1</v>
      </c>
      <c r="K928">
        <v>4095</v>
      </c>
      <c r="L928">
        <v>11700</v>
      </c>
      <c r="M928">
        <v>11700</v>
      </c>
      <c r="N928" t="s">
        <v>39</v>
      </c>
    </row>
    <row r="929" spans="1:14" x14ac:dyDescent="0.25">
      <c r="A929" t="s">
        <v>1610</v>
      </c>
      <c r="B929" t="s">
        <v>1993</v>
      </c>
      <c r="C929" t="s">
        <v>556</v>
      </c>
      <c r="D929" t="s">
        <v>557</v>
      </c>
      <c r="E929" t="s">
        <v>558</v>
      </c>
      <c r="F929" t="s">
        <v>36</v>
      </c>
      <c r="G929" t="s">
        <v>16</v>
      </c>
      <c r="H929" t="s">
        <v>555</v>
      </c>
      <c r="I929" t="s">
        <v>126</v>
      </c>
      <c r="J929">
        <v>1</v>
      </c>
      <c r="K929">
        <v>4095</v>
      </c>
      <c r="L929">
        <v>11700</v>
      </c>
      <c r="M929">
        <v>11700</v>
      </c>
      <c r="N929" t="s">
        <v>39</v>
      </c>
    </row>
    <row r="930" spans="1:14" x14ac:dyDescent="0.25">
      <c r="A930" t="s">
        <v>1610</v>
      </c>
      <c r="B930" t="s">
        <v>1993</v>
      </c>
      <c r="C930" t="s">
        <v>556</v>
      </c>
      <c r="D930" t="s">
        <v>557</v>
      </c>
      <c r="E930" t="s">
        <v>558</v>
      </c>
      <c r="F930" t="s">
        <v>36</v>
      </c>
      <c r="G930" t="s">
        <v>16</v>
      </c>
      <c r="H930" t="s">
        <v>555</v>
      </c>
      <c r="I930" t="s">
        <v>50</v>
      </c>
      <c r="J930">
        <v>1</v>
      </c>
      <c r="K930">
        <v>500</v>
      </c>
      <c r="L930">
        <v>500</v>
      </c>
      <c r="M930">
        <v>500</v>
      </c>
      <c r="N930" t="s">
        <v>39</v>
      </c>
    </row>
    <row r="931" spans="1:14" x14ac:dyDescent="0.25">
      <c r="A931" t="s">
        <v>1610</v>
      </c>
      <c r="B931" t="s">
        <v>1993</v>
      </c>
      <c r="C931" t="s">
        <v>556</v>
      </c>
      <c r="D931" t="s">
        <v>557</v>
      </c>
      <c r="E931" t="s">
        <v>558</v>
      </c>
      <c r="F931" t="s">
        <v>36</v>
      </c>
      <c r="G931" t="s">
        <v>16</v>
      </c>
      <c r="H931" t="s">
        <v>555</v>
      </c>
      <c r="I931" t="s">
        <v>60</v>
      </c>
      <c r="J931">
        <v>1</v>
      </c>
      <c r="K931">
        <v>11000</v>
      </c>
      <c r="L931">
        <v>16500</v>
      </c>
      <c r="M931">
        <v>16500</v>
      </c>
      <c r="N931" t="s">
        <v>39</v>
      </c>
    </row>
    <row r="932" spans="1:14" x14ac:dyDescent="0.25">
      <c r="A932" t="s">
        <v>1610</v>
      </c>
      <c r="B932" t="s">
        <v>1993</v>
      </c>
      <c r="C932" t="s">
        <v>556</v>
      </c>
      <c r="D932" t="s">
        <v>557</v>
      </c>
      <c r="E932" t="s">
        <v>558</v>
      </c>
      <c r="F932" t="s">
        <v>36</v>
      </c>
      <c r="G932" t="s">
        <v>16</v>
      </c>
      <c r="H932" t="s">
        <v>555</v>
      </c>
      <c r="I932" t="s">
        <v>279</v>
      </c>
      <c r="J932">
        <v>1</v>
      </c>
      <c r="K932">
        <v>8500</v>
      </c>
      <c r="L932">
        <v>12000</v>
      </c>
      <c r="M932">
        <v>12000</v>
      </c>
      <c r="N932" t="s">
        <v>39</v>
      </c>
    </row>
    <row r="933" spans="1:14" x14ac:dyDescent="0.25">
      <c r="A933" t="s">
        <v>1610</v>
      </c>
      <c r="B933" t="s">
        <v>1993</v>
      </c>
      <c r="C933" t="s">
        <v>556</v>
      </c>
      <c r="D933" t="s">
        <v>557</v>
      </c>
      <c r="E933" t="s">
        <v>558</v>
      </c>
      <c r="F933" t="s">
        <v>36</v>
      </c>
      <c r="G933" t="s">
        <v>16</v>
      </c>
      <c r="H933" t="s">
        <v>555</v>
      </c>
      <c r="I933" t="s">
        <v>61</v>
      </c>
      <c r="J933">
        <v>1</v>
      </c>
      <c r="K933">
        <v>8500</v>
      </c>
      <c r="L933">
        <v>12000</v>
      </c>
      <c r="M933">
        <v>12000</v>
      </c>
      <c r="N933" t="s">
        <v>39</v>
      </c>
    </row>
    <row r="934" spans="1:14" x14ac:dyDescent="0.25">
      <c r="A934" t="s">
        <v>1610</v>
      </c>
      <c r="B934" t="s">
        <v>1993</v>
      </c>
      <c r="C934" t="s">
        <v>556</v>
      </c>
      <c r="D934" t="s">
        <v>557</v>
      </c>
      <c r="E934" t="s">
        <v>558</v>
      </c>
      <c r="F934" t="s">
        <v>36</v>
      </c>
      <c r="G934" t="s">
        <v>16</v>
      </c>
      <c r="H934" t="s">
        <v>555</v>
      </c>
      <c r="I934" t="s">
        <v>62</v>
      </c>
      <c r="J934">
        <v>5</v>
      </c>
      <c r="K934">
        <v>47</v>
      </c>
      <c r="L934">
        <v>70</v>
      </c>
      <c r="M934">
        <v>350</v>
      </c>
      <c r="N934" t="s">
        <v>39</v>
      </c>
    </row>
    <row r="935" spans="1:14" x14ac:dyDescent="0.25">
      <c r="A935" t="s">
        <v>1610</v>
      </c>
      <c r="B935" t="s">
        <v>1993</v>
      </c>
      <c r="C935" t="s">
        <v>556</v>
      </c>
      <c r="D935" t="s">
        <v>557</v>
      </c>
      <c r="E935" t="s">
        <v>558</v>
      </c>
      <c r="F935" t="s">
        <v>36</v>
      </c>
      <c r="G935" t="s">
        <v>16</v>
      </c>
      <c r="H935" t="s">
        <v>555</v>
      </c>
      <c r="I935" t="s">
        <v>280</v>
      </c>
      <c r="J935">
        <v>1</v>
      </c>
      <c r="K935">
        <v>850</v>
      </c>
      <c r="L935">
        <v>1200</v>
      </c>
      <c r="M935">
        <v>1200</v>
      </c>
      <c r="N935" t="s">
        <v>39</v>
      </c>
    </row>
    <row r="936" spans="1:14" x14ac:dyDescent="0.25">
      <c r="A936" t="s">
        <v>1610</v>
      </c>
      <c r="B936" t="s">
        <v>1993</v>
      </c>
      <c r="C936" t="s">
        <v>556</v>
      </c>
      <c r="D936" t="s">
        <v>557</v>
      </c>
      <c r="E936" t="s">
        <v>558</v>
      </c>
      <c r="F936" t="s">
        <v>36</v>
      </c>
      <c r="G936" t="s">
        <v>16</v>
      </c>
      <c r="H936" t="s">
        <v>555</v>
      </c>
      <c r="I936" t="s">
        <v>97</v>
      </c>
      <c r="J936">
        <v>1</v>
      </c>
      <c r="K936">
        <v>2200</v>
      </c>
      <c r="L936">
        <v>3200</v>
      </c>
      <c r="M936">
        <v>3200</v>
      </c>
      <c r="N936" t="s">
        <v>39</v>
      </c>
    </row>
    <row r="937" spans="1:14" x14ac:dyDescent="0.25">
      <c r="A937" t="s">
        <v>1610</v>
      </c>
      <c r="B937" t="s">
        <v>1993</v>
      </c>
      <c r="C937" t="s">
        <v>556</v>
      </c>
      <c r="D937" t="s">
        <v>557</v>
      </c>
      <c r="E937" t="s">
        <v>558</v>
      </c>
      <c r="F937" t="s">
        <v>36</v>
      </c>
      <c r="G937" t="s">
        <v>16</v>
      </c>
      <c r="H937" t="s">
        <v>555</v>
      </c>
      <c r="I937" t="s">
        <v>249</v>
      </c>
      <c r="J937">
        <v>1</v>
      </c>
      <c r="K937">
        <v>23450</v>
      </c>
      <c r="L937">
        <v>30550</v>
      </c>
      <c r="M937">
        <v>30550</v>
      </c>
      <c r="N937" t="s">
        <v>39</v>
      </c>
    </row>
    <row r="938" spans="1:14" x14ac:dyDescent="0.25">
      <c r="A938" t="s">
        <v>1610</v>
      </c>
      <c r="B938" t="s">
        <v>1993</v>
      </c>
      <c r="C938" t="s">
        <v>556</v>
      </c>
      <c r="D938" t="s">
        <v>557</v>
      </c>
      <c r="E938" t="s">
        <v>558</v>
      </c>
      <c r="F938" t="s">
        <v>36</v>
      </c>
      <c r="G938" t="s">
        <v>16</v>
      </c>
      <c r="H938" t="s">
        <v>555</v>
      </c>
      <c r="I938" t="s">
        <v>210</v>
      </c>
      <c r="J938">
        <v>1</v>
      </c>
      <c r="K938">
        <v>0</v>
      </c>
      <c r="L938">
        <v>0</v>
      </c>
      <c r="M938">
        <v>0</v>
      </c>
      <c r="N938" t="s">
        <v>39</v>
      </c>
    </row>
    <row r="939" spans="1:14" x14ac:dyDescent="0.25">
      <c r="A939" t="s">
        <v>1610</v>
      </c>
      <c r="B939" t="s">
        <v>1993</v>
      </c>
      <c r="C939" t="s">
        <v>556</v>
      </c>
      <c r="D939" t="s">
        <v>557</v>
      </c>
      <c r="E939" t="s">
        <v>558</v>
      </c>
      <c r="F939" t="s">
        <v>36</v>
      </c>
      <c r="G939" t="s">
        <v>16</v>
      </c>
      <c r="H939" t="s">
        <v>555</v>
      </c>
      <c r="I939" t="s">
        <v>151</v>
      </c>
      <c r="J939">
        <v>1</v>
      </c>
      <c r="K939">
        <v>2800</v>
      </c>
      <c r="L939">
        <v>4000</v>
      </c>
      <c r="M939">
        <v>4000</v>
      </c>
      <c r="N939" t="s">
        <v>39</v>
      </c>
    </row>
    <row r="940" spans="1:14" x14ac:dyDescent="0.25">
      <c r="A940" t="s">
        <v>1610</v>
      </c>
      <c r="B940" t="s">
        <v>1993</v>
      </c>
      <c r="C940" t="s">
        <v>556</v>
      </c>
      <c r="D940" t="s">
        <v>557</v>
      </c>
      <c r="E940" t="s">
        <v>558</v>
      </c>
      <c r="F940" t="s">
        <v>36</v>
      </c>
      <c r="G940" t="s">
        <v>16</v>
      </c>
      <c r="H940" t="s">
        <v>555</v>
      </c>
      <c r="I940" t="s">
        <v>98</v>
      </c>
      <c r="J940">
        <v>1</v>
      </c>
      <c r="K940">
        <v>935</v>
      </c>
      <c r="L940">
        <v>1500</v>
      </c>
      <c r="M940">
        <v>1500</v>
      </c>
      <c r="N940" t="s">
        <v>39</v>
      </c>
    </row>
    <row r="941" spans="1:14" x14ac:dyDescent="0.25">
      <c r="A941" t="s">
        <v>1610</v>
      </c>
      <c r="B941" t="s">
        <v>1993</v>
      </c>
      <c r="C941" t="s">
        <v>556</v>
      </c>
      <c r="D941" t="s">
        <v>557</v>
      </c>
      <c r="E941" t="s">
        <v>558</v>
      </c>
      <c r="F941" t="s">
        <v>36</v>
      </c>
      <c r="G941" t="s">
        <v>16</v>
      </c>
      <c r="H941" t="s">
        <v>555</v>
      </c>
      <c r="I941" t="s">
        <v>559</v>
      </c>
      <c r="J941">
        <v>1</v>
      </c>
      <c r="K941">
        <v>650</v>
      </c>
      <c r="L941">
        <v>900</v>
      </c>
      <c r="M941">
        <v>900</v>
      </c>
      <c r="N941" t="s">
        <v>39</v>
      </c>
    </row>
    <row r="942" spans="1:14" x14ac:dyDescent="0.25">
      <c r="A942" t="s">
        <v>1610</v>
      </c>
      <c r="B942" t="s">
        <v>1993</v>
      </c>
      <c r="C942" t="s">
        <v>556</v>
      </c>
      <c r="D942" t="s">
        <v>557</v>
      </c>
      <c r="E942" t="s">
        <v>558</v>
      </c>
      <c r="F942" t="s">
        <v>36</v>
      </c>
      <c r="G942" t="s">
        <v>16</v>
      </c>
      <c r="H942" t="s">
        <v>555</v>
      </c>
      <c r="I942" t="s">
        <v>63</v>
      </c>
      <c r="J942">
        <v>1</v>
      </c>
      <c r="K942">
        <v>600</v>
      </c>
      <c r="L942">
        <v>600</v>
      </c>
      <c r="M942">
        <v>600</v>
      </c>
      <c r="N942" t="s">
        <v>39</v>
      </c>
    </row>
    <row r="943" spans="1:14" x14ac:dyDescent="0.25">
      <c r="A943" t="s">
        <v>1609</v>
      </c>
      <c r="B943" t="s">
        <v>1994</v>
      </c>
      <c r="C943" t="s">
        <v>625</v>
      </c>
      <c r="D943" t="s">
        <v>191</v>
      </c>
      <c r="E943" t="s">
        <v>192</v>
      </c>
      <c r="F943" t="s">
        <v>15</v>
      </c>
      <c r="G943" t="s">
        <v>22</v>
      </c>
      <c r="H943" t="s">
        <v>555</v>
      </c>
      <c r="I943" t="s">
        <v>581</v>
      </c>
      <c r="J943">
        <v>1</v>
      </c>
      <c r="K943">
        <v>9500</v>
      </c>
      <c r="L943">
        <v>13500</v>
      </c>
      <c r="M943">
        <v>13500</v>
      </c>
      <c r="N943" t="s">
        <v>19</v>
      </c>
    </row>
    <row r="944" spans="1:14" x14ac:dyDescent="0.25">
      <c r="A944" t="s">
        <v>1659</v>
      </c>
      <c r="B944" t="s">
        <v>1995</v>
      </c>
      <c r="C944" t="s">
        <v>562</v>
      </c>
      <c r="D944" t="s">
        <v>296</v>
      </c>
      <c r="E944" t="s">
        <v>296</v>
      </c>
      <c r="F944" t="s">
        <v>15</v>
      </c>
      <c r="G944" t="s">
        <v>37</v>
      </c>
      <c r="H944" t="s">
        <v>563</v>
      </c>
      <c r="I944" t="s">
        <v>177</v>
      </c>
      <c r="J944">
        <v>5</v>
      </c>
      <c r="K944">
        <v>9500</v>
      </c>
      <c r="L944">
        <v>12800</v>
      </c>
      <c r="M944">
        <v>64000</v>
      </c>
      <c r="N944" t="s">
        <v>19</v>
      </c>
    </row>
    <row r="945" spans="1:14" x14ac:dyDescent="0.25">
      <c r="A945" t="s">
        <v>1659</v>
      </c>
      <c r="B945" t="s">
        <v>1995</v>
      </c>
      <c r="C945" t="s">
        <v>562</v>
      </c>
      <c r="D945" t="s">
        <v>296</v>
      </c>
      <c r="E945" t="s">
        <v>296</v>
      </c>
      <c r="F945" t="s">
        <v>15</v>
      </c>
      <c r="G945" t="s">
        <v>37</v>
      </c>
      <c r="H945" t="s">
        <v>563</v>
      </c>
      <c r="I945" t="s">
        <v>76</v>
      </c>
      <c r="J945">
        <v>1</v>
      </c>
      <c r="K945">
        <v>500</v>
      </c>
      <c r="L945">
        <v>500</v>
      </c>
      <c r="M945">
        <v>500</v>
      </c>
      <c r="N945" t="s">
        <v>19</v>
      </c>
    </row>
    <row r="946" spans="1:14" x14ac:dyDescent="0.25">
      <c r="A946" t="s">
        <v>1509</v>
      </c>
      <c r="B946" t="s">
        <v>1996</v>
      </c>
      <c r="C946" t="s">
        <v>629</v>
      </c>
      <c r="D946" t="s">
        <v>20</v>
      </c>
      <c r="E946" t="s">
        <v>70</v>
      </c>
      <c r="F946" t="s">
        <v>15</v>
      </c>
      <c r="G946" t="s">
        <v>22</v>
      </c>
      <c r="H946" t="s">
        <v>563</v>
      </c>
      <c r="I946" t="s">
        <v>400</v>
      </c>
      <c r="J946">
        <v>100</v>
      </c>
      <c r="K946">
        <v>17</v>
      </c>
      <c r="L946">
        <v>25</v>
      </c>
      <c r="M946">
        <v>2500</v>
      </c>
      <c r="N946" t="s">
        <v>19</v>
      </c>
    </row>
    <row r="947" spans="1:14" x14ac:dyDescent="0.25">
      <c r="A947" t="s">
        <v>1486</v>
      </c>
      <c r="B947" t="s">
        <v>1997</v>
      </c>
      <c r="C947" t="s">
        <v>632</v>
      </c>
      <c r="D947" t="s">
        <v>20</v>
      </c>
      <c r="E947" t="s">
        <v>31</v>
      </c>
      <c r="F947" t="s">
        <v>15</v>
      </c>
      <c r="G947" t="s">
        <v>22</v>
      </c>
      <c r="H947" t="s">
        <v>563</v>
      </c>
      <c r="I947" t="s">
        <v>33</v>
      </c>
      <c r="J947">
        <v>2</v>
      </c>
      <c r="K947">
        <v>6500</v>
      </c>
      <c r="L947">
        <v>6500</v>
      </c>
      <c r="M947">
        <v>13000</v>
      </c>
      <c r="N947" t="s">
        <v>19</v>
      </c>
    </row>
    <row r="948" spans="1:14" x14ac:dyDescent="0.25">
      <c r="A948" t="s">
        <v>1486</v>
      </c>
      <c r="B948" t="s">
        <v>1998</v>
      </c>
      <c r="C948" t="s">
        <v>637</v>
      </c>
      <c r="D948" t="s">
        <v>20</v>
      </c>
      <c r="E948" t="s">
        <v>31</v>
      </c>
      <c r="F948" t="s">
        <v>15</v>
      </c>
      <c r="G948" t="s">
        <v>22</v>
      </c>
      <c r="H948" t="s">
        <v>563</v>
      </c>
      <c r="I948" t="s">
        <v>33</v>
      </c>
      <c r="J948">
        <v>3</v>
      </c>
      <c r="K948">
        <v>6500</v>
      </c>
      <c r="L948">
        <v>6500</v>
      </c>
      <c r="M948">
        <v>19500</v>
      </c>
      <c r="N948" t="s">
        <v>19</v>
      </c>
    </row>
    <row r="949" spans="1:14" x14ac:dyDescent="0.25">
      <c r="A949" t="s">
        <v>1486</v>
      </c>
      <c r="B949" t="s">
        <v>1999</v>
      </c>
      <c r="C949" t="s">
        <v>639</v>
      </c>
      <c r="D949" t="s">
        <v>20</v>
      </c>
      <c r="E949" t="s">
        <v>31</v>
      </c>
      <c r="F949" t="s">
        <v>15</v>
      </c>
      <c r="G949" t="s">
        <v>22</v>
      </c>
      <c r="H949" t="s">
        <v>563</v>
      </c>
      <c r="I949" t="s">
        <v>33</v>
      </c>
      <c r="J949">
        <v>2</v>
      </c>
      <c r="K949">
        <v>6500</v>
      </c>
      <c r="L949">
        <v>6500</v>
      </c>
      <c r="M949">
        <v>13000</v>
      </c>
      <c r="N949" t="s">
        <v>19</v>
      </c>
    </row>
    <row r="950" spans="1:14" x14ac:dyDescent="0.25">
      <c r="A950" t="s">
        <v>1486</v>
      </c>
      <c r="B950" t="s">
        <v>2000</v>
      </c>
      <c r="C950" t="s">
        <v>643</v>
      </c>
      <c r="D950" t="s">
        <v>20</v>
      </c>
      <c r="E950" t="s">
        <v>31</v>
      </c>
      <c r="F950" t="s">
        <v>15</v>
      </c>
      <c r="G950" t="s">
        <v>22</v>
      </c>
      <c r="H950" t="s">
        <v>563</v>
      </c>
      <c r="I950" t="s">
        <v>33</v>
      </c>
      <c r="J950">
        <v>2</v>
      </c>
      <c r="K950">
        <v>6500</v>
      </c>
      <c r="L950">
        <v>6500</v>
      </c>
      <c r="M950">
        <v>13000</v>
      </c>
      <c r="N950" t="s">
        <v>19</v>
      </c>
    </row>
    <row r="951" spans="1:14" x14ac:dyDescent="0.25">
      <c r="A951" t="s">
        <v>1486</v>
      </c>
      <c r="B951" t="s">
        <v>2001</v>
      </c>
      <c r="C951" t="s">
        <v>645</v>
      </c>
      <c r="D951" t="s">
        <v>20</v>
      </c>
      <c r="E951" t="s">
        <v>31</v>
      </c>
      <c r="F951" t="s">
        <v>15</v>
      </c>
      <c r="G951" t="s">
        <v>22</v>
      </c>
      <c r="H951" t="s">
        <v>563</v>
      </c>
      <c r="I951" t="s">
        <v>33</v>
      </c>
      <c r="J951">
        <v>1</v>
      </c>
      <c r="K951">
        <v>6500</v>
      </c>
      <c r="L951">
        <v>6500</v>
      </c>
      <c r="M951">
        <v>6500</v>
      </c>
      <c r="N951" t="s">
        <v>19</v>
      </c>
    </row>
    <row r="952" spans="1:14" x14ac:dyDescent="0.25">
      <c r="A952" t="s">
        <v>1486</v>
      </c>
      <c r="B952" t="s">
        <v>2002</v>
      </c>
      <c r="C952" t="s">
        <v>649</v>
      </c>
      <c r="D952" t="s">
        <v>20</v>
      </c>
      <c r="E952" t="s">
        <v>31</v>
      </c>
      <c r="F952" t="s">
        <v>15</v>
      </c>
      <c r="G952" t="s">
        <v>22</v>
      </c>
      <c r="H952" t="s">
        <v>563</v>
      </c>
      <c r="I952" t="s">
        <v>33</v>
      </c>
      <c r="J952">
        <v>1</v>
      </c>
      <c r="K952">
        <v>6500</v>
      </c>
      <c r="L952">
        <v>6500</v>
      </c>
      <c r="M952">
        <v>6500</v>
      </c>
      <c r="N952" t="s">
        <v>19</v>
      </c>
    </row>
    <row r="953" spans="1:14" x14ac:dyDescent="0.25">
      <c r="A953" t="s">
        <v>1486</v>
      </c>
      <c r="B953" t="s">
        <v>2003</v>
      </c>
      <c r="C953" t="s">
        <v>652</v>
      </c>
      <c r="D953" t="s">
        <v>20</v>
      </c>
      <c r="E953" t="s">
        <v>31</v>
      </c>
      <c r="F953" t="s">
        <v>15</v>
      </c>
      <c r="G953" t="s">
        <v>22</v>
      </c>
      <c r="H953" t="s">
        <v>563</v>
      </c>
      <c r="I953" t="s">
        <v>33</v>
      </c>
      <c r="J953">
        <v>1</v>
      </c>
      <c r="K953">
        <v>6500</v>
      </c>
      <c r="L953">
        <v>6500</v>
      </c>
      <c r="M953">
        <v>6500</v>
      </c>
      <c r="N953" t="s">
        <v>19</v>
      </c>
    </row>
    <row r="954" spans="1:14" x14ac:dyDescent="0.25">
      <c r="A954" t="s">
        <v>1711</v>
      </c>
      <c r="B954" t="s">
        <v>2004</v>
      </c>
      <c r="C954" t="s">
        <v>295</v>
      </c>
      <c r="D954" t="s">
        <v>1022</v>
      </c>
      <c r="E954" t="s">
        <v>1023</v>
      </c>
      <c r="F954" t="s">
        <v>15</v>
      </c>
      <c r="G954" t="s">
        <v>1024</v>
      </c>
      <c r="H954" t="s">
        <v>563</v>
      </c>
      <c r="I954" t="s">
        <v>47</v>
      </c>
      <c r="J954">
        <v>1</v>
      </c>
      <c r="K954">
        <v>3675</v>
      </c>
      <c r="L954">
        <v>10500</v>
      </c>
      <c r="M954">
        <v>10500</v>
      </c>
      <c r="N954" t="s">
        <v>19</v>
      </c>
    </row>
    <row r="955" spans="1:14" x14ac:dyDescent="0.25">
      <c r="A955" t="s">
        <v>1711</v>
      </c>
      <c r="B955" t="s">
        <v>2004</v>
      </c>
      <c r="C955" t="s">
        <v>295</v>
      </c>
      <c r="D955" t="s">
        <v>1022</v>
      </c>
      <c r="E955" t="s">
        <v>1023</v>
      </c>
      <c r="F955" t="s">
        <v>15</v>
      </c>
      <c r="G955" t="s">
        <v>1024</v>
      </c>
      <c r="H955" t="s">
        <v>563</v>
      </c>
      <c r="I955" t="s">
        <v>25</v>
      </c>
      <c r="J955">
        <v>1</v>
      </c>
      <c r="K955">
        <v>3325</v>
      </c>
      <c r="L955">
        <v>9500</v>
      </c>
      <c r="M955">
        <v>9500</v>
      </c>
      <c r="N955" t="s">
        <v>19</v>
      </c>
    </row>
    <row r="956" spans="1:14" x14ac:dyDescent="0.25">
      <c r="A956" t="s">
        <v>1711</v>
      </c>
      <c r="B956" t="s">
        <v>2004</v>
      </c>
      <c r="C956" t="s">
        <v>295</v>
      </c>
      <c r="D956" t="s">
        <v>1022</v>
      </c>
      <c r="E956" t="s">
        <v>1023</v>
      </c>
      <c r="F956" t="s">
        <v>15</v>
      </c>
      <c r="G956" t="s">
        <v>1024</v>
      </c>
      <c r="H956" t="s">
        <v>563</v>
      </c>
      <c r="I956" t="s">
        <v>24</v>
      </c>
      <c r="J956">
        <v>1</v>
      </c>
      <c r="K956">
        <v>3325</v>
      </c>
      <c r="L956">
        <v>9500</v>
      </c>
      <c r="M956">
        <v>9500</v>
      </c>
      <c r="N956" t="s">
        <v>19</v>
      </c>
    </row>
    <row r="957" spans="1:14" x14ac:dyDescent="0.25">
      <c r="A957" t="s">
        <v>1711</v>
      </c>
      <c r="B957" t="s">
        <v>2004</v>
      </c>
      <c r="C957" t="s">
        <v>295</v>
      </c>
      <c r="D957" t="s">
        <v>1022</v>
      </c>
      <c r="E957" t="s">
        <v>1023</v>
      </c>
      <c r="F957" t="s">
        <v>15</v>
      </c>
      <c r="G957" t="s">
        <v>1024</v>
      </c>
      <c r="H957" t="s">
        <v>563</v>
      </c>
      <c r="I957" t="s">
        <v>26</v>
      </c>
      <c r="J957">
        <v>1</v>
      </c>
      <c r="K957">
        <v>500</v>
      </c>
      <c r="L957">
        <v>500</v>
      </c>
      <c r="M957">
        <v>500</v>
      </c>
      <c r="N957" t="s">
        <v>19</v>
      </c>
    </row>
    <row r="958" spans="1:14" x14ac:dyDescent="0.25">
      <c r="A958" t="s">
        <v>1711</v>
      </c>
      <c r="B958" t="s">
        <v>2004</v>
      </c>
      <c r="C958" t="s">
        <v>295</v>
      </c>
      <c r="D958" t="s">
        <v>1022</v>
      </c>
      <c r="E958" t="s">
        <v>1023</v>
      </c>
      <c r="F958" t="s">
        <v>15</v>
      </c>
      <c r="G958" t="s">
        <v>1024</v>
      </c>
      <c r="H958" t="s">
        <v>563</v>
      </c>
      <c r="I958" t="s">
        <v>97</v>
      </c>
      <c r="J958">
        <v>1</v>
      </c>
      <c r="K958">
        <v>2200</v>
      </c>
      <c r="L958">
        <v>3000</v>
      </c>
      <c r="M958">
        <v>3000</v>
      </c>
      <c r="N958" t="s">
        <v>19</v>
      </c>
    </row>
    <row r="959" spans="1:14" x14ac:dyDescent="0.25">
      <c r="A959" t="s">
        <v>1711</v>
      </c>
      <c r="B959" t="s">
        <v>2004</v>
      </c>
      <c r="C959" t="s">
        <v>295</v>
      </c>
      <c r="D959" t="s">
        <v>1022</v>
      </c>
      <c r="E959" t="s">
        <v>1023</v>
      </c>
      <c r="F959" t="s">
        <v>15</v>
      </c>
      <c r="G959" t="s">
        <v>1024</v>
      </c>
      <c r="H959" t="s">
        <v>563</v>
      </c>
      <c r="I959" t="s">
        <v>63</v>
      </c>
      <c r="J959">
        <v>1</v>
      </c>
      <c r="K959">
        <v>500</v>
      </c>
      <c r="L959">
        <v>500</v>
      </c>
      <c r="M959">
        <v>500</v>
      </c>
      <c r="N959" t="s">
        <v>19</v>
      </c>
    </row>
    <row r="960" spans="1:14" x14ac:dyDescent="0.25">
      <c r="A960" t="s">
        <v>1467</v>
      </c>
      <c r="B960" t="s">
        <v>2005</v>
      </c>
      <c r="C960" t="s">
        <v>564</v>
      </c>
      <c r="D960" t="s">
        <v>565</v>
      </c>
      <c r="E960" t="s">
        <v>566</v>
      </c>
      <c r="F960" t="s">
        <v>567</v>
      </c>
      <c r="G960" t="s">
        <v>37</v>
      </c>
      <c r="H960" t="s">
        <v>568</v>
      </c>
      <c r="I960" t="s">
        <v>569</v>
      </c>
      <c r="J960">
        <v>50</v>
      </c>
      <c r="K960">
        <v>17</v>
      </c>
      <c r="L960">
        <v>25</v>
      </c>
      <c r="M960">
        <v>1250</v>
      </c>
      <c r="N960" t="s">
        <v>39</v>
      </c>
    </row>
    <row r="961" spans="1:14" x14ac:dyDescent="0.25">
      <c r="A961" t="s">
        <v>1581</v>
      </c>
      <c r="B961" t="s">
        <v>2006</v>
      </c>
      <c r="C961" t="s">
        <v>572</v>
      </c>
      <c r="D961" t="s">
        <v>87</v>
      </c>
      <c r="E961" t="s">
        <v>87</v>
      </c>
      <c r="F961" t="s">
        <v>15</v>
      </c>
      <c r="G961" t="s">
        <v>37</v>
      </c>
      <c r="H961" t="s">
        <v>568</v>
      </c>
      <c r="I961" t="s">
        <v>89</v>
      </c>
      <c r="J961">
        <v>50</v>
      </c>
      <c r="K961">
        <v>32</v>
      </c>
      <c r="L961">
        <v>50</v>
      </c>
      <c r="M961">
        <v>2500</v>
      </c>
      <c r="N961" t="s">
        <v>39</v>
      </c>
    </row>
    <row r="962" spans="1:14" x14ac:dyDescent="0.25">
      <c r="A962" t="s">
        <v>1606</v>
      </c>
      <c r="B962" t="s">
        <v>2007</v>
      </c>
      <c r="C962" t="s">
        <v>578</v>
      </c>
      <c r="D962" t="s">
        <v>123</v>
      </c>
      <c r="E962" t="s">
        <v>124</v>
      </c>
      <c r="F962" t="s">
        <v>15</v>
      </c>
      <c r="G962" t="s">
        <v>37</v>
      </c>
      <c r="H962" t="s">
        <v>568</v>
      </c>
      <c r="I962" t="s">
        <v>579</v>
      </c>
      <c r="J962">
        <v>1</v>
      </c>
      <c r="K962">
        <v>8500</v>
      </c>
      <c r="L962">
        <v>12000</v>
      </c>
      <c r="M962">
        <v>12000</v>
      </c>
      <c r="N962" t="s">
        <v>19</v>
      </c>
    </row>
    <row r="963" spans="1:14" x14ac:dyDescent="0.25">
      <c r="A963" t="s">
        <v>1495</v>
      </c>
      <c r="B963" t="s">
        <v>2008</v>
      </c>
      <c r="C963" t="s">
        <v>654</v>
      </c>
      <c r="D963" t="s">
        <v>20</v>
      </c>
      <c r="E963" t="s">
        <v>132</v>
      </c>
      <c r="F963" t="s">
        <v>15</v>
      </c>
      <c r="G963" t="s">
        <v>22</v>
      </c>
      <c r="H963" t="s">
        <v>568</v>
      </c>
      <c r="I963" t="s">
        <v>133</v>
      </c>
      <c r="J963">
        <v>1</v>
      </c>
      <c r="K963">
        <v>3675</v>
      </c>
      <c r="L963">
        <v>10500</v>
      </c>
      <c r="M963">
        <v>10500</v>
      </c>
      <c r="N963" t="s">
        <v>19</v>
      </c>
    </row>
    <row r="964" spans="1:14" x14ac:dyDescent="0.25">
      <c r="A964" t="s">
        <v>1495</v>
      </c>
      <c r="B964" t="s">
        <v>2008</v>
      </c>
      <c r="C964" t="s">
        <v>654</v>
      </c>
      <c r="D964" t="s">
        <v>20</v>
      </c>
      <c r="E964" t="s">
        <v>132</v>
      </c>
      <c r="F964" t="s">
        <v>15</v>
      </c>
      <c r="G964" t="s">
        <v>22</v>
      </c>
      <c r="H964" t="s">
        <v>568</v>
      </c>
      <c r="I964" t="s">
        <v>25</v>
      </c>
      <c r="J964">
        <v>1</v>
      </c>
      <c r="K964">
        <v>10550</v>
      </c>
      <c r="L964">
        <v>10550</v>
      </c>
      <c r="M964">
        <v>10550</v>
      </c>
      <c r="N964" t="s">
        <v>19</v>
      </c>
    </row>
    <row r="965" spans="1:14" x14ac:dyDescent="0.25">
      <c r="A965" t="s">
        <v>1495</v>
      </c>
      <c r="B965" t="s">
        <v>2008</v>
      </c>
      <c r="C965" t="s">
        <v>654</v>
      </c>
      <c r="D965" t="s">
        <v>20</v>
      </c>
      <c r="E965" t="s">
        <v>132</v>
      </c>
      <c r="F965" t="s">
        <v>15</v>
      </c>
      <c r="G965" t="s">
        <v>22</v>
      </c>
      <c r="H965" t="s">
        <v>568</v>
      </c>
      <c r="I965" t="s">
        <v>24</v>
      </c>
      <c r="J965">
        <v>1</v>
      </c>
      <c r="K965">
        <v>10550</v>
      </c>
      <c r="L965">
        <v>10550</v>
      </c>
      <c r="M965">
        <v>10550</v>
      </c>
      <c r="N965" t="s">
        <v>19</v>
      </c>
    </row>
    <row r="966" spans="1:14" x14ac:dyDescent="0.25">
      <c r="A966" t="s">
        <v>1495</v>
      </c>
      <c r="B966" t="s">
        <v>2008</v>
      </c>
      <c r="C966" t="s">
        <v>654</v>
      </c>
      <c r="D966" t="s">
        <v>20</v>
      </c>
      <c r="E966" t="s">
        <v>132</v>
      </c>
      <c r="F966" t="s">
        <v>15</v>
      </c>
      <c r="G966" t="s">
        <v>22</v>
      </c>
      <c r="H966" t="s">
        <v>568</v>
      </c>
      <c r="I966" t="s">
        <v>134</v>
      </c>
      <c r="J966">
        <v>1</v>
      </c>
      <c r="K966">
        <v>500</v>
      </c>
      <c r="L966">
        <v>500</v>
      </c>
      <c r="M966">
        <v>500</v>
      </c>
      <c r="N966" t="s">
        <v>19</v>
      </c>
    </row>
    <row r="967" spans="1:14" x14ac:dyDescent="0.25">
      <c r="A967" t="s">
        <v>1495</v>
      </c>
      <c r="B967" t="s">
        <v>2008</v>
      </c>
      <c r="C967" t="s">
        <v>654</v>
      </c>
      <c r="D967" t="s">
        <v>20</v>
      </c>
      <c r="E967" t="s">
        <v>132</v>
      </c>
      <c r="F967" t="s">
        <v>15</v>
      </c>
      <c r="G967" t="s">
        <v>22</v>
      </c>
      <c r="H967" t="s">
        <v>568</v>
      </c>
      <c r="I967" t="s">
        <v>135</v>
      </c>
      <c r="J967">
        <v>1</v>
      </c>
      <c r="K967">
        <v>4550</v>
      </c>
      <c r="L967">
        <v>6500</v>
      </c>
      <c r="M967">
        <v>6500</v>
      </c>
      <c r="N967" t="s">
        <v>19</v>
      </c>
    </row>
    <row r="968" spans="1:14" x14ac:dyDescent="0.25">
      <c r="A968" t="s">
        <v>1495</v>
      </c>
      <c r="B968" t="s">
        <v>2008</v>
      </c>
      <c r="C968" t="s">
        <v>654</v>
      </c>
      <c r="D968" t="s">
        <v>20</v>
      </c>
      <c r="E968" t="s">
        <v>132</v>
      </c>
      <c r="F968" t="s">
        <v>15</v>
      </c>
      <c r="G968" t="s">
        <v>22</v>
      </c>
      <c r="H968" t="s">
        <v>568</v>
      </c>
      <c r="I968" t="s">
        <v>136</v>
      </c>
      <c r="J968">
        <v>1</v>
      </c>
      <c r="K968">
        <v>8500</v>
      </c>
      <c r="L968">
        <v>12000</v>
      </c>
      <c r="M968">
        <v>12000</v>
      </c>
      <c r="N968" t="s">
        <v>19</v>
      </c>
    </row>
    <row r="969" spans="1:14" x14ac:dyDescent="0.25">
      <c r="A969" t="s">
        <v>1495</v>
      </c>
      <c r="B969" t="s">
        <v>2008</v>
      </c>
      <c r="C969" t="s">
        <v>654</v>
      </c>
      <c r="D969" t="s">
        <v>20</v>
      </c>
      <c r="E969" t="s">
        <v>132</v>
      </c>
      <c r="F969" t="s">
        <v>15</v>
      </c>
      <c r="G969" t="s">
        <v>22</v>
      </c>
      <c r="H969" t="s">
        <v>568</v>
      </c>
      <c r="I969" t="s">
        <v>98</v>
      </c>
      <c r="J969">
        <v>1</v>
      </c>
      <c r="K969">
        <v>935</v>
      </c>
      <c r="L969">
        <v>1300</v>
      </c>
      <c r="M969">
        <v>1300</v>
      </c>
      <c r="N969" t="s">
        <v>19</v>
      </c>
    </row>
    <row r="970" spans="1:14" x14ac:dyDescent="0.25">
      <c r="A970" t="s">
        <v>1495</v>
      </c>
      <c r="B970" t="s">
        <v>2008</v>
      </c>
      <c r="C970" t="s">
        <v>654</v>
      </c>
      <c r="D970" t="s">
        <v>20</v>
      </c>
      <c r="E970" t="s">
        <v>132</v>
      </c>
      <c r="F970" t="s">
        <v>15</v>
      </c>
      <c r="G970" t="s">
        <v>22</v>
      </c>
      <c r="H970" t="s">
        <v>568</v>
      </c>
      <c r="I970" t="s">
        <v>116</v>
      </c>
      <c r="J970">
        <v>1</v>
      </c>
      <c r="K970">
        <v>2185</v>
      </c>
      <c r="L970">
        <v>3500</v>
      </c>
      <c r="M970">
        <v>3500</v>
      </c>
      <c r="N970" t="s">
        <v>19</v>
      </c>
    </row>
    <row r="971" spans="1:14" x14ac:dyDescent="0.25">
      <c r="A971" t="s">
        <v>1495</v>
      </c>
      <c r="B971" t="s">
        <v>2008</v>
      </c>
      <c r="C971" t="s">
        <v>654</v>
      </c>
      <c r="D971" t="s">
        <v>20</v>
      </c>
      <c r="E971" t="s">
        <v>132</v>
      </c>
      <c r="F971" t="s">
        <v>15</v>
      </c>
      <c r="G971" t="s">
        <v>22</v>
      </c>
      <c r="H971" t="s">
        <v>568</v>
      </c>
      <c r="I971" t="s">
        <v>137</v>
      </c>
      <c r="J971">
        <v>1</v>
      </c>
      <c r="K971">
        <v>2200</v>
      </c>
      <c r="L971">
        <v>3100</v>
      </c>
      <c r="M971">
        <v>3100</v>
      </c>
      <c r="N971" t="s">
        <v>19</v>
      </c>
    </row>
    <row r="972" spans="1:14" x14ac:dyDescent="0.25">
      <c r="A972" t="s">
        <v>1495</v>
      </c>
      <c r="B972" t="s">
        <v>2008</v>
      </c>
      <c r="C972" t="s">
        <v>654</v>
      </c>
      <c r="D972" t="s">
        <v>20</v>
      </c>
      <c r="E972" t="s">
        <v>132</v>
      </c>
      <c r="F972" t="s">
        <v>15</v>
      </c>
      <c r="G972" t="s">
        <v>22</v>
      </c>
      <c r="H972" t="s">
        <v>568</v>
      </c>
      <c r="I972" t="s">
        <v>655</v>
      </c>
      <c r="J972">
        <v>1</v>
      </c>
      <c r="K972">
        <v>24800</v>
      </c>
      <c r="L972">
        <v>35500</v>
      </c>
      <c r="M972">
        <v>35500</v>
      </c>
      <c r="N972" t="s">
        <v>19</v>
      </c>
    </row>
    <row r="973" spans="1:14" x14ac:dyDescent="0.25">
      <c r="A973" t="s">
        <v>1495</v>
      </c>
      <c r="B973" t="s">
        <v>2008</v>
      </c>
      <c r="C973" t="s">
        <v>654</v>
      </c>
      <c r="D973" t="s">
        <v>20</v>
      </c>
      <c r="E973" t="s">
        <v>132</v>
      </c>
      <c r="F973" t="s">
        <v>15</v>
      </c>
      <c r="G973" t="s">
        <v>22</v>
      </c>
      <c r="H973" t="s">
        <v>568</v>
      </c>
      <c r="I973" t="s">
        <v>99</v>
      </c>
      <c r="J973">
        <v>1</v>
      </c>
      <c r="K973">
        <v>2800</v>
      </c>
      <c r="L973">
        <v>4000</v>
      </c>
      <c r="M973">
        <v>4000</v>
      </c>
      <c r="N973" t="s">
        <v>19</v>
      </c>
    </row>
    <row r="974" spans="1:14" x14ac:dyDescent="0.25">
      <c r="A974" t="s">
        <v>1495</v>
      </c>
      <c r="B974" t="s">
        <v>2008</v>
      </c>
      <c r="C974" t="s">
        <v>654</v>
      </c>
      <c r="D974" t="s">
        <v>20</v>
      </c>
      <c r="E974" t="s">
        <v>132</v>
      </c>
      <c r="F974" t="s">
        <v>15</v>
      </c>
      <c r="G974" t="s">
        <v>22</v>
      </c>
      <c r="H974" t="s">
        <v>568</v>
      </c>
      <c r="I974" t="s">
        <v>76</v>
      </c>
      <c r="J974">
        <v>1</v>
      </c>
      <c r="K974">
        <v>500</v>
      </c>
      <c r="L974">
        <v>500</v>
      </c>
      <c r="M974">
        <v>500</v>
      </c>
      <c r="N974" t="s">
        <v>19</v>
      </c>
    </row>
    <row r="975" spans="1:14" x14ac:dyDescent="0.25">
      <c r="A975" t="s">
        <v>1469</v>
      </c>
      <c r="B975" t="s">
        <v>2009</v>
      </c>
      <c r="C975" t="s">
        <v>582</v>
      </c>
      <c r="D975" t="s">
        <v>363</v>
      </c>
      <c r="E975" t="s">
        <v>364</v>
      </c>
      <c r="F975" t="s">
        <v>15</v>
      </c>
      <c r="G975" t="s">
        <v>22</v>
      </c>
      <c r="H975" t="s">
        <v>583</v>
      </c>
      <c r="I975" t="s">
        <v>151</v>
      </c>
      <c r="J975">
        <v>1</v>
      </c>
      <c r="K975">
        <v>2800</v>
      </c>
      <c r="L975">
        <v>4267.8599999999997</v>
      </c>
      <c r="M975">
        <v>4267.8599999999997</v>
      </c>
      <c r="N975" t="s">
        <v>19</v>
      </c>
    </row>
    <row r="976" spans="1:14" x14ac:dyDescent="0.25">
      <c r="A976" t="s">
        <v>1457</v>
      </c>
      <c r="B976" t="s">
        <v>2010</v>
      </c>
      <c r="C976" t="s">
        <v>586</v>
      </c>
      <c r="D976" t="s">
        <v>523</v>
      </c>
      <c r="E976" t="s">
        <v>311</v>
      </c>
      <c r="F976" t="s">
        <v>15</v>
      </c>
      <c r="G976" t="s">
        <v>22</v>
      </c>
      <c r="H976" t="s">
        <v>583</v>
      </c>
      <c r="I976" t="s">
        <v>209</v>
      </c>
      <c r="J976">
        <v>1</v>
      </c>
      <c r="K976">
        <v>23450</v>
      </c>
      <c r="L976">
        <v>31000</v>
      </c>
      <c r="M976">
        <v>31000</v>
      </c>
      <c r="N976" t="s">
        <v>19</v>
      </c>
    </row>
    <row r="977" spans="1:14" x14ac:dyDescent="0.25">
      <c r="A977" t="s">
        <v>1457</v>
      </c>
      <c r="B977" t="s">
        <v>2010</v>
      </c>
      <c r="C977" t="s">
        <v>586</v>
      </c>
      <c r="D977" t="s">
        <v>523</v>
      </c>
      <c r="E977" t="s">
        <v>311</v>
      </c>
      <c r="F977" t="s">
        <v>15</v>
      </c>
      <c r="G977" t="s">
        <v>22</v>
      </c>
      <c r="H977" t="s">
        <v>583</v>
      </c>
      <c r="I977" t="s">
        <v>151</v>
      </c>
      <c r="J977">
        <v>1</v>
      </c>
      <c r="K977">
        <v>2800</v>
      </c>
      <c r="L977">
        <v>4000</v>
      </c>
      <c r="M977">
        <v>4000</v>
      </c>
      <c r="N977" t="s">
        <v>19</v>
      </c>
    </row>
    <row r="978" spans="1:14" x14ac:dyDescent="0.25">
      <c r="A978" t="s">
        <v>1457</v>
      </c>
      <c r="B978" t="s">
        <v>2010</v>
      </c>
      <c r="C978" t="s">
        <v>586</v>
      </c>
      <c r="D978" t="s">
        <v>523</v>
      </c>
      <c r="E978" t="s">
        <v>311</v>
      </c>
      <c r="F978" t="s">
        <v>15</v>
      </c>
      <c r="G978" t="s">
        <v>22</v>
      </c>
      <c r="H978" t="s">
        <v>583</v>
      </c>
      <c r="I978" t="s">
        <v>210</v>
      </c>
      <c r="J978">
        <v>1</v>
      </c>
      <c r="K978">
        <v>530</v>
      </c>
      <c r="L978">
        <v>700</v>
      </c>
      <c r="M978">
        <v>700</v>
      </c>
      <c r="N978" t="s">
        <v>19</v>
      </c>
    </row>
    <row r="979" spans="1:14" x14ac:dyDescent="0.25">
      <c r="A979" t="s">
        <v>1457</v>
      </c>
      <c r="B979" t="s">
        <v>2010</v>
      </c>
      <c r="C979" t="s">
        <v>586</v>
      </c>
      <c r="D979" t="s">
        <v>523</v>
      </c>
      <c r="E979" t="s">
        <v>311</v>
      </c>
      <c r="F979" t="s">
        <v>15</v>
      </c>
      <c r="G979" t="s">
        <v>22</v>
      </c>
      <c r="H979" t="s">
        <v>583</v>
      </c>
      <c r="I979" t="s">
        <v>211</v>
      </c>
      <c r="J979">
        <v>1</v>
      </c>
      <c r="K979">
        <v>350</v>
      </c>
      <c r="L979">
        <v>500</v>
      </c>
      <c r="M979">
        <v>500</v>
      </c>
      <c r="N979" t="s">
        <v>19</v>
      </c>
    </row>
    <row r="980" spans="1:14" x14ac:dyDescent="0.25">
      <c r="A980" t="s">
        <v>1457</v>
      </c>
      <c r="B980" t="s">
        <v>2010</v>
      </c>
      <c r="C980" t="s">
        <v>586</v>
      </c>
      <c r="D980" t="s">
        <v>523</v>
      </c>
      <c r="E980" t="s">
        <v>311</v>
      </c>
      <c r="F980" t="s">
        <v>15</v>
      </c>
      <c r="G980" t="s">
        <v>22</v>
      </c>
      <c r="H980" t="s">
        <v>583</v>
      </c>
      <c r="I980" t="s">
        <v>98</v>
      </c>
      <c r="J980">
        <v>1</v>
      </c>
      <c r="K980">
        <v>935</v>
      </c>
      <c r="L980">
        <v>1300</v>
      </c>
      <c r="M980">
        <v>1300</v>
      </c>
      <c r="N980" t="s">
        <v>19</v>
      </c>
    </row>
    <row r="981" spans="1:14" x14ac:dyDescent="0.25">
      <c r="A981" t="s">
        <v>1457</v>
      </c>
      <c r="B981" t="s">
        <v>2010</v>
      </c>
      <c r="C981" t="s">
        <v>586</v>
      </c>
      <c r="D981" t="s">
        <v>523</v>
      </c>
      <c r="E981" t="s">
        <v>311</v>
      </c>
      <c r="F981" t="s">
        <v>15</v>
      </c>
      <c r="G981" t="s">
        <v>22</v>
      </c>
      <c r="H981" t="s">
        <v>583</v>
      </c>
      <c r="I981" t="s">
        <v>63</v>
      </c>
      <c r="J981">
        <v>1</v>
      </c>
      <c r="K981">
        <v>500</v>
      </c>
      <c r="L981">
        <v>500</v>
      </c>
      <c r="M981">
        <v>500</v>
      </c>
      <c r="N981" t="s">
        <v>19</v>
      </c>
    </row>
    <row r="982" spans="1:14" x14ac:dyDescent="0.25">
      <c r="A982" t="s">
        <v>1490</v>
      </c>
      <c r="B982" t="s">
        <v>2011</v>
      </c>
      <c r="C982" t="s">
        <v>656</v>
      </c>
      <c r="D982" t="s">
        <v>20</v>
      </c>
      <c r="E982" t="s">
        <v>608</v>
      </c>
      <c r="F982" t="s">
        <v>15</v>
      </c>
      <c r="G982" t="s">
        <v>22</v>
      </c>
      <c r="H982" t="s">
        <v>583</v>
      </c>
      <c r="I982" t="s">
        <v>657</v>
      </c>
      <c r="J982">
        <v>1</v>
      </c>
      <c r="K982">
        <v>800</v>
      </c>
      <c r="L982">
        <v>1500</v>
      </c>
      <c r="M982">
        <v>1500</v>
      </c>
      <c r="N982" t="s">
        <v>19</v>
      </c>
    </row>
    <row r="983" spans="1:14" x14ac:dyDescent="0.25">
      <c r="A983" t="s">
        <v>1525</v>
      </c>
      <c r="B983" t="s">
        <v>2012</v>
      </c>
      <c r="C983" t="s">
        <v>663</v>
      </c>
      <c r="D983" t="s">
        <v>20</v>
      </c>
      <c r="E983" t="s">
        <v>666</v>
      </c>
      <c r="F983" t="s">
        <v>15</v>
      </c>
      <c r="G983" t="s">
        <v>22</v>
      </c>
      <c r="H983" t="s">
        <v>583</v>
      </c>
      <c r="I983" t="s">
        <v>97</v>
      </c>
      <c r="J983">
        <v>1</v>
      </c>
      <c r="K983">
        <v>2200</v>
      </c>
      <c r="L983">
        <v>4200</v>
      </c>
      <c r="M983">
        <v>4200</v>
      </c>
      <c r="N983" t="s">
        <v>19</v>
      </c>
    </row>
    <row r="984" spans="1:14" x14ac:dyDescent="0.25">
      <c r="A984" t="s">
        <v>1525</v>
      </c>
      <c r="B984" t="s">
        <v>2012</v>
      </c>
      <c r="C984" t="s">
        <v>663</v>
      </c>
      <c r="D984" t="s">
        <v>20</v>
      </c>
      <c r="E984" t="s">
        <v>666</v>
      </c>
      <c r="F984" t="s">
        <v>15</v>
      </c>
      <c r="G984" t="s">
        <v>22</v>
      </c>
      <c r="H984" t="s">
        <v>583</v>
      </c>
      <c r="I984" t="s">
        <v>76</v>
      </c>
      <c r="J984">
        <v>1</v>
      </c>
      <c r="K984">
        <v>500</v>
      </c>
      <c r="L984">
        <v>500</v>
      </c>
      <c r="M984">
        <v>500</v>
      </c>
      <c r="N984" t="s">
        <v>19</v>
      </c>
    </row>
    <row r="985" spans="1:14" x14ac:dyDescent="0.25">
      <c r="A985" t="s">
        <v>1491</v>
      </c>
      <c r="B985" t="s">
        <v>2013</v>
      </c>
      <c r="C985" t="s">
        <v>667</v>
      </c>
      <c r="D985" t="s">
        <v>20</v>
      </c>
      <c r="E985" t="s">
        <v>668</v>
      </c>
      <c r="F985" t="s">
        <v>15</v>
      </c>
      <c r="G985" t="s">
        <v>22</v>
      </c>
      <c r="H985" t="s">
        <v>583</v>
      </c>
      <c r="I985" t="s">
        <v>669</v>
      </c>
      <c r="J985">
        <v>1</v>
      </c>
      <c r="K985">
        <v>650</v>
      </c>
      <c r="L985">
        <v>1500</v>
      </c>
      <c r="M985">
        <v>1500</v>
      </c>
      <c r="N985" t="s">
        <v>19</v>
      </c>
    </row>
    <row r="986" spans="1:14" x14ac:dyDescent="0.25">
      <c r="A986" t="s">
        <v>1649</v>
      </c>
      <c r="B986" t="s">
        <v>2014</v>
      </c>
      <c r="C986" t="s">
        <v>588</v>
      </c>
      <c r="D986" t="s">
        <v>591</v>
      </c>
      <c r="E986" t="s">
        <v>306</v>
      </c>
      <c r="F986" t="s">
        <v>592</v>
      </c>
      <c r="G986" t="s">
        <v>16</v>
      </c>
      <c r="H986" t="s">
        <v>593</v>
      </c>
      <c r="I986" t="s">
        <v>143</v>
      </c>
      <c r="J986">
        <v>1</v>
      </c>
      <c r="K986">
        <v>2975</v>
      </c>
      <c r="L986">
        <v>8500</v>
      </c>
      <c r="M986">
        <v>8500</v>
      </c>
      <c r="N986" t="s">
        <v>39</v>
      </c>
    </row>
    <row r="987" spans="1:14" x14ac:dyDescent="0.25">
      <c r="A987" t="s">
        <v>1649</v>
      </c>
      <c r="B987" t="s">
        <v>2014</v>
      </c>
      <c r="C987" t="s">
        <v>588</v>
      </c>
      <c r="D987" t="s">
        <v>591</v>
      </c>
      <c r="E987" t="s">
        <v>306</v>
      </c>
      <c r="F987" t="s">
        <v>592</v>
      </c>
      <c r="G987" t="s">
        <v>16</v>
      </c>
      <c r="H987" t="s">
        <v>593</v>
      </c>
      <c r="I987" t="s">
        <v>48</v>
      </c>
      <c r="J987">
        <v>1</v>
      </c>
      <c r="K987">
        <v>1925</v>
      </c>
      <c r="L987">
        <v>5500</v>
      </c>
      <c r="M987">
        <v>5500</v>
      </c>
      <c r="N987" t="s">
        <v>39</v>
      </c>
    </row>
    <row r="988" spans="1:14" x14ac:dyDescent="0.25">
      <c r="A988" t="s">
        <v>1649</v>
      </c>
      <c r="B988" t="s">
        <v>2014</v>
      </c>
      <c r="C988" t="s">
        <v>588</v>
      </c>
      <c r="D988" t="s">
        <v>591</v>
      </c>
      <c r="E988" t="s">
        <v>306</v>
      </c>
      <c r="F988" t="s">
        <v>592</v>
      </c>
      <c r="G988" t="s">
        <v>16</v>
      </c>
      <c r="H988" t="s">
        <v>593</v>
      </c>
      <c r="I988" t="s">
        <v>126</v>
      </c>
      <c r="J988">
        <v>1</v>
      </c>
      <c r="K988">
        <v>1925</v>
      </c>
      <c r="L988">
        <v>5500</v>
      </c>
      <c r="M988">
        <v>5500</v>
      </c>
      <c r="N988" t="s">
        <v>39</v>
      </c>
    </row>
    <row r="989" spans="1:14" x14ac:dyDescent="0.25">
      <c r="A989" t="s">
        <v>1649</v>
      </c>
      <c r="B989" t="s">
        <v>2014</v>
      </c>
      <c r="C989" t="s">
        <v>588</v>
      </c>
      <c r="D989" t="s">
        <v>591</v>
      </c>
      <c r="E989" t="s">
        <v>306</v>
      </c>
      <c r="F989" t="s">
        <v>592</v>
      </c>
      <c r="G989" t="s">
        <v>16</v>
      </c>
      <c r="H989" t="s">
        <v>593</v>
      </c>
      <c r="I989" t="s">
        <v>26</v>
      </c>
      <c r="J989">
        <v>1</v>
      </c>
      <c r="K989">
        <v>500</v>
      </c>
      <c r="L989">
        <v>500</v>
      </c>
      <c r="M989">
        <v>500</v>
      </c>
      <c r="N989" t="s">
        <v>39</v>
      </c>
    </row>
    <row r="990" spans="1:14" x14ac:dyDescent="0.25">
      <c r="A990" t="s">
        <v>1649</v>
      </c>
      <c r="B990" t="s">
        <v>2014</v>
      </c>
      <c r="C990" t="s">
        <v>588</v>
      </c>
      <c r="D990" t="s">
        <v>591</v>
      </c>
      <c r="E990" t="s">
        <v>306</v>
      </c>
      <c r="F990" t="s">
        <v>592</v>
      </c>
      <c r="G990" t="s">
        <v>16</v>
      </c>
      <c r="H990" t="s">
        <v>593</v>
      </c>
      <c r="I990" t="s">
        <v>38</v>
      </c>
      <c r="J990">
        <v>1</v>
      </c>
      <c r="K990">
        <v>8500</v>
      </c>
      <c r="L990">
        <v>12500</v>
      </c>
      <c r="M990">
        <v>12500</v>
      </c>
      <c r="N990" t="s">
        <v>39</v>
      </c>
    </row>
    <row r="991" spans="1:14" x14ac:dyDescent="0.25">
      <c r="A991" t="s">
        <v>1649</v>
      </c>
      <c r="B991" t="s">
        <v>2014</v>
      </c>
      <c r="C991" t="s">
        <v>588</v>
      </c>
      <c r="D991" t="s">
        <v>591</v>
      </c>
      <c r="E991" t="s">
        <v>306</v>
      </c>
      <c r="F991" t="s">
        <v>592</v>
      </c>
      <c r="G991" t="s">
        <v>16</v>
      </c>
      <c r="H991" t="s">
        <v>593</v>
      </c>
      <c r="I991" t="s">
        <v>97</v>
      </c>
      <c r="J991">
        <v>1</v>
      </c>
      <c r="K991">
        <v>2200</v>
      </c>
      <c r="L991">
        <v>3000</v>
      </c>
      <c r="M991">
        <v>3000</v>
      </c>
      <c r="N991" t="s">
        <v>39</v>
      </c>
    </row>
    <row r="992" spans="1:14" x14ac:dyDescent="0.25">
      <c r="A992" t="s">
        <v>1649</v>
      </c>
      <c r="B992" t="s">
        <v>2014</v>
      </c>
      <c r="C992" t="s">
        <v>588</v>
      </c>
      <c r="D992" t="s">
        <v>591</v>
      </c>
      <c r="E992" t="s">
        <v>306</v>
      </c>
      <c r="F992" t="s">
        <v>592</v>
      </c>
      <c r="G992" t="s">
        <v>16</v>
      </c>
      <c r="H992" t="s">
        <v>593</v>
      </c>
      <c r="I992" t="s">
        <v>284</v>
      </c>
      <c r="J992">
        <v>1</v>
      </c>
      <c r="K992">
        <v>11000</v>
      </c>
      <c r="L992">
        <v>16000</v>
      </c>
      <c r="M992">
        <v>16000</v>
      </c>
      <c r="N992" t="s">
        <v>39</v>
      </c>
    </row>
    <row r="993" spans="1:14" x14ac:dyDescent="0.25">
      <c r="A993" t="s">
        <v>1649</v>
      </c>
      <c r="B993" t="s">
        <v>2014</v>
      </c>
      <c r="C993" t="s">
        <v>588</v>
      </c>
      <c r="D993" t="s">
        <v>591</v>
      </c>
      <c r="E993" t="s">
        <v>306</v>
      </c>
      <c r="F993" t="s">
        <v>592</v>
      </c>
      <c r="G993" t="s">
        <v>16</v>
      </c>
      <c r="H993" t="s">
        <v>593</v>
      </c>
      <c r="I993" t="s">
        <v>85</v>
      </c>
      <c r="J993">
        <v>1</v>
      </c>
      <c r="K993">
        <v>1350</v>
      </c>
      <c r="L993">
        <v>2500</v>
      </c>
      <c r="M993">
        <v>2500</v>
      </c>
      <c r="N993" t="s">
        <v>39</v>
      </c>
    </row>
    <row r="994" spans="1:14" x14ac:dyDescent="0.25">
      <c r="A994" t="s">
        <v>1649</v>
      </c>
      <c r="B994" t="s">
        <v>2014</v>
      </c>
      <c r="C994" t="s">
        <v>588</v>
      </c>
      <c r="D994" t="s">
        <v>591</v>
      </c>
      <c r="E994" t="s">
        <v>306</v>
      </c>
      <c r="F994" t="s">
        <v>592</v>
      </c>
      <c r="G994" t="s">
        <v>16</v>
      </c>
      <c r="H994" t="s">
        <v>593</v>
      </c>
      <c r="I994" t="s">
        <v>209</v>
      </c>
      <c r="J994">
        <v>1</v>
      </c>
      <c r="K994">
        <v>23450</v>
      </c>
      <c r="L994">
        <v>31300</v>
      </c>
      <c r="M994">
        <v>31300</v>
      </c>
      <c r="N994" t="s">
        <v>39</v>
      </c>
    </row>
    <row r="995" spans="1:14" x14ac:dyDescent="0.25">
      <c r="A995" t="s">
        <v>1649</v>
      </c>
      <c r="B995" t="s">
        <v>2014</v>
      </c>
      <c r="C995" t="s">
        <v>588</v>
      </c>
      <c r="D995" t="s">
        <v>591</v>
      </c>
      <c r="E995" t="s">
        <v>306</v>
      </c>
      <c r="F995" t="s">
        <v>592</v>
      </c>
      <c r="G995" t="s">
        <v>16</v>
      </c>
      <c r="H995" t="s">
        <v>593</v>
      </c>
      <c r="I995" t="s">
        <v>151</v>
      </c>
      <c r="J995">
        <v>1</v>
      </c>
      <c r="K995">
        <v>2800</v>
      </c>
      <c r="L995">
        <v>4000</v>
      </c>
      <c r="M995">
        <v>4000</v>
      </c>
      <c r="N995" t="s">
        <v>39</v>
      </c>
    </row>
    <row r="996" spans="1:14" x14ac:dyDescent="0.25">
      <c r="A996" t="s">
        <v>1649</v>
      </c>
      <c r="B996" t="s">
        <v>2014</v>
      </c>
      <c r="C996" t="s">
        <v>588</v>
      </c>
      <c r="D996" t="s">
        <v>591</v>
      </c>
      <c r="E996" t="s">
        <v>306</v>
      </c>
      <c r="F996" t="s">
        <v>592</v>
      </c>
      <c r="G996" t="s">
        <v>16</v>
      </c>
      <c r="H996" t="s">
        <v>593</v>
      </c>
      <c r="I996" t="s">
        <v>210</v>
      </c>
      <c r="J996">
        <v>1</v>
      </c>
      <c r="K996">
        <v>500</v>
      </c>
      <c r="L996">
        <v>700</v>
      </c>
      <c r="M996">
        <v>700</v>
      </c>
      <c r="N996" t="s">
        <v>39</v>
      </c>
    </row>
    <row r="997" spans="1:14" x14ac:dyDescent="0.25">
      <c r="A997" t="s">
        <v>1649</v>
      </c>
      <c r="B997" t="s">
        <v>2014</v>
      </c>
      <c r="C997" t="s">
        <v>588</v>
      </c>
      <c r="D997" t="s">
        <v>591</v>
      </c>
      <c r="E997" t="s">
        <v>306</v>
      </c>
      <c r="F997" t="s">
        <v>592</v>
      </c>
      <c r="G997" t="s">
        <v>16</v>
      </c>
      <c r="H997" t="s">
        <v>593</v>
      </c>
      <c r="I997" t="s">
        <v>211</v>
      </c>
      <c r="J997">
        <v>1</v>
      </c>
      <c r="K997">
        <v>350</v>
      </c>
      <c r="L997">
        <v>500</v>
      </c>
      <c r="M997">
        <v>500</v>
      </c>
      <c r="N997" t="s">
        <v>39</v>
      </c>
    </row>
    <row r="998" spans="1:14" x14ac:dyDescent="0.25">
      <c r="A998" t="s">
        <v>1662</v>
      </c>
      <c r="B998" t="s">
        <v>2015</v>
      </c>
      <c r="C998" t="s">
        <v>670</v>
      </c>
      <c r="D998" t="s">
        <v>673</v>
      </c>
      <c r="E998" t="s">
        <v>674</v>
      </c>
      <c r="F998" t="s">
        <v>15</v>
      </c>
      <c r="G998" t="s">
        <v>22</v>
      </c>
      <c r="H998" t="s">
        <v>593</v>
      </c>
      <c r="I998" t="s">
        <v>675</v>
      </c>
      <c r="J998">
        <v>1</v>
      </c>
      <c r="K998">
        <v>3675</v>
      </c>
      <c r="L998">
        <v>10500</v>
      </c>
      <c r="M998">
        <v>10500</v>
      </c>
      <c r="N998" t="s">
        <v>19</v>
      </c>
    </row>
    <row r="999" spans="1:14" x14ac:dyDescent="0.25">
      <c r="A999" t="s">
        <v>1662</v>
      </c>
      <c r="B999" t="s">
        <v>2015</v>
      </c>
      <c r="C999" t="s">
        <v>670</v>
      </c>
      <c r="D999" t="s">
        <v>673</v>
      </c>
      <c r="E999" t="s">
        <v>674</v>
      </c>
      <c r="F999" t="s">
        <v>15</v>
      </c>
      <c r="G999" t="s">
        <v>22</v>
      </c>
      <c r="H999" t="s">
        <v>593</v>
      </c>
      <c r="I999" t="s">
        <v>170</v>
      </c>
      <c r="J999">
        <v>1</v>
      </c>
      <c r="K999">
        <v>12250</v>
      </c>
      <c r="L999">
        <v>12250</v>
      </c>
      <c r="M999">
        <v>12250</v>
      </c>
      <c r="N999" t="s">
        <v>19</v>
      </c>
    </row>
    <row r="1000" spans="1:14" x14ac:dyDescent="0.25">
      <c r="A1000" t="s">
        <v>1662</v>
      </c>
      <c r="B1000" t="s">
        <v>2015</v>
      </c>
      <c r="C1000" t="s">
        <v>670</v>
      </c>
      <c r="D1000" t="s">
        <v>673</v>
      </c>
      <c r="E1000" t="s">
        <v>674</v>
      </c>
      <c r="F1000" t="s">
        <v>15</v>
      </c>
      <c r="G1000" t="s">
        <v>22</v>
      </c>
      <c r="H1000" t="s">
        <v>593</v>
      </c>
      <c r="I1000" t="s">
        <v>24</v>
      </c>
      <c r="J1000">
        <v>1</v>
      </c>
      <c r="K1000">
        <v>12250</v>
      </c>
      <c r="L1000">
        <v>12250</v>
      </c>
      <c r="M1000">
        <v>12250</v>
      </c>
      <c r="N1000" t="s">
        <v>19</v>
      </c>
    </row>
    <row r="1001" spans="1:14" x14ac:dyDescent="0.25">
      <c r="A1001" t="s">
        <v>1662</v>
      </c>
      <c r="B1001" t="s">
        <v>2015</v>
      </c>
      <c r="C1001" t="s">
        <v>670</v>
      </c>
      <c r="D1001" t="s">
        <v>673</v>
      </c>
      <c r="E1001" t="s">
        <v>674</v>
      </c>
      <c r="F1001" t="s">
        <v>15</v>
      </c>
      <c r="G1001" t="s">
        <v>22</v>
      </c>
      <c r="H1001" t="s">
        <v>593</v>
      </c>
      <c r="I1001" t="s">
        <v>26</v>
      </c>
      <c r="J1001">
        <v>1</v>
      </c>
      <c r="K1001">
        <v>500</v>
      </c>
      <c r="L1001">
        <v>500</v>
      </c>
      <c r="M1001">
        <v>500</v>
      </c>
      <c r="N1001" t="s">
        <v>19</v>
      </c>
    </row>
    <row r="1002" spans="1:14" x14ac:dyDescent="0.25">
      <c r="A1002" t="s">
        <v>1662</v>
      </c>
      <c r="B1002" t="s">
        <v>2015</v>
      </c>
      <c r="C1002" t="s">
        <v>670</v>
      </c>
      <c r="D1002" t="s">
        <v>673</v>
      </c>
      <c r="E1002" t="s">
        <v>674</v>
      </c>
      <c r="F1002" t="s">
        <v>15</v>
      </c>
      <c r="G1002" t="s">
        <v>22</v>
      </c>
      <c r="H1002" t="s">
        <v>593</v>
      </c>
      <c r="I1002" t="s">
        <v>96</v>
      </c>
      <c r="J1002">
        <v>1</v>
      </c>
      <c r="K1002">
        <v>1350</v>
      </c>
      <c r="L1002">
        <v>2000</v>
      </c>
      <c r="M1002">
        <v>2000</v>
      </c>
      <c r="N1002" t="s">
        <v>19</v>
      </c>
    </row>
    <row r="1003" spans="1:14" x14ac:dyDescent="0.25">
      <c r="A1003" t="s">
        <v>1662</v>
      </c>
      <c r="B1003" t="s">
        <v>2015</v>
      </c>
      <c r="C1003" t="s">
        <v>670</v>
      </c>
      <c r="D1003" t="s">
        <v>673</v>
      </c>
      <c r="E1003" t="s">
        <v>674</v>
      </c>
      <c r="F1003" t="s">
        <v>15</v>
      </c>
      <c r="G1003" t="s">
        <v>22</v>
      </c>
      <c r="H1003" t="s">
        <v>593</v>
      </c>
      <c r="I1003" t="s">
        <v>676</v>
      </c>
      <c r="J1003">
        <v>1</v>
      </c>
      <c r="K1003">
        <v>24330</v>
      </c>
      <c r="L1003">
        <v>34800</v>
      </c>
      <c r="M1003">
        <v>34800</v>
      </c>
      <c r="N1003" t="s">
        <v>19</v>
      </c>
    </row>
    <row r="1004" spans="1:14" x14ac:dyDescent="0.25">
      <c r="A1004" t="s">
        <v>1662</v>
      </c>
      <c r="B1004" t="s">
        <v>2015</v>
      </c>
      <c r="C1004" t="s">
        <v>670</v>
      </c>
      <c r="D1004" t="s">
        <v>673</v>
      </c>
      <c r="E1004" t="s">
        <v>674</v>
      </c>
      <c r="F1004" t="s">
        <v>15</v>
      </c>
      <c r="G1004" t="s">
        <v>22</v>
      </c>
      <c r="H1004" t="s">
        <v>593</v>
      </c>
      <c r="I1004" t="s">
        <v>99</v>
      </c>
      <c r="J1004">
        <v>1</v>
      </c>
      <c r="K1004">
        <v>2800</v>
      </c>
      <c r="L1004">
        <v>4000</v>
      </c>
      <c r="M1004">
        <v>4000</v>
      </c>
      <c r="N1004" t="s">
        <v>19</v>
      </c>
    </row>
    <row r="1005" spans="1:14" x14ac:dyDescent="0.25">
      <c r="A1005" t="s">
        <v>1662</v>
      </c>
      <c r="B1005" t="s">
        <v>2015</v>
      </c>
      <c r="C1005" t="s">
        <v>670</v>
      </c>
      <c r="D1005" t="s">
        <v>673</v>
      </c>
      <c r="E1005" t="s">
        <v>674</v>
      </c>
      <c r="F1005" t="s">
        <v>15</v>
      </c>
      <c r="G1005" t="s">
        <v>22</v>
      </c>
      <c r="H1005" t="s">
        <v>593</v>
      </c>
      <c r="I1005" t="s">
        <v>76</v>
      </c>
      <c r="J1005">
        <v>1</v>
      </c>
      <c r="K1005">
        <v>500</v>
      </c>
      <c r="L1005">
        <v>500</v>
      </c>
      <c r="M1005">
        <v>500</v>
      </c>
      <c r="N1005" t="s">
        <v>19</v>
      </c>
    </row>
    <row r="1006" spans="1:14" x14ac:dyDescent="0.25">
      <c r="A1006" t="s">
        <v>1609</v>
      </c>
      <c r="B1006" t="s">
        <v>2016</v>
      </c>
      <c r="C1006" t="s">
        <v>677</v>
      </c>
      <c r="D1006" t="s">
        <v>191</v>
      </c>
      <c r="E1006" t="s">
        <v>192</v>
      </c>
      <c r="F1006" t="s">
        <v>15</v>
      </c>
      <c r="G1006" t="s">
        <v>22</v>
      </c>
      <c r="H1006" t="s">
        <v>593</v>
      </c>
      <c r="I1006" t="s">
        <v>392</v>
      </c>
      <c r="J1006">
        <v>1</v>
      </c>
      <c r="K1006">
        <v>3360</v>
      </c>
      <c r="L1006">
        <v>5800</v>
      </c>
      <c r="M1006">
        <v>5800</v>
      </c>
      <c r="N1006" t="s">
        <v>19</v>
      </c>
    </row>
    <row r="1007" spans="1:14" x14ac:dyDescent="0.25">
      <c r="A1007" t="s">
        <v>1644</v>
      </c>
      <c r="B1007" t="s">
        <v>2017</v>
      </c>
      <c r="C1007" t="s">
        <v>304</v>
      </c>
      <c r="D1007" t="s">
        <v>1099</v>
      </c>
      <c r="E1007" t="s">
        <v>1100</v>
      </c>
      <c r="F1007" t="s">
        <v>420</v>
      </c>
      <c r="G1007" t="s">
        <v>1043</v>
      </c>
      <c r="H1007" t="s">
        <v>1101</v>
      </c>
      <c r="I1007" t="s">
        <v>1102</v>
      </c>
      <c r="J1007">
        <v>1</v>
      </c>
      <c r="K1007">
        <v>6300</v>
      </c>
      <c r="L1007">
        <v>18000</v>
      </c>
      <c r="M1007">
        <v>18000</v>
      </c>
      <c r="N1007" t="s">
        <v>1010</v>
      </c>
    </row>
    <row r="1008" spans="1:14" x14ac:dyDescent="0.25">
      <c r="A1008" t="s">
        <v>1644</v>
      </c>
      <c r="B1008" t="s">
        <v>2017</v>
      </c>
      <c r="C1008" t="s">
        <v>304</v>
      </c>
      <c r="D1008" t="s">
        <v>1099</v>
      </c>
      <c r="E1008" t="s">
        <v>1100</v>
      </c>
      <c r="F1008" t="s">
        <v>420</v>
      </c>
      <c r="G1008" t="s">
        <v>1043</v>
      </c>
      <c r="H1008" t="s">
        <v>1101</v>
      </c>
      <c r="I1008" t="s">
        <v>26</v>
      </c>
      <c r="J1008">
        <v>1</v>
      </c>
      <c r="K1008">
        <v>1500</v>
      </c>
      <c r="L1008">
        <v>1500</v>
      </c>
      <c r="M1008">
        <v>1500</v>
      </c>
      <c r="N1008" t="s">
        <v>1010</v>
      </c>
    </row>
    <row r="1009" spans="1:14" x14ac:dyDescent="0.25">
      <c r="A1009" t="s">
        <v>1644</v>
      </c>
      <c r="B1009" t="s">
        <v>2017</v>
      </c>
      <c r="C1009" t="s">
        <v>304</v>
      </c>
      <c r="D1009" t="s">
        <v>1099</v>
      </c>
      <c r="E1009" t="s">
        <v>1100</v>
      </c>
      <c r="F1009" t="s">
        <v>420</v>
      </c>
      <c r="G1009" t="s">
        <v>1043</v>
      </c>
      <c r="H1009" t="s">
        <v>1101</v>
      </c>
      <c r="I1009" t="s">
        <v>1103</v>
      </c>
      <c r="J1009">
        <v>1</v>
      </c>
      <c r="K1009">
        <v>23450</v>
      </c>
      <c r="L1009">
        <v>31800</v>
      </c>
      <c r="M1009">
        <v>31800</v>
      </c>
      <c r="N1009" t="s">
        <v>1010</v>
      </c>
    </row>
    <row r="1010" spans="1:14" x14ac:dyDescent="0.25">
      <c r="A1010" t="s">
        <v>1644</v>
      </c>
      <c r="B1010" t="s">
        <v>2017</v>
      </c>
      <c r="C1010" t="s">
        <v>304</v>
      </c>
      <c r="D1010" t="s">
        <v>1099</v>
      </c>
      <c r="E1010" t="s">
        <v>1100</v>
      </c>
      <c r="F1010" t="s">
        <v>420</v>
      </c>
      <c r="G1010" t="s">
        <v>1043</v>
      </c>
      <c r="H1010" t="s">
        <v>1101</v>
      </c>
      <c r="I1010" t="s">
        <v>151</v>
      </c>
      <c r="J1010">
        <v>1</v>
      </c>
      <c r="K1010">
        <v>2800</v>
      </c>
      <c r="L1010">
        <v>4000</v>
      </c>
      <c r="M1010">
        <v>4000</v>
      </c>
      <c r="N1010" t="s">
        <v>1010</v>
      </c>
    </row>
    <row r="1011" spans="1:14" x14ac:dyDescent="0.25">
      <c r="A1011" t="s">
        <v>1644</v>
      </c>
      <c r="B1011" t="s">
        <v>2017</v>
      </c>
      <c r="C1011" t="s">
        <v>304</v>
      </c>
      <c r="D1011" t="s">
        <v>1099</v>
      </c>
      <c r="E1011" t="s">
        <v>1100</v>
      </c>
      <c r="F1011" t="s">
        <v>420</v>
      </c>
      <c r="G1011" t="s">
        <v>1043</v>
      </c>
      <c r="H1011" t="s">
        <v>1101</v>
      </c>
      <c r="I1011" t="s">
        <v>189</v>
      </c>
      <c r="J1011">
        <v>1</v>
      </c>
      <c r="K1011">
        <v>500</v>
      </c>
      <c r="L1011">
        <v>700</v>
      </c>
      <c r="M1011">
        <v>700</v>
      </c>
      <c r="N1011" t="s">
        <v>1010</v>
      </c>
    </row>
    <row r="1012" spans="1:14" x14ac:dyDescent="0.25">
      <c r="A1012" t="s">
        <v>1644</v>
      </c>
      <c r="B1012" t="s">
        <v>2017</v>
      </c>
      <c r="C1012" t="s">
        <v>304</v>
      </c>
      <c r="D1012" t="s">
        <v>1099</v>
      </c>
      <c r="E1012" t="s">
        <v>1100</v>
      </c>
      <c r="F1012" t="s">
        <v>420</v>
      </c>
      <c r="G1012" t="s">
        <v>1043</v>
      </c>
      <c r="H1012" t="s">
        <v>1101</v>
      </c>
      <c r="I1012" t="s">
        <v>1033</v>
      </c>
      <c r="J1012">
        <v>1</v>
      </c>
      <c r="K1012">
        <v>350</v>
      </c>
      <c r="L1012">
        <v>500</v>
      </c>
      <c r="M1012">
        <v>500</v>
      </c>
      <c r="N1012" t="s">
        <v>1010</v>
      </c>
    </row>
    <row r="1013" spans="1:14" x14ac:dyDescent="0.25">
      <c r="A1013" t="s">
        <v>1644</v>
      </c>
      <c r="B1013" t="s">
        <v>2017</v>
      </c>
      <c r="C1013" t="s">
        <v>304</v>
      </c>
      <c r="D1013" t="s">
        <v>1099</v>
      </c>
      <c r="E1013" t="s">
        <v>1100</v>
      </c>
      <c r="F1013" t="s">
        <v>420</v>
      </c>
      <c r="G1013" t="s">
        <v>1043</v>
      </c>
      <c r="H1013" t="s">
        <v>1101</v>
      </c>
      <c r="I1013" t="s">
        <v>1014</v>
      </c>
      <c r="J1013">
        <v>1</v>
      </c>
      <c r="K1013">
        <v>970</v>
      </c>
      <c r="L1013">
        <v>1500</v>
      </c>
      <c r="M1013">
        <v>1500</v>
      </c>
      <c r="N1013" t="s">
        <v>1010</v>
      </c>
    </row>
    <row r="1014" spans="1:14" x14ac:dyDescent="0.25">
      <c r="A1014" t="s">
        <v>1644</v>
      </c>
      <c r="B1014" t="s">
        <v>2017</v>
      </c>
      <c r="C1014" t="s">
        <v>304</v>
      </c>
      <c r="D1014" t="s">
        <v>1099</v>
      </c>
      <c r="E1014" t="s">
        <v>1100</v>
      </c>
      <c r="F1014" t="s">
        <v>420</v>
      </c>
      <c r="G1014" t="s">
        <v>1043</v>
      </c>
      <c r="H1014" t="s">
        <v>1101</v>
      </c>
      <c r="I1014" t="s">
        <v>63</v>
      </c>
      <c r="J1014">
        <v>1</v>
      </c>
      <c r="K1014">
        <v>500</v>
      </c>
      <c r="L1014">
        <v>500</v>
      </c>
      <c r="M1014">
        <v>500</v>
      </c>
      <c r="N1014" t="s">
        <v>1010</v>
      </c>
    </row>
    <row r="1015" spans="1:14" x14ac:dyDescent="0.25">
      <c r="A1015" t="s">
        <v>1645</v>
      </c>
      <c r="B1015" t="s">
        <v>2018</v>
      </c>
      <c r="C1015" t="s">
        <v>309</v>
      </c>
      <c r="D1015" t="s">
        <v>1099</v>
      </c>
      <c r="E1015" t="s">
        <v>1100</v>
      </c>
      <c r="F1015" t="s">
        <v>201</v>
      </c>
      <c r="G1015" t="s">
        <v>1043</v>
      </c>
      <c r="H1015" t="s">
        <v>1101</v>
      </c>
      <c r="I1015" t="s">
        <v>1102</v>
      </c>
      <c r="J1015">
        <v>1</v>
      </c>
      <c r="K1015">
        <v>6300</v>
      </c>
      <c r="L1015">
        <v>18000</v>
      </c>
      <c r="M1015">
        <v>18000</v>
      </c>
      <c r="N1015" t="s">
        <v>1010</v>
      </c>
    </row>
    <row r="1016" spans="1:14" x14ac:dyDescent="0.25">
      <c r="A1016" t="s">
        <v>1645</v>
      </c>
      <c r="B1016" t="s">
        <v>2018</v>
      </c>
      <c r="C1016" t="s">
        <v>309</v>
      </c>
      <c r="D1016" t="s">
        <v>1099</v>
      </c>
      <c r="E1016" t="s">
        <v>1100</v>
      </c>
      <c r="F1016" t="s">
        <v>201</v>
      </c>
      <c r="G1016" t="s">
        <v>1043</v>
      </c>
      <c r="H1016" t="s">
        <v>1101</v>
      </c>
      <c r="I1016" t="s">
        <v>26</v>
      </c>
      <c r="J1016">
        <v>1</v>
      </c>
      <c r="K1016">
        <v>1500</v>
      </c>
      <c r="L1016">
        <v>1500</v>
      </c>
      <c r="M1016">
        <v>1500</v>
      </c>
      <c r="N1016" t="s">
        <v>1010</v>
      </c>
    </row>
    <row r="1017" spans="1:14" x14ac:dyDescent="0.25">
      <c r="A1017" t="s">
        <v>1645</v>
      </c>
      <c r="B1017" t="s">
        <v>2018</v>
      </c>
      <c r="C1017" t="s">
        <v>309</v>
      </c>
      <c r="D1017" t="s">
        <v>1099</v>
      </c>
      <c r="E1017" t="s">
        <v>1100</v>
      </c>
      <c r="F1017" t="s">
        <v>201</v>
      </c>
      <c r="G1017" t="s">
        <v>1043</v>
      </c>
      <c r="H1017" t="s">
        <v>1101</v>
      </c>
      <c r="I1017" t="s">
        <v>1103</v>
      </c>
      <c r="J1017">
        <v>1</v>
      </c>
      <c r="K1017">
        <v>23450</v>
      </c>
      <c r="L1017">
        <v>31800</v>
      </c>
      <c r="M1017">
        <v>31800</v>
      </c>
      <c r="N1017" t="s">
        <v>1010</v>
      </c>
    </row>
    <row r="1018" spans="1:14" x14ac:dyDescent="0.25">
      <c r="A1018" t="s">
        <v>1645</v>
      </c>
      <c r="B1018" t="s">
        <v>2018</v>
      </c>
      <c r="C1018" t="s">
        <v>309</v>
      </c>
      <c r="D1018" t="s">
        <v>1099</v>
      </c>
      <c r="E1018" t="s">
        <v>1100</v>
      </c>
      <c r="F1018" t="s">
        <v>201</v>
      </c>
      <c r="G1018" t="s">
        <v>1043</v>
      </c>
      <c r="H1018" t="s">
        <v>1101</v>
      </c>
      <c r="I1018" t="s">
        <v>151</v>
      </c>
      <c r="J1018">
        <v>1</v>
      </c>
      <c r="K1018">
        <v>2800</v>
      </c>
      <c r="L1018">
        <v>4000</v>
      </c>
      <c r="M1018">
        <v>4000</v>
      </c>
      <c r="N1018" t="s">
        <v>1010</v>
      </c>
    </row>
    <row r="1019" spans="1:14" x14ac:dyDescent="0.25">
      <c r="A1019" t="s">
        <v>1645</v>
      </c>
      <c r="B1019" t="s">
        <v>2018</v>
      </c>
      <c r="C1019" t="s">
        <v>309</v>
      </c>
      <c r="D1019" t="s">
        <v>1099</v>
      </c>
      <c r="E1019" t="s">
        <v>1100</v>
      </c>
      <c r="F1019" t="s">
        <v>201</v>
      </c>
      <c r="G1019" t="s">
        <v>1043</v>
      </c>
      <c r="H1019" t="s">
        <v>1101</v>
      </c>
      <c r="I1019" t="s">
        <v>189</v>
      </c>
      <c r="J1019">
        <v>1</v>
      </c>
      <c r="K1019">
        <v>500</v>
      </c>
      <c r="L1019">
        <v>700</v>
      </c>
      <c r="M1019">
        <v>700</v>
      </c>
      <c r="N1019" t="s">
        <v>1010</v>
      </c>
    </row>
    <row r="1020" spans="1:14" x14ac:dyDescent="0.25">
      <c r="A1020" t="s">
        <v>1645</v>
      </c>
      <c r="B1020" t="s">
        <v>2018</v>
      </c>
      <c r="C1020" t="s">
        <v>309</v>
      </c>
      <c r="D1020" t="s">
        <v>1099</v>
      </c>
      <c r="E1020" t="s">
        <v>1100</v>
      </c>
      <c r="F1020" t="s">
        <v>201</v>
      </c>
      <c r="G1020" t="s">
        <v>1043</v>
      </c>
      <c r="H1020" t="s">
        <v>1101</v>
      </c>
      <c r="I1020" t="s">
        <v>1033</v>
      </c>
      <c r="J1020">
        <v>1</v>
      </c>
      <c r="K1020">
        <v>350</v>
      </c>
      <c r="L1020">
        <v>500</v>
      </c>
      <c r="M1020">
        <v>500</v>
      </c>
      <c r="N1020" t="s">
        <v>1010</v>
      </c>
    </row>
    <row r="1021" spans="1:14" x14ac:dyDescent="0.25">
      <c r="A1021" t="s">
        <v>1645</v>
      </c>
      <c r="B1021" t="s">
        <v>2018</v>
      </c>
      <c r="C1021" t="s">
        <v>309</v>
      </c>
      <c r="D1021" t="s">
        <v>1099</v>
      </c>
      <c r="E1021" t="s">
        <v>1100</v>
      </c>
      <c r="F1021" t="s">
        <v>201</v>
      </c>
      <c r="G1021" t="s">
        <v>1043</v>
      </c>
      <c r="H1021" t="s">
        <v>1101</v>
      </c>
      <c r="I1021" t="s">
        <v>1014</v>
      </c>
      <c r="J1021">
        <v>1</v>
      </c>
      <c r="K1021">
        <v>970</v>
      </c>
      <c r="L1021">
        <v>1500</v>
      </c>
      <c r="M1021">
        <v>1500</v>
      </c>
      <c r="N1021" t="s">
        <v>1010</v>
      </c>
    </row>
    <row r="1022" spans="1:14" x14ac:dyDescent="0.25">
      <c r="A1022" t="s">
        <v>1645</v>
      </c>
      <c r="B1022" t="s">
        <v>2018</v>
      </c>
      <c r="C1022" t="s">
        <v>309</v>
      </c>
      <c r="D1022" t="s">
        <v>1099</v>
      </c>
      <c r="E1022" t="s">
        <v>1100</v>
      </c>
      <c r="F1022" t="s">
        <v>201</v>
      </c>
      <c r="G1022" t="s">
        <v>1043</v>
      </c>
      <c r="H1022" t="s">
        <v>1101</v>
      </c>
      <c r="I1022" t="s">
        <v>63</v>
      </c>
      <c r="J1022">
        <v>1</v>
      </c>
      <c r="K1022">
        <v>500</v>
      </c>
      <c r="L1022">
        <v>500</v>
      </c>
      <c r="M1022">
        <v>500</v>
      </c>
      <c r="N1022" t="s">
        <v>1010</v>
      </c>
    </row>
    <row r="1023" spans="1:14" x14ac:dyDescent="0.25">
      <c r="A1023" t="s">
        <v>1643</v>
      </c>
      <c r="B1023" t="s">
        <v>2019</v>
      </c>
      <c r="C1023" t="s">
        <v>320</v>
      </c>
      <c r="D1023" t="s">
        <v>1099</v>
      </c>
      <c r="E1023" t="s">
        <v>1100</v>
      </c>
      <c r="F1023" t="s">
        <v>1104</v>
      </c>
      <c r="G1023" t="s">
        <v>1043</v>
      </c>
      <c r="H1023" t="s">
        <v>1101</v>
      </c>
      <c r="I1023" t="s">
        <v>1009</v>
      </c>
      <c r="J1023">
        <v>1</v>
      </c>
      <c r="K1023">
        <v>3675</v>
      </c>
      <c r="L1023">
        <v>10500</v>
      </c>
      <c r="M1023">
        <v>10500</v>
      </c>
      <c r="N1023" t="s">
        <v>1010</v>
      </c>
    </row>
    <row r="1024" spans="1:14" x14ac:dyDescent="0.25">
      <c r="A1024" t="s">
        <v>1643</v>
      </c>
      <c r="B1024" t="s">
        <v>2019</v>
      </c>
      <c r="C1024" t="s">
        <v>320</v>
      </c>
      <c r="D1024" t="s">
        <v>1099</v>
      </c>
      <c r="E1024" t="s">
        <v>1100</v>
      </c>
      <c r="F1024" t="s">
        <v>1104</v>
      </c>
      <c r="G1024" t="s">
        <v>1043</v>
      </c>
      <c r="H1024" t="s">
        <v>1101</v>
      </c>
      <c r="I1024" t="s">
        <v>1011</v>
      </c>
      <c r="J1024">
        <v>1</v>
      </c>
      <c r="K1024">
        <v>4200</v>
      </c>
      <c r="L1024">
        <v>12000</v>
      </c>
      <c r="M1024">
        <v>12000</v>
      </c>
      <c r="N1024" t="s">
        <v>1010</v>
      </c>
    </row>
    <row r="1025" spans="1:14" x14ac:dyDescent="0.25">
      <c r="A1025" t="s">
        <v>1643</v>
      </c>
      <c r="B1025" t="s">
        <v>2019</v>
      </c>
      <c r="C1025" t="s">
        <v>320</v>
      </c>
      <c r="D1025" t="s">
        <v>1099</v>
      </c>
      <c r="E1025" t="s">
        <v>1100</v>
      </c>
      <c r="F1025" t="s">
        <v>1104</v>
      </c>
      <c r="G1025" t="s">
        <v>1043</v>
      </c>
      <c r="H1025" t="s">
        <v>1101</v>
      </c>
      <c r="I1025" t="s">
        <v>24</v>
      </c>
      <c r="J1025">
        <v>1</v>
      </c>
      <c r="K1025">
        <v>4200</v>
      </c>
      <c r="L1025">
        <v>12000</v>
      </c>
      <c r="M1025">
        <v>12000</v>
      </c>
      <c r="N1025" t="s">
        <v>1010</v>
      </c>
    </row>
    <row r="1026" spans="1:14" x14ac:dyDescent="0.25">
      <c r="A1026" t="s">
        <v>1643</v>
      </c>
      <c r="B1026" t="s">
        <v>2019</v>
      </c>
      <c r="C1026" t="s">
        <v>320</v>
      </c>
      <c r="D1026" t="s">
        <v>1099</v>
      </c>
      <c r="E1026" t="s">
        <v>1100</v>
      </c>
      <c r="F1026" t="s">
        <v>1104</v>
      </c>
      <c r="G1026" t="s">
        <v>1043</v>
      </c>
      <c r="H1026" t="s">
        <v>1101</v>
      </c>
      <c r="I1026" t="s">
        <v>26</v>
      </c>
      <c r="J1026">
        <v>1</v>
      </c>
      <c r="K1026">
        <v>500</v>
      </c>
      <c r="L1026">
        <v>500</v>
      </c>
      <c r="M1026">
        <v>500</v>
      </c>
      <c r="N1026" t="s">
        <v>1010</v>
      </c>
    </row>
    <row r="1027" spans="1:14" x14ac:dyDescent="0.25">
      <c r="A1027" t="s">
        <v>1621</v>
      </c>
      <c r="B1027" t="s">
        <v>2020</v>
      </c>
      <c r="C1027" t="s">
        <v>336</v>
      </c>
      <c r="D1027" t="s">
        <v>1106</v>
      </c>
      <c r="E1027" t="s">
        <v>1107</v>
      </c>
      <c r="F1027" t="s">
        <v>1108</v>
      </c>
      <c r="G1027" t="s">
        <v>1109</v>
      </c>
      <c r="H1027" t="s">
        <v>1101</v>
      </c>
      <c r="I1027" t="s">
        <v>1110</v>
      </c>
      <c r="J1027">
        <v>1</v>
      </c>
      <c r="K1027">
        <v>3675</v>
      </c>
      <c r="L1027">
        <v>10500</v>
      </c>
      <c r="M1027">
        <v>10500</v>
      </c>
      <c r="N1027" t="s">
        <v>1010</v>
      </c>
    </row>
    <row r="1028" spans="1:14" x14ac:dyDescent="0.25">
      <c r="A1028" t="s">
        <v>1621</v>
      </c>
      <c r="B1028" t="s">
        <v>2020</v>
      </c>
      <c r="C1028" t="s">
        <v>336</v>
      </c>
      <c r="D1028" t="s">
        <v>1106</v>
      </c>
      <c r="E1028" t="s">
        <v>1107</v>
      </c>
      <c r="F1028" t="s">
        <v>1108</v>
      </c>
      <c r="G1028" t="s">
        <v>1109</v>
      </c>
      <c r="H1028" t="s">
        <v>1101</v>
      </c>
      <c r="I1028" t="s">
        <v>1011</v>
      </c>
      <c r="J1028">
        <v>1</v>
      </c>
      <c r="K1028">
        <v>3762.5</v>
      </c>
      <c r="L1028">
        <v>10750</v>
      </c>
      <c r="M1028">
        <v>10750</v>
      </c>
      <c r="N1028" t="s">
        <v>1010</v>
      </c>
    </row>
    <row r="1029" spans="1:14" x14ac:dyDescent="0.25">
      <c r="A1029" t="s">
        <v>1621</v>
      </c>
      <c r="B1029" t="s">
        <v>2020</v>
      </c>
      <c r="C1029" t="s">
        <v>336</v>
      </c>
      <c r="D1029" t="s">
        <v>1106</v>
      </c>
      <c r="E1029" t="s">
        <v>1107</v>
      </c>
      <c r="F1029" t="s">
        <v>1108</v>
      </c>
      <c r="G1029" t="s">
        <v>1109</v>
      </c>
      <c r="H1029" t="s">
        <v>1101</v>
      </c>
      <c r="I1029" t="s">
        <v>24</v>
      </c>
      <c r="J1029">
        <v>1</v>
      </c>
      <c r="K1029">
        <v>3762.5</v>
      </c>
      <c r="L1029">
        <v>10750</v>
      </c>
      <c r="M1029">
        <v>10750</v>
      </c>
      <c r="N1029" t="s">
        <v>1010</v>
      </c>
    </row>
    <row r="1030" spans="1:14" x14ac:dyDescent="0.25">
      <c r="A1030" t="s">
        <v>1621</v>
      </c>
      <c r="B1030" t="s">
        <v>2020</v>
      </c>
      <c r="C1030" t="s">
        <v>336</v>
      </c>
      <c r="D1030" t="s">
        <v>1106</v>
      </c>
      <c r="E1030" t="s">
        <v>1107</v>
      </c>
      <c r="F1030" t="s">
        <v>1108</v>
      </c>
      <c r="G1030" t="s">
        <v>1109</v>
      </c>
      <c r="H1030" t="s">
        <v>1101</v>
      </c>
      <c r="I1030" t="s">
        <v>26</v>
      </c>
      <c r="J1030">
        <v>1</v>
      </c>
      <c r="K1030">
        <v>500</v>
      </c>
      <c r="L1030">
        <v>500</v>
      </c>
      <c r="M1030">
        <v>500</v>
      </c>
      <c r="N1030" t="s">
        <v>1010</v>
      </c>
    </row>
    <row r="1031" spans="1:14" x14ac:dyDescent="0.25">
      <c r="A1031" t="s">
        <v>1622</v>
      </c>
      <c r="B1031" t="s">
        <v>2021</v>
      </c>
      <c r="C1031" t="s">
        <v>344</v>
      </c>
      <c r="D1031" t="s">
        <v>1106</v>
      </c>
      <c r="E1031" t="s">
        <v>1107</v>
      </c>
      <c r="F1031" t="s">
        <v>1111</v>
      </c>
      <c r="G1031" t="s">
        <v>1109</v>
      </c>
      <c r="H1031" t="s">
        <v>1101</v>
      </c>
      <c r="I1031" t="s">
        <v>1110</v>
      </c>
      <c r="J1031">
        <v>1</v>
      </c>
      <c r="K1031">
        <v>3675</v>
      </c>
      <c r="L1031">
        <v>10500</v>
      </c>
      <c r="M1031">
        <v>10500</v>
      </c>
      <c r="N1031" t="s">
        <v>1010</v>
      </c>
    </row>
    <row r="1032" spans="1:14" x14ac:dyDescent="0.25">
      <c r="A1032" t="s">
        <v>1622</v>
      </c>
      <c r="B1032" t="s">
        <v>2021</v>
      </c>
      <c r="C1032" t="s">
        <v>344</v>
      </c>
      <c r="D1032" t="s">
        <v>1106</v>
      </c>
      <c r="E1032" t="s">
        <v>1107</v>
      </c>
      <c r="F1032" t="s">
        <v>1111</v>
      </c>
      <c r="G1032" t="s">
        <v>1109</v>
      </c>
      <c r="H1032" t="s">
        <v>1101</v>
      </c>
      <c r="I1032" t="s">
        <v>1011</v>
      </c>
      <c r="J1032">
        <v>1</v>
      </c>
      <c r="K1032">
        <v>3762.5</v>
      </c>
      <c r="L1032">
        <v>10750</v>
      </c>
      <c r="M1032">
        <v>10750</v>
      </c>
      <c r="N1032" t="s">
        <v>1010</v>
      </c>
    </row>
    <row r="1033" spans="1:14" x14ac:dyDescent="0.25">
      <c r="A1033" t="s">
        <v>1622</v>
      </c>
      <c r="B1033" t="s">
        <v>2021</v>
      </c>
      <c r="C1033" t="s">
        <v>344</v>
      </c>
      <c r="D1033" t="s">
        <v>1106</v>
      </c>
      <c r="E1033" t="s">
        <v>1107</v>
      </c>
      <c r="F1033" t="s">
        <v>1111</v>
      </c>
      <c r="G1033" t="s">
        <v>1109</v>
      </c>
      <c r="H1033" t="s">
        <v>1101</v>
      </c>
      <c r="I1033" t="s">
        <v>24</v>
      </c>
      <c r="J1033">
        <v>1</v>
      </c>
      <c r="K1033">
        <v>3762.5</v>
      </c>
      <c r="L1033">
        <v>10750</v>
      </c>
      <c r="M1033">
        <v>10750</v>
      </c>
      <c r="N1033" t="s">
        <v>1010</v>
      </c>
    </row>
    <row r="1034" spans="1:14" x14ac:dyDescent="0.25">
      <c r="A1034" t="s">
        <v>1622</v>
      </c>
      <c r="B1034" t="s">
        <v>2021</v>
      </c>
      <c r="C1034" t="s">
        <v>344</v>
      </c>
      <c r="D1034" t="s">
        <v>1106</v>
      </c>
      <c r="E1034" t="s">
        <v>1107</v>
      </c>
      <c r="F1034" t="s">
        <v>1111</v>
      </c>
      <c r="G1034" t="s">
        <v>1109</v>
      </c>
      <c r="H1034" t="s">
        <v>1101</v>
      </c>
      <c r="I1034" t="s">
        <v>26</v>
      </c>
      <c r="J1034">
        <v>1</v>
      </c>
      <c r="K1034">
        <v>500</v>
      </c>
      <c r="L1034">
        <v>500</v>
      </c>
      <c r="M1034">
        <v>500</v>
      </c>
      <c r="N1034" t="s">
        <v>1010</v>
      </c>
    </row>
    <row r="1035" spans="1:14" x14ac:dyDescent="0.25">
      <c r="A1035" t="s">
        <v>1486</v>
      </c>
      <c r="B1035" t="s">
        <v>2022</v>
      </c>
      <c r="C1035" t="s">
        <v>680</v>
      </c>
      <c r="D1035" t="s">
        <v>20</v>
      </c>
      <c r="E1035" t="s">
        <v>31</v>
      </c>
      <c r="F1035" t="s">
        <v>15</v>
      </c>
      <c r="G1035" t="s">
        <v>22</v>
      </c>
      <c r="H1035" t="s">
        <v>683</v>
      </c>
      <c r="I1035" t="s">
        <v>33</v>
      </c>
      <c r="J1035">
        <v>1</v>
      </c>
      <c r="K1035">
        <v>6500</v>
      </c>
      <c r="L1035">
        <v>6500</v>
      </c>
      <c r="M1035">
        <v>6500</v>
      </c>
      <c r="N1035" t="s">
        <v>19</v>
      </c>
    </row>
    <row r="1036" spans="1:14" x14ac:dyDescent="0.25">
      <c r="A1036" t="s">
        <v>1462</v>
      </c>
      <c r="B1036" t="s">
        <v>2023</v>
      </c>
      <c r="C1036" t="s">
        <v>334</v>
      </c>
      <c r="D1036" t="s">
        <v>1041</v>
      </c>
      <c r="E1036" t="s">
        <v>1042</v>
      </c>
      <c r="F1036" t="s">
        <v>1105</v>
      </c>
      <c r="G1036" t="s">
        <v>1043</v>
      </c>
      <c r="H1036" t="s">
        <v>683</v>
      </c>
      <c r="I1036" t="s">
        <v>264</v>
      </c>
      <c r="J1036">
        <v>1</v>
      </c>
      <c r="K1036">
        <v>850</v>
      </c>
      <c r="L1036">
        <v>2000</v>
      </c>
      <c r="M1036">
        <v>2000</v>
      </c>
      <c r="N1036" t="s">
        <v>1010</v>
      </c>
    </row>
    <row r="1037" spans="1:14" x14ac:dyDescent="0.25">
      <c r="A1037" t="s">
        <v>1495</v>
      </c>
      <c r="B1037" t="s">
        <v>2024</v>
      </c>
      <c r="C1037" t="s">
        <v>684</v>
      </c>
      <c r="D1037" t="s">
        <v>20</v>
      </c>
      <c r="E1037" t="s">
        <v>132</v>
      </c>
      <c r="F1037" t="s">
        <v>15</v>
      </c>
      <c r="G1037" t="s">
        <v>22</v>
      </c>
      <c r="H1037" t="s">
        <v>688</v>
      </c>
      <c r="I1037" t="s">
        <v>133</v>
      </c>
      <c r="J1037">
        <v>1</v>
      </c>
      <c r="K1037">
        <v>3675</v>
      </c>
      <c r="L1037">
        <v>10500</v>
      </c>
      <c r="M1037">
        <v>10500</v>
      </c>
      <c r="N1037" t="s">
        <v>19</v>
      </c>
    </row>
    <row r="1038" spans="1:14" x14ac:dyDescent="0.25">
      <c r="A1038" t="s">
        <v>1495</v>
      </c>
      <c r="B1038" t="s">
        <v>2024</v>
      </c>
      <c r="C1038" t="s">
        <v>684</v>
      </c>
      <c r="D1038" t="s">
        <v>20</v>
      </c>
      <c r="E1038" t="s">
        <v>132</v>
      </c>
      <c r="F1038" t="s">
        <v>15</v>
      </c>
      <c r="G1038" t="s">
        <v>22</v>
      </c>
      <c r="H1038" t="s">
        <v>688</v>
      </c>
      <c r="I1038" t="s">
        <v>25</v>
      </c>
      <c r="J1038">
        <v>1</v>
      </c>
      <c r="K1038">
        <v>10550</v>
      </c>
      <c r="L1038">
        <v>10550</v>
      </c>
      <c r="M1038">
        <v>10550</v>
      </c>
      <c r="N1038" t="s">
        <v>19</v>
      </c>
    </row>
    <row r="1039" spans="1:14" x14ac:dyDescent="0.25">
      <c r="A1039" t="s">
        <v>1495</v>
      </c>
      <c r="B1039" t="s">
        <v>2024</v>
      </c>
      <c r="C1039" t="s">
        <v>684</v>
      </c>
      <c r="D1039" t="s">
        <v>20</v>
      </c>
      <c r="E1039" t="s">
        <v>132</v>
      </c>
      <c r="F1039" t="s">
        <v>15</v>
      </c>
      <c r="G1039" t="s">
        <v>22</v>
      </c>
      <c r="H1039" t="s">
        <v>688</v>
      </c>
      <c r="I1039" t="s">
        <v>24</v>
      </c>
      <c r="J1039">
        <v>1</v>
      </c>
      <c r="K1039">
        <v>10550</v>
      </c>
      <c r="L1039">
        <v>10550</v>
      </c>
      <c r="M1039">
        <v>10550</v>
      </c>
      <c r="N1039" t="s">
        <v>19</v>
      </c>
    </row>
    <row r="1040" spans="1:14" x14ac:dyDescent="0.25">
      <c r="A1040" t="s">
        <v>1495</v>
      </c>
      <c r="B1040" t="s">
        <v>2024</v>
      </c>
      <c r="C1040" t="s">
        <v>684</v>
      </c>
      <c r="D1040" t="s">
        <v>20</v>
      </c>
      <c r="E1040" t="s">
        <v>132</v>
      </c>
      <c r="F1040" t="s">
        <v>15</v>
      </c>
      <c r="G1040" t="s">
        <v>22</v>
      </c>
      <c r="H1040" t="s">
        <v>688</v>
      </c>
      <c r="I1040" t="s">
        <v>134</v>
      </c>
      <c r="J1040">
        <v>1</v>
      </c>
      <c r="K1040">
        <v>500</v>
      </c>
      <c r="L1040">
        <v>500</v>
      </c>
      <c r="M1040">
        <v>500</v>
      </c>
      <c r="N1040" t="s">
        <v>19</v>
      </c>
    </row>
    <row r="1041" spans="1:14" x14ac:dyDescent="0.25">
      <c r="A1041" t="s">
        <v>1495</v>
      </c>
      <c r="B1041" t="s">
        <v>2024</v>
      </c>
      <c r="C1041" t="s">
        <v>684</v>
      </c>
      <c r="D1041" t="s">
        <v>20</v>
      </c>
      <c r="E1041" t="s">
        <v>132</v>
      </c>
      <c r="F1041" t="s">
        <v>15</v>
      </c>
      <c r="G1041" t="s">
        <v>22</v>
      </c>
      <c r="H1041" t="s">
        <v>688</v>
      </c>
      <c r="I1041" t="s">
        <v>135</v>
      </c>
      <c r="J1041">
        <v>1</v>
      </c>
      <c r="K1041">
        <v>4550</v>
      </c>
      <c r="L1041">
        <v>6500</v>
      </c>
      <c r="M1041">
        <v>6500</v>
      </c>
      <c r="N1041" t="s">
        <v>19</v>
      </c>
    </row>
    <row r="1042" spans="1:14" x14ac:dyDescent="0.25">
      <c r="A1042" t="s">
        <v>1495</v>
      </c>
      <c r="B1042" t="s">
        <v>2024</v>
      </c>
      <c r="C1042" t="s">
        <v>684</v>
      </c>
      <c r="D1042" t="s">
        <v>20</v>
      </c>
      <c r="E1042" t="s">
        <v>132</v>
      </c>
      <c r="F1042" t="s">
        <v>15</v>
      </c>
      <c r="G1042" t="s">
        <v>22</v>
      </c>
      <c r="H1042" t="s">
        <v>688</v>
      </c>
      <c r="I1042" t="s">
        <v>136</v>
      </c>
      <c r="J1042">
        <v>1</v>
      </c>
      <c r="K1042">
        <v>8500</v>
      </c>
      <c r="L1042">
        <v>12000</v>
      </c>
      <c r="M1042">
        <v>12000</v>
      </c>
      <c r="N1042" t="s">
        <v>19</v>
      </c>
    </row>
    <row r="1043" spans="1:14" x14ac:dyDescent="0.25">
      <c r="A1043" t="s">
        <v>1495</v>
      </c>
      <c r="B1043" t="s">
        <v>2024</v>
      </c>
      <c r="C1043" t="s">
        <v>684</v>
      </c>
      <c r="D1043" t="s">
        <v>20</v>
      </c>
      <c r="E1043" t="s">
        <v>132</v>
      </c>
      <c r="F1043" t="s">
        <v>15</v>
      </c>
      <c r="G1043" t="s">
        <v>22</v>
      </c>
      <c r="H1043" t="s">
        <v>688</v>
      </c>
      <c r="I1043" t="s">
        <v>98</v>
      </c>
      <c r="J1043">
        <v>1</v>
      </c>
      <c r="K1043">
        <v>935</v>
      </c>
      <c r="L1043">
        <v>1300</v>
      </c>
      <c r="M1043">
        <v>1300</v>
      </c>
      <c r="N1043" t="s">
        <v>19</v>
      </c>
    </row>
    <row r="1044" spans="1:14" x14ac:dyDescent="0.25">
      <c r="A1044" t="s">
        <v>1495</v>
      </c>
      <c r="B1044" t="s">
        <v>2024</v>
      </c>
      <c r="C1044" t="s">
        <v>684</v>
      </c>
      <c r="D1044" t="s">
        <v>20</v>
      </c>
      <c r="E1044" t="s">
        <v>132</v>
      </c>
      <c r="F1044" t="s">
        <v>15</v>
      </c>
      <c r="G1044" t="s">
        <v>22</v>
      </c>
      <c r="H1044" t="s">
        <v>688</v>
      </c>
      <c r="I1044" t="s">
        <v>116</v>
      </c>
      <c r="J1044">
        <v>1</v>
      </c>
      <c r="K1044">
        <v>2185</v>
      </c>
      <c r="L1044">
        <v>3500</v>
      </c>
      <c r="M1044">
        <v>3500</v>
      </c>
      <c r="N1044" t="s">
        <v>19</v>
      </c>
    </row>
    <row r="1045" spans="1:14" x14ac:dyDescent="0.25">
      <c r="A1045" t="s">
        <v>1495</v>
      </c>
      <c r="B1045" t="s">
        <v>2024</v>
      </c>
      <c r="C1045" t="s">
        <v>684</v>
      </c>
      <c r="D1045" t="s">
        <v>20</v>
      </c>
      <c r="E1045" t="s">
        <v>132</v>
      </c>
      <c r="F1045" t="s">
        <v>15</v>
      </c>
      <c r="G1045" t="s">
        <v>22</v>
      </c>
      <c r="H1045" t="s">
        <v>688</v>
      </c>
      <c r="I1045" t="s">
        <v>137</v>
      </c>
      <c r="J1045">
        <v>1</v>
      </c>
      <c r="K1045">
        <v>2200</v>
      </c>
      <c r="L1045">
        <v>3100</v>
      </c>
      <c r="M1045">
        <v>3100</v>
      </c>
      <c r="N1045" t="s">
        <v>19</v>
      </c>
    </row>
    <row r="1046" spans="1:14" x14ac:dyDescent="0.25">
      <c r="A1046" t="s">
        <v>1495</v>
      </c>
      <c r="B1046" t="s">
        <v>2024</v>
      </c>
      <c r="C1046" t="s">
        <v>684</v>
      </c>
      <c r="D1046" t="s">
        <v>20</v>
      </c>
      <c r="E1046" t="s">
        <v>132</v>
      </c>
      <c r="F1046" t="s">
        <v>15</v>
      </c>
      <c r="G1046" t="s">
        <v>22</v>
      </c>
      <c r="H1046" t="s">
        <v>688</v>
      </c>
      <c r="I1046" t="s">
        <v>655</v>
      </c>
      <c r="J1046">
        <v>1</v>
      </c>
      <c r="K1046">
        <v>24800</v>
      </c>
      <c r="L1046">
        <v>35500</v>
      </c>
      <c r="M1046">
        <v>35500</v>
      </c>
      <c r="N1046" t="s">
        <v>19</v>
      </c>
    </row>
    <row r="1047" spans="1:14" x14ac:dyDescent="0.25">
      <c r="A1047" t="s">
        <v>1495</v>
      </c>
      <c r="B1047" t="s">
        <v>2024</v>
      </c>
      <c r="C1047" t="s">
        <v>684</v>
      </c>
      <c r="D1047" t="s">
        <v>20</v>
      </c>
      <c r="E1047" t="s">
        <v>132</v>
      </c>
      <c r="F1047" t="s">
        <v>15</v>
      </c>
      <c r="G1047" t="s">
        <v>22</v>
      </c>
      <c r="H1047" t="s">
        <v>688</v>
      </c>
      <c r="I1047" t="s">
        <v>99</v>
      </c>
      <c r="J1047">
        <v>1</v>
      </c>
      <c r="K1047">
        <v>2800</v>
      </c>
      <c r="L1047">
        <v>4000</v>
      </c>
      <c r="M1047">
        <v>4000</v>
      </c>
      <c r="N1047" t="s">
        <v>19</v>
      </c>
    </row>
    <row r="1048" spans="1:14" x14ac:dyDescent="0.25">
      <c r="A1048" t="s">
        <v>1495</v>
      </c>
      <c r="B1048" t="s">
        <v>2024</v>
      </c>
      <c r="C1048" t="s">
        <v>684</v>
      </c>
      <c r="D1048" t="s">
        <v>20</v>
      </c>
      <c r="E1048" t="s">
        <v>132</v>
      </c>
      <c r="F1048" t="s">
        <v>15</v>
      </c>
      <c r="G1048" t="s">
        <v>22</v>
      </c>
      <c r="H1048" t="s">
        <v>688</v>
      </c>
      <c r="I1048" t="s">
        <v>76</v>
      </c>
      <c r="J1048">
        <v>1</v>
      </c>
      <c r="K1048">
        <v>500</v>
      </c>
      <c r="L1048">
        <v>500</v>
      </c>
      <c r="M1048">
        <v>500</v>
      </c>
      <c r="N1048" t="s">
        <v>19</v>
      </c>
    </row>
    <row r="1049" spans="1:14" x14ac:dyDescent="0.25">
      <c r="A1049" t="s">
        <v>1698</v>
      </c>
      <c r="B1049" t="s">
        <v>2025</v>
      </c>
      <c r="C1049" t="s">
        <v>345</v>
      </c>
      <c r="D1049" t="s">
        <v>1112</v>
      </c>
      <c r="E1049" t="s">
        <v>1113</v>
      </c>
      <c r="F1049" t="s">
        <v>1114</v>
      </c>
      <c r="G1049" t="s">
        <v>1043</v>
      </c>
      <c r="H1049" t="s">
        <v>688</v>
      </c>
      <c r="I1049" t="s">
        <v>1115</v>
      </c>
      <c r="J1049">
        <v>1</v>
      </c>
      <c r="K1049">
        <v>15000</v>
      </c>
      <c r="L1049">
        <v>15000</v>
      </c>
      <c r="M1049">
        <v>15000</v>
      </c>
      <c r="N1049" t="s">
        <v>1010</v>
      </c>
    </row>
    <row r="1050" spans="1:14" x14ac:dyDescent="0.25">
      <c r="A1050" t="s">
        <v>1640</v>
      </c>
      <c r="B1050" t="s">
        <v>2026</v>
      </c>
      <c r="C1050" t="s">
        <v>594</v>
      </c>
      <c r="D1050" t="s">
        <v>595</v>
      </c>
      <c r="E1050" t="s">
        <v>596</v>
      </c>
      <c r="F1050" t="s">
        <v>597</v>
      </c>
      <c r="G1050" t="s">
        <v>37</v>
      </c>
      <c r="H1050" t="s">
        <v>598</v>
      </c>
      <c r="I1050" t="s">
        <v>599</v>
      </c>
      <c r="J1050">
        <v>1</v>
      </c>
      <c r="K1050">
        <v>850</v>
      </c>
      <c r="L1050">
        <v>1200</v>
      </c>
      <c r="M1050">
        <v>1200</v>
      </c>
      <c r="N1050" t="s">
        <v>39</v>
      </c>
    </row>
    <row r="1051" spans="1:14" x14ac:dyDescent="0.25">
      <c r="A1051" t="s">
        <v>1640</v>
      </c>
      <c r="B1051" t="s">
        <v>2026</v>
      </c>
      <c r="C1051" t="s">
        <v>594</v>
      </c>
      <c r="D1051" t="s">
        <v>595</v>
      </c>
      <c r="E1051" t="s">
        <v>596</v>
      </c>
      <c r="F1051" t="s">
        <v>597</v>
      </c>
      <c r="G1051" t="s">
        <v>37</v>
      </c>
      <c r="H1051" t="s">
        <v>598</v>
      </c>
      <c r="I1051" t="s">
        <v>600</v>
      </c>
      <c r="J1051">
        <v>1</v>
      </c>
      <c r="K1051">
        <v>650</v>
      </c>
      <c r="L1051">
        <v>900</v>
      </c>
      <c r="M1051">
        <v>900</v>
      </c>
      <c r="N1051" t="s">
        <v>39</v>
      </c>
    </row>
    <row r="1052" spans="1:14" x14ac:dyDescent="0.25">
      <c r="A1052" t="s">
        <v>1492</v>
      </c>
      <c r="B1052" t="s">
        <v>2027</v>
      </c>
      <c r="C1052" t="s">
        <v>689</v>
      </c>
      <c r="D1052" t="s">
        <v>20</v>
      </c>
      <c r="E1052" t="s">
        <v>690</v>
      </c>
      <c r="F1052" t="s">
        <v>15</v>
      </c>
      <c r="G1052" t="s">
        <v>22</v>
      </c>
      <c r="H1052" t="s">
        <v>598</v>
      </c>
      <c r="I1052" t="s">
        <v>322</v>
      </c>
      <c r="J1052">
        <v>2</v>
      </c>
      <c r="K1052">
        <v>3675</v>
      </c>
      <c r="L1052">
        <v>10500</v>
      </c>
      <c r="M1052">
        <v>21000</v>
      </c>
      <c r="N1052" t="s">
        <v>19</v>
      </c>
    </row>
    <row r="1053" spans="1:14" x14ac:dyDescent="0.25">
      <c r="A1053" t="s">
        <v>1492</v>
      </c>
      <c r="B1053" t="s">
        <v>2027</v>
      </c>
      <c r="C1053" t="s">
        <v>689</v>
      </c>
      <c r="D1053" t="s">
        <v>20</v>
      </c>
      <c r="E1053" t="s">
        <v>690</v>
      </c>
      <c r="F1053" t="s">
        <v>15</v>
      </c>
      <c r="G1053" t="s">
        <v>22</v>
      </c>
      <c r="H1053" t="s">
        <v>598</v>
      </c>
      <c r="I1053" t="s">
        <v>170</v>
      </c>
      <c r="J1053">
        <v>2</v>
      </c>
      <c r="K1053">
        <v>30000</v>
      </c>
      <c r="L1053">
        <v>30000</v>
      </c>
      <c r="M1053">
        <v>60000</v>
      </c>
      <c r="N1053" t="s">
        <v>19</v>
      </c>
    </row>
    <row r="1054" spans="1:14" x14ac:dyDescent="0.25">
      <c r="A1054" t="s">
        <v>1492</v>
      </c>
      <c r="B1054" t="s">
        <v>2027</v>
      </c>
      <c r="C1054" t="s">
        <v>689</v>
      </c>
      <c r="D1054" t="s">
        <v>20</v>
      </c>
      <c r="E1054" t="s">
        <v>690</v>
      </c>
      <c r="F1054" t="s">
        <v>15</v>
      </c>
      <c r="G1054" t="s">
        <v>22</v>
      </c>
      <c r="H1054" t="s">
        <v>598</v>
      </c>
      <c r="I1054" t="s">
        <v>24</v>
      </c>
      <c r="J1054">
        <v>2</v>
      </c>
      <c r="K1054">
        <v>30000</v>
      </c>
      <c r="L1054">
        <v>30000</v>
      </c>
      <c r="M1054">
        <v>60000</v>
      </c>
      <c r="N1054" t="s">
        <v>19</v>
      </c>
    </row>
    <row r="1055" spans="1:14" x14ac:dyDescent="0.25">
      <c r="A1055" t="s">
        <v>1492</v>
      </c>
      <c r="B1055" t="s">
        <v>2027</v>
      </c>
      <c r="C1055" t="s">
        <v>689</v>
      </c>
      <c r="D1055" t="s">
        <v>20</v>
      </c>
      <c r="E1055" t="s">
        <v>690</v>
      </c>
      <c r="F1055" t="s">
        <v>15</v>
      </c>
      <c r="G1055" t="s">
        <v>22</v>
      </c>
      <c r="H1055" t="s">
        <v>598</v>
      </c>
      <c r="I1055" t="s">
        <v>316</v>
      </c>
      <c r="J1055">
        <v>2</v>
      </c>
      <c r="K1055">
        <v>500</v>
      </c>
      <c r="L1055">
        <v>500</v>
      </c>
      <c r="M1055">
        <v>1000</v>
      </c>
      <c r="N1055" t="s">
        <v>19</v>
      </c>
    </row>
    <row r="1056" spans="1:14" x14ac:dyDescent="0.25">
      <c r="A1056" t="s">
        <v>1492</v>
      </c>
      <c r="B1056" t="s">
        <v>2027</v>
      </c>
      <c r="C1056" t="s">
        <v>689</v>
      </c>
      <c r="D1056" t="s">
        <v>20</v>
      </c>
      <c r="E1056" t="s">
        <v>690</v>
      </c>
      <c r="F1056" t="s">
        <v>15</v>
      </c>
      <c r="G1056" t="s">
        <v>22</v>
      </c>
      <c r="H1056" t="s">
        <v>598</v>
      </c>
      <c r="I1056" t="s">
        <v>323</v>
      </c>
      <c r="J1056">
        <v>2</v>
      </c>
      <c r="K1056">
        <v>3500</v>
      </c>
      <c r="L1056">
        <v>10000</v>
      </c>
      <c r="M1056">
        <v>20000</v>
      </c>
      <c r="N1056" t="s">
        <v>19</v>
      </c>
    </row>
    <row r="1057" spans="1:14" x14ac:dyDescent="0.25">
      <c r="A1057" t="s">
        <v>1492</v>
      </c>
      <c r="B1057" t="s">
        <v>2027</v>
      </c>
      <c r="C1057" t="s">
        <v>689</v>
      </c>
      <c r="D1057" t="s">
        <v>20</v>
      </c>
      <c r="E1057" t="s">
        <v>690</v>
      </c>
      <c r="F1057" t="s">
        <v>15</v>
      </c>
      <c r="G1057" t="s">
        <v>22</v>
      </c>
      <c r="H1057" t="s">
        <v>598</v>
      </c>
      <c r="I1057" t="s">
        <v>324</v>
      </c>
      <c r="J1057">
        <v>1</v>
      </c>
      <c r="K1057">
        <v>17500</v>
      </c>
      <c r="L1057">
        <v>50000</v>
      </c>
      <c r="M1057">
        <v>50000</v>
      </c>
      <c r="N1057" t="s">
        <v>19</v>
      </c>
    </row>
    <row r="1058" spans="1:14" x14ac:dyDescent="0.25">
      <c r="A1058" t="s">
        <v>1492</v>
      </c>
      <c r="B1058" t="s">
        <v>2027</v>
      </c>
      <c r="C1058" t="s">
        <v>689</v>
      </c>
      <c r="D1058" t="s">
        <v>20</v>
      </c>
      <c r="E1058" t="s">
        <v>690</v>
      </c>
      <c r="F1058" t="s">
        <v>15</v>
      </c>
      <c r="G1058" t="s">
        <v>22</v>
      </c>
      <c r="H1058" t="s">
        <v>598</v>
      </c>
      <c r="I1058" t="s">
        <v>170</v>
      </c>
      <c r="J1058">
        <v>1</v>
      </c>
      <c r="K1058">
        <v>30000</v>
      </c>
      <c r="L1058">
        <v>30000</v>
      </c>
      <c r="M1058">
        <v>30000</v>
      </c>
      <c r="N1058" t="s">
        <v>19</v>
      </c>
    </row>
    <row r="1059" spans="1:14" x14ac:dyDescent="0.25">
      <c r="A1059" t="s">
        <v>1492</v>
      </c>
      <c r="B1059" t="s">
        <v>2027</v>
      </c>
      <c r="C1059" t="s">
        <v>689</v>
      </c>
      <c r="D1059" t="s">
        <v>20</v>
      </c>
      <c r="E1059" t="s">
        <v>690</v>
      </c>
      <c r="F1059" t="s">
        <v>15</v>
      </c>
      <c r="G1059" t="s">
        <v>22</v>
      </c>
      <c r="H1059" t="s">
        <v>598</v>
      </c>
      <c r="I1059" t="s">
        <v>24</v>
      </c>
      <c r="J1059">
        <v>1</v>
      </c>
      <c r="K1059">
        <v>30000</v>
      </c>
      <c r="L1059">
        <v>30000</v>
      </c>
      <c r="M1059">
        <v>30000</v>
      </c>
      <c r="N1059" t="s">
        <v>19</v>
      </c>
    </row>
    <row r="1060" spans="1:14" x14ac:dyDescent="0.25">
      <c r="A1060" t="s">
        <v>1492</v>
      </c>
      <c r="B1060" t="s">
        <v>2027</v>
      </c>
      <c r="C1060" t="s">
        <v>689</v>
      </c>
      <c r="D1060" t="s">
        <v>20</v>
      </c>
      <c r="E1060" t="s">
        <v>690</v>
      </c>
      <c r="F1060" t="s">
        <v>15</v>
      </c>
      <c r="G1060" t="s">
        <v>22</v>
      </c>
      <c r="H1060" t="s">
        <v>598</v>
      </c>
      <c r="I1060" t="s">
        <v>325</v>
      </c>
      <c r="J1060">
        <v>2</v>
      </c>
      <c r="K1060">
        <v>21500</v>
      </c>
      <c r="L1060">
        <v>31000</v>
      </c>
      <c r="M1060">
        <v>62000</v>
      </c>
      <c r="N1060" t="s">
        <v>19</v>
      </c>
    </row>
    <row r="1061" spans="1:14" x14ac:dyDescent="0.25">
      <c r="A1061" t="s">
        <v>1492</v>
      </c>
      <c r="B1061" t="s">
        <v>2027</v>
      </c>
      <c r="C1061" t="s">
        <v>689</v>
      </c>
      <c r="D1061" t="s">
        <v>20</v>
      </c>
      <c r="E1061" t="s">
        <v>690</v>
      </c>
      <c r="F1061" t="s">
        <v>15</v>
      </c>
      <c r="G1061" t="s">
        <v>22</v>
      </c>
      <c r="H1061" t="s">
        <v>598</v>
      </c>
      <c r="I1061" t="s">
        <v>326</v>
      </c>
      <c r="J1061">
        <v>2</v>
      </c>
      <c r="K1061">
        <v>18500</v>
      </c>
      <c r="L1061">
        <v>26500</v>
      </c>
      <c r="M1061">
        <v>53000</v>
      </c>
      <c r="N1061" t="s">
        <v>19</v>
      </c>
    </row>
    <row r="1062" spans="1:14" x14ac:dyDescent="0.25">
      <c r="A1062" t="s">
        <v>1492</v>
      </c>
      <c r="B1062" t="s">
        <v>2027</v>
      </c>
      <c r="C1062" t="s">
        <v>689</v>
      </c>
      <c r="D1062" t="s">
        <v>20</v>
      </c>
      <c r="E1062" t="s">
        <v>690</v>
      </c>
      <c r="F1062" t="s">
        <v>15</v>
      </c>
      <c r="G1062" t="s">
        <v>22</v>
      </c>
      <c r="H1062" t="s">
        <v>598</v>
      </c>
      <c r="I1062" t="s">
        <v>116</v>
      </c>
      <c r="J1062">
        <v>2</v>
      </c>
      <c r="K1062">
        <v>1350</v>
      </c>
      <c r="L1062">
        <v>2000</v>
      </c>
      <c r="M1062">
        <v>4000</v>
      </c>
      <c r="N1062" t="s">
        <v>19</v>
      </c>
    </row>
    <row r="1063" spans="1:14" x14ac:dyDescent="0.25">
      <c r="A1063" t="s">
        <v>1492</v>
      </c>
      <c r="B1063" t="s">
        <v>2027</v>
      </c>
      <c r="C1063" t="s">
        <v>689</v>
      </c>
      <c r="D1063" t="s">
        <v>20</v>
      </c>
      <c r="E1063" t="s">
        <v>690</v>
      </c>
      <c r="F1063" t="s">
        <v>15</v>
      </c>
      <c r="G1063" t="s">
        <v>22</v>
      </c>
      <c r="H1063" t="s">
        <v>598</v>
      </c>
      <c r="I1063" t="s">
        <v>691</v>
      </c>
      <c r="J1063">
        <v>3</v>
      </c>
      <c r="K1063">
        <v>9500</v>
      </c>
      <c r="L1063">
        <v>13500</v>
      </c>
      <c r="M1063">
        <v>40500</v>
      </c>
      <c r="N1063" t="s">
        <v>19</v>
      </c>
    </row>
    <row r="1064" spans="1:14" x14ac:dyDescent="0.25">
      <c r="A1064" t="s">
        <v>1492</v>
      </c>
      <c r="B1064" t="s">
        <v>2027</v>
      </c>
      <c r="C1064" t="s">
        <v>689</v>
      </c>
      <c r="D1064" t="s">
        <v>20</v>
      </c>
      <c r="E1064" t="s">
        <v>690</v>
      </c>
      <c r="F1064" t="s">
        <v>15</v>
      </c>
      <c r="G1064" t="s">
        <v>22</v>
      </c>
      <c r="H1064" t="s">
        <v>598</v>
      </c>
      <c r="I1064" t="s">
        <v>328</v>
      </c>
      <c r="J1064">
        <v>1</v>
      </c>
      <c r="K1064">
        <v>24330</v>
      </c>
      <c r="L1064">
        <v>34000</v>
      </c>
      <c r="M1064">
        <v>34000</v>
      </c>
      <c r="N1064" t="s">
        <v>19</v>
      </c>
    </row>
    <row r="1065" spans="1:14" x14ac:dyDescent="0.25">
      <c r="A1065" t="s">
        <v>1492</v>
      </c>
      <c r="B1065" t="s">
        <v>2027</v>
      </c>
      <c r="C1065" t="s">
        <v>689</v>
      </c>
      <c r="D1065" t="s">
        <v>20</v>
      </c>
      <c r="E1065" t="s">
        <v>690</v>
      </c>
      <c r="F1065" t="s">
        <v>15</v>
      </c>
      <c r="G1065" t="s">
        <v>22</v>
      </c>
      <c r="H1065" t="s">
        <v>598</v>
      </c>
      <c r="I1065" t="s">
        <v>329</v>
      </c>
      <c r="J1065">
        <v>1</v>
      </c>
      <c r="K1065">
        <v>4250</v>
      </c>
      <c r="L1065">
        <v>6000</v>
      </c>
      <c r="M1065">
        <v>6000</v>
      </c>
      <c r="N1065" t="s">
        <v>19</v>
      </c>
    </row>
    <row r="1066" spans="1:14" x14ac:dyDescent="0.25">
      <c r="A1066" t="s">
        <v>1492</v>
      </c>
      <c r="B1066" t="s">
        <v>2027</v>
      </c>
      <c r="C1066" t="s">
        <v>689</v>
      </c>
      <c r="D1066" t="s">
        <v>20</v>
      </c>
      <c r="E1066" t="s">
        <v>690</v>
      </c>
      <c r="F1066" t="s">
        <v>15</v>
      </c>
      <c r="G1066" t="s">
        <v>22</v>
      </c>
      <c r="H1066" t="s">
        <v>598</v>
      </c>
      <c r="I1066" t="s">
        <v>76</v>
      </c>
      <c r="J1066">
        <v>1</v>
      </c>
      <c r="K1066">
        <v>1100</v>
      </c>
      <c r="L1066">
        <v>1100</v>
      </c>
      <c r="M1066">
        <v>1100</v>
      </c>
      <c r="N1066" t="s">
        <v>19</v>
      </c>
    </row>
    <row r="1067" spans="1:14" x14ac:dyDescent="0.25">
      <c r="A1067" t="s">
        <v>1492</v>
      </c>
      <c r="B1067" t="s">
        <v>2027</v>
      </c>
      <c r="C1067" t="s">
        <v>689</v>
      </c>
      <c r="D1067" t="s">
        <v>20</v>
      </c>
      <c r="E1067" t="s">
        <v>690</v>
      </c>
      <c r="F1067" t="s">
        <v>15</v>
      </c>
      <c r="G1067" t="s">
        <v>22</v>
      </c>
      <c r="H1067" t="s">
        <v>598</v>
      </c>
      <c r="I1067" t="s">
        <v>331</v>
      </c>
      <c r="J1067">
        <v>1</v>
      </c>
      <c r="K1067">
        <v>40000</v>
      </c>
      <c r="L1067">
        <v>40000</v>
      </c>
      <c r="M1067">
        <v>40000</v>
      </c>
      <c r="N1067" t="s">
        <v>19</v>
      </c>
    </row>
    <row r="1068" spans="1:14" x14ac:dyDescent="0.25">
      <c r="A1068" t="s">
        <v>1492</v>
      </c>
      <c r="B1068" t="s">
        <v>2027</v>
      </c>
      <c r="C1068" t="s">
        <v>689</v>
      </c>
      <c r="D1068" t="s">
        <v>20</v>
      </c>
      <c r="E1068" t="s">
        <v>690</v>
      </c>
      <c r="F1068" t="s">
        <v>15</v>
      </c>
      <c r="G1068" t="s">
        <v>22</v>
      </c>
      <c r="H1068" t="s">
        <v>598</v>
      </c>
      <c r="I1068" t="s">
        <v>692</v>
      </c>
      <c r="J1068">
        <v>3</v>
      </c>
      <c r="K1068">
        <v>550</v>
      </c>
      <c r="L1068">
        <v>800</v>
      </c>
      <c r="M1068">
        <v>2400</v>
      </c>
      <c r="N1068" t="s">
        <v>19</v>
      </c>
    </row>
    <row r="1069" spans="1:14" x14ac:dyDescent="0.25">
      <c r="A1069" t="s">
        <v>1599</v>
      </c>
      <c r="B1069" t="s">
        <v>2028</v>
      </c>
      <c r="C1069" t="s">
        <v>601</v>
      </c>
      <c r="D1069" t="s">
        <v>602</v>
      </c>
      <c r="E1069" t="s">
        <v>603</v>
      </c>
      <c r="F1069" t="s">
        <v>604</v>
      </c>
      <c r="G1069" t="s">
        <v>16</v>
      </c>
      <c r="H1069" t="s">
        <v>605</v>
      </c>
      <c r="I1069" t="s">
        <v>114</v>
      </c>
      <c r="J1069">
        <v>1</v>
      </c>
      <c r="K1069">
        <v>3675</v>
      </c>
      <c r="L1069">
        <v>10500</v>
      </c>
      <c r="M1069">
        <v>10500</v>
      </c>
      <c r="N1069" t="s">
        <v>39</v>
      </c>
    </row>
    <row r="1070" spans="1:14" x14ac:dyDescent="0.25">
      <c r="A1070" t="s">
        <v>1599</v>
      </c>
      <c r="B1070" t="s">
        <v>2028</v>
      </c>
      <c r="C1070" t="s">
        <v>601</v>
      </c>
      <c r="D1070" t="s">
        <v>602</v>
      </c>
      <c r="E1070" t="s">
        <v>603</v>
      </c>
      <c r="F1070" t="s">
        <v>604</v>
      </c>
      <c r="G1070" t="s">
        <v>16</v>
      </c>
      <c r="H1070" t="s">
        <v>605</v>
      </c>
      <c r="I1070" t="s">
        <v>48</v>
      </c>
      <c r="J1070">
        <v>1</v>
      </c>
      <c r="K1070">
        <v>4375</v>
      </c>
      <c r="L1070">
        <v>12500</v>
      </c>
      <c r="M1070">
        <v>12500</v>
      </c>
      <c r="N1070" t="s">
        <v>39</v>
      </c>
    </row>
    <row r="1071" spans="1:14" x14ac:dyDescent="0.25">
      <c r="A1071" t="s">
        <v>1599</v>
      </c>
      <c r="B1071" t="s">
        <v>2028</v>
      </c>
      <c r="C1071" t="s">
        <v>601</v>
      </c>
      <c r="D1071" t="s">
        <v>602</v>
      </c>
      <c r="E1071" t="s">
        <v>603</v>
      </c>
      <c r="F1071" t="s">
        <v>604</v>
      </c>
      <c r="G1071" t="s">
        <v>16</v>
      </c>
      <c r="H1071" t="s">
        <v>605</v>
      </c>
      <c r="I1071" t="s">
        <v>126</v>
      </c>
      <c r="J1071">
        <v>1</v>
      </c>
      <c r="K1071">
        <v>4375</v>
      </c>
      <c r="L1071">
        <v>12500</v>
      </c>
      <c r="M1071">
        <v>12500</v>
      </c>
      <c r="N1071" t="s">
        <v>39</v>
      </c>
    </row>
    <row r="1072" spans="1:14" x14ac:dyDescent="0.25">
      <c r="A1072" t="s">
        <v>1599</v>
      </c>
      <c r="B1072" t="s">
        <v>2028</v>
      </c>
      <c r="C1072" t="s">
        <v>601</v>
      </c>
      <c r="D1072" t="s">
        <v>602</v>
      </c>
      <c r="E1072" t="s">
        <v>603</v>
      </c>
      <c r="F1072" t="s">
        <v>604</v>
      </c>
      <c r="G1072" t="s">
        <v>16</v>
      </c>
      <c r="H1072" t="s">
        <v>605</v>
      </c>
      <c r="I1072" t="s">
        <v>26</v>
      </c>
      <c r="J1072">
        <v>1</v>
      </c>
      <c r="K1072">
        <v>500</v>
      </c>
      <c r="L1072">
        <v>500</v>
      </c>
      <c r="M1072">
        <v>500</v>
      </c>
      <c r="N1072" t="s">
        <v>39</v>
      </c>
    </row>
    <row r="1073" spans="1:14" x14ac:dyDescent="0.25">
      <c r="A1073" t="s">
        <v>1599</v>
      </c>
      <c r="B1073" t="s">
        <v>2028</v>
      </c>
      <c r="C1073" t="s">
        <v>601</v>
      </c>
      <c r="D1073" t="s">
        <v>602</v>
      </c>
      <c r="E1073" t="s">
        <v>603</v>
      </c>
      <c r="F1073" t="s">
        <v>604</v>
      </c>
      <c r="G1073" t="s">
        <v>16</v>
      </c>
      <c r="H1073" t="s">
        <v>605</v>
      </c>
      <c r="I1073" t="s">
        <v>38</v>
      </c>
      <c r="J1073">
        <v>1</v>
      </c>
      <c r="K1073">
        <v>8500</v>
      </c>
      <c r="L1073">
        <v>12500</v>
      </c>
      <c r="M1073">
        <v>12500</v>
      </c>
      <c r="N1073" t="s">
        <v>39</v>
      </c>
    </row>
    <row r="1074" spans="1:14" x14ac:dyDescent="0.25">
      <c r="A1074" t="s">
        <v>1599</v>
      </c>
      <c r="B1074" t="s">
        <v>2028</v>
      </c>
      <c r="C1074" t="s">
        <v>601</v>
      </c>
      <c r="D1074" t="s">
        <v>602</v>
      </c>
      <c r="E1074" t="s">
        <v>603</v>
      </c>
      <c r="F1074" t="s">
        <v>604</v>
      </c>
      <c r="G1074" t="s">
        <v>16</v>
      </c>
      <c r="H1074" t="s">
        <v>605</v>
      </c>
      <c r="I1074" t="s">
        <v>63</v>
      </c>
      <c r="J1074">
        <v>1</v>
      </c>
      <c r="K1074">
        <v>500</v>
      </c>
      <c r="L1074">
        <v>500</v>
      </c>
      <c r="M1074">
        <v>500</v>
      </c>
      <c r="N1074" t="s">
        <v>39</v>
      </c>
    </row>
    <row r="1075" spans="1:14" x14ac:dyDescent="0.25">
      <c r="A1075" t="s">
        <v>1497</v>
      </c>
      <c r="B1075" t="s">
        <v>2029</v>
      </c>
      <c r="C1075" t="s">
        <v>697</v>
      </c>
      <c r="D1075" t="s">
        <v>20</v>
      </c>
      <c r="E1075" t="s">
        <v>263</v>
      </c>
      <c r="F1075" t="s">
        <v>15</v>
      </c>
      <c r="G1075" t="s">
        <v>22</v>
      </c>
      <c r="H1075" t="s">
        <v>605</v>
      </c>
      <c r="I1075" t="s">
        <v>133</v>
      </c>
      <c r="J1075">
        <v>1</v>
      </c>
      <c r="K1075">
        <v>3675</v>
      </c>
      <c r="L1075">
        <v>10500</v>
      </c>
      <c r="M1075">
        <v>10500</v>
      </c>
      <c r="N1075" t="s">
        <v>19</v>
      </c>
    </row>
    <row r="1076" spans="1:14" x14ac:dyDescent="0.25">
      <c r="A1076" t="s">
        <v>1497</v>
      </c>
      <c r="B1076" t="s">
        <v>2029</v>
      </c>
      <c r="C1076" t="s">
        <v>697</v>
      </c>
      <c r="D1076" t="s">
        <v>20</v>
      </c>
      <c r="E1076" t="s">
        <v>263</v>
      </c>
      <c r="F1076" t="s">
        <v>15</v>
      </c>
      <c r="G1076" t="s">
        <v>22</v>
      </c>
      <c r="H1076" t="s">
        <v>605</v>
      </c>
      <c r="I1076" t="s">
        <v>25</v>
      </c>
      <c r="J1076">
        <v>1</v>
      </c>
      <c r="K1076">
        <v>11000</v>
      </c>
      <c r="L1076">
        <v>11000</v>
      </c>
      <c r="M1076">
        <v>11000</v>
      </c>
      <c r="N1076" t="s">
        <v>19</v>
      </c>
    </row>
    <row r="1077" spans="1:14" x14ac:dyDescent="0.25">
      <c r="A1077" t="s">
        <v>1497</v>
      </c>
      <c r="B1077" t="s">
        <v>2029</v>
      </c>
      <c r="C1077" t="s">
        <v>697</v>
      </c>
      <c r="D1077" t="s">
        <v>20</v>
      </c>
      <c r="E1077" t="s">
        <v>263</v>
      </c>
      <c r="F1077" t="s">
        <v>15</v>
      </c>
      <c r="G1077" t="s">
        <v>22</v>
      </c>
      <c r="H1077" t="s">
        <v>605</v>
      </c>
      <c r="I1077" t="s">
        <v>24</v>
      </c>
      <c r="J1077">
        <v>1</v>
      </c>
      <c r="K1077">
        <v>11000</v>
      </c>
      <c r="L1077">
        <v>11000</v>
      </c>
      <c r="M1077">
        <v>11000</v>
      </c>
      <c r="N1077" t="s">
        <v>19</v>
      </c>
    </row>
    <row r="1078" spans="1:14" x14ac:dyDescent="0.25">
      <c r="A1078" t="s">
        <v>1497</v>
      </c>
      <c r="B1078" t="s">
        <v>2029</v>
      </c>
      <c r="C1078" t="s">
        <v>697</v>
      </c>
      <c r="D1078" t="s">
        <v>20</v>
      </c>
      <c r="E1078" t="s">
        <v>263</v>
      </c>
      <c r="F1078" t="s">
        <v>15</v>
      </c>
      <c r="G1078" t="s">
        <v>22</v>
      </c>
      <c r="H1078" t="s">
        <v>605</v>
      </c>
      <c r="I1078" t="s">
        <v>134</v>
      </c>
      <c r="J1078">
        <v>1</v>
      </c>
      <c r="K1078">
        <v>500</v>
      </c>
      <c r="L1078">
        <v>500</v>
      </c>
      <c r="M1078">
        <v>500</v>
      </c>
      <c r="N1078" t="s">
        <v>19</v>
      </c>
    </row>
    <row r="1079" spans="1:14" x14ac:dyDescent="0.25">
      <c r="A1079" t="s">
        <v>1497</v>
      </c>
      <c r="B1079" t="s">
        <v>2029</v>
      </c>
      <c r="C1079" t="s">
        <v>697</v>
      </c>
      <c r="D1079" t="s">
        <v>20</v>
      </c>
      <c r="E1079" t="s">
        <v>263</v>
      </c>
      <c r="F1079" t="s">
        <v>15</v>
      </c>
      <c r="G1079" t="s">
        <v>22</v>
      </c>
      <c r="H1079" t="s">
        <v>605</v>
      </c>
      <c r="I1079" t="s">
        <v>98</v>
      </c>
      <c r="J1079">
        <v>1</v>
      </c>
      <c r="K1079">
        <v>935</v>
      </c>
      <c r="L1079">
        <v>1500</v>
      </c>
      <c r="M1079">
        <v>1500</v>
      </c>
      <c r="N1079" t="s">
        <v>19</v>
      </c>
    </row>
    <row r="1080" spans="1:14" x14ac:dyDescent="0.25">
      <c r="A1080" t="s">
        <v>1497</v>
      </c>
      <c r="B1080" t="s">
        <v>2029</v>
      </c>
      <c r="C1080" t="s">
        <v>697</v>
      </c>
      <c r="D1080" t="s">
        <v>20</v>
      </c>
      <c r="E1080" t="s">
        <v>263</v>
      </c>
      <c r="F1080" t="s">
        <v>15</v>
      </c>
      <c r="G1080" t="s">
        <v>22</v>
      </c>
      <c r="H1080" t="s">
        <v>605</v>
      </c>
      <c r="I1080" t="s">
        <v>137</v>
      </c>
      <c r="J1080">
        <v>1</v>
      </c>
      <c r="K1080">
        <v>2200</v>
      </c>
      <c r="L1080">
        <v>3200</v>
      </c>
      <c r="M1080">
        <v>3200</v>
      </c>
      <c r="N1080" t="s">
        <v>19</v>
      </c>
    </row>
    <row r="1081" spans="1:14" x14ac:dyDescent="0.25">
      <c r="A1081" t="s">
        <v>1497</v>
      </c>
      <c r="B1081" t="s">
        <v>2029</v>
      </c>
      <c r="C1081" t="s">
        <v>697</v>
      </c>
      <c r="D1081" t="s">
        <v>20</v>
      </c>
      <c r="E1081" t="s">
        <v>263</v>
      </c>
      <c r="F1081" t="s">
        <v>15</v>
      </c>
      <c r="G1081" t="s">
        <v>22</v>
      </c>
      <c r="H1081" t="s">
        <v>605</v>
      </c>
      <c r="I1081" t="s">
        <v>138</v>
      </c>
      <c r="J1081">
        <v>1</v>
      </c>
      <c r="K1081">
        <v>18700</v>
      </c>
      <c r="L1081">
        <v>27000</v>
      </c>
      <c r="M1081">
        <v>27000</v>
      </c>
      <c r="N1081" t="s">
        <v>19</v>
      </c>
    </row>
    <row r="1082" spans="1:14" x14ac:dyDescent="0.25">
      <c r="A1082" t="s">
        <v>1497</v>
      </c>
      <c r="B1082" t="s">
        <v>2029</v>
      </c>
      <c r="C1082" t="s">
        <v>697</v>
      </c>
      <c r="D1082" t="s">
        <v>20</v>
      </c>
      <c r="E1082" t="s">
        <v>263</v>
      </c>
      <c r="F1082" t="s">
        <v>15</v>
      </c>
      <c r="G1082" t="s">
        <v>22</v>
      </c>
      <c r="H1082" t="s">
        <v>605</v>
      </c>
      <c r="I1082" t="s">
        <v>139</v>
      </c>
      <c r="J1082">
        <v>1</v>
      </c>
      <c r="K1082">
        <v>2800</v>
      </c>
      <c r="L1082">
        <v>4000</v>
      </c>
      <c r="M1082">
        <v>4000</v>
      </c>
      <c r="N1082" t="s">
        <v>19</v>
      </c>
    </row>
    <row r="1083" spans="1:14" x14ac:dyDescent="0.25">
      <c r="A1083" t="s">
        <v>1497</v>
      </c>
      <c r="B1083" t="s">
        <v>2029</v>
      </c>
      <c r="C1083" t="s">
        <v>697</v>
      </c>
      <c r="D1083" t="s">
        <v>20</v>
      </c>
      <c r="E1083" t="s">
        <v>263</v>
      </c>
      <c r="F1083" t="s">
        <v>15</v>
      </c>
      <c r="G1083" t="s">
        <v>22</v>
      </c>
      <c r="H1083" t="s">
        <v>605</v>
      </c>
      <c r="I1083" t="s">
        <v>99</v>
      </c>
      <c r="J1083">
        <v>1</v>
      </c>
      <c r="K1083">
        <v>2800</v>
      </c>
      <c r="L1083">
        <v>4000</v>
      </c>
      <c r="M1083">
        <v>4000</v>
      </c>
      <c r="N1083" t="s">
        <v>19</v>
      </c>
    </row>
    <row r="1084" spans="1:14" x14ac:dyDescent="0.25">
      <c r="A1084" t="s">
        <v>1497</v>
      </c>
      <c r="B1084" t="s">
        <v>2029</v>
      </c>
      <c r="C1084" t="s">
        <v>697</v>
      </c>
      <c r="D1084" t="s">
        <v>20</v>
      </c>
      <c r="E1084" t="s">
        <v>263</v>
      </c>
      <c r="F1084" t="s">
        <v>15</v>
      </c>
      <c r="G1084" t="s">
        <v>22</v>
      </c>
      <c r="H1084" t="s">
        <v>605</v>
      </c>
      <c r="I1084" t="s">
        <v>76</v>
      </c>
      <c r="J1084">
        <v>1</v>
      </c>
      <c r="K1084">
        <v>500</v>
      </c>
      <c r="L1084">
        <v>500</v>
      </c>
      <c r="M1084">
        <v>500</v>
      </c>
      <c r="N1084" t="s">
        <v>19</v>
      </c>
    </row>
    <row r="1085" spans="1:14" x14ac:dyDescent="0.25">
      <c r="A1085" t="s">
        <v>1497</v>
      </c>
      <c r="B1085" t="s">
        <v>2030</v>
      </c>
      <c r="C1085" t="s">
        <v>702</v>
      </c>
      <c r="D1085" t="s">
        <v>20</v>
      </c>
      <c r="E1085" t="s">
        <v>263</v>
      </c>
      <c r="F1085" t="s">
        <v>15</v>
      </c>
      <c r="G1085" t="s">
        <v>22</v>
      </c>
      <c r="H1085" t="s">
        <v>605</v>
      </c>
      <c r="I1085" t="s">
        <v>133</v>
      </c>
      <c r="J1085">
        <v>1</v>
      </c>
      <c r="K1085">
        <v>3675</v>
      </c>
      <c r="L1085">
        <v>10500</v>
      </c>
      <c r="M1085">
        <v>10500</v>
      </c>
      <c r="N1085" t="s">
        <v>19</v>
      </c>
    </row>
    <row r="1086" spans="1:14" x14ac:dyDescent="0.25">
      <c r="A1086" t="s">
        <v>1497</v>
      </c>
      <c r="B1086" t="s">
        <v>2030</v>
      </c>
      <c r="C1086" t="s">
        <v>702</v>
      </c>
      <c r="D1086" t="s">
        <v>20</v>
      </c>
      <c r="E1086" t="s">
        <v>263</v>
      </c>
      <c r="F1086" t="s">
        <v>15</v>
      </c>
      <c r="G1086" t="s">
        <v>22</v>
      </c>
      <c r="H1086" t="s">
        <v>605</v>
      </c>
      <c r="I1086" t="s">
        <v>25</v>
      </c>
      <c r="J1086">
        <v>1</v>
      </c>
      <c r="K1086">
        <v>9000</v>
      </c>
      <c r="L1086">
        <v>9000</v>
      </c>
      <c r="M1086">
        <v>9000</v>
      </c>
      <c r="N1086" t="s">
        <v>19</v>
      </c>
    </row>
    <row r="1087" spans="1:14" x14ac:dyDescent="0.25">
      <c r="A1087" t="s">
        <v>1497</v>
      </c>
      <c r="B1087" t="s">
        <v>2030</v>
      </c>
      <c r="C1087" t="s">
        <v>702</v>
      </c>
      <c r="D1087" t="s">
        <v>20</v>
      </c>
      <c r="E1087" t="s">
        <v>263</v>
      </c>
      <c r="F1087" t="s">
        <v>15</v>
      </c>
      <c r="G1087" t="s">
        <v>22</v>
      </c>
      <c r="H1087" t="s">
        <v>605</v>
      </c>
      <c r="I1087" t="s">
        <v>24</v>
      </c>
      <c r="J1087">
        <v>1</v>
      </c>
      <c r="K1087">
        <v>9000</v>
      </c>
      <c r="L1087">
        <v>9000</v>
      </c>
      <c r="M1087">
        <v>9000</v>
      </c>
      <c r="N1087" t="s">
        <v>19</v>
      </c>
    </row>
    <row r="1088" spans="1:14" x14ac:dyDescent="0.25">
      <c r="A1088" t="s">
        <v>1497</v>
      </c>
      <c r="B1088" t="s">
        <v>2030</v>
      </c>
      <c r="C1088" t="s">
        <v>702</v>
      </c>
      <c r="D1088" t="s">
        <v>20</v>
      </c>
      <c r="E1088" t="s">
        <v>263</v>
      </c>
      <c r="F1088" t="s">
        <v>15</v>
      </c>
      <c r="G1088" t="s">
        <v>22</v>
      </c>
      <c r="H1088" t="s">
        <v>605</v>
      </c>
      <c r="I1088" t="s">
        <v>134</v>
      </c>
      <c r="J1088">
        <v>1</v>
      </c>
      <c r="K1088">
        <v>500</v>
      </c>
      <c r="L1088">
        <v>500</v>
      </c>
      <c r="M1088">
        <v>500</v>
      </c>
      <c r="N1088" t="s">
        <v>19</v>
      </c>
    </row>
    <row r="1089" spans="1:14" x14ac:dyDescent="0.25">
      <c r="A1089" t="s">
        <v>1497</v>
      </c>
      <c r="B1089" t="s">
        <v>2030</v>
      </c>
      <c r="C1089" t="s">
        <v>702</v>
      </c>
      <c r="D1089" t="s">
        <v>20</v>
      </c>
      <c r="E1089" t="s">
        <v>263</v>
      </c>
      <c r="F1089" t="s">
        <v>15</v>
      </c>
      <c r="G1089" t="s">
        <v>22</v>
      </c>
      <c r="H1089" t="s">
        <v>605</v>
      </c>
      <c r="I1089" t="s">
        <v>703</v>
      </c>
      <c r="J1089">
        <v>1</v>
      </c>
      <c r="K1089">
        <v>4600</v>
      </c>
      <c r="L1089">
        <v>6500</v>
      </c>
      <c r="M1089">
        <v>6500</v>
      </c>
      <c r="N1089" t="s">
        <v>19</v>
      </c>
    </row>
    <row r="1090" spans="1:14" x14ac:dyDescent="0.25">
      <c r="A1090" t="s">
        <v>1497</v>
      </c>
      <c r="B1090" t="s">
        <v>2030</v>
      </c>
      <c r="C1090" t="s">
        <v>702</v>
      </c>
      <c r="D1090" t="s">
        <v>20</v>
      </c>
      <c r="E1090" t="s">
        <v>263</v>
      </c>
      <c r="F1090" t="s">
        <v>15</v>
      </c>
      <c r="G1090" t="s">
        <v>22</v>
      </c>
      <c r="H1090" t="s">
        <v>605</v>
      </c>
      <c r="I1090" t="s">
        <v>704</v>
      </c>
      <c r="J1090">
        <v>1</v>
      </c>
      <c r="K1090">
        <v>8500</v>
      </c>
      <c r="L1090">
        <v>12100</v>
      </c>
      <c r="M1090">
        <v>12100</v>
      </c>
      <c r="N1090" t="s">
        <v>19</v>
      </c>
    </row>
    <row r="1091" spans="1:14" x14ac:dyDescent="0.25">
      <c r="A1091" t="s">
        <v>1497</v>
      </c>
      <c r="B1091" t="s">
        <v>2030</v>
      </c>
      <c r="C1091" t="s">
        <v>702</v>
      </c>
      <c r="D1091" t="s">
        <v>20</v>
      </c>
      <c r="E1091" t="s">
        <v>263</v>
      </c>
      <c r="F1091" t="s">
        <v>15</v>
      </c>
      <c r="G1091" t="s">
        <v>22</v>
      </c>
      <c r="H1091" t="s">
        <v>605</v>
      </c>
      <c r="I1091" t="s">
        <v>98</v>
      </c>
      <c r="J1091">
        <v>1</v>
      </c>
      <c r="K1091">
        <v>935</v>
      </c>
      <c r="L1091">
        <v>1500</v>
      </c>
      <c r="M1091">
        <v>1500</v>
      </c>
      <c r="N1091" t="s">
        <v>19</v>
      </c>
    </row>
    <row r="1092" spans="1:14" x14ac:dyDescent="0.25">
      <c r="A1092" t="s">
        <v>1497</v>
      </c>
      <c r="B1092" t="s">
        <v>2030</v>
      </c>
      <c r="C1092" t="s">
        <v>702</v>
      </c>
      <c r="D1092" t="s">
        <v>20</v>
      </c>
      <c r="E1092" t="s">
        <v>263</v>
      </c>
      <c r="F1092" t="s">
        <v>15</v>
      </c>
      <c r="G1092" t="s">
        <v>22</v>
      </c>
      <c r="H1092" t="s">
        <v>605</v>
      </c>
      <c r="I1092" t="s">
        <v>137</v>
      </c>
      <c r="J1092">
        <v>1</v>
      </c>
      <c r="K1092">
        <v>2200</v>
      </c>
      <c r="L1092">
        <v>3200</v>
      </c>
      <c r="M1092">
        <v>3200</v>
      </c>
      <c r="N1092" t="s">
        <v>19</v>
      </c>
    </row>
    <row r="1093" spans="1:14" x14ac:dyDescent="0.25">
      <c r="A1093" t="s">
        <v>1497</v>
      </c>
      <c r="B1093" t="s">
        <v>2030</v>
      </c>
      <c r="C1093" t="s">
        <v>702</v>
      </c>
      <c r="D1093" t="s">
        <v>20</v>
      </c>
      <c r="E1093" t="s">
        <v>263</v>
      </c>
      <c r="F1093" t="s">
        <v>15</v>
      </c>
      <c r="G1093" t="s">
        <v>22</v>
      </c>
      <c r="H1093" t="s">
        <v>605</v>
      </c>
      <c r="I1093" t="s">
        <v>705</v>
      </c>
      <c r="J1093">
        <v>1</v>
      </c>
      <c r="K1093">
        <v>24800</v>
      </c>
      <c r="L1093">
        <v>35000</v>
      </c>
      <c r="M1093">
        <v>35000</v>
      </c>
      <c r="N1093" t="s">
        <v>19</v>
      </c>
    </row>
    <row r="1094" spans="1:14" x14ac:dyDescent="0.25">
      <c r="A1094" t="s">
        <v>1497</v>
      </c>
      <c r="B1094" t="s">
        <v>2030</v>
      </c>
      <c r="C1094" t="s">
        <v>702</v>
      </c>
      <c r="D1094" t="s">
        <v>20</v>
      </c>
      <c r="E1094" t="s">
        <v>263</v>
      </c>
      <c r="F1094" t="s">
        <v>15</v>
      </c>
      <c r="G1094" t="s">
        <v>22</v>
      </c>
      <c r="H1094" t="s">
        <v>605</v>
      </c>
      <c r="I1094" t="s">
        <v>99</v>
      </c>
      <c r="J1094">
        <v>1</v>
      </c>
      <c r="K1094">
        <v>2800</v>
      </c>
      <c r="L1094">
        <v>4000</v>
      </c>
      <c r="M1094">
        <v>4000</v>
      </c>
      <c r="N1094" t="s">
        <v>19</v>
      </c>
    </row>
    <row r="1095" spans="1:14" x14ac:dyDescent="0.25">
      <c r="A1095" t="s">
        <v>1497</v>
      </c>
      <c r="B1095" t="s">
        <v>2030</v>
      </c>
      <c r="C1095" t="s">
        <v>702</v>
      </c>
      <c r="D1095" t="s">
        <v>20</v>
      </c>
      <c r="E1095" t="s">
        <v>263</v>
      </c>
      <c r="F1095" t="s">
        <v>15</v>
      </c>
      <c r="G1095" t="s">
        <v>22</v>
      </c>
      <c r="H1095" t="s">
        <v>605</v>
      </c>
      <c r="I1095" t="s">
        <v>76</v>
      </c>
      <c r="J1095">
        <v>1</v>
      </c>
      <c r="K1095">
        <v>500</v>
      </c>
      <c r="L1095">
        <v>500</v>
      </c>
      <c r="M1095">
        <v>500</v>
      </c>
      <c r="N1095" t="s">
        <v>19</v>
      </c>
    </row>
    <row r="1096" spans="1:14" x14ac:dyDescent="0.25">
      <c r="A1096" t="s">
        <v>1497</v>
      </c>
      <c r="B1096" t="s">
        <v>2031</v>
      </c>
      <c r="C1096" t="s">
        <v>707</v>
      </c>
      <c r="D1096" t="s">
        <v>20</v>
      </c>
      <c r="E1096" t="s">
        <v>263</v>
      </c>
      <c r="F1096" t="s">
        <v>15</v>
      </c>
      <c r="G1096" t="s">
        <v>22</v>
      </c>
      <c r="H1096" t="s">
        <v>605</v>
      </c>
      <c r="I1096" t="s">
        <v>133</v>
      </c>
      <c r="J1096">
        <v>1</v>
      </c>
      <c r="K1096">
        <v>3675</v>
      </c>
      <c r="L1096">
        <v>10500</v>
      </c>
      <c r="M1096">
        <v>10500</v>
      </c>
      <c r="N1096" t="s">
        <v>19</v>
      </c>
    </row>
    <row r="1097" spans="1:14" x14ac:dyDescent="0.25">
      <c r="A1097" t="s">
        <v>1497</v>
      </c>
      <c r="B1097" t="s">
        <v>2031</v>
      </c>
      <c r="C1097" t="s">
        <v>707</v>
      </c>
      <c r="D1097" t="s">
        <v>20</v>
      </c>
      <c r="E1097" t="s">
        <v>263</v>
      </c>
      <c r="F1097" t="s">
        <v>15</v>
      </c>
      <c r="G1097" t="s">
        <v>22</v>
      </c>
      <c r="H1097" t="s">
        <v>605</v>
      </c>
      <c r="I1097" t="s">
        <v>25</v>
      </c>
      <c r="J1097">
        <v>1</v>
      </c>
      <c r="K1097">
        <v>4500</v>
      </c>
      <c r="L1097">
        <v>4500</v>
      </c>
      <c r="M1097">
        <v>4500</v>
      </c>
      <c r="N1097" t="s">
        <v>19</v>
      </c>
    </row>
    <row r="1098" spans="1:14" x14ac:dyDescent="0.25">
      <c r="A1098" t="s">
        <v>1497</v>
      </c>
      <c r="B1098" t="s">
        <v>2031</v>
      </c>
      <c r="C1098" t="s">
        <v>707</v>
      </c>
      <c r="D1098" t="s">
        <v>20</v>
      </c>
      <c r="E1098" t="s">
        <v>263</v>
      </c>
      <c r="F1098" t="s">
        <v>15</v>
      </c>
      <c r="G1098" t="s">
        <v>22</v>
      </c>
      <c r="H1098" t="s">
        <v>605</v>
      </c>
      <c r="I1098" t="s">
        <v>24</v>
      </c>
      <c r="J1098">
        <v>1</v>
      </c>
      <c r="K1098">
        <v>4500</v>
      </c>
      <c r="L1098">
        <v>4500</v>
      </c>
      <c r="M1098">
        <v>4500</v>
      </c>
      <c r="N1098" t="s">
        <v>19</v>
      </c>
    </row>
    <row r="1099" spans="1:14" x14ac:dyDescent="0.25">
      <c r="A1099" t="s">
        <v>1497</v>
      </c>
      <c r="B1099" t="s">
        <v>2031</v>
      </c>
      <c r="C1099" t="s">
        <v>707</v>
      </c>
      <c r="D1099" t="s">
        <v>20</v>
      </c>
      <c r="E1099" t="s">
        <v>263</v>
      </c>
      <c r="F1099" t="s">
        <v>15</v>
      </c>
      <c r="G1099" t="s">
        <v>22</v>
      </c>
      <c r="H1099" t="s">
        <v>605</v>
      </c>
      <c r="I1099" t="s">
        <v>134</v>
      </c>
      <c r="J1099">
        <v>1</v>
      </c>
      <c r="K1099">
        <v>500</v>
      </c>
      <c r="L1099">
        <v>500</v>
      </c>
      <c r="M1099">
        <v>500</v>
      </c>
      <c r="N1099" t="s">
        <v>19</v>
      </c>
    </row>
    <row r="1100" spans="1:14" x14ac:dyDescent="0.25">
      <c r="A1100" t="s">
        <v>1497</v>
      </c>
      <c r="B1100" t="s">
        <v>2031</v>
      </c>
      <c r="C1100" t="s">
        <v>707</v>
      </c>
      <c r="D1100" t="s">
        <v>20</v>
      </c>
      <c r="E1100" t="s">
        <v>263</v>
      </c>
      <c r="F1100" t="s">
        <v>15</v>
      </c>
      <c r="G1100" t="s">
        <v>22</v>
      </c>
      <c r="H1100" t="s">
        <v>605</v>
      </c>
      <c r="I1100" t="s">
        <v>703</v>
      </c>
      <c r="J1100">
        <v>1</v>
      </c>
      <c r="K1100">
        <v>4600</v>
      </c>
      <c r="L1100">
        <v>6500</v>
      </c>
      <c r="M1100">
        <v>6500</v>
      </c>
      <c r="N1100" t="s">
        <v>19</v>
      </c>
    </row>
    <row r="1101" spans="1:14" x14ac:dyDescent="0.25">
      <c r="A1101" t="s">
        <v>1497</v>
      </c>
      <c r="B1101" t="s">
        <v>2031</v>
      </c>
      <c r="C1101" t="s">
        <v>707</v>
      </c>
      <c r="D1101" t="s">
        <v>20</v>
      </c>
      <c r="E1101" t="s">
        <v>263</v>
      </c>
      <c r="F1101" t="s">
        <v>15</v>
      </c>
      <c r="G1101" t="s">
        <v>22</v>
      </c>
      <c r="H1101" t="s">
        <v>605</v>
      </c>
      <c r="I1101" t="s">
        <v>704</v>
      </c>
      <c r="J1101">
        <v>1</v>
      </c>
      <c r="K1101">
        <v>8500</v>
      </c>
      <c r="L1101">
        <v>12100</v>
      </c>
      <c r="M1101">
        <v>12100</v>
      </c>
      <c r="N1101" t="s">
        <v>19</v>
      </c>
    </row>
    <row r="1102" spans="1:14" x14ac:dyDescent="0.25">
      <c r="A1102" t="s">
        <v>1497</v>
      </c>
      <c r="B1102" t="s">
        <v>2031</v>
      </c>
      <c r="C1102" t="s">
        <v>707</v>
      </c>
      <c r="D1102" t="s">
        <v>20</v>
      </c>
      <c r="E1102" t="s">
        <v>263</v>
      </c>
      <c r="F1102" t="s">
        <v>15</v>
      </c>
      <c r="G1102" t="s">
        <v>22</v>
      </c>
      <c r="H1102" t="s">
        <v>605</v>
      </c>
      <c r="I1102" t="s">
        <v>98</v>
      </c>
      <c r="J1102">
        <v>1</v>
      </c>
      <c r="K1102">
        <v>935</v>
      </c>
      <c r="L1102">
        <v>1500</v>
      </c>
      <c r="M1102">
        <v>1500</v>
      </c>
      <c r="N1102" t="s">
        <v>19</v>
      </c>
    </row>
    <row r="1103" spans="1:14" x14ac:dyDescent="0.25">
      <c r="A1103" t="s">
        <v>1497</v>
      </c>
      <c r="B1103" t="s">
        <v>2031</v>
      </c>
      <c r="C1103" t="s">
        <v>707</v>
      </c>
      <c r="D1103" t="s">
        <v>20</v>
      </c>
      <c r="E1103" t="s">
        <v>263</v>
      </c>
      <c r="F1103" t="s">
        <v>15</v>
      </c>
      <c r="G1103" t="s">
        <v>22</v>
      </c>
      <c r="H1103" t="s">
        <v>605</v>
      </c>
      <c r="I1103" t="s">
        <v>137</v>
      </c>
      <c r="J1103">
        <v>1</v>
      </c>
      <c r="K1103">
        <v>2200</v>
      </c>
      <c r="L1103">
        <v>3200</v>
      </c>
      <c r="M1103">
        <v>3200</v>
      </c>
      <c r="N1103" t="s">
        <v>19</v>
      </c>
    </row>
    <row r="1104" spans="1:14" x14ac:dyDescent="0.25">
      <c r="A1104" t="s">
        <v>1497</v>
      </c>
      <c r="B1104" t="s">
        <v>2031</v>
      </c>
      <c r="C1104" t="s">
        <v>707</v>
      </c>
      <c r="D1104" t="s">
        <v>20</v>
      </c>
      <c r="E1104" t="s">
        <v>263</v>
      </c>
      <c r="F1104" t="s">
        <v>15</v>
      </c>
      <c r="G1104" t="s">
        <v>22</v>
      </c>
      <c r="H1104" t="s">
        <v>605</v>
      </c>
      <c r="I1104" t="s">
        <v>705</v>
      </c>
      <c r="J1104">
        <v>1</v>
      </c>
      <c r="K1104">
        <v>24800</v>
      </c>
      <c r="L1104">
        <v>34000</v>
      </c>
      <c r="M1104">
        <v>34000</v>
      </c>
      <c r="N1104" t="s">
        <v>19</v>
      </c>
    </row>
    <row r="1105" spans="1:14" x14ac:dyDescent="0.25">
      <c r="A1105" t="s">
        <v>1497</v>
      </c>
      <c r="B1105" t="s">
        <v>2031</v>
      </c>
      <c r="C1105" t="s">
        <v>707</v>
      </c>
      <c r="D1105" t="s">
        <v>20</v>
      </c>
      <c r="E1105" t="s">
        <v>263</v>
      </c>
      <c r="F1105" t="s">
        <v>15</v>
      </c>
      <c r="G1105" t="s">
        <v>22</v>
      </c>
      <c r="H1105" t="s">
        <v>605</v>
      </c>
      <c r="I1105" t="s">
        <v>99</v>
      </c>
      <c r="J1105">
        <v>1</v>
      </c>
      <c r="K1105">
        <v>2800</v>
      </c>
      <c r="L1105">
        <v>4000</v>
      </c>
      <c r="M1105">
        <v>4000</v>
      </c>
      <c r="N1105" t="s">
        <v>19</v>
      </c>
    </row>
    <row r="1106" spans="1:14" x14ac:dyDescent="0.25">
      <c r="A1106" t="s">
        <v>1497</v>
      </c>
      <c r="B1106" t="s">
        <v>2031</v>
      </c>
      <c r="C1106" t="s">
        <v>707</v>
      </c>
      <c r="D1106" t="s">
        <v>20</v>
      </c>
      <c r="E1106" t="s">
        <v>263</v>
      </c>
      <c r="F1106" t="s">
        <v>15</v>
      </c>
      <c r="G1106" t="s">
        <v>22</v>
      </c>
      <c r="H1106" t="s">
        <v>605</v>
      </c>
      <c r="I1106" t="s">
        <v>76</v>
      </c>
      <c r="J1106">
        <v>1</v>
      </c>
      <c r="K1106">
        <v>500</v>
      </c>
      <c r="L1106">
        <v>500</v>
      </c>
      <c r="M1106">
        <v>500</v>
      </c>
      <c r="N1106" t="s">
        <v>19</v>
      </c>
    </row>
    <row r="1107" spans="1:14" x14ac:dyDescent="0.25">
      <c r="A1107" t="s">
        <v>1549</v>
      </c>
      <c r="B1107" t="s">
        <v>2032</v>
      </c>
      <c r="C1107" t="s">
        <v>606</v>
      </c>
      <c r="D1107" t="s">
        <v>179</v>
      </c>
      <c r="E1107" t="s">
        <v>180</v>
      </c>
      <c r="F1107" t="s">
        <v>15</v>
      </c>
      <c r="G1107" t="s">
        <v>37</v>
      </c>
      <c r="H1107" t="s">
        <v>607</v>
      </c>
      <c r="I1107" t="s">
        <v>97</v>
      </c>
      <c r="J1107">
        <v>1</v>
      </c>
      <c r="K1107">
        <v>2200</v>
      </c>
      <c r="L1107">
        <v>3500</v>
      </c>
      <c r="M1107">
        <v>3500</v>
      </c>
      <c r="N1107" t="s">
        <v>39</v>
      </c>
    </row>
    <row r="1108" spans="1:14" x14ac:dyDescent="0.25">
      <c r="A1108" t="s">
        <v>1507</v>
      </c>
      <c r="B1108" t="s">
        <v>2033</v>
      </c>
      <c r="C1108" t="s">
        <v>712</v>
      </c>
      <c r="D1108" t="s">
        <v>20</v>
      </c>
      <c r="E1108" t="s">
        <v>119</v>
      </c>
      <c r="F1108" t="s">
        <v>15</v>
      </c>
      <c r="G1108" t="s">
        <v>22</v>
      </c>
      <c r="H1108" t="s">
        <v>607</v>
      </c>
      <c r="I1108" t="s">
        <v>715</v>
      </c>
      <c r="J1108">
        <v>50</v>
      </c>
      <c r="K1108">
        <v>17</v>
      </c>
      <c r="L1108">
        <v>25</v>
      </c>
      <c r="M1108">
        <v>1250</v>
      </c>
      <c r="N1108" t="s">
        <v>19</v>
      </c>
    </row>
    <row r="1109" spans="1:14" x14ac:dyDescent="0.25">
      <c r="A1109" t="s">
        <v>1574</v>
      </c>
      <c r="B1109" t="s">
        <v>2034</v>
      </c>
      <c r="C1109" t="s">
        <v>611</v>
      </c>
      <c r="D1109" t="s">
        <v>612</v>
      </c>
      <c r="E1109" t="s">
        <v>608</v>
      </c>
      <c r="F1109" t="s">
        <v>613</v>
      </c>
      <c r="G1109" t="s">
        <v>16</v>
      </c>
      <c r="H1109" t="s">
        <v>614</v>
      </c>
      <c r="I1109" t="s">
        <v>615</v>
      </c>
      <c r="J1109">
        <v>1</v>
      </c>
      <c r="K1109">
        <v>2975</v>
      </c>
      <c r="L1109">
        <v>8500</v>
      </c>
      <c r="M1109">
        <v>8500</v>
      </c>
      <c r="N1109" t="s">
        <v>39</v>
      </c>
    </row>
    <row r="1110" spans="1:14" x14ac:dyDescent="0.25">
      <c r="A1110" t="s">
        <v>1574</v>
      </c>
      <c r="B1110" t="s">
        <v>2034</v>
      </c>
      <c r="C1110" t="s">
        <v>611</v>
      </c>
      <c r="D1110" t="s">
        <v>612</v>
      </c>
      <c r="E1110" t="s">
        <v>608</v>
      </c>
      <c r="F1110" t="s">
        <v>613</v>
      </c>
      <c r="G1110" t="s">
        <v>16</v>
      </c>
      <c r="H1110" t="s">
        <v>614</v>
      </c>
      <c r="I1110" t="s">
        <v>48</v>
      </c>
      <c r="J1110">
        <v>1</v>
      </c>
      <c r="K1110">
        <v>1050</v>
      </c>
      <c r="L1110">
        <v>3000</v>
      </c>
      <c r="M1110">
        <v>3000</v>
      </c>
      <c r="N1110" t="s">
        <v>39</v>
      </c>
    </row>
    <row r="1111" spans="1:14" x14ac:dyDescent="0.25">
      <c r="A1111" t="s">
        <v>1574</v>
      </c>
      <c r="B1111" t="s">
        <v>2034</v>
      </c>
      <c r="C1111" t="s">
        <v>611</v>
      </c>
      <c r="D1111" t="s">
        <v>612</v>
      </c>
      <c r="E1111" t="s">
        <v>608</v>
      </c>
      <c r="F1111" t="s">
        <v>613</v>
      </c>
      <c r="G1111" t="s">
        <v>16</v>
      </c>
      <c r="H1111" t="s">
        <v>614</v>
      </c>
      <c r="I1111" t="s">
        <v>126</v>
      </c>
      <c r="J1111">
        <v>1</v>
      </c>
      <c r="K1111">
        <v>1050</v>
      </c>
      <c r="L1111">
        <v>3000</v>
      </c>
      <c r="M1111">
        <v>3000</v>
      </c>
      <c r="N1111" t="s">
        <v>39</v>
      </c>
    </row>
    <row r="1112" spans="1:14" x14ac:dyDescent="0.25">
      <c r="A1112" t="s">
        <v>1574</v>
      </c>
      <c r="B1112" t="s">
        <v>2034</v>
      </c>
      <c r="C1112" t="s">
        <v>611</v>
      </c>
      <c r="D1112" t="s">
        <v>612</v>
      </c>
      <c r="E1112" t="s">
        <v>608</v>
      </c>
      <c r="F1112" t="s">
        <v>613</v>
      </c>
      <c r="G1112" t="s">
        <v>16</v>
      </c>
      <c r="H1112" t="s">
        <v>614</v>
      </c>
      <c r="I1112" t="s">
        <v>26</v>
      </c>
      <c r="J1112">
        <v>1</v>
      </c>
      <c r="K1112">
        <v>500</v>
      </c>
      <c r="L1112">
        <v>500</v>
      </c>
      <c r="M1112">
        <v>500</v>
      </c>
      <c r="N1112" t="s">
        <v>39</v>
      </c>
    </row>
    <row r="1113" spans="1:14" x14ac:dyDescent="0.25">
      <c r="A1113" t="s">
        <v>1574</v>
      </c>
      <c r="B1113" t="s">
        <v>2034</v>
      </c>
      <c r="C1113" t="s">
        <v>611</v>
      </c>
      <c r="D1113" t="s">
        <v>612</v>
      </c>
      <c r="E1113" t="s">
        <v>608</v>
      </c>
      <c r="F1113" t="s">
        <v>613</v>
      </c>
      <c r="G1113" t="s">
        <v>16</v>
      </c>
      <c r="H1113" t="s">
        <v>614</v>
      </c>
      <c r="I1113" t="s">
        <v>616</v>
      </c>
      <c r="J1113">
        <v>1</v>
      </c>
      <c r="K1113">
        <v>9500</v>
      </c>
      <c r="L1113">
        <v>15500</v>
      </c>
      <c r="M1113">
        <v>15500</v>
      </c>
      <c r="N1113" t="s">
        <v>39</v>
      </c>
    </row>
    <row r="1114" spans="1:14" x14ac:dyDescent="0.25">
      <c r="A1114" t="s">
        <v>1486</v>
      </c>
      <c r="B1114" t="s">
        <v>2035</v>
      </c>
      <c r="C1114" t="s">
        <v>716</v>
      </c>
      <c r="D1114" t="s">
        <v>20</v>
      </c>
      <c r="E1114" t="s">
        <v>31</v>
      </c>
      <c r="F1114" t="s">
        <v>15</v>
      </c>
      <c r="G1114" t="s">
        <v>22</v>
      </c>
      <c r="H1114" t="s">
        <v>614</v>
      </c>
      <c r="I1114" t="s">
        <v>33</v>
      </c>
      <c r="J1114">
        <v>1</v>
      </c>
      <c r="K1114">
        <v>6500</v>
      </c>
      <c r="L1114">
        <v>6500</v>
      </c>
      <c r="M1114">
        <v>6500</v>
      </c>
      <c r="N1114" t="s">
        <v>19</v>
      </c>
    </row>
    <row r="1115" spans="1:14" x14ac:dyDescent="0.25">
      <c r="A1115" t="s">
        <v>1441</v>
      </c>
      <c r="B1115" t="s">
        <v>2036</v>
      </c>
      <c r="C1115" t="s">
        <v>618</v>
      </c>
      <c r="D1115" t="s">
        <v>13</v>
      </c>
      <c r="E1115" t="s">
        <v>14</v>
      </c>
      <c r="F1115" t="s">
        <v>15</v>
      </c>
      <c r="G1115" t="s">
        <v>16</v>
      </c>
      <c r="H1115" t="s">
        <v>619</v>
      </c>
      <c r="I1115" t="s">
        <v>620</v>
      </c>
      <c r="J1115">
        <v>4</v>
      </c>
      <c r="K1115">
        <v>8500</v>
      </c>
      <c r="L1115">
        <v>8500</v>
      </c>
      <c r="M1115">
        <v>34000</v>
      </c>
      <c r="N1115" t="s">
        <v>19</v>
      </c>
    </row>
    <row r="1116" spans="1:14" x14ac:dyDescent="0.25">
      <c r="A1116" t="s">
        <v>1575</v>
      </c>
      <c r="B1116" t="s">
        <v>2037</v>
      </c>
      <c r="C1116" t="s">
        <v>346</v>
      </c>
      <c r="D1116" t="s">
        <v>1070</v>
      </c>
      <c r="E1116" t="s">
        <v>1071</v>
      </c>
      <c r="F1116" t="s">
        <v>15</v>
      </c>
      <c r="G1116" t="s">
        <v>37</v>
      </c>
      <c r="H1116" t="s">
        <v>619</v>
      </c>
      <c r="I1116" t="s">
        <v>501</v>
      </c>
      <c r="J1116">
        <v>6</v>
      </c>
      <c r="K1116">
        <v>70</v>
      </c>
      <c r="L1116">
        <v>250</v>
      </c>
      <c r="M1116">
        <v>1500</v>
      </c>
      <c r="N1116" t="s">
        <v>19</v>
      </c>
    </row>
    <row r="1117" spans="1:14" x14ac:dyDescent="0.25">
      <c r="A1117" t="s">
        <v>1581</v>
      </c>
      <c r="B1117" t="s">
        <v>2038</v>
      </c>
      <c r="C1117" t="s">
        <v>621</v>
      </c>
      <c r="D1117" t="s">
        <v>87</v>
      </c>
      <c r="E1117" t="s">
        <v>87</v>
      </c>
      <c r="F1117" t="s">
        <v>15</v>
      </c>
      <c r="G1117" t="s">
        <v>37</v>
      </c>
      <c r="H1117" t="s">
        <v>622</v>
      </c>
      <c r="I1117" t="s">
        <v>89</v>
      </c>
      <c r="J1117">
        <v>50</v>
      </c>
      <c r="K1117">
        <v>32</v>
      </c>
      <c r="L1117">
        <v>50</v>
      </c>
      <c r="M1117">
        <v>2500</v>
      </c>
      <c r="N1117" t="s">
        <v>39</v>
      </c>
    </row>
    <row r="1118" spans="1:14" x14ac:dyDescent="0.25">
      <c r="A1118" t="s">
        <v>1505</v>
      </c>
      <c r="B1118" t="s">
        <v>2039</v>
      </c>
      <c r="C1118" t="s">
        <v>718</v>
      </c>
      <c r="D1118" t="s">
        <v>20</v>
      </c>
      <c r="E1118" t="s">
        <v>192</v>
      </c>
      <c r="F1118" t="s">
        <v>15</v>
      </c>
      <c r="G1118" t="s">
        <v>22</v>
      </c>
      <c r="H1118" t="s">
        <v>720</v>
      </c>
      <c r="I1118" t="s">
        <v>721</v>
      </c>
      <c r="J1118">
        <v>6</v>
      </c>
      <c r="K1118">
        <v>21500</v>
      </c>
      <c r="L1118">
        <v>25283</v>
      </c>
      <c r="M1118">
        <v>151698</v>
      </c>
      <c r="N1118" t="s">
        <v>19</v>
      </c>
    </row>
    <row r="1119" spans="1:14" x14ac:dyDescent="0.25">
      <c r="A1119" t="s">
        <v>1505</v>
      </c>
      <c r="B1119" t="s">
        <v>2039</v>
      </c>
      <c r="C1119" t="s">
        <v>718</v>
      </c>
      <c r="D1119" t="s">
        <v>20</v>
      </c>
      <c r="E1119" t="s">
        <v>192</v>
      </c>
      <c r="F1119" t="s">
        <v>15</v>
      </c>
      <c r="G1119" t="s">
        <v>22</v>
      </c>
      <c r="H1119" t="s">
        <v>720</v>
      </c>
      <c r="I1119" t="s">
        <v>722</v>
      </c>
      <c r="J1119">
        <v>1</v>
      </c>
      <c r="K1119">
        <v>3500</v>
      </c>
      <c r="L1119">
        <v>10000</v>
      </c>
      <c r="M1119">
        <v>10000</v>
      </c>
      <c r="N1119" t="s">
        <v>19</v>
      </c>
    </row>
    <row r="1120" spans="1:14" x14ac:dyDescent="0.25">
      <c r="A1120" t="s">
        <v>1505</v>
      </c>
      <c r="B1120" t="s">
        <v>2039</v>
      </c>
      <c r="C1120" t="s">
        <v>718</v>
      </c>
      <c r="D1120" t="s">
        <v>20</v>
      </c>
      <c r="E1120" t="s">
        <v>192</v>
      </c>
      <c r="F1120" t="s">
        <v>15</v>
      </c>
      <c r="G1120" t="s">
        <v>22</v>
      </c>
      <c r="H1120" t="s">
        <v>720</v>
      </c>
      <c r="I1120" t="s">
        <v>723</v>
      </c>
      <c r="J1120">
        <v>5</v>
      </c>
      <c r="K1120">
        <v>3500</v>
      </c>
      <c r="L1120">
        <v>10000</v>
      </c>
      <c r="M1120">
        <v>50000</v>
      </c>
      <c r="N1120" t="s">
        <v>19</v>
      </c>
    </row>
    <row r="1121" spans="1:14" x14ac:dyDescent="0.25">
      <c r="A1121" t="s">
        <v>1505</v>
      </c>
      <c r="B1121" t="s">
        <v>2039</v>
      </c>
      <c r="C1121" t="s">
        <v>718</v>
      </c>
      <c r="D1121" t="s">
        <v>20</v>
      </c>
      <c r="E1121" t="s">
        <v>192</v>
      </c>
      <c r="F1121" t="s">
        <v>15</v>
      </c>
      <c r="G1121" t="s">
        <v>22</v>
      </c>
      <c r="H1121" t="s">
        <v>720</v>
      </c>
      <c r="I1121" t="s">
        <v>99</v>
      </c>
      <c r="J1121">
        <v>6</v>
      </c>
      <c r="K1121">
        <v>2000</v>
      </c>
      <c r="L1121">
        <v>2800</v>
      </c>
      <c r="M1121">
        <v>16800</v>
      </c>
      <c r="N1121" t="s">
        <v>19</v>
      </c>
    </row>
    <row r="1122" spans="1:14" x14ac:dyDescent="0.25">
      <c r="A1122" t="s">
        <v>1505</v>
      </c>
      <c r="B1122" t="s">
        <v>2039</v>
      </c>
      <c r="C1122" t="s">
        <v>718</v>
      </c>
      <c r="D1122" t="s">
        <v>20</v>
      </c>
      <c r="E1122" t="s">
        <v>192</v>
      </c>
      <c r="F1122" t="s">
        <v>15</v>
      </c>
      <c r="G1122" t="s">
        <v>22</v>
      </c>
      <c r="H1122" t="s">
        <v>720</v>
      </c>
      <c r="I1122" t="s">
        <v>134</v>
      </c>
      <c r="J1122">
        <v>5</v>
      </c>
      <c r="K1122">
        <v>440</v>
      </c>
      <c r="L1122">
        <v>440</v>
      </c>
      <c r="M1122">
        <v>2200</v>
      </c>
      <c r="N1122" t="s">
        <v>19</v>
      </c>
    </row>
    <row r="1123" spans="1:14" x14ac:dyDescent="0.25">
      <c r="A1123" t="s">
        <v>1609</v>
      </c>
      <c r="B1123" t="s">
        <v>2040</v>
      </c>
      <c r="C1123" t="s">
        <v>724</v>
      </c>
      <c r="D1123" t="s">
        <v>191</v>
      </c>
      <c r="E1123" t="s">
        <v>192</v>
      </c>
      <c r="F1123" t="s">
        <v>15</v>
      </c>
      <c r="G1123" t="s">
        <v>22</v>
      </c>
      <c r="H1123" t="s">
        <v>720</v>
      </c>
      <c r="I1123" t="s">
        <v>581</v>
      </c>
      <c r="J1123">
        <v>3</v>
      </c>
      <c r="K1123">
        <v>9500</v>
      </c>
      <c r="L1123">
        <v>13500</v>
      </c>
      <c r="M1123">
        <v>40500</v>
      </c>
      <c r="N1123" t="s">
        <v>19</v>
      </c>
    </row>
    <row r="1124" spans="1:14" x14ac:dyDescent="0.25">
      <c r="A1124" t="s">
        <v>1609</v>
      </c>
      <c r="B1124" t="s">
        <v>2040</v>
      </c>
      <c r="C1124" t="s">
        <v>724</v>
      </c>
      <c r="D1124" t="s">
        <v>191</v>
      </c>
      <c r="E1124" t="s">
        <v>192</v>
      </c>
      <c r="F1124" t="s">
        <v>15</v>
      </c>
      <c r="G1124" t="s">
        <v>22</v>
      </c>
      <c r="H1124" t="s">
        <v>720</v>
      </c>
      <c r="I1124" t="s">
        <v>76</v>
      </c>
      <c r="J1124">
        <v>1</v>
      </c>
      <c r="K1124">
        <v>1500</v>
      </c>
      <c r="L1124">
        <v>1500</v>
      </c>
      <c r="M1124">
        <v>1500</v>
      </c>
      <c r="N1124" t="s">
        <v>19</v>
      </c>
    </row>
    <row r="1125" spans="1:14" x14ac:dyDescent="0.25">
      <c r="A1125" t="s">
        <v>1437</v>
      </c>
      <c r="B1125" t="s">
        <v>2041</v>
      </c>
      <c r="C1125" t="s">
        <v>351</v>
      </c>
      <c r="D1125" t="s">
        <v>1085</v>
      </c>
      <c r="E1125" t="s">
        <v>1086</v>
      </c>
      <c r="F1125" t="s">
        <v>1019</v>
      </c>
      <c r="G1125" t="s">
        <v>1088</v>
      </c>
      <c r="H1125" t="s">
        <v>1116</v>
      </c>
      <c r="I1125" t="s">
        <v>422</v>
      </c>
      <c r="J1125">
        <v>1</v>
      </c>
      <c r="K1125">
        <v>3675</v>
      </c>
      <c r="L1125">
        <v>10500</v>
      </c>
      <c r="M1125">
        <v>10500</v>
      </c>
      <c r="N1125" t="s">
        <v>1010</v>
      </c>
    </row>
    <row r="1126" spans="1:14" x14ac:dyDescent="0.25">
      <c r="A1126" t="s">
        <v>1437</v>
      </c>
      <c r="B1126" t="s">
        <v>2041</v>
      </c>
      <c r="C1126" t="s">
        <v>351</v>
      </c>
      <c r="D1126" t="s">
        <v>1085</v>
      </c>
      <c r="E1126" t="s">
        <v>1086</v>
      </c>
      <c r="F1126" t="s">
        <v>1019</v>
      </c>
      <c r="G1126" t="s">
        <v>1088</v>
      </c>
      <c r="H1126" t="s">
        <v>1116</v>
      </c>
      <c r="I1126" t="s">
        <v>26</v>
      </c>
      <c r="J1126">
        <v>1</v>
      </c>
      <c r="K1126">
        <v>500</v>
      </c>
      <c r="L1126">
        <v>500</v>
      </c>
      <c r="M1126">
        <v>500</v>
      </c>
      <c r="N1126" t="s">
        <v>1010</v>
      </c>
    </row>
    <row r="1127" spans="1:14" x14ac:dyDescent="0.25">
      <c r="A1127" t="s">
        <v>1437</v>
      </c>
      <c r="B1127" t="s">
        <v>2041</v>
      </c>
      <c r="C1127" t="s">
        <v>351</v>
      </c>
      <c r="D1127" t="s">
        <v>1085</v>
      </c>
      <c r="E1127" t="s">
        <v>1086</v>
      </c>
      <c r="F1127" t="s">
        <v>1019</v>
      </c>
      <c r="G1127" t="s">
        <v>1088</v>
      </c>
      <c r="H1127" t="s">
        <v>1116</v>
      </c>
      <c r="I1127" t="s">
        <v>537</v>
      </c>
      <c r="J1127">
        <v>1</v>
      </c>
      <c r="K1127">
        <v>4200</v>
      </c>
      <c r="L1127">
        <v>3587.5</v>
      </c>
      <c r="M1127">
        <v>3587.5</v>
      </c>
      <c r="N1127" t="s">
        <v>1010</v>
      </c>
    </row>
    <row r="1128" spans="1:14" x14ac:dyDescent="0.25">
      <c r="A1128" t="s">
        <v>1437</v>
      </c>
      <c r="B1128" t="s">
        <v>2041</v>
      </c>
      <c r="C1128" t="s">
        <v>351</v>
      </c>
      <c r="D1128" t="s">
        <v>1085</v>
      </c>
      <c r="E1128" t="s">
        <v>1086</v>
      </c>
      <c r="F1128" t="s">
        <v>1019</v>
      </c>
      <c r="G1128" t="s">
        <v>1088</v>
      </c>
      <c r="H1128" t="s">
        <v>1116</v>
      </c>
      <c r="I1128" t="s">
        <v>24</v>
      </c>
      <c r="J1128">
        <v>1</v>
      </c>
      <c r="K1128">
        <v>4200</v>
      </c>
      <c r="L1128">
        <v>3587.5</v>
      </c>
      <c r="M1128">
        <v>3587.5</v>
      </c>
      <c r="N1128" t="s">
        <v>1010</v>
      </c>
    </row>
    <row r="1129" spans="1:14" x14ac:dyDescent="0.25">
      <c r="A1129" t="s">
        <v>1590</v>
      </c>
      <c r="B1129" t="s">
        <v>2042</v>
      </c>
      <c r="C1129" t="s">
        <v>625</v>
      </c>
      <c r="D1129" t="s">
        <v>626</v>
      </c>
      <c r="E1129" t="s">
        <v>627</v>
      </c>
      <c r="F1129" t="s">
        <v>15</v>
      </c>
      <c r="G1129" t="s">
        <v>37</v>
      </c>
      <c r="H1129" t="s">
        <v>628</v>
      </c>
      <c r="I1129" t="s">
        <v>38</v>
      </c>
      <c r="J1129">
        <v>1</v>
      </c>
      <c r="K1129">
        <v>8500</v>
      </c>
      <c r="L1129">
        <v>13000</v>
      </c>
      <c r="M1129">
        <v>13000</v>
      </c>
      <c r="N1129" t="s">
        <v>19</v>
      </c>
    </row>
    <row r="1130" spans="1:14" x14ac:dyDescent="0.25">
      <c r="A1130" t="s">
        <v>1510</v>
      </c>
      <c r="B1130" t="s">
        <v>2043</v>
      </c>
      <c r="C1130" t="s">
        <v>729</v>
      </c>
      <c r="D1130" t="s">
        <v>20</v>
      </c>
      <c r="E1130" t="s">
        <v>733</v>
      </c>
      <c r="F1130" t="s">
        <v>15</v>
      </c>
      <c r="G1130" t="s">
        <v>22</v>
      </c>
      <c r="H1130" t="s">
        <v>734</v>
      </c>
      <c r="I1130" t="s">
        <v>735</v>
      </c>
      <c r="J1130">
        <v>1</v>
      </c>
      <c r="K1130">
        <v>7500</v>
      </c>
      <c r="L1130">
        <v>12000</v>
      </c>
      <c r="M1130">
        <v>12000</v>
      </c>
      <c r="N1130" t="s">
        <v>19</v>
      </c>
    </row>
    <row r="1131" spans="1:14" x14ac:dyDescent="0.25">
      <c r="A1131" t="s">
        <v>1510</v>
      </c>
      <c r="B1131" t="s">
        <v>2043</v>
      </c>
      <c r="C1131" t="s">
        <v>729</v>
      </c>
      <c r="D1131" t="s">
        <v>20</v>
      </c>
      <c r="E1131" t="s">
        <v>733</v>
      </c>
      <c r="F1131" t="s">
        <v>15</v>
      </c>
      <c r="G1131" t="s">
        <v>22</v>
      </c>
      <c r="H1131" t="s">
        <v>734</v>
      </c>
      <c r="I1131" t="s">
        <v>76</v>
      </c>
      <c r="J1131">
        <v>1</v>
      </c>
      <c r="K1131">
        <v>500</v>
      </c>
      <c r="L1131">
        <v>500</v>
      </c>
      <c r="M1131">
        <v>500</v>
      </c>
      <c r="N1131" t="s">
        <v>19</v>
      </c>
    </row>
    <row r="1132" spans="1:14" x14ac:dyDescent="0.25">
      <c r="A1132" t="s">
        <v>1505</v>
      </c>
      <c r="B1132" t="s">
        <v>2044</v>
      </c>
      <c r="C1132" t="s">
        <v>736</v>
      </c>
      <c r="D1132" t="s">
        <v>20</v>
      </c>
      <c r="E1132" t="s">
        <v>192</v>
      </c>
      <c r="F1132" t="s">
        <v>15</v>
      </c>
      <c r="G1132" t="s">
        <v>22</v>
      </c>
      <c r="H1132" t="s">
        <v>734</v>
      </c>
      <c r="I1132" t="s">
        <v>721</v>
      </c>
      <c r="J1132">
        <v>6</v>
      </c>
      <c r="K1132">
        <v>21500</v>
      </c>
      <c r="L1132">
        <v>25283</v>
      </c>
      <c r="M1132">
        <v>151698</v>
      </c>
      <c r="N1132" t="s">
        <v>19</v>
      </c>
    </row>
    <row r="1133" spans="1:14" x14ac:dyDescent="0.25">
      <c r="A1133" t="s">
        <v>1505</v>
      </c>
      <c r="B1133" t="s">
        <v>2044</v>
      </c>
      <c r="C1133" t="s">
        <v>736</v>
      </c>
      <c r="D1133" t="s">
        <v>20</v>
      </c>
      <c r="E1133" t="s">
        <v>192</v>
      </c>
      <c r="F1133" t="s">
        <v>15</v>
      </c>
      <c r="G1133" t="s">
        <v>22</v>
      </c>
      <c r="H1133" t="s">
        <v>734</v>
      </c>
      <c r="I1133" t="s">
        <v>722</v>
      </c>
      <c r="J1133">
        <v>1</v>
      </c>
      <c r="K1133">
        <v>3500</v>
      </c>
      <c r="L1133">
        <v>10000</v>
      </c>
      <c r="M1133">
        <v>10000</v>
      </c>
      <c r="N1133" t="s">
        <v>19</v>
      </c>
    </row>
    <row r="1134" spans="1:14" x14ac:dyDescent="0.25">
      <c r="A1134" t="s">
        <v>1505</v>
      </c>
      <c r="B1134" t="s">
        <v>2044</v>
      </c>
      <c r="C1134" t="s">
        <v>736</v>
      </c>
      <c r="D1134" t="s">
        <v>20</v>
      </c>
      <c r="E1134" t="s">
        <v>192</v>
      </c>
      <c r="F1134" t="s">
        <v>15</v>
      </c>
      <c r="G1134" t="s">
        <v>22</v>
      </c>
      <c r="H1134" t="s">
        <v>734</v>
      </c>
      <c r="I1134" t="s">
        <v>723</v>
      </c>
      <c r="J1134">
        <v>5</v>
      </c>
      <c r="K1134">
        <v>3500</v>
      </c>
      <c r="L1134">
        <v>10000</v>
      </c>
      <c r="M1134">
        <v>50000</v>
      </c>
      <c r="N1134" t="s">
        <v>19</v>
      </c>
    </row>
    <row r="1135" spans="1:14" x14ac:dyDescent="0.25">
      <c r="A1135" t="s">
        <v>1505</v>
      </c>
      <c r="B1135" t="s">
        <v>2044</v>
      </c>
      <c r="C1135" t="s">
        <v>736</v>
      </c>
      <c r="D1135" t="s">
        <v>20</v>
      </c>
      <c r="E1135" t="s">
        <v>192</v>
      </c>
      <c r="F1135" t="s">
        <v>15</v>
      </c>
      <c r="G1135" t="s">
        <v>22</v>
      </c>
      <c r="H1135" t="s">
        <v>734</v>
      </c>
      <c r="I1135" t="s">
        <v>99</v>
      </c>
      <c r="J1135">
        <v>6</v>
      </c>
      <c r="K1135">
        <v>2000</v>
      </c>
      <c r="L1135">
        <v>2800</v>
      </c>
      <c r="M1135">
        <v>16800</v>
      </c>
      <c r="N1135" t="s">
        <v>19</v>
      </c>
    </row>
    <row r="1136" spans="1:14" x14ac:dyDescent="0.25">
      <c r="A1136" t="s">
        <v>1505</v>
      </c>
      <c r="B1136" t="s">
        <v>2044</v>
      </c>
      <c r="C1136" t="s">
        <v>736</v>
      </c>
      <c r="D1136" t="s">
        <v>20</v>
      </c>
      <c r="E1136" t="s">
        <v>192</v>
      </c>
      <c r="F1136" t="s">
        <v>15</v>
      </c>
      <c r="G1136" t="s">
        <v>22</v>
      </c>
      <c r="H1136" t="s">
        <v>734</v>
      </c>
      <c r="I1136" t="s">
        <v>134</v>
      </c>
      <c r="J1136">
        <v>5</v>
      </c>
      <c r="K1136">
        <v>440</v>
      </c>
      <c r="L1136">
        <v>440</v>
      </c>
      <c r="M1136">
        <v>2200</v>
      </c>
      <c r="N1136" t="s">
        <v>19</v>
      </c>
    </row>
    <row r="1137" spans="1:14" x14ac:dyDescent="0.25">
      <c r="A1137" t="s">
        <v>1486</v>
      </c>
      <c r="B1137" t="s">
        <v>2045</v>
      </c>
      <c r="C1137" t="s">
        <v>741</v>
      </c>
      <c r="D1137" t="s">
        <v>20</v>
      </c>
      <c r="E1137" t="s">
        <v>31</v>
      </c>
      <c r="F1137" t="s">
        <v>15</v>
      </c>
      <c r="G1137" t="s">
        <v>22</v>
      </c>
      <c r="H1137" t="s">
        <v>734</v>
      </c>
      <c r="I1137" t="s">
        <v>33</v>
      </c>
      <c r="J1137">
        <v>3</v>
      </c>
      <c r="K1137">
        <v>6500</v>
      </c>
      <c r="L1137">
        <v>6500</v>
      </c>
      <c r="M1137">
        <v>19500</v>
      </c>
      <c r="N1137" t="s">
        <v>19</v>
      </c>
    </row>
    <row r="1138" spans="1:14" x14ac:dyDescent="0.25">
      <c r="A1138" t="s">
        <v>1486</v>
      </c>
      <c r="B1138" t="s">
        <v>2046</v>
      </c>
      <c r="C1138" t="s">
        <v>742</v>
      </c>
      <c r="D1138" t="s">
        <v>20</v>
      </c>
      <c r="E1138" t="s">
        <v>31</v>
      </c>
      <c r="F1138" t="s">
        <v>15</v>
      </c>
      <c r="G1138" t="s">
        <v>22</v>
      </c>
      <c r="H1138" t="s">
        <v>734</v>
      </c>
      <c r="I1138" t="s">
        <v>33</v>
      </c>
      <c r="J1138">
        <v>2</v>
      </c>
      <c r="K1138">
        <v>6500</v>
      </c>
      <c r="L1138">
        <v>6500</v>
      </c>
      <c r="M1138">
        <v>13000</v>
      </c>
      <c r="N1138" t="s">
        <v>19</v>
      </c>
    </row>
    <row r="1139" spans="1:14" x14ac:dyDescent="0.25">
      <c r="A1139" t="s">
        <v>1486</v>
      </c>
      <c r="B1139" t="s">
        <v>2047</v>
      </c>
      <c r="C1139" t="s">
        <v>744</v>
      </c>
      <c r="D1139" t="s">
        <v>20</v>
      </c>
      <c r="E1139" t="s">
        <v>31</v>
      </c>
      <c r="F1139" t="s">
        <v>15</v>
      </c>
      <c r="G1139" t="s">
        <v>22</v>
      </c>
      <c r="H1139" t="s">
        <v>734</v>
      </c>
      <c r="I1139" t="s">
        <v>746</v>
      </c>
      <c r="J1139">
        <v>1</v>
      </c>
      <c r="K1139">
        <v>6500</v>
      </c>
      <c r="L1139">
        <v>6500</v>
      </c>
      <c r="M1139">
        <v>6500</v>
      </c>
      <c r="N1139" t="s">
        <v>19</v>
      </c>
    </row>
    <row r="1140" spans="1:14" x14ac:dyDescent="0.25">
      <c r="A1140" t="s">
        <v>1486</v>
      </c>
      <c r="B1140" t="s">
        <v>2048</v>
      </c>
      <c r="C1140" t="s">
        <v>747</v>
      </c>
      <c r="D1140" t="s">
        <v>20</v>
      </c>
      <c r="E1140" t="s">
        <v>31</v>
      </c>
      <c r="F1140" t="s">
        <v>15</v>
      </c>
      <c r="G1140" t="s">
        <v>22</v>
      </c>
      <c r="H1140" t="s">
        <v>734</v>
      </c>
      <c r="I1140" t="s">
        <v>33</v>
      </c>
      <c r="J1140">
        <v>1</v>
      </c>
      <c r="K1140">
        <v>6500</v>
      </c>
      <c r="L1140">
        <v>6500</v>
      </c>
      <c r="M1140">
        <v>6500</v>
      </c>
      <c r="N1140" t="s">
        <v>19</v>
      </c>
    </row>
    <row r="1141" spans="1:14" x14ac:dyDescent="0.25">
      <c r="A1141" t="s">
        <v>1486</v>
      </c>
      <c r="B1141" t="s">
        <v>2049</v>
      </c>
      <c r="C1141" t="s">
        <v>751</v>
      </c>
      <c r="D1141" t="s">
        <v>20</v>
      </c>
      <c r="E1141" t="s">
        <v>31</v>
      </c>
      <c r="F1141" t="s">
        <v>15</v>
      </c>
      <c r="G1141" t="s">
        <v>22</v>
      </c>
      <c r="H1141" t="s">
        <v>734</v>
      </c>
      <c r="I1141" t="s">
        <v>33</v>
      </c>
      <c r="J1141">
        <v>3</v>
      </c>
      <c r="K1141">
        <v>6500</v>
      </c>
      <c r="L1141">
        <v>6500</v>
      </c>
      <c r="M1141">
        <v>19500</v>
      </c>
      <c r="N1141" t="s">
        <v>19</v>
      </c>
    </row>
    <row r="1142" spans="1:14" x14ac:dyDescent="0.25">
      <c r="A1142" t="s">
        <v>1486</v>
      </c>
      <c r="B1142" t="s">
        <v>2050</v>
      </c>
      <c r="C1142" t="s">
        <v>752</v>
      </c>
      <c r="D1142" t="s">
        <v>20</v>
      </c>
      <c r="E1142" t="s">
        <v>31</v>
      </c>
      <c r="F1142" t="s">
        <v>15</v>
      </c>
      <c r="G1142" t="s">
        <v>22</v>
      </c>
      <c r="H1142" t="s">
        <v>734</v>
      </c>
      <c r="I1142" t="s">
        <v>33</v>
      </c>
      <c r="J1142">
        <v>1</v>
      </c>
      <c r="K1142">
        <v>6500</v>
      </c>
      <c r="L1142">
        <v>6500</v>
      </c>
      <c r="M1142">
        <v>6500</v>
      </c>
      <c r="N1142" t="s">
        <v>19</v>
      </c>
    </row>
    <row r="1143" spans="1:14" x14ac:dyDescent="0.25">
      <c r="A1143" t="s">
        <v>1585</v>
      </c>
      <c r="B1143" t="s">
        <v>2051</v>
      </c>
      <c r="C1143" t="s">
        <v>353</v>
      </c>
      <c r="D1143" t="s">
        <v>1117</v>
      </c>
      <c r="E1143" t="s">
        <v>1118</v>
      </c>
      <c r="F1143" t="s">
        <v>15</v>
      </c>
      <c r="G1143" t="s">
        <v>1024</v>
      </c>
      <c r="H1143" t="s">
        <v>734</v>
      </c>
      <c r="I1143" t="s">
        <v>1009</v>
      </c>
      <c r="J1143">
        <v>1</v>
      </c>
      <c r="K1143">
        <v>3675</v>
      </c>
      <c r="L1143">
        <v>10500</v>
      </c>
      <c r="M1143">
        <v>10500</v>
      </c>
      <c r="N1143" t="s">
        <v>19</v>
      </c>
    </row>
    <row r="1144" spans="1:14" x14ac:dyDescent="0.25">
      <c r="A1144" t="s">
        <v>1585</v>
      </c>
      <c r="B1144" t="s">
        <v>2051</v>
      </c>
      <c r="C1144" t="s">
        <v>353</v>
      </c>
      <c r="D1144" t="s">
        <v>1117</v>
      </c>
      <c r="E1144" t="s">
        <v>1118</v>
      </c>
      <c r="F1144" t="s">
        <v>15</v>
      </c>
      <c r="G1144" t="s">
        <v>1024</v>
      </c>
      <c r="H1144" t="s">
        <v>734</v>
      </c>
      <c r="I1144" t="s">
        <v>1011</v>
      </c>
      <c r="J1144">
        <v>1</v>
      </c>
      <c r="K1144">
        <v>2450</v>
      </c>
      <c r="L1144">
        <v>7000</v>
      </c>
      <c r="M1144">
        <v>7000</v>
      </c>
      <c r="N1144" t="s">
        <v>19</v>
      </c>
    </row>
    <row r="1145" spans="1:14" x14ac:dyDescent="0.25">
      <c r="A1145" t="s">
        <v>1585</v>
      </c>
      <c r="B1145" t="s">
        <v>2051</v>
      </c>
      <c r="C1145" t="s">
        <v>353</v>
      </c>
      <c r="D1145" t="s">
        <v>1117</v>
      </c>
      <c r="E1145" t="s">
        <v>1118</v>
      </c>
      <c r="F1145" t="s">
        <v>15</v>
      </c>
      <c r="G1145" t="s">
        <v>1024</v>
      </c>
      <c r="H1145" t="s">
        <v>734</v>
      </c>
      <c r="I1145" t="s">
        <v>24</v>
      </c>
      <c r="J1145">
        <v>1</v>
      </c>
      <c r="K1145">
        <v>2450</v>
      </c>
      <c r="L1145">
        <v>7000</v>
      </c>
      <c r="M1145">
        <v>7000</v>
      </c>
      <c r="N1145" t="s">
        <v>19</v>
      </c>
    </row>
    <row r="1146" spans="1:14" x14ac:dyDescent="0.25">
      <c r="A1146" t="s">
        <v>1585</v>
      </c>
      <c r="B1146" t="s">
        <v>2051</v>
      </c>
      <c r="C1146" t="s">
        <v>353</v>
      </c>
      <c r="D1146" t="s">
        <v>1117</v>
      </c>
      <c r="E1146" t="s">
        <v>1118</v>
      </c>
      <c r="F1146" t="s">
        <v>15</v>
      </c>
      <c r="G1146" t="s">
        <v>1024</v>
      </c>
      <c r="H1146" t="s">
        <v>734</v>
      </c>
      <c r="I1146" t="s">
        <v>26</v>
      </c>
      <c r="J1146">
        <v>1</v>
      </c>
      <c r="K1146">
        <v>500</v>
      </c>
      <c r="L1146">
        <v>500</v>
      </c>
      <c r="M1146">
        <v>500</v>
      </c>
      <c r="N1146" t="s">
        <v>19</v>
      </c>
    </row>
    <row r="1147" spans="1:14" x14ac:dyDescent="0.25">
      <c r="A1147" t="s">
        <v>1585</v>
      </c>
      <c r="B1147" t="s">
        <v>2051</v>
      </c>
      <c r="C1147" t="s">
        <v>353</v>
      </c>
      <c r="D1147" t="s">
        <v>1117</v>
      </c>
      <c r="E1147" t="s">
        <v>1118</v>
      </c>
      <c r="F1147" t="s">
        <v>15</v>
      </c>
      <c r="G1147" t="s">
        <v>1024</v>
      </c>
      <c r="H1147" t="s">
        <v>734</v>
      </c>
      <c r="I1147" t="s">
        <v>1119</v>
      </c>
      <c r="J1147">
        <v>1</v>
      </c>
      <c r="K1147">
        <v>20800</v>
      </c>
      <c r="L1147">
        <v>23000</v>
      </c>
      <c r="M1147">
        <v>23000</v>
      </c>
      <c r="N1147" t="s">
        <v>19</v>
      </c>
    </row>
    <row r="1148" spans="1:14" x14ac:dyDescent="0.25">
      <c r="A1148" t="s">
        <v>1585</v>
      </c>
      <c r="B1148" t="s">
        <v>2051</v>
      </c>
      <c r="C1148" t="s">
        <v>353</v>
      </c>
      <c r="D1148" t="s">
        <v>1117</v>
      </c>
      <c r="E1148" t="s">
        <v>1118</v>
      </c>
      <c r="F1148" t="s">
        <v>15</v>
      </c>
      <c r="G1148" t="s">
        <v>1024</v>
      </c>
      <c r="H1148" t="s">
        <v>734</v>
      </c>
      <c r="I1148" t="s">
        <v>1120</v>
      </c>
      <c r="J1148">
        <v>1</v>
      </c>
      <c r="K1148">
        <v>2334</v>
      </c>
      <c r="L1148">
        <v>3200</v>
      </c>
      <c r="M1148">
        <v>3200</v>
      </c>
      <c r="N1148" t="s">
        <v>19</v>
      </c>
    </row>
    <row r="1149" spans="1:14" x14ac:dyDescent="0.25">
      <c r="A1149" t="s">
        <v>1585</v>
      </c>
      <c r="B1149" t="s">
        <v>2051</v>
      </c>
      <c r="C1149" t="s">
        <v>353</v>
      </c>
      <c r="D1149" t="s">
        <v>1117</v>
      </c>
      <c r="E1149" t="s">
        <v>1118</v>
      </c>
      <c r="F1149" t="s">
        <v>15</v>
      </c>
      <c r="G1149" t="s">
        <v>1024</v>
      </c>
      <c r="H1149" t="s">
        <v>734</v>
      </c>
      <c r="I1149" t="s">
        <v>151</v>
      </c>
      <c r="J1149">
        <v>1</v>
      </c>
      <c r="K1149">
        <v>2800</v>
      </c>
      <c r="L1149">
        <v>3200</v>
      </c>
      <c r="M1149">
        <v>3200</v>
      </c>
      <c r="N1149" t="s">
        <v>19</v>
      </c>
    </row>
    <row r="1150" spans="1:14" x14ac:dyDescent="0.25">
      <c r="A1150" t="s">
        <v>1585</v>
      </c>
      <c r="B1150" t="s">
        <v>2051</v>
      </c>
      <c r="C1150" t="s">
        <v>353</v>
      </c>
      <c r="D1150" t="s">
        <v>1117</v>
      </c>
      <c r="E1150" t="s">
        <v>1118</v>
      </c>
      <c r="F1150" t="s">
        <v>15</v>
      </c>
      <c r="G1150" t="s">
        <v>1024</v>
      </c>
      <c r="H1150" t="s">
        <v>734</v>
      </c>
      <c r="I1150" t="s">
        <v>189</v>
      </c>
      <c r="J1150">
        <v>1</v>
      </c>
      <c r="K1150">
        <v>500</v>
      </c>
      <c r="L1150">
        <v>600</v>
      </c>
      <c r="M1150">
        <v>600</v>
      </c>
      <c r="N1150" t="s">
        <v>19</v>
      </c>
    </row>
    <row r="1151" spans="1:14" x14ac:dyDescent="0.25">
      <c r="A1151" t="s">
        <v>1585</v>
      </c>
      <c r="B1151" t="s">
        <v>2051</v>
      </c>
      <c r="C1151" t="s">
        <v>353</v>
      </c>
      <c r="D1151" t="s">
        <v>1117</v>
      </c>
      <c r="E1151" t="s">
        <v>1118</v>
      </c>
      <c r="F1151" t="s">
        <v>15</v>
      </c>
      <c r="G1151" t="s">
        <v>1024</v>
      </c>
      <c r="H1151" t="s">
        <v>734</v>
      </c>
      <c r="I1151" t="s">
        <v>1033</v>
      </c>
      <c r="J1151">
        <v>1</v>
      </c>
      <c r="K1151">
        <v>350</v>
      </c>
      <c r="L1151">
        <v>400</v>
      </c>
      <c r="M1151">
        <v>400</v>
      </c>
      <c r="N1151" t="s">
        <v>19</v>
      </c>
    </row>
    <row r="1152" spans="1:14" x14ac:dyDescent="0.25">
      <c r="A1152" t="s">
        <v>1585</v>
      </c>
      <c r="B1152" t="s">
        <v>2051</v>
      </c>
      <c r="C1152" t="s">
        <v>353</v>
      </c>
      <c r="D1152" t="s">
        <v>1117</v>
      </c>
      <c r="E1152" t="s">
        <v>1118</v>
      </c>
      <c r="F1152" t="s">
        <v>15</v>
      </c>
      <c r="G1152" t="s">
        <v>1024</v>
      </c>
      <c r="H1152" t="s">
        <v>734</v>
      </c>
      <c r="I1152" t="s">
        <v>1014</v>
      </c>
      <c r="J1152">
        <v>1</v>
      </c>
      <c r="K1152">
        <v>970</v>
      </c>
      <c r="L1152">
        <v>1200</v>
      </c>
      <c r="M1152">
        <v>1200</v>
      </c>
      <c r="N1152" t="s">
        <v>19</v>
      </c>
    </row>
    <row r="1153" spans="1:14" x14ac:dyDescent="0.25">
      <c r="A1153" t="s">
        <v>1585</v>
      </c>
      <c r="B1153" t="s">
        <v>2051</v>
      </c>
      <c r="C1153" t="s">
        <v>353</v>
      </c>
      <c r="D1153" t="s">
        <v>1117</v>
      </c>
      <c r="E1153" t="s">
        <v>1118</v>
      </c>
      <c r="F1153" t="s">
        <v>15</v>
      </c>
      <c r="G1153" t="s">
        <v>1024</v>
      </c>
      <c r="H1153" t="s">
        <v>734</v>
      </c>
      <c r="I1153" t="s">
        <v>1015</v>
      </c>
      <c r="J1153">
        <v>1</v>
      </c>
      <c r="K1153">
        <v>4250</v>
      </c>
      <c r="L1153">
        <v>4700</v>
      </c>
      <c r="M1153">
        <v>4700</v>
      </c>
      <c r="N1153" t="s">
        <v>19</v>
      </c>
    </row>
    <row r="1154" spans="1:14" x14ac:dyDescent="0.25">
      <c r="A1154" t="s">
        <v>1585</v>
      </c>
      <c r="B1154" t="s">
        <v>2051</v>
      </c>
      <c r="C1154" t="s">
        <v>353</v>
      </c>
      <c r="D1154" t="s">
        <v>1117</v>
      </c>
      <c r="E1154" t="s">
        <v>1118</v>
      </c>
      <c r="F1154" t="s">
        <v>15</v>
      </c>
      <c r="G1154" t="s">
        <v>1024</v>
      </c>
      <c r="H1154" t="s">
        <v>734</v>
      </c>
      <c r="I1154" t="s">
        <v>85</v>
      </c>
      <c r="J1154">
        <v>1</v>
      </c>
      <c r="K1154">
        <v>1350</v>
      </c>
      <c r="L1154">
        <v>1700</v>
      </c>
      <c r="M1154">
        <v>1700</v>
      </c>
      <c r="N1154" t="s">
        <v>19</v>
      </c>
    </row>
    <row r="1155" spans="1:14" x14ac:dyDescent="0.25">
      <c r="A1155" t="s">
        <v>1585</v>
      </c>
      <c r="B1155" t="s">
        <v>2051</v>
      </c>
      <c r="C1155" t="s">
        <v>353</v>
      </c>
      <c r="D1155" t="s">
        <v>1117</v>
      </c>
      <c r="E1155" t="s">
        <v>1118</v>
      </c>
      <c r="F1155" t="s">
        <v>15</v>
      </c>
      <c r="G1155" t="s">
        <v>1024</v>
      </c>
      <c r="H1155" t="s">
        <v>734</v>
      </c>
      <c r="I1155" t="s">
        <v>1016</v>
      </c>
      <c r="J1155">
        <v>1</v>
      </c>
      <c r="K1155">
        <v>8500</v>
      </c>
      <c r="L1155">
        <v>10000</v>
      </c>
      <c r="M1155">
        <v>10000</v>
      </c>
      <c r="N1155" t="s">
        <v>19</v>
      </c>
    </row>
    <row r="1156" spans="1:14" x14ac:dyDescent="0.25">
      <c r="A1156" t="s">
        <v>1585</v>
      </c>
      <c r="B1156" t="s">
        <v>2051</v>
      </c>
      <c r="C1156" t="s">
        <v>353</v>
      </c>
      <c r="D1156" t="s">
        <v>1117</v>
      </c>
      <c r="E1156" t="s">
        <v>1118</v>
      </c>
      <c r="F1156" t="s">
        <v>15</v>
      </c>
      <c r="G1156" t="s">
        <v>1024</v>
      </c>
      <c r="H1156" t="s">
        <v>734</v>
      </c>
      <c r="I1156" t="s">
        <v>97</v>
      </c>
      <c r="J1156">
        <v>1</v>
      </c>
      <c r="K1156">
        <v>2200</v>
      </c>
      <c r="L1156">
        <v>3000</v>
      </c>
      <c r="M1156">
        <v>3000</v>
      </c>
      <c r="N1156" t="s">
        <v>19</v>
      </c>
    </row>
    <row r="1157" spans="1:14" x14ac:dyDescent="0.25">
      <c r="A1157" t="s">
        <v>1585</v>
      </c>
      <c r="B1157" t="s">
        <v>2051</v>
      </c>
      <c r="C1157" t="s">
        <v>353</v>
      </c>
      <c r="D1157" t="s">
        <v>1117</v>
      </c>
      <c r="E1157" t="s">
        <v>1118</v>
      </c>
      <c r="F1157" t="s">
        <v>15</v>
      </c>
      <c r="G1157" t="s">
        <v>1024</v>
      </c>
      <c r="H1157" t="s">
        <v>734</v>
      </c>
      <c r="I1157" t="s">
        <v>1121</v>
      </c>
      <c r="J1157">
        <v>1</v>
      </c>
      <c r="K1157">
        <v>3000</v>
      </c>
      <c r="L1157">
        <v>4000</v>
      </c>
      <c r="M1157">
        <v>4000</v>
      </c>
      <c r="N1157" t="s">
        <v>19</v>
      </c>
    </row>
    <row r="1158" spans="1:14" x14ac:dyDescent="0.25">
      <c r="A1158" t="s">
        <v>1572</v>
      </c>
      <c r="B1158" t="s">
        <v>2052</v>
      </c>
      <c r="C1158" t="s">
        <v>356</v>
      </c>
      <c r="D1158" t="s">
        <v>1122</v>
      </c>
      <c r="E1158" t="s">
        <v>1123</v>
      </c>
      <c r="F1158" t="s">
        <v>15</v>
      </c>
      <c r="G1158" t="s">
        <v>37</v>
      </c>
      <c r="H1158" t="s">
        <v>734</v>
      </c>
      <c r="I1158" t="s">
        <v>33</v>
      </c>
      <c r="J1158">
        <v>1</v>
      </c>
      <c r="K1158">
        <v>16000</v>
      </c>
      <c r="L1158">
        <v>16000</v>
      </c>
      <c r="M1158">
        <v>16000</v>
      </c>
      <c r="N1158" t="s">
        <v>19</v>
      </c>
    </row>
    <row r="1159" spans="1:14" x14ac:dyDescent="0.25">
      <c r="A1159" t="s">
        <v>1435</v>
      </c>
      <c r="B1159" t="s">
        <v>2053</v>
      </c>
      <c r="C1159" t="s">
        <v>362</v>
      </c>
      <c r="D1159" t="s">
        <v>1124</v>
      </c>
      <c r="E1159" t="s">
        <v>1125</v>
      </c>
      <c r="F1159" t="s">
        <v>1126</v>
      </c>
      <c r="G1159" t="s">
        <v>1088</v>
      </c>
      <c r="H1159" t="s">
        <v>1127</v>
      </c>
      <c r="I1159" t="s">
        <v>1128</v>
      </c>
      <c r="J1159">
        <v>1</v>
      </c>
      <c r="K1159">
        <v>3675</v>
      </c>
      <c r="L1159">
        <v>10500</v>
      </c>
      <c r="M1159">
        <v>10500</v>
      </c>
      <c r="N1159" t="s">
        <v>1010</v>
      </c>
    </row>
    <row r="1160" spans="1:14" x14ac:dyDescent="0.25">
      <c r="A1160" t="s">
        <v>1435</v>
      </c>
      <c r="B1160" t="s">
        <v>2053</v>
      </c>
      <c r="C1160" t="s">
        <v>362</v>
      </c>
      <c r="D1160" t="s">
        <v>1124</v>
      </c>
      <c r="E1160" t="s">
        <v>1125</v>
      </c>
      <c r="F1160" t="s">
        <v>1126</v>
      </c>
      <c r="G1160" t="s">
        <v>1088</v>
      </c>
      <c r="H1160" t="s">
        <v>1127</v>
      </c>
      <c r="I1160" t="s">
        <v>26</v>
      </c>
      <c r="J1160">
        <v>1</v>
      </c>
      <c r="K1160">
        <v>500</v>
      </c>
      <c r="L1160">
        <v>500</v>
      </c>
      <c r="M1160">
        <v>500</v>
      </c>
      <c r="N1160" t="s">
        <v>1010</v>
      </c>
    </row>
    <row r="1161" spans="1:14" x14ac:dyDescent="0.25">
      <c r="A1161" t="s">
        <v>1435</v>
      </c>
      <c r="B1161" t="s">
        <v>2053</v>
      </c>
      <c r="C1161" t="s">
        <v>362</v>
      </c>
      <c r="D1161" t="s">
        <v>1124</v>
      </c>
      <c r="E1161" t="s">
        <v>1125</v>
      </c>
      <c r="F1161" t="s">
        <v>1126</v>
      </c>
      <c r="G1161" t="s">
        <v>1088</v>
      </c>
      <c r="H1161" t="s">
        <v>1127</v>
      </c>
      <c r="I1161" t="s">
        <v>537</v>
      </c>
      <c r="J1161">
        <v>1</v>
      </c>
      <c r="K1161">
        <v>16000</v>
      </c>
      <c r="L1161">
        <v>16000</v>
      </c>
      <c r="M1161">
        <v>16000</v>
      </c>
      <c r="N1161" t="s">
        <v>1010</v>
      </c>
    </row>
    <row r="1162" spans="1:14" x14ac:dyDescent="0.25">
      <c r="A1162" t="s">
        <v>1435</v>
      </c>
      <c r="B1162" t="s">
        <v>2053</v>
      </c>
      <c r="C1162" t="s">
        <v>362</v>
      </c>
      <c r="D1162" t="s">
        <v>1124</v>
      </c>
      <c r="E1162" t="s">
        <v>1125</v>
      </c>
      <c r="F1162" t="s">
        <v>1126</v>
      </c>
      <c r="G1162" t="s">
        <v>1088</v>
      </c>
      <c r="H1162" t="s">
        <v>1127</v>
      </c>
      <c r="I1162" t="s">
        <v>24</v>
      </c>
      <c r="J1162">
        <v>1</v>
      </c>
      <c r="K1162">
        <v>16000</v>
      </c>
      <c r="L1162">
        <v>16000</v>
      </c>
      <c r="M1162">
        <v>16000</v>
      </c>
      <c r="N1162" t="s">
        <v>1010</v>
      </c>
    </row>
    <row r="1163" spans="1:14" x14ac:dyDescent="0.25">
      <c r="A1163" t="s">
        <v>1433</v>
      </c>
      <c r="B1163" t="s">
        <v>2054</v>
      </c>
      <c r="C1163" t="s">
        <v>368</v>
      </c>
      <c r="D1163" t="s">
        <v>1124</v>
      </c>
      <c r="E1163" t="s">
        <v>1129</v>
      </c>
      <c r="F1163" t="s">
        <v>294</v>
      </c>
      <c r="G1163" t="s">
        <v>1088</v>
      </c>
      <c r="H1163" t="s">
        <v>1127</v>
      </c>
      <c r="I1163" t="s">
        <v>1130</v>
      </c>
      <c r="J1163">
        <v>1</v>
      </c>
      <c r="K1163">
        <v>3675</v>
      </c>
      <c r="L1163">
        <v>10500</v>
      </c>
      <c r="M1163">
        <v>10500</v>
      </c>
      <c r="N1163" t="s">
        <v>1010</v>
      </c>
    </row>
    <row r="1164" spans="1:14" x14ac:dyDescent="0.25">
      <c r="A1164" t="s">
        <v>1433</v>
      </c>
      <c r="B1164" t="s">
        <v>2054</v>
      </c>
      <c r="C1164" t="s">
        <v>368</v>
      </c>
      <c r="D1164" t="s">
        <v>1124</v>
      </c>
      <c r="E1164" t="s">
        <v>1129</v>
      </c>
      <c r="F1164" t="s">
        <v>294</v>
      </c>
      <c r="G1164" t="s">
        <v>1088</v>
      </c>
      <c r="H1164" t="s">
        <v>1127</v>
      </c>
      <c r="I1164" t="s">
        <v>26</v>
      </c>
      <c r="J1164">
        <v>1</v>
      </c>
      <c r="K1164">
        <v>500</v>
      </c>
      <c r="L1164">
        <v>500</v>
      </c>
      <c r="M1164">
        <v>500</v>
      </c>
      <c r="N1164" t="s">
        <v>1010</v>
      </c>
    </row>
    <row r="1165" spans="1:14" x14ac:dyDescent="0.25">
      <c r="A1165" t="s">
        <v>1433</v>
      </c>
      <c r="B1165" t="s">
        <v>2054</v>
      </c>
      <c r="C1165" t="s">
        <v>368</v>
      </c>
      <c r="D1165" t="s">
        <v>1124</v>
      </c>
      <c r="E1165" t="s">
        <v>1129</v>
      </c>
      <c r="F1165" t="s">
        <v>294</v>
      </c>
      <c r="G1165" t="s">
        <v>1088</v>
      </c>
      <c r="H1165" t="s">
        <v>1127</v>
      </c>
      <c r="I1165" t="s">
        <v>537</v>
      </c>
      <c r="J1165">
        <v>1</v>
      </c>
      <c r="K1165">
        <v>8000</v>
      </c>
      <c r="L1165">
        <v>8000</v>
      </c>
      <c r="M1165">
        <v>8000</v>
      </c>
      <c r="N1165" t="s">
        <v>1010</v>
      </c>
    </row>
    <row r="1166" spans="1:14" x14ac:dyDescent="0.25">
      <c r="A1166" t="s">
        <v>1433</v>
      </c>
      <c r="B1166" t="s">
        <v>2054</v>
      </c>
      <c r="C1166" t="s">
        <v>368</v>
      </c>
      <c r="D1166" t="s">
        <v>1124</v>
      </c>
      <c r="E1166" t="s">
        <v>1129</v>
      </c>
      <c r="F1166" t="s">
        <v>294</v>
      </c>
      <c r="G1166" t="s">
        <v>1088</v>
      </c>
      <c r="H1166" t="s">
        <v>1127</v>
      </c>
      <c r="I1166" t="s">
        <v>24</v>
      </c>
      <c r="J1166">
        <v>1</v>
      </c>
      <c r="K1166">
        <v>9500</v>
      </c>
      <c r="L1166">
        <v>9500</v>
      </c>
      <c r="M1166">
        <v>9500</v>
      </c>
      <c r="N1166" t="s">
        <v>1010</v>
      </c>
    </row>
    <row r="1167" spans="1:14" x14ac:dyDescent="0.25">
      <c r="A1167" t="s">
        <v>1431</v>
      </c>
      <c r="B1167" t="s">
        <v>2055</v>
      </c>
      <c r="C1167" t="s">
        <v>369</v>
      </c>
      <c r="D1167" t="s">
        <v>1124</v>
      </c>
      <c r="E1167" t="s">
        <v>1129</v>
      </c>
      <c r="F1167" t="s">
        <v>1131</v>
      </c>
      <c r="G1167" t="s">
        <v>1088</v>
      </c>
      <c r="H1167" t="s">
        <v>1127</v>
      </c>
      <c r="I1167" t="s">
        <v>1130</v>
      </c>
      <c r="J1167">
        <v>1</v>
      </c>
      <c r="K1167">
        <v>3675</v>
      </c>
      <c r="L1167">
        <v>10500</v>
      </c>
      <c r="M1167">
        <v>10500</v>
      </c>
      <c r="N1167" t="s">
        <v>1010</v>
      </c>
    </row>
    <row r="1168" spans="1:14" x14ac:dyDescent="0.25">
      <c r="A1168" t="s">
        <v>1431</v>
      </c>
      <c r="B1168" t="s">
        <v>2055</v>
      </c>
      <c r="C1168" t="s">
        <v>369</v>
      </c>
      <c r="D1168" t="s">
        <v>1124</v>
      </c>
      <c r="E1168" t="s">
        <v>1129</v>
      </c>
      <c r="F1168" t="s">
        <v>1131</v>
      </c>
      <c r="G1168" t="s">
        <v>1088</v>
      </c>
      <c r="H1168" t="s">
        <v>1127</v>
      </c>
      <c r="I1168" t="s">
        <v>26</v>
      </c>
      <c r="J1168">
        <v>1</v>
      </c>
      <c r="K1168">
        <v>500</v>
      </c>
      <c r="L1168">
        <v>500</v>
      </c>
      <c r="M1168">
        <v>500</v>
      </c>
      <c r="N1168" t="s">
        <v>1010</v>
      </c>
    </row>
    <row r="1169" spans="1:14" x14ac:dyDescent="0.25">
      <c r="A1169" t="s">
        <v>1431</v>
      </c>
      <c r="B1169" t="s">
        <v>2055</v>
      </c>
      <c r="C1169" t="s">
        <v>369</v>
      </c>
      <c r="D1169" t="s">
        <v>1124</v>
      </c>
      <c r="E1169" t="s">
        <v>1129</v>
      </c>
      <c r="F1169" t="s">
        <v>1131</v>
      </c>
      <c r="G1169" t="s">
        <v>1088</v>
      </c>
      <c r="H1169" t="s">
        <v>1127</v>
      </c>
      <c r="I1169" t="s">
        <v>537</v>
      </c>
      <c r="J1169">
        <v>1</v>
      </c>
      <c r="K1169">
        <v>8000</v>
      </c>
      <c r="L1169">
        <v>8000</v>
      </c>
      <c r="M1169">
        <v>8000</v>
      </c>
      <c r="N1169" t="s">
        <v>1010</v>
      </c>
    </row>
    <row r="1170" spans="1:14" x14ac:dyDescent="0.25">
      <c r="A1170" t="s">
        <v>1431</v>
      </c>
      <c r="B1170" t="s">
        <v>2055</v>
      </c>
      <c r="C1170" t="s">
        <v>369</v>
      </c>
      <c r="D1170" t="s">
        <v>1124</v>
      </c>
      <c r="E1170" t="s">
        <v>1129</v>
      </c>
      <c r="F1170" t="s">
        <v>1131</v>
      </c>
      <c r="G1170" t="s">
        <v>1088</v>
      </c>
      <c r="H1170" t="s">
        <v>1127</v>
      </c>
      <c r="I1170" t="s">
        <v>24</v>
      </c>
      <c r="J1170">
        <v>1</v>
      </c>
      <c r="K1170">
        <v>9500</v>
      </c>
      <c r="L1170">
        <v>9500</v>
      </c>
      <c r="M1170">
        <v>9500</v>
      </c>
      <c r="N1170" t="s">
        <v>1010</v>
      </c>
    </row>
    <row r="1171" spans="1:14" x14ac:dyDescent="0.25">
      <c r="A1171" t="s">
        <v>1432</v>
      </c>
      <c r="B1171" t="s">
        <v>2056</v>
      </c>
      <c r="C1171" t="s">
        <v>377</v>
      </c>
      <c r="D1171" t="s">
        <v>1124</v>
      </c>
      <c r="E1171" t="s">
        <v>1129</v>
      </c>
      <c r="F1171" t="s">
        <v>1132</v>
      </c>
      <c r="G1171" t="s">
        <v>1088</v>
      </c>
      <c r="H1171" t="s">
        <v>1127</v>
      </c>
      <c r="I1171" t="s">
        <v>1130</v>
      </c>
      <c r="J1171">
        <v>1</v>
      </c>
      <c r="K1171">
        <v>3675</v>
      </c>
      <c r="L1171">
        <v>10500</v>
      </c>
      <c r="M1171">
        <v>10500</v>
      </c>
      <c r="N1171" t="s">
        <v>1010</v>
      </c>
    </row>
    <row r="1172" spans="1:14" x14ac:dyDescent="0.25">
      <c r="A1172" t="s">
        <v>1432</v>
      </c>
      <c r="B1172" t="s">
        <v>2056</v>
      </c>
      <c r="C1172" t="s">
        <v>377</v>
      </c>
      <c r="D1172" t="s">
        <v>1124</v>
      </c>
      <c r="E1172" t="s">
        <v>1129</v>
      </c>
      <c r="F1172" t="s">
        <v>1132</v>
      </c>
      <c r="G1172" t="s">
        <v>1088</v>
      </c>
      <c r="H1172" t="s">
        <v>1127</v>
      </c>
      <c r="I1172" t="s">
        <v>26</v>
      </c>
      <c r="J1172">
        <v>1</v>
      </c>
      <c r="K1172">
        <v>500</v>
      </c>
      <c r="L1172">
        <v>500</v>
      </c>
      <c r="M1172">
        <v>500</v>
      </c>
      <c r="N1172" t="s">
        <v>1010</v>
      </c>
    </row>
    <row r="1173" spans="1:14" x14ac:dyDescent="0.25">
      <c r="A1173" t="s">
        <v>1432</v>
      </c>
      <c r="B1173" t="s">
        <v>2056</v>
      </c>
      <c r="C1173" t="s">
        <v>377</v>
      </c>
      <c r="D1173" t="s">
        <v>1124</v>
      </c>
      <c r="E1173" t="s">
        <v>1129</v>
      </c>
      <c r="F1173" t="s">
        <v>1132</v>
      </c>
      <c r="G1173" t="s">
        <v>1088</v>
      </c>
      <c r="H1173" t="s">
        <v>1127</v>
      </c>
      <c r="I1173" t="s">
        <v>537</v>
      </c>
      <c r="J1173">
        <v>1</v>
      </c>
      <c r="K1173">
        <v>9500</v>
      </c>
      <c r="L1173">
        <v>9500</v>
      </c>
      <c r="M1173">
        <v>9500</v>
      </c>
      <c r="N1173" t="s">
        <v>1010</v>
      </c>
    </row>
    <row r="1174" spans="1:14" x14ac:dyDescent="0.25">
      <c r="A1174" t="s">
        <v>1432</v>
      </c>
      <c r="B1174" t="s">
        <v>2056</v>
      </c>
      <c r="C1174" t="s">
        <v>377</v>
      </c>
      <c r="D1174" t="s">
        <v>1124</v>
      </c>
      <c r="E1174" t="s">
        <v>1129</v>
      </c>
      <c r="F1174" t="s">
        <v>1132</v>
      </c>
      <c r="G1174" t="s">
        <v>1088</v>
      </c>
      <c r="H1174" t="s">
        <v>1127</v>
      </c>
      <c r="I1174" t="s">
        <v>24</v>
      </c>
      <c r="J1174">
        <v>1</v>
      </c>
      <c r="K1174">
        <v>9500</v>
      </c>
      <c r="L1174">
        <v>9500</v>
      </c>
      <c r="M1174">
        <v>9500</v>
      </c>
      <c r="N1174" t="s">
        <v>1010</v>
      </c>
    </row>
    <row r="1175" spans="1:14" x14ac:dyDescent="0.25">
      <c r="A1175" t="s">
        <v>1450</v>
      </c>
      <c r="B1175" t="s">
        <v>2057</v>
      </c>
      <c r="C1175" t="s">
        <v>629</v>
      </c>
      <c r="D1175" t="s">
        <v>630</v>
      </c>
      <c r="E1175" t="s">
        <v>630</v>
      </c>
      <c r="F1175" t="s">
        <v>201</v>
      </c>
      <c r="G1175" t="s">
        <v>16</v>
      </c>
      <c r="H1175" t="s">
        <v>631</v>
      </c>
      <c r="I1175" t="s">
        <v>114</v>
      </c>
      <c r="J1175">
        <v>1</v>
      </c>
      <c r="K1175">
        <v>3675</v>
      </c>
      <c r="L1175">
        <v>10500</v>
      </c>
      <c r="M1175">
        <v>10500</v>
      </c>
      <c r="N1175" t="s">
        <v>39</v>
      </c>
    </row>
    <row r="1176" spans="1:14" x14ac:dyDescent="0.25">
      <c r="A1176" t="s">
        <v>1450</v>
      </c>
      <c r="B1176" t="s">
        <v>2057</v>
      </c>
      <c r="C1176" t="s">
        <v>629</v>
      </c>
      <c r="D1176" t="s">
        <v>630</v>
      </c>
      <c r="E1176" t="s">
        <v>630</v>
      </c>
      <c r="F1176" t="s">
        <v>201</v>
      </c>
      <c r="G1176" t="s">
        <v>16</v>
      </c>
      <c r="H1176" t="s">
        <v>631</v>
      </c>
      <c r="I1176" t="s">
        <v>48</v>
      </c>
      <c r="J1176">
        <v>1</v>
      </c>
      <c r="K1176">
        <v>4095</v>
      </c>
      <c r="L1176">
        <v>11700</v>
      </c>
      <c r="M1176">
        <v>11700</v>
      </c>
      <c r="N1176" t="s">
        <v>39</v>
      </c>
    </row>
    <row r="1177" spans="1:14" x14ac:dyDescent="0.25">
      <c r="A1177" t="s">
        <v>1450</v>
      </c>
      <c r="B1177" t="s">
        <v>2057</v>
      </c>
      <c r="C1177" t="s">
        <v>629</v>
      </c>
      <c r="D1177" t="s">
        <v>630</v>
      </c>
      <c r="E1177" t="s">
        <v>630</v>
      </c>
      <c r="F1177" t="s">
        <v>201</v>
      </c>
      <c r="G1177" t="s">
        <v>16</v>
      </c>
      <c r="H1177" t="s">
        <v>631</v>
      </c>
      <c r="I1177" t="s">
        <v>126</v>
      </c>
      <c r="J1177">
        <v>1</v>
      </c>
      <c r="K1177">
        <v>4095</v>
      </c>
      <c r="L1177">
        <v>11700</v>
      </c>
      <c r="M1177">
        <v>11700</v>
      </c>
      <c r="N1177" t="s">
        <v>39</v>
      </c>
    </row>
    <row r="1178" spans="1:14" x14ac:dyDescent="0.25">
      <c r="A1178" t="s">
        <v>1450</v>
      </c>
      <c r="B1178" t="s">
        <v>2057</v>
      </c>
      <c r="C1178" t="s">
        <v>629</v>
      </c>
      <c r="D1178" t="s">
        <v>630</v>
      </c>
      <c r="E1178" t="s">
        <v>630</v>
      </c>
      <c r="F1178" t="s">
        <v>201</v>
      </c>
      <c r="G1178" t="s">
        <v>16</v>
      </c>
      <c r="H1178" t="s">
        <v>631</v>
      </c>
      <c r="I1178" t="s">
        <v>26</v>
      </c>
      <c r="J1178">
        <v>1</v>
      </c>
      <c r="K1178">
        <v>500</v>
      </c>
      <c r="L1178">
        <v>500</v>
      </c>
      <c r="M1178">
        <v>500</v>
      </c>
      <c r="N1178" t="s">
        <v>39</v>
      </c>
    </row>
    <row r="1179" spans="1:14" x14ac:dyDescent="0.25">
      <c r="A1179" t="s">
        <v>1450</v>
      </c>
      <c r="B1179" t="s">
        <v>2057</v>
      </c>
      <c r="C1179" t="s">
        <v>629</v>
      </c>
      <c r="D1179" t="s">
        <v>630</v>
      </c>
      <c r="E1179" t="s">
        <v>630</v>
      </c>
      <c r="F1179" t="s">
        <v>201</v>
      </c>
      <c r="G1179" t="s">
        <v>16</v>
      </c>
      <c r="H1179" t="s">
        <v>631</v>
      </c>
      <c r="I1179" t="s">
        <v>38</v>
      </c>
      <c r="J1179">
        <v>1</v>
      </c>
      <c r="K1179">
        <v>8500</v>
      </c>
      <c r="L1179">
        <v>12500</v>
      </c>
      <c r="M1179">
        <v>12500</v>
      </c>
      <c r="N1179" t="s">
        <v>39</v>
      </c>
    </row>
    <row r="1180" spans="1:14" x14ac:dyDescent="0.25">
      <c r="A1180" t="s">
        <v>1450</v>
      </c>
      <c r="B1180" t="s">
        <v>2057</v>
      </c>
      <c r="C1180" t="s">
        <v>629</v>
      </c>
      <c r="D1180" t="s">
        <v>630</v>
      </c>
      <c r="E1180" t="s">
        <v>630</v>
      </c>
      <c r="F1180" t="s">
        <v>201</v>
      </c>
      <c r="G1180" t="s">
        <v>16</v>
      </c>
      <c r="H1180" t="s">
        <v>631</v>
      </c>
      <c r="I1180" t="s">
        <v>97</v>
      </c>
      <c r="J1180">
        <v>1</v>
      </c>
      <c r="K1180">
        <v>2200</v>
      </c>
      <c r="L1180">
        <v>3000</v>
      </c>
      <c r="M1180">
        <v>3000</v>
      </c>
      <c r="N1180" t="s">
        <v>39</v>
      </c>
    </row>
    <row r="1181" spans="1:14" x14ac:dyDescent="0.25">
      <c r="A1181" t="s">
        <v>1450</v>
      </c>
      <c r="B1181" t="s">
        <v>2057</v>
      </c>
      <c r="C1181" t="s">
        <v>629</v>
      </c>
      <c r="D1181" t="s">
        <v>630</v>
      </c>
      <c r="E1181" t="s">
        <v>630</v>
      </c>
      <c r="F1181" t="s">
        <v>201</v>
      </c>
      <c r="G1181" t="s">
        <v>16</v>
      </c>
      <c r="H1181" t="s">
        <v>631</v>
      </c>
      <c r="I1181" t="s">
        <v>115</v>
      </c>
      <c r="J1181">
        <v>1</v>
      </c>
      <c r="K1181">
        <v>11000</v>
      </c>
      <c r="L1181">
        <v>16000</v>
      </c>
      <c r="M1181">
        <v>16000</v>
      </c>
      <c r="N1181" t="s">
        <v>39</v>
      </c>
    </row>
    <row r="1182" spans="1:14" x14ac:dyDescent="0.25">
      <c r="A1182" t="s">
        <v>1450</v>
      </c>
      <c r="B1182" t="s">
        <v>2057</v>
      </c>
      <c r="C1182" t="s">
        <v>629</v>
      </c>
      <c r="D1182" t="s">
        <v>630</v>
      </c>
      <c r="E1182" t="s">
        <v>630</v>
      </c>
      <c r="F1182" t="s">
        <v>201</v>
      </c>
      <c r="G1182" t="s">
        <v>16</v>
      </c>
      <c r="H1182" t="s">
        <v>631</v>
      </c>
      <c r="I1182" t="s">
        <v>116</v>
      </c>
      <c r="J1182">
        <v>1</v>
      </c>
      <c r="K1182">
        <v>2185</v>
      </c>
      <c r="L1182">
        <v>3500</v>
      </c>
      <c r="M1182">
        <v>3500</v>
      </c>
      <c r="N1182" t="s">
        <v>39</v>
      </c>
    </row>
    <row r="1183" spans="1:14" x14ac:dyDescent="0.25">
      <c r="A1183" t="s">
        <v>1450</v>
      </c>
      <c r="B1183" t="s">
        <v>2057</v>
      </c>
      <c r="C1183" t="s">
        <v>629</v>
      </c>
      <c r="D1183" t="s">
        <v>630</v>
      </c>
      <c r="E1183" t="s">
        <v>630</v>
      </c>
      <c r="F1183" t="s">
        <v>201</v>
      </c>
      <c r="G1183" t="s">
        <v>16</v>
      </c>
      <c r="H1183" t="s">
        <v>631</v>
      </c>
      <c r="I1183" t="s">
        <v>209</v>
      </c>
      <c r="J1183">
        <v>1</v>
      </c>
      <c r="K1183">
        <v>23450</v>
      </c>
      <c r="L1183">
        <v>30300</v>
      </c>
      <c r="M1183">
        <v>30300</v>
      </c>
      <c r="N1183" t="s">
        <v>39</v>
      </c>
    </row>
    <row r="1184" spans="1:14" x14ac:dyDescent="0.25">
      <c r="A1184" t="s">
        <v>1450</v>
      </c>
      <c r="B1184" t="s">
        <v>2057</v>
      </c>
      <c r="C1184" t="s">
        <v>629</v>
      </c>
      <c r="D1184" t="s">
        <v>630</v>
      </c>
      <c r="E1184" t="s">
        <v>630</v>
      </c>
      <c r="F1184" t="s">
        <v>201</v>
      </c>
      <c r="G1184" t="s">
        <v>16</v>
      </c>
      <c r="H1184" t="s">
        <v>631</v>
      </c>
      <c r="I1184" t="s">
        <v>151</v>
      </c>
      <c r="J1184">
        <v>1</v>
      </c>
      <c r="K1184">
        <v>2800</v>
      </c>
      <c r="L1184">
        <v>4000</v>
      </c>
      <c r="M1184">
        <v>4000</v>
      </c>
      <c r="N1184" t="s">
        <v>39</v>
      </c>
    </row>
    <row r="1185" spans="1:14" x14ac:dyDescent="0.25">
      <c r="A1185" t="s">
        <v>1450</v>
      </c>
      <c r="B1185" t="s">
        <v>2057</v>
      </c>
      <c r="C1185" t="s">
        <v>629</v>
      </c>
      <c r="D1185" t="s">
        <v>630</v>
      </c>
      <c r="E1185" t="s">
        <v>630</v>
      </c>
      <c r="F1185" t="s">
        <v>201</v>
      </c>
      <c r="G1185" t="s">
        <v>16</v>
      </c>
      <c r="H1185" t="s">
        <v>631</v>
      </c>
      <c r="I1185" t="s">
        <v>210</v>
      </c>
      <c r="J1185">
        <v>1</v>
      </c>
      <c r="K1185">
        <v>530</v>
      </c>
      <c r="L1185">
        <v>700</v>
      </c>
      <c r="M1185">
        <v>700</v>
      </c>
      <c r="N1185" t="s">
        <v>39</v>
      </c>
    </row>
    <row r="1186" spans="1:14" x14ac:dyDescent="0.25">
      <c r="A1186" t="s">
        <v>1450</v>
      </c>
      <c r="B1186" t="s">
        <v>2057</v>
      </c>
      <c r="C1186" t="s">
        <v>629</v>
      </c>
      <c r="D1186" t="s">
        <v>630</v>
      </c>
      <c r="E1186" t="s">
        <v>630</v>
      </c>
      <c r="F1186" t="s">
        <v>201</v>
      </c>
      <c r="G1186" t="s">
        <v>16</v>
      </c>
      <c r="H1186" t="s">
        <v>631</v>
      </c>
      <c r="I1186" t="s">
        <v>211</v>
      </c>
      <c r="J1186">
        <v>1</v>
      </c>
      <c r="K1186">
        <v>350</v>
      </c>
      <c r="L1186">
        <v>500</v>
      </c>
      <c r="M1186">
        <v>500</v>
      </c>
      <c r="N1186" t="s">
        <v>39</v>
      </c>
    </row>
    <row r="1187" spans="1:14" x14ac:dyDescent="0.25">
      <c r="A1187" t="s">
        <v>1450</v>
      </c>
      <c r="B1187" t="s">
        <v>2057</v>
      </c>
      <c r="C1187" t="s">
        <v>629</v>
      </c>
      <c r="D1187" t="s">
        <v>630</v>
      </c>
      <c r="E1187" t="s">
        <v>630</v>
      </c>
      <c r="F1187" t="s">
        <v>201</v>
      </c>
      <c r="G1187" t="s">
        <v>16</v>
      </c>
      <c r="H1187" t="s">
        <v>631</v>
      </c>
      <c r="I1187" t="s">
        <v>98</v>
      </c>
      <c r="J1187">
        <v>1</v>
      </c>
      <c r="K1187">
        <v>970</v>
      </c>
      <c r="L1187">
        <v>1500</v>
      </c>
      <c r="M1187">
        <v>1500</v>
      </c>
      <c r="N1187" t="s">
        <v>39</v>
      </c>
    </row>
    <row r="1188" spans="1:14" x14ac:dyDescent="0.25">
      <c r="A1188" t="s">
        <v>1450</v>
      </c>
      <c r="B1188" t="s">
        <v>2057</v>
      </c>
      <c r="C1188" t="s">
        <v>629</v>
      </c>
      <c r="D1188" t="s">
        <v>630</v>
      </c>
      <c r="E1188" t="s">
        <v>630</v>
      </c>
      <c r="F1188" t="s">
        <v>201</v>
      </c>
      <c r="G1188" t="s">
        <v>16</v>
      </c>
      <c r="H1188" t="s">
        <v>631</v>
      </c>
      <c r="I1188" t="s">
        <v>63</v>
      </c>
      <c r="J1188">
        <v>1</v>
      </c>
      <c r="K1188">
        <v>600</v>
      </c>
      <c r="L1188">
        <v>600</v>
      </c>
      <c r="M1188">
        <v>600</v>
      </c>
      <c r="N1188" t="s">
        <v>39</v>
      </c>
    </row>
    <row r="1189" spans="1:14" x14ac:dyDescent="0.25">
      <c r="A1189" t="s">
        <v>1479</v>
      </c>
      <c r="B1189" t="s">
        <v>2058</v>
      </c>
      <c r="C1189" t="s">
        <v>753</v>
      </c>
      <c r="D1189" t="s">
        <v>20</v>
      </c>
      <c r="E1189" t="s">
        <v>81</v>
      </c>
      <c r="F1189" t="s">
        <v>15</v>
      </c>
      <c r="G1189" t="s">
        <v>22</v>
      </c>
      <c r="H1189" t="s">
        <v>754</v>
      </c>
      <c r="I1189" t="s">
        <v>93</v>
      </c>
      <c r="J1189">
        <v>1</v>
      </c>
      <c r="K1189">
        <v>11000</v>
      </c>
      <c r="L1189">
        <v>16500</v>
      </c>
      <c r="M1189">
        <v>16500</v>
      </c>
      <c r="N1189" t="s">
        <v>19</v>
      </c>
    </row>
    <row r="1190" spans="1:14" x14ac:dyDescent="0.25">
      <c r="A1190" t="s">
        <v>1479</v>
      </c>
      <c r="B1190" t="s">
        <v>2058</v>
      </c>
      <c r="C1190" t="s">
        <v>753</v>
      </c>
      <c r="D1190" t="s">
        <v>20</v>
      </c>
      <c r="E1190" t="s">
        <v>81</v>
      </c>
      <c r="F1190" t="s">
        <v>15</v>
      </c>
      <c r="G1190" t="s">
        <v>22</v>
      </c>
      <c r="H1190" t="s">
        <v>754</v>
      </c>
      <c r="I1190" t="s">
        <v>76</v>
      </c>
      <c r="J1190">
        <v>1</v>
      </c>
      <c r="K1190">
        <v>500</v>
      </c>
      <c r="L1190">
        <v>500</v>
      </c>
      <c r="M1190">
        <v>500</v>
      </c>
      <c r="N1190" t="s">
        <v>19</v>
      </c>
    </row>
    <row r="1191" spans="1:14" x14ac:dyDescent="0.25">
      <c r="A1191" t="s">
        <v>1511</v>
      </c>
      <c r="B1191" t="s">
        <v>2059</v>
      </c>
      <c r="C1191" t="s">
        <v>758</v>
      </c>
      <c r="D1191" t="s">
        <v>20</v>
      </c>
      <c r="E1191" t="s">
        <v>623</v>
      </c>
      <c r="F1191" t="s">
        <v>15</v>
      </c>
      <c r="G1191" t="s">
        <v>22</v>
      </c>
      <c r="H1191" t="s">
        <v>754</v>
      </c>
      <c r="I1191" t="s">
        <v>761</v>
      </c>
      <c r="J1191">
        <v>1</v>
      </c>
      <c r="K1191">
        <v>8500</v>
      </c>
      <c r="L1191">
        <v>12000</v>
      </c>
      <c r="M1191">
        <v>12000</v>
      </c>
      <c r="N1191" t="s">
        <v>19</v>
      </c>
    </row>
    <row r="1192" spans="1:14" x14ac:dyDescent="0.25">
      <c r="A1192" t="s">
        <v>1511</v>
      </c>
      <c r="B1192" t="s">
        <v>2059</v>
      </c>
      <c r="C1192" t="s">
        <v>758</v>
      </c>
      <c r="D1192" t="s">
        <v>20</v>
      </c>
      <c r="E1192" t="s">
        <v>623</v>
      </c>
      <c r="F1192" t="s">
        <v>15</v>
      </c>
      <c r="G1192" t="s">
        <v>22</v>
      </c>
      <c r="H1192" t="s">
        <v>754</v>
      </c>
      <c r="I1192" t="s">
        <v>76</v>
      </c>
      <c r="J1192">
        <v>1</v>
      </c>
      <c r="K1192">
        <v>500</v>
      </c>
      <c r="L1192">
        <v>500</v>
      </c>
      <c r="M1192">
        <v>500</v>
      </c>
      <c r="N1192" t="s">
        <v>19</v>
      </c>
    </row>
    <row r="1193" spans="1:14" x14ac:dyDescent="0.25">
      <c r="A1193" t="s">
        <v>1485</v>
      </c>
      <c r="B1193" t="s">
        <v>2060</v>
      </c>
      <c r="C1193" t="s">
        <v>762</v>
      </c>
      <c r="D1193" t="s">
        <v>20</v>
      </c>
      <c r="E1193" t="s">
        <v>15</v>
      </c>
      <c r="F1193" t="s">
        <v>15</v>
      </c>
      <c r="G1193" t="s">
        <v>22</v>
      </c>
      <c r="H1193" t="s">
        <v>754</v>
      </c>
      <c r="I1193" t="s">
        <v>338</v>
      </c>
      <c r="J1193">
        <v>1</v>
      </c>
      <c r="K1193">
        <v>8500</v>
      </c>
      <c r="L1193">
        <v>12000</v>
      </c>
      <c r="M1193">
        <v>12000</v>
      </c>
      <c r="N1193" t="s">
        <v>19</v>
      </c>
    </row>
    <row r="1194" spans="1:14" x14ac:dyDescent="0.25">
      <c r="A1194" t="s">
        <v>1485</v>
      </c>
      <c r="B1194" t="s">
        <v>2060</v>
      </c>
      <c r="C1194" t="s">
        <v>762</v>
      </c>
      <c r="D1194" t="s">
        <v>20</v>
      </c>
      <c r="E1194" t="s">
        <v>15</v>
      </c>
      <c r="F1194" t="s">
        <v>15</v>
      </c>
      <c r="G1194" t="s">
        <v>22</v>
      </c>
      <c r="H1194" t="s">
        <v>754</v>
      </c>
      <c r="I1194" t="s">
        <v>76</v>
      </c>
      <c r="J1194">
        <v>1</v>
      </c>
      <c r="K1194">
        <v>500</v>
      </c>
      <c r="L1194">
        <v>500</v>
      </c>
      <c r="M1194">
        <v>500</v>
      </c>
      <c r="N1194" t="s">
        <v>19</v>
      </c>
    </row>
    <row r="1195" spans="1:14" x14ac:dyDescent="0.25">
      <c r="A1195" t="s">
        <v>1525</v>
      </c>
      <c r="B1195" t="s">
        <v>2061</v>
      </c>
      <c r="C1195" t="s">
        <v>766</v>
      </c>
      <c r="D1195" t="s">
        <v>20</v>
      </c>
      <c r="E1195" t="s">
        <v>666</v>
      </c>
      <c r="F1195" t="s">
        <v>15</v>
      </c>
      <c r="G1195" t="s">
        <v>22</v>
      </c>
      <c r="H1195" t="s">
        <v>769</v>
      </c>
      <c r="I1195" t="s">
        <v>770</v>
      </c>
      <c r="J1195">
        <v>1</v>
      </c>
      <c r="K1195">
        <v>3000</v>
      </c>
      <c r="L1195">
        <v>5500</v>
      </c>
      <c r="M1195">
        <v>5500</v>
      </c>
      <c r="N1195" t="s">
        <v>19</v>
      </c>
    </row>
    <row r="1196" spans="1:14" x14ac:dyDescent="0.25">
      <c r="A1196" t="s">
        <v>1525</v>
      </c>
      <c r="B1196" t="s">
        <v>2061</v>
      </c>
      <c r="C1196" t="s">
        <v>766</v>
      </c>
      <c r="D1196" t="s">
        <v>20</v>
      </c>
      <c r="E1196" t="s">
        <v>666</v>
      </c>
      <c r="F1196" t="s">
        <v>15</v>
      </c>
      <c r="G1196" t="s">
        <v>22</v>
      </c>
      <c r="H1196" t="s">
        <v>769</v>
      </c>
      <c r="I1196" t="s">
        <v>76</v>
      </c>
      <c r="J1196">
        <v>1</v>
      </c>
      <c r="K1196">
        <v>500</v>
      </c>
      <c r="L1196">
        <v>500</v>
      </c>
      <c r="M1196">
        <v>500</v>
      </c>
      <c r="N1196" t="s">
        <v>19</v>
      </c>
    </row>
    <row r="1197" spans="1:14" x14ac:dyDescent="0.25">
      <c r="A1197" t="s">
        <v>1728</v>
      </c>
      <c r="B1197" t="s">
        <v>2062</v>
      </c>
      <c r="C1197" t="s">
        <v>382</v>
      </c>
      <c r="D1197" t="s">
        <v>1055</v>
      </c>
      <c r="E1197" t="s">
        <v>1056</v>
      </c>
      <c r="F1197" t="s">
        <v>1133</v>
      </c>
      <c r="G1197" t="s">
        <v>37</v>
      </c>
      <c r="H1197" t="s">
        <v>769</v>
      </c>
      <c r="I1197" t="s">
        <v>38</v>
      </c>
      <c r="J1197">
        <v>1</v>
      </c>
      <c r="K1197">
        <v>8500</v>
      </c>
      <c r="L1197">
        <v>12500</v>
      </c>
      <c r="M1197">
        <v>12500</v>
      </c>
      <c r="N1197" t="s">
        <v>1010</v>
      </c>
    </row>
    <row r="1198" spans="1:14" x14ac:dyDescent="0.25">
      <c r="A1198" t="s">
        <v>1728</v>
      </c>
      <c r="B1198" t="s">
        <v>2062</v>
      </c>
      <c r="C1198" t="s">
        <v>382</v>
      </c>
      <c r="D1198" t="s">
        <v>1055</v>
      </c>
      <c r="E1198" t="s">
        <v>1056</v>
      </c>
      <c r="F1198" t="s">
        <v>1133</v>
      </c>
      <c r="G1198" t="s">
        <v>37</v>
      </c>
      <c r="H1198" t="s">
        <v>769</v>
      </c>
      <c r="I1198" t="s">
        <v>137</v>
      </c>
      <c r="J1198">
        <v>7</v>
      </c>
      <c r="K1198">
        <v>2200</v>
      </c>
      <c r="L1198">
        <v>3500</v>
      </c>
      <c r="M1198">
        <v>24500</v>
      </c>
      <c r="N1198" t="s">
        <v>1010</v>
      </c>
    </row>
    <row r="1199" spans="1:14" x14ac:dyDescent="0.25">
      <c r="A1199" t="s">
        <v>1728</v>
      </c>
      <c r="B1199" t="s">
        <v>2062</v>
      </c>
      <c r="C1199" t="s">
        <v>382</v>
      </c>
      <c r="D1199" t="s">
        <v>1055</v>
      </c>
      <c r="E1199" t="s">
        <v>1056</v>
      </c>
      <c r="F1199" t="s">
        <v>1133</v>
      </c>
      <c r="G1199" t="s">
        <v>37</v>
      </c>
      <c r="H1199" t="s">
        <v>769</v>
      </c>
      <c r="I1199" t="s">
        <v>1057</v>
      </c>
      <c r="J1199">
        <v>1</v>
      </c>
      <c r="K1199">
        <v>5400</v>
      </c>
      <c r="L1199">
        <v>7000</v>
      </c>
      <c r="M1199">
        <v>7000</v>
      </c>
      <c r="N1199" t="s">
        <v>1010</v>
      </c>
    </row>
    <row r="1200" spans="1:14" x14ac:dyDescent="0.25">
      <c r="A1200" t="s">
        <v>1728</v>
      </c>
      <c r="B1200" t="s">
        <v>2062</v>
      </c>
      <c r="C1200" t="s">
        <v>382</v>
      </c>
      <c r="D1200" t="s">
        <v>1055</v>
      </c>
      <c r="E1200" t="s">
        <v>1056</v>
      </c>
      <c r="F1200" t="s">
        <v>1133</v>
      </c>
      <c r="G1200" t="s">
        <v>37</v>
      </c>
      <c r="H1200" t="s">
        <v>769</v>
      </c>
      <c r="I1200" t="s">
        <v>1021</v>
      </c>
      <c r="J1200">
        <v>1</v>
      </c>
      <c r="K1200">
        <v>2185</v>
      </c>
      <c r="L1200">
        <v>3000</v>
      </c>
      <c r="M1200">
        <v>3000</v>
      </c>
      <c r="N1200" t="s">
        <v>1010</v>
      </c>
    </row>
    <row r="1201" spans="1:14" x14ac:dyDescent="0.25">
      <c r="A1201" t="s">
        <v>1728</v>
      </c>
      <c r="B1201" t="s">
        <v>2062</v>
      </c>
      <c r="C1201" t="s">
        <v>382</v>
      </c>
      <c r="D1201" t="s">
        <v>1055</v>
      </c>
      <c r="E1201" t="s">
        <v>1056</v>
      </c>
      <c r="F1201" t="s">
        <v>1133</v>
      </c>
      <c r="G1201" t="s">
        <v>37</v>
      </c>
      <c r="H1201" t="s">
        <v>769</v>
      </c>
      <c r="I1201" t="s">
        <v>63</v>
      </c>
      <c r="J1201">
        <v>1</v>
      </c>
      <c r="K1201">
        <v>500</v>
      </c>
      <c r="L1201">
        <v>500</v>
      </c>
      <c r="M1201">
        <v>500</v>
      </c>
      <c r="N1201" t="s">
        <v>1010</v>
      </c>
    </row>
    <row r="1202" spans="1:14" x14ac:dyDescent="0.25">
      <c r="A1202" t="s">
        <v>1471</v>
      </c>
      <c r="B1202" t="s">
        <v>2063</v>
      </c>
      <c r="C1202" t="s">
        <v>386</v>
      </c>
      <c r="D1202" t="s">
        <v>1134</v>
      </c>
      <c r="E1202" t="s">
        <v>1037</v>
      </c>
      <c r="F1202" t="s">
        <v>647</v>
      </c>
      <c r="G1202" t="s">
        <v>37</v>
      </c>
      <c r="H1202" t="s">
        <v>769</v>
      </c>
      <c r="I1202" t="s">
        <v>501</v>
      </c>
      <c r="J1202">
        <v>2</v>
      </c>
      <c r="K1202">
        <v>70</v>
      </c>
      <c r="L1202">
        <v>250</v>
      </c>
      <c r="M1202">
        <v>500</v>
      </c>
      <c r="N1202" t="s">
        <v>1010</v>
      </c>
    </row>
    <row r="1203" spans="1:14" x14ac:dyDescent="0.25">
      <c r="A1203" t="s">
        <v>1711</v>
      </c>
      <c r="B1203" t="s">
        <v>2064</v>
      </c>
      <c r="C1203" t="s">
        <v>391</v>
      </c>
      <c r="D1203" t="s">
        <v>1022</v>
      </c>
      <c r="E1203" t="s">
        <v>1023</v>
      </c>
      <c r="F1203" t="s">
        <v>15</v>
      </c>
      <c r="G1203" t="s">
        <v>1027</v>
      </c>
      <c r="H1203" t="s">
        <v>769</v>
      </c>
      <c r="I1203" t="s">
        <v>47</v>
      </c>
      <c r="J1203">
        <v>1</v>
      </c>
      <c r="K1203">
        <v>3675</v>
      </c>
      <c r="L1203">
        <v>10500</v>
      </c>
      <c r="M1203">
        <v>10500</v>
      </c>
      <c r="N1203" t="s">
        <v>19</v>
      </c>
    </row>
    <row r="1204" spans="1:14" x14ac:dyDescent="0.25">
      <c r="A1204" t="s">
        <v>1711</v>
      </c>
      <c r="B1204" t="s">
        <v>2064</v>
      </c>
      <c r="C1204" t="s">
        <v>391</v>
      </c>
      <c r="D1204" t="s">
        <v>1022</v>
      </c>
      <c r="E1204" t="s">
        <v>1023</v>
      </c>
      <c r="F1204" t="s">
        <v>15</v>
      </c>
      <c r="G1204" t="s">
        <v>1027</v>
      </c>
      <c r="H1204" t="s">
        <v>769</v>
      </c>
      <c r="I1204" t="s">
        <v>25</v>
      </c>
      <c r="J1204">
        <v>1</v>
      </c>
      <c r="K1204">
        <v>3237.5</v>
      </c>
      <c r="L1204">
        <v>9250</v>
      </c>
      <c r="M1204">
        <v>9250</v>
      </c>
      <c r="N1204" t="s">
        <v>19</v>
      </c>
    </row>
    <row r="1205" spans="1:14" x14ac:dyDescent="0.25">
      <c r="A1205" t="s">
        <v>1711</v>
      </c>
      <c r="B1205" t="s">
        <v>2064</v>
      </c>
      <c r="C1205" t="s">
        <v>391</v>
      </c>
      <c r="D1205" t="s">
        <v>1022</v>
      </c>
      <c r="E1205" t="s">
        <v>1023</v>
      </c>
      <c r="F1205" t="s">
        <v>15</v>
      </c>
      <c r="G1205" t="s">
        <v>1027</v>
      </c>
      <c r="H1205" t="s">
        <v>769</v>
      </c>
      <c r="I1205" t="s">
        <v>24</v>
      </c>
      <c r="J1205">
        <v>1</v>
      </c>
      <c r="K1205">
        <v>3237.5</v>
      </c>
      <c r="L1205">
        <v>9250</v>
      </c>
      <c r="M1205">
        <v>9250</v>
      </c>
      <c r="N1205" t="s">
        <v>19</v>
      </c>
    </row>
    <row r="1206" spans="1:14" x14ac:dyDescent="0.25">
      <c r="A1206" t="s">
        <v>1711</v>
      </c>
      <c r="B1206" t="s">
        <v>2064</v>
      </c>
      <c r="C1206" t="s">
        <v>391</v>
      </c>
      <c r="D1206" t="s">
        <v>1022</v>
      </c>
      <c r="E1206" t="s">
        <v>1023</v>
      </c>
      <c r="F1206" t="s">
        <v>15</v>
      </c>
      <c r="G1206" t="s">
        <v>1027</v>
      </c>
      <c r="H1206" t="s">
        <v>769</v>
      </c>
      <c r="I1206" t="s">
        <v>26</v>
      </c>
      <c r="J1206">
        <v>1</v>
      </c>
      <c r="K1206">
        <v>500</v>
      </c>
      <c r="L1206">
        <v>500</v>
      </c>
      <c r="M1206">
        <v>500</v>
      </c>
      <c r="N1206" t="s">
        <v>19</v>
      </c>
    </row>
    <row r="1207" spans="1:14" x14ac:dyDescent="0.25">
      <c r="A1207" t="s">
        <v>1711</v>
      </c>
      <c r="B1207" t="s">
        <v>2064</v>
      </c>
      <c r="C1207" t="s">
        <v>391</v>
      </c>
      <c r="D1207" t="s">
        <v>1022</v>
      </c>
      <c r="E1207" t="s">
        <v>1023</v>
      </c>
      <c r="F1207" t="s">
        <v>15</v>
      </c>
      <c r="G1207" t="s">
        <v>1027</v>
      </c>
      <c r="H1207" t="s">
        <v>769</v>
      </c>
      <c r="I1207" t="s">
        <v>1048</v>
      </c>
      <c r="J1207">
        <v>1</v>
      </c>
      <c r="K1207">
        <v>8500</v>
      </c>
      <c r="L1207">
        <v>12500</v>
      </c>
      <c r="M1207">
        <v>12500</v>
      </c>
      <c r="N1207" t="s">
        <v>19</v>
      </c>
    </row>
    <row r="1208" spans="1:14" x14ac:dyDescent="0.25">
      <c r="A1208" t="s">
        <v>1711</v>
      </c>
      <c r="B1208" t="s">
        <v>2064</v>
      </c>
      <c r="C1208" t="s">
        <v>391</v>
      </c>
      <c r="D1208" t="s">
        <v>1022</v>
      </c>
      <c r="E1208" t="s">
        <v>1023</v>
      </c>
      <c r="F1208" t="s">
        <v>15</v>
      </c>
      <c r="G1208" t="s">
        <v>1027</v>
      </c>
      <c r="H1208" t="s">
        <v>769</v>
      </c>
      <c r="I1208" t="s">
        <v>1049</v>
      </c>
      <c r="J1208">
        <v>1</v>
      </c>
      <c r="K1208">
        <v>9500</v>
      </c>
      <c r="L1208">
        <v>13500</v>
      </c>
      <c r="M1208">
        <v>13500</v>
      </c>
      <c r="N1208" t="s">
        <v>19</v>
      </c>
    </row>
    <row r="1209" spans="1:14" x14ac:dyDescent="0.25">
      <c r="A1209" t="s">
        <v>1711</v>
      </c>
      <c r="B1209" t="s">
        <v>2064</v>
      </c>
      <c r="C1209" t="s">
        <v>391</v>
      </c>
      <c r="D1209" t="s">
        <v>1022</v>
      </c>
      <c r="E1209" t="s">
        <v>1023</v>
      </c>
      <c r="F1209" t="s">
        <v>15</v>
      </c>
      <c r="G1209" t="s">
        <v>1027</v>
      </c>
      <c r="H1209" t="s">
        <v>769</v>
      </c>
      <c r="I1209" t="s">
        <v>63</v>
      </c>
      <c r="J1209">
        <v>1</v>
      </c>
      <c r="K1209">
        <v>500</v>
      </c>
      <c r="L1209">
        <v>500</v>
      </c>
      <c r="M1209">
        <v>500</v>
      </c>
      <c r="N1209" t="s">
        <v>19</v>
      </c>
    </row>
    <row r="1210" spans="1:14" x14ac:dyDescent="0.25">
      <c r="A1210" t="s">
        <v>1477</v>
      </c>
      <c r="B1210" t="s">
        <v>2065</v>
      </c>
      <c r="C1210" t="s">
        <v>771</v>
      </c>
      <c r="D1210" t="s">
        <v>20</v>
      </c>
      <c r="E1210" t="s">
        <v>775</v>
      </c>
      <c r="F1210" t="s">
        <v>15</v>
      </c>
      <c r="G1210" t="s">
        <v>22</v>
      </c>
      <c r="H1210" t="s">
        <v>776</v>
      </c>
      <c r="I1210" t="s">
        <v>133</v>
      </c>
      <c r="J1210">
        <v>1</v>
      </c>
      <c r="K1210">
        <v>3675</v>
      </c>
      <c r="L1210">
        <v>10500</v>
      </c>
      <c r="M1210">
        <v>10500</v>
      </c>
      <c r="N1210" t="s">
        <v>19</v>
      </c>
    </row>
    <row r="1211" spans="1:14" x14ac:dyDescent="0.25">
      <c r="A1211" t="s">
        <v>1477</v>
      </c>
      <c r="B1211" t="s">
        <v>2065</v>
      </c>
      <c r="C1211" t="s">
        <v>771</v>
      </c>
      <c r="D1211" t="s">
        <v>20</v>
      </c>
      <c r="E1211" t="s">
        <v>775</v>
      </c>
      <c r="F1211" t="s">
        <v>15</v>
      </c>
      <c r="G1211" t="s">
        <v>22</v>
      </c>
      <c r="H1211" t="s">
        <v>776</v>
      </c>
      <c r="I1211" t="s">
        <v>25</v>
      </c>
      <c r="J1211">
        <v>1</v>
      </c>
      <c r="K1211">
        <v>9500</v>
      </c>
      <c r="L1211">
        <v>9500</v>
      </c>
      <c r="M1211">
        <v>9500</v>
      </c>
      <c r="N1211" t="s">
        <v>19</v>
      </c>
    </row>
    <row r="1212" spans="1:14" x14ac:dyDescent="0.25">
      <c r="A1212" t="s">
        <v>1477</v>
      </c>
      <c r="B1212" t="s">
        <v>2065</v>
      </c>
      <c r="C1212" t="s">
        <v>771</v>
      </c>
      <c r="D1212" t="s">
        <v>20</v>
      </c>
      <c r="E1212" t="s">
        <v>775</v>
      </c>
      <c r="F1212" t="s">
        <v>15</v>
      </c>
      <c r="G1212" t="s">
        <v>22</v>
      </c>
      <c r="H1212" t="s">
        <v>776</v>
      </c>
      <c r="I1212" t="s">
        <v>24</v>
      </c>
      <c r="J1212">
        <v>1</v>
      </c>
      <c r="K1212">
        <v>9500</v>
      </c>
      <c r="L1212">
        <v>9500</v>
      </c>
      <c r="M1212">
        <v>9500</v>
      </c>
      <c r="N1212" t="s">
        <v>19</v>
      </c>
    </row>
    <row r="1213" spans="1:14" x14ac:dyDescent="0.25">
      <c r="A1213" t="s">
        <v>1477</v>
      </c>
      <c r="B1213" t="s">
        <v>2065</v>
      </c>
      <c r="C1213" t="s">
        <v>771</v>
      </c>
      <c r="D1213" t="s">
        <v>20</v>
      </c>
      <c r="E1213" t="s">
        <v>775</v>
      </c>
      <c r="F1213" t="s">
        <v>15</v>
      </c>
      <c r="G1213" t="s">
        <v>22</v>
      </c>
      <c r="H1213" t="s">
        <v>776</v>
      </c>
      <c r="I1213" t="s">
        <v>134</v>
      </c>
      <c r="J1213">
        <v>1</v>
      </c>
      <c r="K1213">
        <v>500</v>
      </c>
      <c r="L1213">
        <v>500</v>
      </c>
      <c r="M1213">
        <v>500</v>
      </c>
      <c r="N1213" t="s">
        <v>19</v>
      </c>
    </row>
    <row r="1214" spans="1:14" x14ac:dyDescent="0.25">
      <c r="A1214" t="s">
        <v>1469</v>
      </c>
      <c r="B1214" t="s">
        <v>2066</v>
      </c>
      <c r="C1214" t="s">
        <v>637</v>
      </c>
      <c r="D1214" t="s">
        <v>363</v>
      </c>
      <c r="E1214" t="s">
        <v>364</v>
      </c>
      <c r="F1214" t="s">
        <v>15</v>
      </c>
      <c r="G1214" t="s">
        <v>22</v>
      </c>
      <c r="H1214" t="s">
        <v>638</v>
      </c>
      <c r="I1214" t="s">
        <v>331</v>
      </c>
      <c r="J1214">
        <v>1</v>
      </c>
      <c r="K1214">
        <v>5000</v>
      </c>
      <c r="L1214">
        <v>10000</v>
      </c>
      <c r="M1214">
        <v>10000</v>
      </c>
      <c r="N1214" t="s">
        <v>19</v>
      </c>
    </row>
    <row r="1215" spans="1:14" x14ac:dyDescent="0.25">
      <c r="A1215" t="s">
        <v>1682</v>
      </c>
      <c r="B1215" t="s">
        <v>2067</v>
      </c>
      <c r="C1215" t="s">
        <v>639</v>
      </c>
      <c r="D1215" t="s">
        <v>220</v>
      </c>
      <c r="E1215" t="s">
        <v>221</v>
      </c>
      <c r="F1215" t="s">
        <v>640</v>
      </c>
      <c r="G1215" t="s">
        <v>16</v>
      </c>
      <c r="H1215" t="s">
        <v>641</v>
      </c>
      <c r="I1215" t="s">
        <v>642</v>
      </c>
      <c r="J1215">
        <v>1</v>
      </c>
      <c r="K1215">
        <v>3675</v>
      </c>
      <c r="L1215">
        <v>10500</v>
      </c>
      <c r="M1215">
        <v>10500</v>
      </c>
      <c r="N1215" t="s">
        <v>39</v>
      </c>
    </row>
    <row r="1216" spans="1:14" x14ac:dyDescent="0.25">
      <c r="A1216" t="s">
        <v>1682</v>
      </c>
      <c r="B1216" t="s">
        <v>2067</v>
      </c>
      <c r="C1216" t="s">
        <v>639</v>
      </c>
      <c r="D1216" t="s">
        <v>220</v>
      </c>
      <c r="E1216" t="s">
        <v>221</v>
      </c>
      <c r="F1216" t="s">
        <v>640</v>
      </c>
      <c r="G1216" t="s">
        <v>16</v>
      </c>
      <c r="H1216" t="s">
        <v>641</v>
      </c>
      <c r="I1216" t="s">
        <v>48</v>
      </c>
      <c r="J1216">
        <v>1</v>
      </c>
      <c r="K1216">
        <v>3255</v>
      </c>
      <c r="L1216">
        <v>9300</v>
      </c>
      <c r="M1216">
        <v>9300</v>
      </c>
      <c r="N1216" t="s">
        <v>39</v>
      </c>
    </row>
    <row r="1217" spans="1:14" x14ac:dyDescent="0.25">
      <c r="A1217" t="s">
        <v>1682</v>
      </c>
      <c r="B1217" t="s">
        <v>2067</v>
      </c>
      <c r="C1217" t="s">
        <v>639</v>
      </c>
      <c r="D1217" t="s">
        <v>220</v>
      </c>
      <c r="E1217" t="s">
        <v>221</v>
      </c>
      <c r="F1217" t="s">
        <v>640</v>
      </c>
      <c r="G1217" t="s">
        <v>16</v>
      </c>
      <c r="H1217" t="s">
        <v>641</v>
      </c>
      <c r="I1217" t="s">
        <v>126</v>
      </c>
      <c r="J1217">
        <v>1</v>
      </c>
      <c r="K1217">
        <v>3255</v>
      </c>
      <c r="L1217">
        <v>9300</v>
      </c>
      <c r="M1217">
        <v>9300</v>
      </c>
      <c r="N1217" t="s">
        <v>39</v>
      </c>
    </row>
    <row r="1218" spans="1:14" x14ac:dyDescent="0.25">
      <c r="A1218" t="s">
        <v>1682</v>
      </c>
      <c r="B1218" t="s">
        <v>2067</v>
      </c>
      <c r="C1218" t="s">
        <v>639</v>
      </c>
      <c r="D1218" t="s">
        <v>220</v>
      </c>
      <c r="E1218" t="s">
        <v>221</v>
      </c>
      <c r="F1218" t="s">
        <v>640</v>
      </c>
      <c r="G1218" t="s">
        <v>16</v>
      </c>
      <c r="H1218" t="s">
        <v>641</v>
      </c>
      <c r="I1218" t="s">
        <v>26</v>
      </c>
      <c r="J1218">
        <v>1</v>
      </c>
      <c r="K1218">
        <v>500</v>
      </c>
      <c r="L1218">
        <v>500</v>
      </c>
      <c r="M1218">
        <v>500</v>
      </c>
      <c r="N1218" t="s">
        <v>39</v>
      </c>
    </row>
    <row r="1219" spans="1:14" x14ac:dyDescent="0.25">
      <c r="A1219" t="s">
        <v>1682</v>
      </c>
      <c r="B1219" t="s">
        <v>2067</v>
      </c>
      <c r="C1219" t="s">
        <v>639</v>
      </c>
      <c r="D1219" t="s">
        <v>220</v>
      </c>
      <c r="E1219" t="s">
        <v>221</v>
      </c>
      <c r="F1219" t="s">
        <v>640</v>
      </c>
      <c r="G1219" t="s">
        <v>16</v>
      </c>
      <c r="H1219" t="s">
        <v>641</v>
      </c>
      <c r="I1219" t="s">
        <v>38</v>
      </c>
      <c r="J1219">
        <v>1</v>
      </c>
      <c r="K1219">
        <v>8500</v>
      </c>
      <c r="L1219">
        <v>12500</v>
      </c>
      <c r="M1219">
        <v>12500</v>
      </c>
      <c r="N1219" t="s">
        <v>39</v>
      </c>
    </row>
    <row r="1220" spans="1:14" x14ac:dyDescent="0.25">
      <c r="A1220" t="s">
        <v>1682</v>
      </c>
      <c r="B1220" t="s">
        <v>2067</v>
      </c>
      <c r="C1220" t="s">
        <v>639</v>
      </c>
      <c r="D1220" t="s">
        <v>220</v>
      </c>
      <c r="E1220" t="s">
        <v>221</v>
      </c>
      <c r="F1220" t="s">
        <v>640</v>
      </c>
      <c r="G1220" t="s">
        <v>16</v>
      </c>
      <c r="H1220" t="s">
        <v>641</v>
      </c>
      <c r="I1220" t="s">
        <v>97</v>
      </c>
      <c r="J1220">
        <v>1</v>
      </c>
      <c r="K1220">
        <v>2200</v>
      </c>
      <c r="L1220">
        <v>3000</v>
      </c>
      <c r="M1220">
        <v>3000</v>
      </c>
      <c r="N1220" t="s">
        <v>39</v>
      </c>
    </row>
    <row r="1221" spans="1:14" x14ac:dyDescent="0.25">
      <c r="A1221" t="s">
        <v>1682</v>
      </c>
      <c r="B1221" t="s">
        <v>2067</v>
      </c>
      <c r="C1221" t="s">
        <v>639</v>
      </c>
      <c r="D1221" t="s">
        <v>220</v>
      </c>
      <c r="E1221" t="s">
        <v>221</v>
      </c>
      <c r="F1221" t="s">
        <v>640</v>
      </c>
      <c r="G1221" t="s">
        <v>16</v>
      </c>
      <c r="H1221" t="s">
        <v>641</v>
      </c>
      <c r="I1221" t="s">
        <v>93</v>
      </c>
      <c r="J1221">
        <v>1</v>
      </c>
      <c r="K1221">
        <v>11000</v>
      </c>
      <c r="L1221">
        <v>16000</v>
      </c>
      <c r="M1221">
        <v>16000</v>
      </c>
      <c r="N1221" t="s">
        <v>39</v>
      </c>
    </row>
    <row r="1222" spans="1:14" x14ac:dyDescent="0.25">
      <c r="A1222" t="s">
        <v>1682</v>
      </c>
      <c r="B1222" t="s">
        <v>2067</v>
      </c>
      <c r="C1222" t="s">
        <v>639</v>
      </c>
      <c r="D1222" t="s">
        <v>220</v>
      </c>
      <c r="E1222" t="s">
        <v>221</v>
      </c>
      <c r="F1222" t="s">
        <v>640</v>
      </c>
      <c r="G1222" t="s">
        <v>16</v>
      </c>
      <c r="H1222" t="s">
        <v>641</v>
      </c>
      <c r="I1222" t="s">
        <v>116</v>
      </c>
      <c r="J1222">
        <v>1</v>
      </c>
      <c r="K1222">
        <v>2185</v>
      </c>
      <c r="L1222">
        <v>3500</v>
      </c>
      <c r="M1222">
        <v>3500</v>
      </c>
      <c r="N1222" t="s">
        <v>39</v>
      </c>
    </row>
    <row r="1223" spans="1:14" x14ac:dyDescent="0.25">
      <c r="A1223" t="s">
        <v>1682</v>
      </c>
      <c r="B1223" t="s">
        <v>2067</v>
      </c>
      <c r="C1223" t="s">
        <v>639</v>
      </c>
      <c r="D1223" t="s">
        <v>220</v>
      </c>
      <c r="E1223" t="s">
        <v>221</v>
      </c>
      <c r="F1223" t="s">
        <v>640</v>
      </c>
      <c r="G1223" t="s">
        <v>16</v>
      </c>
      <c r="H1223" t="s">
        <v>641</v>
      </c>
      <c r="I1223" t="s">
        <v>209</v>
      </c>
      <c r="J1223">
        <v>1</v>
      </c>
      <c r="K1223">
        <v>23450</v>
      </c>
      <c r="L1223">
        <v>30300</v>
      </c>
      <c r="M1223">
        <v>30300</v>
      </c>
      <c r="N1223" t="s">
        <v>39</v>
      </c>
    </row>
    <row r="1224" spans="1:14" x14ac:dyDescent="0.25">
      <c r="A1224" t="s">
        <v>1682</v>
      </c>
      <c r="B1224" t="s">
        <v>2067</v>
      </c>
      <c r="C1224" t="s">
        <v>639</v>
      </c>
      <c r="D1224" t="s">
        <v>220</v>
      </c>
      <c r="E1224" t="s">
        <v>221</v>
      </c>
      <c r="F1224" t="s">
        <v>640</v>
      </c>
      <c r="G1224" t="s">
        <v>16</v>
      </c>
      <c r="H1224" t="s">
        <v>641</v>
      </c>
      <c r="I1224" t="s">
        <v>151</v>
      </c>
      <c r="J1224">
        <v>1</v>
      </c>
      <c r="K1224">
        <v>2800</v>
      </c>
      <c r="L1224">
        <v>4000</v>
      </c>
      <c r="M1224">
        <v>4000</v>
      </c>
      <c r="N1224" t="s">
        <v>39</v>
      </c>
    </row>
    <row r="1225" spans="1:14" x14ac:dyDescent="0.25">
      <c r="A1225" t="s">
        <v>1682</v>
      </c>
      <c r="B1225" t="s">
        <v>2067</v>
      </c>
      <c r="C1225" t="s">
        <v>639</v>
      </c>
      <c r="D1225" t="s">
        <v>220</v>
      </c>
      <c r="E1225" t="s">
        <v>221</v>
      </c>
      <c r="F1225" t="s">
        <v>640</v>
      </c>
      <c r="G1225" t="s">
        <v>16</v>
      </c>
      <c r="H1225" t="s">
        <v>641</v>
      </c>
      <c r="I1225" t="s">
        <v>210</v>
      </c>
      <c r="J1225">
        <v>1</v>
      </c>
      <c r="K1225">
        <v>530</v>
      </c>
      <c r="L1225">
        <v>700</v>
      </c>
      <c r="M1225">
        <v>700</v>
      </c>
      <c r="N1225" t="s">
        <v>39</v>
      </c>
    </row>
    <row r="1226" spans="1:14" x14ac:dyDescent="0.25">
      <c r="A1226" t="s">
        <v>1682</v>
      </c>
      <c r="B1226" t="s">
        <v>2067</v>
      </c>
      <c r="C1226" t="s">
        <v>639</v>
      </c>
      <c r="D1226" t="s">
        <v>220</v>
      </c>
      <c r="E1226" t="s">
        <v>221</v>
      </c>
      <c r="F1226" t="s">
        <v>640</v>
      </c>
      <c r="G1226" t="s">
        <v>16</v>
      </c>
      <c r="H1226" t="s">
        <v>641</v>
      </c>
      <c r="I1226" t="s">
        <v>211</v>
      </c>
      <c r="J1226">
        <v>1</v>
      </c>
      <c r="K1226">
        <v>350</v>
      </c>
      <c r="L1226">
        <v>500</v>
      </c>
      <c r="M1226">
        <v>500</v>
      </c>
      <c r="N1226" t="s">
        <v>39</v>
      </c>
    </row>
    <row r="1227" spans="1:14" x14ac:dyDescent="0.25">
      <c r="A1227" t="s">
        <v>1682</v>
      </c>
      <c r="B1227" t="s">
        <v>2067</v>
      </c>
      <c r="C1227" t="s">
        <v>639</v>
      </c>
      <c r="D1227" t="s">
        <v>220</v>
      </c>
      <c r="E1227" t="s">
        <v>221</v>
      </c>
      <c r="F1227" t="s">
        <v>640</v>
      </c>
      <c r="G1227" t="s">
        <v>16</v>
      </c>
      <c r="H1227" t="s">
        <v>641</v>
      </c>
      <c r="I1227" t="s">
        <v>98</v>
      </c>
      <c r="J1227">
        <v>1</v>
      </c>
      <c r="K1227">
        <v>970</v>
      </c>
      <c r="L1227">
        <v>1500</v>
      </c>
      <c r="M1227">
        <v>1500</v>
      </c>
      <c r="N1227" t="s">
        <v>39</v>
      </c>
    </row>
    <row r="1228" spans="1:14" x14ac:dyDescent="0.25">
      <c r="A1228" t="s">
        <v>1682</v>
      </c>
      <c r="B1228" t="s">
        <v>2067</v>
      </c>
      <c r="C1228" t="s">
        <v>639</v>
      </c>
      <c r="D1228" t="s">
        <v>220</v>
      </c>
      <c r="E1228" t="s">
        <v>221</v>
      </c>
      <c r="F1228" t="s">
        <v>640</v>
      </c>
      <c r="G1228" t="s">
        <v>16</v>
      </c>
      <c r="H1228" t="s">
        <v>641</v>
      </c>
      <c r="I1228" t="s">
        <v>63</v>
      </c>
      <c r="J1228">
        <v>1</v>
      </c>
      <c r="K1228">
        <v>400</v>
      </c>
      <c r="L1228">
        <v>400</v>
      </c>
      <c r="M1228">
        <v>400</v>
      </c>
      <c r="N1228" t="s">
        <v>39</v>
      </c>
    </row>
    <row r="1229" spans="1:14" x14ac:dyDescent="0.25">
      <c r="A1229" t="s">
        <v>1681</v>
      </c>
      <c r="B1229" t="s">
        <v>2068</v>
      </c>
      <c r="C1229" t="s">
        <v>643</v>
      </c>
      <c r="D1229" t="s">
        <v>220</v>
      </c>
      <c r="E1229" t="s">
        <v>221</v>
      </c>
      <c r="F1229" t="s">
        <v>644</v>
      </c>
      <c r="G1229" t="s">
        <v>16</v>
      </c>
      <c r="H1229" t="s">
        <v>641</v>
      </c>
      <c r="I1229" t="s">
        <v>642</v>
      </c>
      <c r="J1229">
        <v>1</v>
      </c>
      <c r="K1229">
        <v>3675</v>
      </c>
      <c r="L1229">
        <v>10500</v>
      </c>
      <c r="M1229">
        <v>10500</v>
      </c>
      <c r="N1229" t="s">
        <v>39</v>
      </c>
    </row>
    <row r="1230" spans="1:14" x14ac:dyDescent="0.25">
      <c r="A1230" t="s">
        <v>1681</v>
      </c>
      <c r="B1230" t="s">
        <v>2068</v>
      </c>
      <c r="C1230" t="s">
        <v>643</v>
      </c>
      <c r="D1230" t="s">
        <v>220</v>
      </c>
      <c r="E1230" t="s">
        <v>221</v>
      </c>
      <c r="F1230" t="s">
        <v>644</v>
      </c>
      <c r="G1230" t="s">
        <v>16</v>
      </c>
      <c r="H1230" t="s">
        <v>641</v>
      </c>
      <c r="I1230" t="s">
        <v>48</v>
      </c>
      <c r="J1230">
        <v>1</v>
      </c>
      <c r="K1230">
        <v>3220</v>
      </c>
      <c r="L1230">
        <v>9200</v>
      </c>
      <c r="M1230">
        <v>9200</v>
      </c>
      <c r="N1230" t="s">
        <v>39</v>
      </c>
    </row>
    <row r="1231" spans="1:14" x14ac:dyDescent="0.25">
      <c r="A1231" t="s">
        <v>1681</v>
      </c>
      <c r="B1231" t="s">
        <v>2068</v>
      </c>
      <c r="C1231" t="s">
        <v>643</v>
      </c>
      <c r="D1231" t="s">
        <v>220</v>
      </c>
      <c r="E1231" t="s">
        <v>221</v>
      </c>
      <c r="F1231" t="s">
        <v>644</v>
      </c>
      <c r="G1231" t="s">
        <v>16</v>
      </c>
      <c r="H1231" t="s">
        <v>641</v>
      </c>
      <c r="I1231" t="s">
        <v>126</v>
      </c>
      <c r="J1231">
        <v>1</v>
      </c>
      <c r="K1231">
        <v>3220</v>
      </c>
      <c r="L1231">
        <v>9200</v>
      </c>
      <c r="M1231">
        <v>9200</v>
      </c>
      <c r="N1231" t="s">
        <v>39</v>
      </c>
    </row>
    <row r="1232" spans="1:14" x14ac:dyDescent="0.25">
      <c r="A1232" t="s">
        <v>1681</v>
      </c>
      <c r="B1232" t="s">
        <v>2068</v>
      </c>
      <c r="C1232" t="s">
        <v>643</v>
      </c>
      <c r="D1232" t="s">
        <v>220</v>
      </c>
      <c r="E1232" t="s">
        <v>221</v>
      </c>
      <c r="F1232" t="s">
        <v>644</v>
      </c>
      <c r="G1232" t="s">
        <v>16</v>
      </c>
      <c r="H1232" t="s">
        <v>641</v>
      </c>
      <c r="I1232" t="s">
        <v>26</v>
      </c>
      <c r="J1232">
        <v>1</v>
      </c>
      <c r="K1232">
        <v>500</v>
      </c>
      <c r="L1232">
        <v>500</v>
      </c>
      <c r="M1232">
        <v>500</v>
      </c>
      <c r="N1232" t="s">
        <v>39</v>
      </c>
    </row>
    <row r="1233" spans="1:14" x14ac:dyDescent="0.25">
      <c r="A1233" t="s">
        <v>1681</v>
      </c>
      <c r="B1233" t="s">
        <v>2068</v>
      </c>
      <c r="C1233" t="s">
        <v>643</v>
      </c>
      <c r="D1233" t="s">
        <v>220</v>
      </c>
      <c r="E1233" t="s">
        <v>221</v>
      </c>
      <c r="F1233" t="s">
        <v>644</v>
      </c>
      <c r="G1233" t="s">
        <v>16</v>
      </c>
      <c r="H1233" t="s">
        <v>641</v>
      </c>
      <c r="I1233" t="s">
        <v>38</v>
      </c>
      <c r="J1233">
        <v>1</v>
      </c>
      <c r="K1233">
        <v>8500</v>
      </c>
      <c r="L1233">
        <v>12500</v>
      </c>
      <c r="M1233">
        <v>12500</v>
      </c>
      <c r="N1233" t="s">
        <v>39</v>
      </c>
    </row>
    <row r="1234" spans="1:14" x14ac:dyDescent="0.25">
      <c r="A1234" t="s">
        <v>1681</v>
      </c>
      <c r="B1234" t="s">
        <v>2068</v>
      </c>
      <c r="C1234" t="s">
        <v>643</v>
      </c>
      <c r="D1234" t="s">
        <v>220</v>
      </c>
      <c r="E1234" t="s">
        <v>221</v>
      </c>
      <c r="F1234" t="s">
        <v>644</v>
      </c>
      <c r="G1234" t="s">
        <v>16</v>
      </c>
      <c r="H1234" t="s">
        <v>641</v>
      </c>
      <c r="I1234" t="s">
        <v>97</v>
      </c>
      <c r="J1234">
        <v>1</v>
      </c>
      <c r="K1234">
        <v>2200</v>
      </c>
      <c r="L1234">
        <v>3000</v>
      </c>
      <c r="M1234">
        <v>3000</v>
      </c>
      <c r="N1234" t="s">
        <v>39</v>
      </c>
    </row>
    <row r="1235" spans="1:14" x14ac:dyDescent="0.25">
      <c r="A1235" t="s">
        <v>1681</v>
      </c>
      <c r="B1235" t="s">
        <v>2068</v>
      </c>
      <c r="C1235" t="s">
        <v>643</v>
      </c>
      <c r="D1235" t="s">
        <v>220</v>
      </c>
      <c r="E1235" t="s">
        <v>221</v>
      </c>
      <c r="F1235" t="s">
        <v>644</v>
      </c>
      <c r="G1235" t="s">
        <v>16</v>
      </c>
      <c r="H1235" t="s">
        <v>641</v>
      </c>
      <c r="I1235" t="s">
        <v>93</v>
      </c>
      <c r="J1235">
        <v>1</v>
      </c>
      <c r="K1235">
        <v>11000</v>
      </c>
      <c r="L1235">
        <v>16000</v>
      </c>
      <c r="M1235">
        <v>16000</v>
      </c>
      <c r="N1235" t="s">
        <v>39</v>
      </c>
    </row>
    <row r="1236" spans="1:14" x14ac:dyDescent="0.25">
      <c r="A1236" t="s">
        <v>1681</v>
      </c>
      <c r="B1236" t="s">
        <v>2068</v>
      </c>
      <c r="C1236" t="s">
        <v>643</v>
      </c>
      <c r="D1236" t="s">
        <v>220</v>
      </c>
      <c r="E1236" t="s">
        <v>221</v>
      </c>
      <c r="F1236" t="s">
        <v>644</v>
      </c>
      <c r="G1236" t="s">
        <v>16</v>
      </c>
      <c r="H1236" t="s">
        <v>641</v>
      </c>
      <c r="I1236" t="s">
        <v>116</v>
      </c>
      <c r="J1236">
        <v>1</v>
      </c>
      <c r="K1236">
        <v>2185</v>
      </c>
      <c r="L1236">
        <v>3500</v>
      </c>
      <c r="M1236">
        <v>3500</v>
      </c>
      <c r="N1236" t="s">
        <v>39</v>
      </c>
    </row>
    <row r="1237" spans="1:14" x14ac:dyDescent="0.25">
      <c r="A1237" t="s">
        <v>1681</v>
      </c>
      <c r="B1237" t="s">
        <v>2068</v>
      </c>
      <c r="C1237" t="s">
        <v>643</v>
      </c>
      <c r="D1237" t="s">
        <v>220</v>
      </c>
      <c r="E1237" t="s">
        <v>221</v>
      </c>
      <c r="F1237" t="s">
        <v>644</v>
      </c>
      <c r="G1237" t="s">
        <v>16</v>
      </c>
      <c r="H1237" t="s">
        <v>641</v>
      </c>
      <c r="I1237" t="s">
        <v>209</v>
      </c>
      <c r="J1237">
        <v>1</v>
      </c>
      <c r="K1237">
        <v>23450</v>
      </c>
      <c r="L1237">
        <v>30300</v>
      </c>
      <c r="M1237">
        <v>30300</v>
      </c>
      <c r="N1237" t="s">
        <v>39</v>
      </c>
    </row>
    <row r="1238" spans="1:14" x14ac:dyDescent="0.25">
      <c r="A1238" t="s">
        <v>1681</v>
      </c>
      <c r="B1238" t="s">
        <v>2068</v>
      </c>
      <c r="C1238" t="s">
        <v>643</v>
      </c>
      <c r="D1238" t="s">
        <v>220</v>
      </c>
      <c r="E1238" t="s">
        <v>221</v>
      </c>
      <c r="F1238" t="s">
        <v>644</v>
      </c>
      <c r="G1238" t="s">
        <v>16</v>
      </c>
      <c r="H1238" t="s">
        <v>641</v>
      </c>
      <c r="I1238" t="s">
        <v>151</v>
      </c>
      <c r="J1238">
        <v>1</v>
      </c>
      <c r="K1238">
        <v>2800</v>
      </c>
      <c r="L1238">
        <v>4000</v>
      </c>
      <c r="M1238">
        <v>4000</v>
      </c>
      <c r="N1238" t="s">
        <v>39</v>
      </c>
    </row>
    <row r="1239" spans="1:14" x14ac:dyDescent="0.25">
      <c r="A1239" t="s">
        <v>1681</v>
      </c>
      <c r="B1239" t="s">
        <v>2068</v>
      </c>
      <c r="C1239" t="s">
        <v>643</v>
      </c>
      <c r="D1239" t="s">
        <v>220</v>
      </c>
      <c r="E1239" t="s">
        <v>221</v>
      </c>
      <c r="F1239" t="s">
        <v>644</v>
      </c>
      <c r="G1239" t="s">
        <v>16</v>
      </c>
      <c r="H1239" t="s">
        <v>641</v>
      </c>
      <c r="I1239" t="s">
        <v>210</v>
      </c>
      <c r="J1239">
        <v>1</v>
      </c>
      <c r="K1239">
        <v>530</v>
      </c>
      <c r="L1239">
        <v>700</v>
      </c>
      <c r="M1239">
        <v>700</v>
      </c>
      <c r="N1239" t="s">
        <v>39</v>
      </c>
    </row>
    <row r="1240" spans="1:14" x14ac:dyDescent="0.25">
      <c r="A1240" t="s">
        <v>1681</v>
      </c>
      <c r="B1240" t="s">
        <v>2068</v>
      </c>
      <c r="C1240" t="s">
        <v>643</v>
      </c>
      <c r="D1240" t="s">
        <v>220</v>
      </c>
      <c r="E1240" t="s">
        <v>221</v>
      </c>
      <c r="F1240" t="s">
        <v>644</v>
      </c>
      <c r="G1240" t="s">
        <v>16</v>
      </c>
      <c r="H1240" t="s">
        <v>641</v>
      </c>
      <c r="I1240" t="s">
        <v>211</v>
      </c>
      <c r="J1240">
        <v>1</v>
      </c>
      <c r="K1240">
        <v>350</v>
      </c>
      <c r="L1240">
        <v>500</v>
      </c>
      <c r="M1240">
        <v>500</v>
      </c>
      <c r="N1240" t="s">
        <v>39</v>
      </c>
    </row>
    <row r="1241" spans="1:14" x14ac:dyDescent="0.25">
      <c r="A1241" t="s">
        <v>1681</v>
      </c>
      <c r="B1241" t="s">
        <v>2068</v>
      </c>
      <c r="C1241" t="s">
        <v>643</v>
      </c>
      <c r="D1241" t="s">
        <v>220</v>
      </c>
      <c r="E1241" t="s">
        <v>221</v>
      </c>
      <c r="F1241" t="s">
        <v>644</v>
      </c>
      <c r="G1241" t="s">
        <v>16</v>
      </c>
      <c r="H1241" t="s">
        <v>641</v>
      </c>
      <c r="I1241" t="s">
        <v>98</v>
      </c>
      <c r="J1241">
        <v>1</v>
      </c>
      <c r="K1241">
        <v>970</v>
      </c>
      <c r="L1241">
        <v>1500</v>
      </c>
      <c r="M1241">
        <v>1500</v>
      </c>
      <c r="N1241" t="s">
        <v>39</v>
      </c>
    </row>
    <row r="1242" spans="1:14" x14ac:dyDescent="0.25">
      <c r="A1242" t="s">
        <v>1681</v>
      </c>
      <c r="B1242" t="s">
        <v>2068</v>
      </c>
      <c r="C1242" t="s">
        <v>643</v>
      </c>
      <c r="D1242" t="s">
        <v>220</v>
      </c>
      <c r="E1242" t="s">
        <v>221</v>
      </c>
      <c r="F1242" t="s">
        <v>644</v>
      </c>
      <c r="G1242" t="s">
        <v>16</v>
      </c>
      <c r="H1242" t="s">
        <v>641</v>
      </c>
      <c r="I1242" t="s">
        <v>63</v>
      </c>
      <c r="J1242">
        <v>1</v>
      </c>
      <c r="K1242">
        <v>600</v>
      </c>
      <c r="L1242">
        <v>600</v>
      </c>
      <c r="M1242">
        <v>600</v>
      </c>
      <c r="N1242" t="s">
        <v>39</v>
      </c>
    </row>
    <row r="1243" spans="1:14" x14ac:dyDescent="0.25">
      <c r="A1243" t="s">
        <v>1486</v>
      </c>
      <c r="B1243" t="s">
        <v>2069</v>
      </c>
      <c r="C1243" t="s">
        <v>777</v>
      </c>
      <c r="D1243" t="s">
        <v>20</v>
      </c>
      <c r="E1243" t="s">
        <v>31</v>
      </c>
      <c r="F1243" t="s">
        <v>15</v>
      </c>
      <c r="G1243" t="s">
        <v>22</v>
      </c>
      <c r="H1243" t="s">
        <v>779</v>
      </c>
      <c r="I1243" t="s">
        <v>145</v>
      </c>
      <c r="J1243">
        <v>1</v>
      </c>
      <c r="K1243">
        <v>3675</v>
      </c>
      <c r="L1243">
        <v>10500</v>
      </c>
      <c r="M1243">
        <v>10500</v>
      </c>
      <c r="N1243" t="s">
        <v>19</v>
      </c>
    </row>
    <row r="1244" spans="1:14" x14ac:dyDescent="0.25">
      <c r="A1244" t="s">
        <v>1486</v>
      </c>
      <c r="B1244" t="s">
        <v>2069</v>
      </c>
      <c r="C1244" t="s">
        <v>777</v>
      </c>
      <c r="D1244" t="s">
        <v>20</v>
      </c>
      <c r="E1244" t="s">
        <v>31</v>
      </c>
      <c r="F1244" t="s">
        <v>15</v>
      </c>
      <c r="G1244" t="s">
        <v>22</v>
      </c>
      <c r="H1244" t="s">
        <v>779</v>
      </c>
      <c r="I1244" t="s">
        <v>299</v>
      </c>
      <c r="J1244">
        <v>1</v>
      </c>
      <c r="K1244">
        <v>9500</v>
      </c>
      <c r="L1244">
        <v>9500</v>
      </c>
      <c r="M1244">
        <v>9500</v>
      </c>
      <c r="N1244" t="s">
        <v>19</v>
      </c>
    </row>
    <row r="1245" spans="1:14" x14ac:dyDescent="0.25">
      <c r="A1245" t="s">
        <v>1486</v>
      </c>
      <c r="B1245" t="s">
        <v>2069</v>
      </c>
      <c r="C1245" t="s">
        <v>777</v>
      </c>
      <c r="D1245" t="s">
        <v>20</v>
      </c>
      <c r="E1245" t="s">
        <v>31</v>
      </c>
      <c r="F1245" t="s">
        <v>15</v>
      </c>
      <c r="G1245" t="s">
        <v>22</v>
      </c>
      <c r="H1245" t="s">
        <v>779</v>
      </c>
      <c r="I1245" t="s">
        <v>25</v>
      </c>
      <c r="J1245">
        <v>1</v>
      </c>
      <c r="K1245">
        <v>9500</v>
      </c>
      <c r="L1245">
        <v>9500</v>
      </c>
      <c r="M1245">
        <v>9500</v>
      </c>
      <c r="N1245" t="s">
        <v>19</v>
      </c>
    </row>
    <row r="1246" spans="1:14" x14ac:dyDescent="0.25">
      <c r="A1246" t="s">
        <v>1486</v>
      </c>
      <c r="B1246" t="s">
        <v>2069</v>
      </c>
      <c r="C1246" t="s">
        <v>777</v>
      </c>
      <c r="D1246" t="s">
        <v>20</v>
      </c>
      <c r="E1246" t="s">
        <v>31</v>
      </c>
      <c r="F1246" t="s">
        <v>15</v>
      </c>
      <c r="G1246" t="s">
        <v>22</v>
      </c>
      <c r="H1246" t="s">
        <v>779</v>
      </c>
      <c r="I1246" t="s">
        <v>134</v>
      </c>
      <c r="J1246">
        <v>1</v>
      </c>
      <c r="K1246">
        <v>500</v>
      </c>
      <c r="L1246">
        <v>500</v>
      </c>
      <c r="M1246">
        <v>500</v>
      </c>
      <c r="N1246" t="s">
        <v>19</v>
      </c>
    </row>
    <row r="1247" spans="1:14" x14ac:dyDescent="0.25">
      <c r="A1247" t="s">
        <v>1486</v>
      </c>
      <c r="B1247" t="s">
        <v>2070</v>
      </c>
      <c r="C1247" t="s">
        <v>780</v>
      </c>
      <c r="D1247" t="s">
        <v>20</v>
      </c>
      <c r="E1247" t="s">
        <v>31</v>
      </c>
      <c r="F1247" t="s">
        <v>15</v>
      </c>
      <c r="G1247" t="s">
        <v>22</v>
      </c>
      <c r="H1247" t="s">
        <v>779</v>
      </c>
      <c r="I1247" t="s">
        <v>145</v>
      </c>
      <c r="J1247">
        <v>1</v>
      </c>
      <c r="K1247">
        <v>3675</v>
      </c>
      <c r="L1247">
        <v>10500</v>
      </c>
      <c r="M1247">
        <v>10500</v>
      </c>
      <c r="N1247" t="s">
        <v>19</v>
      </c>
    </row>
    <row r="1248" spans="1:14" x14ac:dyDescent="0.25">
      <c r="A1248" t="s">
        <v>1486</v>
      </c>
      <c r="B1248" t="s">
        <v>2070</v>
      </c>
      <c r="C1248" t="s">
        <v>780</v>
      </c>
      <c r="D1248" t="s">
        <v>20</v>
      </c>
      <c r="E1248" t="s">
        <v>31</v>
      </c>
      <c r="F1248" t="s">
        <v>15</v>
      </c>
      <c r="G1248" t="s">
        <v>22</v>
      </c>
      <c r="H1248" t="s">
        <v>779</v>
      </c>
      <c r="I1248" t="s">
        <v>299</v>
      </c>
      <c r="J1248">
        <v>1</v>
      </c>
      <c r="K1248">
        <v>9500</v>
      </c>
      <c r="L1248">
        <v>9500</v>
      </c>
      <c r="M1248">
        <v>9500</v>
      </c>
      <c r="N1248" t="s">
        <v>19</v>
      </c>
    </row>
    <row r="1249" spans="1:14" x14ac:dyDescent="0.25">
      <c r="A1249" t="s">
        <v>1486</v>
      </c>
      <c r="B1249" t="s">
        <v>2070</v>
      </c>
      <c r="C1249" t="s">
        <v>780</v>
      </c>
      <c r="D1249" t="s">
        <v>20</v>
      </c>
      <c r="E1249" t="s">
        <v>31</v>
      </c>
      <c r="F1249" t="s">
        <v>15</v>
      </c>
      <c r="G1249" t="s">
        <v>22</v>
      </c>
      <c r="H1249" t="s">
        <v>779</v>
      </c>
      <c r="I1249" t="s">
        <v>25</v>
      </c>
      <c r="J1249">
        <v>1</v>
      </c>
      <c r="K1249">
        <v>9500</v>
      </c>
      <c r="L1249">
        <v>9500</v>
      </c>
      <c r="M1249">
        <v>9500</v>
      </c>
      <c r="N1249" t="s">
        <v>19</v>
      </c>
    </row>
    <row r="1250" spans="1:14" x14ac:dyDescent="0.25">
      <c r="A1250" t="s">
        <v>1486</v>
      </c>
      <c r="B1250" t="s">
        <v>2070</v>
      </c>
      <c r="C1250" t="s">
        <v>780</v>
      </c>
      <c r="D1250" t="s">
        <v>20</v>
      </c>
      <c r="E1250" t="s">
        <v>31</v>
      </c>
      <c r="F1250" t="s">
        <v>15</v>
      </c>
      <c r="G1250" t="s">
        <v>22</v>
      </c>
      <c r="H1250" t="s">
        <v>779</v>
      </c>
      <c r="I1250" t="s">
        <v>134</v>
      </c>
      <c r="J1250">
        <v>1</v>
      </c>
      <c r="K1250">
        <v>500</v>
      </c>
      <c r="L1250">
        <v>500</v>
      </c>
      <c r="M1250">
        <v>500</v>
      </c>
      <c r="N1250" t="s">
        <v>19</v>
      </c>
    </row>
    <row r="1251" spans="1:14" x14ac:dyDescent="0.25">
      <c r="A1251" t="s">
        <v>1486</v>
      </c>
      <c r="B1251" t="s">
        <v>2070</v>
      </c>
      <c r="C1251" t="s">
        <v>780</v>
      </c>
      <c r="D1251" t="s">
        <v>20</v>
      </c>
      <c r="E1251" t="s">
        <v>31</v>
      </c>
      <c r="F1251" t="s">
        <v>15</v>
      </c>
      <c r="G1251" t="s">
        <v>22</v>
      </c>
      <c r="H1251" t="s">
        <v>779</v>
      </c>
      <c r="I1251" t="s">
        <v>145</v>
      </c>
      <c r="J1251">
        <v>1</v>
      </c>
      <c r="K1251">
        <v>3675</v>
      </c>
      <c r="L1251">
        <v>10500</v>
      </c>
      <c r="M1251">
        <v>10500</v>
      </c>
      <c r="N1251" t="s">
        <v>19</v>
      </c>
    </row>
    <row r="1252" spans="1:14" x14ac:dyDescent="0.25">
      <c r="A1252" t="s">
        <v>1486</v>
      </c>
      <c r="B1252" t="s">
        <v>2070</v>
      </c>
      <c r="C1252" t="s">
        <v>780</v>
      </c>
      <c r="D1252" t="s">
        <v>20</v>
      </c>
      <c r="E1252" t="s">
        <v>31</v>
      </c>
      <c r="F1252" t="s">
        <v>15</v>
      </c>
      <c r="G1252" t="s">
        <v>22</v>
      </c>
      <c r="H1252" t="s">
        <v>779</v>
      </c>
      <c r="I1252" t="s">
        <v>299</v>
      </c>
      <c r="J1252">
        <v>1</v>
      </c>
      <c r="K1252">
        <v>9500</v>
      </c>
      <c r="L1252">
        <v>9500</v>
      </c>
      <c r="M1252">
        <v>9500</v>
      </c>
      <c r="N1252" t="s">
        <v>19</v>
      </c>
    </row>
    <row r="1253" spans="1:14" x14ac:dyDescent="0.25">
      <c r="A1253" t="s">
        <v>1486</v>
      </c>
      <c r="B1253" t="s">
        <v>2070</v>
      </c>
      <c r="C1253" t="s">
        <v>780</v>
      </c>
      <c r="D1253" t="s">
        <v>20</v>
      </c>
      <c r="E1253" t="s">
        <v>31</v>
      </c>
      <c r="F1253" t="s">
        <v>15</v>
      </c>
      <c r="G1253" t="s">
        <v>22</v>
      </c>
      <c r="H1253" t="s">
        <v>779</v>
      </c>
      <c r="I1253" t="s">
        <v>25</v>
      </c>
      <c r="J1253">
        <v>1</v>
      </c>
      <c r="K1253">
        <v>9500</v>
      </c>
      <c r="L1253">
        <v>9500</v>
      </c>
      <c r="M1253">
        <v>9500</v>
      </c>
      <c r="N1253" t="s">
        <v>19</v>
      </c>
    </row>
    <row r="1254" spans="1:14" x14ac:dyDescent="0.25">
      <c r="A1254" t="s">
        <v>1486</v>
      </c>
      <c r="B1254" t="s">
        <v>2070</v>
      </c>
      <c r="C1254" t="s">
        <v>780</v>
      </c>
      <c r="D1254" t="s">
        <v>20</v>
      </c>
      <c r="E1254" t="s">
        <v>31</v>
      </c>
      <c r="F1254" t="s">
        <v>15</v>
      </c>
      <c r="G1254" t="s">
        <v>22</v>
      </c>
      <c r="H1254" t="s">
        <v>779</v>
      </c>
      <c r="I1254" t="s">
        <v>134</v>
      </c>
      <c r="J1254">
        <v>1</v>
      </c>
      <c r="K1254">
        <v>500</v>
      </c>
      <c r="L1254">
        <v>500</v>
      </c>
      <c r="M1254">
        <v>500</v>
      </c>
      <c r="N1254" t="s">
        <v>19</v>
      </c>
    </row>
    <row r="1255" spans="1:14" x14ac:dyDescent="0.25">
      <c r="A1255" t="s">
        <v>1447</v>
      </c>
      <c r="B1255" t="s">
        <v>2071</v>
      </c>
      <c r="C1255" t="s">
        <v>645</v>
      </c>
      <c r="D1255" t="s">
        <v>646</v>
      </c>
      <c r="E1255" t="s">
        <v>58</v>
      </c>
      <c r="F1255" t="s">
        <v>647</v>
      </c>
      <c r="G1255" t="s">
        <v>37</v>
      </c>
      <c r="H1255" t="s">
        <v>648</v>
      </c>
      <c r="I1255" t="s">
        <v>279</v>
      </c>
      <c r="J1255">
        <v>1</v>
      </c>
      <c r="K1255">
        <v>7500</v>
      </c>
      <c r="L1255">
        <v>12000</v>
      </c>
      <c r="M1255">
        <v>12000</v>
      </c>
      <c r="N1255" t="s">
        <v>39</v>
      </c>
    </row>
    <row r="1256" spans="1:14" x14ac:dyDescent="0.25">
      <c r="A1256" t="s">
        <v>1721</v>
      </c>
      <c r="B1256" t="s">
        <v>2072</v>
      </c>
      <c r="C1256" t="s">
        <v>649</v>
      </c>
      <c r="D1256" t="s">
        <v>650</v>
      </c>
      <c r="E1256" t="s">
        <v>411</v>
      </c>
      <c r="F1256" t="s">
        <v>651</v>
      </c>
      <c r="G1256" t="s">
        <v>16</v>
      </c>
      <c r="H1256" t="s">
        <v>648</v>
      </c>
      <c r="I1256" t="s">
        <v>249</v>
      </c>
      <c r="J1256">
        <v>1</v>
      </c>
      <c r="K1256">
        <v>23450</v>
      </c>
      <c r="L1256">
        <v>30600</v>
      </c>
      <c r="M1256">
        <v>30600</v>
      </c>
      <c r="N1256" t="s">
        <v>39</v>
      </c>
    </row>
    <row r="1257" spans="1:14" x14ac:dyDescent="0.25">
      <c r="A1257" t="s">
        <v>1721</v>
      </c>
      <c r="B1257" t="s">
        <v>2072</v>
      </c>
      <c r="C1257" t="s">
        <v>649</v>
      </c>
      <c r="D1257" t="s">
        <v>650</v>
      </c>
      <c r="E1257" t="s">
        <v>411</v>
      </c>
      <c r="F1257" t="s">
        <v>651</v>
      </c>
      <c r="G1257" t="s">
        <v>16</v>
      </c>
      <c r="H1257" t="s">
        <v>648</v>
      </c>
      <c r="I1257" t="s">
        <v>210</v>
      </c>
      <c r="J1257">
        <v>1</v>
      </c>
      <c r="K1257">
        <v>0</v>
      </c>
      <c r="L1257">
        <v>0</v>
      </c>
      <c r="M1257">
        <v>0</v>
      </c>
      <c r="N1257" t="s">
        <v>39</v>
      </c>
    </row>
    <row r="1258" spans="1:14" x14ac:dyDescent="0.25">
      <c r="A1258" t="s">
        <v>1721</v>
      </c>
      <c r="B1258" t="s">
        <v>2072</v>
      </c>
      <c r="C1258" t="s">
        <v>649</v>
      </c>
      <c r="D1258" t="s">
        <v>650</v>
      </c>
      <c r="E1258" t="s">
        <v>411</v>
      </c>
      <c r="F1258" t="s">
        <v>651</v>
      </c>
      <c r="G1258" t="s">
        <v>16</v>
      </c>
      <c r="H1258" t="s">
        <v>648</v>
      </c>
      <c r="I1258" t="s">
        <v>151</v>
      </c>
      <c r="J1258">
        <v>1</v>
      </c>
      <c r="K1258">
        <v>2800</v>
      </c>
      <c r="L1258">
        <v>4000</v>
      </c>
      <c r="M1258">
        <v>4000</v>
      </c>
      <c r="N1258" t="s">
        <v>39</v>
      </c>
    </row>
    <row r="1259" spans="1:14" x14ac:dyDescent="0.25">
      <c r="A1259" t="s">
        <v>1721</v>
      </c>
      <c r="B1259" t="s">
        <v>2072</v>
      </c>
      <c r="C1259" t="s">
        <v>649</v>
      </c>
      <c r="D1259" t="s">
        <v>650</v>
      </c>
      <c r="E1259" t="s">
        <v>411</v>
      </c>
      <c r="F1259" t="s">
        <v>651</v>
      </c>
      <c r="G1259" t="s">
        <v>16</v>
      </c>
      <c r="H1259" t="s">
        <v>648</v>
      </c>
      <c r="I1259" t="s">
        <v>63</v>
      </c>
      <c r="J1259">
        <v>1</v>
      </c>
      <c r="K1259">
        <v>400</v>
      </c>
      <c r="L1259">
        <v>400</v>
      </c>
      <c r="M1259">
        <v>400</v>
      </c>
      <c r="N1259" t="s">
        <v>39</v>
      </c>
    </row>
    <row r="1260" spans="1:14" x14ac:dyDescent="0.25">
      <c r="A1260" t="s">
        <v>1721</v>
      </c>
      <c r="B1260" t="s">
        <v>2073</v>
      </c>
      <c r="C1260" t="s">
        <v>652</v>
      </c>
      <c r="D1260" t="s">
        <v>650</v>
      </c>
      <c r="E1260" t="s">
        <v>411</v>
      </c>
      <c r="F1260" t="s">
        <v>651</v>
      </c>
      <c r="G1260" t="s">
        <v>16</v>
      </c>
      <c r="H1260" t="s">
        <v>648</v>
      </c>
      <c r="I1260" t="s">
        <v>653</v>
      </c>
      <c r="J1260">
        <v>1</v>
      </c>
      <c r="K1260">
        <v>15000</v>
      </c>
      <c r="L1260">
        <v>15000</v>
      </c>
      <c r="M1260">
        <v>15000</v>
      </c>
      <c r="N1260" t="s">
        <v>39</v>
      </c>
    </row>
    <row r="1261" spans="1:14" x14ac:dyDescent="0.25">
      <c r="A1261" t="s">
        <v>1581</v>
      </c>
      <c r="B1261" t="s">
        <v>2074</v>
      </c>
      <c r="C1261" t="s">
        <v>654</v>
      </c>
      <c r="D1261" t="s">
        <v>87</v>
      </c>
      <c r="E1261" t="s">
        <v>87</v>
      </c>
      <c r="F1261" t="s">
        <v>15</v>
      </c>
      <c r="G1261" t="s">
        <v>37</v>
      </c>
      <c r="H1261" t="s">
        <v>648</v>
      </c>
      <c r="I1261" t="s">
        <v>89</v>
      </c>
      <c r="J1261">
        <v>50</v>
      </c>
      <c r="K1261">
        <v>32</v>
      </c>
      <c r="L1261">
        <v>50</v>
      </c>
      <c r="M1261">
        <v>2500</v>
      </c>
      <c r="N1261" t="s">
        <v>39</v>
      </c>
    </row>
    <row r="1262" spans="1:14" x14ac:dyDescent="0.25">
      <c r="A1262" t="s">
        <v>1677</v>
      </c>
      <c r="B1262" t="s">
        <v>2075</v>
      </c>
      <c r="C1262" t="s">
        <v>656</v>
      </c>
      <c r="D1262" t="s">
        <v>658</v>
      </c>
      <c r="E1262" t="s">
        <v>659</v>
      </c>
      <c r="F1262" t="s">
        <v>15</v>
      </c>
      <c r="G1262" t="s">
        <v>22</v>
      </c>
      <c r="H1262" t="s">
        <v>660</v>
      </c>
      <c r="I1262" t="s">
        <v>422</v>
      </c>
      <c r="J1262">
        <v>1</v>
      </c>
      <c r="K1262">
        <v>3675</v>
      </c>
      <c r="L1262">
        <v>10500</v>
      </c>
      <c r="M1262">
        <v>10500</v>
      </c>
      <c r="N1262" t="s">
        <v>19</v>
      </c>
    </row>
    <row r="1263" spans="1:14" x14ac:dyDescent="0.25">
      <c r="A1263" t="s">
        <v>1677</v>
      </c>
      <c r="B1263" t="s">
        <v>2075</v>
      </c>
      <c r="C1263" t="s">
        <v>656</v>
      </c>
      <c r="D1263" t="s">
        <v>658</v>
      </c>
      <c r="E1263" t="s">
        <v>659</v>
      </c>
      <c r="F1263" t="s">
        <v>15</v>
      </c>
      <c r="G1263" t="s">
        <v>22</v>
      </c>
      <c r="H1263" t="s">
        <v>660</v>
      </c>
      <c r="I1263" t="s">
        <v>48</v>
      </c>
      <c r="J1263">
        <v>1</v>
      </c>
      <c r="K1263">
        <v>3255</v>
      </c>
      <c r="L1263">
        <v>9300</v>
      </c>
      <c r="M1263">
        <v>9300</v>
      </c>
      <c r="N1263" t="s">
        <v>19</v>
      </c>
    </row>
    <row r="1264" spans="1:14" x14ac:dyDescent="0.25">
      <c r="A1264" t="s">
        <v>1677</v>
      </c>
      <c r="B1264" t="s">
        <v>2075</v>
      </c>
      <c r="C1264" t="s">
        <v>656</v>
      </c>
      <c r="D1264" t="s">
        <v>658</v>
      </c>
      <c r="E1264" t="s">
        <v>659</v>
      </c>
      <c r="F1264" t="s">
        <v>15</v>
      </c>
      <c r="G1264" t="s">
        <v>22</v>
      </c>
      <c r="H1264" t="s">
        <v>660</v>
      </c>
      <c r="I1264" t="s">
        <v>24</v>
      </c>
      <c r="J1264">
        <v>1</v>
      </c>
      <c r="K1264">
        <v>3255</v>
      </c>
      <c r="L1264">
        <v>9300</v>
      </c>
      <c r="M1264">
        <v>9300</v>
      </c>
      <c r="N1264" t="s">
        <v>19</v>
      </c>
    </row>
    <row r="1265" spans="1:14" x14ac:dyDescent="0.25">
      <c r="A1265" t="s">
        <v>1677</v>
      </c>
      <c r="B1265" t="s">
        <v>2075</v>
      </c>
      <c r="C1265" t="s">
        <v>656</v>
      </c>
      <c r="D1265" t="s">
        <v>658</v>
      </c>
      <c r="E1265" t="s">
        <v>659</v>
      </c>
      <c r="F1265" t="s">
        <v>15</v>
      </c>
      <c r="G1265" t="s">
        <v>22</v>
      </c>
      <c r="H1265" t="s">
        <v>660</v>
      </c>
      <c r="I1265" t="s">
        <v>26</v>
      </c>
      <c r="J1265">
        <v>1</v>
      </c>
      <c r="K1265">
        <v>500</v>
      </c>
      <c r="L1265">
        <v>500</v>
      </c>
      <c r="M1265">
        <v>500</v>
      </c>
      <c r="N1265" t="s">
        <v>19</v>
      </c>
    </row>
    <row r="1266" spans="1:14" x14ac:dyDescent="0.25">
      <c r="A1266" t="s">
        <v>1677</v>
      </c>
      <c r="B1266" t="s">
        <v>2075</v>
      </c>
      <c r="C1266" t="s">
        <v>656</v>
      </c>
      <c r="D1266" t="s">
        <v>658</v>
      </c>
      <c r="E1266" t="s">
        <v>659</v>
      </c>
      <c r="F1266" t="s">
        <v>15</v>
      </c>
      <c r="G1266" t="s">
        <v>22</v>
      </c>
      <c r="H1266" t="s">
        <v>660</v>
      </c>
      <c r="I1266" t="s">
        <v>97</v>
      </c>
      <c r="J1266">
        <v>1</v>
      </c>
      <c r="K1266">
        <v>2200</v>
      </c>
      <c r="L1266">
        <v>3500</v>
      </c>
      <c r="M1266">
        <v>3500</v>
      </c>
      <c r="N1266" t="s">
        <v>19</v>
      </c>
    </row>
    <row r="1267" spans="1:14" x14ac:dyDescent="0.25">
      <c r="A1267" t="s">
        <v>1677</v>
      </c>
      <c r="B1267" t="s">
        <v>2075</v>
      </c>
      <c r="C1267" t="s">
        <v>656</v>
      </c>
      <c r="D1267" t="s">
        <v>658</v>
      </c>
      <c r="E1267" t="s">
        <v>659</v>
      </c>
      <c r="F1267" t="s">
        <v>15</v>
      </c>
      <c r="G1267" t="s">
        <v>22</v>
      </c>
      <c r="H1267" t="s">
        <v>660</v>
      </c>
      <c r="I1267" t="s">
        <v>383</v>
      </c>
      <c r="J1267">
        <v>1</v>
      </c>
      <c r="K1267">
        <v>4250</v>
      </c>
      <c r="L1267">
        <v>6000</v>
      </c>
      <c r="M1267">
        <v>6000</v>
      </c>
      <c r="N1267" t="s">
        <v>19</v>
      </c>
    </row>
    <row r="1268" spans="1:14" x14ac:dyDescent="0.25">
      <c r="A1268" t="s">
        <v>1677</v>
      </c>
      <c r="B1268" t="s">
        <v>2075</v>
      </c>
      <c r="C1268" t="s">
        <v>656</v>
      </c>
      <c r="D1268" t="s">
        <v>658</v>
      </c>
      <c r="E1268" t="s">
        <v>659</v>
      </c>
      <c r="F1268" t="s">
        <v>15</v>
      </c>
      <c r="G1268" t="s">
        <v>22</v>
      </c>
      <c r="H1268" t="s">
        <v>660</v>
      </c>
      <c r="I1268" t="s">
        <v>338</v>
      </c>
      <c r="J1268">
        <v>1</v>
      </c>
      <c r="K1268">
        <v>8500</v>
      </c>
      <c r="L1268">
        <v>12500</v>
      </c>
      <c r="M1268">
        <v>12500</v>
      </c>
      <c r="N1268" t="s">
        <v>19</v>
      </c>
    </row>
    <row r="1269" spans="1:14" x14ac:dyDescent="0.25">
      <c r="A1269" t="s">
        <v>1677</v>
      </c>
      <c r="B1269" t="s">
        <v>2075</v>
      </c>
      <c r="C1269" t="s">
        <v>656</v>
      </c>
      <c r="D1269" t="s">
        <v>658</v>
      </c>
      <c r="E1269" t="s">
        <v>659</v>
      </c>
      <c r="F1269" t="s">
        <v>15</v>
      </c>
      <c r="G1269" t="s">
        <v>22</v>
      </c>
      <c r="H1269" t="s">
        <v>660</v>
      </c>
      <c r="I1269" t="s">
        <v>116</v>
      </c>
      <c r="J1269">
        <v>1</v>
      </c>
      <c r="K1269">
        <v>2185</v>
      </c>
      <c r="L1269">
        <v>3500</v>
      </c>
      <c r="M1269">
        <v>3500</v>
      </c>
      <c r="N1269" t="s">
        <v>19</v>
      </c>
    </row>
    <row r="1270" spans="1:14" x14ac:dyDescent="0.25">
      <c r="A1270" t="s">
        <v>1677</v>
      </c>
      <c r="B1270" t="s">
        <v>2075</v>
      </c>
      <c r="C1270" t="s">
        <v>656</v>
      </c>
      <c r="D1270" t="s">
        <v>658</v>
      </c>
      <c r="E1270" t="s">
        <v>659</v>
      </c>
      <c r="F1270" t="s">
        <v>15</v>
      </c>
      <c r="G1270" t="s">
        <v>22</v>
      </c>
      <c r="H1270" t="s">
        <v>660</v>
      </c>
      <c r="I1270" t="s">
        <v>661</v>
      </c>
      <c r="J1270">
        <v>1</v>
      </c>
      <c r="K1270">
        <v>4800</v>
      </c>
      <c r="L1270">
        <v>7000</v>
      </c>
      <c r="M1270">
        <v>7000</v>
      </c>
      <c r="N1270" t="s">
        <v>19</v>
      </c>
    </row>
    <row r="1271" spans="1:14" x14ac:dyDescent="0.25">
      <c r="A1271" t="s">
        <v>1677</v>
      </c>
      <c r="B1271" t="s">
        <v>2075</v>
      </c>
      <c r="C1271" t="s">
        <v>656</v>
      </c>
      <c r="D1271" t="s">
        <v>658</v>
      </c>
      <c r="E1271" t="s">
        <v>659</v>
      </c>
      <c r="F1271" t="s">
        <v>15</v>
      </c>
      <c r="G1271" t="s">
        <v>22</v>
      </c>
      <c r="H1271" t="s">
        <v>660</v>
      </c>
      <c r="I1271" t="s">
        <v>662</v>
      </c>
      <c r="J1271">
        <v>1</v>
      </c>
      <c r="K1271">
        <v>23450</v>
      </c>
      <c r="L1271">
        <v>35500</v>
      </c>
      <c r="M1271">
        <v>35500</v>
      </c>
      <c r="N1271" t="s">
        <v>19</v>
      </c>
    </row>
    <row r="1272" spans="1:14" x14ac:dyDescent="0.25">
      <c r="A1272" t="s">
        <v>1479</v>
      </c>
      <c r="B1272" t="s">
        <v>2076</v>
      </c>
      <c r="C1272" t="s">
        <v>785</v>
      </c>
      <c r="D1272" t="s">
        <v>20</v>
      </c>
      <c r="E1272" t="s">
        <v>81</v>
      </c>
      <c r="F1272" t="s">
        <v>15</v>
      </c>
      <c r="G1272" t="s">
        <v>22</v>
      </c>
      <c r="H1272" t="s">
        <v>660</v>
      </c>
      <c r="I1272" t="s">
        <v>33</v>
      </c>
      <c r="J1272">
        <v>1</v>
      </c>
      <c r="K1272">
        <v>18000</v>
      </c>
      <c r="L1272">
        <v>18000</v>
      </c>
      <c r="M1272">
        <v>18000</v>
      </c>
      <c r="N1272" t="s">
        <v>19</v>
      </c>
    </row>
    <row r="1273" spans="1:14" x14ac:dyDescent="0.25">
      <c r="A1273" t="s">
        <v>1479</v>
      </c>
      <c r="B1273" t="s">
        <v>2077</v>
      </c>
      <c r="C1273" t="s">
        <v>788</v>
      </c>
      <c r="D1273" t="s">
        <v>20</v>
      </c>
      <c r="E1273" t="s">
        <v>81</v>
      </c>
      <c r="F1273" t="s">
        <v>15</v>
      </c>
      <c r="G1273" t="s">
        <v>22</v>
      </c>
      <c r="H1273" t="s">
        <v>660</v>
      </c>
      <c r="I1273" t="s">
        <v>33</v>
      </c>
      <c r="J1273">
        <v>1</v>
      </c>
      <c r="K1273">
        <v>18000</v>
      </c>
      <c r="L1273">
        <v>18000</v>
      </c>
      <c r="M1273">
        <v>18000</v>
      </c>
      <c r="N1273" t="s">
        <v>19</v>
      </c>
    </row>
    <row r="1274" spans="1:14" x14ac:dyDescent="0.25">
      <c r="A1274" t="s">
        <v>1443</v>
      </c>
      <c r="B1274" t="s">
        <v>2078</v>
      </c>
      <c r="C1274" t="s">
        <v>663</v>
      </c>
      <c r="D1274" t="s">
        <v>256</v>
      </c>
      <c r="E1274" t="s">
        <v>664</v>
      </c>
      <c r="F1274" t="s">
        <v>15</v>
      </c>
      <c r="G1274" t="s">
        <v>37</v>
      </c>
      <c r="H1274" t="s">
        <v>665</v>
      </c>
      <c r="I1274" t="s">
        <v>33</v>
      </c>
      <c r="J1274">
        <v>1</v>
      </c>
      <c r="K1274">
        <v>4375</v>
      </c>
      <c r="L1274">
        <v>12500</v>
      </c>
      <c r="M1274">
        <v>12500</v>
      </c>
      <c r="N1274" t="s">
        <v>19</v>
      </c>
    </row>
    <row r="1275" spans="1:14" x14ac:dyDescent="0.25">
      <c r="A1275" t="s">
        <v>1443</v>
      </c>
      <c r="B1275" t="s">
        <v>2078</v>
      </c>
      <c r="C1275" t="s">
        <v>663</v>
      </c>
      <c r="D1275" t="s">
        <v>256</v>
      </c>
      <c r="E1275" t="s">
        <v>664</v>
      </c>
      <c r="F1275" t="s">
        <v>15</v>
      </c>
      <c r="G1275" t="s">
        <v>37</v>
      </c>
      <c r="H1275" t="s">
        <v>665</v>
      </c>
      <c r="I1275" t="s">
        <v>26</v>
      </c>
      <c r="J1275">
        <v>1</v>
      </c>
      <c r="K1275">
        <v>500</v>
      </c>
      <c r="L1275">
        <v>500</v>
      </c>
      <c r="M1275">
        <v>500</v>
      </c>
      <c r="N1275" t="s">
        <v>19</v>
      </c>
    </row>
    <row r="1276" spans="1:14" x14ac:dyDescent="0.25">
      <c r="A1276" t="s">
        <v>1443</v>
      </c>
      <c r="B1276" t="s">
        <v>2079</v>
      </c>
      <c r="C1276" t="s">
        <v>667</v>
      </c>
      <c r="D1276" t="s">
        <v>256</v>
      </c>
      <c r="E1276" t="s">
        <v>664</v>
      </c>
      <c r="F1276" t="s">
        <v>15</v>
      </c>
      <c r="G1276" t="s">
        <v>37</v>
      </c>
      <c r="H1276" t="s">
        <v>665</v>
      </c>
      <c r="I1276" t="s">
        <v>33</v>
      </c>
      <c r="J1276">
        <v>1</v>
      </c>
      <c r="K1276">
        <v>4375</v>
      </c>
      <c r="L1276">
        <v>12500</v>
      </c>
      <c r="M1276">
        <v>12500</v>
      </c>
      <c r="N1276" t="s">
        <v>19</v>
      </c>
    </row>
    <row r="1277" spans="1:14" x14ac:dyDescent="0.25">
      <c r="A1277" t="s">
        <v>1443</v>
      </c>
      <c r="B1277" t="s">
        <v>2079</v>
      </c>
      <c r="C1277" t="s">
        <v>667</v>
      </c>
      <c r="D1277" t="s">
        <v>256</v>
      </c>
      <c r="E1277" t="s">
        <v>664</v>
      </c>
      <c r="F1277" t="s">
        <v>15</v>
      </c>
      <c r="G1277" t="s">
        <v>37</v>
      </c>
      <c r="H1277" t="s">
        <v>665</v>
      </c>
      <c r="I1277" t="s">
        <v>26</v>
      </c>
      <c r="J1277">
        <v>1</v>
      </c>
      <c r="K1277">
        <v>500</v>
      </c>
      <c r="L1277">
        <v>500</v>
      </c>
      <c r="M1277">
        <v>500</v>
      </c>
      <c r="N1277" t="s">
        <v>19</v>
      </c>
    </row>
    <row r="1278" spans="1:14" x14ac:dyDescent="0.25">
      <c r="A1278" t="s">
        <v>1517</v>
      </c>
      <c r="B1278" t="s">
        <v>2080</v>
      </c>
      <c r="C1278" t="s">
        <v>789</v>
      </c>
      <c r="D1278" t="s">
        <v>20</v>
      </c>
      <c r="E1278" t="s">
        <v>379</v>
      </c>
      <c r="F1278" t="s">
        <v>15</v>
      </c>
      <c r="G1278" t="s">
        <v>22</v>
      </c>
      <c r="H1278" t="s">
        <v>665</v>
      </c>
      <c r="I1278" t="s">
        <v>501</v>
      </c>
      <c r="J1278">
        <v>10</v>
      </c>
      <c r="K1278">
        <v>70</v>
      </c>
      <c r="L1278">
        <v>250</v>
      </c>
      <c r="M1278">
        <v>2500</v>
      </c>
      <c r="N1278" t="s">
        <v>19</v>
      </c>
    </row>
    <row r="1279" spans="1:14" x14ac:dyDescent="0.25">
      <c r="A1279" t="s">
        <v>1715</v>
      </c>
      <c r="B1279" t="s">
        <v>2081</v>
      </c>
      <c r="C1279" t="s">
        <v>670</v>
      </c>
      <c r="D1279" t="s">
        <v>497</v>
      </c>
      <c r="E1279" t="s">
        <v>498</v>
      </c>
      <c r="F1279" t="s">
        <v>671</v>
      </c>
      <c r="G1279" t="s">
        <v>16</v>
      </c>
      <c r="H1279" t="s">
        <v>672</v>
      </c>
      <c r="I1279" t="s">
        <v>642</v>
      </c>
      <c r="J1279">
        <v>1</v>
      </c>
      <c r="K1279">
        <v>3675</v>
      </c>
      <c r="L1279">
        <v>10500</v>
      </c>
      <c r="M1279">
        <v>10500</v>
      </c>
      <c r="N1279" t="s">
        <v>39</v>
      </c>
    </row>
    <row r="1280" spans="1:14" x14ac:dyDescent="0.25">
      <c r="A1280" t="s">
        <v>1715</v>
      </c>
      <c r="B1280" t="s">
        <v>2081</v>
      </c>
      <c r="C1280" t="s">
        <v>670</v>
      </c>
      <c r="D1280" t="s">
        <v>497</v>
      </c>
      <c r="E1280" t="s">
        <v>498</v>
      </c>
      <c r="F1280" t="s">
        <v>671</v>
      </c>
      <c r="G1280" t="s">
        <v>16</v>
      </c>
      <c r="H1280" t="s">
        <v>672</v>
      </c>
      <c r="I1280" t="s">
        <v>48</v>
      </c>
      <c r="J1280">
        <v>1</v>
      </c>
      <c r="K1280">
        <v>3255</v>
      </c>
      <c r="L1280">
        <v>9300</v>
      </c>
      <c r="M1280">
        <v>9300</v>
      </c>
      <c r="N1280" t="s">
        <v>39</v>
      </c>
    </row>
    <row r="1281" spans="1:14" x14ac:dyDescent="0.25">
      <c r="A1281" t="s">
        <v>1715</v>
      </c>
      <c r="B1281" t="s">
        <v>2081</v>
      </c>
      <c r="C1281" t="s">
        <v>670</v>
      </c>
      <c r="D1281" t="s">
        <v>497</v>
      </c>
      <c r="E1281" t="s">
        <v>498</v>
      </c>
      <c r="F1281" t="s">
        <v>671</v>
      </c>
      <c r="G1281" t="s">
        <v>16</v>
      </c>
      <c r="H1281" t="s">
        <v>672</v>
      </c>
      <c r="I1281" t="s">
        <v>126</v>
      </c>
      <c r="J1281">
        <v>1</v>
      </c>
      <c r="K1281">
        <v>3220</v>
      </c>
      <c r="L1281">
        <v>9200</v>
      </c>
      <c r="M1281">
        <v>9200</v>
      </c>
      <c r="N1281" t="s">
        <v>39</v>
      </c>
    </row>
    <row r="1282" spans="1:14" x14ac:dyDescent="0.25">
      <c r="A1282" t="s">
        <v>1715</v>
      </c>
      <c r="B1282" t="s">
        <v>2081</v>
      </c>
      <c r="C1282" t="s">
        <v>670</v>
      </c>
      <c r="D1282" t="s">
        <v>497</v>
      </c>
      <c r="E1282" t="s">
        <v>498</v>
      </c>
      <c r="F1282" t="s">
        <v>671</v>
      </c>
      <c r="G1282" t="s">
        <v>16</v>
      </c>
      <c r="H1282" t="s">
        <v>672</v>
      </c>
      <c r="I1282" t="s">
        <v>38</v>
      </c>
      <c r="J1282">
        <v>1</v>
      </c>
      <c r="K1282">
        <v>8500</v>
      </c>
      <c r="L1282">
        <v>12000</v>
      </c>
      <c r="M1282">
        <v>12000</v>
      </c>
      <c r="N1282" t="s">
        <v>39</v>
      </c>
    </row>
    <row r="1283" spans="1:14" x14ac:dyDescent="0.25">
      <c r="A1283" t="s">
        <v>1715</v>
      </c>
      <c r="B1283" t="s">
        <v>2081</v>
      </c>
      <c r="C1283" t="s">
        <v>670</v>
      </c>
      <c r="D1283" t="s">
        <v>497</v>
      </c>
      <c r="E1283" t="s">
        <v>498</v>
      </c>
      <c r="F1283" t="s">
        <v>671</v>
      </c>
      <c r="G1283" t="s">
        <v>16</v>
      </c>
      <c r="H1283" t="s">
        <v>672</v>
      </c>
      <c r="I1283" t="s">
        <v>97</v>
      </c>
      <c r="J1283">
        <v>1</v>
      </c>
      <c r="K1283">
        <v>2200</v>
      </c>
      <c r="L1283">
        <v>3000</v>
      </c>
      <c r="M1283">
        <v>3000</v>
      </c>
      <c r="N1283" t="s">
        <v>39</v>
      </c>
    </row>
    <row r="1284" spans="1:14" x14ac:dyDescent="0.25">
      <c r="A1284" t="s">
        <v>1715</v>
      </c>
      <c r="B1284" t="s">
        <v>2081</v>
      </c>
      <c r="C1284" t="s">
        <v>670</v>
      </c>
      <c r="D1284" t="s">
        <v>497</v>
      </c>
      <c r="E1284" t="s">
        <v>498</v>
      </c>
      <c r="F1284" t="s">
        <v>671</v>
      </c>
      <c r="G1284" t="s">
        <v>16</v>
      </c>
      <c r="H1284" t="s">
        <v>672</v>
      </c>
      <c r="I1284" t="s">
        <v>284</v>
      </c>
      <c r="J1284">
        <v>1</v>
      </c>
      <c r="K1284">
        <v>10750</v>
      </c>
      <c r="L1284">
        <v>15000</v>
      </c>
      <c r="M1284">
        <v>15000</v>
      </c>
      <c r="N1284" t="s">
        <v>39</v>
      </c>
    </row>
    <row r="1285" spans="1:14" x14ac:dyDescent="0.25">
      <c r="A1285" t="s">
        <v>1715</v>
      </c>
      <c r="B1285" t="s">
        <v>2081</v>
      </c>
      <c r="C1285" t="s">
        <v>670</v>
      </c>
      <c r="D1285" t="s">
        <v>497</v>
      </c>
      <c r="E1285" t="s">
        <v>498</v>
      </c>
      <c r="F1285" t="s">
        <v>671</v>
      </c>
      <c r="G1285" t="s">
        <v>16</v>
      </c>
      <c r="H1285" t="s">
        <v>672</v>
      </c>
      <c r="I1285" t="s">
        <v>85</v>
      </c>
      <c r="J1285">
        <v>1</v>
      </c>
      <c r="K1285">
        <v>1350</v>
      </c>
      <c r="L1285">
        <v>2500</v>
      </c>
      <c r="M1285">
        <v>2500</v>
      </c>
      <c r="N1285" t="s">
        <v>39</v>
      </c>
    </row>
    <row r="1286" spans="1:14" x14ac:dyDescent="0.25">
      <c r="A1286" t="s">
        <v>1715</v>
      </c>
      <c r="B1286" t="s">
        <v>2081</v>
      </c>
      <c r="C1286" t="s">
        <v>670</v>
      </c>
      <c r="D1286" t="s">
        <v>497</v>
      </c>
      <c r="E1286" t="s">
        <v>498</v>
      </c>
      <c r="F1286" t="s">
        <v>671</v>
      </c>
      <c r="G1286" t="s">
        <v>16</v>
      </c>
      <c r="H1286" t="s">
        <v>672</v>
      </c>
      <c r="I1286" t="s">
        <v>209</v>
      </c>
      <c r="J1286">
        <v>1</v>
      </c>
      <c r="K1286">
        <v>23450</v>
      </c>
      <c r="L1286">
        <v>32300</v>
      </c>
      <c r="M1286">
        <v>32300</v>
      </c>
      <c r="N1286" t="s">
        <v>39</v>
      </c>
    </row>
    <row r="1287" spans="1:14" x14ac:dyDescent="0.25">
      <c r="A1287" t="s">
        <v>1715</v>
      </c>
      <c r="B1287" t="s">
        <v>2081</v>
      </c>
      <c r="C1287" t="s">
        <v>670</v>
      </c>
      <c r="D1287" t="s">
        <v>497</v>
      </c>
      <c r="E1287" t="s">
        <v>498</v>
      </c>
      <c r="F1287" t="s">
        <v>671</v>
      </c>
      <c r="G1287" t="s">
        <v>16</v>
      </c>
      <c r="H1287" t="s">
        <v>672</v>
      </c>
      <c r="I1287" t="s">
        <v>151</v>
      </c>
      <c r="J1287">
        <v>1</v>
      </c>
      <c r="K1287">
        <v>2800</v>
      </c>
      <c r="L1287">
        <v>4000</v>
      </c>
      <c r="M1287">
        <v>4000</v>
      </c>
      <c r="N1287" t="s">
        <v>39</v>
      </c>
    </row>
    <row r="1288" spans="1:14" x14ac:dyDescent="0.25">
      <c r="A1288" t="s">
        <v>1715</v>
      </c>
      <c r="B1288" t="s">
        <v>2081</v>
      </c>
      <c r="C1288" t="s">
        <v>670</v>
      </c>
      <c r="D1288" t="s">
        <v>497</v>
      </c>
      <c r="E1288" t="s">
        <v>498</v>
      </c>
      <c r="F1288" t="s">
        <v>671</v>
      </c>
      <c r="G1288" t="s">
        <v>16</v>
      </c>
      <c r="H1288" t="s">
        <v>672</v>
      </c>
      <c r="I1288" t="s">
        <v>210</v>
      </c>
      <c r="J1288">
        <v>1</v>
      </c>
      <c r="K1288">
        <v>500</v>
      </c>
      <c r="L1288">
        <v>700</v>
      </c>
      <c r="M1288">
        <v>700</v>
      </c>
      <c r="N1288" t="s">
        <v>39</v>
      </c>
    </row>
    <row r="1289" spans="1:14" x14ac:dyDescent="0.25">
      <c r="A1289" t="s">
        <v>1715</v>
      </c>
      <c r="B1289" t="s">
        <v>2081</v>
      </c>
      <c r="C1289" t="s">
        <v>670</v>
      </c>
      <c r="D1289" t="s">
        <v>497</v>
      </c>
      <c r="E1289" t="s">
        <v>498</v>
      </c>
      <c r="F1289" t="s">
        <v>671</v>
      </c>
      <c r="G1289" t="s">
        <v>16</v>
      </c>
      <c r="H1289" t="s">
        <v>672</v>
      </c>
      <c r="I1289" t="s">
        <v>211</v>
      </c>
      <c r="J1289">
        <v>1</v>
      </c>
      <c r="K1289">
        <v>350</v>
      </c>
      <c r="L1289">
        <v>500</v>
      </c>
      <c r="M1289">
        <v>500</v>
      </c>
      <c r="N1289" t="s">
        <v>39</v>
      </c>
    </row>
    <row r="1290" spans="1:14" x14ac:dyDescent="0.25">
      <c r="A1290" t="s">
        <v>1715</v>
      </c>
      <c r="B1290" t="s">
        <v>2081</v>
      </c>
      <c r="C1290" t="s">
        <v>670</v>
      </c>
      <c r="D1290" t="s">
        <v>497</v>
      </c>
      <c r="E1290" t="s">
        <v>498</v>
      </c>
      <c r="F1290" t="s">
        <v>671</v>
      </c>
      <c r="G1290" t="s">
        <v>16</v>
      </c>
      <c r="H1290" t="s">
        <v>672</v>
      </c>
      <c r="I1290" t="s">
        <v>26</v>
      </c>
      <c r="J1290">
        <v>1</v>
      </c>
      <c r="K1290">
        <v>500</v>
      </c>
      <c r="L1290">
        <v>500</v>
      </c>
      <c r="M1290">
        <v>500</v>
      </c>
      <c r="N1290" t="s">
        <v>39</v>
      </c>
    </row>
    <row r="1291" spans="1:14" x14ac:dyDescent="0.25">
      <c r="A1291" t="s">
        <v>1715</v>
      </c>
      <c r="B1291" t="s">
        <v>2081</v>
      </c>
      <c r="C1291" t="s">
        <v>670</v>
      </c>
      <c r="D1291" t="s">
        <v>497</v>
      </c>
      <c r="E1291" t="s">
        <v>498</v>
      </c>
      <c r="F1291" t="s">
        <v>671</v>
      </c>
      <c r="G1291" t="s">
        <v>16</v>
      </c>
      <c r="H1291" t="s">
        <v>672</v>
      </c>
      <c r="I1291" t="s">
        <v>63</v>
      </c>
      <c r="J1291">
        <v>1</v>
      </c>
      <c r="K1291">
        <v>500</v>
      </c>
      <c r="L1291">
        <v>500</v>
      </c>
      <c r="M1291">
        <v>500</v>
      </c>
      <c r="N1291" t="s">
        <v>39</v>
      </c>
    </row>
    <row r="1292" spans="1:14" x14ac:dyDescent="0.25">
      <c r="A1292" t="s">
        <v>1509</v>
      </c>
      <c r="B1292" t="s">
        <v>2082</v>
      </c>
      <c r="C1292" t="s">
        <v>791</v>
      </c>
      <c r="D1292" t="s">
        <v>20</v>
      </c>
      <c r="E1292" t="s">
        <v>70</v>
      </c>
      <c r="F1292" t="s">
        <v>15</v>
      </c>
      <c r="G1292" t="s">
        <v>22</v>
      </c>
      <c r="H1292" t="s">
        <v>672</v>
      </c>
      <c r="I1292" t="s">
        <v>400</v>
      </c>
      <c r="J1292">
        <v>100</v>
      </c>
      <c r="K1292">
        <v>17</v>
      </c>
      <c r="L1292">
        <v>25</v>
      </c>
      <c r="M1292">
        <v>2500</v>
      </c>
      <c r="N1292" t="s">
        <v>19</v>
      </c>
    </row>
    <row r="1293" spans="1:14" x14ac:dyDescent="0.25">
      <c r="A1293" t="s">
        <v>1509</v>
      </c>
      <c r="B1293" t="s">
        <v>2082</v>
      </c>
      <c r="C1293" t="s">
        <v>791</v>
      </c>
      <c r="D1293" t="s">
        <v>20</v>
      </c>
      <c r="E1293" t="s">
        <v>70</v>
      </c>
      <c r="F1293" t="s">
        <v>15</v>
      </c>
      <c r="G1293" t="s">
        <v>22</v>
      </c>
      <c r="H1293" t="s">
        <v>672</v>
      </c>
      <c r="I1293" t="s">
        <v>62</v>
      </c>
      <c r="J1293">
        <v>100</v>
      </c>
      <c r="K1293">
        <v>47</v>
      </c>
      <c r="L1293">
        <v>80</v>
      </c>
      <c r="M1293">
        <v>8000</v>
      </c>
      <c r="N1293" t="s">
        <v>19</v>
      </c>
    </row>
    <row r="1294" spans="1:14" x14ac:dyDescent="0.25">
      <c r="A1294" t="s">
        <v>1631</v>
      </c>
      <c r="B1294" t="s">
        <v>2083</v>
      </c>
      <c r="C1294" t="s">
        <v>398</v>
      </c>
      <c r="D1294" t="s">
        <v>1135</v>
      </c>
      <c r="E1294" t="s">
        <v>1136</v>
      </c>
      <c r="F1294" t="s">
        <v>15</v>
      </c>
      <c r="G1294" t="s">
        <v>1024</v>
      </c>
      <c r="H1294" t="s">
        <v>672</v>
      </c>
      <c r="I1294" t="s">
        <v>1137</v>
      </c>
      <c r="J1294">
        <v>1</v>
      </c>
      <c r="K1294">
        <v>2975</v>
      </c>
      <c r="L1294">
        <v>8500</v>
      </c>
      <c r="M1294">
        <v>8500</v>
      </c>
      <c r="N1294" t="s">
        <v>19</v>
      </c>
    </row>
    <row r="1295" spans="1:14" x14ac:dyDescent="0.25">
      <c r="A1295" t="s">
        <v>1631</v>
      </c>
      <c r="B1295" t="s">
        <v>2083</v>
      </c>
      <c r="C1295" t="s">
        <v>398</v>
      </c>
      <c r="D1295" t="s">
        <v>1135</v>
      </c>
      <c r="E1295" t="s">
        <v>1136</v>
      </c>
      <c r="F1295" t="s">
        <v>15</v>
      </c>
      <c r="G1295" t="s">
        <v>1024</v>
      </c>
      <c r="H1295" t="s">
        <v>672</v>
      </c>
      <c r="I1295" t="s">
        <v>25</v>
      </c>
      <c r="J1295">
        <v>1</v>
      </c>
      <c r="K1295">
        <v>8000</v>
      </c>
      <c r="L1295">
        <v>8000</v>
      </c>
      <c r="M1295">
        <v>8000</v>
      </c>
      <c r="N1295" t="s">
        <v>19</v>
      </c>
    </row>
    <row r="1296" spans="1:14" x14ac:dyDescent="0.25">
      <c r="A1296" t="s">
        <v>1631</v>
      </c>
      <c r="B1296" t="s">
        <v>2083</v>
      </c>
      <c r="C1296" t="s">
        <v>398</v>
      </c>
      <c r="D1296" t="s">
        <v>1135</v>
      </c>
      <c r="E1296" t="s">
        <v>1136</v>
      </c>
      <c r="F1296" t="s">
        <v>15</v>
      </c>
      <c r="G1296" t="s">
        <v>1024</v>
      </c>
      <c r="H1296" t="s">
        <v>672</v>
      </c>
      <c r="I1296" t="s">
        <v>24</v>
      </c>
      <c r="J1296">
        <v>1</v>
      </c>
      <c r="K1296">
        <v>8000</v>
      </c>
      <c r="L1296">
        <v>8000</v>
      </c>
      <c r="M1296">
        <v>8000</v>
      </c>
      <c r="N1296" t="s">
        <v>19</v>
      </c>
    </row>
    <row r="1297" spans="1:14" x14ac:dyDescent="0.25">
      <c r="A1297" t="s">
        <v>1631</v>
      </c>
      <c r="B1297" t="s">
        <v>2083</v>
      </c>
      <c r="C1297" t="s">
        <v>398</v>
      </c>
      <c r="D1297" t="s">
        <v>1135</v>
      </c>
      <c r="E1297" t="s">
        <v>1136</v>
      </c>
      <c r="F1297" t="s">
        <v>15</v>
      </c>
      <c r="G1297" t="s">
        <v>1024</v>
      </c>
      <c r="H1297" t="s">
        <v>672</v>
      </c>
      <c r="I1297" t="s">
        <v>26</v>
      </c>
      <c r="J1297">
        <v>1</v>
      </c>
      <c r="K1297">
        <v>500</v>
      </c>
      <c r="L1297">
        <v>500</v>
      </c>
      <c r="M1297">
        <v>500</v>
      </c>
      <c r="N1297" t="s">
        <v>19</v>
      </c>
    </row>
    <row r="1298" spans="1:14" x14ac:dyDescent="0.25">
      <c r="A1298" t="s">
        <v>1631</v>
      </c>
      <c r="B1298" t="s">
        <v>2083</v>
      </c>
      <c r="C1298" t="s">
        <v>398</v>
      </c>
      <c r="D1298" t="s">
        <v>1135</v>
      </c>
      <c r="E1298" t="s">
        <v>1136</v>
      </c>
      <c r="F1298" t="s">
        <v>15</v>
      </c>
      <c r="G1298" t="s">
        <v>1024</v>
      </c>
      <c r="H1298" t="s">
        <v>672</v>
      </c>
      <c r="I1298" t="s">
        <v>298</v>
      </c>
      <c r="J1298">
        <v>1</v>
      </c>
      <c r="K1298">
        <v>11000</v>
      </c>
      <c r="L1298">
        <v>16000</v>
      </c>
      <c r="M1298">
        <v>16000</v>
      </c>
      <c r="N1298" t="s">
        <v>19</v>
      </c>
    </row>
    <row r="1299" spans="1:14" x14ac:dyDescent="0.25">
      <c r="A1299" t="s">
        <v>1486</v>
      </c>
      <c r="B1299" t="s">
        <v>2070</v>
      </c>
      <c r="C1299" t="s">
        <v>780</v>
      </c>
      <c r="D1299" t="s">
        <v>20</v>
      </c>
      <c r="E1299" t="s">
        <v>31</v>
      </c>
      <c r="F1299" t="s">
        <v>15</v>
      </c>
      <c r="G1299" t="s">
        <v>22</v>
      </c>
      <c r="H1299" t="s">
        <v>796</v>
      </c>
      <c r="I1299" t="s">
        <v>145</v>
      </c>
      <c r="J1299">
        <v>1</v>
      </c>
      <c r="K1299">
        <v>3675</v>
      </c>
      <c r="L1299">
        <v>10500</v>
      </c>
      <c r="M1299">
        <v>10500</v>
      </c>
      <c r="N1299" t="s">
        <v>19</v>
      </c>
    </row>
    <row r="1300" spans="1:14" x14ac:dyDescent="0.25">
      <c r="A1300" t="s">
        <v>1486</v>
      </c>
      <c r="B1300" t="s">
        <v>2070</v>
      </c>
      <c r="C1300" t="s">
        <v>780</v>
      </c>
      <c r="D1300" t="s">
        <v>20</v>
      </c>
      <c r="E1300" t="s">
        <v>31</v>
      </c>
      <c r="F1300" t="s">
        <v>15</v>
      </c>
      <c r="G1300" t="s">
        <v>22</v>
      </c>
      <c r="H1300" t="s">
        <v>796</v>
      </c>
      <c r="I1300" t="s">
        <v>299</v>
      </c>
      <c r="J1300">
        <v>1</v>
      </c>
      <c r="K1300">
        <v>9500</v>
      </c>
      <c r="L1300">
        <v>9500</v>
      </c>
      <c r="M1300">
        <v>9500</v>
      </c>
      <c r="N1300" t="s">
        <v>19</v>
      </c>
    </row>
    <row r="1301" spans="1:14" x14ac:dyDescent="0.25">
      <c r="A1301" t="s">
        <v>1486</v>
      </c>
      <c r="B1301" t="s">
        <v>2070</v>
      </c>
      <c r="C1301" t="s">
        <v>780</v>
      </c>
      <c r="D1301" t="s">
        <v>20</v>
      </c>
      <c r="E1301" t="s">
        <v>31</v>
      </c>
      <c r="F1301" t="s">
        <v>15</v>
      </c>
      <c r="G1301" t="s">
        <v>22</v>
      </c>
      <c r="H1301" t="s">
        <v>796</v>
      </c>
      <c r="I1301" t="s">
        <v>25</v>
      </c>
      <c r="J1301">
        <v>1</v>
      </c>
      <c r="K1301">
        <v>9500</v>
      </c>
      <c r="L1301">
        <v>9500</v>
      </c>
      <c r="M1301">
        <v>9500</v>
      </c>
      <c r="N1301" t="s">
        <v>19</v>
      </c>
    </row>
    <row r="1302" spans="1:14" x14ac:dyDescent="0.25">
      <c r="A1302" t="s">
        <v>1486</v>
      </c>
      <c r="B1302" t="s">
        <v>2070</v>
      </c>
      <c r="C1302" t="s">
        <v>780</v>
      </c>
      <c r="D1302" t="s">
        <v>20</v>
      </c>
      <c r="E1302" t="s">
        <v>31</v>
      </c>
      <c r="F1302" t="s">
        <v>15</v>
      </c>
      <c r="G1302" t="s">
        <v>22</v>
      </c>
      <c r="H1302" t="s">
        <v>796</v>
      </c>
      <c r="I1302" t="s">
        <v>134</v>
      </c>
      <c r="J1302">
        <v>1</v>
      </c>
      <c r="K1302">
        <v>500</v>
      </c>
      <c r="L1302">
        <v>500</v>
      </c>
      <c r="M1302">
        <v>500</v>
      </c>
      <c r="N1302" t="s">
        <v>19</v>
      </c>
    </row>
    <row r="1303" spans="1:14" x14ac:dyDescent="0.25">
      <c r="A1303" t="s">
        <v>1624</v>
      </c>
      <c r="B1303" t="s">
        <v>2084</v>
      </c>
      <c r="C1303" t="s">
        <v>402</v>
      </c>
      <c r="D1303" t="s">
        <v>1138</v>
      </c>
      <c r="E1303" t="s">
        <v>1139</v>
      </c>
      <c r="F1303" t="s">
        <v>15</v>
      </c>
      <c r="G1303" t="s">
        <v>37</v>
      </c>
      <c r="H1303" t="s">
        <v>796</v>
      </c>
      <c r="I1303" t="s">
        <v>33</v>
      </c>
      <c r="J1303">
        <v>1</v>
      </c>
      <c r="K1303">
        <v>18000</v>
      </c>
      <c r="L1303">
        <v>18000</v>
      </c>
      <c r="M1303">
        <v>18000</v>
      </c>
      <c r="N1303" t="s">
        <v>19</v>
      </c>
    </row>
    <row r="1304" spans="1:14" x14ac:dyDescent="0.25">
      <c r="A1304" t="s">
        <v>1562</v>
      </c>
      <c r="B1304" t="s">
        <v>2085</v>
      </c>
      <c r="C1304" t="s">
        <v>677</v>
      </c>
      <c r="D1304" t="s">
        <v>678</v>
      </c>
      <c r="E1304" t="s">
        <v>239</v>
      </c>
      <c r="F1304" t="s">
        <v>15</v>
      </c>
      <c r="G1304" t="s">
        <v>37</v>
      </c>
      <c r="H1304" t="s">
        <v>679</v>
      </c>
      <c r="I1304" t="s">
        <v>151</v>
      </c>
      <c r="J1304">
        <v>1</v>
      </c>
      <c r="K1304">
        <v>2800</v>
      </c>
      <c r="L1304">
        <v>4000</v>
      </c>
      <c r="M1304">
        <v>4000</v>
      </c>
      <c r="N1304" t="s">
        <v>19</v>
      </c>
    </row>
    <row r="1305" spans="1:14" x14ac:dyDescent="0.25">
      <c r="A1305" t="s">
        <v>1703</v>
      </c>
      <c r="B1305" t="s">
        <v>2086</v>
      </c>
      <c r="C1305" t="s">
        <v>680</v>
      </c>
      <c r="D1305" t="s">
        <v>681</v>
      </c>
      <c r="E1305" t="s">
        <v>681</v>
      </c>
      <c r="F1305" t="s">
        <v>36</v>
      </c>
      <c r="G1305" t="s">
        <v>37</v>
      </c>
      <c r="H1305" t="s">
        <v>679</v>
      </c>
      <c r="I1305" t="s">
        <v>682</v>
      </c>
      <c r="J1305">
        <v>1</v>
      </c>
      <c r="K1305">
        <v>15000</v>
      </c>
      <c r="L1305">
        <v>15000</v>
      </c>
      <c r="M1305">
        <v>15000</v>
      </c>
      <c r="N1305" t="s">
        <v>39</v>
      </c>
    </row>
    <row r="1306" spans="1:14" x14ac:dyDescent="0.25">
      <c r="A1306" t="s">
        <v>1530</v>
      </c>
      <c r="B1306" t="s">
        <v>2087</v>
      </c>
      <c r="C1306" t="s">
        <v>684</v>
      </c>
      <c r="D1306" t="s">
        <v>685</v>
      </c>
      <c r="E1306" t="s">
        <v>364</v>
      </c>
      <c r="F1306" t="s">
        <v>686</v>
      </c>
      <c r="G1306" t="s">
        <v>22</v>
      </c>
      <c r="H1306" t="s">
        <v>679</v>
      </c>
      <c r="I1306" t="s">
        <v>687</v>
      </c>
      <c r="J1306">
        <v>1</v>
      </c>
      <c r="K1306">
        <v>3675</v>
      </c>
      <c r="L1306">
        <v>10500</v>
      </c>
      <c r="M1306">
        <v>10500</v>
      </c>
      <c r="N1306" t="s">
        <v>39</v>
      </c>
    </row>
    <row r="1307" spans="1:14" x14ac:dyDescent="0.25">
      <c r="A1307" t="s">
        <v>1530</v>
      </c>
      <c r="B1307" t="s">
        <v>2087</v>
      </c>
      <c r="C1307" t="s">
        <v>684</v>
      </c>
      <c r="D1307" t="s">
        <v>685</v>
      </c>
      <c r="E1307" t="s">
        <v>364</v>
      </c>
      <c r="F1307" t="s">
        <v>686</v>
      </c>
      <c r="G1307" t="s">
        <v>22</v>
      </c>
      <c r="H1307" t="s">
        <v>679</v>
      </c>
      <c r="I1307" t="s">
        <v>48</v>
      </c>
      <c r="J1307">
        <v>1</v>
      </c>
      <c r="K1307">
        <v>1866.67</v>
      </c>
      <c r="L1307">
        <v>5333.33</v>
      </c>
      <c r="M1307">
        <v>5333.33</v>
      </c>
      <c r="N1307" t="s">
        <v>39</v>
      </c>
    </row>
    <row r="1308" spans="1:14" x14ac:dyDescent="0.25">
      <c r="A1308" t="s">
        <v>1530</v>
      </c>
      <c r="B1308" t="s">
        <v>2087</v>
      </c>
      <c r="C1308" t="s">
        <v>684</v>
      </c>
      <c r="D1308" t="s">
        <v>685</v>
      </c>
      <c r="E1308" t="s">
        <v>364</v>
      </c>
      <c r="F1308" t="s">
        <v>686</v>
      </c>
      <c r="G1308" t="s">
        <v>22</v>
      </c>
      <c r="H1308" t="s">
        <v>679</v>
      </c>
      <c r="I1308" t="s">
        <v>24</v>
      </c>
      <c r="J1308">
        <v>1</v>
      </c>
      <c r="K1308">
        <v>1866.67</v>
      </c>
      <c r="L1308">
        <v>5333.33</v>
      </c>
      <c r="M1308">
        <v>5333.33</v>
      </c>
      <c r="N1308" t="s">
        <v>39</v>
      </c>
    </row>
    <row r="1309" spans="1:14" x14ac:dyDescent="0.25">
      <c r="A1309" t="s">
        <v>1530</v>
      </c>
      <c r="B1309" t="s">
        <v>2087</v>
      </c>
      <c r="C1309" t="s">
        <v>684</v>
      </c>
      <c r="D1309" t="s">
        <v>685</v>
      </c>
      <c r="E1309" t="s">
        <v>364</v>
      </c>
      <c r="F1309" t="s">
        <v>686</v>
      </c>
      <c r="G1309" t="s">
        <v>22</v>
      </c>
      <c r="H1309" t="s">
        <v>679</v>
      </c>
      <c r="I1309" t="s">
        <v>26</v>
      </c>
      <c r="J1309">
        <v>1</v>
      </c>
      <c r="K1309">
        <v>500</v>
      </c>
      <c r="L1309">
        <v>500</v>
      </c>
      <c r="M1309">
        <v>500</v>
      </c>
      <c r="N1309" t="s">
        <v>39</v>
      </c>
    </row>
    <row r="1310" spans="1:14" x14ac:dyDescent="0.25">
      <c r="A1310" t="s">
        <v>1609</v>
      </c>
      <c r="B1310" t="s">
        <v>2088</v>
      </c>
      <c r="C1310" t="s">
        <v>797</v>
      </c>
      <c r="D1310" t="s">
        <v>191</v>
      </c>
      <c r="E1310" t="s">
        <v>192</v>
      </c>
      <c r="F1310" t="s">
        <v>15</v>
      </c>
      <c r="G1310" t="s">
        <v>22</v>
      </c>
      <c r="H1310" t="s">
        <v>679</v>
      </c>
      <c r="I1310" t="s">
        <v>581</v>
      </c>
      <c r="J1310">
        <v>2</v>
      </c>
      <c r="K1310">
        <v>9500</v>
      </c>
      <c r="L1310">
        <v>13500</v>
      </c>
      <c r="M1310">
        <v>27000</v>
      </c>
      <c r="N1310" t="s">
        <v>19</v>
      </c>
    </row>
    <row r="1311" spans="1:14" x14ac:dyDescent="0.25">
      <c r="A1311" t="s">
        <v>1609</v>
      </c>
      <c r="B1311" t="s">
        <v>2088</v>
      </c>
      <c r="C1311" t="s">
        <v>797</v>
      </c>
      <c r="D1311" t="s">
        <v>191</v>
      </c>
      <c r="E1311" t="s">
        <v>192</v>
      </c>
      <c r="F1311" t="s">
        <v>15</v>
      </c>
      <c r="G1311" t="s">
        <v>22</v>
      </c>
      <c r="H1311" t="s">
        <v>679</v>
      </c>
      <c r="I1311" t="s">
        <v>76</v>
      </c>
      <c r="J1311">
        <v>1</v>
      </c>
      <c r="K1311">
        <v>1500</v>
      </c>
      <c r="L1311">
        <v>1500</v>
      </c>
      <c r="M1311">
        <v>1500</v>
      </c>
      <c r="N1311" t="s">
        <v>19</v>
      </c>
    </row>
    <row r="1312" spans="1:14" x14ac:dyDescent="0.25">
      <c r="A1312" t="s">
        <v>1486</v>
      </c>
      <c r="B1312" t="s">
        <v>2089</v>
      </c>
      <c r="C1312" t="s">
        <v>800</v>
      </c>
      <c r="D1312" t="s">
        <v>20</v>
      </c>
      <c r="E1312" t="s">
        <v>31</v>
      </c>
      <c r="F1312" t="s">
        <v>15</v>
      </c>
      <c r="G1312" t="s">
        <v>22</v>
      </c>
      <c r="H1312" t="s">
        <v>679</v>
      </c>
      <c r="I1312" t="s">
        <v>33</v>
      </c>
      <c r="J1312">
        <v>1</v>
      </c>
      <c r="K1312">
        <v>6500</v>
      </c>
      <c r="L1312">
        <v>6500</v>
      </c>
      <c r="M1312">
        <v>6500</v>
      </c>
      <c r="N1312" t="s">
        <v>19</v>
      </c>
    </row>
    <row r="1313" spans="1:14" x14ac:dyDescent="0.25">
      <c r="A1313" t="s">
        <v>1486</v>
      </c>
      <c r="B1313" t="s">
        <v>2090</v>
      </c>
      <c r="C1313" t="s">
        <v>802</v>
      </c>
      <c r="D1313" t="s">
        <v>20</v>
      </c>
      <c r="E1313" t="s">
        <v>31</v>
      </c>
      <c r="F1313" t="s">
        <v>15</v>
      </c>
      <c r="G1313" t="s">
        <v>22</v>
      </c>
      <c r="H1313" t="s">
        <v>679</v>
      </c>
      <c r="I1313" t="s">
        <v>33</v>
      </c>
      <c r="J1313">
        <v>1</v>
      </c>
      <c r="K1313">
        <v>6500</v>
      </c>
      <c r="L1313">
        <v>6500</v>
      </c>
      <c r="M1313">
        <v>6500</v>
      </c>
      <c r="N1313" t="s">
        <v>19</v>
      </c>
    </row>
    <row r="1314" spans="1:14" x14ac:dyDescent="0.25">
      <c r="A1314" t="s">
        <v>1486</v>
      </c>
      <c r="B1314" t="s">
        <v>2091</v>
      </c>
      <c r="C1314" t="s">
        <v>805</v>
      </c>
      <c r="D1314" t="s">
        <v>20</v>
      </c>
      <c r="E1314" t="s">
        <v>31</v>
      </c>
      <c r="F1314" t="s">
        <v>15</v>
      </c>
      <c r="G1314" t="s">
        <v>22</v>
      </c>
      <c r="H1314" t="s">
        <v>679</v>
      </c>
      <c r="I1314" t="s">
        <v>33</v>
      </c>
      <c r="J1314">
        <v>1</v>
      </c>
      <c r="K1314">
        <v>6500</v>
      </c>
      <c r="L1314">
        <v>6500</v>
      </c>
      <c r="M1314">
        <v>6500</v>
      </c>
      <c r="N1314" t="s">
        <v>19</v>
      </c>
    </row>
    <row r="1315" spans="1:14" x14ac:dyDescent="0.25">
      <c r="A1315" t="s">
        <v>1486</v>
      </c>
      <c r="B1315" t="s">
        <v>2092</v>
      </c>
      <c r="C1315" t="s">
        <v>810</v>
      </c>
      <c r="D1315" t="s">
        <v>20</v>
      </c>
      <c r="E1315" t="s">
        <v>31</v>
      </c>
      <c r="F1315" t="s">
        <v>15</v>
      </c>
      <c r="G1315" t="s">
        <v>22</v>
      </c>
      <c r="H1315" t="s">
        <v>679</v>
      </c>
      <c r="I1315" t="s">
        <v>33</v>
      </c>
      <c r="J1315">
        <v>2</v>
      </c>
      <c r="K1315">
        <v>6500</v>
      </c>
      <c r="L1315">
        <v>6500</v>
      </c>
      <c r="M1315">
        <v>13000</v>
      </c>
      <c r="N1315" t="s">
        <v>19</v>
      </c>
    </row>
    <row r="1316" spans="1:14" x14ac:dyDescent="0.25">
      <c r="A1316" t="s">
        <v>1541</v>
      </c>
      <c r="B1316" t="s">
        <v>2093</v>
      </c>
      <c r="C1316" t="s">
        <v>689</v>
      </c>
      <c r="D1316" t="s">
        <v>693</v>
      </c>
      <c r="E1316" t="s">
        <v>694</v>
      </c>
      <c r="F1316" t="s">
        <v>695</v>
      </c>
      <c r="G1316" t="s">
        <v>22</v>
      </c>
      <c r="H1316" t="s">
        <v>696</v>
      </c>
      <c r="I1316" t="s">
        <v>687</v>
      </c>
      <c r="J1316">
        <v>1</v>
      </c>
      <c r="K1316">
        <v>3675</v>
      </c>
      <c r="L1316">
        <v>10500</v>
      </c>
      <c r="M1316">
        <v>10500</v>
      </c>
      <c r="N1316" t="s">
        <v>39</v>
      </c>
    </row>
    <row r="1317" spans="1:14" x14ac:dyDescent="0.25">
      <c r="A1317" t="s">
        <v>1541</v>
      </c>
      <c r="B1317" t="s">
        <v>2093</v>
      </c>
      <c r="C1317" t="s">
        <v>689</v>
      </c>
      <c r="D1317" t="s">
        <v>693</v>
      </c>
      <c r="E1317" t="s">
        <v>694</v>
      </c>
      <c r="F1317" t="s">
        <v>695</v>
      </c>
      <c r="G1317" t="s">
        <v>22</v>
      </c>
      <c r="H1317" t="s">
        <v>696</v>
      </c>
      <c r="I1317" t="s">
        <v>48</v>
      </c>
      <c r="J1317">
        <v>1</v>
      </c>
      <c r="K1317">
        <v>4200</v>
      </c>
      <c r="L1317">
        <v>12000</v>
      </c>
      <c r="M1317">
        <v>12000</v>
      </c>
      <c r="N1317" t="s">
        <v>39</v>
      </c>
    </row>
    <row r="1318" spans="1:14" x14ac:dyDescent="0.25">
      <c r="A1318" t="s">
        <v>1541</v>
      </c>
      <c r="B1318" t="s">
        <v>2093</v>
      </c>
      <c r="C1318" t="s">
        <v>689</v>
      </c>
      <c r="D1318" t="s">
        <v>693</v>
      </c>
      <c r="E1318" t="s">
        <v>694</v>
      </c>
      <c r="F1318" t="s">
        <v>695</v>
      </c>
      <c r="G1318" t="s">
        <v>22</v>
      </c>
      <c r="H1318" t="s">
        <v>696</v>
      </c>
      <c r="I1318" t="s">
        <v>24</v>
      </c>
      <c r="J1318">
        <v>1</v>
      </c>
      <c r="K1318">
        <v>4200</v>
      </c>
      <c r="L1318">
        <v>12000</v>
      </c>
      <c r="M1318">
        <v>12000</v>
      </c>
      <c r="N1318" t="s">
        <v>39</v>
      </c>
    </row>
    <row r="1319" spans="1:14" x14ac:dyDescent="0.25">
      <c r="A1319" t="s">
        <v>1541</v>
      </c>
      <c r="B1319" t="s">
        <v>2093</v>
      </c>
      <c r="C1319" t="s">
        <v>689</v>
      </c>
      <c r="D1319" t="s">
        <v>693</v>
      </c>
      <c r="E1319" t="s">
        <v>694</v>
      </c>
      <c r="F1319" t="s">
        <v>695</v>
      </c>
      <c r="G1319" t="s">
        <v>22</v>
      </c>
      <c r="H1319" t="s">
        <v>696</v>
      </c>
      <c r="I1319" t="s">
        <v>26</v>
      </c>
      <c r="J1319">
        <v>1</v>
      </c>
      <c r="K1319">
        <v>500</v>
      </c>
      <c r="L1319">
        <v>500</v>
      </c>
      <c r="M1319">
        <v>500</v>
      </c>
      <c r="N1319" t="s">
        <v>39</v>
      </c>
    </row>
    <row r="1320" spans="1:14" x14ac:dyDescent="0.25">
      <c r="A1320" t="s">
        <v>1493</v>
      </c>
      <c r="B1320" t="s">
        <v>2094</v>
      </c>
      <c r="C1320" t="s">
        <v>812</v>
      </c>
      <c r="D1320" t="s">
        <v>20</v>
      </c>
      <c r="E1320" t="s">
        <v>813</v>
      </c>
      <c r="F1320" t="s">
        <v>15</v>
      </c>
      <c r="G1320" t="s">
        <v>22</v>
      </c>
      <c r="H1320" t="s">
        <v>696</v>
      </c>
      <c r="I1320" t="s">
        <v>322</v>
      </c>
      <c r="J1320">
        <v>2</v>
      </c>
      <c r="K1320">
        <v>3675</v>
      </c>
      <c r="L1320">
        <v>10500</v>
      </c>
      <c r="M1320">
        <v>21000</v>
      </c>
      <c r="N1320" t="s">
        <v>19</v>
      </c>
    </row>
    <row r="1321" spans="1:14" x14ac:dyDescent="0.25">
      <c r="A1321" t="s">
        <v>1493</v>
      </c>
      <c r="B1321" t="s">
        <v>2094</v>
      </c>
      <c r="C1321" t="s">
        <v>812</v>
      </c>
      <c r="D1321" t="s">
        <v>20</v>
      </c>
      <c r="E1321" t="s">
        <v>813</v>
      </c>
      <c r="F1321" t="s">
        <v>15</v>
      </c>
      <c r="G1321" t="s">
        <v>22</v>
      </c>
      <c r="H1321" t="s">
        <v>696</v>
      </c>
      <c r="I1321" t="s">
        <v>170</v>
      </c>
      <c r="J1321">
        <v>2</v>
      </c>
      <c r="K1321">
        <v>30000</v>
      </c>
      <c r="L1321">
        <v>30000</v>
      </c>
      <c r="M1321">
        <v>60000</v>
      </c>
      <c r="N1321" t="s">
        <v>19</v>
      </c>
    </row>
    <row r="1322" spans="1:14" x14ac:dyDescent="0.25">
      <c r="A1322" t="s">
        <v>1493</v>
      </c>
      <c r="B1322" t="s">
        <v>2094</v>
      </c>
      <c r="C1322" t="s">
        <v>812</v>
      </c>
      <c r="D1322" t="s">
        <v>20</v>
      </c>
      <c r="E1322" t="s">
        <v>813</v>
      </c>
      <c r="F1322" t="s">
        <v>15</v>
      </c>
      <c r="G1322" t="s">
        <v>22</v>
      </c>
      <c r="H1322" t="s">
        <v>696</v>
      </c>
      <c r="I1322" t="s">
        <v>24</v>
      </c>
      <c r="J1322">
        <v>2</v>
      </c>
      <c r="K1322">
        <v>30000</v>
      </c>
      <c r="L1322">
        <v>30000</v>
      </c>
      <c r="M1322">
        <v>60000</v>
      </c>
      <c r="N1322" t="s">
        <v>19</v>
      </c>
    </row>
    <row r="1323" spans="1:14" x14ac:dyDescent="0.25">
      <c r="A1323" t="s">
        <v>1493</v>
      </c>
      <c r="B1323" t="s">
        <v>2094</v>
      </c>
      <c r="C1323" t="s">
        <v>812</v>
      </c>
      <c r="D1323" t="s">
        <v>20</v>
      </c>
      <c r="E1323" t="s">
        <v>813</v>
      </c>
      <c r="F1323" t="s">
        <v>15</v>
      </c>
      <c r="G1323" t="s">
        <v>22</v>
      </c>
      <c r="H1323" t="s">
        <v>696</v>
      </c>
      <c r="I1323" t="s">
        <v>316</v>
      </c>
      <c r="J1323">
        <v>2</v>
      </c>
      <c r="K1323">
        <v>500</v>
      </c>
      <c r="L1323">
        <v>500</v>
      </c>
      <c r="M1323">
        <v>1000</v>
      </c>
      <c r="N1323" t="s">
        <v>19</v>
      </c>
    </row>
    <row r="1324" spans="1:14" x14ac:dyDescent="0.25">
      <c r="A1324" t="s">
        <v>1493</v>
      </c>
      <c r="B1324" t="s">
        <v>2094</v>
      </c>
      <c r="C1324" t="s">
        <v>812</v>
      </c>
      <c r="D1324" t="s">
        <v>20</v>
      </c>
      <c r="E1324" t="s">
        <v>813</v>
      </c>
      <c r="F1324" t="s">
        <v>15</v>
      </c>
      <c r="G1324" t="s">
        <v>22</v>
      </c>
      <c r="H1324" t="s">
        <v>696</v>
      </c>
      <c r="I1324" t="s">
        <v>323</v>
      </c>
      <c r="J1324">
        <v>2</v>
      </c>
      <c r="K1324">
        <v>3500</v>
      </c>
      <c r="L1324">
        <v>10000</v>
      </c>
      <c r="M1324">
        <v>20000</v>
      </c>
      <c r="N1324" t="s">
        <v>19</v>
      </c>
    </row>
    <row r="1325" spans="1:14" x14ac:dyDescent="0.25">
      <c r="A1325" t="s">
        <v>1493</v>
      </c>
      <c r="B1325" t="s">
        <v>2094</v>
      </c>
      <c r="C1325" t="s">
        <v>812</v>
      </c>
      <c r="D1325" t="s">
        <v>20</v>
      </c>
      <c r="E1325" t="s">
        <v>813</v>
      </c>
      <c r="F1325" t="s">
        <v>15</v>
      </c>
      <c r="G1325" t="s">
        <v>22</v>
      </c>
      <c r="H1325" t="s">
        <v>696</v>
      </c>
      <c r="I1325" t="s">
        <v>324</v>
      </c>
      <c r="J1325">
        <v>1</v>
      </c>
      <c r="K1325">
        <v>17500</v>
      </c>
      <c r="L1325">
        <v>50000</v>
      </c>
      <c r="M1325">
        <v>50000</v>
      </c>
      <c r="N1325" t="s">
        <v>19</v>
      </c>
    </row>
    <row r="1326" spans="1:14" x14ac:dyDescent="0.25">
      <c r="A1326" t="s">
        <v>1493</v>
      </c>
      <c r="B1326" t="s">
        <v>2094</v>
      </c>
      <c r="C1326" t="s">
        <v>812</v>
      </c>
      <c r="D1326" t="s">
        <v>20</v>
      </c>
      <c r="E1326" t="s">
        <v>813</v>
      </c>
      <c r="F1326" t="s">
        <v>15</v>
      </c>
      <c r="G1326" t="s">
        <v>22</v>
      </c>
      <c r="H1326" t="s">
        <v>696</v>
      </c>
      <c r="I1326" t="s">
        <v>170</v>
      </c>
      <c r="J1326">
        <v>1</v>
      </c>
      <c r="K1326">
        <v>25500</v>
      </c>
      <c r="L1326">
        <v>25500</v>
      </c>
      <c r="M1326">
        <v>25500</v>
      </c>
      <c r="N1326" t="s">
        <v>19</v>
      </c>
    </row>
    <row r="1327" spans="1:14" x14ac:dyDescent="0.25">
      <c r="A1327" t="s">
        <v>1493</v>
      </c>
      <c r="B1327" t="s">
        <v>2094</v>
      </c>
      <c r="C1327" t="s">
        <v>812</v>
      </c>
      <c r="D1327" t="s">
        <v>20</v>
      </c>
      <c r="E1327" t="s">
        <v>813</v>
      </c>
      <c r="F1327" t="s">
        <v>15</v>
      </c>
      <c r="G1327" t="s">
        <v>22</v>
      </c>
      <c r="H1327" t="s">
        <v>696</v>
      </c>
      <c r="I1327" t="s">
        <v>24</v>
      </c>
      <c r="J1327">
        <v>1</v>
      </c>
      <c r="K1327">
        <v>25500</v>
      </c>
      <c r="L1327">
        <v>25500</v>
      </c>
      <c r="M1327">
        <v>25500</v>
      </c>
      <c r="N1327" t="s">
        <v>19</v>
      </c>
    </row>
    <row r="1328" spans="1:14" x14ac:dyDescent="0.25">
      <c r="A1328" t="s">
        <v>1493</v>
      </c>
      <c r="B1328" t="s">
        <v>2094</v>
      </c>
      <c r="C1328" t="s">
        <v>812</v>
      </c>
      <c r="D1328" t="s">
        <v>20</v>
      </c>
      <c r="E1328" t="s">
        <v>813</v>
      </c>
      <c r="F1328" t="s">
        <v>15</v>
      </c>
      <c r="G1328" t="s">
        <v>22</v>
      </c>
      <c r="H1328" t="s">
        <v>696</v>
      </c>
      <c r="I1328" t="s">
        <v>325</v>
      </c>
      <c r="J1328">
        <v>2</v>
      </c>
      <c r="K1328">
        <v>21500</v>
      </c>
      <c r="L1328">
        <v>31000</v>
      </c>
      <c r="M1328">
        <v>62000</v>
      </c>
      <c r="N1328" t="s">
        <v>19</v>
      </c>
    </row>
    <row r="1329" spans="1:14" x14ac:dyDescent="0.25">
      <c r="A1329" t="s">
        <v>1493</v>
      </c>
      <c r="B1329" t="s">
        <v>2094</v>
      </c>
      <c r="C1329" t="s">
        <v>812</v>
      </c>
      <c r="D1329" t="s">
        <v>20</v>
      </c>
      <c r="E1329" t="s">
        <v>813</v>
      </c>
      <c r="F1329" t="s">
        <v>15</v>
      </c>
      <c r="G1329" t="s">
        <v>22</v>
      </c>
      <c r="H1329" t="s">
        <v>696</v>
      </c>
      <c r="I1329" t="s">
        <v>326</v>
      </c>
      <c r="J1329">
        <v>2</v>
      </c>
      <c r="K1329">
        <v>18500</v>
      </c>
      <c r="L1329">
        <v>26500</v>
      </c>
      <c r="M1329">
        <v>53000</v>
      </c>
      <c r="N1329" t="s">
        <v>19</v>
      </c>
    </row>
    <row r="1330" spans="1:14" x14ac:dyDescent="0.25">
      <c r="A1330" t="s">
        <v>1493</v>
      </c>
      <c r="B1330" t="s">
        <v>2094</v>
      </c>
      <c r="C1330" t="s">
        <v>812</v>
      </c>
      <c r="D1330" t="s">
        <v>20</v>
      </c>
      <c r="E1330" t="s">
        <v>813</v>
      </c>
      <c r="F1330" t="s">
        <v>15</v>
      </c>
      <c r="G1330" t="s">
        <v>22</v>
      </c>
      <c r="H1330" t="s">
        <v>696</v>
      </c>
      <c r="I1330" t="s">
        <v>116</v>
      </c>
      <c r="J1330">
        <v>2</v>
      </c>
      <c r="K1330">
        <v>1350</v>
      </c>
      <c r="L1330">
        <v>2000</v>
      </c>
      <c r="M1330">
        <v>4000</v>
      </c>
      <c r="N1330" t="s">
        <v>19</v>
      </c>
    </row>
    <row r="1331" spans="1:14" x14ac:dyDescent="0.25">
      <c r="A1331" t="s">
        <v>1493</v>
      </c>
      <c r="B1331" t="s">
        <v>2094</v>
      </c>
      <c r="C1331" t="s">
        <v>812</v>
      </c>
      <c r="D1331" t="s">
        <v>20</v>
      </c>
      <c r="E1331" t="s">
        <v>813</v>
      </c>
      <c r="F1331" t="s">
        <v>15</v>
      </c>
      <c r="G1331" t="s">
        <v>22</v>
      </c>
      <c r="H1331" t="s">
        <v>696</v>
      </c>
      <c r="I1331" t="s">
        <v>814</v>
      </c>
      <c r="J1331">
        <v>1</v>
      </c>
      <c r="K1331">
        <v>7500</v>
      </c>
      <c r="L1331">
        <v>11500</v>
      </c>
      <c r="M1331">
        <v>11500</v>
      </c>
      <c r="N1331" t="s">
        <v>19</v>
      </c>
    </row>
    <row r="1332" spans="1:14" x14ac:dyDescent="0.25">
      <c r="A1332" t="s">
        <v>1493</v>
      </c>
      <c r="B1332" t="s">
        <v>2094</v>
      </c>
      <c r="C1332" t="s">
        <v>812</v>
      </c>
      <c r="D1332" t="s">
        <v>20</v>
      </c>
      <c r="E1332" t="s">
        <v>813</v>
      </c>
      <c r="F1332" t="s">
        <v>15</v>
      </c>
      <c r="G1332" t="s">
        <v>22</v>
      </c>
      <c r="H1332" t="s">
        <v>696</v>
      </c>
      <c r="I1332" t="s">
        <v>328</v>
      </c>
      <c r="J1332">
        <v>1</v>
      </c>
      <c r="K1332">
        <v>24330</v>
      </c>
      <c r="L1332">
        <v>34000</v>
      </c>
      <c r="M1332">
        <v>34000</v>
      </c>
      <c r="N1332" t="s">
        <v>19</v>
      </c>
    </row>
    <row r="1333" spans="1:14" x14ac:dyDescent="0.25">
      <c r="A1333" t="s">
        <v>1493</v>
      </c>
      <c r="B1333" t="s">
        <v>2094</v>
      </c>
      <c r="C1333" t="s">
        <v>812</v>
      </c>
      <c r="D1333" t="s">
        <v>20</v>
      </c>
      <c r="E1333" t="s">
        <v>813</v>
      </c>
      <c r="F1333" t="s">
        <v>15</v>
      </c>
      <c r="G1333" t="s">
        <v>22</v>
      </c>
      <c r="H1333" t="s">
        <v>696</v>
      </c>
      <c r="I1333" t="s">
        <v>329</v>
      </c>
      <c r="J1333">
        <v>1</v>
      </c>
      <c r="K1333">
        <v>4250</v>
      </c>
      <c r="L1333">
        <v>6000</v>
      </c>
      <c r="M1333">
        <v>6000</v>
      </c>
      <c r="N1333" t="s">
        <v>19</v>
      </c>
    </row>
    <row r="1334" spans="1:14" x14ac:dyDescent="0.25">
      <c r="A1334" t="s">
        <v>1493</v>
      </c>
      <c r="B1334" t="s">
        <v>2094</v>
      </c>
      <c r="C1334" t="s">
        <v>812</v>
      </c>
      <c r="D1334" t="s">
        <v>20</v>
      </c>
      <c r="E1334" t="s">
        <v>813</v>
      </c>
      <c r="F1334" t="s">
        <v>15</v>
      </c>
      <c r="G1334" t="s">
        <v>22</v>
      </c>
      <c r="H1334" t="s">
        <v>696</v>
      </c>
      <c r="I1334" t="s">
        <v>76</v>
      </c>
      <c r="J1334">
        <v>1</v>
      </c>
      <c r="K1334">
        <v>1100</v>
      </c>
      <c r="L1334">
        <v>1100</v>
      </c>
      <c r="M1334">
        <v>1100</v>
      </c>
      <c r="N1334" t="s">
        <v>19</v>
      </c>
    </row>
    <row r="1335" spans="1:14" x14ac:dyDescent="0.25">
      <c r="A1335" t="s">
        <v>1493</v>
      </c>
      <c r="B1335" t="s">
        <v>2094</v>
      </c>
      <c r="C1335" t="s">
        <v>812</v>
      </c>
      <c r="D1335" t="s">
        <v>20</v>
      </c>
      <c r="E1335" t="s">
        <v>813</v>
      </c>
      <c r="F1335" t="s">
        <v>15</v>
      </c>
      <c r="G1335" t="s">
        <v>22</v>
      </c>
      <c r="H1335" t="s">
        <v>696</v>
      </c>
      <c r="I1335" t="s">
        <v>331</v>
      </c>
      <c r="J1335">
        <v>1</v>
      </c>
      <c r="K1335">
        <v>40000</v>
      </c>
      <c r="L1335">
        <v>40000</v>
      </c>
      <c r="M1335">
        <v>40000</v>
      </c>
      <c r="N1335" t="s">
        <v>19</v>
      </c>
    </row>
    <row r="1336" spans="1:14" x14ac:dyDescent="0.25">
      <c r="A1336" t="s">
        <v>1493</v>
      </c>
      <c r="B1336" t="s">
        <v>2094</v>
      </c>
      <c r="C1336" t="s">
        <v>812</v>
      </c>
      <c r="D1336" t="s">
        <v>20</v>
      </c>
      <c r="E1336" t="s">
        <v>813</v>
      </c>
      <c r="F1336" t="s">
        <v>15</v>
      </c>
      <c r="G1336" t="s">
        <v>22</v>
      </c>
      <c r="H1336" t="s">
        <v>696</v>
      </c>
      <c r="I1336" t="s">
        <v>692</v>
      </c>
      <c r="J1336">
        <v>3</v>
      </c>
      <c r="K1336">
        <v>550</v>
      </c>
      <c r="L1336">
        <v>800</v>
      </c>
      <c r="M1336">
        <v>2400</v>
      </c>
      <c r="N1336" t="s">
        <v>19</v>
      </c>
    </row>
    <row r="1337" spans="1:14" x14ac:dyDescent="0.25">
      <c r="A1337" t="s">
        <v>1494</v>
      </c>
      <c r="B1337" t="s">
        <v>2095</v>
      </c>
      <c r="C1337" t="s">
        <v>816</v>
      </c>
      <c r="D1337" t="s">
        <v>20</v>
      </c>
      <c r="E1337" t="s">
        <v>821</v>
      </c>
      <c r="F1337" t="s">
        <v>15</v>
      </c>
      <c r="G1337" t="s">
        <v>22</v>
      </c>
      <c r="H1337" t="s">
        <v>696</v>
      </c>
      <c r="I1337" t="s">
        <v>322</v>
      </c>
      <c r="J1337">
        <v>2</v>
      </c>
      <c r="K1337">
        <v>3675</v>
      </c>
      <c r="L1337">
        <v>10500</v>
      </c>
      <c r="M1337">
        <v>21000</v>
      </c>
      <c r="N1337" t="s">
        <v>19</v>
      </c>
    </row>
    <row r="1338" spans="1:14" x14ac:dyDescent="0.25">
      <c r="A1338" t="s">
        <v>1494</v>
      </c>
      <c r="B1338" t="s">
        <v>2095</v>
      </c>
      <c r="C1338" t="s">
        <v>816</v>
      </c>
      <c r="D1338" t="s">
        <v>20</v>
      </c>
      <c r="E1338" t="s">
        <v>821</v>
      </c>
      <c r="F1338" t="s">
        <v>15</v>
      </c>
      <c r="G1338" t="s">
        <v>22</v>
      </c>
      <c r="H1338" t="s">
        <v>696</v>
      </c>
      <c r="I1338" t="s">
        <v>170</v>
      </c>
      <c r="J1338">
        <v>2</v>
      </c>
      <c r="K1338">
        <v>30000</v>
      </c>
      <c r="L1338">
        <v>30000</v>
      </c>
      <c r="M1338">
        <v>60000</v>
      </c>
      <c r="N1338" t="s">
        <v>19</v>
      </c>
    </row>
    <row r="1339" spans="1:14" x14ac:dyDescent="0.25">
      <c r="A1339" t="s">
        <v>1494</v>
      </c>
      <c r="B1339" t="s">
        <v>2095</v>
      </c>
      <c r="C1339" t="s">
        <v>816</v>
      </c>
      <c r="D1339" t="s">
        <v>20</v>
      </c>
      <c r="E1339" t="s">
        <v>821</v>
      </c>
      <c r="F1339" t="s">
        <v>15</v>
      </c>
      <c r="G1339" t="s">
        <v>22</v>
      </c>
      <c r="H1339" t="s">
        <v>696</v>
      </c>
      <c r="I1339" t="s">
        <v>24</v>
      </c>
      <c r="J1339">
        <v>2</v>
      </c>
      <c r="K1339">
        <v>30000</v>
      </c>
      <c r="L1339">
        <v>30000</v>
      </c>
      <c r="M1339">
        <v>60000</v>
      </c>
      <c r="N1339" t="s">
        <v>19</v>
      </c>
    </row>
    <row r="1340" spans="1:14" x14ac:dyDescent="0.25">
      <c r="A1340" t="s">
        <v>1494</v>
      </c>
      <c r="B1340" t="s">
        <v>2095</v>
      </c>
      <c r="C1340" t="s">
        <v>816</v>
      </c>
      <c r="D1340" t="s">
        <v>20</v>
      </c>
      <c r="E1340" t="s">
        <v>821</v>
      </c>
      <c r="F1340" t="s">
        <v>15</v>
      </c>
      <c r="G1340" t="s">
        <v>22</v>
      </c>
      <c r="H1340" t="s">
        <v>696</v>
      </c>
      <c r="I1340" t="s">
        <v>316</v>
      </c>
      <c r="J1340">
        <v>2</v>
      </c>
      <c r="K1340">
        <v>500</v>
      </c>
      <c r="L1340">
        <v>500</v>
      </c>
      <c r="M1340">
        <v>1000</v>
      </c>
      <c r="N1340" t="s">
        <v>19</v>
      </c>
    </row>
    <row r="1341" spans="1:14" x14ac:dyDescent="0.25">
      <c r="A1341" t="s">
        <v>1494</v>
      </c>
      <c r="B1341" t="s">
        <v>2095</v>
      </c>
      <c r="C1341" t="s">
        <v>816</v>
      </c>
      <c r="D1341" t="s">
        <v>20</v>
      </c>
      <c r="E1341" t="s">
        <v>821</v>
      </c>
      <c r="F1341" t="s">
        <v>15</v>
      </c>
      <c r="G1341" t="s">
        <v>22</v>
      </c>
      <c r="H1341" t="s">
        <v>696</v>
      </c>
      <c r="I1341" t="s">
        <v>323</v>
      </c>
      <c r="J1341">
        <v>2</v>
      </c>
      <c r="K1341">
        <v>3500</v>
      </c>
      <c r="L1341">
        <v>10000</v>
      </c>
      <c r="M1341">
        <v>20000</v>
      </c>
      <c r="N1341" t="s">
        <v>19</v>
      </c>
    </row>
    <row r="1342" spans="1:14" x14ac:dyDescent="0.25">
      <c r="A1342" t="s">
        <v>1494</v>
      </c>
      <c r="B1342" t="s">
        <v>2095</v>
      </c>
      <c r="C1342" t="s">
        <v>816</v>
      </c>
      <c r="D1342" t="s">
        <v>20</v>
      </c>
      <c r="E1342" t="s">
        <v>821</v>
      </c>
      <c r="F1342" t="s">
        <v>15</v>
      </c>
      <c r="G1342" t="s">
        <v>22</v>
      </c>
      <c r="H1342" t="s">
        <v>696</v>
      </c>
      <c r="I1342" t="s">
        <v>324</v>
      </c>
      <c r="J1342">
        <v>1</v>
      </c>
      <c r="K1342">
        <v>17500</v>
      </c>
      <c r="L1342">
        <v>50000</v>
      </c>
      <c r="M1342">
        <v>50000</v>
      </c>
      <c r="N1342" t="s">
        <v>19</v>
      </c>
    </row>
    <row r="1343" spans="1:14" x14ac:dyDescent="0.25">
      <c r="A1343" t="s">
        <v>1494</v>
      </c>
      <c r="B1343" t="s">
        <v>2095</v>
      </c>
      <c r="C1343" t="s">
        <v>816</v>
      </c>
      <c r="D1343" t="s">
        <v>20</v>
      </c>
      <c r="E1343" t="s">
        <v>821</v>
      </c>
      <c r="F1343" t="s">
        <v>15</v>
      </c>
      <c r="G1343" t="s">
        <v>22</v>
      </c>
      <c r="H1343" t="s">
        <v>696</v>
      </c>
      <c r="I1343" t="s">
        <v>170</v>
      </c>
      <c r="J1343">
        <v>1</v>
      </c>
      <c r="K1343">
        <v>32500</v>
      </c>
      <c r="L1343">
        <v>32500</v>
      </c>
      <c r="M1343">
        <v>32500</v>
      </c>
      <c r="N1343" t="s">
        <v>19</v>
      </c>
    </row>
    <row r="1344" spans="1:14" x14ac:dyDescent="0.25">
      <c r="A1344" t="s">
        <v>1494</v>
      </c>
      <c r="B1344" t="s">
        <v>2095</v>
      </c>
      <c r="C1344" t="s">
        <v>816</v>
      </c>
      <c r="D1344" t="s">
        <v>20</v>
      </c>
      <c r="E1344" t="s">
        <v>821</v>
      </c>
      <c r="F1344" t="s">
        <v>15</v>
      </c>
      <c r="G1344" t="s">
        <v>22</v>
      </c>
      <c r="H1344" t="s">
        <v>696</v>
      </c>
      <c r="I1344" t="s">
        <v>24</v>
      </c>
      <c r="J1344">
        <v>1</v>
      </c>
      <c r="K1344">
        <v>32500</v>
      </c>
      <c r="L1344">
        <v>32500</v>
      </c>
      <c r="M1344">
        <v>32500</v>
      </c>
      <c r="N1344" t="s">
        <v>19</v>
      </c>
    </row>
    <row r="1345" spans="1:14" x14ac:dyDescent="0.25">
      <c r="A1345" t="s">
        <v>1494</v>
      </c>
      <c r="B1345" t="s">
        <v>2095</v>
      </c>
      <c r="C1345" t="s">
        <v>816</v>
      </c>
      <c r="D1345" t="s">
        <v>20</v>
      </c>
      <c r="E1345" t="s">
        <v>821</v>
      </c>
      <c r="F1345" t="s">
        <v>15</v>
      </c>
      <c r="G1345" t="s">
        <v>22</v>
      </c>
      <c r="H1345" t="s">
        <v>696</v>
      </c>
      <c r="I1345" t="s">
        <v>325</v>
      </c>
      <c r="J1345">
        <v>2</v>
      </c>
      <c r="K1345">
        <v>21500</v>
      </c>
      <c r="L1345">
        <v>31000</v>
      </c>
      <c r="M1345">
        <v>62000</v>
      </c>
      <c r="N1345" t="s">
        <v>19</v>
      </c>
    </row>
    <row r="1346" spans="1:14" x14ac:dyDescent="0.25">
      <c r="A1346" t="s">
        <v>1494</v>
      </c>
      <c r="B1346" t="s">
        <v>2095</v>
      </c>
      <c r="C1346" t="s">
        <v>816</v>
      </c>
      <c r="D1346" t="s">
        <v>20</v>
      </c>
      <c r="E1346" t="s">
        <v>821</v>
      </c>
      <c r="F1346" t="s">
        <v>15</v>
      </c>
      <c r="G1346" t="s">
        <v>22</v>
      </c>
      <c r="H1346" t="s">
        <v>696</v>
      </c>
      <c r="I1346" t="s">
        <v>326</v>
      </c>
      <c r="J1346">
        <v>2</v>
      </c>
      <c r="K1346">
        <v>18500</v>
      </c>
      <c r="L1346">
        <v>26500</v>
      </c>
      <c r="M1346">
        <v>53000</v>
      </c>
      <c r="N1346" t="s">
        <v>19</v>
      </c>
    </row>
    <row r="1347" spans="1:14" x14ac:dyDescent="0.25">
      <c r="A1347" t="s">
        <v>1494</v>
      </c>
      <c r="B1347" t="s">
        <v>2095</v>
      </c>
      <c r="C1347" t="s">
        <v>816</v>
      </c>
      <c r="D1347" t="s">
        <v>20</v>
      </c>
      <c r="E1347" t="s">
        <v>821</v>
      </c>
      <c r="F1347" t="s">
        <v>15</v>
      </c>
      <c r="G1347" t="s">
        <v>22</v>
      </c>
      <c r="H1347" t="s">
        <v>696</v>
      </c>
      <c r="I1347" t="s">
        <v>116</v>
      </c>
      <c r="J1347">
        <v>2</v>
      </c>
      <c r="K1347">
        <v>1350</v>
      </c>
      <c r="L1347">
        <v>2000</v>
      </c>
      <c r="M1347">
        <v>4000</v>
      </c>
      <c r="N1347" t="s">
        <v>19</v>
      </c>
    </row>
    <row r="1348" spans="1:14" x14ac:dyDescent="0.25">
      <c r="A1348" t="s">
        <v>1494</v>
      </c>
      <c r="B1348" t="s">
        <v>2095</v>
      </c>
      <c r="C1348" t="s">
        <v>816</v>
      </c>
      <c r="D1348" t="s">
        <v>20</v>
      </c>
      <c r="E1348" t="s">
        <v>821</v>
      </c>
      <c r="F1348" t="s">
        <v>15</v>
      </c>
      <c r="G1348" t="s">
        <v>22</v>
      </c>
      <c r="H1348" t="s">
        <v>696</v>
      </c>
      <c r="I1348" t="s">
        <v>814</v>
      </c>
      <c r="J1348">
        <v>1</v>
      </c>
      <c r="K1348">
        <v>7500</v>
      </c>
      <c r="L1348">
        <v>11500</v>
      </c>
      <c r="M1348">
        <v>11500</v>
      </c>
      <c r="N1348" t="s">
        <v>19</v>
      </c>
    </row>
    <row r="1349" spans="1:14" x14ac:dyDescent="0.25">
      <c r="A1349" t="s">
        <v>1494</v>
      </c>
      <c r="B1349" t="s">
        <v>2095</v>
      </c>
      <c r="C1349" t="s">
        <v>816</v>
      </c>
      <c r="D1349" t="s">
        <v>20</v>
      </c>
      <c r="E1349" t="s">
        <v>821</v>
      </c>
      <c r="F1349" t="s">
        <v>15</v>
      </c>
      <c r="G1349" t="s">
        <v>22</v>
      </c>
      <c r="H1349" t="s">
        <v>696</v>
      </c>
      <c r="I1349" t="s">
        <v>761</v>
      </c>
      <c r="J1349">
        <v>2</v>
      </c>
      <c r="K1349">
        <v>8500</v>
      </c>
      <c r="L1349">
        <v>12000</v>
      </c>
      <c r="M1349">
        <v>24000</v>
      </c>
      <c r="N1349" t="s">
        <v>19</v>
      </c>
    </row>
    <row r="1350" spans="1:14" x14ac:dyDescent="0.25">
      <c r="A1350" t="s">
        <v>1494</v>
      </c>
      <c r="B1350" t="s">
        <v>2095</v>
      </c>
      <c r="C1350" t="s">
        <v>816</v>
      </c>
      <c r="D1350" t="s">
        <v>20</v>
      </c>
      <c r="E1350" t="s">
        <v>821</v>
      </c>
      <c r="F1350" t="s">
        <v>15</v>
      </c>
      <c r="G1350" t="s">
        <v>22</v>
      </c>
      <c r="H1350" t="s">
        <v>696</v>
      </c>
      <c r="I1350" t="s">
        <v>328</v>
      </c>
      <c r="J1350">
        <v>1</v>
      </c>
      <c r="K1350">
        <v>24330</v>
      </c>
      <c r="L1350">
        <v>34000</v>
      </c>
      <c r="M1350">
        <v>34000</v>
      </c>
      <c r="N1350" t="s">
        <v>19</v>
      </c>
    </row>
    <row r="1351" spans="1:14" x14ac:dyDescent="0.25">
      <c r="A1351" t="s">
        <v>1494</v>
      </c>
      <c r="B1351" t="s">
        <v>2095</v>
      </c>
      <c r="C1351" t="s">
        <v>816</v>
      </c>
      <c r="D1351" t="s">
        <v>20</v>
      </c>
      <c r="E1351" t="s">
        <v>821</v>
      </c>
      <c r="F1351" t="s">
        <v>15</v>
      </c>
      <c r="G1351" t="s">
        <v>22</v>
      </c>
      <c r="H1351" t="s">
        <v>696</v>
      </c>
      <c r="I1351" t="s">
        <v>329</v>
      </c>
      <c r="J1351">
        <v>1</v>
      </c>
      <c r="K1351">
        <v>4250</v>
      </c>
      <c r="L1351">
        <v>6000</v>
      </c>
      <c r="M1351">
        <v>6000</v>
      </c>
      <c r="N1351" t="s">
        <v>19</v>
      </c>
    </row>
    <row r="1352" spans="1:14" x14ac:dyDescent="0.25">
      <c r="A1352" t="s">
        <v>1494</v>
      </c>
      <c r="B1352" t="s">
        <v>2095</v>
      </c>
      <c r="C1352" t="s">
        <v>816</v>
      </c>
      <c r="D1352" t="s">
        <v>20</v>
      </c>
      <c r="E1352" t="s">
        <v>821</v>
      </c>
      <c r="F1352" t="s">
        <v>15</v>
      </c>
      <c r="G1352" t="s">
        <v>22</v>
      </c>
      <c r="H1352" t="s">
        <v>696</v>
      </c>
      <c r="I1352" t="s">
        <v>76</v>
      </c>
      <c r="J1352">
        <v>1</v>
      </c>
      <c r="K1352">
        <v>1100</v>
      </c>
      <c r="L1352">
        <v>1100</v>
      </c>
      <c r="M1352">
        <v>1100</v>
      </c>
      <c r="N1352" t="s">
        <v>19</v>
      </c>
    </row>
    <row r="1353" spans="1:14" x14ac:dyDescent="0.25">
      <c r="A1353" t="s">
        <v>1494</v>
      </c>
      <c r="B1353" t="s">
        <v>2095</v>
      </c>
      <c r="C1353" t="s">
        <v>816</v>
      </c>
      <c r="D1353" t="s">
        <v>20</v>
      </c>
      <c r="E1353" t="s">
        <v>821</v>
      </c>
      <c r="F1353" t="s">
        <v>15</v>
      </c>
      <c r="G1353" t="s">
        <v>22</v>
      </c>
      <c r="H1353" t="s">
        <v>696</v>
      </c>
      <c r="I1353" t="s">
        <v>331</v>
      </c>
      <c r="J1353">
        <v>1</v>
      </c>
      <c r="K1353">
        <v>40000</v>
      </c>
      <c r="L1353">
        <v>40000</v>
      </c>
      <c r="M1353">
        <v>40000</v>
      </c>
      <c r="N1353" t="s">
        <v>19</v>
      </c>
    </row>
    <row r="1354" spans="1:14" x14ac:dyDescent="0.25">
      <c r="A1354" t="s">
        <v>1494</v>
      </c>
      <c r="B1354" t="s">
        <v>2095</v>
      </c>
      <c r="C1354" t="s">
        <v>816</v>
      </c>
      <c r="D1354" t="s">
        <v>20</v>
      </c>
      <c r="E1354" t="s">
        <v>821</v>
      </c>
      <c r="F1354" t="s">
        <v>15</v>
      </c>
      <c r="G1354" t="s">
        <v>22</v>
      </c>
      <c r="H1354" t="s">
        <v>696</v>
      </c>
      <c r="I1354" t="s">
        <v>692</v>
      </c>
      <c r="J1354">
        <v>3</v>
      </c>
      <c r="K1354">
        <v>550</v>
      </c>
      <c r="L1354">
        <v>800</v>
      </c>
      <c r="M1354">
        <v>2400</v>
      </c>
      <c r="N1354" t="s">
        <v>19</v>
      </c>
    </row>
    <row r="1355" spans="1:14" x14ac:dyDescent="0.25">
      <c r="A1355" t="s">
        <v>1505</v>
      </c>
      <c r="B1355" t="s">
        <v>2096</v>
      </c>
      <c r="C1355" t="s">
        <v>822</v>
      </c>
      <c r="D1355" t="s">
        <v>20</v>
      </c>
      <c r="E1355" t="s">
        <v>192</v>
      </c>
      <c r="F1355" t="s">
        <v>15</v>
      </c>
      <c r="G1355" t="s">
        <v>22</v>
      </c>
      <c r="H1355" t="s">
        <v>824</v>
      </c>
      <c r="I1355" t="s">
        <v>721</v>
      </c>
      <c r="J1355">
        <v>6</v>
      </c>
      <c r="K1355">
        <v>21500</v>
      </c>
      <c r="L1355">
        <v>25283</v>
      </c>
      <c r="M1355">
        <v>151698</v>
      </c>
      <c r="N1355" t="s">
        <v>19</v>
      </c>
    </row>
    <row r="1356" spans="1:14" x14ac:dyDescent="0.25">
      <c r="A1356" t="s">
        <v>1505</v>
      </c>
      <c r="B1356" t="s">
        <v>2096</v>
      </c>
      <c r="C1356" t="s">
        <v>822</v>
      </c>
      <c r="D1356" t="s">
        <v>20</v>
      </c>
      <c r="E1356" t="s">
        <v>192</v>
      </c>
      <c r="F1356" t="s">
        <v>15</v>
      </c>
      <c r="G1356" t="s">
        <v>22</v>
      </c>
      <c r="H1356" t="s">
        <v>824</v>
      </c>
      <c r="I1356" t="s">
        <v>33</v>
      </c>
      <c r="J1356">
        <v>6</v>
      </c>
      <c r="K1356">
        <v>10000</v>
      </c>
      <c r="L1356">
        <v>10000</v>
      </c>
      <c r="M1356">
        <v>60000</v>
      </c>
      <c r="N1356" t="s">
        <v>19</v>
      </c>
    </row>
    <row r="1357" spans="1:14" x14ac:dyDescent="0.25">
      <c r="A1357" t="s">
        <v>1505</v>
      </c>
      <c r="B1357" t="s">
        <v>2096</v>
      </c>
      <c r="C1357" t="s">
        <v>822</v>
      </c>
      <c r="D1357" t="s">
        <v>20</v>
      </c>
      <c r="E1357" t="s">
        <v>192</v>
      </c>
      <c r="F1357" t="s">
        <v>15</v>
      </c>
      <c r="G1357" t="s">
        <v>22</v>
      </c>
      <c r="H1357" t="s">
        <v>824</v>
      </c>
      <c r="I1357" t="s">
        <v>99</v>
      </c>
      <c r="J1357">
        <v>6</v>
      </c>
      <c r="K1357">
        <v>2000</v>
      </c>
      <c r="L1357">
        <v>2800</v>
      </c>
      <c r="M1357">
        <v>16800</v>
      </c>
      <c r="N1357" t="s">
        <v>19</v>
      </c>
    </row>
    <row r="1358" spans="1:14" x14ac:dyDescent="0.25">
      <c r="A1358" t="s">
        <v>1505</v>
      </c>
      <c r="B1358" t="s">
        <v>2096</v>
      </c>
      <c r="C1358" t="s">
        <v>822</v>
      </c>
      <c r="D1358" t="s">
        <v>20</v>
      </c>
      <c r="E1358" t="s">
        <v>192</v>
      </c>
      <c r="F1358" t="s">
        <v>15</v>
      </c>
      <c r="G1358" t="s">
        <v>22</v>
      </c>
      <c r="H1358" t="s">
        <v>824</v>
      </c>
      <c r="I1358" t="s">
        <v>134</v>
      </c>
      <c r="J1358">
        <v>5</v>
      </c>
      <c r="K1358">
        <v>440</v>
      </c>
      <c r="L1358">
        <v>440</v>
      </c>
      <c r="M1358">
        <v>2200</v>
      </c>
      <c r="N1358" t="s">
        <v>19</v>
      </c>
    </row>
    <row r="1359" spans="1:14" x14ac:dyDescent="0.25">
      <c r="A1359" t="s">
        <v>1630</v>
      </c>
      <c r="B1359" t="s">
        <v>2097</v>
      </c>
      <c r="C1359" t="s">
        <v>697</v>
      </c>
      <c r="D1359" t="s">
        <v>698</v>
      </c>
      <c r="E1359" t="s">
        <v>699</v>
      </c>
      <c r="F1359" t="s">
        <v>15</v>
      </c>
      <c r="G1359" t="s">
        <v>22</v>
      </c>
      <c r="H1359" t="s">
        <v>700</v>
      </c>
      <c r="I1359" t="s">
        <v>701</v>
      </c>
      <c r="J1359">
        <v>1</v>
      </c>
      <c r="K1359">
        <v>1900</v>
      </c>
      <c r="L1359">
        <v>2800</v>
      </c>
      <c r="M1359">
        <v>2800</v>
      </c>
      <c r="N1359" t="s">
        <v>19</v>
      </c>
    </row>
    <row r="1360" spans="1:14" x14ac:dyDescent="0.25">
      <c r="A1360" t="s">
        <v>1693</v>
      </c>
      <c r="B1360" t="s">
        <v>2098</v>
      </c>
      <c r="C1360" t="s">
        <v>702</v>
      </c>
      <c r="D1360" t="s">
        <v>706</v>
      </c>
      <c r="E1360" t="s">
        <v>364</v>
      </c>
      <c r="F1360" t="s">
        <v>15</v>
      </c>
      <c r="G1360" t="s">
        <v>22</v>
      </c>
      <c r="H1360" t="s">
        <v>700</v>
      </c>
      <c r="I1360" t="s">
        <v>151</v>
      </c>
      <c r="J1360">
        <v>1</v>
      </c>
      <c r="K1360">
        <v>2800</v>
      </c>
      <c r="L1360">
        <v>4267.8599999999997</v>
      </c>
      <c r="M1360">
        <v>4267.8599999999997</v>
      </c>
      <c r="N1360" t="s">
        <v>19</v>
      </c>
    </row>
    <row r="1361" spans="1:14" x14ac:dyDescent="0.25">
      <c r="A1361" t="s">
        <v>1588</v>
      </c>
      <c r="B1361" t="s">
        <v>2099</v>
      </c>
      <c r="C1361" t="s">
        <v>405</v>
      </c>
      <c r="D1361" t="s">
        <v>1117</v>
      </c>
      <c r="E1361" t="s">
        <v>1140</v>
      </c>
      <c r="F1361" t="s">
        <v>15</v>
      </c>
      <c r="G1361" t="s">
        <v>1024</v>
      </c>
      <c r="H1361" t="s">
        <v>700</v>
      </c>
      <c r="I1361" t="s">
        <v>1110</v>
      </c>
      <c r="J1361">
        <v>1</v>
      </c>
      <c r="K1361">
        <v>3675</v>
      </c>
      <c r="L1361">
        <v>10500</v>
      </c>
      <c r="M1361">
        <v>10500</v>
      </c>
      <c r="N1361" t="s">
        <v>19</v>
      </c>
    </row>
    <row r="1362" spans="1:14" x14ac:dyDescent="0.25">
      <c r="A1362" t="s">
        <v>1588</v>
      </c>
      <c r="B1362" t="s">
        <v>2099</v>
      </c>
      <c r="C1362" t="s">
        <v>405</v>
      </c>
      <c r="D1362" t="s">
        <v>1117</v>
      </c>
      <c r="E1362" t="s">
        <v>1140</v>
      </c>
      <c r="F1362" t="s">
        <v>15</v>
      </c>
      <c r="G1362" t="s">
        <v>1024</v>
      </c>
      <c r="H1362" t="s">
        <v>700</v>
      </c>
      <c r="I1362" t="s">
        <v>1011</v>
      </c>
      <c r="J1362">
        <v>1</v>
      </c>
      <c r="K1362">
        <v>2450</v>
      </c>
      <c r="L1362">
        <v>7000</v>
      </c>
      <c r="M1362">
        <v>7000</v>
      </c>
      <c r="N1362" t="s">
        <v>19</v>
      </c>
    </row>
    <row r="1363" spans="1:14" x14ac:dyDescent="0.25">
      <c r="A1363" t="s">
        <v>1588</v>
      </c>
      <c r="B1363" t="s">
        <v>2099</v>
      </c>
      <c r="C1363" t="s">
        <v>405</v>
      </c>
      <c r="D1363" t="s">
        <v>1117</v>
      </c>
      <c r="E1363" t="s">
        <v>1140</v>
      </c>
      <c r="F1363" t="s">
        <v>15</v>
      </c>
      <c r="G1363" t="s">
        <v>1024</v>
      </c>
      <c r="H1363" t="s">
        <v>700</v>
      </c>
      <c r="I1363" t="s">
        <v>24</v>
      </c>
      <c r="J1363">
        <v>1</v>
      </c>
      <c r="K1363">
        <v>2450</v>
      </c>
      <c r="L1363">
        <v>7000</v>
      </c>
      <c r="M1363">
        <v>7000</v>
      </c>
      <c r="N1363" t="s">
        <v>19</v>
      </c>
    </row>
    <row r="1364" spans="1:14" x14ac:dyDescent="0.25">
      <c r="A1364" t="s">
        <v>1588</v>
      </c>
      <c r="B1364" t="s">
        <v>2099</v>
      </c>
      <c r="C1364" t="s">
        <v>405</v>
      </c>
      <c r="D1364" t="s">
        <v>1117</v>
      </c>
      <c r="E1364" t="s">
        <v>1140</v>
      </c>
      <c r="F1364" t="s">
        <v>15</v>
      </c>
      <c r="G1364" t="s">
        <v>1024</v>
      </c>
      <c r="H1364" t="s">
        <v>700</v>
      </c>
      <c r="I1364" t="s">
        <v>26</v>
      </c>
      <c r="J1364">
        <v>1</v>
      </c>
      <c r="K1364">
        <v>500</v>
      </c>
      <c r="L1364">
        <v>500</v>
      </c>
      <c r="M1364">
        <v>500</v>
      </c>
      <c r="N1364" t="s">
        <v>19</v>
      </c>
    </row>
    <row r="1365" spans="1:14" x14ac:dyDescent="0.25">
      <c r="A1365" t="s">
        <v>1588</v>
      </c>
      <c r="B1365" t="s">
        <v>2099</v>
      </c>
      <c r="C1365" t="s">
        <v>405</v>
      </c>
      <c r="D1365" t="s">
        <v>1117</v>
      </c>
      <c r="E1365" t="s">
        <v>1140</v>
      </c>
      <c r="F1365" t="s">
        <v>15</v>
      </c>
      <c r="G1365" t="s">
        <v>1024</v>
      </c>
      <c r="H1365" t="s">
        <v>700</v>
      </c>
      <c r="I1365" t="s">
        <v>1119</v>
      </c>
      <c r="J1365">
        <v>1</v>
      </c>
      <c r="K1365">
        <v>20800</v>
      </c>
      <c r="L1365">
        <v>23000</v>
      </c>
      <c r="M1365">
        <v>23000</v>
      </c>
      <c r="N1365" t="s">
        <v>19</v>
      </c>
    </row>
    <row r="1366" spans="1:14" x14ac:dyDescent="0.25">
      <c r="A1366" t="s">
        <v>1588</v>
      </c>
      <c r="B1366" t="s">
        <v>2099</v>
      </c>
      <c r="C1366" t="s">
        <v>405</v>
      </c>
      <c r="D1366" t="s">
        <v>1117</v>
      </c>
      <c r="E1366" t="s">
        <v>1140</v>
      </c>
      <c r="F1366" t="s">
        <v>15</v>
      </c>
      <c r="G1366" t="s">
        <v>1024</v>
      </c>
      <c r="H1366" t="s">
        <v>700</v>
      </c>
      <c r="I1366" t="s">
        <v>1120</v>
      </c>
      <c r="J1366">
        <v>1</v>
      </c>
      <c r="K1366">
        <v>2334</v>
      </c>
      <c r="L1366">
        <v>3200</v>
      </c>
      <c r="M1366">
        <v>3200</v>
      </c>
      <c r="N1366" t="s">
        <v>19</v>
      </c>
    </row>
    <row r="1367" spans="1:14" x14ac:dyDescent="0.25">
      <c r="A1367" t="s">
        <v>1588</v>
      </c>
      <c r="B1367" t="s">
        <v>2099</v>
      </c>
      <c r="C1367" t="s">
        <v>405</v>
      </c>
      <c r="D1367" t="s">
        <v>1117</v>
      </c>
      <c r="E1367" t="s">
        <v>1140</v>
      </c>
      <c r="F1367" t="s">
        <v>15</v>
      </c>
      <c r="G1367" t="s">
        <v>1024</v>
      </c>
      <c r="H1367" t="s">
        <v>700</v>
      </c>
      <c r="I1367" t="s">
        <v>151</v>
      </c>
      <c r="J1367">
        <v>1</v>
      </c>
      <c r="K1367">
        <v>2000</v>
      </c>
      <c r="L1367">
        <v>3200</v>
      </c>
      <c r="M1367">
        <v>3200</v>
      </c>
      <c r="N1367" t="s">
        <v>19</v>
      </c>
    </row>
    <row r="1368" spans="1:14" x14ac:dyDescent="0.25">
      <c r="A1368" t="s">
        <v>1588</v>
      </c>
      <c r="B1368" t="s">
        <v>2099</v>
      </c>
      <c r="C1368" t="s">
        <v>405</v>
      </c>
      <c r="D1368" t="s">
        <v>1117</v>
      </c>
      <c r="E1368" t="s">
        <v>1140</v>
      </c>
      <c r="F1368" t="s">
        <v>15</v>
      </c>
      <c r="G1368" t="s">
        <v>1024</v>
      </c>
      <c r="H1368" t="s">
        <v>700</v>
      </c>
      <c r="I1368" t="s">
        <v>189</v>
      </c>
      <c r="J1368">
        <v>1</v>
      </c>
      <c r="K1368">
        <v>500</v>
      </c>
      <c r="L1368">
        <v>600</v>
      </c>
      <c r="M1368">
        <v>600</v>
      </c>
      <c r="N1368" t="s">
        <v>19</v>
      </c>
    </row>
    <row r="1369" spans="1:14" x14ac:dyDescent="0.25">
      <c r="A1369" t="s">
        <v>1588</v>
      </c>
      <c r="B1369" t="s">
        <v>2099</v>
      </c>
      <c r="C1369" t="s">
        <v>405</v>
      </c>
      <c r="D1369" t="s">
        <v>1117</v>
      </c>
      <c r="E1369" t="s">
        <v>1140</v>
      </c>
      <c r="F1369" t="s">
        <v>15</v>
      </c>
      <c r="G1369" t="s">
        <v>1024</v>
      </c>
      <c r="H1369" t="s">
        <v>700</v>
      </c>
      <c r="I1369" t="s">
        <v>1033</v>
      </c>
      <c r="J1369">
        <v>1</v>
      </c>
      <c r="K1369">
        <v>350</v>
      </c>
      <c r="L1369">
        <v>400</v>
      </c>
      <c r="M1369">
        <v>400</v>
      </c>
      <c r="N1369" t="s">
        <v>19</v>
      </c>
    </row>
    <row r="1370" spans="1:14" x14ac:dyDescent="0.25">
      <c r="A1370" t="s">
        <v>1588</v>
      </c>
      <c r="B1370" t="s">
        <v>2099</v>
      </c>
      <c r="C1370" t="s">
        <v>405</v>
      </c>
      <c r="D1370" t="s">
        <v>1117</v>
      </c>
      <c r="E1370" t="s">
        <v>1140</v>
      </c>
      <c r="F1370" t="s">
        <v>15</v>
      </c>
      <c r="G1370" t="s">
        <v>1024</v>
      </c>
      <c r="H1370" t="s">
        <v>700</v>
      </c>
      <c r="I1370" t="s">
        <v>1014</v>
      </c>
      <c r="J1370">
        <v>1</v>
      </c>
      <c r="K1370">
        <v>970</v>
      </c>
      <c r="L1370">
        <v>1200</v>
      </c>
      <c r="M1370">
        <v>1200</v>
      </c>
      <c r="N1370" t="s">
        <v>19</v>
      </c>
    </row>
    <row r="1371" spans="1:14" x14ac:dyDescent="0.25">
      <c r="A1371" t="s">
        <v>1588</v>
      </c>
      <c r="B1371" t="s">
        <v>2099</v>
      </c>
      <c r="C1371" t="s">
        <v>405</v>
      </c>
      <c r="D1371" t="s">
        <v>1117</v>
      </c>
      <c r="E1371" t="s">
        <v>1140</v>
      </c>
      <c r="F1371" t="s">
        <v>15</v>
      </c>
      <c r="G1371" t="s">
        <v>1024</v>
      </c>
      <c r="H1371" t="s">
        <v>700</v>
      </c>
      <c r="I1371" t="s">
        <v>1015</v>
      </c>
      <c r="J1371">
        <v>1</v>
      </c>
      <c r="K1371">
        <v>4250</v>
      </c>
      <c r="L1371">
        <v>4700</v>
      </c>
      <c r="M1371">
        <v>4700</v>
      </c>
      <c r="N1371" t="s">
        <v>19</v>
      </c>
    </row>
    <row r="1372" spans="1:14" x14ac:dyDescent="0.25">
      <c r="A1372" t="s">
        <v>1588</v>
      </c>
      <c r="B1372" t="s">
        <v>2099</v>
      </c>
      <c r="C1372" t="s">
        <v>405</v>
      </c>
      <c r="D1372" t="s">
        <v>1117</v>
      </c>
      <c r="E1372" t="s">
        <v>1140</v>
      </c>
      <c r="F1372" t="s">
        <v>15</v>
      </c>
      <c r="G1372" t="s">
        <v>1024</v>
      </c>
      <c r="H1372" t="s">
        <v>700</v>
      </c>
      <c r="I1372" t="s">
        <v>85</v>
      </c>
      <c r="J1372">
        <v>1</v>
      </c>
      <c r="K1372">
        <v>1350</v>
      </c>
      <c r="L1372">
        <v>1700</v>
      </c>
      <c r="M1372">
        <v>1700</v>
      </c>
      <c r="N1372" t="s">
        <v>19</v>
      </c>
    </row>
    <row r="1373" spans="1:14" x14ac:dyDescent="0.25">
      <c r="A1373" t="s">
        <v>1588</v>
      </c>
      <c r="B1373" t="s">
        <v>2099</v>
      </c>
      <c r="C1373" t="s">
        <v>405</v>
      </c>
      <c r="D1373" t="s">
        <v>1117</v>
      </c>
      <c r="E1373" t="s">
        <v>1140</v>
      </c>
      <c r="F1373" t="s">
        <v>15</v>
      </c>
      <c r="G1373" t="s">
        <v>1024</v>
      </c>
      <c r="H1373" t="s">
        <v>700</v>
      </c>
      <c r="I1373" t="s">
        <v>1016</v>
      </c>
      <c r="J1373">
        <v>1</v>
      </c>
      <c r="K1373">
        <v>8500</v>
      </c>
      <c r="L1373">
        <v>10000</v>
      </c>
      <c r="M1373">
        <v>10000</v>
      </c>
      <c r="N1373" t="s">
        <v>19</v>
      </c>
    </row>
    <row r="1374" spans="1:14" x14ac:dyDescent="0.25">
      <c r="A1374" t="s">
        <v>1588</v>
      </c>
      <c r="B1374" t="s">
        <v>2099</v>
      </c>
      <c r="C1374" t="s">
        <v>405</v>
      </c>
      <c r="D1374" t="s">
        <v>1117</v>
      </c>
      <c r="E1374" t="s">
        <v>1140</v>
      </c>
      <c r="F1374" t="s">
        <v>15</v>
      </c>
      <c r="G1374" t="s">
        <v>1024</v>
      </c>
      <c r="H1374" t="s">
        <v>700</v>
      </c>
      <c r="I1374" t="s">
        <v>97</v>
      </c>
      <c r="J1374">
        <v>1</v>
      </c>
      <c r="K1374">
        <v>2200</v>
      </c>
      <c r="L1374">
        <v>3000</v>
      </c>
      <c r="M1374">
        <v>3000</v>
      </c>
      <c r="N1374" t="s">
        <v>19</v>
      </c>
    </row>
    <row r="1375" spans="1:14" x14ac:dyDescent="0.25">
      <c r="A1375" t="s">
        <v>1588</v>
      </c>
      <c r="B1375" t="s">
        <v>2099</v>
      </c>
      <c r="C1375" t="s">
        <v>405</v>
      </c>
      <c r="D1375" t="s">
        <v>1117</v>
      </c>
      <c r="E1375" t="s">
        <v>1140</v>
      </c>
      <c r="F1375" t="s">
        <v>15</v>
      </c>
      <c r="G1375" t="s">
        <v>1024</v>
      </c>
      <c r="H1375" t="s">
        <v>700</v>
      </c>
      <c r="I1375" t="s">
        <v>1121</v>
      </c>
      <c r="J1375">
        <v>1</v>
      </c>
      <c r="K1375">
        <v>3000</v>
      </c>
      <c r="L1375">
        <v>3500</v>
      </c>
      <c r="M1375">
        <v>3500</v>
      </c>
      <c r="N1375" t="s">
        <v>19</v>
      </c>
    </row>
    <row r="1376" spans="1:14" x14ac:dyDescent="0.25">
      <c r="A1376" t="s">
        <v>1588</v>
      </c>
      <c r="B1376" t="s">
        <v>2099</v>
      </c>
      <c r="C1376" t="s">
        <v>405</v>
      </c>
      <c r="D1376" t="s">
        <v>1117</v>
      </c>
      <c r="E1376" t="s">
        <v>1140</v>
      </c>
      <c r="F1376" t="s">
        <v>15</v>
      </c>
      <c r="G1376" t="s">
        <v>1024</v>
      </c>
      <c r="H1376" t="s">
        <v>700</v>
      </c>
      <c r="I1376" t="s">
        <v>63</v>
      </c>
      <c r="J1376">
        <v>1</v>
      </c>
      <c r="K1376">
        <v>500</v>
      </c>
      <c r="L1376">
        <v>500</v>
      </c>
      <c r="M1376">
        <v>500</v>
      </c>
      <c r="N1376" t="s">
        <v>19</v>
      </c>
    </row>
    <row r="1377" spans="1:14" x14ac:dyDescent="0.25">
      <c r="A1377" t="s">
        <v>1588</v>
      </c>
      <c r="B1377" t="s">
        <v>2100</v>
      </c>
      <c r="C1377" t="s">
        <v>409</v>
      </c>
      <c r="D1377" t="s">
        <v>1117</v>
      </c>
      <c r="E1377" t="s">
        <v>1140</v>
      </c>
      <c r="F1377" t="s">
        <v>15</v>
      </c>
      <c r="G1377" t="s">
        <v>1024</v>
      </c>
      <c r="H1377" t="s">
        <v>700</v>
      </c>
      <c r="I1377" t="s">
        <v>1110</v>
      </c>
      <c r="J1377">
        <v>1</v>
      </c>
      <c r="K1377">
        <v>3675</v>
      </c>
      <c r="L1377">
        <v>10500</v>
      </c>
      <c r="M1377">
        <v>10500</v>
      </c>
      <c r="N1377" t="s">
        <v>19</v>
      </c>
    </row>
    <row r="1378" spans="1:14" x14ac:dyDescent="0.25">
      <c r="A1378" t="s">
        <v>1588</v>
      </c>
      <c r="B1378" t="s">
        <v>2100</v>
      </c>
      <c r="C1378" t="s">
        <v>409</v>
      </c>
      <c r="D1378" t="s">
        <v>1117</v>
      </c>
      <c r="E1378" t="s">
        <v>1140</v>
      </c>
      <c r="F1378" t="s">
        <v>15</v>
      </c>
      <c r="G1378" t="s">
        <v>1024</v>
      </c>
      <c r="H1378" t="s">
        <v>700</v>
      </c>
      <c r="I1378" t="s">
        <v>1011</v>
      </c>
      <c r="J1378">
        <v>1</v>
      </c>
      <c r="K1378">
        <v>2450</v>
      </c>
      <c r="L1378">
        <v>7000</v>
      </c>
      <c r="M1378">
        <v>7000</v>
      </c>
      <c r="N1378" t="s">
        <v>19</v>
      </c>
    </row>
    <row r="1379" spans="1:14" x14ac:dyDescent="0.25">
      <c r="A1379" t="s">
        <v>1588</v>
      </c>
      <c r="B1379" t="s">
        <v>2100</v>
      </c>
      <c r="C1379" t="s">
        <v>409</v>
      </c>
      <c r="D1379" t="s">
        <v>1117</v>
      </c>
      <c r="E1379" t="s">
        <v>1140</v>
      </c>
      <c r="F1379" t="s">
        <v>15</v>
      </c>
      <c r="G1379" t="s">
        <v>1024</v>
      </c>
      <c r="H1379" t="s">
        <v>700</v>
      </c>
      <c r="I1379" t="s">
        <v>24</v>
      </c>
      <c r="J1379">
        <v>1</v>
      </c>
      <c r="K1379">
        <v>2450</v>
      </c>
      <c r="L1379">
        <v>7000</v>
      </c>
      <c r="M1379">
        <v>7000</v>
      </c>
      <c r="N1379" t="s">
        <v>19</v>
      </c>
    </row>
    <row r="1380" spans="1:14" x14ac:dyDescent="0.25">
      <c r="A1380" t="s">
        <v>1588</v>
      </c>
      <c r="B1380" t="s">
        <v>2100</v>
      </c>
      <c r="C1380" t="s">
        <v>409</v>
      </c>
      <c r="D1380" t="s">
        <v>1117</v>
      </c>
      <c r="E1380" t="s">
        <v>1140</v>
      </c>
      <c r="F1380" t="s">
        <v>15</v>
      </c>
      <c r="G1380" t="s">
        <v>1024</v>
      </c>
      <c r="H1380" t="s">
        <v>700</v>
      </c>
      <c r="I1380" t="s">
        <v>26</v>
      </c>
      <c r="J1380">
        <v>1</v>
      </c>
      <c r="K1380">
        <v>500</v>
      </c>
      <c r="L1380">
        <v>500</v>
      </c>
      <c r="M1380">
        <v>500</v>
      </c>
      <c r="N1380" t="s">
        <v>19</v>
      </c>
    </row>
    <row r="1381" spans="1:14" x14ac:dyDescent="0.25">
      <c r="A1381" t="s">
        <v>1588</v>
      </c>
      <c r="B1381" t="s">
        <v>2100</v>
      </c>
      <c r="C1381" t="s">
        <v>409</v>
      </c>
      <c r="D1381" t="s">
        <v>1117</v>
      </c>
      <c r="E1381" t="s">
        <v>1140</v>
      </c>
      <c r="F1381" t="s">
        <v>15</v>
      </c>
      <c r="G1381" t="s">
        <v>1024</v>
      </c>
      <c r="H1381" t="s">
        <v>700</v>
      </c>
      <c r="I1381" t="s">
        <v>1119</v>
      </c>
      <c r="J1381">
        <v>1</v>
      </c>
      <c r="K1381">
        <v>20800</v>
      </c>
      <c r="L1381">
        <v>23000</v>
      </c>
      <c r="M1381">
        <v>23000</v>
      </c>
      <c r="N1381" t="s">
        <v>19</v>
      </c>
    </row>
    <row r="1382" spans="1:14" x14ac:dyDescent="0.25">
      <c r="A1382" t="s">
        <v>1588</v>
      </c>
      <c r="B1382" t="s">
        <v>2100</v>
      </c>
      <c r="C1382" t="s">
        <v>409</v>
      </c>
      <c r="D1382" t="s">
        <v>1117</v>
      </c>
      <c r="E1382" t="s">
        <v>1140</v>
      </c>
      <c r="F1382" t="s">
        <v>15</v>
      </c>
      <c r="G1382" t="s">
        <v>1024</v>
      </c>
      <c r="H1382" t="s">
        <v>700</v>
      </c>
      <c r="I1382" t="s">
        <v>1120</v>
      </c>
      <c r="J1382">
        <v>1</v>
      </c>
      <c r="K1382">
        <v>2334</v>
      </c>
      <c r="L1382">
        <v>3200</v>
      </c>
      <c r="M1382">
        <v>3200</v>
      </c>
      <c r="N1382" t="s">
        <v>19</v>
      </c>
    </row>
    <row r="1383" spans="1:14" x14ac:dyDescent="0.25">
      <c r="A1383" t="s">
        <v>1588</v>
      </c>
      <c r="B1383" t="s">
        <v>2100</v>
      </c>
      <c r="C1383" t="s">
        <v>409</v>
      </c>
      <c r="D1383" t="s">
        <v>1117</v>
      </c>
      <c r="E1383" t="s">
        <v>1140</v>
      </c>
      <c r="F1383" t="s">
        <v>15</v>
      </c>
      <c r="G1383" t="s">
        <v>1024</v>
      </c>
      <c r="H1383" t="s">
        <v>700</v>
      </c>
      <c r="I1383" t="s">
        <v>151</v>
      </c>
      <c r="J1383">
        <v>1</v>
      </c>
      <c r="K1383">
        <v>2000</v>
      </c>
      <c r="L1383">
        <v>3200</v>
      </c>
      <c r="M1383">
        <v>3200</v>
      </c>
      <c r="N1383" t="s">
        <v>19</v>
      </c>
    </row>
    <row r="1384" spans="1:14" x14ac:dyDescent="0.25">
      <c r="A1384" t="s">
        <v>1588</v>
      </c>
      <c r="B1384" t="s">
        <v>2100</v>
      </c>
      <c r="C1384" t="s">
        <v>409</v>
      </c>
      <c r="D1384" t="s">
        <v>1117</v>
      </c>
      <c r="E1384" t="s">
        <v>1140</v>
      </c>
      <c r="F1384" t="s">
        <v>15</v>
      </c>
      <c r="G1384" t="s">
        <v>1024</v>
      </c>
      <c r="H1384" t="s">
        <v>700</v>
      </c>
      <c r="I1384" t="s">
        <v>189</v>
      </c>
      <c r="J1384">
        <v>1</v>
      </c>
      <c r="K1384">
        <v>500</v>
      </c>
      <c r="L1384">
        <v>600</v>
      </c>
      <c r="M1384">
        <v>600</v>
      </c>
      <c r="N1384" t="s">
        <v>19</v>
      </c>
    </row>
    <row r="1385" spans="1:14" x14ac:dyDescent="0.25">
      <c r="A1385" t="s">
        <v>1588</v>
      </c>
      <c r="B1385" t="s">
        <v>2100</v>
      </c>
      <c r="C1385" t="s">
        <v>409</v>
      </c>
      <c r="D1385" t="s">
        <v>1117</v>
      </c>
      <c r="E1385" t="s">
        <v>1140</v>
      </c>
      <c r="F1385" t="s">
        <v>15</v>
      </c>
      <c r="G1385" t="s">
        <v>1024</v>
      </c>
      <c r="H1385" t="s">
        <v>700</v>
      </c>
      <c r="I1385" t="s">
        <v>1033</v>
      </c>
      <c r="J1385">
        <v>1</v>
      </c>
      <c r="K1385">
        <v>350</v>
      </c>
      <c r="L1385">
        <v>400</v>
      </c>
      <c r="M1385">
        <v>400</v>
      </c>
      <c r="N1385" t="s">
        <v>19</v>
      </c>
    </row>
    <row r="1386" spans="1:14" x14ac:dyDescent="0.25">
      <c r="A1386" t="s">
        <v>1588</v>
      </c>
      <c r="B1386" t="s">
        <v>2100</v>
      </c>
      <c r="C1386" t="s">
        <v>409</v>
      </c>
      <c r="D1386" t="s">
        <v>1117</v>
      </c>
      <c r="E1386" t="s">
        <v>1140</v>
      </c>
      <c r="F1386" t="s">
        <v>15</v>
      </c>
      <c r="G1386" t="s">
        <v>1024</v>
      </c>
      <c r="H1386" t="s">
        <v>700</v>
      </c>
      <c r="I1386" t="s">
        <v>1014</v>
      </c>
      <c r="J1386">
        <v>1</v>
      </c>
      <c r="K1386">
        <v>970</v>
      </c>
      <c r="L1386">
        <v>1200</v>
      </c>
      <c r="M1386">
        <v>1200</v>
      </c>
      <c r="N1386" t="s">
        <v>19</v>
      </c>
    </row>
    <row r="1387" spans="1:14" x14ac:dyDescent="0.25">
      <c r="A1387" t="s">
        <v>1588</v>
      </c>
      <c r="B1387" t="s">
        <v>2100</v>
      </c>
      <c r="C1387" t="s">
        <v>409</v>
      </c>
      <c r="D1387" t="s">
        <v>1117</v>
      </c>
      <c r="E1387" t="s">
        <v>1140</v>
      </c>
      <c r="F1387" t="s">
        <v>15</v>
      </c>
      <c r="G1387" t="s">
        <v>1024</v>
      </c>
      <c r="H1387" t="s">
        <v>700</v>
      </c>
      <c r="I1387" t="s">
        <v>1015</v>
      </c>
      <c r="J1387">
        <v>1</v>
      </c>
      <c r="K1387">
        <v>4250</v>
      </c>
      <c r="L1387">
        <v>4700</v>
      </c>
      <c r="M1387">
        <v>4700</v>
      </c>
      <c r="N1387" t="s">
        <v>19</v>
      </c>
    </row>
    <row r="1388" spans="1:14" x14ac:dyDescent="0.25">
      <c r="A1388" t="s">
        <v>1588</v>
      </c>
      <c r="B1388" t="s">
        <v>2100</v>
      </c>
      <c r="C1388" t="s">
        <v>409</v>
      </c>
      <c r="D1388" t="s">
        <v>1117</v>
      </c>
      <c r="E1388" t="s">
        <v>1140</v>
      </c>
      <c r="F1388" t="s">
        <v>15</v>
      </c>
      <c r="G1388" t="s">
        <v>1024</v>
      </c>
      <c r="H1388" t="s">
        <v>700</v>
      </c>
      <c r="I1388" t="s">
        <v>85</v>
      </c>
      <c r="J1388">
        <v>1</v>
      </c>
      <c r="K1388">
        <v>1350</v>
      </c>
      <c r="L1388">
        <v>1700</v>
      </c>
      <c r="M1388">
        <v>1700</v>
      </c>
      <c r="N1388" t="s">
        <v>19</v>
      </c>
    </row>
    <row r="1389" spans="1:14" x14ac:dyDescent="0.25">
      <c r="A1389" t="s">
        <v>1588</v>
      </c>
      <c r="B1389" t="s">
        <v>2100</v>
      </c>
      <c r="C1389" t="s">
        <v>409</v>
      </c>
      <c r="D1389" t="s">
        <v>1117</v>
      </c>
      <c r="E1389" t="s">
        <v>1140</v>
      </c>
      <c r="F1389" t="s">
        <v>15</v>
      </c>
      <c r="G1389" t="s">
        <v>1024</v>
      </c>
      <c r="H1389" t="s">
        <v>700</v>
      </c>
      <c r="I1389" t="s">
        <v>1016</v>
      </c>
      <c r="J1389">
        <v>1</v>
      </c>
      <c r="K1389">
        <v>8500</v>
      </c>
      <c r="L1389">
        <v>10000</v>
      </c>
      <c r="M1389">
        <v>10000</v>
      </c>
      <c r="N1389" t="s">
        <v>19</v>
      </c>
    </row>
    <row r="1390" spans="1:14" x14ac:dyDescent="0.25">
      <c r="A1390" t="s">
        <v>1588</v>
      </c>
      <c r="B1390" t="s">
        <v>2100</v>
      </c>
      <c r="C1390" t="s">
        <v>409</v>
      </c>
      <c r="D1390" t="s">
        <v>1117</v>
      </c>
      <c r="E1390" t="s">
        <v>1140</v>
      </c>
      <c r="F1390" t="s">
        <v>15</v>
      </c>
      <c r="G1390" t="s">
        <v>1024</v>
      </c>
      <c r="H1390" t="s">
        <v>700</v>
      </c>
      <c r="I1390" t="s">
        <v>97</v>
      </c>
      <c r="J1390">
        <v>1</v>
      </c>
      <c r="K1390">
        <v>2200</v>
      </c>
      <c r="L1390">
        <v>3000</v>
      </c>
      <c r="M1390">
        <v>3000</v>
      </c>
      <c r="N1390" t="s">
        <v>19</v>
      </c>
    </row>
    <row r="1391" spans="1:14" x14ac:dyDescent="0.25">
      <c r="A1391" t="s">
        <v>1588</v>
      </c>
      <c r="B1391" t="s">
        <v>2100</v>
      </c>
      <c r="C1391" t="s">
        <v>409</v>
      </c>
      <c r="D1391" t="s">
        <v>1117</v>
      </c>
      <c r="E1391" t="s">
        <v>1140</v>
      </c>
      <c r="F1391" t="s">
        <v>15</v>
      </c>
      <c r="G1391" t="s">
        <v>1024</v>
      </c>
      <c r="H1391" t="s">
        <v>700</v>
      </c>
      <c r="I1391" t="s">
        <v>1121</v>
      </c>
      <c r="J1391">
        <v>1</v>
      </c>
      <c r="K1391">
        <v>3000</v>
      </c>
      <c r="L1391">
        <v>3500</v>
      </c>
      <c r="M1391">
        <v>3500</v>
      </c>
      <c r="N1391" t="s">
        <v>19</v>
      </c>
    </row>
    <row r="1392" spans="1:14" x14ac:dyDescent="0.25">
      <c r="A1392" t="s">
        <v>1588</v>
      </c>
      <c r="B1392" t="s">
        <v>2100</v>
      </c>
      <c r="C1392" t="s">
        <v>409</v>
      </c>
      <c r="D1392" t="s">
        <v>1117</v>
      </c>
      <c r="E1392" t="s">
        <v>1140</v>
      </c>
      <c r="F1392" t="s">
        <v>15</v>
      </c>
      <c r="G1392" t="s">
        <v>1024</v>
      </c>
      <c r="H1392" t="s">
        <v>700</v>
      </c>
      <c r="I1392" t="s">
        <v>63</v>
      </c>
      <c r="J1392">
        <v>1</v>
      </c>
      <c r="K1392">
        <v>500</v>
      </c>
      <c r="L1392">
        <v>500</v>
      </c>
      <c r="M1392">
        <v>500</v>
      </c>
      <c r="N1392" t="s">
        <v>19</v>
      </c>
    </row>
    <row r="1393" spans="1:14" x14ac:dyDescent="0.25">
      <c r="A1393" t="s">
        <v>1451</v>
      </c>
      <c r="B1393" t="s">
        <v>2101</v>
      </c>
      <c r="C1393" t="s">
        <v>707</v>
      </c>
      <c r="D1393" t="s">
        <v>708</v>
      </c>
      <c r="E1393" t="s">
        <v>709</v>
      </c>
      <c r="F1393" t="s">
        <v>710</v>
      </c>
      <c r="G1393" t="s">
        <v>16</v>
      </c>
      <c r="H1393" t="s">
        <v>711</v>
      </c>
      <c r="I1393" t="s">
        <v>687</v>
      </c>
      <c r="J1393">
        <v>1</v>
      </c>
      <c r="K1393">
        <v>3675</v>
      </c>
      <c r="L1393">
        <v>10500</v>
      </c>
      <c r="M1393">
        <v>10500</v>
      </c>
      <c r="N1393" t="s">
        <v>39</v>
      </c>
    </row>
    <row r="1394" spans="1:14" x14ac:dyDescent="0.25">
      <c r="A1394" t="s">
        <v>1451</v>
      </c>
      <c r="B1394" t="s">
        <v>2101</v>
      </c>
      <c r="C1394" t="s">
        <v>707</v>
      </c>
      <c r="D1394" t="s">
        <v>708</v>
      </c>
      <c r="E1394" t="s">
        <v>709</v>
      </c>
      <c r="F1394" t="s">
        <v>710</v>
      </c>
      <c r="G1394" t="s">
        <v>16</v>
      </c>
      <c r="H1394" t="s">
        <v>711</v>
      </c>
      <c r="I1394" t="s">
        <v>48</v>
      </c>
      <c r="J1394">
        <v>1</v>
      </c>
      <c r="K1394">
        <v>3220</v>
      </c>
      <c r="L1394">
        <v>9200</v>
      </c>
      <c r="M1394">
        <v>9200</v>
      </c>
      <c r="N1394" t="s">
        <v>39</v>
      </c>
    </row>
    <row r="1395" spans="1:14" x14ac:dyDescent="0.25">
      <c r="A1395" t="s">
        <v>1451</v>
      </c>
      <c r="B1395" t="s">
        <v>2101</v>
      </c>
      <c r="C1395" t="s">
        <v>707</v>
      </c>
      <c r="D1395" t="s">
        <v>708</v>
      </c>
      <c r="E1395" t="s">
        <v>709</v>
      </c>
      <c r="F1395" t="s">
        <v>710</v>
      </c>
      <c r="G1395" t="s">
        <v>16</v>
      </c>
      <c r="H1395" t="s">
        <v>711</v>
      </c>
      <c r="I1395" t="s">
        <v>126</v>
      </c>
      <c r="J1395">
        <v>1</v>
      </c>
      <c r="K1395">
        <v>3220</v>
      </c>
      <c r="L1395">
        <v>9200</v>
      </c>
      <c r="M1395">
        <v>9200</v>
      </c>
      <c r="N1395" t="s">
        <v>39</v>
      </c>
    </row>
    <row r="1396" spans="1:14" x14ac:dyDescent="0.25">
      <c r="A1396" t="s">
        <v>1451</v>
      </c>
      <c r="B1396" t="s">
        <v>2101</v>
      </c>
      <c r="C1396" t="s">
        <v>707</v>
      </c>
      <c r="D1396" t="s">
        <v>708</v>
      </c>
      <c r="E1396" t="s">
        <v>709</v>
      </c>
      <c r="F1396" t="s">
        <v>710</v>
      </c>
      <c r="G1396" t="s">
        <v>16</v>
      </c>
      <c r="H1396" t="s">
        <v>711</v>
      </c>
      <c r="I1396" t="s">
        <v>26</v>
      </c>
      <c r="J1396">
        <v>1</v>
      </c>
      <c r="K1396">
        <v>500</v>
      </c>
      <c r="L1396">
        <v>500</v>
      </c>
      <c r="M1396">
        <v>500</v>
      </c>
      <c r="N1396" t="s">
        <v>39</v>
      </c>
    </row>
    <row r="1397" spans="1:14" x14ac:dyDescent="0.25">
      <c r="A1397" t="s">
        <v>1451</v>
      </c>
      <c r="B1397" t="s">
        <v>2101</v>
      </c>
      <c r="C1397" t="s">
        <v>707</v>
      </c>
      <c r="D1397" t="s">
        <v>708</v>
      </c>
      <c r="E1397" t="s">
        <v>709</v>
      </c>
      <c r="F1397" t="s">
        <v>710</v>
      </c>
      <c r="G1397" t="s">
        <v>16</v>
      </c>
      <c r="H1397" t="s">
        <v>711</v>
      </c>
      <c r="I1397" t="s">
        <v>38</v>
      </c>
      <c r="J1397">
        <v>1</v>
      </c>
      <c r="K1397">
        <v>8500</v>
      </c>
      <c r="L1397">
        <v>12500</v>
      </c>
      <c r="M1397">
        <v>12500</v>
      </c>
      <c r="N1397" t="s">
        <v>39</v>
      </c>
    </row>
    <row r="1398" spans="1:14" x14ac:dyDescent="0.25">
      <c r="A1398" t="s">
        <v>1451</v>
      </c>
      <c r="B1398" t="s">
        <v>2101</v>
      </c>
      <c r="C1398" t="s">
        <v>707</v>
      </c>
      <c r="D1398" t="s">
        <v>708</v>
      </c>
      <c r="E1398" t="s">
        <v>709</v>
      </c>
      <c r="F1398" t="s">
        <v>710</v>
      </c>
      <c r="G1398" t="s">
        <v>16</v>
      </c>
      <c r="H1398" t="s">
        <v>711</v>
      </c>
      <c r="I1398" t="s">
        <v>97</v>
      </c>
      <c r="J1398">
        <v>1</v>
      </c>
      <c r="K1398">
        <v>2200</v>
      </c>
      <c r="L1398">
        <v>3000</v>
      </c>
      <c r="M1398">
        <v>3000</v>
      </c>
      <c r="N1398" t="s">
        <v>39</v>
      </c>
    </row>
    <row r="1399" spans="1:14" x14ac:dyDescent="0.25">
      <c r="A1399" t="s">
        <v>1451</v>
      </c>
      <c r="B1399" t="s">
        <v>2101</v>
      </c>
      <c r="C1399" t="s">
        <v>707</v>
      </c>
      <c r="D1399" t="s">
        <v>708</v>
      </c>
      <c r="E1399" t="s">
        <v>709</v>
      </c>
      <c r="F1399" t="s">
        <v>710</v>
      </c>
      <c r="G1399" t="s">
        <v>16</v>
      </c>
      <c r="H1399" t="s">
        <v>711</v>
      </c>
      <c r="I1399" t="s">
        <v>93</v>
      </c>
      <c r="J1399">
        <v>1</v>
      </c>
      <c r="K1399">
        <v>11000</v>
      </c>
      <c r="L1399">
        <v>16000</v>
      </c>
      <c r="M1399">
        <v>16000</v>
      </c>
      <c r="N1399" t="s">
        <v>39</v>
      </c>
    </row>
    <row r="1400" spans="1:14" x14ac:dyDescent="0.25">
      <c r="A1400" t="s">
        <v>1451</v>
      </c>
      <c r="B1400" t="s">
        <v>2101</v>
      </c>
      <c r="C1400" t="s">
        <v>707</v>
      </c>
      <c r="D1400" t="s">
        <v>708</v>
      </c>
      <c r="E1400" t="s">
        <v>709</v>
      </c>
      <c r="F1400" t="s">
        <v>710</v>
      </c>
      <c r="G1400" t="s">
        <v>16</v>
      </c>
      <c r="H1400" t="s">
        <v>711</v>
      </c>
      <c r="I1400" t="s">
        <v>116</v>
      </c>
      <c r="J1400">
        <v>1</v>
      </c>
      <c r="K1400">
        <v>2185</v>
      </c>
      <c r="L1400">
        <v>3500</v>
      </c>
      <c r="M1400">
        <v>3500</v>
      </c>
      <c r="N1400" t="s">
        <v>39</v>
      </c>
    </row>
    <row r="1401" spans="1:14" x14ac:dyDescent="0.25">
      <c r="A1401" t="s">
        <v>1451</v>
      </c>
      <c r="B1401" t="s">
        <v>2101</v>
      </c>
      <c r="C1401" t="s">
        <v>707</v>
      </c>
      <c r="D1401" t="s">
        <v>708</v>
      </c>
      <c r="E1401" t="s">
        <v>709</v>
      </c>
      <c r="F1401" t="s">
        <v>710</v>
      </c>
      <c r="G1401" t="s">
        <v>16</v>
      </c>
      <c r="H1401" t="s">
        <v>711</v>
      </c>
      <c r="I1401" t="s">
        <v>249</v>
      </c>
      <c r="J1401">
        <v>1</v>
      </c>
      <c r="K1401">
        <v>23450</v>
      </c>
      <c r="L1401">
        <v>31500</v>
      </c>
      <c r="M1401">
        <v>31500</v>
      </c>
      <c r="N1401" t="s">
        <v>39</v>
      </c>
    </row>
    <row r="1402" spans="1:14" x14ac:dyDescent="0.25">
      <c r="A1402" t="s">
        <v>1451</v>
      </c>
      <c r="B1402" t="s">
        <v>2101</v>
      </c>
      <c r="C1402" t="s">
        <v>707</v>
      </c>
      <c r="D1402" t="s">
        <v>708</v>
      </c>
      <c r="E1402" t="s">
        <v>709</v>
      </c>
      <c r="F1402" t="s">
        <v>710</v>
      </c>
      <c r="G1402" t="s">
        <v>16</v>
      </c>
      <c r="H1402" t="s">
        <v>711</v>
      </c>
      <c r="I1402" t="s">
        <v>210</v>
      </c>
      <c r="J1402">
        <v>1</v>
      </c>
      <c r="K1402">
        <v>0</v>
      </c>
      <c r="L1402">
        <v>0</v>
      </c>
      <c r="M1402">
        <v>0</v>
      </c>
      <c r="N1402" t="s">
        <v>39</v>
      </c>
    </row>
    <row r="1403" spans="1:14" x14ac:dyDescent="0.25">
      <c r="A1403" t="s">
        <v>1451</v>
      </c>
      <c r="B1403" t="s">
        <v>2101</v>
      </c>
      <c r="C1403" t="s">
        <v>707</v>
      </c>
      <c r="D1403" t="s">
        <v>708</v>
      </c>
      <c r="E1403" t="s">
        <v>709</v>
      </c>
      <c r="F1403" t="s">
        <v>710</v>
      </c>
      <c r="G1403" t="s">
        <v>16</v>
      </c>
      <c r="H1403" t="s">
        <v>711</v>
      </c>
      <c r="I1403" t="s">
        <v>151</v>
      </c>
      <c r="J1403">
        <v>1</v>
      </c>
      <c r="K1403">
        <v>2800</v>
      </c>
      <c r="L1403">
        <v>4000</v>
      </c>
      <c r="M1403">
        <v>4000</v>
      </c>
      <c r="N1403" t="s">
        <v>39</v>
      </c>
    </row>
    <row r="1404" spans="1:14" x14ac:dyDescent="0.25">
      <c r="A1404" t="s">
        <v>1451</v>
      </c>
      <c r="B1404" t="s">
        <v>2101</v>
      </c>
      <c r="C1404" t="s">
        <v>707</v>
      </c>
      <c r="D1404" t="s">
        <v>708</v>
      </c>
      <c r="E1404" t="s">
        <v>709</v>
      </c>
      <c r="F1404" t="s">
        <v>710</v>
      </c>
      <c r="G1404" t="s">
        <v>16</v>
      </c>
      <c r="H1404" t="s">
        <v>711</v>
      </c>
      <c r="I1404" t="s">
        <v>98</v>
      </c>
      <c r="J1404">
        <v>1</v>
      </c>
      <c r="K1404">
        <v>970</v>
      </c>
      <c r="L1404">
        <v>1500</v>
      </c>
      <c r="M1404">
        <v>1500</v>
      </c>
      <c r="N1404" t="s">
        <v>39</v>
      </c>
    </row>
    <row r="1405" spans="1:14" x14ac:dyDescent="0.25">
      <c r="A1405" t="s">
        <v>1451</v>
      </c>
      <c r="B1405" t="s">
        <v>2101</v>
      </c>
      <c r="C1405" t="s">
        <v>707</v>
      </c>
      <c r="D1405" t="s">
        <v>708</v>
      </c>
      <c r="E1405" t="s">
        <v>709</v>
      </c>
      <c r="F1405" t="s">
        <v>710</v>
      </c>
      <c r="G1405" t="s">
        <v>16</v>
      </c>
      <c r="H1405" t="s">
        <v>711</v>
      </c>
      <c r="I1405" t="s">
        <v>63</v>
      </c>
      <c r="J1405">
        <v>1</v>
      </c>
      <c r="K1405">
        <v>600</v>
      </c>
      <c r="L1405">
        <v>600</v>
      </c>
      <c r="M1405">
        <v>600</v>
      </c>
      <c r="N1405" t="s">
        <v>39</v>
      </c>
    </row>
    <row r="1406" spans="1:14" x14ac:dyDescent="0.25">
      <c r="A1406" t="s">
        <v>1707</v>
      </c>
      <c r="B1406" t="s">
        <v>2102</v>
      </c>
      <c r="C1406" t="s">
        <v>712</v>
      </c>
      <c r="D1406" t="s">
        <v>713</v>
      </c>
      <c r="E1406" t="s">
        <v>714</v>
      </c>
      <c r="F1406" t="s">
        <v>15</v>
      </c>
      <c r="G1406" t="s">
        <v>37</v>
      </c>
      <c r="H1406" t="s">
        <v>711</v>
      </c>
      <c r="I1406" t="s">
        <v>154</v>
      </c>
      <c r="J1406">
        <v>1</v>
      </c>
      <c r="K1406">
        <v>1100</v>
      </c>
      <c r="L1406">
        <v>1500</v>
      </c>
      <c r="M1406">
        <v>1500</v>
      </c>
      <c r="N1406" t="s">
        <v>19</v>
      </c>
    </row>
    <row r="1407" spans="1:14" x14ac:dyDescent="0.25">
      <c r="A1407" t="s">
        <v>1534</v>
      </c>
      <c r="B1407" t="s">
        <v>2103</v>
      </c>
      <c r="C1407" t="s">
        <v>410</v>
      </c>
      <c r="D1407" t="s">
        <v>1141</v>
      </c>
      <c r="E1407" t="s">
        <v>1142</v>
      </c>
      <c r="F1407" t="s">
        <v>15</v>
      </c>
      <c r="G1407" t="s">
        <v>1024</v>
      </c>
      <c r="H1407" t="s">
        <v>711</v>
      </c>
      <c r="I1407" t="s">
        <v>114</v>
      </c>
      <c r="J1407">
        <v>1</v>
      </c>
      <c r="K1407">
        <v>3675</v>
      </c>
      <c r="L1407">
        <v>10500</v>
      </c>
      <c r="M1407">
        <v>10500</v>
      </c>
      <c r="N1407" t="s">
        <v>19</v>
      </c>
    </row>
    <row r="1408" spans="1:14" x14ac:dyDescent="0.25">
      <c r="A1408" t="s">
        <v>1534</v>
      </c>
      <c r="B1408" t="s">
        <v>2103</v>
      </c>
      <c r="C1408" t="s">
        <v>410</v>
      </c>
      <c r="D1408" t="s">
        <v>1141</v>
      </c>
      <c r="E1408" t="s">
        <v>1142</v>
      </c>
      <c r="F1408" t="s">
        <v>15</v>
      </c>
      <c r="G1408" t="s">
        <v>1024</v>
      </c>
      <c r="H1408" t="s">
        <v>711</v>
      </c>
      <c r="I1408" t="s">
        <v>25</v>
      </c>
      <c r="J1408">
        <v>1</v>
      </c>
      <c r="K1408">
        <v>3237.5</v>
      </c>
      <c r="L1408">
        <v>9250</v>
      </c>
      <c r="M1408">
        <v>9250</v>
      </c>
      <c r="N1408" t="s">
        <v>19</v>
      </c>
    </row>
    <row r="1409" spans="1:14" x14ac:dyDescent="0.25">
      <c r="A1409" t="s">
        <v>1534</v>
      </c>
      <c r="B1409" t="s">
        <v>2103</v>
      </c>
      <c r="C1409" t="s">
        <v>410</v>
      </c>
      <c r="D1409" t="s">
        <v>1141</v>
      </c>
      <c r="E1409" t="s">
        <v>1142</v>
      </c>
      <c r="F1409" t="s">
        <v>15</v>
      </c>
      <c r="G1409" t="s">
        <v>1024</v>
      </c>
      <c r="H1409" t="s">
        <v>711</v>
      </c>
      <c r="I1409" t="s">
        <v>24</v>
      </c>
      <c r="J1409">
        <v>1</v>
      </c>
      <c r="K1409">
        <v>3237.5</v>
      </c>
      <c r="L1409">
        <v>9250</v>
      </c>
      <c r="M1409">
        <v>9250</v>
      </c>
      <c r="N1409" t="s">
        <v>19</v>
      </c>
    </row>
    <row r="1410" spans="1:14" x14ac:dyDescent="0.25">
      <c r="A1410" t="s">
        <v>1534</v>
      </c>
      <c r="B1410" t="s">
        <v>2103</v>
      </c>
      <c r="C1410" t="s">
        <v>410</v>
      </c>
      <c r="D1410" t="s">
        <v>1141</v>
      </c>
      <c r="E1410" t="s">
        <v>1142</v>
      </c>
      <c r="F1410" t="s">
        <v>15</v>
      </c>
      <c r="G1410" t="s">
        <v>1024</v>
      </c>
      <c r="H1410" t="s">
        <v>711</v>
      </c>
      <c r="I1410" t="s">
        <v>26</v>
      </c>
      <c r="J1410">
        <v>1</v>
      </c>
      <c r="K1410">
        <v>500</v>
      </c>
      <c r="L1410">
        <v>500</v>
      </c>
      <c r="M1410">
        <v>500</v>
      </c>
      <c r="N1410" t="s">
        <v>19</v>
      </c>
    </row>
    <row r="1411" spans="1:14" x14ac:dyDescent="0.25">
      <c r="A1411" t="s">
        <v>1534</v>
      </c>
      <c r="B1411" t="s">
        <v>2103</v>
      </c>
      <c r="C1411" t="s">
        <v>410</v>
      </c>
      <c r="D1411" t="s">
        <v>1141</v>
      </c>
      <c r="E1411" t="s">
        <v>1142</v>
      </c>
      <c r="F1411" t="s">
        <v>15</v>
      </c>
      <c r="G1411" t="s">
        <v>1024</v>
      </c>
      <c r="H1411" t="s">
        <v>711</v>
      </c>
      <c r="I1411" t="s">
        <v>1032</v>
      </c>
      <c r="J1411">
        <v>1</v>
      </c>
      <c r="K1411">
        <v>23450</v>
      </c>
      <c r="L1411">
        <v>28000</v>
      </c>
      <c r="M1411">
        <v>28000</v>
      </c>
      <c r="N1411" t="s">
        <v>19</v>
      </c>
    </row>
    <row r="1412" spans="1:14" x14ac:dyDescent="0.25">
      <c r="A1412" t="s">
        <v>1534</v>
      </c>
      <c r="B1412" t="s">
        <v>2103</v>
      </c>
      <c r="C1412" t="s">
        <v>410</v>
      </c>
      <c r="D1412" t="s">
        <v>1141</v>
      </c>
      <c r="E1412" t="s">
        <v>1142</v>
      </c>
      <c r="F1412" t="s">
        <v>15</v>
      </c>
      <c r="G1412" t="s">
        <v>1024</v>
      </c>
      <c r="H1412" t="s">
        <v>711</v>
      </c>
      <c r="I1412" t="s">
        <v>1045</v>
      </c>
      <c r="J1412">
        <v>1</v>
      </c>
      <c r="K1412">
        <v>11000</v>
      </c>
      <c r="L1412">
        <v>14000</v>
      </c>
      <c r="M1412">
        <v>14000</v>
      </c>
      <c r="N1412" t="s">
        <v>19</v>
      </c>
    </row>
    <row r="1413" spans="1:14" x14ac:dyDescent="0.25">
      <c r="A1413" t="s">
        <v>1534</v>
      </c>
      <c r="B1413" t="s">
        <v>2103</v>
      </c>
      <c r="C1413" t="s">
        <v>410</v>
      </c>
      <c r="D1413" t="s">
        <v>1141</v>
      </c>
      <c r="E1413" t="s">
        <v>1142</v>
      </c>
      <c r="F1413" t="s">
        <v>15</v>
      </c>
      <c r="G1413" t="s">
        <v>1024</v>
      </c>
      <c r="H1413" t="s">
        <v>711</v>
      </c>
      <c r="I1413" t="s">
        <v>85</v>
      </c>
      <c r="J1413">
        <v>1</v>
      </c>
      <c r="K1413">
        <v>1350</v>
      </c>
      <c r="L1413">
        <v>1600</v>
      </c>
      <c r="M1413">
        <v>1600</v>
      </c>
      <c r="N1413" t="s">
        <v>19</v>
      </c>
    </row>
    <row r="1414" spans="1:14" x14ac:dyDescent="0.25">
      <c r="A1414" t="s">
        <v>1534</v>
      </c>
      <c r="B1414" t="s">
        <v>2103</v>
      </c>
      <c r="C1414" t="s">
        <v>410</v>
      </c>
      <c r="D1414" t="s">
        <v>1141</v>
      </c>
      <c r="E1414" t="s">
        <v>1142</v>
      </c>
      <c r="F1414" t="s">
        <v>15</v>
      </c>
      <c r="G1414" t="s">
        <v>1024</v>
      </c>
      <c r="H1414" t="s">
        <v>711</v>
      </c>
      <c r="I1414" t="s">
        <v>1048</v>
      </c>
      <c r="J1414">
        <v>1</v>
      </c>
      <c r="K1414">
        <v>8500</v>
      </c>
      <c r="L1414">
        <v>11500</v>
      </c>
      <c r="M1414">
        <v>11500</v>
      </c>
      <c r="N1414" t="s">
        <v>19</v>
      </c>
    </row>
    <row r="1415" spans="1:14" x14ac:dyDescent="0.25">
      <c r="A1415" t="s">
        <v>1534</v>
      </c>
      <c r="B1415" t="s">
        <v>2103</v>
      </c>
      <c r="C1415" t="s">
        <v>410</v>
      </c>
      <c r="D1415" t="s">
        <v>1141</v>
      </c>
      <c r="E1415" t="s">
        <v>1142</v>
      </c>
      <c r="F1415" t="s">
        <v>15</v>
      </c>
      <c r="G1415" t="s">
        <v>1024</v>
      </c>
      <c r="H1415" t="s">
        <v>711</v>
      </c>
      <c r="I1415" t="s">
        <v>97</v>
      </c>
      <c r="J1415">
        <v>1</v>
      </c>
      <c r="K1415">
        <v>2200</v>
      </c>
      <c r="L1415">
        <v>2700</v>
      </c>
      <c r="M1415">
        <v>2700</v>
      </c>
      <c r="N1415" t="s">
        <v>19</v>
      </c>
    </row>
    <row r="1416" spans="1:14" x14ac:dyDescent="0.25">
      <c r="A1416" t="s">
        <v>1534</v>
      </c>
      <c r="B1416" t="s">
        <v>2103</v>
      </c>
      <c r="C1416" t="s">
        <v>410</v>
      </c>
      <c r="D1416" t="s">
        <v>1141</v>
      </c>
      <c r="E1416" t="s">
        <v>1142</v>
      </c>
      <c r="F1416" t="s">
        <v>15</v>
      </c>
      <c r="G1416" t="s">
        <v>1024</v>
      </c>
      <c r="H1416" t="s">
        <v>711</v>
      </c>
      <c r="I1416" t="s">
        <v>151</v>
      </c>
      <c r="J1416">
        <v>1</v>
      </c>
      <c r="K1416">
        <v>2000</v>
      </c>
      <c r="L1416">
        <v>3000</v>
      </c>
      <c r="M1416">
        <v>3000</v>
      </c>
      <c r="N1416" t="s">
        <v>19</v>
      </c>
    </row>
    <row r="1417" spans="1:14" x14ac:dyDescent="0.25">
      <c r="A1417" t="s">
        <v>1534</v>
      </c>
      <c r="B1417" t="s">
        <v>2103</v>
      </c>
      <c r="C1417" t="s">
        <v>410</v>
      </c>
      <c r="D1417" t="s">
        <v>1141</v>
      </c>
      <c r="E1417" t="s">
        <v>1142</v>
      </c>
      <c r="F1417" t="s">
        <v>15</v>
      </c>
      <c r="G1417" t="s">
        <v>1024</v>
      </c>
      <c r="H1417" t="s">
        <v>711</v>
      </c>
      <c r="I1417" t="s">
        <v>1051</v>
      </c>
      <c r="J1417">
        <v>1</v>
      </c>
      <c r="K1417">
        <v>970</v>
      </c>
      <c r="L1417">
        <v>1200</v>
      </c>
      <c r="M1417">
        <v>1200</v>
      </c>
      <c r="N1417" t="s">
        <v>19</v>
      </c>
    </row>
    <row r="1418" spans="1:14" x14ac:dyDescent="0.25">
      <c r="A1418" t="s">
        <v>1534</v>
      </c>
      <c r="B1418" t="s">
        <v>2103</v>
      </c>
      <c r="C1418" t="s">
        <v>410</v>
      </c>
      <c r="D1418" t="s">
        <v>1141</v>
      </c>
      <c r="E1418" t="s">
        <v>1142</v>
      </c>
      <c r="F1418" t="s">
        <v>15</v>
      </c>
      <c r="G1418" t="s">
        <v>1024</v>
      </c>
      <c r="H1418" t="s">
        <v>711</v>
      </c>
      <c r="I1418" t="s">
        <v>63</v>
      </c>
      <c r="J1418">
        <v>1</v>
      </c>
      <c r="K1418">
        <v>500</v>
      </c>
      <c r="L1418">
        <v>500</v>
      </c>
      <c r="M1418">
        <v>500</v>
      </c>
      <c r="N1418" t="s">
        <v>19</v>
      </c>
    </row>
    <row r="1419" spans="1:14" x14ac:dyDescent="0.25">
      <c r="A1419" t="s">
        <v>1534</v>
      </c>
      <c r="B1419" t="s">
        <v>2103</v>
      </c>
      <c r="C1419" t="s">
        <v>410</v>
      </c>
      <c r="D1419" t="s">
        <v>1141</v>
      </c>
      <c r="E1419" t="s">
        <v>1142</v>
      </c>
      <c r="F1419" t="s">
        <v>15</v>
      </c>
      <c r="G1419" t="s">
        <v>1024</v>
      </c>
      <c r="H1419" t="s">
        <v>711</v>
      </c>
      <c r="I1419" t="s">
        <v>189</v>
      </c>
      <c r="J1419">
        <v>1</v>
      </c>
      <c r="K1419">
        <v>500</v>
      </c>
      <c r="L1419">
        <v>700</v>
      </c>
      <c r="M1419">
        <v>700</v>
      </c>
      <c r="N1419" t="s">
        <v>19</v>
      </c>
    </row>
    <row r="1420" spans="1:14" x14ac:dyDescent="0.25">
      <c r="A1420" t="s">
        <v>1534</v>
      </c>
      <c r="B1420" t="s">
        <v>2103</v>
      </c>
      <c r="C1420" t="s">
        <v>410</v>
      </c>
      <c r="D1420" t="s">
        <v>1141</v>
      </c>
      <c r="E1420" t="s">
        <v>1142</v>
      </c>
      <c r="F1420" t="s">
        <v>15</v>
      </c>
      <c r="G1420" t="s">
        <v>1024</v>
      </c>
      <c r="H1420" t="s">
        <v>711</v>
      </c>
      <c r="I1420" t="s">
        <v>1033</v>
      </c>
      <c r="J1420">
        <v>1</v>
      </c>
      <c r="K1420">
        <v>350</v>
      </c>
      <c r="L1420">
        <v>500</v>
      </c>
      <c r="M1420">
        <v>500</v>
      </c>
      <c r="N1420" t="s">
        <v>19</v>
      </c>
    </row>
    <row r="1421" spans="1:14" x14ac:dyDescent="0.25">
      <c r="A1421" t="s">
        <v>1534</v>
      </c>
      <c r="B1421" t="s">
        <v>2103</v>
      </c>
      <c r="C1421" t="s">
        <v>410</v>
      </c>
      <c r="D1421" t="s">
        <v>1141</v>
      </c>
      <c r="E1421" t="s">
        <v>1142</v>
      </c>
      <c r="F1421" t="s">
        <v>15</v>
      </c>
      <c r="G1421" t="s">
        <v>1024</v>
      </c>
      <c r="H1421" t="s">
        <v>711</v>
      </c>
      <c r="I1421" t="s">
        <v>1080</v>
      </c>
      <c r="J1421">
        <v>4</v>
      </c>
      <c r="K1421">
        <v>17</v>
      </c>
      <c r="L1421">
        <v>25</v>
      </c>
      <c r="M1421">
        <v>100</v>
      </c>
      <c r="N1421" t="s">
        <v>19</v>
      </c>
    </row>
    <row r="1422" spans="1:14" x14ac:dyDescent="0.25">
      <c r="A1422" t="s">
        <v>1683</v>
      </c>
      <c r="B1422" t="s">
        <v>2104</v>
      </c>
      <c r="C1422" t="s">
        <v>716</v>
      </c>
      <c r="D1422" t="s">
        <v>220</v>
      </c>
      <c r="E1422" t="s">
        <v>221</v>
      </c>
      <c r="F1422" t="s">
        <v>201</v>
      </c>
      <c r="G1422" t="s">
        <v>37</v>
      </c>
      <c r="H1422" t="s">
        <v>717</v>
      </c>
      <c r="I1422" t="s">
        <v>242</v>
      </c>
      <c r="J1422">
        <v>100</v>
      </c>
      <c r="K1422">
        <v>44.5</v>
      </c>
      <c r="L1422">
        <v>56</v>
      </c>
      <c r="M1422">
        <v>5600</v>
      </c>
      <c r="N1422" t="s">
        <v>39</v>
      </c>
    </row>
    <row r="1423" spans="1:14" x14ac:dyDescent="0.25">
      <c r="A1423" t="s">
        <v>1683</v>
      </c>
      <c r="B1423" t="s">
        <v>2104</v>
      </c>
      <c r="C1423" t="s">
        <v>716</v>
      </c>
      <c r="D1423" t="s">
        <v>220</v>
      </c>
      <c r="E1423" t="s">
        <v>221</v>
      </c>
      <c r="F1423" t="s">
        <v>201</v>
      </c>
      <c r="G1423" t="s">
        <v>37</v>
      </c>
      <c r="H1423" t="s">
        <v>717</v>
      </c>
      <c r="I1423" t="s">
        <v>63</v>
      </c>
      <c r="J1423">
        <v>1</v>
      </c>
      <c r="K1423">
        <v>400</v>
      </c>
      <c r="L1423">
        <v>400</v>
      </c>
      <c r="M1423">
        <v>400</v>
      </c>
      <c r="N1423" t="s">
        <v>39</v>
      </c>
    </row>
    <row r="1424" spans="1:14" x14ac:dyDescent="0.25">
      <c r="A1424" t="s">
        <v>1538</v>
      </c>
      <c r="B1424" t="s">
        <v>2105</v>
      </c>
      <c r="C1424" t="s">
        <v>413</v>
      </c>
      <c r="D1424" t="s">
        <v>1143</v>
      </c>
      <c r="E1424" t="s">
        <v>1144</v>
      </c>
      <c r="F1424" t="s">
        <v>1058</v>
      </c>
      <c r="G1424" t="s">
        <v>1043</v>
      </c>
      <c r="H1424" t="s">
        <v>1145</v>
      </c>
      <c r="I1424" t="s">
        <v>1146</v>
      </c>
      <c r="J1424">
        <v>1</v>
      </c>
      <c r="K1424">
        <v>15000</v>
      </c>
      <c r="L1424">
        <v>15000</v>
      </c>
      <c r="M1424">
        <v>15000</v>
      </c>
      <c r="N1424" t="s">
        <v>1010</v>
      </c>
    </row>
    <row r="1425" spans="1:14" x14ac:dyDescent="0.25">
      <c r="A1425" t="s">
        <v>1581</v>
      </c>
      <c r="B1425" t="s">
        <v>2106</v>
      </c>
      <c r="C1425" t="s">
        <v>718</v>
      </c>
      <c r="D1425" t="s">
        <v>87</v>
      </c>
      <c r="E1425" t="s">
        <v>87</v>
      </c>
      <c r="F1425" t="s">
        <v>15</v>
      </c>
      <c r="G1425" t="s">
        <v>37</v>
      </c>
      <c r="H1425" t="s">
        <v>719</v>
      </c>
      <c r="I1425" t="s">
        <v>89</v>
      </c>
      <c r="J1425">
        <v>50</v>
      </c>
      <c r="K1425">
        <v>32</v>
      </c>
      <c r="L1425">
        <v>50</v>
      </c>
      <c r="M1425">
        <v>2500</v>
      </c>
      <c r="N1425" t="s">
        <v>39</v>
      </c>
    </row>
    <row r="1426" spans="1:14" x14ac:dyDescent="0.25">
      <c r="A1426" t="s">
        <v>1471</v>
      </c>
      <c r="B1426" t="s">
        <v>2107</v>
      </c>
      <c r="C1426" t="s">
        <v>424</v>
      </c>
      <c r="D1426" t="s">
        <v>1134</v>
      </c>
      <c r="E1426" t="s">
        <v>1037</v>
      </c>
      <c r="F1426" t="s">
        <v>647</v>
      </c>
      <c r="G1426" t="s">
        <v>37</v>
      </c>
      <c r="H1426" t="s">
        <v>719</v>
      </c>
      <c r="I1426" t="s">
        <v>1147</v>
      </c>
      <c r="J1426">
        <v>50</v>
      </c>
      <c r="K1426">
        <v>17</v>
      </c>
      <c r="L1426">
        <v>25</v>
      </c>
      <c r="M1426">
        <v>1250</v>
      </c>
      <c r="N1426" t="s">
        <v>1010</v>
      </c>
    </row>
    <row r="1427" spans="1:14" x14ac:dyDescent="0.25">
      <c r="A1427" t="s">
        <v>1671</v>
      </c>
      <c r="B1427" t="s">
        <v>2108</v>
      </c>
      <c r="C1427" t="s">
        <v>724</v>
      </c>
      <c r="D1427" t="s">
        <v>725</v>
      </c>
      <c r="E1427" t="s">
        <v>726</v>
      </c>
      <c r="F1427" t="s">
        <v>15</v>
      </c>
      <c r="G1427" t="s">
        <v>16</v>
      </c>
      <c r="H1427" t="s">
        <v>727</v>
      </c>
      <c r="I1427" t="s">
        <v>728</v>
      </c>
      <c r="J1427">
        <v>1</v>
      </c>
      <c r="K1427">
        <v>2975</v>
      </c>
      <c r="L1427">
        <v>8500</v>
      </c>
      <c r="M1427">
        <v>8500</v>
      </c>
      <c r="N1427" t="s">
        <v>19</v>
      </c>
    </row>
    <row r="1428" spans="1:14" x14ac:dyDescent="0.25">
      <c r="A1428" t="s">
        <v>1517</v>
      </c>
      <c r="B1428" t="s">
        <v>2109</v>
      </c>
      <c r="C1428" t="s">
        <v>829</v>
      </c>
      <c r="D1428" t="s">
        <v>20</v>
      </c>
      <c r="E1428" t="s">
        <v>379</v>
      </c>
      <c r="F1428" t="s">
        <v>15</v>
      </c>
      <c r="G1428" t="s">
        <v>22</v>
      </c>
      <c r="H1428" t="s">
        <v>727</v>
      </c>
      <c r="I1428" t="s">
        <v>381</v>
      </c>
      <c r="J1428">
        <v>1</v>
      </c>
      <c r="K1428">
        <v>17</v>
      </c>
      <c r="L1428">
        <v>1250</v>
      </c>
      <c r="M1428">
        <v>1250</v>
      </c>
      <c r="N1428" t="s">
        <v>19</v>
      </c>
    </row>
    <row r="1429" spans="1:14" x14ac:dyDescent="0.25">
      <c r="A1429" t="s">
        <v>1679</v>
      </c>
      <c r="B1429" t="s">
        <v>2110</v>
      </c>
      <c r="C1429" t="s">
        <v>429</v>
      </c>
      <c r="D1429" t="s">
        <v>1148</v>
      </c>
      <c r="E1429" t="s">
        <v>1149</v>
      </c>
      <c r="F1429" t="s">
        <v>15</v>
      </c>
      <c r="G1429" t="s">
        <v>1024</v>
      </c>
      <c r="H1429" t="s">
        <v>1150</v>
      </c>
      <c r="I1429" t="s">
        <v>1110</v>
      </c>
      <c r="J1429">
        <v>1</v>
      </c>
      <c r="K1429">
        <v>3675</v>
      </c>
      <c r="L1429">
        <v>10500</v>
      </c>
      <c r="M1429">
        <v>10500</v>
      </c>
      <c r="N1429" t="s">
        <v>19</v>
      </c>
    </row>
    <row r="1430" spans="1:14" x14ac:dyDescent="0.25">
      <c r="A1430" t="s">
        <v>1679</v>
      </c>
      <c r="B1430" t="s">
        <v>2110</v>
      </c>
      <c r="C1430" t="s">
        <v>429</v>
      </c>
      <c r="D1430" t="s">
        <v>1148</v>
      </c>
      <c r="E1430" t="s">
        <v>1149</v>
      </c>
      <c r="F1430" t="s">
        <v>15</v>
      </c>
      <c r="G1430" t="s">
        <v>1024</v>
      </c>
      <c r="H1430" t="s">
        <v>1150</v>
      </c>
      <c r="I1430" t="s">
        <v>1011</v>
      </c>
      <c r="J1430">
        <v>1</v>
      </c>
      <c r="K1430">
        <v>3325</v>
      </c>
      <c r="L1430">
        <v>9500</v>
      </c>
      <c r="M1430">
        <v>9500</v>
      </c>
      <c r="N1430" t="s">
        <v>19</v>
      </c>
    </row>
    <row r="1431" spans="1:14" x14ac:dyDescent="0.25">
      <c r="A1431" t="s">
        <v>1679</v>
      </c>
      <c r="B1431" t="s">
        <v>2110</v>
      </c>
      <c r="C1431" t="s">
        <v>429</v>
      </c>
      <c r="D1431" t="s">
        <v>1148</v>
      </c>
      <c r="E1431" t="s">
        <v>1149</v>
      </c>
      <c r="F1431" t="s">
        <v>15</v>
      </c>
      <c r="G1431" t="s">
        <v>1024</v>
      </c>
      <c r="H1431" t="s">
        <v>1150</v>
      </c>
      <c r="I1431" t="s">
        <v>24</v>
      </c>
      <c r="J1431">
        <v>1</v>
      </c>
      <c r="K1431">
        <v>3325</v>
      </c>
      <c r="L1431">
        <v>9500</v>
      </c>
      <c r="M1431">
        <v>9500</v>
      </c>
      <c r="N1431" t="s">
        <v>19</v>
      </c>
    </row>
    <row r="1432" spans="1:14" x14ac:dyDescent="0.25">
      <c r="A1432" t="s">
        <v>1679</v>
      </c>
      <c r="B1432" t="s">
        <v>2110</v>
      </c>
      <c r="C1432" t="s">
        <v>429</v>
      </c>
      <c r="D1432" t="s">
        <v>1148</v>
      </c>
      <c r="E1432" t="s">
        <v>1149</v>
      </c>
      <c r="F1432" t="s">
        <v>15</v>
      </c>
      <c r="G1432" t="s">
        <v>1024</v>
      </c>
      <c r="H1432" t="s">
        <v>1150</v>
      </c>
      <c r="I1432" t="s">
        <v>26</v>
      </c>
      <c r="J1432">
        <v>1</v>
      </c>
      <c r="K1432">
        <v>500</v>
      </c>
      <c r="L1432">
        <v>500</v>
      </c>
      <c r="M1432">
        <v>500</v>
      </c>
      <c r="N1432" t="s">
        <v>19</v>
      </c>
    </row>
    <row r="1433" spans="1:14" x14ac:dyDescent="0.25">
      <c r="A1433" t="s">
        <v>1679</v>
      </c>
      <c r="B1433" t="s">
        <v>2110</v>
      </c>
      <c r="C1433" t="s">
        <v>429</v>
      </c>
      <c r="D1433" t="s">
        <v>1148</v>
      </c>
      <c r="E1433" t="s">
        <v>1149</v>
      </c>
      <c r="F1433" t="s">
        <v>15</v>
      </c>
      <c r="G1433" t="s">
        <v>1024</v>
      </c>
      <c r="H1433" t="s">
        <v>1150</v>
      </c>
      <c r="I1433" t="s">
        <v>1119</v>
      </c>
      <c r="J1433">
        <v>1</v>
      </c>
      <c r="K1433">
        <v>20800</v>
      </c>
      <c r="L1433">
        <v>24000</v>
      </c>
      <c r="M1433">
        <v>24000</v>
      </c>
      <c r="N1433" t="s">
        <v>19</v>
      </c>
    </row>
    <row r="1434" spans="1:14" x14ac:dyDescent="0.25">
      <c r="A1434" t="s">
        <v>1679</v>
      </c>
      <c r="B1434" t="s">
        <v>2110</v>
      </c>
      <c r="C1434" t="s">
        <v>429</v>
      </c>
      <c r="D1434" t="s">
        <v>1148</v>
      </c>
      <c r="E1434" t="s">
        <v>1149</v>
      </c>
      <c r="F1434" t="s">
        <v>15</v>
      </c>
      <c r="G1434" t="s">
        <v>1024</v>
      </c>
      <c r="H1434" t="s">
        <v>1150</v>
      </c>
      <c r="I1434" t="s">
        <v>1120</v>
      </c>
      <c r="J1434">
        <v>1</v>
      </c>
      <c r="K1434">
        <v>2334</v>
      </c>
      <c r="L1434">
        <v>4000</v>
      </c>
      <c r="M1434">
        <v>4000</v>
      </c>
      <c r="N1434" t="s">
        <v>19</v>
      </c>
    </row>
    <row r="1435" spans="1:14" x14ac:dyDescent="0.25">
      <c r="A1435" t="s">
        <v>1679</v>
      </c>
      <c r="B1435" t="s">
        <v>2110</v>
      </c>
      <c r="C1435" t="s">
        <v>429</v>
      </c>
      <c r="D1435" t="s">
        <v>1148</v>
      </c>
      <c r="E1435" t="s">
        <v>1149</v>
      </c>
      <c r="F1435" t="s">
        <v>15</v>
      </c>
      <c r="G1435" t="s">
        <v>1024</v>
      </c>
      <c r="H1435" t="s">
        <v>1150</v>
      </c>
      <c r="I1435" t="s">
        <v>151</v>
      </c>
      <c r="J1435">
        <v>1</v>
      </c>
      <c r="K1435">
        <v>2000</v>
      </c>
      <c r="L1435">
        <v>4000</v>
      </c>
      <c r="M1435">
        <v>4000</v>
      </c>
      <c r="N1435" t="s">
        <v>19</v>
      </c>
    </row>
    <row r="1436" spans="1:14" x14ac:dyDescent="0.25">
      <c r="A1436" t="s">
        <v>1679</v>
      </c>
      <c r="B1436" t="s">
        <v>2110</v>
      </c>
      <c r="C1436" t="s">
        <v>429</v>
      </c>
      <c r="D1436" t="s">
        <v>1148</v>
      </c>
      <c r="E1436" t="s">
        <v>1149</v>
      </c>
      <c r="F1436" t="s">
        <v>15</v>
      </c>
      <c r="G1436" t="s">
        <v>1024</v>
      </c>
      <c r="H1436" t="s">
        <v>1150</v>
      </c>
      <c r="I1436" t="s">
        <v>189</v>
      </c>
      <c r="J1436">
        <v>1</v>
      </c>
      <c r="K1436">
        <v>500</v>
      </c>
      <c r="L1436">
        <v>600</v>
      </c>
      <c r="M1436">
        <v>600</v>
      </c>
      <c r="N1436" t="s">
        <v>19</v>
      </c>
    </row>
    <row r="1437" spans="1:14" x14ac:dyDescent="0.25">
      <c r="A1437" t="s">
        <v>1679</v>
      </c>
      <c r="B1437" t="s">
        <v>2110</v>
      </c>
      <c r="C1437" t="s">
        <v>429</v>
      </c>
      <c r="D1437" t="s">
        <v>1148</v>
      </c>
      <c r="E1437" t="s">
        <v>1149</v>
      </c>
      <c r="F1437" t="s">
        <v>15</v>
      </c>
      <c r="G1437" t="s">
        <v>1024</v>
      </c>
      <c r="H1437" t="s">
        <v>1150</v>
      </c>
      <c r="I1437" t="s">
        <v>1033</v>
      </c>
      <c r="J1437">
        <v>1</v>
      </c>
      <c r="K1437">
        <v>350</v>
      </c>
      <c r="L1437">
        <v>400</v>
      </c>
      <c r="M1437">
        <v>400</v>
      </c>
      <c r="N1437" t="s">
        <v>19</v>
      </c>
    </row>
    <row r="1438" spans="1:14" x14ac:dyDescent="0.25">
      <c r="A1438" t="s">
        <v>1679</v>
      </c>
      <c r="B1438" t="s">
        <v>2110</v>
      </c>
      <c r="C1438" t="s">
        <v>429</v>
      </c>
      <c r="D1438" t="s">
        <v>1148</v>
      </c>
      <c r="E1438" t="s">
        <v>1149</v>
      </c>
      <c r="F1438" t="s">
        <v>15</v>
      </c>
      <c r="G1438" t="s">
        <v>1024</v>
      </c>
      <c r="H1438" t="s">
        <v>1150</v>
      </c>
      <c r="I1438" t="s">
        <v>1014</v>
      </c>
      <c r="J1438">
        <v>1</v>
      </c>
      <c r="K1438">
        <v>970</v>
      </c>
      <c r="L1438">
        <v>1500</v>
      </c>
      <c r="M1438">
        <v>1500</v>
      </c>
      <c r="N1438" t="s">
        <v>19</v>
      </c>
    </row>
    <row r="1439" spans="1:14" x14ac:dyDescent="0.25">
      <c r="A1439" t="s">
        <v>1679</v>
      </c>
      <c r="B1439" t="s">
        <v>2110</v>
      </c>
      <c r="C1439" t="s">
        <v>429</v>
      </c>
      <c r="D1439" t="s">
        <v>1148</v>
      </c>
      <c r="E1439" t="s">
        <v>1149</v>
      </c>
      <c r="F1439" t="s">
        <v>15</v>
      </c>
      <c r="G1439" t="s">
        <v>1024</v>
      </c>
      <c r="H1439" t="s">
        <v>1150</v>
      </c>
      <c r="I1439" t="s">
        <v>1015</v>
      </c>
      <c r="J1439">
        <v>1</v>
      </c>
      <c r="K1439">
        <v>4250</v>
      </c>
      <c r="L1439">
        <v>6500</v>
      </c>
      <c r="M1439">
        <v>6500</v>
      </c>
      <c r="N1439" t="s">
        <v>19</v>
      </c>
    </row>
    <row r="1440" spans="1:14" x14ac:dyDescent="0.25">
      <c r="A1440" t="s">
        <v>1679</v>
      </c>
      <c r="B1440" t="s">
        <v>2110</v>
      </c>
      <c r="C1440" t="s">
        <v>429</v>
      </c>
      <c r="D1440" t="s">
        <v>1148</v>
      </c>
      <c r="E1440" t="s">
        <v>1149</v>
      </c>
      <c r="F1440" t="s">
        <v>15</v>
      </c>
      <c r="G1440" t="s">
        <v>1024</v>
      </c>
      <c r="H1440" t="s">
        <v>1150</v>
      </c>
      <c r="I1440" t="s">
        <v>116</v>
      </c>
      <c r="J1440">
        <v>1</v>
      </c>
      <c r="K1440">
        <v>2185</v>
      </c>
      <c r="L1440">
        <v>3500</v>
      </c>
      <c r="M1440">
        <v>3500</v>
      </c>
      <c r="N1440" t="s">
        <v>19</v>
      </c>
    </row>
    <row r="1441" spans="1:14" x14ac:dyDescent="0.25">
      <c r="A1441" t="s">
        <v>1679</v>
      </c>
      <c r="B1441" t="s">
        <v>2110</v>
      </c>
      <c r="C1441" t="s">
        <v>429</v>
      </c>
      <c r="D1441" t="s">
        <v>1148</v>
      </c>
      <c r="E1441" t="s">
        <v>1149</v>
      </c>
      <c r="F1441" t="s">
        <v>15</v>
      </c>
      <c r="G1441" t="s">
        <v>1024</v>
      </c>
      <c r="H1441" t="s">
        <v>1150</v>
      </c>
      <c r="I1441" t="s">
        <v>1016</v>
      </c>
      <c r="J1441">
        <v>1</v>
      </c>
      <c r="K1441">
        <v>8500</v>
      </c>
      <c r="L1441">
        <v>12400</v>
      </c>
      <c r="M1441">
        <v>12400</v>
      </c>
      <c r="N1441" t="s">
        <v>19</v>
      </c>
    </row>
    <row r="1442" spans="1:14" x14ac:dyDescent="0.25">
      <c r="A1442" t="s">
        <v>1679</v>
      </c>
      <c r="B1442" t="s">
        <v>2110</v>
      </c>
      <c r="C1442" t="s">
        <v>429</v>
      </c>
      <c r="D1442" t="s">
        <v>1148</v>
      </c>
      <c r="E1442" t="s">
        <v>1149</v>
      </c>
      <c r="F1442" t="s">
        <v>15</v>
      </c>
      <c r="G1442" t="s">
        <v>1024</v>
      </c>
      <c r="H1442" t="s">
        <v>1150</v>
      </c>
      <c r="I1442" t="s">
        <v>97</v>
      </c>
      <c r="J1442">
        <v>1</v>
      </c>
      <c r="K1442">
        <v>2200</v>
      </c>
      <c r="L1442">
        <v>3500</v>
      </c>
      <c r="M1442">
        <v>3500</v>
      </c>
      <c r="N1442" t="s">
        <v>19</v>
      </c>
    </row>
    <row r="1443" spans="1:14" x14ac:dyDescent="0.25">
      <c r="A1443" t="s">
        <v>1679</v>
      </c>
      <c r="B1443" t="s">
        <v>2110</v>
      </c>
      <c r="C1443" t="s">
        <v>429</v>
      </c>
      <c r="D1443" t="s">
        <v>1148</v>
      </c>
      <c r="E1443" t="s">
        <v>1149</v>
      </c>
      <c r="F1443" t="s">
        <v>15</v>
      </c>
      <c r="G1443" t="s">
        <v>1024</v>
      </c>
      <c r="H1443" t="s">
        <v>1150</v>
      </c>
      <c r="I1443" t="s">
        <v>1121</v>
      </c>
      <c r="J1443">
        <v>1</v>
      </c>
      <c r="K1443">
        <v>3000</v>
      </c>
      <c r="L1443">
        <v>3500</v>
      </c>
      <c r="M1443">
        <v>3500</v>
      </c>
      <c r="N1443" t="s">
        <v>19</v>
      </c>
    </row>
    <row r="1444" spans="1:14" x14ac:dyDescent="0.25">
      <c r="A1444" t="s">
        <v>1679</v>
      </c>
      <c r="B1444" t="s">
        <v>2110</v>
      </c>
      <c r="C1444" t="s">
        <v>429</v>
      </c>
      <c r="D1444" t="s">
        <v>1148</v>
      </c>
      <c r="E1444" t="s">
        <v>1149</v>
      </c>
      <c r="F1444" t="s">
        <v>15</v>
      </c>
      <c r="G1444" t="s">
        <v>1024</v>
      </c>
      <c r="H1444" t="s">
        <v>1150</v>
      </c>
      <c r="I1444" t="s">
        <v>1147</v>
      </c>
      <c r="J1444">
        <v>4</v>
      </c>
      <c r="K1444">
        <v>17</v>
      </c>
      <c r="L1444">
        <v>25</v>
      </c>
      <c r="M1444">
        <v>100</v>
      </c>
      <c r="N1444" t="s">
        <v>19</v>
      </c>
    </row>
    <row r="1445" spans="1:14" x14ac:dyDescent="0.25">
      <c r="A1445" t="s">
        <v>1679</v>
      </c>
      <c r="B1445" t="s">
        <v>2111</v>
      </c>
      <c r="C1445" t="s">
        <v>433</v>
      </c>
      <c r="D1445" t="s">
        <v>1148</v>
      </c>
      <c r="E1445" t="s">
        <v>1149</v>
      </c>
      <c r="F1445" t="s">
        <v>15</v>
      </c>
      <c r="G1445" t="s">
        <v>1024</v>
      </c>
      <c r="H1445" t="s">
        <v>1150</v>
      </c>
      <c r="I1445" t="s">
        <v>1110</v>
      </c>
      <c r="J1445">
        <v>1</v>
      </c>
      <c r="K1445">
        <v>3675</v>
      </c>
      <c r="L1445">
        <v>10500</v>
      </c>
      <c r="M1445">
        <v>10500</v>
      </c>
      <c r="N1445" t="s">
        <v>19</v>
      </c>
    </row>
    <row r="1446" spans="1:14" x14ac:dyDescent="0.25">
      <c r="A1446" t="s">
        <v>1679</v>
      </c>
      <c r="B1446" t="s">
        <v>2111</v>
      </c>
      <c r="C1446" t="s">
        <v>433</v>
      </c>
      <c r="D1446" t="s">
        <v>1148</v>
      </c>
      <c r="E1446" t="s">
        <v>1149</v>
      </c>
      <c r="F1446" t="s">
        <v>15</v>
      </c>
      <c r="G1446" t="s">
        <v>1024</v>
      </c>
      <c r="H1446" t="s">
        <v>1150</v>
      </c>
      <c r="I1446" t="s">
        <v>1011</v>
      </c>
      <c r="J1446">
        <v>1</v>
      </c>
      <c r="K1446">
        <v>3325</v>
      </c>
      <c r="L1446">
        <v>9500</v>
      </c>
      <c r="M1446">
        <v>9500</v>
      </c>
      <c r="N1446" t="s">
        <v>19</v>
      </c>
    </row>
    <row r="1447" spans="1:14" x14ac:dyDescent="0.25">
      <c r="A1447" t="s">
        <v>1679</v>
      </c>
      <c r="B1447" t="s">
        <v>2111</v>
      </c>
      <c r="C1447" t="s">
        <v>433</v>
      </c>
      <c r="D1447" t="s">
        <v>1148</v>
      </c>
      <c r="E1447" t="s">
        <v>1149</v>
      </c>
      <c r="F1447" t="s">
        <v>15</v>
      </c>
      <c r="G1447" t="s">
        <v>1024</v>
      </c>
      <c r="H1447" t="s">
        <v>1150</v>
      </c>
      <c r="I1447" t="s">
        <v>24</v>
      </c>
      <c r="J1447">
        <v>1</v>
      </c>
      <c r="K1447">
        <v>3325</v>
      </c>
      <c r="L1447">
        <v>9500</v>
      </c>
      <c r="M1447">
        <v>9500</v>
      </c>
      <c r="N1447" t="s">
        <v>19</v>
      </c>
    </row>
    <row r="1448" spans="1:14" x14ac:dyDescent="0.25">
      <c r="A1448" t="s">
        <v>1679</v>
      </c>
      <c r="B1448" t="s">
        <v>2111</v>
      </c>
      <c r="C1448" t="s">
        <v>433</v>
      </c>
      <c r="D1448" t="s">
        <v>1148</v>
      </c>
      <c r="E1448" t="s">
        <v>1149</v>
      </c>
      <c r="F1448" t="s">
        <v>15</v>
      </c>
      <c r="G1448" t="s">
        <v>1024</v>
      </c>
      <c r="H1448" t="s">
        <v>1150</v>
      </c>
      <c r="I1448" t="s">
        <v>26</v>
      </c>
      <c r="J1448">
        <v>1</v>
      </c>
      <c r="K1448">
        <v>500</v>
      </c>
      <c r="L1448">
        <v>500</v>
      </c>
      <c r="M1448">
        <v>500</v>
      </c>
      <c r="N1448" t="s">
        <v>19</v>
      </c>
    </row>
    <row r="1449" spans="1:14" x14ac:dyDescent="0.25">
      <c r="A1449" t="s">
        <v>1679</v>
      </c>
      <c r="B1449" t="s">
        <v>2111</v>
      </c>
      <c r="C1449" t="s">
        <v>433</v>
      </c>
      <c r="D1449" t="s">
        <v>1148</v>
      </c>
      <c r="E1449" t="s">
        <v>1149</v>
      </c>
      <c r="F1449" t="s">
        <v>15</v>
      </c>
      <c r="G1449" t="s">
        <v>1024</v>
      </c>
      <c r="H1449" t="s">
        <v>1150</v>
      </c>
      <c r="I1449" t="s">
        <v>1119</v>
      </c>
      <c r="J1449">
        <v>1</v>
      </c>
      <c r="K1449">
        <v>20800</v>
      </c>
      <c r="L1449">
        <v>24000</v>
      </c>
      <c r="M1449">
        <v>24000</v>
      </c>
      <c r="N1449" t="s">
        <v>19</v>
      </c>
    </row>
    <row r="1450" spans="1:14" x14ac:dyDescent="0.25">
      <c r="A1450" t="s">
        <v>1679</v>
      </c>
      <c r="B1450" t="s">
        <v>2111</v>
      </c>
      <c r="C1450" t="s">
        <v>433</v>
      </c>
      <c r="D1450" t="s">
        <v>1148</v>
      </c>
      <c r="E1450" t="s">
        <v>1149</v>
      </c>
      <c r="F1450" t="s">
        <v>15</v>
      </c>
      <c r="G1450" t="s">
        <v>1024</v>
      </c>
      <c r="H1450" t="s">
        <v>1150</v>
      </c>
      <c r="I1450" t="s">
        <v>1120</v>
      </c>
      <c r="J1450">
        <v>1</v>
      </c>
      <c r="K1450">
        <v>2334</v>
      </c>
      <c r="L1450">
        <v>4000</v>
      </c>
      <c r="M1450">
        <v>4000</v>
      </c>
      <c r="N1450" t="s">
        <v>19</v>
      </c>
    </row>
    <row r="1451" spans="1:14" x14ac:dyDescent="0.25">
      <c r="A1451" t="s">
        <v>1679</v>
      </c>
      <c r="B1451" t="s">
        <v>2111</v>
      </c>
      <c r="C1451" t="s">
        <v>433</v>
      </c>
      <c r="D1451" t="s">
        <v>1148</v>
      </c>
      <c r="E1451" t="s">
        <v>1149</v>
      </c>
      <c r="F1451" t="s">
        <v>15</v>
      </c>
      <c r="G1451" t="s">
        <v>1024</v>
      </c>
      <c r="H1451" t="s">
        <v>1150</v>
      </c>
      <c r="I1451" t="s">
        <v>151</v>
      </c>
      <c r="J1451">
        <v>1</v>
      </c>
      <c r="K1451">
        <v>2000</v>
      </c>
      <c r="L1451">
        <v>4000</v>
      </c>
      <c r="M1451">
        <v>4000</v>
      </c>
      <c r="N1451" t="s">
        <v>19</v>
      </c>
    </row>
    <row r="1452" spans="1:14" x14ac:dyDescent="0.25">
      <c r="A1452" t="s">
        <v>1679</v>
      </c>
      <c r="B1452" t="s">
        <v>2111</v>
      </c>
      <c r="C1452" t="s">
        <v>433</v>
      </c>
      <c r="D1452" t="s">
        <v>1148</v>
      </c>
      <c r="E1452" t="s">
        <v>1149</v>
      </c>
      <c r="F1452" t="s">
        <v>15</v>
      </c>
      <c r="G1452" t="s">
        <v>1024</v>
      </c>
      <c r="H1452" t="s">
        <v>1150</v>
      </c>
      <c r="I1452" t="s">
        <v>189</v>
      </c>
      <c r="J1452">
        <v>1</v>
      </c>
      <c r="K1452">
        <v>500</v>
      </c>
      <c r="L1452">
        <v>600</v>
      </c>
      <c r="M1452">
        <v>600</v>
      </c>
      <c r="N1452" t="s">
        <v>19</v>
      </c>
    </row>
    <row r="1453" spans="1:14" x14ac:dyDescent="0.25">
      <c r="A1453" t="s">
        <v>1679</v>
      </c>
      <c r="B1453" t="s">
        <v>2111</v>
      </c>
      <c r="C1453" t="s">
        <v>433</v>
      </c>
      <c r="D1453" t="s">
        <v>1148</v>
      </c>
      <c r="E1453" t="s">
        <v>1149</v>
      </c>
      <c r="F1453" t="s">
        <v>15</v>
      </c>
      <c r="G1453" t="s">
        <v>1024</v>
      </c>
      <c r="H1453" t="s">
        <v>1150</v>
      </c>
      <c r="I1453" t="s">
        <v>1033</v>
      </c>
      <c r="J1453">
        <v>1</v>
      </c>
      <c r="K1453">
        <v>350</v>
      </c>
      <c r="L1453">
        <v>400</v>
      </c>
      <c r="M1453">
        <v>400</v>
      </c>
      <c r="N1453" t="s">
        <v>19</v>
      </c>
    </row>
    <row r="1454" spans="1:14" x14ac:dyDescent="0.25">
      <c r="A1454" t="s">
        <v>1679</v>
      </c>
      <c r="B1454" t="s">
        <v>2111</v>
      </c>
      <c r="C1454" t="s">
        <v>433</v>
      </c>
      <c r="D1454" t="s">
        <v>1148</v>
      </c>
      <c r="E1454" t="s">
        <v>1149</v>
      </c>
      <c r="F1454" t="s">
        <v>15</v>
      </c>
      <c r="G1454" t="s">
        <v>1024</v>
      </c>
      <c r="H1454" t="s">
        <v>1150</v>
      </c>
      <c r="I1454" t="s">
        <v>1014</v>
      </c>
      <c r="J1454">
        <v>1</v>
      </c>
      <c r="K1454">
        <v>970</v>
      </c>
      <c r="L1454">
        <v>1500</v>
      </c>
      <c r="M1454">
        <v>1500</v>
      </c>
      <c r="N1454" t="s">
        <v>19</v>
      </c>
    </row>
    <row r="1455" spans="1:14" x14ac:dyDescent="0.25">
      <c r="A1455" t="s">
        <v>1679</v>
      </c>
      <c r="B1455" t="s">
        <v>2111</v>
      </c>
      <c r="C1455" t="s">
        <v>433</v>
      </c>
      <c r="D1455" t="s">
        <v>1148</v>
      </c>
      <c r="E1455" t="s">
        <v>1149</v>
      </c>
      <c r="F1455" t="s">
        <v>15</v>
      </c>
      <c r="G1455" t="s">
        <v>1024</v>
      </c>
      <c r="H1455" t="s">
        <v>1150</v>
      </c>
      <c r="I1455" t="s">
        <v>1015</v>
      </c>
      <c r="J1455">
        <v>1</v>
      </c>
      <c r="K1455">
        <v>4250</v>
      </c>
      <c r="L1455">
        <v>6500</v>
      </c>
      <c r="M1455">
        <v>6500</v>
      </c>
      <c r="N1455" t="s">
        <v>19</v>
      </c>
    </row>
    <row r="1456" spans="1:14" x14ac:dyDescent="0.25">
      <c r="A1456" t="s">
        <v>1679</v>
      </c>
      <c r="B1456" t="s">
        <v>2111</v>
      </c>
      <c r="C1456" t="s">
        <v>433</v>
      </c>
      <c r="D1456" t="s">
        <v>1148</v>
      </c>
      <c r="E1456" t="s">
        <v>1149</v>
      </c>
      <c r="F1456" t="s">
        <v>15</v>
      </c>
      <c r="G1456" t="s">
        <v>1024</v>
      </c>
      <c r="H1456" t="s">
        <v>1150</v>
      </c>
      <c r="I1456" t="s">
        <v>116</v>
      </c>
      <c r="J1456">
        <v>1</v>
      </c>
      <c r="K1456">
        <v>2185</v>
      </c>
      <c r="L1456">
        <v>3500</v>
      </c>
      <c r="M1456">
        <v>3500</v>
      </c>
      <c r="N1456" t="s">
        <v>19</v>
      </c>
    </row>
    <row r="1457" spans="1:14" x14ac:dyDescent="0.25">
      <c r="A1457" t="s">
        <v>1679</v>
      </c>
      <c r="B1457" t="s">
        <v>2111</v>
      </c>
      <c r="C1457" t="s">
        <v>433</v>
      </c>
      <c r="D1457" t="s">
        <v>1148</v>
      </c>
      <c r="E1457" t="s">
        <v>1149</v>
      </c>
      <c r="F1457" t="s">
        <v>15</v>
      </c>
      <c r="G1457" t="s">
        <v>1024</v>
      </c>
      <c r="H1457" t="s">
        <v>1150</v>
      </c>
      <c r="I1457" t="s">
        <v>1016</v>
      </c>
      <c r="J1457">
        <v>1</v>
      </c>
      <c r="K1457">
        <v>8500</v>
      </c>
      <c r="L1457">
        <v>12400</v>
      </c>
      <c r="M1457">
        <v>12400</v>
      </c>
      <c r="N1457" t="s">
        <v>19</v>
      </c>
    </row>
    <row r="1458" spans="1:14" x14ac:dyDescent="0.25">
      <c r="A1458" t="s">
        <v>1679</v>
      </c>
      <c r="B1458" t="s">
        <v>2111</v>
      </c>
      <c r="C1458" t="s">
        <v>433</v>
      </c>
      <c r="D1458" t="s">
        <v>1148</v>
      </c>
      <c r="E1458" t="s">
        <v>1149</v>
      </c>
      <c r="F1458" t="s">
        <v>15</v>
      </c>
      <c r="G1458" t="s">
        <v>1024</v>
      </c>
      <c r="H1458" t="s">
        <v>1150</v>
      </c>
      <c r="I1458" t="s">
        <v>97</v>
      </c>
      <c r="J1458">
        <v>1</v>
      </c>
      <c r="K1458">
        <v>2200</v>
      </c>
      <c r="L1458">
        <v>3500</v>
      </c>
      <c r="M1458">
        <v>3500</v>
      </c>
      <c r="N1458" t="s">
        <v>19</v>
      </c>
    </row>
    <row r="1459" spans="1:14" x14ac:dyDescent="0.25">
      <c r="A1459" t="s">
        <v>1679</v>
      </c>
      <c r="B1459" t="s">
        <v>2111</v>
      </c>
      <c r="C1459" t="s">
        <v>433</v>
      </c>
      <c r="D1459" t="s">
        <v>1148</v>
      </c>
      <c r="E1459" t="s">
        <v>1149</v>
      </c>
      <c r="F1459" t="s">
        <v>15</v>
      </c>
      <c r="G1459" t="s">
        <v>1024</v>
      </c>
      <c r="H1459" t="s">
        <v>1150</v>
      </c>
      <c r="I1459" t="s">
        <v>1121</v>
      </c>
      <c r="J1459">
        <v>1</v>
      </c>
      <c r="K1459">
        <v>3000</v>
      </c>
      <c r="L1459">
        <v>3500</v>
      </c>
      <c r="M1459">
        <v>3500</v>
      </c>
      <c r="N1459" t="s">
        <v>19</v>
      </c>
    </row>
    <row r="1460" spans="1:14" x14ac:dyDescent="0.25">
      <c r="A1460" t="s">
        <v>1679</v>
      </c>
      <c r="B1460" t="s">
        <v>2111</v>
      </c>
      <c r="C1460" t="s">
        <v>433</v>
      </c>
      <c r="D1460" t="s">
        <v>1148</v>
      </c>
      <c r="E1460" t="s">
        <v>1149</v>
      </c>
      <c r="F1460" t="s">
        <v>15</v>
      </c>
      <c r="G1460" t="s">
        <v>1024</v>
      </c>
      <c r="H1460" t="s">
        <v>1150</v>
      </c>
      <c r="I1460" t="s">
        <v>1147</v>
      </c>
      <c r="J1460">
        <v>4</v>
      </c>
      <c r="K1460">
        <v>17</v>
      </c>
      <c r="L1460">
        <v>25</v>
      </c>
      <c r="M1460">
        <v>100</v>
      </c>
      <c r="N1460" t="s">
        <v>19</v>
      </c>
    </row>
    <row r="1461" spans="1:14" x14ac:dyDescent="0.25">
      <c r="A1461" t="s">
        <v>1652</v>
      </c>
      <c r="B1461" t="s">
        <v>2112</v>
      </c>
      <c r="C1461" t="s">
        <v>729</v>
      </c>
      <c r="D1461" t="s">
        <v>730</v>
      </c>
      <c r="E1461" t="s">
        <v>731</v>
      </c>
      <c r="F1461" t="s">
        <v>15</v>
      </c>
      <c r="G1461" t="s">
        <v>37</v>
      </c>
      <c r="H1461" t="s">
        <v>732</v>
      </c>
      <c r="I1461" t="s">
        <v>177</v>
      </c>
      <c r="J1461">
        <v>1</v>
      </c>
      <c r="K1461">
        <v>9500</v>
      </c>
      <c r="L1461">
        <v>13500</v>
      </c>
      <c r="M1461">
        <v>13500</v>
      </c>
      <c r="N1461" t="s">
        <v>19</v>
      </c>
    </row>
    <row r="1462" spans="1:14" x14ac:dyDescent="0.25">
      <c r="A1462" t="s">
        <v>1652</v>
      </c>
      <c r="B1462" t="s">
        <v>2112</v>
      </c>
      <c r="C1462" t="s">
        <v>729</v>
      </c>
      <c r="D1462" t="s">
        <v>730</v>
      </c>
      <c r="E1462" t="s">
        <v>731</v>
      </c>
      <c r="F1462" t="s">
        <v>15</v>
      </c>
      <c r="G1462" t="s">
        <v>37</v>
      </c>
      <c r="H1462" t="s">
        <v>732</v>
      </c>
      <c r="I1462" t="s">
        <v>393</v>
      </c>
      <c r="J1462">
        <v>1</v>
      </c>
      <c r="K1462">
        <v>500</v>
      </c>
      <c r="L1462">
        <v>500</v>
      </c>
      <c r="M1462">
        <v>500</v>
      </c>
      <c r="N1462" t="s">
        <v>19</v>
      </c>
    </row>
    <row r="1463" spans="1:14" x14ac:dyDescent="0.25">
      <c r="A1463" t="s">
        <v>1518</v>
      </c>
      <c r="B1463" t="s">
        <v>2113</v>
      </c>
      <c r="C1463" t="s">
        <v>833</v>
      </c>
      <c r="D1463" t="s">
        <v>20</v>
      </c>
      <c r="E1463" t="s">
        <v>835</v>
      </c>
      <c r="F1463" t="s">
        <v>15</v>
      </c>
      <c r="G1463" t="s">
        <v>22</v>
      </c>
      <c r="H1463" t="s">
        <v>732</v>
      </c>
      <c r="I1463" t="s">
        <v>133</v>
      </c>
      <c r="J1463">
        <v>1</v>
      </c>
      <c r="K1463">
        <v>2975</v>
      </c>
      <c r="L1463">
        <v>8500</v>
      </c>
      <c r="M1463">
        <v>8500</v>
      </c>
      <c r="N1463" t="s">
        <v>19</v>
      </c>
    </row>
    <row r="1464" spans="1:14" x14ac:dyDescent="0.25">
      <c r="A1464" t="s">
        <v>1518</v>
      </c>
      <c r="B1464" t="s">
        <v>2113</v>
      </c>
      <c r="C1464" t="s">
        <v>833</v>
      </c>
      <c r="D1464" t="s">
        <v>20</v>
      </c>
      <c r="E1464" t="s">
        <v>835</v>
      </c>
      <c r="F1464" t="s">
        <v>15</v>
      </c>
      <c r="G1464" t="s">
        <v>22</v>
      </c>
      <c r="H1464" t="s">
        <v>732</v>
      </c>
      <c r="I1464" t="s">
        <v>170</v>
      </c>
      <c r="J1464">
        <v>1</v>
      </c>
      <c r="K1464">
        <v>8000</v>
      </c>
      <c r="L1464">
        <v>8000</v>
      </c>
      <c r="M1464">
        <v>8000</v>
      </c>
      <c r="N1464" t="s">
        <v>19</v>
      </c>
    </row>
    <row r="1465" spans="1:14" x14ac:dyDescent="0.25">
      <c r="A1465" t="s">
        <v>1518</v>
      </c>
      <c r="B1465" t="s">
        <v>2113</v>
      </c>
      <c r="C1465" t="s">
        <v>833</v>
      </c>
      <c r="D1465" t="s">
        <v>20</v>
      </c>
      <c r="E1465" t="s">
        <v>835</v>
      </c>
      <c r="F1465" t="s">
        <v>15</v>
      </c>
      <c r="G1465" t="s">
        <v>22</v>
      </c>
      <c r="H1465" t="s">
        <v>732</v>
      </c>
      <c r="I1465" t="s">
        <v>24</v>
      </c>
      <c r="J1465">
        <v>1</v>
      </c>
      <c r="K1465">
        <v>8000</v>
      </c>
      <c r="L1465">
        <v>8000</v>
      </c>
      <c r="M1465">
        <v>8000</v>
      </c>
      <c r="N1465" t="s">
        <v>19</v>
      </c>
    </row>
    <row r="1466" spans="1:14" x14ac:dyDescent="0.25">
      <c r="A1466" t="s">
        <v>1518</v>
      </c>
      <c r="B1466" t="s">
        <v>2113</v>
      </c>
      <c r="C1466" t="s">
        <v>833</v>
      </c>
      <c r="D1466" t="s">
        <v>20</v>
      </c>
      <c r="E1466" t="s">
        <v>835</v>
      </c>
      <c r="F1466" t="s">
        <v>15</v>
      </c>
      <c r="G1466" t="s">
        <v>22</v>
      </c>
      <c r="H1466" t="s">
        <v>732</v>
      </c>
      <c r="I1466" t="s">
        <v>26</v>
      </c>
      <c r="J1466">
        <v>1</v>
      </c>
      <c r="K1466">
        <v>500</v>
      </c>
      <c r="L1466">
        <v>500</v>
      </c>
      <c r="M1466">
        <v>500</v>
      </c>
      <c r="N1466" t="s">
        <v>19</v>
      </c>
    </row>
    <row r="1467" spans="1:14" x14ac:dyDescent="0.25">
      <c r="A1467" t="s">
        <v>1518</v>
      </c>
      <c r="B1467" t="s">
        <v>2114</v>
      </c>
      <c r="C1467" t="s">
        <v>836</v>
      </c>
      <c r="D1467" t="s">
        <v>20</v>
      </c>
      <c r="E1467" t="s">
        <v>835</v>
      </c>
      <c r="F1467" t="s">
        <v>15</v>
      </c>
      <c r="G1467" t="s">
        <v>22</v>
      </c>
      <c r="H1467" t="s">
        <v>732</v>
      </c>
      <c r="I1467" t="s">
        <v>838</v>
      </c>
      <c r="J1467">
        <v>1</v>
      </c>
      <c r="K1467">
        <v>2975</v>
      </c>
      <c r="L1467">
        <v>8500</v>
      </c>
      <c r="M1467">
        <v>8500</v>
      </c>
      <c r="N1467" t="s">
        <v>19</v>
      </c>
    </row>
    <row r="1468" spans="1:14" x14ac:dyDescent="0.25">
      <c r="A1468" t="s">
        <v>1518</v>
      </c>
      <c r="B1468" t="s">
        <v>2114</v>
      </c>
      <c r="C1468" t="s">
        <v>836</v>
      </c>
      <c r="D1468" t="s">
        <v>20</v>
      </c>
      <c r="E1468" t="s">
        <v>835</v>
      </c>
      <c r="F1468" t="s">
        <v>15</v>
      </c>
      <c r="G1468" t="s">
        <v>22</v>
      </c>
      <c r="H1468" t="s">
        <v>732</v>
      </c>
      <c r="I1468" t="s">
        <v>170</v>
      </c>
      <c r="J1468">
        <v>1</v>
      </c>
      <c r="K1468">
        <v>8000</v>
      </c>
      <c r="L1468">
        <v>8000</v>
      </c>
      <c r="M1468">
        <v>8000</v>
      </c>
      <c r="N1468" t="s">
        <v>19</v>
      </c>
    </row>
    <row r="1469" spans="1:14" x14ac:dyDescent="0.25">
      <c r="A1469" t="s">
        <v>1518</v>
      </c>
      <c r="B1469" t="s">
        <v>2114</v>
      </c>
      <c r="C1469" t="s">
        <v>836</v>
      </c>
      <c r="D1469" t="s">
        <v>20</v>
      </c>
      <c r="E1469" t="s">
        <v>835</v>
      </c>
      <c r="F1469" t="s">
        <v>15</v>
      </c>
      <c r="G1469" t="s">
        <v>22</v>
      </c>
      <c r="H1469" t="s">
        <v>732</v>
      </c>
      <c r="I1469" t="s">
        <v>24</v>
      </c>
      <c r="J1469">
        <v>1</v>
      </c>
      <c r="K1469">
        <v>8000</v>
      </c>
      <c r="L1469">
        <v>8000</v>
      </c>
      <c r="M1469">
        <v>8000</v>
      </c>
      <c r="N1469" t="s">
        <v>19</v>
      </c>
    </row>
    <row r="1470" spans="1:14" x14ac:dyDescent="0.25">
      <c r="A1470" t="s">
        <v>1518</v>
      </c>
      <c r="B1470" t="s">
        <v>2114</v>
      </c>
      <c r="C1470" t="s">
        <v>836</v>
      </c>
      <c r="D1470" t="s">
        <v>20</v>
      </c>
      <c r="E1470" t="s">
        <v>835</v>
      </c>
      <c r="F1470" t="s">
        <v>15</v>
      </c>
      <c r="G1470" t="s">
        <v>22</v>
      </c>
      <c r="H1470" t="s">
        <v>732</v>
      </c>
      <c r="I1470" t="s">
        <v>26</v>
      </c>
      <c r="J1470">
        <v>1</v>
      </c>
      <c r="K1470">
        <v>500</v>
      </c>
      <c r="L1470">
        <v>500</v>
      </c>
      <c r="M1470">
        <v>500</v>
      </c>
      <c r="N1470" t="s">
        <v>19</v>
      </c>
    </row>
    <row r="1471" spans="1:14" x14ac:dyDescent="0.25">
      <c r="A1471" t="s">
        <v>1497</v>
      </c>
      <c r="B1471" t="s">
        <v>2115</v>
      </c>
      <c r="C1471" t="s">
        <v>839</v>
      </c>
      <c r="D1471" t="s">
        <v>20</v>
      </c>
      <c r="E1471" t="s">
        <v>263</v>
      </c>
      <c r="F1471" t="s">
        <v>15</v>
      </c>
      <c r="G1471" t="s">
        <v>22</v>
      </c>
      <c r="H1471" t="s">
        <v>732</v>
      </c>
      <c r="I1471" t="s">
        <v>133</v>
      </c>
      <c r="J1471">
        <v>1</v>
      </c>
      <c r="K1471">
        <v>2975</v>
      </c>
      <c r="L1471">
        <v>8500</v>
      </c>
      <c r="M1471">
        <v>8500</v>
      </c>
      <c r="N1471" t="s">
        <v>19</v>
      </c>
    </row>
    <row r="1472" spans="1:14" x14ac:dyDescent="0.25">
      <c r="A1472" t="s">
        <v>1497</v>
      </c>
      <c r="B1472" t="s">
        <v>2115</v>
      </c>
      <c r="C1472" t="s">
        <v>839</v>
      </c>
      <c r="D1472" t="s">
        <v>20</v>
      </c>
      <c r="E1472" t="s">
        <v>263</v>
      </c>
      <c r="F1472" t="s">
        <v>15</v>
      </c>
      <c r="G1472" t="s">
        <v>22</v>
      </c>
      <c r="H1472" t="s">
        <v>732</v>
      </c>
      <c r="I1472" t="s">
        <v>25</v>
      </c>
      <c r="J1472">
        <v>1</v>
      </c>
      <c r="K1472">
        <v>5500</v>
      </c>
      <c r="L1472">
        <v>5500</v>
      </c>
      <c r="M1472">
        <v>5500</v>
      </c>
      <c r="N1472" t="s">
        <v>19</v>
      </c>
    </row>
    <row r="1473" spans="1:14" x14ac:dyDescent="0.25">
      <c r="A1473" t="s">
        <v>1497</v>
      </c>
      <c r="B1473" t="s">
        <v>2115</v>
      </c>
      <c r="C1473" t="s">
        <v>839</v>
      </c>
      <c r="D1473" t="s">
        <v>20</v>
      </c>
      <c r="E1473" t="s">
        <v>263</v>
      </c>
      <c r="F1473" t="s">
        <v>15</v>
      </c>
      <c r="G1473" t="s">
        <v>22</v>
      </c>
      <c r="H1473" t="s">
        <v>732</v>
      </c>
      <c r="I1473" t="s">
        <v>24</v>
      </c>
      <c r="J1473">
        <v>1</v>
      </c>
      <c r="K1473">
        <v>5500</v>
      </c>
      <c r="L1473">
        <v>5500</v>
      </c>
      <c r="M1473">
        <v>5500</v>
      </c>
      <c r="N1473" t="s">
        <v>19</v>
      </c>
    </row>
    <row r="1474" spans="1:14" x14ac:dyDescent="0.25">
      <c r="A1474" t="s">
        <v>1497</v>
      </c>
      <c r="B1474" t="s">
        <v>2115</v>
      </c>
      <c r="C1474" t="s">
        <v>839</v>
      </c>
      <c r="D1474" t="s">
        <v>20</v>
      </c>
      <c r="E1474" t="s">
        <v>263</v>
      </c>
      <c r="F1474" t="s">
        <v>15</v>
      </c>
      <c r="G1474" t="s">
        <v>22</v>
      </c>
      <c r="H1474" t="s">
        <v>732</v>
      </c>
      <c r="I1474" t="s">
        <v>134</v>
      </c>
      <c r="J1474">
        <v>1</v>
      </c>
      <c r="K1474">
        <v>500</v>
      </c>
      <c r="L1474">
        <v>500</v>
      </c>
      <c r="M1474">
        <v>500</v>
      </c>
      <c r="N1474" t="s">
        <v>19</v>
      </c>
    </row>
    <row r="1475" spans="1:14" x14ac:dyDescent="0.25">
      <c r="A1475" t="s">
        <v>1497</v>
      </c>
      <c r="B1475" t="s">
        <v>2115</v>
      </c>
      <c r="C1475" t="s">
        <v>839</v>
      </c>
      <c r="D1475" t="s">
        <v>20</v>
      </c>
      <c r="E1475" t="s">
        <v>263</v>
      </c>
      <c r="F1475" t="s">
        <v>15</v>
      </c>
      <c r="G1475" t="s">
        <v>22</v>
      </c>
      <c r="H1475" t="s">
        <v>732</v>
      </c>
      <c r="I1475" t="s">
        <v>840</v>
      </c>
      <c r="J1475">
        <v>1</v>
      </c>
      <c r="K1475">
        <v>4250</v>
      </c>
      <c r="L1475">
        <v>6500</v>
      </c>
      <c r="M1475">
        <v>6500</v>
      </c>
      <c r="N1475" t="s">
        <v>19</v>
      </c>
    </row>
    <row r="1476" spans="1:14" x14ac:dyDescent="0.25">
      <c r="A1476" t="s">
        <v>1497</v>
      </c>
      <c r="B1476" t="s">
        <v>2115</v>
      </c>
      <c r="C1476" t="s">
        <v>839</v>
      </c>
      <c r="D1476" t="s">
        <v>20</v>
      </c>
      <c r="E1476" t="s">
        <v>263</v>
      </c>
      <c r="F1476" t="s">
        <v>15</v>
      </c>
      <c r="G1476" t="s">
        <v>22</v>
      </c>
      <c r="H1476" t="s">
        <v>732</v>
      </c>
      <c r="I1476" t="s">
        <v>98</v>
      </c>
      <c r="J1476">
        <v>1</v>
      </c>
      <c r="K1476">
        <v>935</v>
      </c>
      <c r="L1476">
        <v>1500</v>
      </c>
      <c r="M1476">
        <v>1500</v>
      </c>
      <c r="N1476" t="s">
        <v>19</v>
      </c>
    </row>
    <row r="1477" spans="1:14" x14ac:dyDescent="0.25">
      <c r="A1477" t="s">
        <v>1497</v>
      </c>
      <c r="B1477" t="s">
        <v>2115</v>
      </c>
      <c r="C1477" t="s">
        <v>839</v>
      </c>
      <c r="D1477" t="s">
        <v>20</v>
      </c>
      <c r="E1477" t="s">
        <v>263</v>
      </c>
      <c r="F1477" t="s">
        <v>15</v>
      </c>
      <c r="G1477" t="s">
        <v>22</v>
      </c>
      <c r="H1477" t="s">
        <v>732</v>
      </c>
      <c r="I1477" t="s">
        <v>137</v>
      </c>
      <c r="J1477">
        <v>1</v>
      </c>
      <c r="K1477">
        <v>2200</v>
      </c>
      <c r="L1477">
        <v>3200</v>
      </c>
      <c r="M1477">
        <v>3200</v>
      </c>
      <c r="N1477" t="s">
        <v>19</v>
      </c>
    </row>
    <row r="1478" spans="1:14" x14ac:dyDescent="0.25">
      <c r="A1478" t="s">
        <v>1497</v>
      </c>
      <c r="B1478" t="s">
        <v>2115</v>
      </c>
      <c r="C1478" t="s">
        <v>839</v>
      </c>
      <c r="D1478" t="s">
        <v>20</v>
      </c>
      <c r="E1478" t="s">
        <v>263</v>
      </c>
      <c r="F1478" t="s">
        <v>15</v>
      </c>
      <c r="G1478" t="s">
        <v>22</v>
      </c>
      <c r="H1478" t="s">
        <v>732</v>
      </c>
      <c r="I1478" t="s">
        <v>841</v>
      </c>
      <c r="J1478">
        <v>1</v>
      </c>
      <c r="K1478">
        <v>24800</v>
      </c>
      <c r="L1478">
        <v>34000</v>
      </c>
      <c r="M1478">
        <v>34000</v>
      </c>
      <c r="N1478" t="s">
        <v>19</v>
      </c>
    </row>
    <row r="1479" spans="1:14" x14ac:dyDescent="0.25">
      <c r="A1479" t="s">
        <v>1497</v>
      </c>
      <c r="B1479" t="s">
        <v>2115</v>
      </c>
      <c r="C1479" t="s">
        <v>839</v>
      </c>
      <c r="D1479" t="s">
        <v>20</v>
      </c>
      <c r="E1479" t="s">
        <v>263</v>
      </c>
      <c r="F1479" t="s">
        <v>15</v>
      </c>
      <c r="G1479" t="s">
        <v>22</v>
      </c>
      <c r="H1479" t="s">
        <v>732</v>
      </c>
      <c r="I1479" t="s">
        <v>99</v>
      </c>
      <c r="J1479">
        <v>1</v>
      </c>
      <c r="K1479">
        <v>2800</v>
      </c>
      <c r="L1479">
        <v>4000</v>
      </c>
      <c r="M1479">
        <v>4000</v>
      </c>
      <c r="N1479" t="s">
        <v>19</v>
      </c>
    </row>
    <row r="1480" spans="1:14" x14ac:dyDescent="0.25">
      <c r="A1480" t="s">
        <v>1497</v>
      </c>
      <c r="B1480" t="s">
        <v>2115</v>
      </c>
      <c r="C1480" t="s">
        <v>839</v>
      </c>
      <c r="D1480" t="s">
        <v>20</v>
      </c>
      <c r="E1480" t="s">
        <v>263</v>
      </c>
      <c r="F1480" t="s">
        <v>15</v>
      </c>
      <c r="G1480" t="s">
        <v>22</v>
      </c>
      <c r="H1480" t="s">
        <v>732</v>
      </c>
      <c r="I1480" t="s">
        <v>76</v>
      </c>
      <c r="J1480">
        <v>1</v>
      </c>
      <c r="K1480">
        <v>500</v>
      </c>
      <c r="L1480">
        <v>500</v>
      </c>
      <c r="M1480">
        <v>500</v>
      </c>
      <c r="N1480" t="s">
        <v>19</v>
      </c>
    </row>
    <row r="1481" spans="1:14" x14ac:dyDescent="0.25">
      <c r="A1481" t="s">
        <v>1620</v>
      </c>
      <c r="B1481" t="s">
        <v>2116</v>
      </c>
      <c r="C1481" t="s">
        <v>736</v>
      </c>
      <c r="D1481" t="s">
        <v>737</v>
      </c>
      <c r="E1481" t="s">
        <v>738</v>
      </c>
      <c r="F1481" t="s">
        <v>739</v>
      </c>
      <c r="G1481" t="s">
        <v>22</v>
      </c>
      <c r="H1481" t="s">
        <v>740</v>
      </c>
      <c r="I1481" t="s">
        <v>422</v>
      </c>
      <c r="J1481">
        <v>1</v>
      </c>
      <c r="K1481">
        <v>3675</v>
      </c>
      <c r="L1481">
        <v>10500</v>
      </c>
      <c r="M1481">
        <v>10500</v>
      </c>
      <c r="N1481" t="s">
        <v>39</v>
      </c>
    </row>
    <row r="1482" spans="1:14" x14ac:dyDescent="0.25">
      <c r="A1482" t="s">
        <v>1620</v>
      </c>
      <c r="B1482" t="s">
        <v>2116</v>
      </c>
      <c r="C1482" t="s">
        <v>736</v>
      </c>
      <c r="D1482" t="s">
        <v>737</v>
      </c>
      <c r="E1482" t="s">
        <v>738</v>
      </c>
      <c r="F1482" t="s">
        <v>739</v>
      </c>
      <c r="G1482" t="s">
        <v>22</v>
      </c>
      <c r="H1482" t="s">
        <v>740</v>
      </c>
      <c r="I1482" t="s">
        <v>48</v>
      </c>
      <c r="J1482">
        <v>1</v>
      </c>
      <c r="K1482">
        <v>3325</v>
      </c>
      <c r="L1482">
        <v>9500</v>
      </c>
      <c r="M1482">
        <v>9500</v>
      </c>
      <c r="N1482" t="s">
        <v>39</v>
      </c>
    </row>
    <row r="1483" spans="1:14" x14ac:dyDescent="0.25">
      <c r="A1483" t="s">
        <v>1620</v>
      </c>
      <c r="B1483" t="s">
        <v>2116</v>
      </c>
      <c r="C1483" t="s">
        <v>736</v>
      </c>
      <c r="D1483" t="s">
        <v>737</v>
      </c>
      <c r="E1483" t="s">
        <v>738</v>
      </c>
      <c r="F1483" t="s">
        <v>739</v>
      </c>
      <c r="G1483" t="s">
        <v>22</v>
      </c>
      <c r="H1483" t="s">
        <v>740</v>
      </c>
      <c r="I1483" t="s">
        <v>24</v>
      </c>
      <c r="J1483">
        <v>1</v>
      </c>
      <c r="K1483">
        <v>3325</v>
      </c>
      <c r="L1483">
        <v>9500</v>
      </c>
      <c r="M1483">
        <v>9500</v>
      </c>
      <c r="N1483" t="s">
        <v>39</v>
      </c>
    </row>
    <row r="1484" spans="1:14" x14ac:dyDescent="0.25">
      <c r="A1484" t="s">
        <v>1620</v>
      </c>
      <c r="B1484" t="s">
        <v>2116</v>
      </c>
      <c r="C1484" t="s">
        <v>736</v>
      </c>
      <c r="D1484" t="s">
        <v>737</v>
      </c>
      <c r="E1484" t="s">
        <v>738</v>
      </c>
      <c r="F1484" t="s">
        <v>739</v>
      </c>
      <c r="G1484" t="s">
        <v>22</v>
      </c>
      <c r="H1484" t="s">
        <v>740</v>
      </c>
      <c r="I1484" t="s">
        <v>26</v>
      </c>
      <c r="J1484">
        <v>1</v>
      </c>
      <c r="K1484">
        <v>500</v>
      </c>
      <c r="L1484">
        <v>500</v>
      </c>
      <c r="M1484">
        <v>500</v>
      </c>
      <c r="N1484" t="s">
        <v>39</v>
      </c>
    </row>
    <row r="1485" spans="1:14" x14ac:dyDescent="0.25">
      <c r="A1485" t="s">
        <v>1620</v>
      </c>
      <c r="B1485" t="s">
        <v>2116</v>
      </c>
      <c r="C1485" t="s">
        <v>736</v>
      </c>
      <c r="D1485" t="s">
        <v>737</v>
      </c>
      <c r="E1485" t="s">
        <v>738</v>
      </c>
      <c r="F1485" t="s">
        <v>739</v>
      </c>
      <c r="G1485" t="s">
        <v>22</v>
      </c>
      <c r="H1485" t="s">
        <v>740</v>
      </c>
      <c r="I1485" t="s">
        <v>97</v>
      </c>
      <c r="J1485">
        <v>1</v>
      </c>
      <c r="K1485">
        <v>2200</v>
      </c>
      <c r="L1485">
        <v>3000</v>
      </c>
      <c r="M1485">
        <v>3000</v>
      </c>
      <c r="N1485" t="s">
        <v>39</v>
      </c>
    </row>
    <row r="1486" spans="1:14" x14ac:dyDescent="0.25">
      <c r="A1486" t="s">
        <v>1620</v>
      </c>
      <c r="B1486" t="s">
        <v>2116</v>
      </c>
      <c r="C1486" t="s">
        <v>736</v>
      </c>
      <c r="D1486" t="s">
        <v>737</v>
      </c>
      <c r="E1486" t="s">
        <v>738</v>
      </c>
      <c r="F1486" t="s">
        <v>739</v>
      </c>
      <c r="G1486" t="s">
        <v>22</v>
      </c>
      <c r="H1486" t="s">
        <v>740</v>
      </c>
      <c r="I1486" t="s">
        <v>383</v>
      </c>
      <c r="J1486">
        <v>1</v>
      </c>
      <c r="K1486">
        <v>4250</v>
      </c>
      <c r="L1486">
        <v>6000</v>
      </c>
      <c r="M1486">
        <v>6000</v>
      </c>
      <c r="N1486" t="s">
        <v>39</v>
      </c>
    </row>
    <row r="1487" spans="1:14" x14ac:dyDescent="0.25">
      <c r="A1487" t="s">
        <v>1620</v>
      </c>
      <c r="B1487" t="s">
        <v>2116</v>
      </c>
      <c r="C1487" t="s">
        <v>736</v>
      </c>
      <c r="D1487" t="s">
        <v>737</v>
      </c>
      <c r="E1487" t="s">
        <v>738</v>
      </c>
      <c r="F1487" t="s">
        <v>739</v>
      </c>
      <c r="G1487" t="s">
        <v>22</v>
      </c>
      <c r="H1487" t="s">
        <v>740</v>
      </c>
      <c r="I1487" t="s">
        <v>338</v>
      </c>
      <c r="J1487">
        <v>1</v>
      </c>
      <c r="K1487">
        <v>8500</v>
      </c>
      <c r="L1487">
        <v>12000</v>
      </c>
      <c r="M1487">
        <v>12000</v>
      </c>
      <c r="N1487" t="s">
        <v>39</v>
      </c>
    </row>
    <row r="1488" spans="1:14" x14ac:dyDescent="0.25">
      <c r="A1488" t="s">
        <v>1620</v>
      </c>
      <c r="B1488" t="s">
        <v>2116</v>
      </c>
      <c r="C1488" t="s">
        <v>736</v>
      </c>
      <c r="D1488" t="s">
        <v>737</v>
      </c>
      <c r="E1488" t="s">
        <v>738</v>
      </c>
      <c r="F1488" t="s">
        <v>739</v>
      </c>
      <c r="G1488" t="s">
        <v>22</v>
      </c>
      <c r="H1488" t="s">
        <v>740</v>
      </c>
      <c r="I1488" t="s">
        <v>116</v>
      </c>
      <c r="J1488">
        <v>1</v>
      </c>
      <c r="K1488">
        <v>2185</v>
      </c>
      <c r="L1488">
        <v>3000</v>
      </c>
      <c r="M1488">
        <v>3000</v>
      </c>
      <c r="N1488" t="s">
        <v>39</v>
      </c>
    </row>
    <row r="1489" spans="1:14" x14ac:dyDescent="0.25">
      <c r="A1489" t="s">
        <v>1620</v>
      </c>
      <c r="B1489" t="s">
        <v>2116</v>
      </c>
      <c r="C1489" t="s">
        <v>736</v>
      </c>
      <c r="D1489" t="s">
        <v>737</v>
      </c>
      <c r="E1489" t="s">
        <v>738</v>
      </c>
      <c r="F1489" t="s">
        <v>739</v>
      </c>
      <c r="G1489" t="s">
        <v>22</v>
      </c>
      <c r="H1489" t="s">
        <v>740</v>
      </c>
      <c r="I1489" t="s">
        <v>392</v>
      </c>
      <c r="J1489">
        <v>1</v>
      </c>
      <c r="K1489">
        <v>3360</v>
      </c>
      <c r="L1489">
        <v>5500</v>
      </c>
      <c r="M1489">
        <v>5500</v>
      </c>
      <c r="N1489" t="s">
        <v>39</v>
      </c>
    </row>
    <row r="1490" spans="1:14" x14ac:dyDescent="0.25">
      <c r="A1490" t="s">
        <v>1620</v>
      </c>
      <c r="B1490" t="s">
        <v>2116</v>
      </c>
      <c r="C1490" t="s">
        <v>736</v>
      </c>
      <c r="D1490" t="s">
        <v>737</v>
      </c>
      <c r="E1490" t="s">
        <v>738</v>
      </c>
      <c r="F1490" t="s">
        <v>739</v>
      </c>
      <c r="G1490" t="s">
        <v>22</v>
      </c>
      <c r="H1490" t="s">
        <v>740</v>
      </c>
      <c r="I1490" t="s">
        <v>662</v>
      </c>
      <c r="J1490">
        <v>1</v>
      </c>
      <c r="K1490">
        <v>23450</v>
      </c>
      <c r="L1490">
        <v>30000</v>
      </c>
      <c r="M1490">
        <v>30000</v>
      </c>
      <c r="N1490" t="s">
        <v>39</v>
      </c>
    </row>
    <row r="1491" spans="1:14" x14ac:dyDescent="0.25">
      <c r="A1491" t="s">
        <v>1620</v>
      </c>
      <c r="B1491" t="s">
        <v>2116</v>
      </c>
      <c r="C1491" t="s">
        <v>736</v>
      </c>
      <c r="D1491" t="s">
        <v>737</v>
      </c>
      <c r="E1491" t="s">
        <v>738</v>
      </c>
      <c r="F1491" t="s">
        <v>739</v>
      </c>
      <c r="G1491" t="s">
        <v>22</v>
      </c>
      <c r="H1491" t="s">
        <v>740</v>
      </c>
      <c r="I1491" t="s">
        <v>210</v>
      </c>
      <c r="J1491">
        <v>1</v>
      </c>
      <c r="K1491">
        <v>0</v>
      </c>
      <c r="L1491">
        <v>0</v>
      </c>
      <c r="M1491">
        <v>0</v>
      </c>
      <c r="N1491" t="s">
        <v>39</v>
      </c>
    </row>
    <row r="1492" spans="1:14" x14ac:dyDescent="0.25">
      <c r="A1492" t="s">
        <v>1620</v>
      </c>
      <c r="B1492" t="s">
        <v>2116</v>
      </c>
      <c r="C1492" t="s">
        <v>736</v>
      </c>
      <c r="D1492" t="s">
        <v>737</v>
      </c>
      <c r="E1492" t="s">
        <v>738</v>
      </c>
      <c r="F1492" t="s">
        <v>739</v>
      </c>
      <c r="G1492" t="s">
        <v>22</v>
      </c>
      <c r="H1492" t="s">
        <v>740</v>
      </c>
      <c r="I1492" t="s">
        <v>151</v>
      </c>
      <c r="J1492">
        <v>1</v>
      </c>
      <c r="K1492">
        <v>2800</v>
      </c>
      <c r="L1492">
        <v>3500</v>
      </c>
      <c r="M1492">
        <v>3500</v>
      </c>
      <c r="N1492" t="s">
        <v>39</v>
      </c>
    </row>
    <row r="1493" spans="1:14" x14ac:dyDescent="0.25">
      <c r="A1493" t="s">
        <v>1617</v>
      </c>
      <c r="B1493" t="s">
        <v>2117</v>
      </c>
      <c r="C1493" t="s">
        <v>741</v>
      </c>
      <c r="D1493" t="s">
        <v>173</v>
      </c>
      <c r="E1493" t="s">
        <v>174</v>
      </c>
      <c r="F1493" t="s">
        <v>15</v>
      </c>
      <c r="G1493" t="s">
        <v>22</v>
      </c>
      <c r="H1493" t="s">
        <v>740</v>
      </c>
      <c r="I1493" t="s">
        <v>33</v>
      </c>
      <c r="J1493">
        <v>1</v>
      </c>
      <c r="K1493">
        <v>18000</v>
      </c>
      <c r="L1493">
        <v>18000</v>
      </c>
      <c r="M1493">
        <v>18000</v>
      </c>
      <c r="N1493" t="s">
        <v>19</v>
      </c>
    </row>
    <row r="1494" spans="1:14" x14ac:dyDescent="0.25">
      <c r="A1494" t="s">
        <v>1733</v>
      </c>
      <c r="B1494" t="s">
        <v>2118</v>
      </c>
      <c r="C1494" t="s">
        <v>742</v>
      </c>
      <c r="D1494" t="s">
        <v>743</v>
      </c>
      <c r="E1494" t="s">
        <v>239</v>
      </c>
      <c r="F1494" t="s">
        <v>15</v>
      </c>
      <c r="G1494" t="s">
        <v>37</v>
      </c>
      <c r="H1494" t="s">
        <v>740</v>
      </c>
      <c r="I1494" t="s">
        <v>33</v>
      </c>
      <c r="J1494">
        <v>1</v>
      </c>
      <c r="K1494">
        <v>19500</v>
      </c>
      <c r="L1494">
        <v>19500</v>
      </c>
      <c r="M1494">
        <v>19500</v>
      </c>
      <c r="N1494" t="s">
        <v>19</v>
      </c>
    </row>
    <row r="1495" spans="1:14" x14ac:dyDescent="0.25">
      <c r="A1495" t="s">
        <v>1733</v>
      </c>
      <c r="B1495" t="s">
        <v>2118</v>
      </c>
      <c r="C1495" t="s">
        <v>742</v>
      </c>
      <c r="D1495" t="s">
        <v>743</v>
      </c>
      <c r="E1495" t="s">
        <v>239</v>
      </c>
      <c r="F1495" t="s">
        <v>15</v>
      </c>
      <c r="G1495" t="s">
        <v>37</v>
      </c>
      <c r="H1495" t="s">
        <v>740</v>
      </c>
      <c r="I1495" t="s">
        <v>50</v>
      </c>
      <c r="J1495">
        <v>1</v>
      </c>
      <c r="K1495">
        <v>500</v>
      </c>
      <c r="L1495">
        <v>500</v>
      </c>
      <c r="M1495">
        <v>500</v>
      </c>
      <c r="N1495" t="s">
        <v>19</v>
      </c>
    </row>
    <row r="1496" spans="1:14" x14ac:dyDescent="0.25">
      <c r="A1496" t="s">
        <v>1733</v>
      </c>
      <c r="B1496" t="s">
        <v>2118</v>
      </c>
      <c r="C1496" t="s">
        <v>742</v>
      </c>
      <c r="D1496" t="s">
        <v>743</v>
      </c>
      <c r="E1496" t="s">
        <v>239</v>
      </c>
      <c r="F1496" t="s">
        <v>15</v>
      </c>
      <c r="G1496" t="s">
        <v>37</v>
      </c>
      <c r="H1496" t="s">
        <v>740</v>
      </c>
      <c r="I1496" t="s">
        <v>151</v>
      </c>
      <c r="J1496">
        <v>1</v>
      </c>
      <c r="K1496">
        <v>2800</v>
      </c>
      <c r="L1496">
        <v>4000</v>
      </c>
      <c r="M1496">
        <v>4000</v>
      </c>
      <c r="N1496" t="s">
        <v>19</v>
      </c>
    </row>
    <row r="1497" spans="1:14" x14ac:dyDescent="0.25">
      <c r="A1497" t="s">
        <v>1707</v>
      </c>
      <c r="B1497" t="s">
        <v>2119</v>
      </c>
      <c r="C1497" t="s">
        <v>744</v>
      </c>
      <c r="D1497" t="s">
        <v>713</v>
      </c>
      <c r="E1497" t="s">
        <v>714</v>
      </c>
      <c r="F1497" t="s">
        <v>15</v>
      </c>
      <c r="G1497" t="s">
        <v>37</v>
      </c>
      <c r="H1497" t="s">
        <v>745</v>
      </c>
      <c r="I1497" t="s">
        <v>62</v>
      </c>
      <c r="J1497">
        <v>10</v>
      </c>
      <c r="K1497">
        <v>47</v>
      </c>
      <c r="L1497">
        <v>80</v>
      </c>
      <c r="M1497">
        <v>800</v>
      </c>
      <c r="N1497" t="s">
        <v>19</v>
      </c>
    </row>
    <row r="1498" spans="1:14" x14ac:dyDescent="0.25">
      <c r="A1498" t="s">
        <v>1670</v>
      </c>
      <c r="B1498" t="s">
        <v>2120</v>
      </c>
      <c r="C1498" t="s">
        <v>747</v>
      </c>
      <c r="D1498" t="s">
        <v>748</v>
      </c>
      <c r="E1498" t="s">
        <v>749</v>
      </c>
      <c r="F1498" t="s">
        <v>750</v>
      </c>
      <c r="G1498" t="s">
        <v>16</v>
      </c>
      <c r="H1498" t="s">
        <v>745</v>
      </c>
      <c r="I1498" t="s">
        <v>687</v>
      </c>
      <c r="J1498">
        <v>1</v>
      </c>
      <c r="K1498">
        <v>3675</v>
      </c>
      <c r="L1498">
        <v>10500</v>
      </c>
      <c r="M1498">
        <v>10500</v>
      </c>
      <c r="N1498" t="s">
        <v>39</v>
      </c>
    </row>
    <row r="1499" spans="1:14" x14ac:dyDescent="0.25">
      <c r="A1499" t="s">
        <v>1670</v>
      </c>
      <c r="B1499" t="s">
        <v>2120</v>
      </c>
      <c r="C1499" t="s">
        <v>747</v>
      </c>
      <c r="D1499" t="s">
        <v>748</v>
      </c>
      <c r="E1499" t="s">
        <v>749</v>
      </c>
      <c r="F1499" t="s">
        <v>750</v>
      </c>
      <c r="G1499" t="s">
        <v>16</v>
      </c>
      <c r="H1499" t="s">
        <v>745</v>
      </c>
      <c r="I1499" t="s">
        <v>48</v>
      </c>
      <c r="J1499">
        <v>1</v>
      </c>
      <c r="K1499">
        <v>4200</v>
      </c>
      <c r="L1499">
        <v>12000</v>
      </c>
      <c r="M1499">
        <v>12000</v>
      </c>
      <c r="N1499" t="s">
        <v>39</v>
      </c>
    </row>
    <row r="1500" spans="1:14" x14ac:dyDescent="0.25">
      <c r="A1500" t="s">
        <v>1670</v>
      </c>
      <c r="B1500" t="s">
        <v>2120</v>
      </c>
      <c r="C1500" t="s">
        <v>747</v>
      </c>
      <c r="D1500" t="s">
        <v>748</v>
      </c>
      <c r="E1500" t="s">
        <v>749</v>
      </c>
      <c r="F1500" t="s">
        <v>750</v>
      </c>
      <c r="G1500" t="s">
        <v>16</v>
      </c>
      <c r="H1500" t="s">
        <v>745</v>
      </c>
      <c r="I1500" t="s">
        <v>126</v>
      </c>
      <c r="J1500">
        <v>1</v>
      </c>
      <c r="K1500">
        <v>4200</v>
      </c>
      <c r="L1500">
        <v>12000</v>
      </c>
      <c r="M1500">
        <v>12000</v>
      </c>
      <c r="N1500" t="s">
        <v>39</v>
      </c>
    </row>
    <row r="1501" spans="1:14" x14ac:dyDescent="0.25">
      <c r="A1501" t="s">
        <v>1670</v>
      </c>
      <c r="B1501" t="s">
        <v>2120</v>
      </c>
      <c r="C1501" t="s">
        <v>747</v>
      </c>
      <c r="D1501" t="s">
        <v>748</v>
      </c>
      <c r="E1501" t="s">
        <v>749</v>
      </c>
      <c r="F1501" t="s">
        <v>750</v>
      </c>
      <c r="G1501" t="s">
        <v>16</v>
      </c>
      <c r="H1501" t="s">
        <v>745</v>
      </c>
      <c r="I1501" t="s">
        <v>26</v>
      </c>
      <c r="J1501">
        <v>1</v>
      </c>
      <c r="K1501">
        <v>500</v>
      </c>
      <c r="L1501">
        <v>500</v>
      </c>
      <c r="M1501">
        <v>500</v>
      </c>
      <c r="N1501" t="s">
        <v>39</v>
      </c>
    </row>
    <row r="1502" spans="1:14" x14ac:dyDescent="0.25">
      <c r="A1502" t="s">
        <v>1670</v>
      </c>
      <c r="B1502" t="s">
        <v>2120</v>
      </c>
      <c r="C1502" t="s">
        <v>747</v>
      </c>
      <c r="D1502" t="s">
        <v>748</v>
      </c>
      <c r="E1502" t="s">
        <v>749</v>
      </c>
      <c r="F1502" t="s">
        <v>750</v>
      </c>
      <c r="G1502" t="s">
        <v>16</v>
      </c>
      <c r="H1502" t="s">
        <v>745</v>
      </c>
      <c r="I1502" t="s">
        <v>97</v>
      </c>
      <c r="J1502">
        <v>1</v>
      </c>
      <c r="K1502">
        <v>2200</v>
      </c>
      <c r="L1502">
        <v>3500</v>
      </c>
      <c r="M1502">
        <v>3500</v>
      </c>
      <c r="N1502" t="s">
        <v>39</v>
      </c>
    </row>
    <row r="1503" spans="1:14" x14ac:dyDescent="0.25">
      <c r="A1503" t="s">
        <v>1670</v>
      </c>
      <c r="B1503" t="s">
        <v>2120</v>
      </c>
      <c r="C1503" t="s">
        <v>747</v>
      </c>
      <c r="D1503" t="s">
        <v>748</v>
      </c>
      <c r="E1503" t="s">
        <v>749</v>
      </c>
      <c r="F1503" t="s">
        <v>750</v>
      </c>
      <c r="G1503" t="s">
        <v>16</v>
      </c>
      <c r="H1503" t="s">
        <v>745</v>
      </c>
      <c r="I1503" t="s">
        <v>93</v>
      </c>
      <c r="J1503">
        <v>1</v>
      </c>
      <c r="K1503">
        <v>11000</v>
      </c>
      <c r="L1503">
        <v>16500</v>
      </c>
      <c r="M1503">
        <v>16500</v>
      </c>
      <c r="N1503" t="s">
        <v>39</v>
      </c>
    </row>
    <row r="1504" spans="1:14" x14ac:dyDescent="0.25">
      <c r="A1504" t="s">
        <v>1606</v>
      </c>
      <c r="B1504" t="s">
        <v>2121</v>
      </c>
      <c r="C1504" t="s">
        <v>751</v>
      </c>
      <c r="D1504" t="s">
        <v>123</v>
      </c>
      <c r="E1504" t="s">
        <v>124</v>
      </c>
      <c r="F1504" t="s">
        <v>15</v>
      </c>
      <c r="G1504" t="s">
        <v>37</v>
      </c>
      <c r="H1504" t="s">
        <v>745</v>
      </c>
      <c r="I1504" t="s">
        <v>371</v>
      </c>
      <c r="J1504">
        <v>1500</v>
      </c>
      <c r="K1504">
        <v>32</v>
      </c>
      <c r="L1504">
        <v>50</v>
      </c>
      <c r="M1504">
        <v>75000</v>
      </c>
      <c r="N1504" t="s">
        <v>19</v>
      </c>
    </row>
    <row r="1505" spans="1:14" x14ac:dyDescent="0.25">
      <c r="A1505" t="s">
        <v>1733</v>
      </c>
      <c r="B1505" t="s">
        <v>2122</v>
      </c>
      <c r="C1505" t="s">
        <v>752</v>
      </c>
      <c r="D1505" t="s">
        <v>743</v>
      </c>
      <c r="E1505" t="s">
        <v>239</v>
      </c>
      <c r="F1505" t="s">
        <v>15</v>
      </c>
      <c r="G1505" t="s">
        <v>37</v>
      </c>
      <c r="H1505" t="s">
        <v>745</v>
      </c>
      <c r="I1505" t="s">
        <v>383</v>
      </c>
      <c r="J1505">
        <v>1</v>
      </c>
      <c r="K1505">
        <v>4250</v>
      </c>
      <c r="L1505">
        <v>7000</v>
      </c>
      <c r="M1505">
        <v>7000</v>
      </c>
      <c r="N1505" t="s">
        <v>19</v>
      </c>
    </row>
    <row r="1506" spans="1:14" x14ac:dyDescent="0.25">
      <c r="A1506" t="s">
        <v>1733</v>
      </c>
      <c r="B1506" t="s">
        <v>2122</v>
      </c>
      <c r="C1506" t="s">
        <v>752</v>
      </c>
      <c r="D1506" t="s">
        <v>743</v>
      </c>
      <c r="E1506" t="s">
        <v>239</v>
      </c>
      <c r="F1506" t="s">
        <v>15</v>
      </c>
      <c r="G1506" t="s">
        <v>37</v>
      </c>
      <c r="H1506" t="s">
        <v>745</v>
      </c>
      <c r="I1506" t="s">
        <v>463</v>
      </c>
      <c r="J1506">
        <v>1</v>
      </c>
      <c r="K1506">
        <v>1200</v>
      </c>
      <c r="L1506">
        <v>2000</v>
      </c>
      <c r="M1506">
        <v>2000</v>
      </c>
      <c r="N1506" t="s">
        <v>19</v>
      </c>
    </row>
    <row r="1507" spans="1:14" x14ac:dyDescent="0.25">
      <c r="A1507" t="s">
        <v>1733</v>
      </c>
      <c r="B1507" t="s">
        <v>2122</v>
      </c>
      <c r="C1507" t="s">
        <v>752</v>
      </c>
      <c r="D1507" t="s">
        <v>743</v>
      </c>
      <c r="E1507" t="s">
        <v>239</v>
      </c>
      <c r="F1507" t="s">
        <v>15</v>
      </c>
      <c r="G1507" t="s">
        <v>37</v>
      </c>
      <c r="H1507" t="s">
        <v>745</v>
      </c>
      <c r="I1507" t="s">
        <v>63</v>
      </c>
      <c r="J1507">
        <v>1</v>
      </c>
      <c r="K1507">
        <v>500</v>
      </c>
      <c r="L1507">
        <v>500</v>
      </c>
      <c r="M1507">
        <v>500</v>
      </c>
      <c r="N1507" t="s">
        <v>19</v>
      </c>
    </row>
    <row r="1508" spans="1:14" x14ac:dyDescent="0.25">
      <c r="A1508" t="s">
        <v>1511</v>
      </c>
      <c r="B1508" t="s">
        <v>2123</v>
      </c>
      <c r="C1508" t="s">
        <v>842</v>
      </c>
      <c r="D1508" t="s">
        <v>20</v>
      </c>
      <c r="E1508" t="s">
        <v>623</v>
      </c>
      <c r="F1508" t="s">
        <v>15</v>
      </c>
      <c r="G1508" t="s">
        <v>22</v>
      </c>
      <c r="H1508" t="s">
        <v>745</v>
      </c>
      <c r="I1508" t="s">
        <v>761</v>
      </c>
      <c r="J1508">
        <v>1</v>
      </c>
      <c r="K1508">
        <v>8500</v>
      </c>
      <c r="L1508">
        <v>12000</v>
      </c>
      <c r="M1508">
        <v>12000</v>
      </c>
      <c r="N1508" t="s">
        <v>19</v>
      </c>
    </row>
    <row r="1509" spans="1:14" x14ac:dyDescent="0.25">
      <c r="A1509" t="s">
        <v>1511</v>
      </c>
      <c r="B1509" t="s">
        <v>2123</v>
      </c>
      <c r="C1509" t="s">
        <v>842</v>
      </c>
      <c r="D1509" t="s">
        <v>20</v>
      </c>
      <c r="E1509" t="s">
        <v>623</v>
      </c>
      <c r="F1509" t="s">
        <v>15</v>
      </c>
      <c r="G1509" t="s">
        <v>22</v>
      </c>
      <c r="H1509" t="s">
        <v>745</v>
      </c>
      <c r="I1509" t="s">
        <v>76</v>
      </c>
      <c r="J1509">
        <v>1</v>
      </c>
      <c r="K1509">
        <v>500</v>
      </c>
      <c r="L1509">
        <v>500</v>
      </c>
      <c r="M1509">
        <v>500</v>
      </c>
      <c r="N1509" t="s">
        <v>19</v>
      </c>
    </row>
    <row r="1510" spans="1:14" x14ac:dyDescent="0.25">
      <c r="A1510" t="s">
        <v>1486</v>
      </c>
      <c r="B1510" t="s">
        <v>2124</v>
      </c>
      <c r="C1510" t="s">
        <v>843</v>
      </c>
      <c r="D1510" t="s">
        <v>20</v>
      </c>
      <c r="E1510" t="s">
        <v>31</v>
      </c>
      <c r="F1510" t="s">
        <v>15</v>
      </c>
      <c r="G1510" t="s">
        <v>22</v>
      </c>
      <c r="H1510" t="s">
        <v>745</v>
      </c>
      <c r="I1510" t="s">
        <v>154</v>
      </c>
      <c r="J1510">
        <v>5</v>
      </c>
      <c r="K1510">
        <v>965</v>
      </c>
      <c r="L1510">
        <v>1300</v>
      </c>
      <c r="M1510">
        <v>6500</v>
      </c>
      <c r="N1510" t="s">
        <v>19</v>
      </c>
    </row>
    <row r="1511" spans="1:14" x14ac:dyDescent="0.25">
      <c r="A1511" t="s">
        <v>1495</v>
      </c>
      <c r="B1511" t="s">
        <v>2125</v>
      </c>
      <c r="C1511" t="s">
        <v>846</v>
      </c>
      <c r="D1511" t="s">
        <v>20</v>
      </c>
      <c r="E1511" t="s">
        <v>132</v>
      </c>
      <c r="F1511" t="s">
        <v>15</v>
      </c>
      <c r="G1511" t="s">
        <v>22</v>
      </c>
      <c r="H1511" t="s">
        <v>849</v>
      </c>
      <c r="I1511" t="s">
        <v>850</v>
      </c>
      <c r="J1511">
        <v>1</v>
      </c>
      <c r="K1511">
        <v>3675</v>
      </c>
      <c r="L1511">
        <v>10500</v>
      </c>
      <c r="M1511">
        <v>10500</v>
      </c>
      <c r="N1511" t="s">
        <v>19</v>
      </c>
    </row>
    <row r="1512" spans="1:14" x14ac:dyDescent="0.25">
      <c r="A1512" t="s">
        <v>1495</v>
      </c>
      <c r="B1512" t="s">
        <v>2125</v>
      </c>
      <c r="C1512" t="s">
        <v>846</v>
      </c>
      <c r="D1512" t="s">
        <v>20</v>
      </c>
      <c r="E1512" t="s">
        <v>132</v>
      </c>
      <c r="F1512" t="s">
        <v>15</v>
      </c>
      <c r="G1512" t="s">
        <v>22</v>
      </c>
      <c r="H1512" t="s">
        <v>849</v>
      </c>
      <c r="I1512" t="s">
        <v>25</v>
      </c>
      <c r="J1512">
        <v>1</v>
      </c>
      <c r="K1512">
        <v>11000</v>
      </c>
      <c r="L1512">
        <v>11000</v>
      </c>
      <c r="M1512">
        <v>11000</v>
      </c>
      <c r="N1512" t="s">
        <v>19</v>
      </c>
    </row>
    <row r="1513" spans="1:14" x14ac:dyDescent="0.25">
      <c r="A1513" t="s">
        <v>1495</v>
      </c>
      <c r="B1513" t="s">
        <v>2125</v>
      </c>
      <c r="C1513" t="s">
        <v>846</v>
      </c>
      <c r="D1513" t="s">
        <v>20</v>
      </c>
      <c r="E1513" t="s">
        <v>132</v>
      </c>
      <c r="F1513" t="s">
        <v>15</v>
      </c>
      <c r="G1513" t="s">
        <v>22</v>
      </c>
      <c r="H1513" t="s">
        <v>849</v>
      </c>
      <c r="I1513" t="s">
        <v>24</v>
      </c>
      <c r="J1513">
        <v>1</v>
      </c>
      <c r="K1513">
        <v>11000</v>
      </c>
      <c r="L1513">
        <v>11000</v>
      </c>
      <c r="M1513">
        <v>11000</v>
      </c>
      <c r="N1513" t="s">
        <v>19</v>
      </c>
    </row>
    <row r="1514" spans="1:14" x14ac:dyDescent="0.25">
      <c r="A1514" t="s">
        <v>1495</v>
      </c>
      <c r="B1514" t="s">
        <v>2125</v>
      </c>
      <c r="C1514" t="s">
        <v>846</v>
      </c>
      <c r="D1514" t="s">
        <v>20</v>
      </c>
      <c r="E1514" t="s">
        <v>132</v>
      </c>
      <c r="F1514" t="s">
        <v>15</v>
      </c>
      <c r="G1514" t="s">
        <v>22</v>
      </c>
      <c r="H1514" t="s">
        <v>849</v>
      </c>
      <c r="I1514" t="s">
        <v>134</v>
      </c>
      <c r="J1514">
        <v>1</v>
      </c>
      <c r="K1514">
        <v>500</v>
      </c>
      <c r="L1514">
        <v>500</v>
      </c>
      <c r="M1514">
        <v>500</v>
      </c>
      <c r="N1514" t="s">
        <v>19</v>
      </c>
    </row>
    <row r="1515" spans="1:14" x14ac:dyDescent="0.25">
      <c r="A1515" t="s">
        <v>1495</v>
      </c>
      <c r="B1515" t="s">
        <v>2125</v>
      </c>
      <c r="C1515" t="s">
        <v>846</v>
      </c>
      <c r="D1515" t="s">
        <v>20</v>
      </c>
      <c r="E1515" t="s">
        <v>132</v>
      </c>
      <c r="F1515" t="s">
        <v>15</v>
      </c>
      <c r="G1515" t="s">
        <v>22</v>
      </c>
      <c r="H1515" t="s">
        <v>849</v>
      </c>
      <c r="I1515" t="s">
        <v>135</v>
      </c>
      <c r="J1515">
        <v>1</v>
      </c>
      <c r="K1515">
        <v>4550</v>
      </c>
      <c r="L1515">
        <v>6500</v>
      </c>
      <c r="M1515">
        <v>6500</v>
      </c>
      <c r="N1515" t="s">
        <v>19</v>
      </c>
    </row>
    <row r="1516" spans="1:14" x14ac:dyDescent="0.25">
      <c r="A1516" t="s">
        <v>1495</v>
      </c>
      <c r="B1516" t="s">
        <v>2125</v>
      </c>
      <c r="C1516" t="s">
        <v>846</v>
      </c>
      <c r="D1516" t="s">
        <v>20</v>
      </c>
      <c r="E1516" t="s">
        <v>132</v>
      </c>
      <c r="F1516" t="s">
        <v>15</v>
      </c>
      <c r="G1516" t="s">
        <v>22</v>
      </c>
      <c r="H1516" t="s">
        <v>849</v>
      </c>
      <c r="I1516" t="s">
        <v>136</v>
      </c>
      <c r="J1516">
        <v>1</v>
      </c>
      <c r="K1516">
        <v>8500</v>
      </c>
      <c r="L1516">
        <v>12100</v>
      </c>
      <c r="M1516">
        <v>12100</v>
      </c>
      <c r="N1516" t="s">
        <v>19</v>
      </c>
    </row>
    <row r="1517" spans="1:14" x14ac:dyDescent="0.25">
      <c r="A1517" t="s">
        <v>1495</v>
      </c>
      <c r="B1517" t="s">
        <v>2125</v>
      </c>
      <c r="C1517" t="s">
        <v>846</v>
      </c>
      <c r="D1517" t="s">
        <v>20</v>
      </c>
      <c r="E1517" t="s">
        <v>132</v>
      </c>
      <c r="F1517" t="s">
        <v>15</v>
      </c>
      <c r="G1517" t="s">
        <v>22</v>
      </c>
      <c r="H1517" t="s">
        <v>849</v>
      </c>
      <c r="I1517" t="s">
        <v>98</v>
      </c>
      <c r="J1517">
        <v>1</v>
      </c>
      <c r="K1517">
        <v>935</v>
      </c>
      <c r="L1517">
        <v>1500</v>
      </c>
      <c r="M1517">
        <v>1500</v>
      </c>
      <c r="N1517" t="s">
        <v>19</v>
      </c>
    </row>
    <row r="1518" spans="1:14" x14ac:dyDescent="0.25">
      <c r="A1518" t="s">
        <v>1495</v>
      </c>
      <c r="B1518" t="s">
        <v>2125</v>
      </c>
      <c r="C1518" t="s">
        <v>846</v>
      </c>
      <c r="D1518" t="s">
        <v>20</v>
      </c>
      <c r="E1518" t="s">
        <v>132</v>
      </c>
      <c r="F1518" t="s">
        <v>15</v>
      </c>
      <c r="G1518" t="s">
        <v>22</v>
      </c>
      <c r="H1518" t="s">
        <v>849</v>
      </c>
      <c r="I1518" t="s">
        <v>116</v>
      </c>
      <c r="J1518">
        <v>1</v>
      </c>
      <c r="K1518">
        <v>2185</v>
      </c>
      <c r="L1518">
        <v>3500</v>
      </c>
      <c r="M1518">
        <v>3500</v>
      </c>
      <c r="N1518" t="s">
        <v>19</v>
      </c>
    </row>
    <row r="1519" spans="1:14" x14ac:dyDescent="0.25">
      <c r="A1519" t="s">
        <v>1495</v>
      </c>
      <c r="B1519" t="s">
        <v>2125</v>
      </c>
      <c r="C1519" t="s">
        <v>846</v>
      </c>
      <c r="D1519" t="s">
        <v>20</v>
      </c>
      <c r="E1519" t="s">
        <v>132</v>
      </c>
      <c r="F1519" t="s">
        <v>15</v>
      </c>
      <c r="G1519" t="s">
        <v>22</v>
      </c>
      <c r="H1519" t="s">
        <v>849</v>
      </c>
      <c r="I1519" t="s">
        <v>137</v>
      </c>
      <c r="J1519">
        <v>1</v>
      </c>
      <c r="K1519">
        <v>2200</v>
      </c>
      <c r="L1519">
        <v>3100</v>
      </c>
      <c r="M1519">
        <v>3100</v>
      </c>
      <c r="N1519" t="s">
        <v>19</v>
      </c>
    </row>
    <row r="1520" spans="1:14" x14ac:dyDescent="0.25">
      <c r="A1520" t="s">
        <v>1495</v>
      </c>
      <c r="B1520" t="s">
        <v>2125</v>
      </c>
      <c r="C1520" t="s">
        <v>846</v>
      </c>
      <c r="D1520" t="s">
        <v>20</v>
      </c>
      <c r="E1520" t="s">
        <v>132</v>
      </c>
      <c r="F1520" t="s">
        <v>15</v>
      </c>
      <c r="G1520" t="s">
        <v>22</v>
      </c>
      <c r="H1520" t="s">
        <v>849</v>
      </c>
      <c r="I1520" t="s">
        <v>851</v>
      </c>
      <c r="J1520">
        <v>1</v>
      </c>
      <c r="K1520">
        <v>21500</v>
      </c>
      <c r="L1520">
        <v>31000</v>
      </c>
      <c r="M1520">
        <v>31000</v>
      </c>
      <c r="N1520" t="s">
        <v>19</v>
      </c>
    </row>
    <row r="1521" spans="1:14" x14ac:dyDescent="0.25">
      <c r="A1521" t="s">
        <v>1495</v>
      </c>
      <c r="B1521" t="s">
        <v>2125</v>
      </c>
      <c r="C1521" t="s">
        <v>846</v>
      </c>
      <c r="D1521" t="s">
        <v>20</v>
      </c>
      <c r="E1521" t="s">
        <v>132</v>
      </c>
      <c r="F1521" t="s">
        <v>15</v>
      </c>
      <c r="G1521" t="s">
        <v>22</v>
      </c>
      <c r="H1521" t="s">
        <v>849</v>
      </c>
      <c r="I1521" t="s">
        <v>99</v>
      </c>
      <c r="J1521">
        <v>1</v>
      </c>
      <c r="K1521">
        <v>2800</v>
      </c>
      <c r="L1521">
        <v>4000</v>
      </c>
      <c r="M1521">
        <v>4000</v>
      </c>
      <c r="N1521" t="s">
        <v>19</v>
      </c>
    </row>
    <row r="1522" spans="1:14" x14ac:dyDescent="0.25">
      <c r="A1522" t="s">
        <v>1495</v>
      </c>
      <c r="B1522" t="s">
        <v>2125</v>
      </c>
      <c r="C1522" t="s">
        <v>846</v>
      </c>
      <c r="D1522" t="s">
        <v>20</v>
      </c>
      <c r="E1522" t="s">
        <v>132</v>
      </c>
      <c r="F1522" t="s">
        <v>15</v>
      </c>
      <c r="G1522" t="s">
        <v>22</v>
      </c>
      <c r="H1522" t="s">
        <v>849</v>
      </c>
      <c r="I1522" t="s">
        <v>76</v>
      </c>
      <c r="J1522">
        <v>1</v>
      </c>
      <c r="K1522">
        <v>500</v>
      </c>
      <c r="L1522">
        <v>500</v>
      </c>
      <c r="M1522">
        <v>500</v>
      </c>
      <c r="N1522" t="s">
        <v>19</v>
      </c>
    </row>
    <row r="1523" spans="1:14" x14ac:dyDescent="0.25">
      <c r="A1523" t="s">
        <v>1507</v>
      </c>
      <c r="B1523" t="s">
        <v>2126</v>
      </c>
      <c r="C1523" t="s">
        <v>825</v>
      </c>
      <c r="D1523" t="s">
        <v>20</v>
      </c>
      <c r="E1523" t="s">
        <v>119</v>
      </c>
      <c r="F1523" t="s">
        <v>15</v>
      </c>
      <c r="G1523" t="s">
        <v>22</v>
      </c>
      <c r="H1523" t="s">
        <v>828</v>
      </c>
      <c r="I1523" t="s">
        <v>121</v>
      </c>
      <c r="J1523">
        <v>50</v>
      </c>
      <c r="K1523">
        <v>32</v>
      </c>
      <c r="L1523">
        <v>50</v>
      </c>
      <c r="M1523">
        <v>2500</v>
      </c>
      <c r="N1523" t="s">
        <v>19</v>
      </c>
    </row>
    <row r="1524" spans="1:14" x14ac:dyDescent="0.25">
      <c r="A1524" t="s">
        <v>1557</v>
      </c>
      <c r="B1524" t="s">
        <v>2127</v>
      </c>
      <c r="C1524" t="s">
        <v>438</v>
      </c>
      <c r="D1524" t="s">
        <v>1151</v>
      </c>
      <c r="E1524" t="s">
        <v>1151</v>
      </c>
      <c r="F1524" t="s">
        <v>15</v>
      </c>
      <c r="G1524" t="s">
        <v>1152</v>
      </c>
      <c r="H1524" t="s">
        <v>828</v>
      </c>
      <c r="I1524" t="s">
        <v>33</v>
      </c>
      <c r="J1524">
        <v>1</v>
      </c>
      <c r="K1524">
        <v>18000</v>
      </c>
      <c r="L1524">
        <v>18000</v>
      </c>
      <c r="M1524">
        <v>18000</v>
      </c>
      <c r="N1524" t="s">
        <v>19</v>
      </c>
    </row>
    <row r="1525" spans="1:14" x14ac:dyDescent="0.25">
      <c r="A1525" t="s">
        <v>1532</v>
      </c>
      <c r="B1525" t="s">
        <v>2128</v>
      </c>
      <c r="C1525" t="s">
        <v>753</v>
      </c>
      <c r="D1525" t="s">
        <v>755</v>
      </c>
      <c r="E1525" t="s">
        <v>755</v>
      </c>
      <c r="F1525" t="s">
        <v>756</v>
      </c>
      <c r="G1525" t="s">
        <v>22</v>
      </c>
      <c r="H1525" t="s">
        <v>757</v>
      </c>
      <c r="I1525" t="s">
        <v>662</v>
      </c>
      <c r="J1525">
        <v>1</v>
      </c>
      <c r="K1525">
        <v>23450</v>
      </c>
      <c r="L1525">
        <v>31000</v>
      </c>
      <c r="M1525">
        <v>31000</v>
      </c>
      <c r="N1525" t="s">
        <v>39</v>
      </c>
    </row>
    <row r="1526" spans="1:14" x14ac:dyDescent="0.25">
      <c r="A1526" t="s">
        <v>1532</v>
      </c>
      <c r="B1526" t="s">
        <v>2128</v>
      </c>
      <c r="C1526" t="s">
        <v>753</v>
      </c>
      <c r="D1526" t="s">
        <v>755</v>
      </c>
      <c r="E1526" t="s">
        <v>755</v>
      </c>
      <c r="F1526" t="s">
        <v>756</v>
      </c>
      <c r="G1526" t="s">
        <v>22</v>
      </c>
      <c r="H1526" t="s">
        <v>757</v>
      </c>
      <c r="I1526" t="s">
        <v>210</v>
      </c>
      <c r="J1526">
        <v>1</v>
      </c>
      <c r="K1526">
        <v>0</v>
      </c>
      <c r="L1526">
        <v>0</v>
      </c>
      <c r="M1526">
        <v>0</v>
      </c>
      <c r="N1526" t="s">
        <v>39</v>
      </c>
    </row>
    <row r="1527" spans="1:14" x14ac:dyDescent="0.25">
      <c r="A1527" t="s">
        <v>1532</v>
      </c>
      <c r="B1527" t="s">
        <v>2128</v>
      </c>
      <c r="C1527" t="s">
        <v>753</v>
      </c>
      <c r="D1527" t="s">
        <v>755</v>
      </c>
      <c r="E1527" t="s">
        <v>755</v>
      </c>
      <c r="F1527" t="s">
        <v>756</v>
      </c>
      <c r="G1527" t="s">
        <v>22</v>
      </c>
      <c r="H1527" t="s">
        <v>757</v>
      </c>
      <c r="I1527" t="s">
        <v>151</v>
      </c>
      <c r="J1527">
        <v>1</v>
      </c>
      <c r="K1527">
        <v>2800</v>
      </c>
      <c r="L1527">
        <v>4000</v>
      </c>
      <c r="M1527">
        <v>4000</v>
      </c>
      <c r="N1527" t="s">
        <v>39</v>
      </c>
    </row>
    <row r="1528" spans="1:14" x14ac:dyDescent="0.25">
      <c r="A1528" t="s">
        <v>1472</v>
      </c>
      <c r="B1528" t="s">
        <v>2129</v>
      </c>
      <c r="C1528" t="s">
        <v>758</v>
      </c>
      <c r="D1528" t="s">
        <v>759</v>
      </c>
      <c r="E1528" t="s">
        <v>760</v>
      </c>
      <c r="F1528" t="s">
        <v>15</v>
      </c>
      <c r="G1528" t="s">
        <v>37</v>
      </c>
      <c r="H1528" t="s">
        <v>757</v>
      </c>
      <c r="I1528" t="s">
        <v>33</v>
      </c>
      <c r="J1528">
        <v>1</v>
      </c>
      <c r="K1528">
        <v>15000</v>
      </c>
      <c r="L1528">
        <v>15000</v>
      </c>
      <c r="M1528">
        <v>15000</v>
      </c>
      <c r="N1528" t="s">
        <v>19</v>
      </c>
    </row>
    <row r="1529" spans="1:14" x14ac:dyDescent="0.25">
      <c r="A1529" t="s">
        <v>1651</v>
      </c>
      <c r="B1529" t="s">
        <v>2130</v>
      </c>
      <c r="C1529" t="s">
        <v>762</v>
      </c>
      <c r="D1529" t="s">
        <v>763</v>
      </c>
      <c r="E1529" t="s">
        <v>764</v>
      </c>
      <c r="F1529" t="s">
        <v>765</v>
      </c>
      <c r="G1529" t="s">
        <v>16</v>
      </c>
      <c r="H1529" t="s">
        <v>757</v>
      </c>
      <c r="I1529" t="s">
        <v>687</v>
      </c>
      <c r="J1529">
        <v>1</v>
      </c>
      <c r="K1529">
        <v>3675</v>
      </c>
      <c r="L1529">
        <v>10500</v>
      </c>
      <c r="M1529">
        <v>10500</v>
      </c>
      <c r="N1529" t="s">
        <v>39</v>
      </c>
    </row>
    <row r="1530" spans="1:14" x14ac:dyDescent="0.25">
      <c r="A1530" t="s">
        <v>1651</v>
      </c>
      <c r="B1530" t="s">
        <v>2130</v>
      </c>
      <c r="C1530" t="s">
        <v>762</v>
      </c>
      <c r="D1530" t="s">
        <v>763</v>
      </c>
      <c r="E1530" t="s">
        <v>764</v>
      </c>
      <c r="F1530" t="s">
        <v>765</v>
      </c>
      <c r="G1530" t="s">
        <v>16</v>
      </c>
      <c r="H1530" t="s">
        <v>757</v>
      </c>
      <c r="I1530" t="s">
        <v>48</v>
      </c>
      <c r="J1530">
        <v>1</v>
      </c>
      <c r="K1530">
        <v>7700</v>
      </c>
      <c r="L1530">
        <v>22000</v>
      </c>
      <c r="M1530">
        <v>22000</v>
      </c>
      <c r="N1530" t="s">
        <v>39</v>
      </c>
    </row>
    <row r="1531" spans="1:14" x14ac:dyDescent="0.25">
      <c r="A1531" t="s">
        <v>1651</v>
      </c>
      <c r="B1531" t="s">
        <v>2130</v>
      </c>
      <c r="C1531" t="s">
        <v>762</v>
      </c>
      <c r="D1531" t="s">
        <v>763</v>
      </c>
      <c r="E1531" t="s">
        <v>764</v>
      </c>
      <c r="F1531" t="s">
        <v>765</v>
      </c>
      <c r="G1531" t="s">
        <v>16</v>
      </c>
      <c r="H1531" t="s">
        <v>757</v>
      </c>
      <c r="I1531" t="s">
        <v>126</v>
      </c>
      <c r="J1531">
        <v>1</v>
      </c>
      <c r="K1531">
        <v>7700</v>
      </c>
      <c r="L1531">
        <v>22000</v>
      </c>
      <c r="M1531">
        <v>22000</v>
      </c>
      <c r="N1531" t="s">
        <v>39</v>
      </c>
    </row>
    <row r="1532" spans="1:14" x14ac:dyDescent="0.25">
      <c r="A1532" t="s">
        <v>1651</v>
      </c>
      <c r="B1532" t="s">
        <v>2130</v>
      </c>
      <c r="C1532" t="s">
        <v>762</v>
      </c>
      <c r="D1532" t="s">
        <v>763</v>
      </c>
      <c r="E1532" t="s">
        <v>764</v>
      </c>
      <c r="F1532" t="s">
        <v>765</v>
      </c>
      <c r="G1532" t="s">
        <v>16</v>
      </c>
      <c r="H1532" t="s">
        <v>757</v>
      </c>
      <c r="I1532" t="s">
        <v>26</v>
      </c>
      <c r="J1532">
        <v>1</v>
      </c>
      <c r="K1532">
        <v>500</v>
      </c>
      <c r="L1532">
        <v>500</v>
      </c>
      <c r="M1532">
        <v>500</v>
      </c>
      <c r="N1532" t="s">
        <v>39</v>
      </c>
    </row>
    <row r="1533" spans="1:14" x14ac:dyDescent="0.25">
      <c r="A1533" t="s">
        <v>1651</v>
      </c>
      <c r="B1533" t="s">
        <v>2130</v>
      </c>
      <c r="C1533" t="s">
        <v>762</v>
      </c>
      <c r="D1533" t="s">
        <v>763</v>
      </c>
      <c r="E1533" t="s">
        <v>764</v>
      </c>
      <c r="F1533" t="s">
        <v>765</v>
      </c>
      <c r="G1533" t="s">
        <v>16</v>
      </c>
      <c r="H1533" t="s">
        <v>757</v>
      </c>
      <c r="I1533" t="s">
        <v>97</v>
      </c>
      <c r="J1533">
        <v>1</v>
      </c>
      <c r="K1533">
        <v>2200</v>
      </c>
      <c r="L1533">
        <v>3500</v>
      </c>
      <c r="M1533">
        <v>3500</v>
      </c>
      <c r="N1533" t="s">
        <v>39</v>
      </c>
    </row>
    <row r="1534" spans="1:14" x14ac:dyDescent="0.25">
      <c r="A1534" t="s">
        <v>1651</v>
      </c>
      <c r="B1534" t="s">
        <v>2130</v>
      </c>
      <c r="C1534" t="s">
        <v>762</v>
      </c>
      <c r="D1534" t="s">
        <v>763</v>
      </c>
      <c r="E1534" t="s">
        <v>764</v>
      </c>
      <c r="F1534" t="s">
        <v>765</v>
      </c>
      <c r="G1534" t="s">
        <v>16</v>
      </c>
      <c r="H1534" t="s">
        <v>757</v>
      </c>
      <c r="I1534" t="s">
        <v>93</v>
      </c>
      <c r="J1534">
        <v>1</v>
      </c>
      <c r="K1534">
        <v>11000</v>
      </c>
      <c r="L1534">
        <v>16500</v>
      </c>
      <c r="M1534">
        <v>16500</v>
      </c>
      <c r="N1534" t="s">
        <v>39</v>
      </c>
    </row>
    <row r="1535" spans="1:14" x14ac:dyDescent="0.25">
      <c r="A1535" t="s">
        <v>1651</v>
      </c>
      <c r="B1535" t="s">
        <v>2130</v>
      </c>
      <c r="C1535" t="s">
        <v>762</v>
      </c>
      <c r="D1535" t="s">
        <v>763</v>
      </c>
      <c r="E1535" t="s">
        <v>764</v>
      </c>
      <c r="F1535" t="s">
        <v>765</v>
      </c>
      <c r="G1535" t="s">
        <v>16</v>
      </c>
      <c r="H1535" t="s">
        <v>757</v>
      </c>
      <c r="I1535" t="s">
        <v>116</v>
      </c>
      <c r="J1535">
        <v>1</v>
      </c>
      <c r="K1535">
        <v>2185</v>
      </c>
      <c r="L1535">
        <v>3500</v>
      </c>
      <c r="M1535">
        <v>3500</v>
      </c>
      <c r="N1535" t="s">
        <v>39</v>
      </c>
    </row>
    <row r="1536" spans="1:14" x14ac:dyDescent="0.25">
      <c r="A1536" t="s">
        <v>1651</v>
      </c>
      <c r="B1536" t="s">
        <v>2130</v>
      </c>
      <c r="C1536" t="s">
        <v>762</v>
      </c>
      <c r="D1536" t="s">
        <v>763</v>
      </c>
      <c r="E1536" t="s">
        <v>764</v>
      </c>
      <c r="F1536" t="s">
        <v>765</v>
      </c>
      <c r="G1536" t="s">
        <v>16</v>
      </c>
      <c r="H1536" t="s">
        <v>757</v>
      </c>
      <c r="I1536" t="s">
        <v>177</v>
      </c>
      <c r="J1536">
        <v>1</v>
      </c>
      <c r="K1536">
        <v>9500</v>
      </c>
      <c r="L1536">
        <v>13500</v>
      </c>
      <c r="M1536">
        <v>13500</v>
      </c>
      <c r="N1536" t="s">
        <v>39</v>
      </c>
    </row>
    <row r="1537" spans="1:14" x14ac:dyDescent="0.25">
      <c r="A1537" t="s">
        <v>1651</v>
      </c>
      <c r="B1537" t="s">
        <v>2130</v>
      </c>
      <c r="C1537" t="s">
        <v>762</v>
      </c>
      <c r="D1537" t="s">
        <v>763</v>
      </c>
      <c r="E1537" t="s">
        <v>764</v>
      </c>
      <c r="F1537" t="s">
        <v>765</v>
      </c>
      <c r="G1537" t="s">
        <v>16</v>
      </c>
      <c r="H1537" t="s">
        <v>757</v>
      </c>
      <c r="I1537" t="s">
        <v>209</v>
      </c>
      <c r="J1537">
        <v>1</v>
      </c>
      <c r="K1537">
        <v>23450</v>
      </c>
      <c r="L1537">
        <v>32700</v>
      </c>
      <c r="M1537">
        <v>32700</v>
      </c>
      <c r="N1537" t="s">
        <v>39</v>
      </c>
    </row>
    <row r="1538" spans="1:14" x14ac:dyDescent="0.25">
      <c r="A1538" t="s">
        <v>1651</v>
      </c>
      <c r="B1538" t="s">
        <v>2130</v>
      </c>
      <c r="C1538" t="s">
        <v>762</v>
      </c>
      <c r="D1538" t="s">
        <v>763</v>
      </c>
      <c r="E1538" t="s">
        <v>764</v>
      </c>
      <c r="F1538" t="s">
        <v>765</v>
      </c>
      <c r="G1538" t="s">
        <v>16</v>
      </c>
      <c r="H1538" t="s">
        <v>757</v>
      </c>
      <c r="I1538" t="s">
        <v>151</v>
      </c>
      <c r="J1538">
        <v>1</v>
      </c>
      <c r="K1538">
        <v>2800</v>
      </c>
      <c r="L1538">
        <v>4000</v>
      </c>
      <c r="M1538">
        <v>4000</v>
      </c>
      <c r="N1538" t="s">
        <v>39</v>
      </c>
    </row>
    <row r="1539" spans="1:14" x14ac:dyDescent="0.25">
      <c r="A1539" t="s">
        <v>1651</v>
      </c>
      <c r="B1539" t="s">
        <v>2130</v>
      </c>
      <c r="C1539" t="s">
        <v>762</v>
      </c>
      <c r="D1539" t="s">
        <v>763</v>
      </c>
      <c r="E1539" t="s">
        <v>764</v>
      </c>
      <c r="F1539" t="s">
        <v>765</v>
      </c>
      <c r="G1539" t="s">
        <v>16</v>
      </c>
      <c r="H1539" t="s">
        <v>757</v>
      </c>
      <c r="I1539" t="s">
        <v>210</v>
      </c>
      <c r="J1539">
        <v>1</v>
      </c>
      <c r="K1539">
        <v>530</v>
      </c>
      <c r="L1539">
        <v>700</v>
      </c>
      <c r="M1539">
        <v>700</v>
      </c>
      <c r="N1539" t="s">
        <v>39</v>
      </c>
    </row>
    <row r="1540" spans="1:14" x14ac:dyDescent="0.25">
      <c r="A1540" t="s">
        <v>1651</v>
      </c>
      <c r="B1540" t="s">
        <v>2130</v>
      </c>
      <c r="C1540" t="s">
        <v>762</v>
      </c>
      <c r="D1540" t="s">
        <v>763</v>
      </c>
      <c r="E1540" t="s">
        <v>764</v>
      </c>
      <c r="F1540" t="s">
        <v>765</v>
      </c>
      <c r="G1540" t="s">
        <v>16</v>
      </c>
      <c r="H1540" t="s">
        <v>757</v>
      </c>
      <c r="I1540" t="s">
        <v>211</v>
      </c>
      <c r="J1540">
        <v>1</v>
      </c>
      <c r="K1540">
        <v>350</v>
      </c>
      <c r="L1540">
        <v>500</v>
      </c>
      <c r="M1540">
        <v>500</v>
      </c>
      <c r="N1540" t="s">
        <v>39</v>
      </c>
    </row>
    <row r="1541" spans="1:14" x14ac:dyDescent="0.25">
      <c r="A1541" t="s">
        <v>1651</v>
      </c>
      <c r="B1541" t="s">
        <v>2130</v>
      </c>
      <c r="C1541" t="s">
        <v>762</v>
      </c>
      <c r="D1541" t="s">
        <v>763</v>
      </c>
      <c r="E1541" t="s">
        <v>764</v>
      </c>
      <c r="F1541" t="s">
        <v>765</v>
      </c>
      <c r="G1541" t="s">
        <v>16</v>
      </c>
      <c r="H1541" t="s">
        <v>757</v>
      </c>
      <c r="I1541" t="s">
        <v>63</v>
      </c>
      <c r="J1541">
        <v>1</v>
      </c>
      <c r="K1541">
        <v>600</v>
      </c>
      <c r="L1541">
        <v>600</v>
      </c>
      <c r="M1541">
        <v>600</v>
      </c>
      <c r="N1541" t="s">
        <v>39</v>
      </c>
    </row>
    <row r="1542" spans="1:14" x14ac:dyDescent="0.25">
      <c r="A1542" t="s">
        <v>1527</v>
      </c>
      <c r="B1542" t="s">
        <v>2131</v>
      </c>
      <c r="C1542" t="s">
        <v>766</v>
      </c>
      <c r="D1542" t="s">
        <v>767</v>
      </c>
      <c r="E1542" t="s">
        <v>767</v>
      </c>
      <c r="F1542" t="s">
        <v>768</v>
      </c>
      <c r="G1542" t="s">
        <v>37</v>
      </c>
      <c r="H1542" t="s">
        <v>757</v>
      </c>
      <c r="I1542" t="s">
        <v>97</v>
      </c>
      <c r="J1542">
        <v>1</v>
      </c>
      <c r="K1542">
        <v>2200</v>
      </c>
      <c r="L1542">
        <v>3500</v>
      </c>
      <c r="M1542">
        <v>3500</v>
      </c>
      <c r="N1542" t="s">
        <v>39</v>
      </c>
    </row>
    <row r="1543" spans="1:14" x14ac:dyDescent="0.25">
      <c r="A1543" t="s">
        <v>1609</v>
      </c>
      <c r="B1543" t="s">
        <v>2132</v>
      </c>
      <c r="C1543" t="s">
        <v>852</v>
      </c>
      <c r="D1543" t="s">
        <v>191</v>
      </c>
      <c r="E1543" t="s">
        <v>192</v>
      </c>
      <c r="F1543" t="s">
        <v>15</v>
      </c>
      <c r="G1543" t="s">
        <v>22</v>
      </c>
      <c r="H1543" t="s">
        <v>757</v>
      </c>
      <c r="I1543" t="s">
        <v>581</v>
      </c>
      <c r="J1543">
        <v>2</v>
      </c>
      <c r="K1543">
        <v>9500</v>
      </c>
      <c r="L1543">
        <v>13500</v>
      </c>
      <c r="M1543">
        <v>27000</v>
      </c>
      <c r="N1543" t="s">
        <v>19</v>
      </c>
    </row>
    <row r="1544" spans="1:14" x14ac:dyDescent="0.25">
      <c r="A1544" t="s">
        <v>1609</v>
      </c>
      <c r="B1544" t="s">
        <v>2132</v>
      </c>
      <c r="C1544" t="s">
        <v>852</v>
      </c>
      <c r="D1544" t="s">
        <v>191</v>
      </c>
      <c r="E1544" t="s">
        <v>192</v>
      </c>
      <c r="F1544" t="s">
        <v>15</v>
      </c>
      <c r="G1544" t="s">
        <v>22</v>
      </c>
      <c r="H1544" t="s">
        <v>757</v>
      </c>
      <c r="I1544" t="s">
        <v>76</v>
      </c>
      <c r="J1544">
        <v>1</v>
      </c>
      <c r="K1544">
        <v>1500</v>
      </c>
      <c r="L1544">
        <v>1500</v>
      </c>
      <c r="M1544">
        <v>1500</v>
      </c>
      <c r="N1544" t="s">
        <v>19</v>
      </c>
    </row>
    <row r="1545" spans="1:14" x14ac:dyDescent="0.25">
      <c r="A1545" t="s">
        <v>1477</v>
      </c>
      <c r="B1545" t="s">
        <v>2133</v>
      </c>
      <c r="C1545" t="s">
        <v>855</v>
      </c>
      <c r="D1545" t="s">
        <v>20</v>
      </c>
      <c r="E1545" t="s">
        <v>775</v>
      </c>
      <c r="F1545" t="s">
        <v>15</v>
      </c>
      <c r="G1545" t="s">
        <v>22</v>
      </c>
      <c r="H1545" t="s">
        <v>757</v>
      </c>
      <c r="I1545" t="s">
        <v>133</v>
      </c>
      <c r="J1545">
        <v>1</v>
      </c>
      <c r="K1545">
        <v>3675</v>
      </c>
      <c r="L1545">
        <v>10500</v>
      </c>
      <c r="M1545">
        <v>10500</v>
      </c>
      <c r="N1545" t="s">
        <v>19</v>
      </c>
    </row>
    <row r="1546" spans="1:14" x14ac:dyDescent="0.25">
      <c r="A1546" t="s">
        <v>1477</v>
      </c>
      <c r="B1546" t="s">
        <v>2133</v>
      </c>
      <c r="C1546" t="s">
        <v>855</v>
      </c>
      <c r="D1546" t="s">
        <v>20</v>
      </c>
      <c r="E1546" t="s">
        <v>775</v>
      </c>
      <c r="F1546" t="s">
        <v>15</v>
      </c>
      <c r="G1546" t="s">
        <v>22</v>
      </c>
      <c r="H1546" t="s">
        <v>757</v>
      </c>
      <c r="I1546" t="s">
        <v>25</v>
      </c>
      <c r="J1546">
        <v>1</v>
      </c>
      <c r="K1546">
        <v>9500</v>
      </c>
      <c r="L1546">
        <v>9500</v>
      </c>
      <c r="M1546">
        <v>9500</v>
      </c>
      <c r="N1546" t="s">
        <v>19</v>
      </c>
    </row>
    <row r="1547" spans="1:14" x14ac:dyDescent="0.25">
      <c r="A1547" t="s">
        <v>1477</v>
      </c>
      <c r="B1547" t="s">
        <v>2133</v>
      </c>
      <c r="C1547" t="s">
        <v>855</v>
      </c>
      <c r="D1547" t="s">
        <v>20</v>
      </c>
      <c r="E1547" t="s">
        <v>775</v>
      </c>
      <c r="F1547" t="s">
        <v>15</v>
      </c>
      <c r="G1547" t="s">
        <v>22</v>
      </c>
      <c r="H1547" t="s">
        <v>757</v>
      </c>
      <c r="I1547" t="s">
        <v>24</v>
      </c>
      <c r="J1547">
        <v>1</v>
      </c>
      <c r="K1547">
        <v>9500</v>
      </c>
      <c r="L1547">
        <v>9500</v>
      </c>
      <c r="M1547">
        <v>9500</v>
      </c>
      <c r="N1547" t="s">
        <v>19</v>
      </c>
    </row>
    <row r="1548" spans="1:14" x14ac:dyDescent="0.25">
      <c r="A1548" t="s">
        <v>1477</v>
      </c>
      <c r="B1548" t="s">
        <v>2133</v>
      </c>
      <c r="C1548" t="s">
        <v>855</v>
      </c>
      <c r="D1548" t="s">
        <v>20</v>
      </c>
      <c r="E1548" t="s">
        <v>775</v>
      </c>
      <c r="F1548" t="s">
        <v>15</v>
      </c>
      <c r="G1548" t="s">
        <v>22</v>
      </c>
      <c r="H1548" t="s">
        <v>757</v>
      </c>
      <c r="I1548" t="s">
        <v>134</v>
      </c>
      <c r="J1548">
        <v>1</v>
      </c>
      <c r="K1548">
        <v>500</v>
      </c>
      <c r="L1548">
        <v>500</v>
      </c>
      <c r="M1548">
        <v>500</v>
      </c>
      <c r="N1548" t="s">
        <v>19</v>
      </c>
    </row>
    <row r="1549" spans="1:14" x14ac:dyDescent="0.25">
      <c r="A1549" t="s">
        <v>1484</v>
      </c>
      <c r="B1549" t="s">
        <v>2134</v>
      </c>
      <c r="C1549" t="s">
        <v>859</v>
      </c>
      <c r="D1549" t="s">
        <v>20</v>
      </c>
      <c r="E1549" t="s">
        <v>860</v>
      </c>
      <c r="F1549" t="s">
        <v>15</v>
      </c>
      <c r="G1549" t="s">
        <v>22</v>
      </c>
      <c r="H1549" t="s">
        <v>861</v>
      </c>
      <c r="I1549" t="s">
        <v>91</v>
      </c>
      <c r="J1549">
        <v>1</v>
      </c>
      <c r="K1549">
        <v>3675</v>
      </c>
      <c r="L1549">
        <v>10500</v>
      </c>
      <c r="M1549">
        <v>10500</v>
      </c>
      <c r="N1549" t="s">
        <v>19</v>
      </c>
    </row>
    <row r="1550" spans="1:14" x14ac:dyDescent="0.25">
      <c r="A1550" t="s">
        <v>1484</v>
      </c>
      <c r="B1550" t="s">
        <v>2134</v>
      </c>
      <c r="C1550" t="s">
        <v>859</v>
      </c>
      <c r="D1550" t="s">
        <v>20</v>
      </c>
      <c r="E1550" t="s">
        <v>860</v>
      </c>
      <c r="F1550" t="s">
        <v>15</v>
      </c>
      <c r="G1550" t="s">
        <v>22</v>
      </c>
      <c r="H1550" t="s">
        <v>861</v>
      </c>
      <c r="I1550" t="s">
        <v>25</v>
      </c>
      <c r="J1550">
        <v>1</v>
      </c>
      <c r="K1550">
        <v>12350</v>
      </c>
      <c r="L1550">
        <v>12350</v>
      </c>
      <c r="M1550">
        <v>12350</v>
      </c>
      <c r="N1550" t="s">
        <v>19</v>
      </c>
    </row>
    <row r="1551" spans="1:14" x14ac:dyDescent="0.25">
      <c r="A1551" t="s">
        <v>1484</v>
      </c>
      <c r="B1551" t="s">
        <v>2134</v>
      </c>
      <c r="C1551" t="s">
        <v>859</v>
      </c>
      <c r="D1551" t="s">
        <v>20</v>
      </c>
      <c r="E1551" t="s">
        <v>860</v>
      </c>
      <c r="F1551" t="s">
        <v>15</v>
      </c>
      <c r="G1551" t="s">
        <v>22</v>
      </c>
      <c r="H1551" t="s">
        <v>861</v>
      </c>
      <c r="I1551" t="s">
        <v>24</v>
      </c>
      <c r="J1551">
        <v>1</v>
      </c>
      <c r="K1551">
        <v>12350</v>
      </c>
      <c r="L1551">
        <v>12350</v>
      </c>
      <c r="M1551">
        <v>12350</v>
      </c>
      <c r="N1551" t="s">
        <v>19</v>
      </c>
    </row>
    <row r="1552" spans="1:14" x14ac:dyDescent="0.25">
      <c r="A1552" t="s">
        <v>1484</v>
      </c>
      <c r="B1552" t="s">
        <v>2134</v>
      </c>
      <c r="C1552" t="s">
        <v>859</v>
      </c>
      <c r="D1552" t="s">
        <v>20</v>
      </c>
      <c r="E1552" t="s">
        <v>860</v>
      </c>
      <c r="F1552" t="s">
        <v>15</v>
      </c>
      <c r="G1552" t="s">
        <v>22</v>
      </c>
      <c r="H1552" t="s">
        <v>861</v>
      </c>
      <c r="I1552" t="s">
        <v>134</v>
      </c>
      <c r="J1552">
        <v>1</v>
      </c>
      <c r="K1552">
        <v>500</v>
      </c>
      <c r="L1552">
        <v>500</v>
      </c>
      <c r="M1552">
        <v>500</v>
      </c>
      <c r="N1552" t="s">
        <v>19</v>
      </c>
    </row>
    <row r="1553" spans="1:14" x14ac:dyDescent="0.25">
      <c r="A1553" t="s">
        <v>1484</v>
      </c>
      <c r="B1553" t="s">
        <v>2134</v>
      </c>
      <c r="C1553" t="s">
        <v>859</v>
      </c>
      <c r="D1553" t="s">
        <v>20</v>
      </c>
      <c r="E1553" t="s">
        <v>860</v>
      </c>
      <c r="F1553" t="s">
        <v>15</v>
      </c>
      <c r="G1553" t="s">
        <v>22</v>
      </c>
      <c r="H1553" t="s">
        <v>861</v>
      </c>
      <c r="I1553" t="s">
        <v>93</v>
      </c>
      <c r="J1553">
        <v>1</v>
      </c>
      <c r="K1553">
        <v>11000</v>
      </c>
      <c r="L1553">
        <v>16000</v>
      </c>
      <c r="M1553">
        <v>16000</v>
      </c>
      <c r="N1553" t="s">
        <v>19</v>
      </c>
    </row>
    <row r="1554" spans="1:14" x14ac:dyDescent="0.25">
      <c r="A1554" t="s">
        <v>1484</v>
      </c>
      <c r="B1554" t="s">
        <v>2134</v>
      </c>
      <c r="C1554" t="s">
        <v>859</v>
      </c>
      <c r="D1554" t="s">
        <v>20</v>
      </c>
      <c r="E1554" t="s">
        <v>860</v>
      </c>
      <c r="F1554" t="s">
        <v>15</v>
      </c>
      <c r="G1554" t="s">
        <v>22</v>
      </c>
      <c r="H1554" t="s">
        <v>861</v>
      </c>
      <c r="I1554" t="s">
        <v>98</v>
      </c>
      <c r="J1554">
        <v>1</v>
      </c>
      <c r="K1554">
        <v>935</v>
      </c>
      <c r="L1554">
        <v>1300</v>
      </c>
      <c r="M1554">
        <v>1300</v>
      </c>
      <c r="N1554" t="s">
        <v>19</v>
      </c>
    </row>
    <row r="1555" spans="1:14" x14ac:dyDescent="0.25">
      <c r="A1555" t="s">
        <v>1484</v>
      </c>
      <c r="B1555" t="s">
        <v>2134</v>
      </c>
      <c r="C1555" t="s">
        <v>859</v>
      </c>
      <c r="D1555" t="s">
        <v>20</v>
      </c>
      <c r="E1555" t="s">
        <v>860</v>
      </c>
      <c r="F1555" t="s">
        <v>15</v>
      </c>
      <c r="G1555" t="s">
        <v>22</v>
      </c>
      <c r="H1555" t="s">
        <v>861</v>
      </c>
      <c r="I1555" t="s">
        <v>862</v>
      </c>
      <c r="J1555">
        <v>1</v>
      </c>
      <c r="K1555">
        <v>22000</v>
      </c>
      <c r="L1555">
        <v>31500</v>
      </c>
      <c r="M1555">
        <v>31500</v>
      </c>
      <c r="N1555" t="s">
        <v>19</v>
      </c>
    </row>
    <row r="1556" spans="1:14" x14ac:dyDescent="0.25">
      <c r="A1556" t="s">
        <v>1484</v>
      </c>
      <c r="B1556" t="s">
        <v>2134</v>
      </c>
      <c r="C1556" t="s">
        <v>859</v>
      </c>
      <c r="D1556" t="s">
        <v>20</v>
      </c>
      <c r="E1556" t="s">
        <v>860</v>
      </c>
      <c r="F1556" t="s">
        <v>15</v>
      </c>
      <c r="G1556" t="s">
        <v>22</v>
      </c>
      <c r="H1556" t="s">
        <v>861</v>
      </c>
      <c r="I1556" t="s">
        <v>99</v>
      </c>
      <c r="J1556">
        <v>1</v>
      </c>
      <c r="K1556">
        <v>2800</v>
      </c>
      <c r="L1556">
        <v>4000</v>
      </c>
      <c r="M1556">
        <v>4000</v>
      </c>
      <c r="N1556" t="s">
        <v>19</v>
      </c>
    </row>
    <row r="1557" spans="1:14" x14ac:dyDescent="0.25">
      <c r="A1557" t="s">
        <v>1484</v>
      </c>
      <c r="B1557" t="s">
        <v>2134</v>
      </c>
      <c r="C1557" t="s">
        <v>859</v>
      </c>
      <c r="D1557" t="s">
        <v>20</v>
      </c>
      <c r="E1557" t="s">
        <v>860</v>
      </c>
      <c r="F1557" t="s">
        <v>15</v>
      </c>
      <c r="G1557" t="s">
        <v>22</v>
      </c>
      <c r="H1557" t="s">
        <v>861</v>
      </c>
      <c r="I1557" t="s">
        <v>76</v>
      </c>
      <c r="J1557">
        <v>1</v>
      </c>
      <c r="K1557">
        <v>500</v>
      </c>
      <c r="L1557">
        <v>500</v>
      </c>
      <c r="M1557">
        <v>500</v>
      </c>
      <c r="N1557" t="s">
        <v>19</v>
      </c>
    </row>
    <row r="1558" spans="1:14" x14ac:dyDescent="0.25">
      <c r="A1558" t="s">
        <v>1486</v>
      </c>
      <c r="B1558" t="s">
        <v>2070</v>
      </c>
      <c r="C1558" t="s">
        <v>780</v>
      </c>
      <c r="D1558" t="s">
        <v>20</v>
      </c>
      <c r="E1558" t="s">
        <v>31</v>
      </c>
      <c r="F1558" t="s">
        <v>15</v>
      </c>
      <c r="G1558" t="s">
        <v>22</v>
      </c>
      <c r="H1558" t="s">
        <v>871</v>
      </c>
      <c r="I1558" t="s">
        <v>33</v>
      </c>
      <c r="J1558">
        <v>4</v>
      </c>
      <c r="K1558">
        <v>6500</v>
      </c>
      <c r="L1558">
        <v>6500</v>
      </c>
      <c r="M1558">
        <v>26000</v>
      </c>
      <c r="N1558" t="s">
        <v>19</v>
      </c>
    </row>
    <row r="1559" spans="1:14" x14ac:dyDescent="0.25">
      <c r="A1559" t="s">
        <v>1486</v>
      </c>
      <c r="B1559" t="s">
        <v>2135</v>
      </c>
      <c r="C1559" t="s">
        <v>872</v>
      </c>
      <c r="D1559" t="s">
        <v>20</v>
      </c>
      <c r="E1559" t="s">
        <v>31</v>
      </c>
      <c r="F1559" t="s">
        <v>15</v>
      </c>
      <c r="G1559" t="s">
        <v>22</v>
      </c>
      <c r="H1559" t="s">
        <v>871</v>
      </c>
      <c r="I1559" t="s">
        <v>33</v>
      </c>
      <c r="J1559">
        <v>2</v>
      </c>
      <c r="K1559">
        <v>6500</v>
      </c>
      <c r="L1559">
        <v>6500</v>
      </c>
      <c r="M1559">
        <v>13000</v>
      </c>
      <c r="N1559" t="s">
        <v>19</v>
      </c>
    </row>
    <row r="1560" spans="1:14" x14ac:dyDescent="0.25">
      <c r="A1560" t="s">
        <v>1486</v>
      </c>
      <c r="B1560" t="s">
        <v>2136</v>
      </c>
      <c r="C1560" t="s">
        <v>875</v>
      </c>
      <c r="D1560" t="s">
        <v>20</v>
      </c>
      <c r="E1560" t="s">
        <v>31</v>
      </c>
      <c r="F1560" t="s">
        <v>15</v>
      </c>
      <c r="G1560" t="s">
        <v>22</v>
      </c>
      <c r="H1560" t="s">
        <v>871</v>
      </c>
      <c r="I1560" t="s">
        <v>33</v>
      </c>
      <c r="J1560">
        <v>1</v>
      </c>
      <c r="K1560">
        <v>6500</v>
      </c>
      <c r="L1560">
        <v>6500</v>
      </c>
      <c r="M1560">
        <v>6500</v>
      </c>
      <c r="N1560" t="s">
        <v>19</v>
      </c>
    </row>
    <row r="1561" spans="1:14" x14ac:dyDescent="0.25">
      <c r="A1561" t="s">
        <v>1486</v>
      </c>
      <c r="B1561" t="s">
        <v>2137</v>
      </c>
      <c r="C1561" t="s">
        <v>877</v>
      </c>
      <c r="D1561" t="s">
        <v>20</v>
      </c>
      <c r="E1561" t="s">
        <v>31</v>
      </c>
      <c r="F1561" t="s">
        <v>15</v>
      </c>
      <c r="G1561" t="s">
        <v>22</v>
      </c>
      <c r="H1561" t="s">
        <v>871</v>
      </c>
      <c r="I1561" t="s">
        <v>33</v>
      </c>
      <c r="J1561">
        <v>2</v>
      </c>
      <c r="K1561">
        <v>6500</v>
      </c>
      <c r="L1561">
        <v>6500</v>
      </c>
      <c r="M1561">
        <v>13000</v>
      </c>
      <c r="N1561" t="s">
        <v>19</v>
      </c>
    </row>
    <row r="1562" spans="1:14" x14ac:dyDescent="0.25">
      <c r="A1562" t="s">
        <v>1486</v>
      </c>
      <c r="B1562" t="s">
        <v>2138</v>
      </c>
      <c r="C1562" t="s">
        <v>878</v>
      </c>
      <c r="D1562" t="s">
        <v>20</v>
      </c>
      <c r="E1562" t="s">
        <v>31</v>
      </c>
      <c r="F1562" t="s">
        <v>15</v>
      </c>
      <c r="G1562" t="s">
        <v>22</v>
      </c>
      <c r="H1562" t="s">
        <v>871</v>
      </c>
      <c r="I1562" t="s">
        <v>33</v>
      </c>
      <c r="J1562">
        <v>4</v>
      </c>
      <c r="K1562">
        <v>6500</v>
      </c>
      <c r="L1562">
        <v>6500</v>
      </c>
      <c r="M1562">
        <v>26000</v>
      </c>
      <c r="N1562" t="s">
        <v>19</v>
      </c>
    </row>
    <row r="1563" spans="1:14" x14ac:dyDescent="0.25">
      <c r="A1563" t="s">
        <v>1486</v>
      </c>
      <c r="B1563" t="s">
        <v>2070</v>
      </c>
      <c r="C1563" t="s">
        <v>780</v>
      </c>
      <c r="D1563" t="s">
        <v>20</v>
      </c>
      <c r="E1563" t="s">
        <v>31</v>
      </c>
      <c r="F1563" t="s">
        <v>15</v>
      </c>
      <c r="G1563" t="s">
        <v>22</v>
      </c>
      <c r="H1563" t="s">
        <v>871</v>
      </c>
      <c r="I1563" t="s">
        <v>33</v>
      </c>
      <c r="J1563">
        <v>2</v>
      </c>
      <c r="K1563">
        <v>6500</v>
      </c>
      <c r="L1563">
        <v>6500</v>
      </c>
      <c r="M1563">
        <v>13000</v>
      </c>
      <c r="N1563" t="s">
        <v>19</v>
      </c>
    </row>
    <row r="1564" spans="1:14" x14ac:dyDescent="0.25">
      <c r="A1564" t="s">
        <v>1486</v>
      </c>
      <c r="B1564" t="s">
        <v>2139</v>
      </c>
      <c r="C1564" t="s">
        <v>885</v>
      </c>
      <c r="D1564" t="s">
        <v>20</v>
      </c>
      <c r="E1564" t="s">
        <v>31</v>
      </c>
      <c r="F1564" t="s">
        <v>15</v>
      </c>
      <c r="G1564" t="s">
        <v>22</v>
      </c>
      <c r="H1564" t="s">
        <v>871</v>
      </c>
      <c r="I1564" t="s">
        <v>33</v>
      </c>
      <c r="J1564">
        <v>4</v>
      </c>
      <c r="K1564">
        <v>6500</v>
      </c>
      <c r="L1564">
        <v>6500</v>
      </c>
      <c r="M1564">
        <v>26000</v>
      </c>
      <c r="N1564" t="s">
        <v>19</v>
      </c>
    </row>
    <row r="1565" spans="1:14" x14ac:dyDescent="0.25">
      <c r="A1565" t="s">
        <v>1642</v>
      </c>
      <c r="B1565" t="s">
        <v>2140</v>
      </c>
      <c r="C1565" t="s">
        <v>771</v>
      </c>
      <c r="D1565" t="s">
        <v>772</v>
      </c>
      <c r="E1565" t="s">
        <v>773</v>
      </c>
      <c r="F1565" t="s">
        <v>15</v>
      </c>
      <c r="G1565" t="s">
        <v>37</v>
      </c>
      <c r="H1565" t="s">
        <v>774</v>
      </c>
      <c r="I1565" t="s">
        <v>33</v>
      </c>
      <c r="J1565">
        <v>1</v>
      </c>
      <c r="K1565">
        <v>15000</v>
      </c>
      <c r="L1565">
        <v>15000</v>
      </c>
      <c r="M1565">
        <v>15000</v>
      </c>
      <c r="N1565" t="s">
        <v>19</v>
      </c>
    </row>
    <row r="1566" spans="1:14" x14ac:dyDescent="0.25">
      <c r="A1566" t="s">
        <v>1585</v>
      </c>
      <c r="B1566" t="s">
        <v>2141</v>
      </c>
      <c r="C1566" t="s">
        <v>439</v>
      </c>
      <c r="D1566" t="s">
        <v>1117</v>
      </c>
      <c r="E1566" t="s">
        <v>1118</v>
      </c>
      <c r="F1566" t="s">
        <v>15</v>
      </c>
      <c r="G1566" t="s">
        <v>1024</v>
      </c>
      <c r="H1566" t="s">
        <v>774</v>
      </c>
      <c r="I1566" t="s">
        <v>1153</v>
      </c>
      <c r="J1566">
        <v>1</v>
      </c>
      <c r="K1566">
        <v>3675</v>
      </c>
      <c r="L1566">
        <v>10500</v>
      </c>
      <c r="M1566">
        <v>10500</v>
      </c>
      <c r="N1566" t="s">
        <v>19</v>
      </c>
    </row>
    <row r="1567" spans="1:14" x14ac:dyDescent="0.25">
      <c r="A1567" t="s">
        <v>1585</v>
      </c>
      <c r="B1567" t="s">
        <v>2141</v>
      </c>
      <c r="C1567" t="s">
        <v>439</v>
      </c>
      <c r="D1567" t="s">
        <v>1117</v>
      </c>
      <c r="E1567" t="s">
        <v>1118</v>
      </c>
      <c r="F1567" t="s">
        <v>15</v>
      </c>
      <c r="G1567" t="s">
        <v>1024</v>
      </c>
      <c r="H1567" t="s">
        <v>774</v>
      </c>
      <c r="I1567" t="s">
        <v>1011</v>
      </c>
      <c r="J1567">
        <v>1</v>
      </c>
      <c r="K1567">
        <v>2450</v>
      </c>
      <c r="L1567">
        <v>7000</v>
      </c>
      <c r="M1567">
        <v>7000</v>
      </c>
      <c r="N1567" t="s">
        <v>19</v>
      </c>
    </row>
    <row r="1568" spans="1:14" x14ac:dyDescent="0.25">
      <c r="A1568" t="s">
        <v>1585</v>
      </c>
      <c r="B1568" t="s">
        <v>2141</v>
      </c>
      <c r="C1568" t="s">
        <v>439</v>
      </c>
      <c r="D1568" t="s">
        <v>1117</v>
      </c>
      <c r="E1568" t="s">
        <v>1118</v>
      </c>
      <c r="F1568" t="s">
        <v>15</v>
      </c>
      <c r="G1568" t="s">
        <v>1024</v>
      </c>
      <c r="H1568" t="s">
        <v>774</v>
      </c>
      <c r="I1568" t="s">
        <v>24</v>
      </c>
      <c r="J1568">
        <v>1</v>
      </c>
      <c r="K1568">
        <v>2450</v>
      </c>
      <c r="L1568">
        <v>7000</v>
      </c>
      <c r="M1568">
        <v>7000</v>
      </c>
      <c r="N1568" t="s">
        <v>19</v>
      </c>
    </row>
    <row r="1569" spans="1:14" x14ac:dyDescent="0.25">
      <c r="A1569" t="s">
        <v>1585</v>
      </c>
      <c r="B1569" t="s">
        <v>2141</v>
      </c>
      <c r="C1569" t="s">
        <v>439</v>
      </c>
      <c r="D1569" t="s">
        <v>1117</v>
      </c>
      <c r="E1569" t="s">
        <v>1118</v>
      </c>
      <c r="F1569" t="s">
        <v>15</v>
      </c>
      <c r="G1569" t="s">
        <v>1024</v>
      </c>
      <c r="H1569" t="s">
        <v>774</v>
      </c>
      <c r="I1569" t="s">
        <v>26</v>
      </c>
      <c r="J1569">
        <v>1</v>
      </c>
      <c r="K1569">
        <v>500</v>
      </c>
      <c r="L1569">
        <v>500</v>
      </c>
      <c r="M1569">
        <v>500</v>
      </c>
      <c r="N1569" t="s">
        <v>19</v>
      </c>
    </row>
    <row r="1570" spans="1:14" x14ac:dyDescent="0.25">
      <c r="A1570" t="s">
        <v>1585</v>
      </c>
      <c r="B1570" t="s">
        <v>2141</v>
      </c>
      <c r="C1570" t="s">
        <v>439</v>
      </c>
      <c r="D1570" t="s">
        <v>1117</v>
      </c>
      <c r="E1570" t="s">
        <v>1118</v>
      </c>
      <c r="F1570" t="s">
        <v>15</v>
      </c>
      <c r="G1570" t="s">
        <v>1024</v>
      </c>
      <c r="H1570" t="s">
        <v>774</v>
      </c>
      <c r="I1570" t="s">
        <v>1119</v>
      </c>
      <c r="J1570">
        <v>1</v>
      </c>
      <c r="K1570">
        <v>20800</v>
      </c>
      <c r="L1570">
        <v>22500</v>
      </c>
      <c r="M1570">
        <v>22500</v>
      </c>
      <c r="N1570" t="s">
        <v>19</v>
      </c>
    </row>
    <row r="1571" spans="1:14" x14ac:dyDescent="0.25">
      <c r="A1571" t="s">
        <v>1585</v>
      </c>
      <c r="B1571" t="s">
        <v>2141</v>
      </c>
      <c r="C1571" t="s">
        <v>439</v>
      </c>
      <c r="D1571" t="s">
        <v>1117</v>
      </c>
      <c r="E1571" t="s">
        <v>1118</v>
      </c>
      <c r="F1571" t="s">
        <v>15</v>
      </c>
      <c r="G1571" t="s">
        <v>1024</v>
      </c>
      <c r="H1571" t="s">
        <v>774</v>
      </c>
      <c r="I1571" t="s">
        <v>1120</v>
      </c>
      <c r="J1571">
        <v>1</v>
      </c>
      <c r="K1571">
        <v>2334</v>
      </c>
      <c r="L1571">
        <v>3200</v>
      </c>
      <c r="M1571">
        <v>3200</v>
      </c>
      <c r="N1571" t="s">
        <v>19</v>
      </c>
    </row>
    <row r="1572" spans="1:14" x14ac:dyDescent="0.25">
      <c r="A1572" t="s">
        <v>1585</v>
      </c>
      <c r="B1572" t="s">
        <v>2141</v>
      </c>
      <c r="C1572" t="s">
        <v>439</v>
      </c>
      <c r="D1572" t="s">
        <v>1117</v>
      </c>
      <c r="E1572" t="s">
        <v>1118</v>
      </c>
      <c r="F1572" t="s">
        <v>15</v>
      </c>
      <c r="G1572" t="s">
        <v>1024</v>
      </c>
      <c r="H1572" t="s">
        <v>774</v>
      </c>
      <c r="I1572" t="s">
        <v>151</v>
      </c>
      <c r="J1572">
        <v>1</v>
      </c>
      <c r="K1572">
        <v>2800</v>
      </c>
      <c r="L1572">
        <v>3200</v>
      </c>
      <c r="M1572">
        <v>3200</v>
      </c>
      <c r="N1572" t="s">
        <v>19</v>
      </c>
    </row>
    <row r="1573" spans="1:14" x14ac:dyDescent="0.25">
      <c r="A1573" t="s">
        <v>1585</v>
      </c>
      <c r="B1573" t="s">
        <v>2141</v>
      </c>
      <c r="C1573" t="s">
        <v>439</v>
      </c>
      <c r="D1573" t="s">
        <v>1117</v>
      </c>
      <c r="E1573" t="s">
        <v>1118</v>
      </c>
      <c r="F1573" t="s">
        <v>15</v>
      </c>
      <c r="G1573" t="s">
        <v>1024</v>
      </c>
      <c r="H1573" t="s">
        <v>774</v>
      </c>
      <c r="I1573" t="s">
        <v>189</v>
      </c>
      <c r="J1573">
        <v>1</v>
      </c>
      <c r="K1573">
        <v>500</v>
      </c>
      <c r="L1573">
        <v>600</v>
      </c>
      <c r="M1573">
        <v>600</v>
      </c>
      <c r="N1573" t="s">
        <v>19</v>
      </c>
    </row>
    <row r="1574" spans="1:14" x14ac:dyDescent="0.25">
      <c r="A1574" t="s">
        <v>1585</v>
      </c>
      <c r="B1574" t="s">
        <v>2141</v>
      </c>
      <c r="C1574" t="s">
        <v>439</v>
      </c>
      <c r="D1574" t="s">
        <v>1117</v>
      </c>
      <c r="E1574" t="s">
        <v>1118</v>
      </c>
      <c r="F1574" t="s">
        <v>15</v>
      </c>
      <c r="G1574" t="s">
        <v>1024</v>
      </c>
      <c r="H1574" t="s">
        <v>774</v>
      </c>
      <c r="I1574" t="s">
        <v>1033</v>
      </c>
      <c r="J1574">
        <v>1</v>
      </c>
      <c r="K1574">
        <v>350</v>
      </c>
      <c r="L1574">
        <v>400</v>
      </c>
      <c r="M1574">
        <v>400</v>
      </c>
      <c r="N1574" t="s">
        <v>19</v>
      </c>
    </row>
    <row r="1575" spans="1:14" x14ac:dyDescent="0.25">
      <c r="A1575" t="s">
        <v>1585</v>
      </c>
      <c r="B1575" t="s">
        <v>2141</v>
      </c>
      <c r="C1575" t="s">
        <v>439</v>
      </c>
      <c r="D1575" t="s">
        <v>1117</v>
      </c>
      <c r="E1575" t="s">
        <v>1118</v>
      </c>
      <c r="F1575" t="s">
        <v>15</v>
      </c>
      <c r="G1575" t="s">
        <v>1024</v>
      </c>
      <c r="H1575" t="s">
        <v>774</v>
      </c>
      <c r="I1575" t="s">
        <v>1014</v>
      </c>
      <c r="J1575">
        <v>1</v>
      </c>
      <c r="K1575">
        <v>970</v>
      </c>
      <c r="L1575">
        <v>1200</v>
      </c>
      <c r="M1575">
        <v>1200</v>
      </c>
      <c r="N1575" t="s">
        <v>19</v>
      </c>
    </row>
    <row r="1576" spans="1:14" x14ac:dyDescent="0.25">
      <c r="A1576" t="s">
        <v>1585</v>
      </c>
      <c r="B1576" t="s">
        <v>2141</v>
      </c>
      <c r="C1576" t="s">
        <v>439</v>
      </c>
      <c r="D1576" t="s">
        <v>1117</v>
      </c>
      <c r="E1576" t="s">
        <v>1118</v>
      </c>
      <c r="F1576" t="s">
        <v>15</v>
      </c>
      <c r="G1576" t="s">
        <v>1024</v>
      </c>
      <c r="H1576" t="s">
        <v>774</v>
      </c>
      <c r="I1576" t="s">
        <v>1015</v>
      </c>
      <c r="J1576">
        <v>1</v>
      </c>
      <c r="K1576">
        <v>4250</v>
      </c>
      <c r="L1576">
        <v>4700</v>
      </c>
      <c r="M1576">
        <v>4700</v>
      </c>
      <c r="N1576" t="s">
        <v>19</v>
      </c>
    </row>
    <row r="1577" spans="1:14" x14ac:dyDescent="0.25">
      <c r="A1577" t="s">
        <v>1585</v>
      </c>
      <c r="B1577" t="s">
        <v>2141</v>
      </c>
      <c r="C1577" t="s">
        <v>439</v>
      </c>
      <c r="D1577" t="s">
        <v>1117</v>
      </c>
      <c r="E1577" t="s">
        <v>1118</v>
      </c>
      <c r="F1577" t="s">
        <v>15</v>
      </c>
      <c r="G1577" t="s">
        <v>1024</v>
      </c>
      <c r="H1577" t="s">
        <v>774</v>
      </c>
      <c r="I1577" t="s">
        <v>85</v>
      </c>
      <c r="J1577">
        <v>1</v>
      </c>
      <c r="K1577">
        <v>1350</v>
      </c>
      <c r="L1577">
        <v>1700</v>
      </c>
      <c r="M1577">
        <v>1700</v>
      </c>
      <c r="N1577" t="s">
        <v>19</v>
      </c>
    </row>
    <row r="1578" spans="1:14" x14ac:dyDescent="0.25">
      <c r="A1578" t="s">
        <v>1585</v>
      </c>
      <c r="B1578" t="s">
        <v>2141</v>
      </c>
      <c r="C1578" t="s">
        <v>439</v>
      </c>
      <c r="D1578" t="s">
        <v>1117</v>
      </c>
      <c r="E1578" t="s">
        <v>1118</v>
      </c>
      <c r="F1578" t="s">
        <v>15</v>
      </c>
      <c r="G1578" t="s">
        <v>1024</v>
      </c>
      <c r="H1578" t="s">
        <v>774</v>
      </c>
      <c r="I1578" t="s">
        <v>1016</v>
      </c>
      <c r="J1578">
        <v>1</v>
      </c>
      <c r="K1578">
        <v>8500</v>
      </c>
      <c r="L1578">
        <v>10000</v>
      </c>
      <c r="M1578">
        <v>10000</v>
      </c>
      <c r="N1578" t="s">
        <v>19</v>
      </c>
    </row>
    <row r="1579" spans="1:14" x14ac:dyDescent="0.25">
      <c r="A1579" t="s">
        <v>1585</v>
      </c>
      <c r="B1579" t="s">
        <v>2141</v>
      </c>
      <c r="C1579" t="s">
        <v>439</v>
      </c>
      <c r="D1579" t="s">
        <v>1117</v>
      </c>
      <c r="E1579" t="s">
        <v>1118</v>
      </c>
      <c r="F1579" t="s">
        <v>15</v>
      </c>
      <c r="G1579" t="s">
        <v>1024</v>
      </c>
      <c r="H1579" t="s">
        <v>774</v>
      </c>
      <c r="I1579" t="s">
        <v>97</v>
      </c>
      <c r="J1579">
        <v>1</v>
      </c>
      <c r="K1579">
        <v>2200</v>
      </c>
      <c r="L1579">
        <v>3000</v>
      </c>
      <c r="M1579">
        <v>3000</v>
      </c>
      <c r="N1579" t="s">
        <v>19</v>
      </c>
    </row>
    <row r="1580" spans="1:14" x14ac:dyDescent="0.25">
      <c r="A1580" t="s">
        <v>1585</v>
      </c>
      <c r="B1580" t="s">
        <v>2141</v>
      </c>
      <c r="C1580" t="s">
        <v>439</v>
      </c>
      <c r="D1580" t="s">
        <v>1117</v>
      </c>
      <c r="E1580" t="s">
        <v>1118</v>
      </c>
      <c r="F1580" t="s">
        <v>15</v>
      </c>
      <c r="G1580" t="s">
        <v>1024</v>
      </c>
      <c r="H1580" t="s">
        <v>774</v>
      </c>
      <c r="I1580" t="s">
        <v>1121</v>
      </c>
      <c r="J1580">
        <v>1</v>
      </c>
      <c r="K1580">
        <v>3000</v>
      </c>
      <c r="L1580">
        <v>4000</v>
      </c>
      <c r="M1580">
        <v>4000</v>
      </c>
      <c r="N1580" t="s">
        <v>19</v>
      </c>
    </row>
    <row r="1581" spans="1:14" x14ac:dyDescent="0.25">
      <c r="A1581" t="s">
        <v>1585</v>
      </c>
      <c r="B1581" t="s">
        <v>2141</v>
      </c>
      <c r="C1581" t="s">
        <v>439</v>
      </c>
      <c r="D1581" t="s">
        <v>1117</v>
      </c>
      <c r="E1581" t="s">
        <v>1118</v>
      </c>
      <c r="F1581" t="s">
        <v>15</v>
      </c>
      <c r="G1581" t="s">
        <v>1024</v>
      </c>
      <c r="H1581" t="s">
        <v>774</v>
      </c>
      <c r="I1581" t="s">
        <v>393</v>
      </c>
      <c r="J1581">
        <v>1</v>
      </c>
      <c r="K1581">
        <v>500</v>
      </c>
      <c r="L1581">
        <v>500</v>
      </c>
      <c r="M1581">
        <v>500</v>
      </c>
      <c r="N1581" t="s">
        <v>19</v>
      </c>
    </row>
    <row r="1582" spans="1:14" x14ac:dyDescent="0.25">
      <c r="A1582" t="s">
        <v>1587</v>
      </c>
      <c r="B1582" t="s">
        <v>2142</v>
      </c>
      <c r="C1582" t="s">
        <v>443</v>
      </c>
      <c r="D1582" t="s">
        <v>1117</v>
      </c>
      <c r="E1582" t="s">
        <v>1154</v>
      </c>
      <c r="F1582" t="s">
        <v>15</v>
      </c>
      <c r="G1582" t="s">
        <v>1024</v>
      </c>
      <c r="H1582" t="s">
        <v>774</v>
      </c>
      <c r="I1582" t="s">
        <v>1153</v>
      </c>
      <c r="J1582">
        <v>1</v>
      </c>
      <c r="K1582">
        <v>3675</v>
      </c>
      <c r="L1582">
        <v>10500</v>
      </c>
      <c r="M1582">
        <v>10500</v>
      </c>
      <c r="N1582" t="s">
        <v>19</v>
      </c>
    </row>
    <row r="1583" spans="1:14" x14ac:dyDescent="0.25">
      <c r="A1583" t="s">
        <v>1587</v>
      </c>
      <c r="B1583" t="s">
        <v>2142</v>
      </c>
      <c r="C1583" t="s">
        <v>443</v>
      </c>
      <c r="D1583" t="s">
        <v>1117</v>
      </c>
      <c r="E1583" t="s">
        <v>1154</v>
      </c>
      <c r="F1583" t="s">
        <v>15</v>
      </c>
      <c r="G1583" t="s">
        <v>1024</v>
      </c>
      <c r="H1583" t="s">
        <v>774</v>
      </c>
      <c r="I1583" t="s">
        <v>1011</v>
      </c>
      <c r="J1583">
        <v>1</v>
      </c>
      <c r="K1583">
        <v>2450</v>
      </c>
      <c r="L1583">
        <v>7000</v>
      </c>
      <c r="M1583">
        <v>7000</v>
      </c>
      <c r="N1583" t="s">
        <v>19</v>
      </c>
    </row>
    <row r="1584" spans="1:14" x14ac:dyDescent="0.25">
      <c r="A1584" t="s">
        <v>1587</v>
      </c>
      <c r="B1584" t="s">
        <v>2142</v>
      </c>
      <c r="C1584" t="s">
        <v>443</v>
      </c>
      <c r="D1584" t="s">
        <v>1117</v>
      </c>
      <c r="E1584" t="s">
        <v>1154</v>
      </c>
      <c r="F1584" t="s">
        <v>15</v>
      </c>
      <c r="G1584" t="s">
        <v>1024</v>
      </c>
      <c r="H1584" t="s">
        <v>774</v>
      </c>
      <c r="I1584" t="s">
        <v>24</v>
      </c>
      <c r="J1584">
        <v>1</v>
      </c>
      <c r="K1584">
        <v>2450</v>
      </c>
      <c r="L1584">
        <v>7000</v>
      </c>
      <c r="M1584">
        <v>7000</v>
      </c>
      <c r="N1584" t="s">
        <v>19</v>
      </c>
    </row>
    <row r="1585" spans="1:14" x14ac:dyDescent="0.25">
      <c r="A1585" t="s">
        <v>1587</v>
      </c>
      <c r="B1585" t="s">
        <v>2142</v>
      </c>
      <c r="C1585" t="s">
        <v>443</v>
      </c>
      <c r="D1585" t="s">
        <v>1117</v>
      </c>
      <c r="E1585" t="s">
        <v>1154</v>
      </c>
      <c r="F1585" t="s">
        <v>15</v>
      </c>
      <c r="G1585" t="s">
        <v>1024</v>
      </c>
      <c r="H1585" t="s">
        <v>774</v>
      </c>
      <c r="I1585" t="s">
        <v>26</v>
      </c>
      <c r="J1585">
        <v>1</v>
      </c>
      <c r="K1585">
        <v>500</v>
      </c>
      <c r="L1585">
        <v>500</v>
      </c>
      <c r="M1585">
        <v>500</v>
      </c>
      <c r="N1585" t="s">
        <v>19</v>
      </c>
    </row>
    <row r="1586" spans="1:14" x14ac:dyDescent="0.25">
      <c r="A1586" t="s">
        <v>1587</v>
      </c>
      <c r="B1586" t="s">
        <v>2142</v>
      </c>
      <c r="C1586" t="s">
        <v>443</v>
      </c>
      <c r="D1586" t="s">
        <v>1117</v>
      </c>
      <c r="E1586" t="s">
        <v>1154</v>
      </c>
      <c r="F1586" t="s">
        <v>15</v>
      </c>
      <c r="G1586" t="s">
        <v>1024</v>
      </c>
      <c r="H1586" t="s">
        <v>774</v>
      </c>
      <c r="I1586" t="s">
        <v>1119</v>
      </c>
      <c r="J1586">
        <v>1</v>
      </c>
      <c r="K1586">
        <v>20800</v>
      </c>
      <c r="L1586">
        <v>23000</v>
      </c>
      <c r="M1586">
        <v>23000</v>
      </c>
      <c r="N1586" t="s">
        <v>19</v>
      </c>
    </row>
    <row r="1587" spans="1:14" x14ac:dyDescent="0.25">
      <c r="A1587" t="s">
        <v>1587</v>
      </c>
      <c r="B1587" t="s">
        <v>2142</v>
      </c>
      <c r="C1587" t="s">
        <v>443</v>
      </c>
      <c r="D1587" t="s">
        <v>1117</v>
      </c>
      <c r="E1587" t="s">
        <v>1154</v>
      </c>
      <c r="F1587" t="s">
        <v>15</v>
      </c>
      <c r="G1587" t="s">
        <v>1024</v>
      </c>
      <c r="H1587" t="s">
        <v>774</v>
      </c>
      <c r="I1587" t="s">
        <v>1120</v>
      </c>
      <c r="J1587">
        <v>1</v>
      </c>
      <c r="K1587">
        <v>2334</v>
      </c>
      <c r="L1587">
        <v>3200</v>
      </c>
      <c r="M1587">
        <v>3200</v>
      </c>
      <c r="N1587" t="s">
        <v>19</v>
      </c>
    </row>
    <row r="1588" spans="1:14" x14ac:dyDescent="0.25">
      <c r="A1588" t="s">
        <v>1587</v>
      </c>
      <c r="B1588" t="s">
        <v>2142</v>
      </c>
      <c r="C1588" t="s">
        <v>443</v>
      </c>
      <c r="D1588" t="s">
        <v>1117</v>
      </c>
      <c r="E1588" t="s">
        <v>1154</v>
      </c>
      <c r="F1588" t="s">
        <v>15</v>
      </c>
      <c r="G1588" t="s">
        <v>1024</v>
      </c>
      <c r="H1588" t="s">
        <v>774</v>
      </c>
      <c r="I1588" t="s">
        <v>151</v>
      </c>
      <c r="J1588">
        <v>1</v>
      </c>
      <c r="K1588">
        <v>2800</v>
      </c>
      <c r="L1588">
        <v>3200</v>
      </c>
      <c r="M1588">
        <v>3200</v>
      </c>
      <c r="N1588" t="s">
        <v>19</v>
      </c>
    </row>
    <row r="1589" spans="1:14" x14ac:dyDescent="0.25">
      <c r="A1589" t="s">
        <v>1587</v>
      </c>
      <c r="B1589" t="s">
        <v>2142</v>
      </c>
      <c r="C1589" t="s">
        <v>443</v>
      </c>
      <c r="D1589" t="s">
        <v>1117</v>
      </c>
      <c r="E1589" t="s">
        <v>1154</v>
      </c>
      <c r="F1589" t="s">
        <v>15</v>
      </c>
      <c r="G1589" t="s">
        <v>1024</v>
      </c>
      <c r="H1589" t="s">
        <v>774</v>
      </c>
      <c r="I1589" t="s">
        <v>189</v>
      </c>
      <c r="J1589">
        <v>1</v>
      </c>
      <c r="K1589">
        <v>500</v>
      </c>
      <c r="L1589">
        <v>600</v>
      </c>
      <c r="M1589">
        <v>600</v>
      </c>
      <c r="N1589" t="s">
        <v>19</v>
      </c>
    </row>
    <row r="1590" spans="1:14" x14ac:dyDescent="0.25">
      <c r="A1590" t="s">
        <v>1587</v>
      </c>
      <c r="B1590" t="s">
        <v>2142</v>
      </c>
      <c r="C1590" t="s">
        <v>443</v>
      </c>
      <c r="D1590" t="s">
        <v>1117</v>
      </c>
      <c r="E1590" t="s">
        <v>1154</v>
      </c>
      <c r="F1590" t="s">
        <v>15</v>
      </c>
      <c r="G1590" t="s">
        <v>1024</v>
      </c>
      <c r="H1590" t="s">
        <v>774</v>
      </c>
      <c r="I1590" t="s">
        <v>1033</v>
      </c>
      <c r="J1590">
        <v>1</v>
      </c>
      <c r="K1590">
        <v>350</v>
      </c>
      <c r="L1590">
        <v>400</v>
      </c>
      <c r="M1590">
        <v>400</v>
      </c>
      <c r="N1590" t="s">
        <v>19</v>
      </c>
    </row>
    <row r="1591" spans="1:14" x14ac:dyDescent="0.25">
      <c r="A1591" t="s">
        <v>1587</v>
      </c>
      <c r="B1591" t="s">
        <v>2142</v>
      </c>
      <c r="C1591" t="s">
        <v>443</v>
      </c>
      <c r="D1591" t="s">
        <v>1117</v>
      </c>
      <c r="E1591" t="s">
        <v>1154</v>
      </c>
      <c r="F1591" t="s">
        <v>15</v>
      </c>
      <c r="G1591" t="s">
        <v>1024</v>
      </c>
      <c r="H1591" t="s">
        <v>774</v>
      </c>
      <c r="I1591" t="s">
        <v>1014</v>
      </c>
      <c r="J1591">
        <v>1</v>
      </c>
      <c r="K1591">
        <v>970</v>
      </c>
      <c r="L1591">
        <v>1200</v>
      </c>
      <c r="M1591">
        <v>1200</v>
      </c>
      <c r="N1591" t="s">
        <v>19</v>
      </c>
    </row>
    <row r="1592" spans="1:14" x14ac:dyDescent="0.25">
      <c r="A1592" t="s">
        <v>1587</v>
      </c>
      <c r="B1592" t="s">
        <v>2142</v>
      </c>
      <c r="C1592" t="s">
        <v>443</v>
      </c>
      <c r="D1592" t="s">
        <v>1117</v>
      </c>
      <c r="E1592" t="s">
        <v>1154</v>
      </c>
      <c r="F1592" t="s">
        <v>15</v>
      </c>
      <c r="G1592" t="s">
        <v>1024</v>
      </c>
      <c r="H1592" t="s">
        <v>774</v>
      </c>
      <c r="I1592" t="s">
        <v>1015</v>
      </c>
      <c r="J1592">
        <v>1</v>
      </c>
      <c r="K1592">
        <v>4250</v>
      </c>
      <c r="L1592">
        <v>4700</v>
      </c>
      <c r="M1592">
        <v>4700</v>
      </c>
      <c r="N1592" t="s">
        <v>19</v>
      </c>
    </row>
    <row r="1593" spans="1:14" x14ac:dyDescent="0.25">
      <c r="A1593" t="s">
        <v>1587</v>
      </c>
      <c r="B1593" t="s">
        <v>2142</v>
      </c>
      <c r="C1593" t="s">
        <v>443</v>
      </c>
      <c r="D1593" t="s">
        <v>1117</v>
      </c>
      <c r="E1593" t="s">
        <v>1154</v>
      </c>
      <c r="F1593" t="s">
        <v>15</v>
      </c>
      <c r="G1593" t="s">
        <v>1024</v>
      </c>
      <c r="H1593" t="s">
        <v>774</v>
      </c>
      <c r="I1593" t="s">
        <v>85</v>
      </c>
      <c r="J1593">
        <v>1</v>
      </c>
      <c r="K1593">
        <v>1350</v>
      </c>
      <c r="L1593">
        <v>1700</v>
      </c>
      <c r="M1593">
        <v>1700</v>
      </c>
      <c r="N1593" t="s">
        <v>19</v>
      </c>
    </row>
    <row r="1594" spans="1:14" x14ac:dyDescent="0.25">
      <c r="A1594" t="s">
        <v>1587</v>
      </c>
      <c r="B1594" t="s">
        <v>2142</v>
      </c>
      <c r="C1594" t="s">
        <v>443</v>
      </c>
      <c r="D1594" t="s">
        <v>1117</v>
      </c>
      <c r="E1594" t="s">
        <v>1154</v>
      </c>
      <c r="F1594" t="s">
        <v>15</v>
      </c>
      <c r="G1594" t="s">
        <v>1024</v>
      </c>
      <c r="H1594" t="s">
        <v>774</v>
      </c>
      <c r="I1594" t="s">
        <v>1016</v>
      </c>
      <c r="J1594">
        <v>1</v>
      </c>
      <c r="K1594">
        <v>8500</v>
      </c>
      <c r="L1594">
        <v>10000</v>
      </c>
      <c r="M1594">
        <v>10000</v>
      </c>
      <c r="N1594" t="s">
        <v>19</v>
      </c>
    </row>
    <row r="1595" spans="1:14" x14ac:dyDescent="0.25">
      <c r="A1595" t="s">
        <v>1587</v>
      </c>
      <c r="B1595" t="s">
        <v>2142</v>
      </c>
      <c r="C1595" t="s">
        <v>443</v>
      </c>
      <c r="D1595" t="s">
        <v>1117</v>
      </c>
      <c r="E1595" t="s">
        <v>1154</v>
      </c>
      <c r="F1595" t="s">
        <v>15</v>
      </c>
      <c r="G1595" t="s">
        <v>1024</v>
      </c>
      <c r="H1595" t="s">
        <v>774</v>
      </c>
      <c r="I1595" t="s">
        <v>97</v>
      </c>
      <c r="J1595">
        <v>1</v>
      </c>
      <c r="K1595">
        <v>2200</v>
      </c>
      <c r="L1595">
        <v>3000</v>
      </c>
      <c r="M1595">
        <v>3000</v>
      </c>
      <c r="N1595" t="s">
        <v>19</v>
      </c>
    </row>
    <row r="1596" spans="1:14" x14ac:dyDescent="0.25">
      <c r="A1596" t="s">
        <v>1587</v>
      </c>
      <c r="B1596" t="s">
        <v>2142</v>
      </c>
      <c r="C1596" t="s">
        <v>443</v>
      </c>
      <c r="D1596" t="s">
        <v>1117</v>
      </c>
      <c r="E1596" t="s">
        <v>1154</v>
      </c>
      <c r="F1596" t="s">
        <v>15</v>
      </c>
      <c r="G1596" t="s">
        <v>1024</v>
      </c>
      <c r="H1596" t="s">
        <v>774</v>
      </c>
      <c r="I1596" t="s">
        <v>1121</v>
      </c>
      <c r="J1596">
        <v>1</v>
      </c>
      <c r="K1596">
        <v>3000</v>
      </c>
      <c r="L1596">
        <v>4000</v>
      </c>
      <c r="M1596">
        <v>4000</v>
      </c>
      <c r="N1596" t="s">
        <v>19</v>
      </c>
    </row>
    <row r="1597" spans="1:14" x14ac:dyDescent="0.25">
      <c r="A1597" t="s">
        <v>1587</v>
      </c>
      <c r="B1597" t="s">
        <v>2143</v>
      </c>
      <c r="C1597" t="s">
        <v>448</v>
      </c>
      <c r="D1597" t="s">
        <v>1117</v>
      </c>
      <c r="E1597" t="s">
        <v>1154</v>
      </c>
      <c r="F1597" t="s">
        <v>15</v>
      </c>
      <c r="G1597" t="s">
        <v>1024</v>
      </c>
      <c r="H1597" t="s">
        <v>774</v>
      </c>
      <c r="I1597" t="s">
        <v>1153</v>
      </c>
      <c r="J1597">
        <v>1</v>
      </c>
      <c r="K1597">
        <v>3675</v>
      </c>
      <c r="L1597">
        <v>10500</v>
      </c>
      <c r="M1597">
        <v>10500</v>
      </c>
      <c r="N1597" t="s">
        <v>19</v>
      </c>
    </row>
    <row r="1598" spans="1:14" x14ac:dyDescent="0.25">
      <c r="A1598" t="s">
        <v>1587</v>
      </c>
      <c r="B1598" t="s">
        <v>2143</v>
      </c>
      <c r="C1598" t="s">
        <v>448</v>
      </c>
      <c r="D1598" t="s">
        <v>1117</v>
      </c>
      <c r="E1598" t="s">
        <v>1154</v>
      </c>
      <c r="F1598" t="s">
        <v>15</v>
      </c>
      <c r="G1598" t="s">
        <v>1024</v>
      </c>
      <c r="H1598" t="s">
        <v>774</v>
      </c>
      <c r="I1598" t="s">
        <v>1011</v>
      </c>
      <c r="J1598">
        <v>1</v>
      </c>
      <c r="K1598">
        <v>2450</v>
      </c>
      <c r="L1598">
        <v>7000</v>
      </c>
      <c r="M1598">
        <v>7000</v>
      </c>
      <c r="N1598" t="s">
        <v>19</v>
      </c>
    </row>
    <row r="1599" spans="1:14" x14ac:dyDescent="0.25">
      <c r="A1599" t="s">
        <v>1587</v>
      </c>
      <c r="B1599" t="s">
        <v>2143</v>
      </c>
      <c r="C1599" t="s">
        <v>448</v>
      </c>
      <c r="D1599" t="s">
        <v>1117</v>
      </c>
      <c r="E1599" t="s">
        <v>1154</v>
      </c>
      <c r="F1599" t="s">
        <v>15</v>
      </c>
      <c r="G1599" t="s">
        <v>1024</v>
      </c>
      <c r="H1599" t="s">
        <v>774</v>
      </c>
      <c r="I1599" t="s">
        <v>24</v>
      </c>
      <c r="J1599">
        <v>1</v>
      </c>
      <c r="K1599">
        <v>2450</v>
      </c>
      <c r="L1599">
        <v>7000</v>
      </c>
      <c r="M1599">
        <v>7000</v>
      </c>
      <c r="N1599" t="s">
        <v>19</v>
      </c>
    </row>
    <row r="1600" spans="1:14" x14ac:dyDescent="0.25">
      <c r="A1600" t="s">
        <v>1587</v>
      </c>
      <c r="B1600" t="s">
        <v>2143</v>
      </c>
      <c r="C1600" t="s">
        <v>448</v>
      </c>
      <c r="D1600" t="s">
        <v>1117</v>
      </c>
      <c r="E1600" t="s">
        <v>1154</v>
      </c>
      <c r="F1600" t="s">
        <v>15</v>
      </c>
      <c r="G1600" t="s">
        <v>1024</v>
      </c>
      <c r="H1600" t="s">
        <v>774</v>
      </c>
      <c r="I1600" t="s">
        <v>26</v>
      </c>
      <c r="J1600">
        <v>1</v>
      </c>
      <c r="K1600">
        <v>500</v>
      </c>
      <c r="L1600">
        <v>500</v>
      </c>
      <c r="M1600">
        <v>500</v>
      </c>
      <c r="N1600" t="s">
        <v>19</v>
      </c>
    </row>
    <row r="1601" spans="1:14" x14ac:dyDescent="0.25">
      <c r="A1601" t="s">
        <v>1587</v>
      </c>
      <c r="B1601" t="s">
        <v>2143</v>
      </c>
      <c r="C1601" t="s">
        <v>448</v>
      </c>
      <c r="D1601" t="s">
        <v>1117</v>
      </c>
      <c r="E1601" t="s">
        <v>1154</v>
      </c>
      <c r="F1601" t="s">
        <v>15</v>
      </c>
      <c r="G1601" t="s">
        <v>1024</v>
      </c>
      <c r="H1601" t="s">
        <v>774</v>
      </c>
      <c r="I1601" t="s">
        <v>1119</v>
      </c>
      <c r="J1601">
        <v>1</v>
      </c>
      <c r="K1601">
        <v>20800</v>
      </c>
      <c r="L1601">
        <v>23000</v>
      </c>
      <c r="M1601">
        <v>23000</v>
      </c>
      <c r="N1601" t="s">
        <v>19</v>
      </c>
    </row>
    <row r="1602" spans="1:14" x14ac:dyDescent="0.25">
      <c r="A1602" t="s">
        <v>1587</v>
      </c>
      <c r="B1602" t="s">
        <v>2143</v>
      </c>
      <c r="C1602" t="s">
        <v>448</v>
      </c>
      <c r="D1602" t="s">
        <v>1117</v>
      </c>
      <c r="E1602" t="s">
        <v>1154</v>
      </c>
      <c r="F1602" t="s">
        <v>15</v>
      </c>
      <c r="G1602" t="s">
        <v>1024</v>
      </c>
      <c r="H1602" t="s">
        <v>774</v>
      </c>
      <c r="I1602" t="s">
        <v>1120</v>
      </c>
      <c r="J1602">
        <v>1</v>
      </c>
      <c r="K1602">
        <v>2334</v>
      </c>
      <c r="L1602">
        <v>3200</v>
      </c>
      <c r="M1602">
        <v>3200</v>
      </c>
      <c r="N1602" t="s">
        <v>19</v>
      </c>
    </row>
    <row r="1603" spans="1:14" x14ac:dyDescent="0.25">
      <c r="A1603" t="s">
        <v>1587</v>
      </c>
      <c r="B1603" t="s">
        <v>2143</v>
      </c>
      <c r="C1603" t="s">
        <v>448</v>
      </c>
      <c r="D1603" t="s">
        <v>1117</v>
      </c>
      <c r="E1603" t="s">
        <v>1154</v>
      </c>
      <c r="F1603" t="s">
        <v>15</v>
      </c>
      <c r="G1603" t="s">
        <v>1024</v>
      </c>
      <c r="H1603" t="s">
        <v>774</v>
      </c>
      <c r="I1603" t="s">
        <v>151</v>
      </c>
      <c r="J1603">
        <v>1</v>
      </c>
      <c r="K1603">
        <v>2800</v>
      </c>
      <c r="L1603">
        <v>3200</v>
      </c>
      <c r="M1603">
        <v>3200</v>
      </c>
      <c r="N1603" t="s">
        <v>19</v>
      </c>
    </row>
    <row r="1604" spans="1:14" x14ac:dyDescent="0.25">
      <c r="A1604" t="s">
        <v>1587</v>
      </c>
      <c r="B1604" t="s">
        <v>2143</v>
      </c>
      <c r="C1604" t="s">
        <v>448</v>
      </c>
      <c r="D1604" t="s">
        <v>1117</v>
      </c>
      <c r="E1604" t="s">
        <v>1154</v>
      </c>
      <c r="F1604" t="s">
        <v>15</v>
      </c>
      <c r="G1604" t="s">
        <v>1024</v>
      </c>
      <c r="H1604" t="s">
        <v>774</v>
      </c>
      <c r="I1604" t="s">
        <v>189</v>
      </c>
      <c r="J1604">
        <v>1</v>
      </c>
      <c r="K1604">
        <v>500</v>
      </c>
      <c r="L1604">
        <v>600</v>
      </c>
      <c r="M1604">
        <v>600</v>
      </c>
      <c r="N1604" t="s">
        <v>19</v>
      </c>
    </row>
    <row r="1605" spans="1:14" x14ac:dyDescent="0.25">
      <c r="A1605" t="s">
        <v>1587</v>
      </c>
      <c r="B1605" t="s">
        <v>2143</v>
      </c>
      <c r="C1605" t="s">
        <v>448</v>
      </c>
      <c r="D1605" t="s">
        <v>1117</v>
      </c>
      <c r="E1605" t="s">
        <v>1154</v>
      </c>
      <c r="F1605" t="s">
        <v>15</v>
      </c>
      <c r="G1605" t="s">
        <v>1024</v>
      </c>
      <c r="H1605" t="s">
        <v>774</v>
      </c>
      <c r="I1605" t="s">
        <v>1033</v>
      </c>
      <c r="J1605">
        <v>1</v>
      </c>
      <c r="K1605">
        <v>350</v>
      </c>
      <c r="L1605">
        <v>400</v>
      </c>
      <c r="M1605">
        <v>400</v>
      </c>
      <c r="N1605" t="s">
        <v>19</v>
      </c>
    </row>
    <row r="1606" spans="1:14" x14ac:dyDescent="0.25">
      <c r="A1606" t="s">
        <v>1587</v>
      </c>
      <c r="B1606" t="s">
        <v>2143</v>
      </c>
      <c r="C1606" t="s">
        <v>448</v>
      </c>
      <c r="D1606" t="s">
        <v>1117</v>
      </c>
      <c r="E1606" t="s">
        <v>1154</v>
      </c>
      <c r="F1606" t="s">
        <v>15</v>
      </c>
      <c r="G1606" t="s">
        <v>1024</v>
      </c>
      <c r="H1606" t="s">
        <v>774</v>
      </c>
      <c r="I1606" t="s">
        <v>1014</v>
      </c>
      <c r="J1606">
        <v>1</v>
      </c>
      <c r="K1606">
        <v>970</v>
      </c>
      <c r="L1606">
        <v>1200</v>
      </c>
      <c r="M1606">
        <v>1200</v>
      </c>
      <c r="N1606" t="s">
        <v>19</v>
      </c>
    </row>
    <row r="1607" spans="1:14" x14ac:dyDescent="0.25">
      <c r="A1607" t="s">
        <v>1587</v>
      </c>
      <c r="B1607" t="s">
        <v>2143</v>
      </c>
      <c r="C1607" t="s">
        <v>448</v>
      </c>
      <c r="D1607" t="s">
        <v>1117</v>
      </c>
      <c r="E1607" t="s">
        <v>1154</v>
      </c>
      <c r="F1607" t="s">
        <v>15</v>
      </c>
      <c r="G1607" t="s">
        <v>1024</v>
      </c>
      <c r="H1607" t="s">
        <v>774</v>
      </c>
      <c r="I1607" t="s">
        <v>1015</v>
      </c>
      <c r="J1607">
        <v>1</v>
      </c>
      <c r="K1607">
        <v>4250</v>
      </c>
      <c r="L1607">
        <v>4700</v>
      </c>
      <c r="M1607">
        <v>4700</v>
      </c>
      <c r="N1607" t="s">
        <v>19</v>
      </c>
    </row>
    <row r="1608" spans="1:14" x14ac:dyDescent="0.25">
      <c r="A1608" t="s">
        <v>1587</v>
      </c>
      <c r="B1608" t="s">
        <v>2143</v>
      </c>
      <c r="C1608" t="s">
        <v>448</v>
      </c>
      <c r="D1608" t="s">
        <v>1117</v>
      </c>
      <c r="E1608" t="s">
        <v>1154</v>
      </c>
      <c r="F1608" t="s">
        <v>15</v>
      </c>
      <c r="G1608" t="s">
        <v>1024</v>
      </c>
      <c r="H1608" t="s">
        <v>774</v>
      </c>
      <c r="I1608" t="s">
        <v>85</v>
      </c>
      <c r="J1608">
        <v>1</v>
      </c>
      <c r="K1608">
        <v>1350</v>
      </c>
      <c r="L1608">
        <v>1700</v>
      </c>
      <c r="M1608">
        <v>1700</v>
      </c>
      <c r="N1608" t="s">
        <v>19</v>
      </c>
    </row>
    <row r="1609" spans="1:14" x14ac:dyDescent="0.25">
      <c r="A1609" t="s">
        <v>1587</v>
      </c>
      <c r="B1609" t="s">
        <v>2143</v>
      </c>
      <c r="C1609" t="s">
        <v>448</v>
      </c>
      <c r="D1609" t="s">
        <v>1117</v>
      </c>
      <c r="E1609" t="s">
        <v>1154</v>
      </c>
      <c r="F1609" t="s">
        <v>15</v>
      </c>
      <c r="G1609" t="s">
        <v>1024</v>
      </c>
      <c r="H1609" t="s">
        <v>774</v>
      </c>
      <c r="I1609" t="s">
        <v>1016</v>
      </c>
      <c r="J1609">
        <v>1</v>
      </c>
      <c r="K1609">
        <v>8500</v>
      </c>
      <c r="L1609">
        <v>10000</v>
      </c>
      <c r="M1609">
        <v>10000</v>
      </c>
      <c r="N1609" t="s">
        <v>19</v>
      </c>
    </row>
    <row r="1610" spans="1:14" x14ac:dyDescent="0.25">
      <c r="A1610" t="s">
        <v>1587</v>
      </c>
      <c r="B1610" t="s">
        <v>2143</v>
      </c>
      <c r="C1610" t="s">
        <v>448</v>
      </c>
      <c r="D1610" t="s">
        <v>1117</v>
      </c>
      <c r="E1610" t="s">
        <v>1154</v>
      </c>
      <c r="F1610" t="s">
        <v>15</v>
      </c>
      <c r="G1610" t="s">
        <v>1024</v>
      </c>
      <c r="H1610" t="s">
        <v>774</v>
      </c>
      <c r="I1610" t="s">
        <v>97</v>
      </c>
      <c r="J1610">
        <v>1</v>
      </c>
      <c r="K1610">
        <v>2200</v>
      </c>
      <c r="L1610">
        <v>3000</v>
      </c>
      <c r="M1610">
        <v>3000</v>
      </c>
      <c r="N1610" t="s">
        <v>19</v>
      </c>
    </row>
    <row r="1611" spans="1:14" x14ac:dyDescent="0.25">
      <c r="A1611" t="s">
        <v>1587</v>
      </c>
      <c r="B1611" t="s">
        <v>2143</v>
      </c>
      <c r="C1611" t="s">
        <v>448</v>
      </c>
      <c r="D1611" t="s">
        <v>1117</v>
      </c>
      <c r="E1611" t="s">
        <v>1154</v>
      </c>
      <c r="F1611" t="s">
        <v>15</v>
      </c>
      <c r="G1611" t="s">
        <v>1024</v>
      </c>
      <c r="H1611" t="s">
        <v>774</v>
      </c>
      <c r="I1611" t="s">
        <v>1121</v>
      </c>
      <c r="J1611">
        <v>1</v>
      </c>
      <c r="K1611">
        <v>3000</v>
      </c>
      <c r="L1611">
        <v>4000</v>
      </c>
      <c r="M1611">
        <v>4000</v>
      </c>
      <c r="N1611" t="s">
        <v>19</v>
      </c>
    </row>
    <row r="1612" spans="1:14" x14ac:dyDescent="0.25">
      <c r="A1612" t="s">
        <v>1705</v>
      </c>
      <c r="B1612" t="s">
        <v>2144</v>
      </c>
      <c r="C1612" t="s">
        <v>450</v>
      </c>
      <c r="D1612" t="s">
        <v>1155</v>
      </c>
      <c r="E1612" t="s">
        <v>1156</v>
      </c>
      <c r="F1612" t="s">
        <v>1157</v>
      </c>
      <c r="G1612" t="s">
        <v>1088</v>
      </c>
      <c r="H1612" t="s">
        <v>1158</v>
      </c>
      <c r="I1612" t="s">
        <v>850</v>
      </c>
      <c r="J1612">
        <v>1</v>
      </c>
      <c r="K1612">
        <v>3675</v>
      </c>
      <c r="L1612">
        <v>10500</v>
      </c>
      <c r="M1612">
        <v>10500</v>
      </c>
      <c r="N1612" t="s">
        <v>1010</v>
      </c>
    </row>
    <row r="1613" spans="1:14" x14ac:dyDescent="0.25">
      <c r="A1613" t="s">
        <v>1705</v>
      </c>
      <c r="B1613" t="s">
        <v>2144</v>
      </c>
      <c r="C1613" t="s">
        <v>450</v>
      </c>
      <c r="D1613" t="s">
        <v>1155</v>
      </c>
      <c r="E1613" t="s">
        <v>1156</v>
      </c>
      <c r="F1613" t="s">
        <v>1157</v>
      </c>
      <c r="G1613" t="s">
        <v>1088</v>
      </c>
      <c r="H1613" t="s">
        <v>1158</v>
      </c>
      <c r="I1613" t="s">
        <v>26</v>
      </c>
      <c r="J1613">
        <v>1</v>
      </c>
      <c r="K1613">
        <v>500</v>
      </c>
      <c r="L1613">
        <v>500</v>
      </c>
      <c r="M1613">
        <v>500</v>
      </c>
      <c r="N1613" t="s">
        <v>1010</v>
      </c>
    </row>
    <row r="1614" spans="1:14" x14ac:dyDescent="0.25">
      <c r="A1614" t="s">
        <v>1705</v>
      </c>
      <c r="B1614" t="s">
        <v>2144</v>
      </c>
      <c r="C1614" t="s">
        <v>450</v>
      </c>
      <c r="D1614" t="s">
        <v>1155</v>
      </c>
      <c r="E1614" t="s">
        <v>1156</v>
      </c>
      <c r="F1614" t="s">
        <v>1157</v>
      </c>
      <c r="G1614" t="s">
        <v>1088</v>
      </c>
      <c r="H1614" t="s">
        <v>1158</v>
      </c>
      <c r="I1614" t="s">
        <v>537</v>
      </c>
      <c r="J1614">
        <v>1</v>
      </c>
      <c r="K1614">
        <v>9500</v>
      </c>
      <c r="L1614">
        <v>9500</v>
      </c>
      <c r="M1614">
        <v>9500</v>
      </c>
      <c r="N1614" t="s">
        <v>1010</v>
      </c>
    </row>
    <row r="1615" spans="1:14" x14ac:dyDescent="0.25">
      <c r="A1615" t="s">
        <v>1705</v>
      </c>
      <c r="B1615" t="s">
        <v>2144</v>
      </c>
      <c r="C1615" t="s">
        <v>450</v>
      </c>
      <c r="D1615" t="s">
        <v>1155</v>
      </c>
      <c r="E1615" t="s">
        <v>1156</v>
      </c>
      <c r="F1615" t="s">
        <v>1157</v>
      </c>
      <c r="G1615" t="s">
        <v>1088</v>
      </c>
      <c r="H1615" t="s">
        <v>1158</v>
      </c>
      <c r="I1615" t="s">
        <v>24</v>
      </c>
      <c r="J1615">
        <v>1</v>
      </c>
      <c r="K1615">
        <v>9500</v>
      </c>
      <c r="L1615">
        <v>9500</v>
      </c>
      <c r="M1615">
        <v>9500</v>
      </c>
      <c r="N1615" t="s">
        <v>1010</v>
      </c>
    </row>
    <row r="1616" spans="1:14" x14ac:dyDescent="0.25">
      <c r="A1616" t="s">
        <v>1473</v>
      </c>
      <c r="B1616" t="s">
        <v>2145</v>
      </c>
      <c r="C1616" t="s">
        <v>887</v>
      </c>
      <c r="D1616" t="s">
        <v>20</v>
      </c>
      <c r="E1616" t="s">
        <v>168</v>
      </c>
      <c r="F1616" t="s">
        <v>15</v>
      </c>
      <c r="G1616" t="s">
        <v>22</v>
      </c>
      <c r="H1616" t="s">
        <v>889</v>
      </c>
      <c r="I1616" t="s">
        <v>264</v>
      </c>
      <c r="J1616">
        <v>1</v>
      </c>
      <c r="K1616">
        <v>1200</v>
      </c>
      <c r="L1616">
        <v>2000</v>
      </c>
      <c r="M1616">
        <v>2000</v>
      </c>
      <c r="N1616" t="s">
        <v>19</v>
      </c>
    </row>
    <row r="1617" spans="1:14" x14ac:dyDescent="0.25">
      <c r="A1617" t="s">
        <v>1511</v>
      </c>
      <c r="B1617" t="s">
        <v>2146</v>
      </c>
      <c r="C1617" t="s">
        <v>890</v>
      </c>
      <c r="D1617" t="s">
        <v>20</v>
      </c>
      <c r="E1617" t="s">
        <v>623</v>
      </c>
      <c r="F1617" t="s">
        <v>15</v>
      </c>
      <c r="G1617" t="s">
        <v>22</v>
      </c>
      <c r="H1617" t="s">
        <v>889</v>
      </c>
      <c r="I1617" t="s">
        <v>33</v>
      </c>
      <c r="J1617">
        <v>1</v>
      </c>
      <c r="K1617">
        <v>10000</v>
      </c>
      <c r="L1617">
        <v>10000</v>
      </c>
      <c r="M1617">
        <v>10000</v>
      </c>
      <c r="N1617" t="s">
        <v>19</v>
      </c>
    </row>
    <row r="1618" spans="1:14" x14ac:dyDescent="0.25">
      <c r="A1618" t="s">
        <v>1631</v>
      </c>
      <c r="B1618" t="s">
        <v>2147</v>
      </c>
      <c r="C1618" t="s">
        <v>457</v>
      </c>
      <c r="D1618" t="s">
        <v>1135</v>
      </c>
      <c r="E1618" t="s">
        <v>1136</v>
      </c>
      <c r="F1618" t="s">
        <v>15</v>
      </c>
      <c r="G1618" t="s">
        <v>1043</v>
      </c>
      <c r="H1618" t="s">
        <v>889</v>
      </c>
      <c r="I1618" t="s">
        <v>1159</v>
      </c>
      <c r="J1618">
        <v>1</v>
      </c>
      <c r="K1618">
        <v>8500</v>
      </c>
      <c r="L1618">
        <v>12500</v>
      </c>
      <c r="M1618">
        <v>12500</v>
      </c>
      <c r="N1618" t="s">
        <v>19</v>
      </c>
    </row>
    <row r="1619" spans="1:14" x14ac:dyDescent="0.25">
      <c r="A1619" t="s">
        <v>1631</v>
      </c>
      <c r="B1619" t="s">
        <v>2147</v>
      </c>
      <c r="C1619" t="s">
        <v>457</v>
      </c>
      <c r="D1619" t="s">
        <v>1135</v>
      </c>
      <c r="E1619" t="s">
        <v>1136</v>
      </c>
      <c r="F1619" t="s">
        <v>15</v>
      </c>
      <c r="G1619" t="s">
        <v>1043</v>
      </c>
      <c r="H1619" t="s">
        <v>889</v>
      </c>
      <c r="I1619" t="s">
        <v>1147</v>
      </c>
      <c r="J1619">
        <v>14</v>
      </c>
      <c r="K1619">
        <v>17</v>
      </c>
      <c r="L1619">
        <v>25</v>
      </c>
      <c r="M1619">
        <v>350</v>
      </c>
      <c r="N1619" t="s">
        <v>19</v>
      </c>
    </row>
    <row r="1620" spans="1:14" x14ac:dyDescent="0.25">
      <c r="A1620" t="s">
        <v>1534</v>
      </c>
      <c r="B1620" t="s">
        <v>2148</v>
      </c>
      <c r="C1620" t="s">
        <v>459</v>
      </c>
      <c r="D1620" t="s">
        <v>1141</v>
      </c>
      <c r="E1620" t="s">
        <v>1142</v>
      </c>
      <c r="F1620" t="s">
        <v>15</v>
      </c>
      <c r="G1620" t="s">
        <v>1027</v>
      </c>
      <c r="H1620" t="s">
        <v>889</v>
      </c>
      <c r="I1620" t="s">
        <v>501</v>
      </c>
      <c r="J1620">
        <v>2</v>
      </c>
      <c r="K1620">
        <v>75</v>
      </c>
      <c r="L1620">
        <v>250</v>
      </c>
      <c r="M1620">
        <v>500</v>
      </c>
      <c r="N1620" t="s">
        <v>19</v>
      </c>
    </row>
    <row r="1621" spans="1:14" x14ac:dyDescent="0.25">
      <c r="A1621" t="s">
        <v>1724</v>
      </c>
      <c r="B1621" t="s">
        <v>2149</v>
      </c>
      <c r="C1621" t="s">
        <v>781</v>
      </c>
      <c r="D1621" t="s">
        <v>148</v>
      </c>
      <c r="E1621" t="s">
        <v>437</v>
      </c>
      <c r="F1621" t="s">
        <v>15</v>
      </c>
      <c r="G1621" t="s">
        <v>37</v>
      </c>
      <c r="H1621" t="s">
        <v>782</v>
      </c>
      <c r="I1621" t="s">
        <v>783</v>
      </c>
      <c r="J1621">
        <v>5</v>
      </c>
      <c r="K1621">
        <v>7500</v>
      </c>
      <c r="L1621">
        <v>7500</v>
      </c>
      <c r="M1621">
        <v>37500</v>
      </c>
      <c r="N1621" t="s">
        <v>39</v>
      </c>
    </row>
    <row r="1622" spans="1:14" x14ac:dyDescent="0.25">
      <c r="A1622" t="s">
        <v>1465</v>
      </c>
      <c r="B1622" t="s">
        <v>2150</v>
      </c>
      <c r="C1622" t="s">
        <v>784</v>
      </c>
      <c r="D1622" t="s">
        <v>436</v>
      </c>
      <c r="E1622" t="s">
        <v>437</v>
      </c>
      <c r="F1622" t="s">
        <v>266</v>
      </c>
      <c r="G1622" t="s">
        <v>37</v>
      </c>
      <c r="H1622" t="s">
        <v>782</v>
      </c>
      <c r="I1622" t="s">
        <v>33</v>
      </c>
      <c r="J1622">
        <v>5</v>
      </c>
      <c r="K1622">
        <v>7500</v>
      </c>
      <c r="L1622">
        <v>7500</v>
      </c>
      <c r="M1622">
        <v>37500</v>
      </c>
      <c r="N1622" t="s">
        <v>19</v>
      </c>
    </row>
    <row r="1623" spans="1:14" x14ac:dyDescent="0.25">
      <c r="A1623" t="s">
        <v>1570</v>
      </c>
      <c r="B1623" t="s">
        <v>2151</v>
      </c>
      <c r="C1623" t="s">
        <v>785</v>
      </c>
      <c r="D1623" t="s">
        <v>786</v>
      </c>
      <c r="E1623" t="s">
        <v>787</v>
      </c>
      <c r="F1623" t="s">
        <v>15</v>
      </c>
      <c r="G1623" t="s">
        <v>37</v>
      </c>
      <c r="H1623" t="s">
        <v>782</v>
      </c>
      <c r="I1623" t="s">
        <v>33</v>
      </c>
      <c r="J1623">
        <v>1</v>
      </c>
      <c r="K1623">
        <v>18000</v>
      </c>
      <c r="L1623">
        <v>18000</v>
      </c>
      <c r="M1623">
        <v>18000</v>
      </c>
      <c r="N1623" t="s">
        <v>19</v>
      </c>
    </row>
    <row r="1624" spans="1:14" x14ac:dyDescent="0.25">
      <c r="A1624" t="s">
        <v>1581</v>
      </c>
      <c r="B1624" t="s">
        <v>2152</v>
      </c>
      <c r="C1624" t="s">
        <v>788</v>
      </c>
      <c r="D1624" t="s">
        <v>87</v>
      </c>
      <c r="E1624" t="s">
        <v>87</v>
      </c>
      <c r="F1624" t="s">
        <v>15</v>
      </c>
      <c r="G1624" t="s">
        <v>37</v>
      </c>
      <c r="H1624" t="s">
        <v>782</v>
      </c>
      <c r="I1624" t="s">
        <v>89</v>
      </c>
      <c r="J1624">
        <v>50</v>
      </c>
      <c r="K1624">
        <v>32</v>
      </c>
      <c r="L1624">
        <v>50</v>
      </c>
      <c r="M1624">
        <v>2500</v>
      </c>
      <c r="N1624" t="s">
        <v>39</v>
      </c>
    </row>
    <row r="1625" spans="1:14" x14ac:dyDescent="0.25">
      <c r="A1625" t="s">
        <v>1518</v>
      </c>
      <c r="B1625" t="s">
        <v>2153</v>
      </c>
      <c r="C1625" t="s">
        <v>891</v>
      </c>
      <c r="D1625" t="s">
        <v>20</v>
      </c>
      <c r="E1625" t="s">
        <v>835</v>
      </c>
      <c r="F1625" t="s">
        <v>15</v>
      </c>
      <c r="G1625" t="s">
        <v>22</v>
      </c>
      <c r="H1625" t="s">
        <v>782</v>
      </c>
      <c r="I1625" t="s">
        <v>838</v>
      </c>
      <c r="J1625">
        <v>1</v>
      </c>
      <c r="K1625">
        <v>2975</v>
      </c>
      <c r="L1625">
        <v>8500</v>
      </c>
      <c r="M1625">
        <v>8500</v>
      </c>
      <c r="N1625" t="s">
        <v>19</v>
      </c>
    </row>
    <row r="1626" spans="1:14" x14ac:dyDescent="0.25">
      <c r="A1626" t="s">
        <v>1518</v>
      </c>
      <c r="B1626" t="s">
        <v>2153</v>
      </c>
      <c r="C1626" t="s">
        <v>891</v>
      </c>
      <c r="D1626" t="s">
        <v>20</v>
      </c>
      <c r="E1626" t="s">
        <v>835</v>
      </c>
      <c r="F1626" t="s">
        <v>15</v>
      </c>
      <c r="G1626" t="s">
        <v>22</v>
      </c>
      <c r="H1626" t="s">
        <v>782</v>
      </c>
      <c r="I1626" t="s">
        <v>170</v>
      </c>
      <c r="J1626">
        <v>1</v>
      </c>
      <c r="K1626">
        <v>8000</v>
      </c>
      <c r="L1626">
        <v>8000</v>
      </c>
      <c r="M1626">
        <v>8000</v>
      </c>
      <c r="N1626" t="s">
        <v>19</v>
      </c>
    </row>
    <row r="1627" spans="1:14" x14ac:dyDescent="0.25">
      <c r="A1627" t="s">
        <v>1518</v>
      </c>
      <c r="B1627" t="s">
        <v>2153</v>
      </c>
      <c r="C1627" t="s">
        <v>891</v>
      </c>
      <c r="D1627" t="s">
        <v>20</v>
      </c>
      <c r="E1627" t="s">
        <v>835</v>
      </c>
      <c r="F1627" t="s">
        <v>15</v>
      </c>
      <c r="G1627" t="s">
        <v>22</v>
      </c>
      <c r="H1627" t="s">
        <v>782</v>
      </c>
      <c r="I1627" t="s">
        <v>24</v>
      </c>
      <c r="J1627">
        <v>1</v>
      </c>
      <c r="K1627">
        <v>8000</v>
      </c>
      <c r="L1627">
        <v>8000</v>
      </c>
      <c r="M1627">
        <v>8000</v>
      </c>
      <c r="N1627" t="s">
        <v>19</v>
      </c>
    </row>
    <row r="1628" spans="1:14" x14ac:dyDescent="0.25">
      <c r="A1628" t="s">
        <v>1518</v>
      </c>
      <c r="B1628" t="s">
        <v>2153</v>
      </c>
      <c r="C1628" t="s">
        <v>891</v>
      </c>
      <c r="D1628" t="s">
        <v>20</v>
      </c>
      <c r="E1628" t="s">
        <v>835</v>
      </c>
      <c r="F1628" t="s">
        <v>15</v>
      </c>
      <c r="G1628" t="s">
        <v>22</v>
      </c>
      <c r="H1628" t="s">
        <v>782</v>
      </c>
      <c r="I1628" t="s">
        <v>26</v>
      </c>
      <c r="J1628">
        <v>1</v>
      </c>
      <c r="K1628">
        <v>500</v>
      </c>
      <c r="L1628">
        <v>500</v>
      </c>
      <c r="M1628">
        <v>500</v>
      </c>
      <c r="N1628" t="s">
        <v>19</v>
      </c>
    </row>
    <row r="1629" spans="1:14" x14ac:dyDescent="0.25">
      <c r="A1629" t="s">
        <v>1686</v>
      </c>
      <c r="B1629" t="s">
        <v>2154</v>
      </c>
      <c r="C1629" t="s">
        <v>466</v>
      </c>
      <c r="D1629" t="s">
        <v>1062</v>
      </c>
      <c r="E1629" t="s">
        <v>1063</v>
      </c>
      <c r="F1629" t="s">
        <v>201</v>
      </c>
      <c r="G1629" t="s">
        <v>1031</v>
      </c>
      <c r="H1629" t="s">
        <v>782</v>
      </c>
      <c r="I1629" t="s">
        <v>1153</v>
      </c>
      <c r="J1629">
        <v>1</v>
      </c>
      <c r="K1629">
        <v>3675</v>
      </c>
      <c r="L1629">
        <v>10500</v>
      </c>
      <c r="M1629">
        <v>10500</v>
      </c>
      <c r="N1629" t="s">
        <v>1010</v>
      </c>
    </row>
    <row r="1630" spans="1:14" x14ac:dyDescent="0.25">
      <c r="A1630" t="s">
        <v>1686</v>
      </c>
      <c r="B1630" t="s">
        <v>2154</v>
      </c>
      <c r="C1630" t="s">
        <v>466</v>
      </c>
      <c r="D1630" t="s">
        <v>1062</v>
      </c>
      <c r="E1630" t="s">
        <v>1063</v>
      </c>
      <c r="F1630" t="s">
        <v>201</v>
      </c>
      <c r="G1630" t="s">
        <v>1031</v>
      </c>
      <c r="H1630" t="s">
        <v>782</v>
      </c>
      <c r="I1630" t="s">
        <v>1011</v>
      </c>
      <c r="J1630">
        <v>1</v>
      </c>
      <c r="K1630">
        <v>3500</v>
      </c>
      <c r="L1630">
        <v>10000</v>
      </c>
      <c r="M1630">
        <v>10000</v>
      </c>
      <c r="N1630" t="s">
        <v>1010</v>
      </c>
    </row>
    <row r="1631" spans="1:14" x14ac:dyDescent="0.25">
      <c r="A1631" t="s">
        <v>1686</v>
      </c>
      <c r="B1631" t="s">
        <v>2154</v>
      </c>
      <c r="C1631" t="s">
        <v>466</v>
      </c>
      <c r="D1631" t="s">
        <v>1062</v>
      </c>
      <c r="E1631" t="s">
        <v>1063</v>
      </c>
      <c r="F1631" t="s">
        <v>201</v>
      </c>
      <c r="G1631" t="s">
        <v>1031</v>
      </c>
      <c r="H1631" t="s">
        <v>782</v>
      </c>
      <c r="I1631" t="s">
        <v>24</v>
      </c>
      <c r="J1631">
        <v>1</v>
      </c>
      <c r="K1631">
        <v>3500</v>
      </c>
      <c r="L1631">
        <v>10000</v>
      </c>
      <c r="M1631">
        <v>10000</v>
      </c>
      <c r="N1631" t="s">
        <v>1010</v>
      </c>
    </row>
    <row r="1632" spans="1:14" x14ac:dyDescent="0.25">
      <c r="A1632" t="s">
        <v>1686</v>
      </c>
      <c r="B1632" t="s">
        <v>2154</v>
      </c>
      <c r="C1632" t="s">
        <v>466</v>
      </c>
      <c r="D1632" t="s">
        <v>1062</v>
      </c>
      <c r="E1632" t="s">
        <v>1063</v>
      </c>
      <c r="F1632" t="s">
        <v>201</v>
      </c>
      <c r="G1632" t="s">
        <v>1031</v>
      </c>
      <c r="H1632" t="s">
        <v>782</v>
      </c>
      <c r="I1632" t="s">
        <v>26</v>
      </c>
      <c r="J1632">
        <v>1</v>
      </c>
      <c r="K1632">
        <v>500</v>
      </c>
      <c r="L1632">
        <v>500</v>
      </c>
      <c r="M1632">
        <v>500</v>
      </c>
      <c r="N1632" t="s">
        <v>1010</v>
      </c>
    </row>
    <row r="1633" spans="1:14" x14ac:dyDescent="0.25">
      <c r="A1633" t="s">
        <v>1686</v>
      </c>
      <c r="B1633" t="s">
        <v>2154</v>
      </c>
      <c r="C1633" t="s">
        <v>466</v>
      </c>
      <c r="D1633" t="s">
        <v>1062</v>
      </c>
      <c r="E1633" t="s">
        <v>1063</v>
      </c>
      <c r="F1633" t="s">
        <v>201</v>
      </c>
      <c r="G1633" t="s">
        <v>1031</v>
      </c>
      <c r="H1633" t="s">
        <v>782</v>
      </c>
      <c r="I1633" t="s">
        <v>1066</v>
      </c>
      <c r="J1633">
        <v>1</v>
      </c>
      <c r="K1633">
        <v>23450</v>
      </c>
      <c r="L1633">
        <v>30300</v>
      </c>
      <c r="M1633">
        <v>30300</v>
      </c>
      <c r="N1633" t="s">
        <v>1010</v>
      </c>
    </row>
    <row r="1634" spans="1:14" x14ac:dyDescent="0.25">
      <c r="A1634" t="s">
        <v>1686</v>
      </c>
      <c r="B1634" t="s">
        <v>2154</v>
      </c>
      <c r="C1634" t="s">
        <v>466</v>
      </c>
      <c r="D1634" t="s">
        <v>1062</v>
      </c>
      <c r="E1634" t="s">
        <v>1063</v>
      </c>
      <c r="F1634" t="s">
        <v>201</v>
      </c>
      <c r="G1634" t="s">
        <v>1031</v>
      </c>
      <c r="H1634" t="s">
        <v>782</v>
      </c>
      <c r="I1634" t="s">
        <v>151</v>
      </c>
      <c r="J1634">
        <v>1</v>
      </c>
      <c r="K1634">
        <v>2000</v>
      </c>
      <c r="L1634">
        <v>4000</v>
      </c>
      <c r="M1634">
        <v>4000</v>
      </c>
      <c r="N1634" t="s">
        <v>1010</v>
      </c>
    </row>
    <row r="1635" spans="1:14" x14ac:dyDescent="0.25">
      <c r="A1635" t="s">
        <v>1686</v>
      </c>
      <c r="B1635" t="s">
        <v>2154</v>
      </c>
      <c r="C1635" t="s">
        <v>466</v>
      </c>
      <c r="D1635" t="s">
        <v>1062</v>
      </c>
      <c r="E1635" t="s">
        <v>1063</v>
      </c>
      <c r="F1635" t="s">
        <v>201</v>
      </c>
      <c r="G1635" t="s">
        <v>1031</v>
      </c>
      <c r="H1635" t="s">
        <v>782</v>
      </c>
      <c r="I1635" t="s">
        <v>189</v>
      </c>
      <c r="J1635">
        <v>1</v>
      </c>
      <c r="K1635">
        <v>500</v>
      </c>
      <c r="L1635">
        <v>700</v>
      </c>
      <c r="M1635">
        <v>700</v>
      </c>
      <c r="N1635" t="s">
        <v>1010</v>
      </c>
    </row>
    <row r="1636" spans="1:14" x14ac:dyDescent="0.25">
      <c r="A1636" t="s">
        <v>1686</v>
      </c>
      <c r="B1636" t="s">
        <v>2154</v>
      </c>
      <c r="C1636" t="s">
        <v>466</v>
      </c>
      <c r="D1636" t="s">
        <v>1062</v>
      </c>
      <c r="E1636" t="s">
        <v>1063</v>
      </c>
      <c r="F1636" t="s">
        <v>201</v>
      </c>
      <c r="G1636" t="s">
        <v>1031</v>
      </c>
      <c r="H1636" t="s">
        <v>782</v>
      </c>
      <c r="I1636" t="s">
        <v>1033</v>
      </c>
      <c r="J1636">
        <v>1</v>
      </c>
      <c r="K1636">
        <v>350</v>
      </c>
      <c r="L1636">
        <v>500</v>
      </c>
      <c r="M1636">
        <v>500</v>
      </c>
      <c r="N1636" t="s">
        <v>1010</v>
      </c>
    </row>
    <row r="1637" spans="1:14" x14ac:dyDescent="0.25">
      <c r="A1637" t="s">
        <v>1686</v>
      </c>
      <c r="B1637" t="s">
        <v>2154</v>
      </c>
      <c r="C1637" t="s">
        <v>466</v>
      </c>
      <c r="D1637" t="s">
        <v>1062</v>
      </c>
      <c r="E1637" t="s">
        <v>1063</v>
      </c>
      <c r="F1637" t="s">
        <v>201</v>
      </c>
      <c r="G1637" t="s">
        <v>1031</v>
      </c>
      <c r="H1637" t="s">
        <v>782</v>
      </c>
      <c r="I1637" t="s">
        <v>1014</v>
      </c>
      <c r="J1637">
        <v>1</v>
      </c>
      <c r="K1637">
        <v>970</v>
      </c>
      <c r="L1637">
        <v>1500</v>
      </c>
      <c r="M1637">
        <v>1500</v>
      </c>
      <c r="N1637" t="s">
        <v>1010</v>
      </c>
    </row>
    <row r="1638" spans="1:14" x14ac:dyDescent="0.25">
      <c r="A1638" t="s">
        <v>1686</v>
      </c>
      <c r="B1638" t="s">
        <v>2154</v>
      </c>
      <c r="C1638" t="s">
        <v>466</v>
      </c>
      <c r="D1638" t="s">
        <v>1062</v>
      </c>
      <c r="E1638" t="s">
        <v>1063</v>
      </c>
      <c r="F1638" t="s">
        <v>201</v>
      </c>
      <c r="G1638" t="s">
        <v>1031</v>
      </c>
      <c r="H1638" t="s">
        <v>782</v>
      </c>
      <c r="I1638" t="s">
        <v>1067</v>
      </c>
      <c r="J1638">
        <v>1</v>
      </c>
      <c r="K1638">
        <v>4250</v>
      </c>
      <c r="L1638">
        <v>6500</v>
      </c>
      <c r="M1638">
        <v>6500</v>
      </c>
      <c r="N1638" t="s">
        <v>1010</v>
      </c>
    </row>
    <row r="1639" spans="1:14" x14ac:dyDescent="0.25">
      <c r="A1639" t="s">
        <v>1686</v>
      </c>
      <c r="B1639" t="s">
        <v>2154</v>
      </c>
      <c r="C1639" t="s">
        <v>466</v>
      </c>
      <c r="D1639" t="s">
        <v>1062</v>
      </c>
      <c r="E1639" t="s">
        <v>1063</v>
      </c>
      <c r="F1639" t="s">
        <v>201</v>
      </c>
      <c r="G1639" t="s">
        <v>1031</v>
      </c>
      <c r="H1639" t="s">
        <v>782</v>
      </c>
      <c r="I1639" t="s">
        <v>85</v>
      </c>
      <c r="J1639">
        <v>1</v>
      </c>
      <c r="K1639">
        <v>1350</v>
      </c>
      <c r="L1639">
        <v>2000</v>
      </c>
      <c r="M1639">
        <v>2000</v>
      </c>
      <c r="N1639" t="s">
        <v>1010</v>
      </c>
    </row>
    <row r="1640" spans="1:14" x14ac:dyDescent="0.25">
      <c r="A1640" t="s">
        <v>1686</v>
      </c>
      <c r="B1640" t="s">
        <v>2154</v>
      </c>
      <c r="C1640" t="s">
        <v>466</v>
      </c>
      <c r="D1640" t="s">
        <v>1062</v>
      </c>
      <c r="E1640" t="s">
        <v>1063</v>
      </c>
      <c r="F1640" t="s">
        <v>201</v>
      </c>
      <c r="G1640" t="s">
        <v>1031</v>
      </c>
      <c r="H1640" t="s">
        <v>782</v>
      </c>
      <c r="I1640" t="s">
        <v>97</v>
      </c>
      <c r="J1640">
        <v>1</v>
      </c>
      <c r="K1640">
        <v>2200</v>
      </c>
      <c r="L1640">
        <v>3500</v>
      </c>
      <c r="M1640">
        <v>3500</v>
      </c>
      <c r="N1640" t="s">
        <v>1010</v>
      </c>
    </row>
    <row r="1641" spans="1:14" x14ac:dyDescent="0.25">
      <c r="A1641" t="s">
        <v>1686</v>
      </c>
      <c r="B1641" t="s">
        <v>2154</v>
      </c>
      <c r="C1641" t="s">
        <v>466</v>
      </c>
      <c r="D1641" t="s">
        <v>1062</v>
      </c>
      <c r="E1641" t="s">
        <v>1063</v>
      </c>
      <c r="F1641" t="s">
        <v>201</v>
      </c>
      <c r="G1641" t="s">
        <v>1031</v>
      </c>
      <c r="H1641" t="s">
        <v>782</v>
      </c>
      <c r="I1641" t="s">
        <v>63</v>
      </c>
      <c r="J1641">
        <v>1</v>
      </c>
      <c r="K1641">
        <v>500</v>
      </c>
      <c r="L1641">
        <v>500</v>
      </c>
      <c r="M1641">
        <v>500</v>
      </c>
      <c r="N1641" t="s">
        <v>1010</v>
      </c>
    </row>
    <row r="1642" spans="1:14" x14ac:dyDescent="0.25">
      <c r="A1642" t="s">
        <v>1707</v>
      </c>
      <c r="B1642" t="s">
        <v>2155</v>
      </c>
      <c r="C1642" t="s">
        <v>789</v>
      </c>
      <c r="D1642" t="s">
        <v>713</v>
      </c>
      <c r="E1642" t="s">
        <v>714</v>
      </c>
      <c r="F1642" t="s">
        <v>15</v>
      </c>
      <c r="G1642" t="s">
        <v>37</v>
      </c>
      <c r="H1642" t="s">
        <v>790</v>
      </c>
      <c r="I1642" t="s">
        <v>161</v>
      </c>
      <c r="J1642">
        <v>1</v>
      </c>
      <c r="K1642">
        <v>8500</v>
      </c>
      <c r="L1642">
        <v>12000</v>
      </c>
      <c r="M1642">
        <v>12000</v>
      </c>
      <c r="N1642" t="s">
        <v>19</v>
      </c>
    </row>
    <row r="1643" spans="1:14" x14ac:dyDescent="0.25">
      <c r="A1643" t="s">
        <v>1707</v>
      </c>
      <c r="B1643" t="s">
        <v>2155</v>
      </c>
      <c r="C1643" t="s">
        <v>789</v>
      </c>
      <c r="D1643" t="s">
        <v>713</v>
      </c>
      <c r="E1643" t="s">
        <v>714</v>
      </c>
      <c r="F1643" t="s">
        <v>15</v>
      </c>
      <c r="G1643" t="s">
        <v>37</v>
      </c>
      <c r="H1643" t="s">
        <v>790</v>
      </c>
      <c r="I1643" t="s">
        <v>393</v>
      </c>
      <c r="J1643">
        <v>1</v>
      </c>
      <c r="K1643">
        <v>500</v>
      </c>
      <c r="L1643">
        <v>500</v>
      </c>
      <c r="M1643">
        <v>500</v>
      </c>
      <c r="N1643" t="s">
        <v>19</v>
      </c>
    </row>
    <row r="1644" spans="1:14" x14ac:dyDescent="0.25">
      <c r="A1644" t="s">
        <v>1509</v>
      </c>
      <c r="B1644" t="s">
        <v>2156</v>
      </c>
      <c r="C1644" t="s">
        <v>895</v>
      </c>
      <c r="D1644" t="s">
        <v>20</v>
      </c>
      <c r="E1644" t="s">
        <v>70</v>
      </c>
      <c r="F1644" t="s">
        <v>15</v>
      </c>
      <c r="G1644" t="s">
        <v>22</v>
      </c>
      <c r="H1644" t="s">
        <v>790</v>
      </c>
      <c r="I1644" t="s">
        <v>715</v>
      </c>
      <c r="J1644">
        <v>200</v>
      </c>
      <c r="K1644">
        <v>17</v>
      </c>
      <c r="L1644">
        <v>25</v>
      </c>
      <c r="M1644">
        <v>5000</v>
      </c>
      <c r="N1644" t="s">
        <v>19</v>
      </c>
    </row>
    <row r="1645" spans="1:14" x14ac:dyDescent="0.25">
      <c r="A1645" t="s">
        <v>1520</v>
      </c>
      <c r="B1645" t="s">
        <v>2157</v>
      </c>
      <c r="C1645" t="s">
        <v>897</v>
      </c>
      <c r="D1645" t="s">
        <v>20</v>
      </c>
      <c r="E1645" t="s">
        <v>901</v>
      </c>
      <c r="F1645" t="s">
        <v>15</v>
      </c>
      <c r="G1645" t="s">
        <v>22</v>
      </c>
      <c r="H1645" t="s">
        <v>902</v>
      </c>
      <c r="I1645" t="s">
        <v>91</v>
      </c>
      <c r="J1645">
        <v>1</v>
      </c>
      <c r="K1645">
        <v>3675</v>
      </c>
      <c r="L1645">
        <v>10500</v>
      </c>
      <c r="M1645">
        <v>10500</v>
      </c>
      <c r="N1645" t="s">
        <v>19</v>
      </c>
    </row>
    <row r="1646" spans="1:14" x14ac:dyDescent="0.25">
      <c r="A1646" t="s">
        <v>1520</v>
      </c>
      <c r="B1646" t="s">
        <v>2157</v>
      </c>
      <c r="C1646" t="s">
        <v>897</v>
      </c>
      <c r="D1646" t="s">
        <v>20</v>
      </c>
      <c r="E1646" t="s">
        <v>901</v>
      </c>
      <c r="F1646" t="s">
        <v>15</v>
      </c>
      <c r="G1646" t="s">
        <v>22</v>
      </c>
      <c r="H1646" t="s">
        <v>902</v>
      </c>
      <c r="I1646" t="s">
        <v>25</v>
      </c>
      <c r="J1646">
        <v>1</v>
      </c>
      <c r="K1646">
        <v>10000</v>
      </c>
      <c r="L1646">
        <v>10000</v>
      </c>
      <c r="M1646">
        <v>10000</v>
      </c>
      <c r="N1646" t="s">
        <v>19</v>
      </c>
    </row>
    <row r="1647" spans="1:14" x14ac:dyDescent="0.25">
      <c r="A1647" t="s">
        <v>1520</v>
      </c>
      <c r="B1647" t="s">
        <v>2157</v>
      </c>
      <c r="C1647" t="s">
        <v>897</v>
      </c>
      <c r="D1647" t="s">
        <v>20</v>
      </c>
      <c r="E1647" t="s">
        <v>901</v>
      </c>
      <c r="F1647" t="s">
        <v>15</v>
      </c>
      <c r="G1647" t="s">
        <v>22</v>
      </c>
      <c r="H1647" t="s">
        <v>902</v>
      </c>
      <c r="I1647" t="s">
        <v>24</v>
      </c>
      <c r="J1647">
        <v>1</v>
      </c>
      <c r="K1647">
        <v>10000</v>
      </c>
      <c r="L1647">
        <v>10000</v>
      </c>
      <c r="M1647">
        <v>10000</v>
      </c>
      <c r="N1647" t="s">
        <v>19</v>
      </c>
    </row>
    <row r="1648" spans="1:14" x14ac:dyDescent="0.25">
      <c r="A1648" t="s">
        <v>1520</v>
      </c>
      <c r="B1648" t="s">
        <v>2157</v>
      </c>
      <c r="C1648" t="s">
        <v>897</v>
      </c>
      <c r="D1648" t="s">
        <v>20</v>
      </c>
      <c r="E1648" t="s">
        <v>901</v>
      </c>
      <c r="F1648" t="s">
        <v>15</v>
      </c>
      <c r="G1648" t="s">
        <v>22</v>
      </c>
      <c r="H1648" t="s">
        <v>902</v>
      </c>
      <c r="I1648" t="s">
        <v>134</v>
      </c>
      <c r="J1648">
        <v>1</v>
      </c>
      <c r="K1648">
        <v>500</v>
      </c>
      <c r="L1648">
        <v>500</v>
      </c>
      <c r="M1648">
        <v>500</v>
      </c>
      <c r="N1648" t="s">
        <v>19</v>
      </c>
    </row>
    <row r="1649" spans="1:14" x14ac:dyDescent="0.25">
      <c r="A1649" t="s">
        <v>1520</v>
      </c>
      <c r="B1649" t="s">
        <v>2157</v>
      </c>
      <c r="C1649" t="s">
        <v>897</v>
      </c>
      <c r="D1649" t="s">
        <v>20</v>
      </c>
      <c r="E1649" t="s">
        <v>901</v>
      </c>
      <c r="F1649" t="s">
        <v>15</v>
      </c>
      <c r="G1649" t="s">
        <v>22</v>
      </c>
      <c r="H1649" t="s">
        <v>902</v>
      </c>
      <c r="I1649" t="s">
        <v>93</v>
      </c>
      <c r="J1649">
        <v>1</v>
      </c>
      <c r="K1649">
        <v>11000</v>
      </c>
      <c r="L1649">
        <v>15500</v>
      </c>
      <c r="M1649">
        <v>15500</v>
      </c>
      <c r="N1649" t="s">
        <v>19</v>
      </c>
    </row>
    <row r="1650" spans="1:14" x14ac:dyDescent="0.25">
      <c r="A1650" t="s">
        <v>1520</v>
      </c>
      <c r="B1650" t="s">
        <v>2157</v>
      </c>
      <c r="C1650" t="s">
        <v>897</v>
      </c>
      <c r="D1650" t="s">
        <v>20</v>
      </c>
      <c r="E1650" t="s">
        <v>901</v>
      </c>
      <c r="F1650" t="s">
        <v>15</v>
      </c>
      <c r="G1650" t="s">
        <v>22</v>
      </c>
      <c r="H1650" t="s">
        <v>902</v>
      </c>
      <c r="I1650" t="s">
        <v>903</v>
      </c>
      <c r="J1650">
        <v>1</v>
      </c>
      <c r="K1650">
        <v>8500</v>
      </c>
      <c r="L1650">
        <v>12000</v>
      </c>
      <c r="M1650">
        <v>12000</v>
      </c>
      <c r="N1650" t="s">
        <v>19</v>
      </c>
    </row>
    <row r="1651" spans="1:14" x14ac:dyDescent="0.25">
      <c r="A1651" t="s">
        <v>1520</v>
      </c>
      <c r="B1651" t="s">
        <v>2157</v>
      </c>
      <c r="C1651" t="s">
        <v>897</v>
      </c>
      <c r="D1651" t="s">
        <v>20</v>
      </c>
      <c r="E1651" t="s">
        <v>901</v>
      </c>
      <c r="F1651" t="s">
        <v>15</v>
      </c>
      <c r="G1651" t="s">
        <v>22</v>
      </c>
      <c r="H1651" t="s">
        <v>902</v>
      </c>
      <c r="I1651" t="s">
        <v>904</v>
      </c>
      <c r="J1651">
        <v>1</v>
      </c>
      <c r="K1651">
        <v>9500</v>
      </c>
      <c r="L1651">
        <v>13500</v>
      </c>
      <c r="M1651">
        <v>13500</v>
      </c>
      <c r="N1651" t="s">
        <v>19</v>
      </c>
    </row>
    <row r="1652" spans="1:14" x14ac:dyDescent="0.25">
      <c r="A1652" t="s">
        <v>1520</v>
      </c>
      <c r="B1652" t="s">
        <v>2157</v>
      </c>
      <c r="C1652" t="s">
        <v>897</v>
      </c>
      <c r="D1652" t="s">
        <v>20</v>
      </c>
      <c r="E1652" t="s">
        <v>901</v>
      </c>
      <c r="F1652" t="s">
        <v>15</v>
      </c>
      <c r="G1652" t="s">
        <v>22</v>
      </c>
      <c r="H1652" t="s">
        <v>902</v>
      </c>
      <c r="I1652" t="s">
        <v>905</v>
      </c>
      <c r="J1652">
        <v>1</v>
      </c>
      <c r="K1652">
        <v>9500</v>
      </c>
      <c r="L1652">
        <v>13500</v>
      </c>
      <c r="M1652">
        <v>13500</v>
      </c>
      <c r="N1652" t="s">
        <v>19</v>
      </c>
    </row>
    <row r="1653" spans="1:14" x14ac:dyDescent="0.25">
      <c r="A1653" t="s">
        <v>1520</v>
      </c>
      <c r="B1653" t="s">
        <v>2157</v>
      </c>
      <c r="C1653" t="s">
        <v>897</v>
      </c>
      <c r="D1653" t="s">
        <v>20</v>
      </c>
      <c r="E1653" t="s">
        <v>901</v>
      </c>
      <c r="F1653" t="s">
        <v>15</v>
      </c>
      <c r="G1653" t="s">
        <v>22</v>
      </c>
      <c r="H1653" t="s">
        <v>902</v>
      </c>
      <c r="I1653" t="s">
        <v>381</v>
      </c>
      <c r="J1653">
        <v>50</v>
      </c>
      <c r="K1653">
        <v>850</v>
      </c>
      <c r="L1653">
        <v>1250</v>
      </c>
      <c r="M1653">
        <v>62500</v>
      </c>
      <c r="N1653" t="s">
        <v>19</v>
      </c>
    </row>
    <row r="1654" spans="1:14" x14ac:dyDescent="0.25">
      <c r="A1654" t="s">
        <v>1520</v>
      </c>
      <c r="B1654" t="s">
        <v>2157</v>
      </c>
      <c r="C1654" t="s">
        <v>897</v>
      </c>
      <c r="D1654" t="s">
        <v>20</v>
      </c>
      <c r="E1654" t="s">
        <v>901</v>
      </c>
      <c r="F1654" t="s">
        <v>15</v>
      </c>
      <c r="G1654" t="s">
        <v>22</v>
      </c>
      <c r="H1654" t="s">
        <v>902</v>
      </c>
      <c r="I1654" t="s">
        <v>501</v>
      </c>
      <c r="J1654">
        <v>3</v>
      </c>
      <c r="K1654">
        <v>201</v>
      </c>
      <c r="L1654">
        <v>750</v>
      </c>
      <c r="M1654">
        <v>2250</v>
      </c>
      <c r="N1654" t="s">
        <v>19</v>
      </c>
    </row>
    <row r="1655" spans="1:14" x14ac:dyDescent="0.25">
      <c r="A1655" t="s">
        <v>1520</v>
      </c>
      <c r="B1655" t="s">
        <v>2157</v>
      </c>
      <c r="C1655" t="s">
        <v>897</v>
      </c>
      <c r="D1655" t="s">
        <v>20</v>
      </c>
      <c r="E1655" t="s">
        <v>901</v>
      </c>
      <c r="F1655" t="s">
        <v>15</v>
      </c>
      <c r="G1655" t="s">
        <v>22</v>
      </c>
      <c r="H1655" t="s">
        <v>902</v>
      </c>
      <c r="I1655" t="s">
        <v>85</v>
      </c>
      <c r="J1655">
        <v>1</v>
      </c>
      <c r="K1655">
        <v>1350</v>
      </c>
      <c r="L1655">
        <v>1900</v>
      </c>
      <c r="M1655">
        <v>1900</v>
      </c>
      <c r="N1655" t="s">
        <v>19</v>
      </c>
    </row>
    <row r="1656" spans="1:14" x14ac:dyDescent="0.25">
      <c r="A1656" t="s">
        <v>1520</v>
      </c>
      <c r="B1656" t="s">
        <v>2157</v>
      </c>
      <c r="C1656" t="s">
        <v>897</v>
      </c>
      <c r="D1656" t="s">
        <v>20</v>
      </c>
      <c r="E1656" t="s">
        <v>901</v>
      </c>
      <c r="F1656" t="s">
        <v>15</v>
      </c>
      <c r="G1656" t="s">
        <v>22</v>
      </c>
      <c r="H1656" t="s">
        <v>902</v>
      </c>
      <c r="I1656" t="s">
        <v>82</v>
      </c>
      <c r="J1656">
        <v>1</v>
      </c>
      <c r="K1656">
        <v>2200</v>
      </c>
      <c r="L1656">
        <v>3100</v>
      </c>
      <c r="M1656">
        <v>3100</v>
      </c>
      <c r="N1656" t="s">
        <v>19</v>
      </c>
    </row>
    <row r="1657" spans="1:14" x14ac:dyDescent="0.25">
      <c r="A1657" t="s">
        <v>1520</v>
      </c>
      <c r="B1657" t="s">
        <v>2157</v>
      </c>
      <c r="C1657" t="s">
        <v>897</v>
      </c>
      <c r="D1657" t="s">
        <v>20</v>
      </c>
      <c r="E1657" t="s">
        <v>901</v>
      </c>
      <c r="F1657" t="s">
        <v>15</v>
      </c>
      <c r="G1657" t="s">
        <v>22</v>
      </c>
      <c r="H1657" t="s">
        <v>902</v>
      </c>
      <c r="I1657" t="s">
        <v>98</v>
      </c>
      <c r="J1657">
        <v>1</v>
      </c>
      <c r="K1657">
        <v>935</v>
      </c>
      <c r="L1657">
        <v>1300</v>
      </c>
      <c r="M1657">
        <v>1300</v>
      </c>
      <c r="N1657" t="s">
        <v>19</v>
      </c>
    </row>
    <row r="1658" spans="1:14" x14ac:dyDescent="0.25">
      <c r="A1658" t="s">
        <v>1520</v>
      </c>
      <c r="B1658" t="s">
        <v>2157</v>
      </c>
      <c r="C1658" t="s">
        <v>897</v>
      </c>
      <c r="D1658" t="s">
        <v>20</v>
      </c>
      <c r="E1658" t="s">
        <v>901</v>
      </c>
      <c r="F1658" t="s">
        <v>15</v>
      </c>
      <c r="G1658" t="s">
        <v>22</v>
      </c>
      <c r="H1658" t="s">
        <v>902</v>
      </c>
      <c r="I1658" t="s">
        <v>862</v>
      </c>
      <c r="J1658">
        <v>1</v>
      </c>
      <c r="K1658">
        <v>22000</v>
      </c>
      <c r="L1658">
        <v>31500</v>
      </c>
      <c r="M1658">
        <v>31500</v>
      </c>
      <c r="N1658" t="s">
        <v>19</v>
      </c>
    </row>
    <row r="1659" spans="1:14" x14ac:dyDescent="0.25">
      <c r="A1659" t="s">
        <v>1520</v>
      </c>
      <c r="B1659" t="s">
        <v>2157</v>
      </c>
      <c r="C1659" t="s">
        <v>897</v>
      </c>
      <c r="D1659" t="s">
        <v>20</v>
      </c>
      <c r="E1659" t="s">
        <v>901</v>
      </c>
      <c r="F1659" t="s">
        <v>15</v>
      </c>
      <c r="G1659" t="s">
        <v>22</v>
      </c>
      <c r="H1659" t="s">
        <v>902</v>
      </c>
      <c r="I1659" t="s">
        <v>99</v>
      </c>
      <c r="J1659">
        <v>1</v>
      </c>
      <c r="K1659">
        <v>2000</v>
      </c>
      <c r="L1659">
        <v>2800</v>
      </c>
      <c r="M1659">
        <v>2800</v>
      </c>
      <c r="N1659" t="s">
        <v>19</v>
      </c>
    </row>
    <row r="1660" spans="1:14" x14ac:dyDescent="0.25">
      <c r="A1660" t="s">
        <v>1520</v>
      </c>
      <c r="B1660" t="s">
        <v>2157</v>
      </c>
      <c r="C1660" t="s">
        <v>897</v>
      </c>
      <c r="D1660" t="s">
        <v>20</v>
      </c>
      <c r="E1660" t="s">
        <v>901</v>
      </c>
      <c r="F1660" t="s">
        <v>15</v>
      </c>
      <c r="G1660" t="s">
        <v>22</v>
      </c>
      <c r="H1660" t="s">
        <v>902</v>
      </c>
      <c r="I1660" t="s">
        <v>280</v>
      </c>
      <c r="J1660">
        <v>1</v>
      </c>
      <c r="K1660">
        <v>850</v>
      </c>
      <c r="L1660">
        <v>1200</v>
      </c>
      <c r="M1660">
        <v>1200</v>
      </c>
      <c r="N1660" t="s">
        <v>19</v>
      </c>
    </row>
    <row r="1661" spans="1:14" x14ac:dyDescent="0.25">
      <c r="A1661" t="s">
        <v>1520</v>
      </c>
      <c r="B1661" t="s">
        <v>2157</v>
      </c>
      <c r="C1661" t="s">
        <v>897</v>
      </c>
      <c r="D1661" t="s">
        <v>20</v>
      </c>
      <c r="E1661" t="s">
        <v>901</v>
      </c>
      <c r="F1661" t="s">
        <v>15</v>
      </c>
      <c r="G1661" t="s">
        <v>22</v>
      </c>
      <c r="H1661" t="s">
        <v>902</v>
      </c>
      <c r="I1661" t="s">
        <v>906</v>
      </c>
      <c r="J1661">
        <v>1</v>
      </c>
      <c r="K1661">
        <v>5000</v>
      </c>
      <c r="L1661">
        <v>5000</v>
      </c>
      <c r="M1661">
        <v>5000</v>
      </c>
      <c r="N1661" t="s">
        <v>19</v>
      </c>
    </row>
    <row r="1662" spans="1:14" x14ac:dyDescent="0.25">
      <c r="A1662" t="s">
        <v>1513</v>
      </c>
      <c r="B1662" t="s">
        <v>2158</v>
      </c>
      <c r="C1662" t="s">
        <v>907</v>
      </c>
      <c r="D1662" t="s">
        <v>20</v>
      </c>
      <c r="E1662" t="s">
        <v>908</v>
      </c>
      <c r="F1662" t="s">
        <v>15</v>
      </c>
      <c r="G1662" t="s">
        <v>22</v>
      </c>
      <c r="H1662" t="s">
        <v>902</v>
      </c>
      <c r="I1662" t="s">
        <v>91</v>
      </c>
      <c r="J1662">
        <v>1</v>
      </c>
      <c r="K1662">
        <v>3675</v>
      </c>
      <c r="L1662">
        <v>10500</v>
      </c>
      <c r="M1662">
        <v>10500</v>
      </c>
      <c r="N1662" t="s">
        <v>19</v>
      </c>
    </row>
    <row r="1663" spans="1:14" x14ac:dyDescent="0.25">
      <c r="A1663" t="s">
        <v>1513</v>
      </c>
      <c r="B1663" t="s">
        <v>2158</v>
      </c>
      <c r="C1663" t="s">
        <v>907</v>
      </c>
      <c r="D1663" t="s">
        <v>20</v>
      </c>
      <c r="E1663" t="s">
        <v>908</v>
      </c>
      <c r="F1663" t="s">
        <v>15</v>
      </c>
      <c r="G1663" t="s">
        <v>22</v>
      </c>
      <c r="H1663" t="s">
        <v>902</v>
      </c>
      <c r="I1663" t="s">
        <v>25</v>
      </c>
      <c r="J1663">
        <v>1</v>
      </c>
      <c r="K1663">
        <v>11650</v>
      </c>
      <c r="L1663">
        <v>11650</v>
      </c>
      <c r="M1663">
        <v>11650</v>
      </c>
      <c r="N1663" t="s">
        <v>19</v>
      </c>
    </row>
    <row r="1664" spans="1:14" x14ac:dyDescent="0.25">
      <c r="A1664" t="s">
        <v>1513</v>
      </c>
      <c r="B1664" t="s">
        <v>2158</v>
      </c>
      <c r="C1664" t="s">
        <v>907</v>
      </c>
      <c r="D1664" t="s">
        <v>20</v>
      </c>
      <c r="E1664" t="s">
        <v>908</v>
      </c>
      <c r="F1664" t="s">
        <v>15</v>
      </c>
      <c r="G1664" t="s">
        <v>22</v>
      </c>
      <c r="H1664" t="s">
        <v>902</v>
      </c>
      <c r="I1664" t="s">
        <v>24</v>
      </c>
      <c r="J1664">
        <v>1</v>
      </c>
      <c r="K1664">
        <v>11650</v>
      </c>
      <c r="L1664">
        <v>11650</v>
      </c>
      <c r="M1664">
        <v>11650</v>
      </c>
      <c r="N1664" t="s">
        <v>19</v>
      </c>
    </row>
    <row r="1665" spans="1:14" x14ac:dyDescent="0.25">
      <c r="A1665" t="s">
        <v>1513</v>
      </c>
      <c r="B1665" t="s">
        <v>2158</v>
      </c>
      <c r="C1665" t="s">
        <v>907</v>
      </c>
      <c r="D1665" t="s">
        <v>20</v>
      </c>
      <c r="E1665" t="s">
        <v>908</v>
      </c>
      <c r="F1665" t="s">
        <v>15</v>
      </c>
      <c r="G1665" t="s">
        <v>22</v>
      </c>
      <c r="H1665" t="s">
        <v>902</v>
      </c>
      <c r="I1665" t="s">
        <v>134</v>
      </c>
      <c r="J1665">
        <v>1</v>
      </c>
      <c r="K1665">
        <v>500</v>
      </c>
      <c r="L1665">
        <v>500</v>
      </c>
      <c r="M1665">
        <v>500</v>
      </c>
      <c r="N1665" t="s">
        <v>19</v>
      </c>
    </row>
    <row r="1666" spans="1:14" x14ac:dyDescent="0.25">
      <c r="A1666" t="s">
        <v>1513</v>
      </c>
      <c r="B1666" t="s">
        <v>2158</v>
      </c>
      <c r="C1666" t="s">
        <v>907</v>
      </c>
      <c r="D1666" t="s">
        <v>20</v>
      </c>
      <c r="E1666" t="s">
        <v>908</v>
      </c>
      <c r="F1666" t="s">
        <v>15</v>
      </c>
      <c r="G1666" t="s">
        <v>22</v>
      </c>
      <c r="H1666" t="s">
        <v>902</v>
      </c>
      <c r="I1666" t="s">
        <v>93</v>
      </c>
      <c r="J1666">
        <v>1</v>
      </c>
      <c r="K1666">
        <v>11000</v>
      </c>
      <c r="L1666">
        <v>15500</v>
      </c>
      <c r="M1666">
        <v>15500</v>
      </c>
      <c r="N1666" t="s">
        <v>19</v>
      </c>
    </row>
    <row r="1667" spans="1:14" x14ac:dyDescent="0.25">
      <c r="A1667" t="s">
        <v>1513</v>
      </c>
      <c r="B1667" t="s">
        <v>2158</v>
      </c>
      <c r="C1667" t="s">
        <v>907</v>
      </c>
      <c r="D1667" t="s">
        <v>20</v>
      </c>
      <c r="E1667" t="s">
        <v>908</v>
      </c>
      <c r="F1667" t="s">
        <v>15</v>
      </c>
      <c r="G1667" t="s">
        <v>22</v>
      </c>
      <c r="H1667" t="s">
        <v>902</v>
      </c>
      <c r="I1667" t="s">
        <v>903</v>
      </c>
      <c r="J1667">
        <v>1</v>
      </c>
      <c r="K1667">
        <v>8500</v>
      </c>
      <c r="L1667">
        <v>12000</v>
      </c>
      <c r="M1667">
        <v>12000</v>
      </c>
      <c r="N1667" t="s">
        <v>19</v>
      </c>
    </row>
    <row r="1668" spans="1:14" x14ac:dyDescent="0.25">
      <c r="A1668" t="s">
        <v>1513</v>
      </c>
      <c r="B1668" t="s">
        <v>2158</v>
      </c>
      <c r="C1668" t="s">
        <v>907</v>
      </c>
      <c r="D1668" t="s">
        <v>20</v>
      </c>
      <c r="E1668" t="s">
        <v>908</v>
      </c>
      <c r="F1668" t="s">
        <v>15</v>
      </c>
      <c r="G1668" t="s">
        <v>22</v>
      </c>
      <c r="H1668" t="s">
        <v>902</v>
      </c>
      <c r="I1668" t="s">
        <v>904</v>
      </c>
      <c r="J1668">
        <v>1</v>
      </c>
      <c r="K1668">
        <v>9500</v>
      </c>
      <c r="L1668">
        <v>13500</v>
      </c>
      <c r="M1668">
        <v>13500</v>
      </c>
      <c r="N1668" t="s">
        <v>19</v>
      </c>
    </row>
    <row r="1669" spans="1:14" x14ac:dyDescent="0.25">
      <c r="A1669" t="s">
        <v>1513</v>
      </c>
      <c r="B1669" t="s">
        <v>2158</v>
      </c>
      <c r="C1669" t="s">
        <v>907</v>
      </c>
      <c r="D1669" t="s">
        <v>20</v>
      </c>
      <c r="E1669" t="s">
        <v>908</v>
      </c>
      <c r="F1669" t="s">
        <v>15</v>
      </c>
      <c r="G1669" t="s">
        <v>22</v>
      </c>
      <c r="H1669" t="s">
        <v>902</v>
      </c>
      <c r="I1669" t="s">
        <v>905</v>
      </c>
      <c r="J1669">
        <v>1</v>
      </c>
      <c r="K1669">
        <v>9500</v>
      </c>
      <c r="L1669">
        <v>13500</v>
      </c>
      <c r="M1669">
        <v>13500</v>
      </c>
      <c r="N1669" t="s">
        <v>19</v>
      </c>
    </row>
    <row r="1670" spans="1:14" x14ac:dyDescent="0.25">
      <c r="A1670" t="s">
        <v>1513</v>
      </c>
      <c r="B1670" t="s">
        <v>2158</v>
      </c>
      <c r="C1670" t="s">
        <v>907</v>
      </c>
      <c r="D1670" t="s">
        <v>20</v>
      </c>
      <c r="E1670" t="s">
        <v>908</v>
      </c>
      <c r="F1670" t="s">
        <v>15</v>
      </c>
      <c r="G1670" t="s">
        <v>22</v>
      </c>
      <c r="H1670" t="s">
        <v>902</v>
      </c>
      <c r="I1670" t="s">
        <v>381</v>
      </c>
      <c r="J1670">
        <v>50</v>
      </c>
      <c r="K1670">
        <v>850</v>
      </c>
      <c r="L1670">
        <v>1250</v>
      </c>
      <c r="M1670">
        <v>62500</v>
      </c>
      <c r="N1670" t="s">
        <v>19</v>
      </c>
    </row>
    <row r="1671" spans="1:14" x14ac:dyDescent="0.25">
      <c r="A1671" t="s">
        <v>1513</v>
      </c>
      <c r="B1671" t="s">
        <v>2158</v>
      </c>
      <c r="C1671" t="s">
        <v>907</v>
      </c>
      <c r="D1671" t="s">
        <v>20</v>
      </c>
      <c r="E1671" t="s">
        <v>908</v>
      </c>
      <c r="F1671" t="s">
        <v>15</v>
      </c>
      <c r="G1671" t="s">
        <v>22</v>
      </c>
      <c r="H1671" t="s">
        <v>902</v>
      </c>
      <c r="I1671" t="s">
        <v>501</v>
      </c>
      <c r="J1671">
        <v>3</v>
      </c>
      <c r="K1671">
        <v>201</v>
      </c>
      <c r="L1671">
        <v>750</v>
      </c>
      <c r="M1671">
        <v>2250</v>
      </c>
      <c r="N1671" t="s">
        <v>19</v>
      </c>
    </row>
    <row r="1672" spans="1:14" x14ac:dyDescent="0.25">
      <c r="A1672" t="s">
        <v>1513</v>
      </c>
      <c r="B1672" t="s">
        <v>2158</v>
      </c>
      <c r="C1672" t="s">
        <v>907</v>
      </c>
      <c r="D1672" t="s">
        <v>20</v>
      </c>
      <c r="E1672" t="s">
        <v>908</v>
      </c>
      <c r="F1672" t="s">
        <v>15</v>
      </c>
      <c r="G1672" t="s">
        <v>22</v>
      </c>
      <c r="H1672" t="s">
        <v>902</v>
      </c>
      <c r="I1672" t="s">
        <v>85</v>
      </c>
      <c r="J1672">
        <v>1</v>
      </c>
      <c r="K1672">
        <v>1350</v>
      </c>
      <c r="L1672">
        <v>1900</v>
      </c>
      <c r="M1672">
        <v>1900</v>
      </c>
      <c r="N1672" t="s">
        <v>19</v>
      </c>
    </row>
    <row r="1673" spans="1:14" x14ac:dyDescent="0.25">
      <c r="A1673" t="s">
        <v>1513</v>
      </c>
      <c r="B1673" t="s">
        <v>2158</v>
      </c>
      <c r="C1673" t="s">
        <v>907</v>
      </c>
      <c r="D1673" t="s">
        <v>20</v>
      </c>
      <c r="E1673" t="s">
        <v>908</v>
      </c>
      <c r="F1673" t="s">
        <v>15</v>
      </c>
      <c r="G1673" t="s">
        <v>22</v>
      </c>
      <c r="H1673" t="s">
        <v>902</v>
      </c>
      <c r="I1673" t="s">
        <v>82</v>
      </c>
      <c r="J1673">
        <v>1</v>
      </c>
      <c r="K1673">
        <v>2200</v>
      </c>
      <c r="L1673">
        <v>3100</v>
      </c>
      <c r="M1673">
        <v>3100</v>
      </c>
      <c r="N1673" t="s">
        <v>19</v>
      </c>
    </row>
    <row r="1674" spans="1:14" x14ac:dyDescent="0.25">
      <c r="A1674" t="s">
        <v>1513</v>
      </c>
      <c r="B1674" t="s">
        <v>2158</v>
      </c>
      <c r="C1674" t="s">
        <v>907</v>
      </c>
      <c r="D1674" t="s">
        <v>20</v>
      </c>
      <c r="E1674" t="s">
        <v>908</v>
      </c>
      <c r="F1674" t="s">
        <v>15</v>
      </c>
      <c r="G1674" t="s">
        <v>22</v>
      </c>
      <c r="H1674" t="s">
        <v>902</v>
      </c>
      <c r="I1674" t="s">
        <v>98</v>
      </c>
      <c r="J1674">
        <v>1</v>
      </c>
      <c r="K1674">
        <v>935</v>
      </c>
      <c r="L1674">
        <v>1300</v>
      </c>
      <c r="M1674">
        <v>1300</v>
      </c>
      <c r="N1674" t="s">
        <v>19</v>
      </c>
    </row>
    <row r="1675" spans="1:14" x14ac:dyDescent="0.25">
      <c r="A1675" t="s">
        <v>1513</v>
      </c>
      <c r="B1675" t="s">
        <v>2158</v>
      </c>
      <c r="C1675" t="s">
        <v>907</v>
      </c>
      <c r="D1675" t="s">
        <v>20</v>
      </c>
      <c r="E1675" t="s">
        <v>908</v>
      </c>
      <c r="F1675" t="s">
        <v>15</v>
      </c>
      <c r="G1675" t="s">
        <v>22</v>
      </c>
      <c r="H1675" t="s">
        <v>902</v>
      </c>
      <c r="I1675" t="s">
        <v>280</v>
      </c>
      <c r="J1675">
        <v>1</v>
      </c>
      <c r="K1675">
        <v>850</v>
      </c>
      <c r="L1675">
        <v>1200</v>
      </c>
      <c r="M1675">
        <v>1200</v>
      </c>
      <c r="N1675" t="s">
        <v>19</v>
      </c>
    </row>
    <row r="1676" spans="1:14" x14ac:dyDescent="0.25">
      <c r="A1676" t="s">
        <v>1508</v>
      </c>
      <c r="B1676" t="s">
        <v>2159</v>
      </c>
      <c r="C1676" t="s">
        <v>909</v>
      </c>
      <c r="D1676" t="s">
        <v>20</v>
      </c>
      <c r="E1676" t="s">
        <v>910</v>
      </c>
      <c r="F1676" t="s">
        <v>15</v>
      </c>
      <c r="G1676" t="s">
        <v>22</v>
      </c>
      <c r="H1676" t="s">
        <v>902</v>
      </c>
      <c r="I1676" t="s">
        <v>91</v>
      </c>
      <c r="J1676">
        <v>1</v>
      </c>
      <c r="K1676">
        <v>3675</v>
      </c>
      <c r="L1676">
        <v>10500</v>
      </c>
      <c r="M1676">
        <v>10500</v>
      </c>
      <c r="N1676" t="s">
        <v>19</v>
      </c>
    </row>
    <row r="1677" spans="1:14" x14ac:dyDescent="0.25">
      <c r="A1677" t="s">
        <v>1508</v>
      </c>
      <c r="B1677" t="s">
        <v>2159</v>
      </c>
      <c r="C1677" t="s">
        <v>909</v>
      </c>
      <c r="D1677" t="s">
        <v>20</v>
      </c>
      <c r="E1677" t="s">
        <v>910</v>
      </c>
      <c r="F1677" t="s">
        <v>15</v>
      </c>
      <c r="G1677" t="s">
        <v>22</v>
      </c>
      <c r="H1677" t="s">
        <v>902</v>
      </c>
      <c r="I1677" t="s">
        <v>25</v>
      </c>
      <c r="J1677">
        <v>1</v>
      </c>
      <c r="K1677">
        <v>11650</v>
      </c>
      <c r="L1677">
        <v>11650</v>
      </c>
      <c r="M1677">
        <v>11650</v>
      </c>
      <c r="N1677" t="s">
        <v>19</v>
      </c>
    </row>
    <row r="1678" spans="1:14" x14ac:dyDescent="0.25">
      <c r="A1678" t="s">
        <v>1508</v>
      </c>
      <c r="B1678" t="s">
        <v>2159</v>
      </c>
      <c r="C1678" t="s">
        <v>909</v>
      </c>
      <c r="D1678" t="s">
        <v>20</v>
      </c>
      <c r="E1678" t="s">
        <v>910</v>
      </c>
      <c r="F1678" t="s">
        <v>15</v>
      </c>
      <c r="G1678" t="s">
        <v>22</v>
      </c>
      <c r="H1678" t="s">
        <v>902</v>
      </c>
      <c r="I1678" t="s">
        <v>24</v>
      </c>
      <c r="J1678">
        <v>1</v>
      </c>
      <c r="K1678">
        <v>11650</v>
      </c>
      <c r="L1678">
        <v>11650</v>
      </c>
      <c r="M1678">
        <v>11650</v>
      </c>
      <c r="N1678" t="s">
        <v>19</v>
      </c>
    </row>
    <row r="1679" spans="1:14" x14ac:dyDescent="0.25">
      <c r="A1679" t="s">
        <v>1508</v>
      </c>
      <c r="B1679" t="s">
        <v>2159</v>
      </c>
      <c r="C1679" t="s">
        <v>909</v>
      </c>
      <c r="D1679" t="s">
        <v>20</v>
      </c>
      <c r="E1679" t="s">
        <v>910</v>
      </c>
      <c r="F1679" t="s">
        <v>15</v>
      </c>
      <c r="G1679" t="s">
        <v>22</v>
      </c>
      <c r="H1679" t="s">
        <v>902</v>
      </c>
      <c r="I1679" t="s">
        <v>134</v>
      </c>
      <c r="J1679">
        <v>1</v>
      </c>
      <c r="K1679">
        <v>500</v>
      </c>
      <c r="L1679">
        <v>500</v>
      </c>
      <c r="M1679">
        <v>500</v>
      </c>
      <c r="N1679" t="s">
        <v>19</v>
      </c>
    </row>
    <row r="1680" spans="1:14" x14ac:dyDescent="0.25">
      <c r="A1680" t="s">
        <v>1508</v>
      </c>
      <c r="B1680" t="s">
        <v>2159</v>
      </c>
      <c r="C1680" t="s">
        <v>909</v>
      </c>
      <c r="D1680" t="s">
        <v>20</v>
      </c>
      <c r="E1680" t="s">
        <v>910</v>
      </c>
      <c r="F1680" t="s">
        <v>15</v>
      </c>
      <c r="G1680" t="s">
        <v>22</v>
      </c>
      <c r="H1680" t="s">
        <v>902</v>
      </c>
      <c r="I1680" t="s">
        <v>93</v>
      </c>
      <c r="J1680">
        <v>1</v>
      </c>
      <c r="K1680">
        <v>11000</v>
      </c>
      <c r="L1680">
        <v>15500</v>
      </c>
      <c r="M1680">
        <v>15500</v>
      </c>
      <c r="N1680" t="s">
        <v>19</v>
      </c>
    </row>
    <row r="1681" spans="1:14" x14ac:dyDescent="0.25">
      <c r="A1681" t="s">
        <v>1508</v>
      </c>
      <c r="B1681" t="s">
        <v>2159</v>
      </c>
      <c r="C1681" t="s">
        <v>909</v>
      </c>
      <c r="D1681" t="s">
        <v>20</v>
      </c>
      <c r="E1681" t="s">
        <v>910</v>
      </c>
      <c r="F1681" t="s">
        <v>15</v>
      </c>
      <c r="G1681" t="s">
        <v>22</v>
      </c>
      <c r="H1681" t="s">
        <v>902</v>
      </c>
      <c r="I1681" t="s">
        <v>903</v>
      </c>
      <c r="J1681">
        <v>1</v>
      </c>
      <c r="K1681">
        <v>8500</v>
      </c>
      <c r="L1681">
        <v>12000</v>
      </c>
      <c r="M1681">
        <v>12000</v>
      </c>
      <c r="N1681" t="s">
        <v>19</v>
      </c>
    </row>
    <row r="1682" spans="1:14" x14ac:dyDescent="0.25">
      <c r="A1682" t="s">
        <v>1508</v>
      </c>
      <c r="B1682" t="s">
        <v>2159</v>
      </c>
      <c r="C1682" t="s">
        <v>909</v>
      </c>
      <c r="D1682" t="s">
        <v>20</v>
      </c>
      <c r="E1682" t="s">
        <v>910</v>
      </c>
      <c r="F1682" t="s">
        <v>15</v>
      </c>
      <c r="G1682" t="s">
        <v>22</v>
      </c>
      <c r="H1682" t="s">
        <v>902</v>
      </c>
      <c r="I1682" t="s">
        <v>904</v>
      </c>
      <c r="J1682">
        <v>1</v>
      </c>
      <c r="K1682">
        <v>9500</v>
      </c>
      <c r="L1682">
        <v>13500</v>
      </c>
      <c r="M1682">
        <v>13500</v>
      </c>
      <c r="N1682" t="s">
        <v>19</v>
      </c>
    </row>
    <row r="1683" spans="1:14" x14ac:dyDescent="0.25">
      <c r="A1683" t="s">
        <v>1508</v>
      </c>
      <c r="B1683" t="s">
        <v>2159</v>
      </c>
      <c r="C1683" t="s">
        <v>909</v>
      </c>
      <c r="D1683" t="s">
        <v>20</v>
      </c>
      <c r="E1683" t="s">
        <v>910</v>
      </c>
      <c r="F1683" t="s">
        <v>15</v>
      </c>
      <c r="G1683" t="s">
        <v>22</v>
      </c>
      <c r="H1683" t="s">
        <v>902</v>
      </c>
      <c r="I1683" t="s">
        <v>905</v>
      </c>
      <c r="J1683">
        <v>1</v>
      </c>
      <c r="K1683">
        <v>9500</v>
      </c>
      <c r="L1683">
        <v>13500</v>
      </c>
      <c r="M1683">
        <v>13500</v>
      </c>
      <c r="N1683" t="s">
        <v>19</v>
      </c>
    </row>
    <row r="1684" spans="1:14" x14ac:dyDescent="0.25">
      <c r="A1684" t="s">
        <v>1508</v>
      </c>
      <c r="B1684" t="s">
        <v>2159</v>
      </c>
      <c r="C1684" t="s">
        <v>909</v>
      </c>
      <c r="D1684" t="s">
        <v>20</v>
      </c>
      <c r="E1684" t="s">
        <v>910</v>
      </c>
      <c r="F1684" t="s">
        <v>15</v>
      </c>
      <c r="G1684" t="s">
        <v>22</v>
      </c>
      <c r="H1684" t="s">
        <v>902</v>
      </c>
      <c r="I1684" t="s">
        <v>381</v>
      </c>
      <c r="J1684">
        <v>50</v>
      </c>
      <c r="K1684">
        <v>850</v>
      </c>
      <c r="L1684">
        <v>1250</v>
      </c>
      <c r="M1684">
        <v>62500</v>
      </c>
      <c r="N1684" t="s">
        <v>19</v>
      </c>
    </row>
    <row r="1685" spans="1:14" x14ac:dyDescent="0.25">
      <c r="A1685" t="s">
        <v>1508</v>
      </c>
      <c r="B1685" t="s">
        <v>2159</v>
      </c>
      <c r="C1685" t="s">
        <v>909</v>
      </c>
      <c r="D1685" t="s">
        <v>20</v>
      </c>
      <c r="E1685" t="s">
        <v>910</v>
      </c>
      <c r="F1685" t="s">
        <v>15</v>
      </c>
      <c r="G1685" t="s">
        <v>22</v>
      </c>
      <c r="H1685" t="s">
        <v>902</v>
      </c>
      <c r="I1685" t="s">
        <v>501</v>
      </c>
      <c r="J1685">
        <v>3</v>
      </c>
      <c r="K1685">
        <v>201</v>
      </c>
      <c r="L1685">
        <v>750</v>
      </c>
      <c r="M1685">
        <v>2250</v>
      </c>
      <c r="N1685" t="s">
        <v>19</v>
      </c>
    </row>
    <row r="1686" spans="1:14" x14ac:dyDescent="0.25">
      <c r="A1686" t="s">
        <v>1508</v>
      </c>
      <c r="B1686" t="s">
        <v>2159</v>
      </c>
      <c r="C1686" t="s">
        <v>909</v>
      </c>
      <c r="D1686" t="s">
        <v>20</v>
      </c>
      <c r="E1686" t="s">
        <v>910</v>
      </c>
      <c r="F1686" t="s">
        <v>15</v>
      </c>
      <c r="G1686" t="s">
        <v>22</v>
      </c>
      <c r="H1686" t="s">
        <v>902</v>
      </c>
      <c r="I1686" t="s">
        <v>85</v>
      </c>
      <c r="J1686">
        <v>1</v>
      </c>
      <c r="K1686">
        <v>1350</v>
      </c>
      <c r="L1686">
        <v>1900</v>
      </c>
      <c r="M1686">
        <v>1900</v>
      </c>
      <c r="N1686" t="s">
        <v>19</v>
      </c>
    </row>
    <row r="1687" spans="1:14" x14ac:dyDescent="0.25">
      <c r="A1687" t="s">
        <v>1508</v>
      </c>
      <c r="B1687" t="s">
        <v>2159</v>
      </c>
      <c r="C1687" t="s">
        <v>909</v>
      </c>
      <c r="D1687" t="s">
        <v>20</v>
      </c>
      <c r="E1687" t="s">
        <v>910</v>
      </c>
      <c r="F1687" t="s">
        <v>15</v>
      </c>
      <c r="G1687" t="s">
        <v>22</v>
      </c>
      <c r="H1687" t="s">
        <v>902</v>
      </c>
      <c r="I1687" t="s">
        <v>82</v>
      </c>
      <c r="J1687">
        <v>1</v>
      </c>
      <c r="K1687">
        <v>2200</v>
      </c>
      <c r="L1687">
        <v>3100</v>
      </c>
      <c r="M1687">
        <v>3100</v>
      </c>
      <c r="N1687" t="s">
        <v>19</v>
      </c>
    </row>
    <row r="1688" spans="1:14" x14ac:dyDescent="0.25">
      <c r="A1688" t="s">
        <v>1508</v>
      </c>
      <c r="B1688" t="s">
        <v>2159</v>
      </c>
      <c r="C1688" t="s">
        <v>909</v>
      </c>
      <c r="D1688" t="s">
        <v>20</v>
      </c>
      <c r="E1688" t="s">
        <v>910</v>
      </c>
      <c r="F1688" t="s">
        <v>15</v>
      </c>
      <c r="G1688" t="s">
        <v>22</v>
      </c>
      <c r="H1688" t="s">
        <v>902</v>
      </c>
      <c r="I1688" t="s">
        <v>98</v>
      </c>
      <c r="J1688">
        <v>1</v>
      </c>
      <c r="K1688">
        <v>935</v>
      </c>
      <c r="L1688">
        <v>1300</v>
      </c>
      <c r="M1688">
        <v>1300</v>
      </c>
      <c r="N1688" t="s">
        <v>19</v>
      </c>
    </row>
    <row r="1689" spans="1:14" x14ac:dyDescent="0.25">
      <c r="A1689" t="s">
        <v>1508</v>
      </c>
      <c r="B1689" t="s">
        <v>2159</v>
      </c>
      <c r="C1689" t="s">
        <v>909</v>
      </c>
      <c r="D1689" t="s">
        <v>20</v>
      </c>
      <c r="E1689" t="s">
        <v>910</v>
      </c>
      <c r="F1689" t="s">
        <v>15</v>
      </c>
      <c r="G1689" t="s">
        <v>22</v>
      </c>
      <c r="H1689" t="s">
        <v>902</v>
      </c>
      <c r="I1689" t="s">
        <v>280</v>
      </c>
      <c r="J1689">
        <v>1</v>
      </c>
      <c r="K1689">
        <v>850</v>
      </c>
      <c r="L1689">
        <v>1200</v>
      </c>
      <c r="M1689">
        <v>1200</v>
      </c>
      <c r="N1689" t="s">
        <v>19</v>
      </c>
    </row>
    <row r="1690" spans="1:14" x14ac:dyDescent="0.25">
      <c r="A1690" t="s">
        <v>1542</v>
      </c>
      <c r="B1690" t="s">
        <v>2160</v>
      </c>
      <c r="C1690" t="s">
        <v>470</v>
      </c>
      <c r="D1690" t="s">
        <v>1160</v>
      </c>
      <c r="E1690" t="s">
        <v>1095</v>
      </c>
      <c r="F1690" t="s">
        <v>15</v>
      </c>
      <c r="G1690" t="s">
        <v>37</v>
      </c>
      <c r="H1690" t="s">
        <v>902</v>
      </c>
      <c r="I1690" t="s">
        <v>1161</v>
      </c>
      <c r="J1690">
        <v>1</v>
      </c>
      <c r="K1690">
        <v>970</v>
      </c>
      <c r="L1690">
        <v>1500</v>
      </c>
      <c r="M1690">
        <v>1500</v>
      </c>
      <c r="N1690" t="s">
        <v>19</v>
      </c>
    </row>
    <row r="1691" spans="1:14" x14ac:dyDescent="0.25">
      <c r="A1691" t="s">
        <v>1704</v>
      </c>
      <c r="B1691" t="s">
        <v>2161</v>
      </c>
      <c r="C1691" t="s">
        <v>474</v>
      </c>
      <c r="D1691" t="s">
        <v>1162</v>
      </c>
      <c r="E1691" t="s">
        <v>1151</v>
      </c>
      <c r="F1691" t="s">
        <v>15</v>
      </c>
      <c r="G1691" t="s">
        <v>37</v>
      </c>
      <c r="H1691" t="s">
        <v>902</v>
      </c>
      <c r="I1691" t="s">
        <v>33</v>
      </c>
      <c r="J1691">
        <v>1</v>
      </c>
      <c r="K1691">
        <v>18000</v>
      </c>
      <c r="L1691">
        <v>18000</v>
      </c>
      <c r="M1691">
        <v>18000</v>
      </c>
      <c r="N1691" t="s">
        <v>19</v>
      </c>
    </row>
    <row r="1692" spans="1:14" x14ac:dyDescent="0.25">
      <c r="A1692" t="s">
        <v>1542</v>
      </c>
      <c r="B1692" t="s">
        <v>2162</v>
      </c>
      <c r="C1692" t="s">
        <v>477</v>
      </c>
      <c r="D1692" t="s">
        <v>1160</v>
      </c>
      <c r="E1692" t="s">
        <v>1095</v>
      </c>
      <c r="F1692" t="s">
        <v>15</v>
      </c>
      <c r="G1692" t="s">
        <v>37</v>
      </c>
      <c r="H1692" t="s">
        <v>902</v>
      </c>
      <c r="I1692" t="s">
        <v>1163</v>
      </c>
      <c r="J1692">
        <v>1</v>
      </c>
      <c r="K1692">
        <v>18000</v>
      </c>
      <c r="L1692">
        <v>18000</v>
      </c>
      <c r="M1692">
        <v>18000</v>
      </c>
      <c r="N1692" t="s">
        <v>19</v>
      </c>
    </row>
    <row r="1693" spans="1:14" x14ac:dyDescent="0.25">
      <c r="A1693" t="s">
        <v>1598</v>
      </c>
      <c r="B1693" t="s">
        <v>2163</v>
      </c>
      <c r="C1693" t="s">
        <v>791</v>
      </c>
      <c r="D1693" t="s">
        <v>602</v>
      </c>
      <c r="E1693" t="s">
        <v>603</v>
      </c>
      <c r="F1693" t="s">
        <v>15</v>
      </c>
      <c r="G1693" t="s">
        <v>22</v>
      </c>
      <c r="H1693" t="s">
        <v>792</v>
      </c>
      <c r="I1693" t="s">
        <v>793</v>
      </c>
      <c r="J1693">
        <v>3</v>
      </c>
      <c r="K1693">
        <v>13500</v>
      </c>
      <c r="L1693">
        <v>13500</v>
      </c>
      <c r="M1693">
        <v>40500</v>
      </c>
      <c r="N1693" t="s">
        <v>39</v>
      </c>
    </row>
    <row r="1694" spans="1:14" x14ac:dyDescent="0.25">
      <c r="A1694" t="s">
        <v>1619</v>
      </c>
      <c r="B1694" t="s">
        <v>2164</v>
      </c>
      <c r="C1694" t="s">
        <v>794</v>
      </c>
      <c r="D1694" t="s">
        <v>738</v>
      </c>
      <c r="E1694" t="s">
        <v>738</v>
      </c>
      <c r="F1694" t="s">
        <v>739</v>
      </c>
      <c r="G1694" t="s">
        <v>22</v>
      </c>
      <c r="H1694" t="s">
        <v>792</v>
      </c>
      <c r="I1694" t="s">
        <v>795</v>
      </c>
      <c r="J1694">
        <v>50</v>
      </c>
      <c r="K1694">
        <v>17</v>
      </c>
      <c r="L1694">
        <v>25</v>
      </c>
      <c r="M1694">
        <v>1250</v>
      </c>
      <c r="N1694" t="s">
        <v>39</v>
      </c>
    </row>
    <row r="1695" spans="1:14" x14ac:dyDescent="0.25">
      <c r="A1695" t="s">
        <v>1619</v>
      </c>
      <c r="B1695" t="s">
        <v>2164</v>
      </c>
      <c r="C1695" t="s">
        <v>794</v>
      </c>
      <c r="D1695" t="s">
        <v>738</v>
      </c>
      <c r="E1695" t="s">
        <v>738</v>
      </c>
      <c r="F1695" t="s">
        <v>739</v>
      </c>
      <c r="G1695" t="s">
        <v>22</v>
      </c>
      <c r="H1695" t="s">
        <v>792</v>
      </c>
      <c r="I1695" t="s">
        <v>428</v>
      </c>
      <c r="J1695">
        <v>1</v>
      </c>
      <c r="K1695">
        <v>70</v>
      </c>
      <c r="L1695">
        <v>250</v>
      </c>
      <c r="M1695">
        <v>250</v>
      </c>
      <c r="N1695" t="s">
        <v>39</v>
      </c>
    </row>
    <row r="1696" spans="1:14" x14ac:dyDescent="0.25">
      <c r="A1696" t="s">
        <v>1486</v>
      </c>
      <c r="B1696" t="s">
        <v>2165</v>
      </c>
      <c r="C1696" t="s">
        <v>911</v>
      </c>
      <c r="D1696" t="s">
        <v>20</v>
      </c>
      <c r="E1696" t="s">
        <v>31</v>
      </c>
      <c r="F1696" t="s">
        <v>15</v>
      </c>
      <c r="G1696" t="s">
        <v>22</v>
      </c>
      <c r="H1696" t="s">
        <v>792</v>
      </c>
      <c r="I1696" t="s">
        <v>912</v>
      </c>
      <c r="J1696">
        <v>1</v>
      </c>
      <c r="K1696">
        <v>25000</v>
      </c>
      <c r="L1696">
        <v>25000</v>
      </c>
      <c r="M1696">
        <v>25000</v>
      </c>
      <c r="N1696" t="s">
        <v>19</v>
      </c>
    </row>
    <row r="1697" spans="1:14" x14ac:dyDescent="0.25">
      <c r="A1697" t="s">
        <v>1449</v>
      </c>
      <c r="B1697" t="s">
        <v>2166</v>
      </c>
      <c r="C1697" t="s">
        <v>797</v>
      </c>
      <c r="D1697" t="s">
        <v>646</v>
      </c>
      <c r="E1697" t="s">
        <v>58</v>
      </c>
      <c r="F1697" t="s">
        <v>101</v>
      </c>
      <c r="G1697" t="s">
        <v>37</v>
      </c>
      <c r="H1697" t="s">
        <v>798</v>
      </c>
      <c r="I1697" t="s">
        <v>249</v>
      </c>
      <c r="J1697">
        <v>1</v>
      </c>
      <c r="K1697">
        <v>23450</v>
      </c>
      <c r="L1697">
        <v>31100</v>
      </c>
      <c r="M1697">
        <v>31100</v>
      </c>
      <c r="N1697" t="s">
        <v>39</v>
      </c>
    </row>
    <row r="1698" spans="1:14" x14ac:dyDescent="0.25">
      <c r="A1698" t="s">
        <v>1449</v>
      </c>
      <c r="B1698" t="s">
        <v>2166</v>
      </c>
      <c r="C1698" t="s">
        <v>797</v>
      </c>
      <c r="D1698" t="s">
        <v>646</v>
      </c>
      <c r="E1698" t="s">
        <v>58</v>
      </c>
      <c r="F1698" t="s">
        <v>101</v>
      </c>
      <c r="G1698" t="s">
        <v>37</v>
      </c>
      <c r="H1698" t="s">
        <v>798</v>
      </c>
      <c r="I1698" t="s">
        <v>210</v>
      </c>
      <c r="J1698">
        <v>1</v>
      </c>
      <c r="K1698">
        <v>0</v>
      </c>
      <c r="L1698">
        <v>0</v>
      </c>
      <c r="M1698">
        <v>0</v>
      </c>
      <c r="N1698" t="s">
        <v>39</v>
      </c>
    </row>
    <row r="1699" spans="1:14" x14ac:dyDescent="0.25">
      <c r="A1699" t="s">
        <v>1449</v>
      </c>
      <c r="B1699" t="s">
        <v>2166</v>
      </c>
      <c r="C1699" t="s">
        <v>797</v>
      </c>
      <c r="D1699" t="s">
        <v>646</v>
      </c>
      <c r="E1699" t="s">
        <v>58</v>
      </c>
      <c r="F1699" t="s">
        <v>101</v>
      </c>
      <c r="G1699" t="s">
        <v>37</v>
      </c>
      <c r="H1699" t="s">
        <v>798</v>
      </c>
      <c r="I1699" t="s">
        <v>151</v>
      </c>
      <c r="J1699">
        <v>1</v>
      </c>
      <c r="K1699">
        <v>2800</v>
      </c>
      <c r="L1699">
        <v>4000</v>
      </c>
      <c r="M1699">
        <v>4000</v>
      </c>
      <c r="N1699" t="s">
        <v>39</v>
      </c>
    </row>
    <row r="1700" spans="1:14" x14ac:dyDescent="0.25">
      <c r="A1700" t="s">
        <v>1449</v>
      </c>
      <c r="B1700" t="s">
        <v>2166</v>
      </c>
      <c r="C1700" t="s">
        <v>797</v>
      </c>
      <c r="D1700" t="s">
        <v>646</v>
      </c>
      <c r="E1700" t="s">
        <v>58</v>
      </c>
      <c r="F1700" t="s">
        <v>101</v>
      </c>
      <c r="G1700" t="s">
        <v>37</v>
      </c>
      <c r="H1700" t="s">
        <v>798</v>
      </c>
      <c r="I1700" t="s">
        <v>799</v>
      </c>
      <c r="J1700">
        <v>1</v>
      </c>
      <c r="K1700">
        <v>935</v>
      </c>
      <c r="L1700">
        <v>1500</v>
      </c>
      <c r="M1700">
        <v>1500</v>
      </c>
      <c r="N1700" t="s">
        <v>39</v>
      </c>
    </row>
    <row r="1701" spans="1:14" x14ac:dyDescent="0.25">
      <c r="A1701" t="s">
        <v>1449</v>
      </c>
      <c r="B1701" t="s">
        <v>2166</v>
      </c>
      <c r="C1701" t="s">
        <v>797</v>
      </c>
      <c r="D1701" t="s">
        <v>646</v>
      </c>
      <c r="E1701" t="s">
        <v>58</v>
      </c>
      <c r="F1701" t="s">
        <v>101</v>
      </c>
      <c r="G1701" t="s">
        <v>37</v>
      </c>
      <c r="H1701" t="s">
        <v>798</v>
      </c>
      <c r="I1701" t="s">
        <v>63</v>
      </c>
      <c r="J1701">
        <v>1</v>
      </c>
      <c r="K1701">
        <v>400</v>
      </c>
      <c r="L1701">
        <v>400</v>
      </c>
      <c r="M1701">
        <v>400</v>
      </c>
      <c r="N1701" t="s">
        <v>39</v>
      </c>
    </row>
    <row r="1702" spans="1:14" x14ac:dyDescent="0.25">
      <c r="A1702" t="s">
        <v>1486</v>
      </c>
      <c r="B1702" t="s">
        <v>2167</v>
      </c>
      <c r="C1702" t="s">
        <v>914</v>
      </c>
      <c r="D1702" t="s">
        <v>20</v>
      </c>
      <c r="E1702" t="s">
        <v>31</v>
      </c>
      <c r="F1702" t="s">
        <v>15</v>
      </c>
      <c r="G1702" t="s">
        <v>22</v>
      </c>
      <c r="H1702" t="s">
        <v>798</v>
      </c>
      <c r="I1702" t="s">
        <v>154</v>
      </c>
      <c r="J1702">
        <v>5</v>
      </c>
      <c r="K1702">
        <v>965</v>
      </c>
      <c r="L1702">
        <v>1300</v>
      </c>
      <c r="M1702">
        <v>6500</v>
      </c>
      <c r="N1702" t="s">
        <v>19</v>
      </c>
    </row>
    <row r="1703" spans="1:14" x14ac:dyDescent="0.25">
      <c r="A1703" t="s">
        <v>1699</v>
      </c>
      <c r="B1703" t="s">
        <v>2168</v>
      </c>
      <c r="C1703" t="s">
        <v>800</v>
      </c>
      <c r="D1703" t="s">
        <v>246</v>
      </c>
      <c r="E1703" t="s">
        <v>247</v>
      </c>
      <c r="F1703" t="s">
        <v>15</v>
      </c>
      <c r="G1703" t="s">
        <v>16</v>
      </c>
      <c r="H1703" t="s">
        <v>801</v>
      </c>
      <c r="I1703" t="s">
        <v>642</v>
      </c>
      <c r="J1703">
        <v>2</v>
      </c>
      <c r="K1703">
        <v>7350</v>
      </c>
      <c r="L1703">
        <v>10500</v>
      </c>
      <c r="M1703">
        <v>21000</v>
      </c>
      <c r="N1703" t="s">
        <v>19</v>
      </c>
    </row>
    <row r="1704" spans="1:14" x14ac:dyDescent="0.25">
      <c r="A1704" t="s">
        <v>1699</v>
      </c>
      <c r="B1704" t="s">
        <v>2168</v>
      </c>
      <c r="C1704" t="s">
        <v>800</v>
      </c>
      <c r="D1704" t="s">
        <v>246</v>
      </c>
      <c r="E1704" t="s">
        <v>247</v>
      </c>
      <c r="F1704" t="s">
        <v>15</v>
      </c>
      <c r="G1704" t="s">
        <v>16</v>
      </c>
      <c r="H1704" t="s">
        <v>801</v>
      </c>
      <c r="I1704" t="s">
        <v>48</v>
      </c>
      <c r="J1704">
        <v>2</v>
      </c>
      <c r="K1704">
        <v>10750</v>
      </c>
      <c r="L1704">
        <v>11000</v>
      </c>
      <c r="M1704">
        <v>22000</v>
      </c>
      <c r="N1704" t="s">
        <v>19</v>
      </c>
    </row>
    <row r="1705" spans="1:14" x14ac:dyDescent="0.25">
      <c r="A1705" t="s">
        <v>1699</v>
      </c>
      <c r="B1705" t="s">
        <v>2168</v>
      </c>
      <c r="C1705" t="s">
        <v>800</v>
      </c>
      <c r="D1705" t="s">
        <v>246</v>
      </c>
      <c r="E1705" t="s">
        <v>247</v>
      </c>
      <c r="F1705" t="s">
        <v>15</v>
      </c>
      <c r="G1705" t="s">
        <v>16</v>
      </c>
      <c r="H1705" t="s">
        <v>801</v>
      </c>
      <c r="I1705" t="s">
        <v>126</v>
      </c>
      <c r="J1705">
        <v>2</v>
      </c>
      <c r="K1705">
        <v>10750</v>
      </c>
      <c r="L1705">
        <v>11000</v>
      </c>
      <c r="M1705">
        <v>22000</v>
      </c>
      <c r="N1705" t="s">
        <v>19</v>
      </c>
    </row>
    <row r="1706" spans="1:14" x14ac:dyDescent="0.25">
      <c r="A1706" t="s">
        <v>1699</v>
      </c>
      <c r="B1706" t="s">
        <v>2168</v>
      </c>
      <c r="C1706" t="s">
        <v>800</v>
      </c>
      <c r="D1706" t="s">
        <v>246</v>
      </c>
      <c r="E1706" t="s">
        <v>247</v>
      </c>
      <c r="F1706" t="s">
        <v>15</v>
      </c>
      <c r="G1706" t="s">
        <v>16</v>
      </c>
      <c r="H1706" t="s">
        <v>801</v>
      </c>
      <c r="I1706" t="s">
        <v>50</v>
      </c>
      <c r="J1706">
        <v>2</v>
      </c>
      <c r="K1706">
        <v>500</v>
      </c>
      <c r="L1706">
        <v>500</v>
      </c>
      <c r="M1706">
        <v>1000</v>
      </c>
      <c r="N1706" t="s">
        <v>19</v>
      </c>
    </row>
    <row r="1707" spans="1:14" x14ac:dyDescent="0.25">
      <c r="A1707" t="s">
        <v>1699</v>
      </c>
      <c r="B1707" t="s">
        <v>2168</v>
      </c>
      <c r="C1707" t="s">
        <v>800</v>
      </c>
      <c r="D1707" t="s">
        <v>246</v>
      </c>
      <c r="E1707" t="s">
        <v>247</v>
      </c>
      <c r="F1707" t="s">
        <v>15</v>
      </c>
      <c r="G1707" t="s">
        <v>16</v>
      </c>
      <c r="H1707" t="s">
        <v>801</v>
      </c>
      <c r="I1707" t="s">
        <v>127</v>
      </c>
      <c r="J1707">
        <v>1</v>
      </c>
      <c r="K1707">
        <v>3500</v>
      </c>
      <c r="L1707">
        <v>10000</v>
      </c>
      <c r="M1707">
        <v>10000</v>
      </c>
      <c r="N1707" t="s">
        <v>19</v>
      </c>
    </row>
    <row r="1708" spans="1:14" x14ac:dyDescent="0.25">
      <c r="A1708" t="s">
        <v>1699</v>
      </c>
      <c r="B1708" t="s">
        <v>2168</v>
      </c>
      <c r="C1708" t="s">
        <v>800</v>
      </c>
      <c r="D1708" t="s">
        <v>246</v>
      </c>
      <c r="E1708" t="s">
        <v>247</v>
      </c>
      <c r="F1708" t="s">
        <v>15</v>
      </c>
      <c r="G1708" t="s">
        <v>16</v>
      </c>
      <c r="H1708" t="s">
        <v>801</v>
      </c>
      <c r="I1708" t="s">
        <v>60</v>
      </c>
      <c r="J1708">
        <v>3</v>
      </c>
      <c r="K1708">
        <v>11000</v>
      </c>
      <c r="L1708">
        <v>16500</v>
      </c>
      <c r="M1708">
        <v>49500</v>
      </c>
      <c r="N1708" t="s">
        <v>19</v>
      </c>
    </row>
    <row r="1709" spans="1:14" x14ac:dyDescent="0.25">
      <c r="A1709" t="s">
        <v>1699</v>
      </c>
      <c r="B1709" t="s">
        <v>2168</v>
      </c>
      <c r="C1709" t="s">
        <v>800</v>
      </c>
      <c r="D1709" t="s">
        <v>246</v>
      </c>
      <c r="E1709" t="s">
        <v>247</v>
      </c>
      <c r="F1709" t="s">
        <v>15</v>
      </c>
      <c r="G1709" t="s">
        <v>16</v>
      </c>
      <c r="H1709" t="s">
        <v>801</v>
      </c>
      <c r="I1709" t="s">
        <v>383</v>
      </c>
      <c r="J1709">
        <v>1</v>
      </c>
      <c r="K1709">
        <v>4250</v>
      </c>
      <c r="L1709">
        <v>6000</v>
      </c>
      <c r="M1709">
        <v>6000</v>
      </c>
      <c r="N1709" t="s">
        <v>19</v>
      </c>
    </row>
    <row r="1710" spans="1:14" x14ac:dyDescent="0.25">
      <c r="A1710" t="s">
        <v>1699</v>
      </c>
      <c r="B1710" t="s">
        <v>2168</v>
      </c>
      <c r="C1710" t="s">
        <v>800</v>
      </c>
      <c r="D1710" t="s">
        <v>246</v>
      </c>
      <c r="E1710" t="s">
        <v>247</v>
      </c>
      <c r="F1710" t="s">
        <v>15</v>
      </c>
      <c r="G1710" t="s">
        <v>16</v>
      </c>
      <c r="H1710" t="s">
        <v>801</v>
      </c>
      <c r="I1710" t="s">
        <v>116</v>
      </c>
      <c r="J1710">
        <v>2</v>
      </c>
      <c r="K1710">
        <v>2185</v>
      </c>
      <c r="L1710">
        <v>3000</v>
      </c>
      <c r="M1710">
        <v>6000</v>
      </c>
      <c r="N1710" t="s">
        <v>19</v>
      </c>
    </row>
    <row r="1711" spans="1:14" x14ac:dyDescent="0.25">
      <c r="A1711" t="s">
        <v>1699</v>
      </c>
      <c r="B1711" t="s">
        <v>2168</v>
      </c>
      <c r="C1711" t="s">
        <v>800</v>
      </c>
      <c r="D1711" t="s">
        <v>246</v>
      </c>
      <c r="E1711" t="s">
        <v>247</v>
      </c>
      <c r="F1711" t="s">
        <v>15</v>
      </c>
      <c r="G1711" t="s">
        <v>16</v>
      </c>
      <c r="H1711" t="s">
        <v>801</v>
      </c>
      <c r="I1711" t="s">
        <v>97</v>
      </c>
      <c r="J1711">
        <v>4</v>
      </c>
      <c r="K1711">
        <v>2200</v>
      </c>
      <c r="L1711">
        <v>3500</v>
      </c>
      <c r="M1711">
        <v>14000</v>
      </c>
      <c r="N1711" t="s">
        <v>19</v>
      </c>
    </row>
    <row r="1712" spans="1:14" x14ac:dyDescent="0.25">
      <c r="A1712" t="s">
        <v>1699</v>
      </c>
      <c r="B1712" t="s">
        <v>2168</v>
      </c>
      <c r="C1712" t="s">
        <v>800</v>
      </c>
      <c r="D1712" t="s">
        <v>246</v>
      </c>
      <c r="E1712" t="s">
        <v>247</v>
      </c>
      <c r="F1712" t="s">
        <v>15</v>
      </c>
      <c r="G1712" t="s">
        <v>16</v>
      </c>
      <c r="H1712" t="s">
        <v>801</v>
      </c>
      <c r="I1712" t="s">
        <v>129</v>
      </c>
      <c r="J1712">
        <v>1</v>
      </c>
      <c r="K1712">
        <v>5740.5</v>
      </c>
      <c r="L1712">
        <v>8000</v>
      </c>
      <c r="M1712">
        <v>8000</v>
      </c>
      <c r="N1712" t="s">
        <v>19</v>
      </c>
    </row>
    <row r="1713" spans="1:14" x14ac:dyDescent="0.25">
      <c r="A1713" t="s">
        <v>1699</v>
      </c>
      <c r="B1713" t="s">
        <v>2168</v>
      </c>
      <c r="C1713" t="s">
        <v>800</v>
      </c>
      <c r="D1713" t="s">
        <v>246</v>
      </c>
      <c r="E1713" t="s">
        <v>247</v>
      </c>
      <c r="F1713" t="s">
        <v>15</v>
      </c>
      <c r="G1713" t="s">
        <v>16</v>
      </c>
      <c r="H1713" t="s">
        <v>801</v>
      </c>
      <c r="I1713" t="s">
        <v>248</v>
      </c>
      <c r="J1713">
        <v>2</v>
      </c>
      <c r="K1713">
        <v>8500</v>
      </c>
      <c r="L1713">
        <v>12000</v>
      </c>
      <c r="M1713">
        <v>24000</v>
      </c>
      <c r="N1713" t="s">
        <v>19</v>
      </c>
    </row>
    <row r="1714" spans="1:14" x14ac:dyDescent="0.25">
      <c r="A1714" t="s">
        <v>1699</v>
      </c>
      <c r="B1714" t="s">
        <v>2168</v>
      </c>
      <c r="C1714" t="s">
        <v>800</v>
      </c>
      <c r="D1714" t="s">
        <v>246</v>
      </c>
      <c r="E1714" t="s">
        <v>247</v>
      </c>
      <c r="F1714" t="s">
        <v>15</v>
      </c>
      <c r="G1714" t="s">
        <v>16</v>
      </c>
      <c r="H1714" t="s">
        <v>801</v>
      </c>
      <c r="I1714" t="s">
        <v>384</v>
      </c>
      <c r="J1714">
        <v>1</v>
      </c>
      <c r="K1714">
        <v>8500</v>
      </c>
      <c r="L1714">
        <v>12000</v>
      </c>
      <c r="M1714">
        <v>12000</v>
      </c>
      <c r="N1714" t="s">
        <v>19</v>
      </c>
    </row>
    <row r="1715" spans="1:14" x14ac:dyDescent="0.25">
      <c r="A1715" t="s">
        <v>1699</v>
      </c>
      <c r="B1715" t="s">
        <v>2168</v>
      </c>
      <c r="C1715" t="s">
        <v>800</v>
      </c>
      <c r="D1715" t="s">
        <v>246</v>
      </c>
      <c r="E1715" t="s">
        <v>247</v>
      </c>
      <c r="F1715" t="s">
        <v>15</v>
      </c>
      <c r="G1715" t="s">
        <v>16</v>
      </c>
      <c r="H1715" t="s">
        <v>801</v>
      </c>
      <c r="I1715" t="s">
        <v>249</v>
      </c>
      <c r="J1715">
        <v>4</v>
      </c>
      <c r="K1715">
        <v>21500</v>
      </c>
      <c r="L1715">
        <v>31075</v>
      </c>
      <c r="M1715">
        <v>124300</v>
      </c>
      <c r="N1715" t="s">
        <v>19</v>
      </c>
    </row>
    <row r="1716" spans="1:14" x14ac:dyDescent="0.25">
      <c r="A1716" t="s">
        <v>1533</v>
      </c>
      <c r="B1716" t="s">
        <v>2169</v>
      </c>
      <c r="C1716" t="s">
        <v>481</v>
      </c>
      <c r="D1716" t="s">
        <v>1164</v>
      </c>
      <c r="E1716" t="s">
        <v>1165</v>
      </c>
      <c r="F1716" t="s">
        <v>15</v>
      </c>
      <c r="G1716" t="s">
        <v>37</v>
      </c>
      <c r="H1716" t="s">
        <v>1166</v>
      </c>
      <c r="I1716" t="s">
        <v>1167</v>
      </c>
      <c r="J1716">
        <v>1</v>
      </c>
      <c r="K1716">
        <v>18000</v>
      </c>
      <c r="L1716">
        <v>18000</v>
      </c>
      <c r="M1716">
        <v>18000</v>
      </c>
      <c r="N1716" t="s">
        <v>19</v>
      </c>
    </row>
    <row r="1717" spans="1:14" x14ac:dyDescent="0.25">
      <c r="A1717" t="s">
        <v>1650</v>
      </c>
      <c r="B1717" t="s">
        <v>2170</v>
      </c>
      <c r="C1717" t="s">
        <v>802</v>
      </c>
      <c r="D1717" t="s">
        <v>763</v>
      </c>
      <c r="E1717" t="s">
        <v>764</v>
      </c>
      <c r="F1717" t="s">
        <v>803</v>
      </c>
      <c r="G1717" t="s">
        <v>16</v>
      </c>
      <c r="H1717" t="s">
        <v>804</v>
      </c>
      <c r="I1717" t="s">
        <v>687</v>
      </c>
      <c r="J1717">
        <v>1</v>
      </c>
      <c r="K1717">
        <v>3675</v>
      </c>
      <c r="L1717">
        <v>10500</v>
      </c>
      <c r="M1717">
        <v>10500</v>
      </c>
      <c r="N1717" t="s">
        <v>39</v>
      </c>
    </row>
    <row r="1718" spans="1:14" x14ac:dyDescent="0.25">
      <c r="A1718" t="s">
        <v>1650</v>
      </c>
      <c r="B1718" t="s">
        <v>2170</v>
      </c>
      <c r="C1718" t="s">
        <v>802</v>
      </c>
      <c r="D1718" t="s">
        <v>763</v>
      </c>
      <c r="E1718" t="s">
        <v>764</v>
      </c>
      <c r="F1718" t="s">
        <v>803</v>
      </c>
      <c r="G1718" t="s">
        <v>16</v>
      </c>
      <c r="H1718" t="s">
        <v>804</v>
      </c>
      <c r="I1718" t="s">
        <v>48</v>
      </c>
      <c r="J1718">
        <v>1</v>
      </c>
      <c r="K1718">
        <v>7700</v>
      </c>
      <c r="L1718">
        <v>22000</v>
      </c>
      <c r="M1718">
        <v>22000</v>
      </c>
      <c r="N1718" t="s">
        <v>39</v>
      </c>
    </row>
    <row r="1719" spans="1:14" x14ac:dyDescent="0.25">
      <c r="A1719" t="s">
        <v>1650</v>
      </c>
      <c r="B1719" t="s">
        <v>2170</v>
      </c>
      <c r="C1719" t="s">
        <v>802</v>
      </c>
      <c r="D1719" t="s">
        <v>763</v>
      </c>
      <c r="E1719" t="s">
        <v>764</v>
      </c>
      <c r="F1719" t="s">
        <v>803</v>
      </c>
      <c r="G1719" t="s">
        <v>16</v>
      </c>
      <c r="H1719" t="s">
        <v>804</v>
      </c>
      <c r="I1719" t="s">
        <v>126</v>
      </c>
      <c r="J1719">
        <v>1</v>
      </c>
      <c r="K1719">
        <v>7700</v>
      </c>
      <c r="L1719">
        <v>22000</v>
      </c>
      <c r="M1719">
        <v>22000</v>
      </c>
      <c r="N1719" t="s">
        <v>39</v>
      </c>
    </row>
    <row r="1720" spans="1:14" x14ac:dyDescent="0.25">
      <c r="A1720" t="s">
        <v>1650</v>
      </c>
      <c r="B1720" t="s">
        <v>2170</v>
      </c>
      <c r="C1720" t="s">
        <v>802</v>
      </c>
      <c r="D1720" t="s">
        <v>763</v>
      </c>
      <c r="E1720" t="s">
        <v>764</v>
      </c>
      <c r="F1720" t="s">
        <v>803</v>
      </c>
      <c r="G1720" t="s">
        <v>16</v>
      </c>
      <c r="H1720" t="s">
        <v>804</v>
      </c>
      <c r="I1720" t="s">
        <v>26</v>
      </c>
      <c r="J1720">
        <v>1</v>
      </c>
      <c r="K1720">
        <v>500</v>
      </c>
      <c r="L1720">
        <v>500</v>
      </c>
      <c r="M1720">
        <v>500</v>
      </c>
      <c r="N1720" t="s">
        <v>39</v>
      </c>
    </row>
    <row r="1721" spans="1:14" x14ac:dyDescent="0.25">
      <c r="A1721" t="s">
        <v>1650</v>
      </c>
      <c r="B1721" t="s">
        <v>2170</v>
      </c>
      <c r="C1721" t="s">
        <v>802</v>
      </c>
      <c r="D1721" t="s">
        <v>763</v>
      </c>
      <c r="E1721" t="s">
        <v>764</v>
      </c>
      <c r="F1721" t="s">
        <v>803</v>
      </c>
      <c r="G1721" t="s">
        <v>16</v>
      </c>
      <c r="H1721" t="s">
        <v>804</v>
      </c>
      <c r="I1721" t="s">
        <v>97</v>
      </c>
      <c r="J1721">
        <v>1</v>
      </c>
      <c r="K1721">
        <v>2200</v>
      </c>
      <c r="L1721">
        <v>3500</v>
      </c>
      <c r="M1721">
        <v>3500</v>
      </c>
      <c r="N1721" t="s">
        <v>39</v>
      </c>
    </row>
    <row r="1722" spans="1:14" x14ac:dyDescent="0.25">
      <c r="A1722" t="s">
        <v>1650</v>
      </c>
      <c r="B1722" t="s">
        <v>2170</v>
      </c>
      <c r="C1722" t="s">
        <v>802</v>
      </c>
      <c r="D1722" t="s">
        <v>763</v>
      </c>
      <c r="E1722" t="s">
        <v>764</v>
      </c>
      <c r="F1722" t="s">
        <v>803</v>
      </c>
      <c r="G1722" t="s">
        <v>16</v>
      </c>
      <c r="H1722" t="s">
        <v>804</v>
      </c>
      <c r="I1722" t="s">
        <v>93</v>
      </c>
      <c r="J1722">
        <v>1</v>
      </c>
      <c r="K1722">
        <v>11000</v>
      </c>
      <c r="L1722">
        <v>16500</v>
      </c>
      <c r="M1722">
        <v>16500</v>
      </c>
      <c r="N1722" t="s">
        <v>39</v>
      </c>
    </row>
    <row r="1723" spans="1:14" x14ac:dyDescent="0.25">
      <c r="A1723" t="s">
        <v>1650</v>
      </c>
      <c r="B1723" t="s">
        <v>2170</v>
      </c>
      <c r="C1723" t="s">
        <v>802</v>
      </c>
      <c r="D1723" t="s">
        <v>763</v>
      </c>
      <c r="E1723" t="s">
        <v>764</v>
      </c>
      <c r="F1723" t="s">
        <v>803</v>
      </c>
      <c r="G1723" t="s">
        <v>16</v>
      </c>
      <c r="H1723" t="s">
        <v>804</v>
      </c>
      <c r="I1723" t="s">
        <v>116</v>
      </c>
      <c r="J1723">
        <v>1</v>
      </c>
      <c r="K1723">
        <v>2185</v>
      </c>
      <c r="L1723">
        <v>3500</v>
      </c>
      <c r="M1723">
        <v>3500</v>
      </c>
      <c r="N1723" t="s">
        <v>39</v>
      </c>
    </row>
    <row r="1724" spans="1:14" x14ac:dyDescent="0.25">
      <c r="A1724" t="s">
        <v>1650</v>
      </c>
      <c r="B1724" t="s">
        <v>2170</v>
      </c>
      <c r="C1724" t="s">
        <v>802</v>
      </c>
      <c r="D1724" t="s">
        <v>763</v>
      </c>
      <c r="E1724" t="s">
        <v>764</v>
      </c>
      <c r="F1724" t="s">
        <v>803</v>
      </c>
      <c r="G1724" t="s">
        <v>16</v>
      </c>
      <c r="H1724" t="s">
        <v>804</v>
      </c>
      <c r="I1724" t="s">
        <v>177</v>
      </c>
      <c r="J1724">
        <v>1</v>
      </c>
      <c r="K1724">
        <v>9500</v>
      </c>
      <c r="L1724">
        <v>13500</v>
      </c>
      <c r="M1724">
        <v>13500</v>
      </c>
      <c r="N1724" t="s">
        <v>39</v>
      </c>
    </row>
    <row r="1725" spans="1:14" x14ac:dyDescent="0.25">
      <c r="A1725" t="s">
        <v>1650</v>
      </c>
      <c r="B1725" t="s">
        <v>2170</v>
      </c>
      <c r="C1725" t="s">
        <v>802</v>
      </c>
      <c r="D1725" t="s">
        <v>763</v>
      </c>
      <c r="E1725" t="s">
        <v>764</v>
      </c>
      <c r="F1725" t="s">
        <v>803</v>
      </c>
      <c r="G1725" t="s">
        <v>16</v>
      </c>
      <c r="H1725" t="s">
        <v>804</v>
      </c>
      <c r="I1725" t="s">
        <v>249</v>
      </c>
      <c r="J1725">
        <v>1</v>
      </c>
      <c r="K1725">
        <v>23450</v>
      </c>
      <c r="L1725">
        <v>33900</v>
      </c>
      <c r="M1725">
        <v>33900</v>
      </c>
      <c r="N1725" t="s">
        <v>39</v>
      </c>
    </row>
    <row r="1726" spans="1:14" x14ac:dyDescent="0.25">
      <c r="A1726" t="s">
        <v>1650</v>
      </c>
      <c r="B1726" t="s">
        <v>2170</v>
      </c>
      <c r="C1726" t="s">
        <v>802</v>
      </c>
      <c r="D1726" t="s">
        <v>763</v>
      </c>
      <c r="E1726" t="s">
        <v>764</v>
      </c>
      <c r="F1726" t="s">
        <v>803</v>
      </c>
      <c r="G1726" t="s">
        <v>16</v>
      </c>
      <c r="H1726" t="s">
        <v>804</v>
      </c>
      <c r="I1726" t="s">
        <v>210</v>
      </c>
      <c r="J1726">
        <v>1</v>
      </c>
      <c r="K1726">
        <v>0</v>
      </c>
      <c r="L1726">
        <v>0</v>
      </c>
      <c r="M1726">
        <v>0</v>
      </c>
      <c r="N1726" t="s">
        <v>39</v>
      </c>
    </row>
    <row r="1727" spans="1:14" x14ac:dyDescent="0.25">
      <c r="A1727" t="s">
        <v>1650</v>
      </c>
      <c r="B1727" t="s">
        <v>2170</v>
      </c>
      <c r="C1727" t="s">
        <v>802</v>
      </c>
      <c r="D1727" t="s">
        <v>763</v>
      </c>
      <c r="E1727" t="s">
        <v>764</v>
      </c>
      <c r="F1727" t="s">
        <v>803</v>
      </c>
      <c r="G1727" t="s">
        <v>16</v>
      </c>
      <c r="H1727" t="s">
        <v>804</v>
      </c>
      <c r="I1727" t="s">
        <v>151</v>
      </c>
      <c r="J1727">
        <v>1</v>
      </c>
      <c r="K1727">
        <v>2800</v>
      </c>
      <c r="L1727">
        <v>4000</v>
      </c>
      <c r="M1727">
        <v>4000</v>
      </c>
      <c r="N1727" t="s">
        <v>39</v>
      </c>
    </row>
    <row r="1728" spans="1:14" x14ac:dyDescent="0.25">
      <c r="A1728" t="s">
        <v>1650</v>
      </c>
      <c r="B1728" t="s">
        <v>2170</v>
      </c>
      <c r="C1728" t="s">
        <v>802</v>
      </c>
      <c r="D1728" t="s">
        <v>763</v>
      </c>
      <c r="E1728" t="s">
        <v>764</v>
      </c>
      <c r="F1728" t="s">
        <v>803</v>
      </c>
      <c r="G1728" t="s">
        <v>16</v>
      </c>
      <c r="H1728" t="s">
        <v>804</v>
      </c>
      <c r="I1728" t="s">
        <v>63</v>
      </c>
      <c r="J1728">
        <v>1</v>
      </c>
      <c r="K1728">
        <v>600</v>
      </c>
      <c r="L1728">
        <v>600</v>
      </c>
      <c r="M1728">
        <v>600</v>
      </c>
      <c r="N1728" t="s">
        <v>39</v>
      </c>
    </row>
    <row r="1729" spans="1:14" x14ac:dyDescent="0.25">
      <c r="A1729" t="s">
        <v>1454</v>
      </c>
      <c r="B1729" t="s">
        <v>2171</v>
      </c>
      <c r="C1729" t="s">
        <v>805</v>
      </c>
      <c r="D1729" t="s">
        <v>806</v>
      </c>
      <c r="E1729" t="s">
        <v>807</v>
      </c>
      <c r="F1729" t="s">
        <v>808</v>
      </c>
      <c r="G1729" t="s">
        <v>22</v>
      </c>
      <c r="H1729" t="s">
        <v>804</v>
      </c>
      <c r="I1729" t="s">
        <v>512</v>
      </c>
      <c r="J1729">
        <v>1</v>
      </c>
      <c r="K1729">
        <v>2975</v>
      </c>
      <c r="L1729">
        <v>8500</v>
      </c>
      <c r="M1729">
        <v>8500</v>
      </c>
      <c r="N1729" t="s">
        <v>39</v>
      </c>
    </row>
    <row r="1730" spans="1:14" x14ac:dyDescent="0.25">
      <c r="A1730" t="s">
        <v>1454</v>
      </c>
      <c r="B1730" t="s">
        <v>2171</v>
      </c>
      <c r="C1730" t="s">
        <v>805</v>
      </c>
      <c r="D1730" t="s">
        <v>806</v>
      </c>
      <c r="E1730" t="s">
        <v>807</v>
      </c>
      <c r="F1730" t="s">
        <v>808</v>
      </c>
      <c r="G1730" t="s">
        <v>22</v>
      </c>
      <c r="H1730" t="s">
        <v>804</v>
      </c>
      <c r="I1730" t="s">
        <v>48</v>
      </c>
      <c r="J1730">
        <v>1</v>
      </c>
      <c r="K1730">
        <v>2800</v>
      </c>
      <c r="L1730">
        <v>8000</v>
      </c>
      <c r="M1730">
        <v>8000</v>
      </c>
      <c r="N1730" t="s">
        <v>39</v>
      </c>
    </row>
    <row r="1731" spans="1:14" x14ac:dyDescent="0.25">
      <c r="A1731" t="s">
        <v>1454</v>
      </c>
      <c r="B1731" t="s">
        <v>2171</v>
      </c>
      <c r="C1731" t="s">
        <v>805</v>
      </c>
      <c r="D1731" t="s">
        <v>806</v>
      </c>
      <c r="E1731" t="s">
        <v>807</v>
      </c>
      <c r="F1731" t="s">
        <v>808</v>
      </c>
      <c r="G1731" t="s">
        <v>22</v>
      </c>
      <c r="H1731" t="s">
        <v>804</v>
      </c>
      <c r="I1731" t="s">
        <v>24</v>
      </c>
      <c r="J1731">
        <v>1</v>
      </c>
      <c r="K1731">
        <v>2800</v>
      </c>
      <c r="L1731">
        <v>8000</v>
      </c>
      <c r="M1731">
        <v>8000</v>
      </c>
      <c r="N1731" t="s">
        <v>39</v>
      </c>
    </row>
    <row r="1732" spans="1:14" x14ac:dyDescent="0.25">
      <c r="A1732" t="s">
        <v>1454</v>
      </c>
      <c r="B1732" t="s">
        <v>2171</v>
      </c>
      <c r="C1732" t="s">
        <v>805</v>
      </c>
      <c r="D1732" t="s">
        <v>806</v>
      </c>
      <c r="E1732" t="s">
        <v>807</v>
      </c>
      <c r="F1732" t="s">
        <v>808</v>
      </c>
      <c r="G1732" t="s">
        <v>22</v>
      </c>
      <c r="H1732" t="s">
        <v>804</v>
      </c>
      <c r="I1732" t="s">
        <v>26</v>
      </c>
      <c r="J1732">
        <v>1</v>
      </c>
      <c r="K1732">
        <v>500</v>
      </c>
      <c r="L1732">
        <v>500</v>
      </c>
      <c r="M1732">
        <v>500</v>
      </c>
      <c r="N1732" t="s">
        <v>39</v>
      </c>
    </row>
    <row r="1733" spans="1:14" x14ac:dyDescent="0.25">
      <c r="A1733" t="s">
        <v>1454</v>
      </c>
      <c r="B1733" t="s">
        <v>2171</v>
      </c>
      <c r="C1733" t="s">
        <v>805</v>
      </c>
      <c r="D1733" t="s">
        <v>806</v>
      </c>
      <c r="E1733" t="s">
        <v>807</v>
      </c>
      <c r="F1733" t="s">
        <v>808</v>
      </c>
      <c r="G1733" t="s">
        <v>22</v>
      </c>
      <c r="H1733" t="s">
        <v>804</v>
      </c>
      <c r="I1733" t="s">
        <v>383</v>
      </c>
      <c r="J1733">
        <v>1</v>
      </c>
      <c r="K1733">
        <v>3195</v>
      </c>
      <c r="L1733">
        <v>7000</v>
      </c>
      <c r="M1733">
        <v>7000</v>
      </c>
      <c r="N1733" t="s">
        <v>39</v>
      </c>
    </row>
    <row r="1734" spans="1:14" x14ac:dyDescent="0.25">
      <c r="A1734" t="s">
        <v>1454</v>
      </c>
      <c r="B1734" t="s">
        <v>2171</v>
      </c>
      <c r="C1734" t="s">
        <v>805</v>
      </c>
      <c r="D1734" t="s">
        <v>806</v>
      </c>
      <c r="E1734" t="s">
        <v>807</v>
      </c>
      <c r="F1734" t="s">
        <v>808</v>
      </c>
      <c r="G1734" t="s">
        <v>22</v>
      </c>
      <c r="H1734" t="s">
        <v>804</v>
      </c>
      <c r="I1734" t="s">
        <v>338</v>
      </c>
      <c r="J1734">
        <v>1</v>
      </c>
      <c r="K1734">
        <v>8500</v>
      </c>
      <c r="L1734">
        <v>12500</v>
      </c>
      <c r="M1734">
        <v>12500</v>
      </c>
      <c r="N1734" t="s">
        <v>39</v>
      </c>
    </row>
    <row r="1735" spans="1:14" x14ac:dyDescent="0.25">
      <c r="A1735" t="s">
        <v>1454</v>
      </c>
      <c r="B1735" t="s">
        <v>2171</v>
      </c>
      <c r="C1735" t="s">
        <v>805</v>
      </c>
      <c r="D1735" t="s">
        <v>806</v>
      </c>
      <c r="E1735" t="s">
        <v>807</v>
      </c>
      <c r="F1735" t="s">
        <v>808</v>
      </c>
      <c r="G1735" t="s">
        <v>22</v>
      </c>
      <c r="H1735" t="s">
        <v>804</v>
      </c>
      <c r="I1735" t="s">
        <v>116</v>
      </c>
      <c r="J1735">
        <v>1</v>
      </c>
      <c r="K1735">
        <v>2185</v>
      </c>
      <c r="L1735">
        <v>3500</v>
      </c>
      <c r="M1735">
        <v>3500</v>
      </c>
      <c r="N1735" t="s">
        <v>39</v>
      </c>
    </row>
    <row r="1736" spans="1:14" x14ac:dyDescent="0.25">
      <c r="A1736" t="s">
        <v>1454</v>
      </c>
      <c r="B1736" t="s">
        <v>2171</v>
      </c>
      <c r="C1736" t="s">
        <v>805</v>
      </c>
      <c r="D1736" t="s">
        <v>806</v>
      </c>
      <c r="E1736" t="s">
        <v>807</v>
      </c>
      <c r="F1736" t="s">
        <v>808</v>
      </c>
      <c r="G1736" t="s">
        <v>22</v>
      </c>
      <c r="H1736" t="s">
        <v>804</v>
      </c>
      <c r="I1736" t="s">
        <v>809</v>
      </c>
      <c r="J1736">
        <v>1</v>
      </c>
      <c r="K1736">
        <v>23450</v>
      </c>
      <c r="L1736">
        <v>30800</v>
      </c>
      <c r="M1736">
        <v>30800</v>
      </c>
      <c r="N1736" t="s">
        <v>39</v>
      </c>
    </row>
    <row r="1737" spans="1:14" x14ac:dyDescent="0.25">
      <c r="A1737" t="s">
        <v>1454</v>
      </c>
      <c r="B1737" t="s">
        <v>2171</v>
      </c>
      <c r="C1737" t="s">
        <v>805</v>
      </c>
      <c r="D1737" t="s">
        <v>806</v>
      </c>
      <c r="E1737" t="s">
        <v>807</v>
      </c>
      <c r="F1737" t="s">
        <v>808</v>
      </c>
      <c r="G1737" t="s">
        <v>22</v>
      </c>
      <c r="H1737" t="s">
        <v>804</v>
      </c>
      <c r="I1737" t="s">
        <v>151</v>
      </c>
      <c r="J1737">
        <v>1</v>
      </c>
      <c r="K1737">
        <v>2000</v>
      </c>
      <c r="L1737">
        <v>4000</v>
      </c>
      <c r="M1737">
        <v>4000</v>
      </c>
      <c r="N1737" t="s">
        <v>39</v>
      </c>
    </row>
    <row r="1738" spans="1:14" x14ac:dyDescent="0.25">
      <c r="A1738" t="s">
        <v>1454</v>
      </c>
      <c r="B1738" t="s">
        <v>2171</v>
      </c>
      <c r="C1738" t="s">
        <v>805</v>
      </c>
      <c r="D1738" t="s">
        <v>806</v>
      </c>
      <c r="E1738" t="s">
        <v>807</v>
      </c>
      <c r="F1738" t="s">
        <v>808</v>
      </c>
      <c r="G1738" t="s">
        <v>22</v>
      </c>
      <c r="H1738" t="s">
        <v>804</v>
      </c>
      <c r="I1738" t="s">
        <v>210</v>
      </c>
      <c r="J1738">
        <v>1</v>
      </c>
      <c r="K1738">
        <v>530</v>
      </c>
      <c r="L1738">
        <v>700</v>
      </c>
      <c r="M1738">
        <v>700</v>
      </c>
      <c r="N1738" t="s">
        <v>39</v>
      </c>
    </row>
    <row r="1739" spans="1:14" x14ac:dyDescent="0.25">
      <c r="A1739" t="s">
        <v>1454</v>
      </c>
      <c r="B1739" t="s">
        <v>2171</v>
      </c>
      <c r="C1739" t="s">
        <v>805</v>
      </c>
      <c r="D1739" t="s">
        <v>806</v>
      </c>
      <c r="E1739" t="s">
        <v>807</v>
      </c>
      <c r="F1739" t="s">
        <v>808</v>
      </c>
      <c r="G1739" t="s">
        <v>22</v>
      </c>
      <c r="H1739" t="s">
        <v>804</v>
      </c>
      <c r="I1739" t="s">
        <v>211</v>
      </c>
      <c r="J1739">
        <v>1</v>
      </c>
      <c r="K1739">
        <v>350</v>
      </c>
      <c r="L1739">
        <v>500</v>
      </c>
      <c r="M1739">
        <v>500</v>
      </c>
      <c r="N1739" t="s">
        <v>39</v>
      </c>
    </row>
    <row r="1740" spans="1:14" x14ac:dyDescent="0.25">
      <c r="A1740" t="s">
        <v>1511</v>
      </c>
      <c r="B1740" t="s">
        <v>2172</v>
      </c>
      <c r="C1740" t="s">
        <v>916</v>
      </c>
      <c r="D1740" t="s">
        <v>20</v>
      </c>
      <c r="E1740" t="s">
        <v>623</v>
      </c>
      <c r="F1740" t="s">
        <v>15</v>
      </c>
      <c r="G1740" t="s">
        <v>22</v>
      </c>
      <c r="H1740" t="s">
        <v>804</v>
      </c>
      <c r="I1740" t="s">
        <v>23</v>
      </c>
      <c r="J1740">
        <v>1</v>
      </c>
      <c r="K1740">
        <v>2975</v>
      </c>
      <c r="L1740">
        <v>8500</v>
      </c>
      <c r="M1740">
        <v>8500</v>
      </c>
      <c r="N1740" t="s">
        <v>19</v>
      </c>
    </row>
    <row r="1741" spans="1:14" x14ac:dyDescent="0.25">
      <c r="A1741" t="s">
        <v>1511</v>
      </c>
      <c r="B1741" t="s">
        <v>2172</v>
      </c>
      <c r="C1741" t="s">
        <v>916</v>
      </c>
      <c r="D1741" t="s">
        <v>20</v>
      </c>
      <c r="E1741" t="s">
        <v>623</v>
      </c>
      <c r="F1741" t="s">
        <v>15</v>
      </c>
      <c r="G1741" t="s">
        <v>22</v>
      </c>
      <c r="H1741" t="s">
        <v>804</v>
      </c>
      <c r="I1741" t="s">
        <v>170</v>
      </c>
      <c r="J1741">
        <v>1</v>
      </c>
      <c r="K1741">
        <v>14000</v>
      </c>
      <c r="L1741">
        <v>14000</v>
      </c>
      <c r="M1741">
        <v>14000</v>
      </c>
      <c r="N1741" t="s">
        <v>19</v>
      </c>
    </row>
    <row r="1742" spans="1:14" x14ac:dyDescent="0.25">
      <c r="A1742" t="s">
        <v>1511</v>
      </c>
      <c r="B1742" t="s">
        <v>2172</v>
      </c>
      <c r="C1742" t="s">
        <v>916</v>
      </c>
      <c r="D1742" t="s">
        <v>20</v>
      </c>
      <c r="E1742" t="s">
        <v>623</v>
      </c>
      <c r="F1742" t="s">
        <v>15</v>
      </c>
      <c r="G1742" t="s">
        <v>22</v>
      </c>
      <c r="H1742" t="s">
        <v>804</v>
      </c>
      <c r="I1742" t="s">
        <v>24</v>
      </c>
      <c r="J1742">
        <v>1</v>
      </c>
      <c r="K1742">
        <v>14000</v>
      </c>
      <c r="L1742">
        <v>14000</v>
      </c>
      <c r="M1742">
        <v>14000</v>
      </c>
      <c r="N1742" t="s">
        <v>19</v>
      </c>
    </row>
    <row r="1743" spans="1:14" x14ac:dyDescent="0.25">
      <c r="A1743" t="s">
        <v>1511</v>
      </c>
      <c r="B1743" t="s">
        <v>2172</v>
      </c>
      <c r="C1743" t="s">
        <v>916</v>
      </c>
      <c r="D1743" t="s">
        <v>20</v>
      </c>
      <c r="E1743" t="s">
        <v>623</v>
      </c>
      <c r="F1743" t="s">
        <v>15</v>
      </c>
      <c r="G1743" t="s">
        <v>22</v>
      </c>
      <c r="H1743" t="s">
        <v>804</v>
      </c>
      <c r="I1743" t="s">
        <v>26</v>
      </c>
      <c r="J1743">
        <v>1</v>
      </c>
      <c r="K1743">
        <v>500</v>
      </c>
      <c r="L1743">
        <v>0</v>
      </c>
      <c r="M1743">
        <v>0</v>
      </c>
      <c r="N1743" t="s">
        <v>19</v>
      </c>
    </row>
    <row r="1744" spans="1:14" x14ac:dyDescent="0.25">
      <c r="A1744" t="s">
        <v>1511</v>
      </c>
      <c r="B1744" t="s">
        <v>2172</v>
      </c>
      <c r="C1744" t="s">
        <v>916</v>
      </c>
      <c r="D1744" t="s">
        <v>20</v>
      </c>
      <c r="E1744" t="s">
        <v>623</v>
      </c>
      <c r="F1744" t="s">
        <v>15</v>
      </c>
      <c r="G1744" t="s">
        <v>22</v>
      </c>
      <c r="H1744" t="s">
        <v>804</v>
      </c>
      <c r="I1744" t="s">
        <v>93</v>
      </c>
      <c r="J1744">
        <v>1</v>
      </c>
      <c r="K1744">
        <v>11000</v>
      </c>
      <c r="L1744">
        <v>0</v>
      </c>
      <c r="M1744">
        <v>0</v>
      </c>
      <c r="N1744" t="s">
        <v>19</v>
      </c>
    </row>
    <row r="1745" spans="1:14" x14ac:dyDescent="0.25">
      <c r="A1745" t="s">
        <v>1511</v>
      </c>
      <c r="B1745" t="s">
        <v>2172</v>
      </c>
      <c r="C1745" t="s">
        <v>916</v>
      </c>
      <c r="D1745" t="s">
        <v>20</v>
      </c>
      <c r="E1745" t="s">
        <v>623</v>
      </c>
      <c r="F1745" t="s">
        <v>15</v>
      </c>
      <c r="G1745" t="s">
        <v>22</v>
      </c>
      <c r="H1745" t="s">
        <v>804</v>
      </c>
      <c r="I1745" t="s">
        <v>338</v>
      </c>
      <c r="J1745">
        <v>1</v>
      </c>
      <c r="K1745">
        <v>8500</v>
      </c>
      <c r="L1745">
        <v>12100</v>
      </c>
      <c r="M1745">
        <v>12100</v>
      </c>
      <c r="N1745" t="s">
        <v>19</v>
      </c>
    </row>
    <row r="1746" spans="1:14" x14ac:dyDescent="0.25">
      <c r="A1746" t="s">
        <v>1511</v>
      </c>
      <c r="B1746" t="s">
        <v>2172</v>
      </c>
      <c r="C1746" t="s">
        <v>916</v>
      </c>
      <c r="D1746" t="s">
        <v>20</v>
      </c>
      <c r="E1746" t="s">
        <v>623</v>
      </c>
      <c r="F1746" t="s">
        <v>15</v>
      </c>
      <c r="G1746" t="s">
        <v>22</v>
      </c>
      <c r="H1746" t="s">
        <v>804</v>
      </c>
      <c r="I1746" t="s">
        <v>85</v>
      </c>
      <c r="J1746">
        <v>1</v>
      </c>
      <c r="K1746">
        <v>1350</v>
      </c>
      <c r="L1746">
        <v>0</v>
      </c>
      <c r="M1746">
        <v>0</v>
      </c>
      <c r="N1746" t="s">
        <v>19</v>
      </c>
    </row>
    <row r="1747" spans="1:14" x14ac:dyDescent="0.25">
      <c r="A1747" t="s">
        <v>1511</v>
      </c>
      <c r="B1747" t="s">
        <v>2172</v>
      </c>
      <c r="C1747" t="s">
        <v>916</v>
      </c>
      <c r="D1747" t="s">
        <v>20</v>
      </c>
      <c r="E1747" t="s">
        <v>623</v>
      </c>
      <c r="F1747" t="s">
        <v>15</v>
      </c>
      <c r="G1747" t="s">
        <v>22</v>
      </c>
      <c r="H1747" t="s">
        <v>804</v>
      </c>
      <c r="I1747" t="s">
        <v>236</v>
      </c>
      <c r="J1747">
        <v>1</v>
      </c>
      <c r="K1747">
        <v>2200</v>
      </c>
      <c r="L1747">
        <v>3100</v>
      </c>
      <c r="M1747">
        <v>3100</v>
      </c>
      <c r="N1747" t="s">
        <v>19</v>
      </c>
    </row>
    <row r="1748" spans="1:14" x14ac:dyDescent="0.25">
      <c r="A1748" t="s">
        <v>1511</v>
      </c>
      <c r="B1748" t="s">
        <v>2172</v>
      </c>
      <c r="C1748" t="s">
        <v>916</v>
      </c>
      <c r="D1748" t="s">
        <v>20</v>
      </c>
      <c r="E1748" t="s">
        <v>623</v>
      </c>
      <c r="F1748" t="s">
        <v>15</v>
      </c>
      <c r="G1748" t="s">
        <v>22</v>
      </c>
      <c r="H1748" t="s">
        <v>804</v>
      </c>
      <c r="I1748" t="s">
        <v>98</v>
      </c>
      <c r="J1748">
        <v>1</v>
      </c>
      <c r="K1748">
        <v>935</v>
      </c>
      <c r="L1748">
        <v>0</v>
      </c>
      <c r="M1748">
        <v>0</v>
      </c>
      <c r="N1748" t="s">
        <v>19</v>
      </c>
    </row>
    <row r="1749" spans="1:14" x14ac:dyDescent="0.25">
      <c r="A1749" t="s">
        <v>1511</v>
      </c>
      <c r="B1749" t="s">
        <v>2172</v>
      </c>
      <c r="C1749" t="s">
        <v>916</v>
      </c>
      <c r="D1749" t="s">
        <v>20</v>
      </c>
      <c r="E1749" t="s">
        <v>623</v>
      </c>
      <c r="F1749" t="s">
        <v>15</v>
      </c>
      <c r="G1749" t="s">
        <v>22</v>
      </c>
      <c r="H1749" t="s">
        <v>804</v>
      </c>
      <c r="I1749" t="s">
        <v>918</v>
      </c>
      <c r="J1749">
        <v>1</v>
      </c>
      <c r="K1749">
        <v>22500</v>
      </c>
      <c r="L1749">
        <v>32000</v>
      </c>
      <c r="M1749">
        <v>32000</v>
      </c>
      <c r="N1749" t="s">
        <v>19</v>
      </c>
    </row>
    <row r="1750" spans="1:14" x14ac:dyDescent="0.25">
      <c r="A1750" t="s">
        <v>1511</v>
      </c>
      <c r="B1750" t="s">
        <v>2172</v>
      </c>
      <c r="C1750" t="s">
        <v>916</v>
      </c>
      <c r="D1750" t="s">
        <v>20</v>
      </c>
      <c r="E1750" t="s">
        <v>623</v>
      </c>
      <c r="F1750" t="s">
        <v>15</v>
      </c>
      <c r="G1750" t="s">
        <v>22</v>
      </c>
      <c r="H1750" t="s">
        <v>804</v>
      </c>
      <c r="I1750" t="s">
        <v>99</v>
      </c>
      <c r="J1750">
        <v>1</v>
      </c>
      <c r="K1750">
        <v>2000</v>
      </c>
      <c r="L1750">
        <v>0</v>
      </c>
      <c r="M1750">
        <v>0</v>
      </c>
      <c r="N1750" t="s">
        <v>19</v>
      </c>
    </row>
    <row r="1751" spans="1:14" x14ac:dyDescent="0.25">
      <c r="A1751" t="s">
        <v>1511</v>
      </c>
      <c r="B1751" t="s">
        <v>2172</v>
      </c>
      <c r="C1751" t="s">
        <v>916</v>
      </c>
      <c r="D1751" t="s">
        <v>20</v>
      </c>
      <c r="E1751" t="s">
        <v>623</v>
      </c>
      <c r="F1751" t="s">
        <v>15</v>
      </c>
      <c r="G1751" t="s">
        <v>22</v>
      </c>
      <c r="H1751" t="s">
        <v>804</v>
      </c>
      <c r="I1751" t="s">
        <v>919</v>
      </c>
      <c r="J1751">
        <v>1</v>
      </c>
      <c r="K1751">
        <v>1000</v>
      </c>
      <c r="L1751">
        <v>1000</v>
      </c>
      <c r="M1751">
        <v>1000</v>
      </c>
      <c r="N1751" t="s">
        <v>19</v>
      </c>
    </row>
    <row r="1752" spans="1:14" x14ac:dyDescent="0.25">
      <c r="A1752" t="s">
        <v>1487</v>
      </c>
      <c r="B1752" t="s">
        <v>2173</v>
      </c>
      <c r="C1752" t="s">
        <v>920</v>
      </c>
      <c r="D1752" t="s">
        <v>20</v>
      </c>
      <c r="E1752" t="s">
        <v>589</v>
      </c>
      <c r="F1752" t="s">
        <v>15</v>
      </c>
      <c r="G1752" t="s">
        <v>22</v>
      </c>
      <c r="H1752" t="s">
        <v>922</v>
      </c>
      <c r="I1752" t="s">
        <v>590</v>
      </c>
      <c r="J1752">
        <v>20</v>
      </c>
      <c r="K1752">
        <v>20</v>
      </c>
      <c r="L1752">
        <v>100</v>
      </c>
      <c r="M1752">
        <v>2000</v>
      </c>
      <c r="N1752" t="s">
        <v>19</v>
      </c>
    </row>
    <row r="1753" spans="1:14" x14ac:dyDescent="0.25">
      <c r="A1753" t="s">
        <v>1515</v>
      </c>
      <c r="B1753" t="s">
        <v>2174</v>
      </c>
      <c r="C1753" t="s">
        <v>923</v>
      </c>
      <c r="D1753" t="s">
        <v>20</v>
      </c>
      <c r="E1753" t="s">
        <v>924</v>
      </c>
      <c r="F1753" t="s">
        <v>15</v>
      </c>
      <c r="G1753" t="s">
        <v>22</v>
      </c>
      <c r="H1753" t="s">
        <v>922</v>
      </c>
      <c r="I1753" t="s">
        <v>925</v>
      </c>
      <c r="J1753">
        <v>1</v>
      </c>
      <c r="K1753">
        <v>13000</v>
      </c>
      <c r="L1753">
        <v>15500</v>
      </c>
      <c r="M1753">
        <v>15500</v>
      </c>
      <c r="N1753" t="s">
        <v>19</v>
      </c>
    </row>
    <row r="1754" spans="1:14" x14ac:dyDescent="0.25">
      <c r="A1754" t="s">
        <v>1515</v>
      </c>
      <c r="B1754" t="s">
        <v>2174</v>
      </c>
      <c r="C1754" t="s">
        <v>923</v>
      </c>
      <c r="D1754" t="s">
        <v>20</v>
      </c>
      <c r="E1754" t="s">
        <v>924</v>
      </c>
      <c r="F1754" t="s">
        <v>15</v>
      </c>
      <c r="G1754" t="s">
        <v>22</v>
      </c>
      <c r="H1754" t="s">
        <v>922</v>
      </c>
      <c r="I1754" t="s">
        <v>76</v>
      </c>
      <c r="J1754">
        <v>1</v>
      </c>
      <c r="K1754">
        <v>500</v>
      </c>
      <c r="L1754">
        <v>500</v>
      </c>
      <c r="M1754">
        <v>500</v>
      </c>
      <c r="N1754" t="s">
        <v>19</v>
      </c>
    </row>
    <row r="1755" spans="1:14" x14ac:dyDescent="0.25">
      <c r="A1755" t="s">
        <v>1476</v>
      </c>
      <c r="B1755" t="s">
        <v>2175</v>
      </c>
      <c r="C1755" t="s">
        <v>928</v>
      </c>
      <c r="D1755" t="s">
        <v>20</v>
      </c>
      <c r="E1755" t="s">
        <v>933</v>
      </c>
      <c r="F1755" t="s">
        <v>15</v>
      </c>
      <c r="G1755" t="s">
        <v>22</v>
      </c>
      <c r="H1755" t="s">
        <v>922</v>
      </c>
      <c r="I1755" t="s">
        <v>934</v>
      </c>
      <c r="J1755">
        <v>1</v>
      </c>
      <c r="K1755">
        <v>13000</v>
      </c>
      <c r="L1755">
        <v>15500</v>
      </c>
      <c r="M1755">
        <v>15500</v>
      </c>
      <c r="N1755" t="s">
        <v>19</v>
      </c>
    </row>
    <row r="1756" spans="1:14" x14ac:dyDescent="0.25">
      <c r="A1756" t="s">
        <v>1476</v>
      </c>
      <c r="B1756" t="s">
        <v>2175</v>
      </c>
      <c r="C1756" t="s">
        <v>928</v>
      </c>
      <c r="D1756" t="s">
        <v>20</v>
      </c>
      <c r="E1756" t="s">
        <v>933</v>
      </c>
      <c r="F1756" t="s">
        <v>15</v>
      </c>
      <c r="G1756" t="s">
        <v>22</v>
      </c>
      <c r="H1756" t="s">
        <v>922</v>
      </c>
      <c r="I1756" t="s">
        <v>76</v>
      </c>
      <c r="J1756">
        <v>1</v>
      </c>
      <c r="K1756">
        <v>500</v>
      </c>
      <c r="L1756">
        <v>500</v>
      </c>
      <c r="M1756">
        <v>500</v>
      </c>
      <c r="N1756" t="s">
        <v>19</v>
      </c>
    </row>
    <row r="1757" spans="1:14" x14ac:dyDescent="0.25">
      <c r="A1757" t="s">
        <v>1725</v>
      </c>
      <c r="B1757" t="s">
        <v>2176</v>
      </c>
      <c r="C1757" t="s">
        <v>486</v>
      </c>
      <c r="D1757" t="s">
        <v>1055</v>
      </c>
      <c r="E1757" t="s">
        <v>1056</v>
      </c>
      <c r="F1757" t="s">
        <v>1168</v>
      </c>
      <c r="G1757" t="s">
        <v>37</v>
      </c>
      <c r="H1757" t="s">
        <v>1169</v>
      </c>
      <c r="I1757" t="s">
        <v>38</v>
      </c>
      <c r="J1757">
        <v>1</v>
      </c>
      <c r="K1757">
        <v>8500</v>
      </c>
      <c r="L1757">
        <v>12500</v>
      </c>
      <c r="M1757">
        <v>12500</v>
      </c>
      <c r="N1757" t="s">
        <v>1010</v>
      </c>
    </row>
    <row r="1758" spans="1:14" x14ac:dyDescent="0.25">
      <c r="A1758" t="s">
        <v>1725</v>
      </c>
      <c r="B1758" t="s">
        <v>2176</v>
      </c>
      <c r="C1758" t="s">
        <v>486</v>
      </c>
      <c r="D1758" t="s">
        <v>1055</v>
      </c>
      <c r="E1758" t="s">
        <v>1056</v>
      </c>
      <c r="F1758" t="s">
        <v>1168</v>
      </c>
      <c r="G1758" t="s">
        <v>37</v>
      </c>
      <c r="H1758" t="s">
        <v>1169</v>
      </c>
      <c r="I1758" t="s">
        <v>137</v>
      </c>
      <c r="J1758">
        <v>1</v>
      </c>
      <c r="K1758">
        <v>2200</v>
      </c>
      <c r="L1758">
        <v>3250</v>
      </c>
      <c r="M1758">
        <v>3250</v>
      </c>
      <c r="N1758" t="s">
        <v>1010</v>
      </c>
    </row>
    <row r="1759" spans="1:14" x14ac:dyDescent="0.25">
      <c r="A1759" t="s">
        <v>1725</v>
      </c>
      <c r="B1759" t="s">
        <v>2176</v>
      </c>
      <c r="C1759" t="s">
        <v>486</v>
      </c>
      <c r="D1759" t="s">
        <v>1055</v>
      </c>
      <c r="E1759" t="s">
        <v>1056</v>
      </c>
      <c r="F1759" t="s">
        <v>1168</v>
      </c>
      <c r="G1759" t="s">
        <v>37</v>
      </c>
      <c r="H1759" t="s">
        <v>1169</v>
      </c>
      <c r="I1759" t="s">
        <v>1057</v>
      </c>
      <c r="J1759">
        <v>1</v>
      </c>
      <c r="K1759">
        <v>5400</v>
      </c>
      <c r="L1759">
        <v>7000</v>
      </c>
      <c r="M1759">
        <v>7000</v>
      </c>
      <c r="N1759" t="s">
        <v>1010</v>
      </c>
    </row>
    <row r="1760" spans="1:14" x14ac:dyDescent="0.25">
      <c r="A1760" t="s">
        <v>1725</v>
      </c>
      <c r="B1760" t="s">
        <v>2176</v>
      </c>
      <c r="C1760" t="s">
        <v>486</v>
      </c>
      <c r="D1760" t="s">
        <v>1055</v>
      </c>
      <c r="E1760" t="s">
        <v>1056</v>
      </c>
      <c r="F1760" t="s">
        <v>1168</v>
      </c>
      <c r="G1760" t="s">
        <v>37</v>
      </c>
      <c r="H1760" t="s">
        <v>1169</v>
      </c>
      <c r="I1760" t="s">
        <v>1021</v>
      </c>
      <c r="J1760">
        <v>1</v>
      </c>
      <c r="K1760">
        <v>2185</v>
      </c>
      <c r="L1760">
        <v>3250</v>
      </c>
      <c r="M1760">
        <v>3250</v>
      </c>
      <c r="N1760" t="s">
        <v>1010</v>
      </c>
    </row>
    <row r="1761" spans="1:14" x14ac:dyDescent="0.25">
      <c r="A1761" t="s">
        <v>1725</v>
      </c>
      <c r="B1761" t="s">
        <v>2176</v>
      </c>
      <c r="C1761" t="s">
        <v>486</v>
      </c>
      <c r="D1761" t="s">
        <v>1055</v>
      </c>
      <c r="E1761" t="s">
        <v>1056</v>
      </c>
      <c r="F1761" t="s">
        <v>1168</v>
      </c>
      <c r="G1761" t="s">
        <v>37</v>
      </c>
      <c r="H1761" t="s">
        <v>1169</v>
      </c>
      <c r="I1761" t="s">
        <v>63</v>
      </c>
      <c r="J1761">
        <v>1</v>
      </c>
      <c r="K1761">
        <v>500</v>
      </c>
      <c r="L1761">
        <v>500</v>
      </c>
      <c r="M1761">
        <v>500</v>
      </c>
      <c r="N1761" t="s">
        <v>1010</v>
      </c>
    </row>
    <row r="1762" spans="1:14" x14ac:dyDescent="0.25">
      <c r="A1762" t="s">
        <v>1728</v>
      </c>
      <c r="B1762" t="s">
        <v>2177</v>
      </c>
      <c r="C1762" t="s">
        <v>487</v>
      </c>
      <c r="D1762" t="s">
        <v>1055</v>
      </c>
      <c r="E1762" t="s">
        <v>1056</v>
      </c>
      <c r="F1762" t="s">
        <v>1133</v>
      </c>
      <c r="G1762" t="s">
        <v>1024</v>
      </c>
      <c r="H1762" t="s">
        <v>1169</v>
      </c>
      <c r="I1762" t="s">
        <v>1057</v>
      </c>
      <c r="J1762">
        <v>2</v>
      </c>
      <c r="K1762">
        <v>5400</v>
      </c>
      <c r="L1762">
        <v>7000</v>
      </c>
      <c r="M1762">
        <v>14000</v>
      </c>
      <c r="N1762" t="s">
        <v>1010</v>
      </c>
    </row>
    <row r="1763" spans="1:14" x14ac:dyDescent="0.25">
      <c r="A1763" t="s">
        <v>1729</v>
      </c>
      <c r="B1763" t="s">
        <v>2178</v>
      </c>
      <c r="C1763" t="s">
        <v>492</v>
      </c>
      <c r="D1763" t="s">
        <v>1055</v>
      </c>
      <c r="E1763" t="s">
        <v>1056</v>
      </c>
      <c r="F1763" t="s">
        <v>879</v>
      </c>
      <c r="G1763" t="s">
        <v>37</v>
      </c>
      <c r="H1763" t="s">
        <v>1170</v>
      </c>
      <c r="I1763" t="s">
        <v>38</v>
      </c>
      <c r="J1763">
        <v>1</v>
      </c>
      <c r="K1763">
        <v>8500</v>
      </c>
      <c r="L1763">
        <v>12500</v>
      </c>
      <c r="M1763">
        <v>12500</v>
      </c>
      <c r="N1763" t="s">
        <v>1010</v>
      </c>
    </row>
    <row r="1764" spans="1:14" x14ac:dyDescent="0.25">
      <c r="A1764" t="s">
        <v>1729</v>
      </c>
      <c r="B1764" t="s">
        <v>2178</v>
      </c>
      <c r="C1764" t="s">
        <v>492</v>
      </c>
      <c r="D1764" t="s">
        <v>1055</v>
      </c>
      <c r="E1764" t="s">
        <v>1056</v>
      </c>
      <c r="F1764" t="s">
        <v>879</v>
      </c>
      <c r="G1764" t="s">
        <v>37</v>
      </c>
      <c r="H1764" t="s">
        <v>1170</v>
      </c>
      <c r="I1764" t="s">
        <v>137</v>
      </c>
      <c r="J1764">
        <v>1</v>
      </c>
      <c r="K1764">
        <v>2200</v>
      </c>
      <c r="L1764">
        <v>3250</v>
      </c>
      <c r="M1764">
        <v>3250</v>
      </c>
      <c r="N1764" t="s">
        <v>1010</v>
      </c>
    </row>
    <row r="1765" spans="1:14" x14ac:dyDescent="0.25">
      <c r="A1765" t="s">
        <v>1729</v>
      </c>
      <c r="B1765" t="s">
        <v>2178</v>
      </c>
      <c r="C1765" t="s">
        <v>492</v>
      </c>
      <c r="D1765" t="s">
        <v>1055</v>
      </c>
      <c r="E1765" t="s">
        <v>1056</v>
      </c>
      <c r="F1765" t="s">
        <v>879</v>
      </c>
      <c r="G1765" t="s">
        <v>37</v>
      </c>
      <c r="H1765" t="s">
        <v>1170</v>
      </c>
      <c r="I1765" t="s">
        <v>1057</v>
      </c>
      <c r="J1765">
        <v>1</v>
      </c>
      <c r="K1765">
        <v>5400</v>
      </c>
      <c r="L1765">
        <v>7000</v>
      </c>
      <c r="M1765">
        <v>7000</v>
      </c>
      <c r="N1765" t="s">
        <v>1010</v>
      </c>
    </row>
    <row r="1766" spans="1:14" x14ac:dyDescent="0.25">
      <c r="A1766" t="s">
        <v>1729</v>
      </c>
      <c r="B1766" t="s">
        <v>2178</v>
      </c>
      <c r="C1766" t="s">
        <v>492</v>
      </c>
      <c r="D1766" t="s">
        <v>1055</v>
      </c>
      <c r="E1766" t="s">
        <v>1056</v>
      </c>
      <c r="F1766" t="s">
        <v>879</v>
      </c>
      <c r="G1766" t="s">
        <v>37</v>
      </c>
      <c r="H1766" t="s">
        <v>1170</v>
      </c>
      <c r="I1766" t="s">
        <v>1021</v>
      </c>
      <c r="J1766">
        <v>1</v>
      </c>
      <c r="K1766">
        <v>2185</v>
      </c>
      <c r="L1766">
        <v>3250</v>
      </c>
      <c r="M1766">
        <v>3250</v>
      </c>
      <c r="N1766" t="s">
        <v>1010</v>
      </c>
    </row>
    <row r="1767" spans="1:14" x14ac:dyDescent="0.25">
      <c r="A1767" t="s">
        <v>1729</v>
      </c>
      <c r="B1767" t="s">
        <v>2178</v>
      </c>
      <c r="C1767" t="s">
        <v>492</v>
      </c>
      <c r="D1767" t="s">
        <v>1055</v>
      </c>
      <c r="E1767" t="s">
        <v>1056</v>
      </c>
      <c r="F1767" t="s">
        <v>879</v>
      </c>
      <c r="G1767" t="s">
        <v>37</v>
      </c>
      <c r="H1767" t="s">
        <v>1170</v>
      </c>
      <c r="I1767" t="s">
        <v>63</v>
      </c>
      <c r="J1767">
        <v>1</v>
      </c>
      <c r="K1767">
        <v>500</v>
      </c>
      <c r="L1767">
        <v>500</v>
      </c>
      <c r="M1767">
        <v>500</v>
      </c>
      <c r="N1767" t="s">
        <v>1010</v>
      </c>
    </row>
    <row r="1768" spans="1:14" x14ac:dyDescent="0.25">
      <c r="A1768" t="s">
        <v>1664</v>
      </c>
      <c r="B1768" t="s">
        <v>2179</v>
      </c>
      <c r="C1768" t="s">
        <v>810</v>
      </c>
      <c r="D1768" t="s">
        <v>52</v>
      </c>
      <c r="E1768" t="s">
        <v>53</v>
      </c>
      <c r="F1768" t="s">
        <v>15</v>
      </c>
      <c r="G1768" t="s">
        <v>37</v>
      </c>
      <c r="H1768" t="s">
        <v>811</v>
      </c>
      <c r="I1768" t="s">
        <v>428</v>
      </c>
      <c r="J1768">
        <v>4</v>
      </c>
      <c r="K1768">
        <v>70</v>
      </c>
      <c r="L1768">
        <v>250</v>
      </c>
      <c r="M1768">
        <v>1000</v>
      </c>
      <c r="N1768" t="s">
        <v>39</v>
      </c>
    </row>
    <row r="1769" spans="1:14" x14ac:dyDescent="0.25">
      <c r="A1769" t="s">
        <v>1486</v>
      </c>
      <c r="B1769" t="s">
        <v>2180</v>
      </c>
      <c r="C1769" t="s">
        <v>935</v>
      </c>
      <c r="D1769" t="s">
        <v>20</v>
      </c>
      <c r="E1769" t="s">
        <v>31</v>
      </c>
      <c r="F1769" t="s">
        <v>15</v>
      </c>
      <c r="G1769" t="s">
        <v>22</v>
      </c>
      <c r="H1769" t="s">
        <v>811</v>
      </c>
      <c r="I1769" t="s">
        <v>145</v>
      </c>
      <c r="J1769">
        <v>1</v>
      </c>
      <c r="K1769">
        <v>3675</v>
      </c>
      <c r="L1769">
        <v>10500</v>
      </c>
      <c r="M1769">
        <v>10500</v>
      </c>
      <c r="N1769" t="s">
        <v>19</v>
      </c>
    </row>
    <row r="1770" spans="1:14" x14ac:dyDescent="0.25">
      <c r="A1770" t="s">
        <v>1486</v>
      </c>
      <c r="B1770" t="s">
        <v>2180</v>
      </c>
      <c r="C1770" t="s">
        <v>935</v>
      </c>
      <c r="D1770" t="s">
        <v>20</v>
      </c>
      <c r="E1770" t="s">
        <v>31</v>
      </c>
      <c r="F1770" t="s">
        <v>15</v>
      </c>
      <c r="G1770" t="s">
        <v>22</v>
      </c>
      <c r="H1770" t="s">
        <v>811</v>
      </c>
      <c r="I1770" t="s">
        <v>299</v>
      </c>
      <c r="J1770">
        <v>1</v>
      </c>
      <c r="K1770">
        <v>9500</v>
      </c>
      <c r="L1770">
        <v>9500</v>
      </c>
      <c r="M1770">
        <v>9500</v>
      </c>
      <c r="N1770" t="s">
        <v>19</v>
      </c>
    </row>
    <row r="1771" spans="1:14" x14ac:dyDescent="0.25">
      <c r="A1771" t="s">
        <v>1486</v>
      </c>
      <c r="B1771" t="s">
        <v>2180</v>
      </c>
      <c r="C1771" t="s">
        <v>935</v>
      </c>
      <c r="D1771" t="s">
        <v>20</v>
      </c>
      <c r="E1771" t="s">
        <v>31</v>
      </c>
      <c r="F1771" t="s">
        <v>15</v>
      </c>
      <c r="G1771" t="s">
        <v>22</v>
      </c>
      <c r="H1771" t="s">
        <v>811</v>
      </c>
      <c r="I1771" t="s">
        <v>25</v>
      </c>
      <c r="J1771">
        <v>1</v>
      </c>
      <c r="K1771">
        <v>9500</v>
      </c>
      <c r="L1771">
        <v>9500</v>
      </c>
      <c r="M1771">
        <v>9500</v>
      </c>
      <c r="N1771" t="s">
        <v>19</v>
      </c>
    </row>
    <row r="1772" spans="1:14" x14ac:dyDescent="0.25">
      <c r="A1772" t="s">
        <v>1486</v>
      </c>
      <c r="B1772" t="s">
        <v>2180</v>
      </c>
      <c r="C1772" t="s">
        <v>935</v>
      </c>
      <c r="D1772" t="s">
        <v>20</v>
      </c>
      <c r="E1772" t="s">
        <v>31</v>
      </c>
      <c r="F1772" t="s">
        <v>15</v>
      </c>
      <c r="G1772" t="s">
        <v>22</v>
      </c>
      <c r="H1772" t="s">
        <v>811</v>
      </c>
      <c r="I1772" t="s">
        <v>134</v>
      </c>
      <c r="J1772">
        <v>1</v>
      </c>
      <c r="K1772">
        <v>500</v>
      </c>
      <c r="L1772">
        <v>500</v>
      </c>
      <c r="M1772">
        <v>500</v>
      </c>
      <c r="N1772" t="s">
        <v>19</v>
      </c>
    </row>
    <row r="1773" spans="1:14" x14ac:dyDescent="0.25">
      <c r="A1773" t="s">
        <v>1486</v>
      </c>
      <c r="B1773" t="s">
        <v>2181</v>
      </c>
      <c r="C1773" t="s">
        <v>940</v>
      </c>
      <c r="D1773" t="s">
        <v>20</v>
      </c>
      <c r="E1773" t="s">
        <v>31</v>
      </c>
      <c r="F1773" t="s">
        <v>15</v>
      </c>
      <c r="G1773" t="s">
        <v>22</v>
      </c>
      <c r="H1773" t="s">
        <v>811</v>
      </c>
      <c r="I1773" t="s">
        <v>145</v>
      </c>
      <c r="J1773">
        <v>1</v>
      </c>
      <c r="K1773">
        <v>3675</v>
      </c>
      <c r="L1773">
        <v>10500</v>
      </c>
      <c r="M1773">
        <v>10500</v>
      </c>
      <c r="N1773" t="s">
        <v>19</v>
      </c>
    </row>
    <row r="1774" spans="1:14" x14ac:dyDescent="0.25">
      <c r="A1774" t="s">
        <v>1486</v>
      </c>
      <c r="B1774" t="s">
        <v>2181</v>
      </c>
      <c r="C1774" t="s">
        <v>940</v>
      </c>
      <c r="D1774" t="s">
        <v>20</v>
      </c>
      <c r="E1774" t="s">
        <v>31</v>
      </c>
      <c r="F1774" t="s">
        <v>15</v>
      </c>
      <c r="G1774" t="s">
        <v>22</v>
      </c>
      <c r="H1774" t="s">
        <v>811</v>
      </c>
      <c r="I1774" t="s">
        <v>299</v>
      </c>
      <c r="J1774">
        <v>1</v>
      </c>
      <c r="K1774">
        <v>9500</v>
      </c>
      <c r="L1774">
        <v>9500</v>
      </c>
      <c r="M1774">
        <v>9500</v>
      </c>
      <c r="N1774" t="s">
        <v>19</v>
      </c>
    </row>
    <row r="1775" spans="1:14" x14ac:dyDescent="0.25">
      <c r="A1775" t="s">
        <v>1486</v>
      </c>
      <c r="B1775" t="s">
        <v>2181</v>
      </c>
      <c r="C1775" t="s">
        <v>940</v>
      </c>
      <c r="D1775" t="s">
        <v>20</v>
      </c>
      <c r="E1775" t="s">
        <v>31</v>
      </c>
      <c r="F1775" t="s">
        <v>15</v>
      </c>
      <c r="G1775" t="s">
        <v>22</v>
      </c>
      <c r="H1775" t="s">
        <v>811</v>
      </c>
      <c r="I1775" t="s">
        <v>25</v>
      </c>
      <c r="J1775">
        <v>1</v>
      </c>
      <c r="K1775">
        <v>9500</v>
      </c>
      <c r="L1775">
        <v>9500</v>
      </c>
      <c r="M1775">
        <v>9500</v>
      </c>
      <c r="N1775" t="s">
        <v>19</v>
      </c>
    </row>
    <row r="1776" spans="1:14" x14ac:dyDescent="0.25">
      <c r="A1776" t="s">
        <v>1486</v>
      </c>
      <c r="B1776" t="s">
        <v>2181</v>
      </c>
      <c r="C1776" t="s">
        <v>940</v>
      </c>
      <c r="D1776" t="s">
        <v>20</v>
      </c>
      <c r="E1776" t="s">
        <v>31</v>
      </c>
      <c r="F1776" t="s">
        <v>15</v>
      </c>
      <c r="G1776" t="s">
        <v>22</v>
      </c>
      <c r="H1776" t="s">
        <v>811</v>
      </c>
      <c r="I1776" t="s">
        <v>134</v>
      </c>
      <c r="J1776">
        <v>1</v>
      </c>
      <c r="K1776">
        <v>500</v>
      </c>
      <c r="L1776">
        <v>500</v>
      </c>
      <c r="M1776">
        <v>500</v>
      </c>
      <c r="N1776" t="s">
        <v>19</v>
      </c>
    </row>
    <row r="1777" spans="1:14" x14ac:dyDescent="0.25">
      <c r="A1777" t="s">
        <v>1625</v>
      </c>
      <c r="B1777" t="s">
        <v>2182</v>
      </c>
      <c r="C1777" t="s">
        <v>812</v>
      </c>
      <c r="D1777" t="s">
        <v>431</v>
      </c>
      <c r="E1777" t="s">
        <v>239</v>
      </c>
      <c r="F1777" t="s">
        <v>15</v>
      </c>
      <c r="G1777" t="s">
        <v>37</v>
      </c>
      <c r="H1777" t="s">
        <v>815</v>
      </c>
      <c r="I1777" t="s">
        <v>38</v>
      </c>
      <c r="J1777">
        <v>1</v>
      </c>
      <c r="K1777">
        <v>8500</v>
      </c>
      <c r="L1777">
        <v>12000</v>
      </c>
      <c r="M1777">
        <v>12000</v>
      </c>
      <c r="N1777" t="s">
        <v>19</v>
      </c>
    </row>
    <row r="1778" spans="1:14" x14ac:dyDescent="0.25">
      <c r="A1778" t="s">
        <v>1625</v>
      </c>
      <c r="B1778" t="s">
        <v>2182</v>
      </c>
      <c r="C1778" t="s">
        <v>812</v>
      </c>
      <c r="D1778" t="s">
        <v>431</v>
      </c>
      <c r="E1778" t="s">
        <v>239</v>
      </c>
      <c r="F1778" t="s">
        <v>15</v>
      </c>
      <c r="G1778" t="s">
        <v>37</v>
      </c>
      <c r="H1778" t="s">
        <v>815</v>
      </c>
      <c r="I1778" t="s">
        <v>393</v>
      </c>
      <c r="J1778">
        <v>1</v>
      </c>
      <c r="K1778">
        <v>500</v>
      </c>
      <c r="L1778">
        <v>500</v>
      </c>
      <c r="M1778">
        <v>500</v>
      </c>
      <c r="N1778" t="s">
        <v>19</v>
      </c>
    </row>
    <row r="1779" spans="1:14" x14ac:dyDescent="0.25">
      <c r="A1779" t="s">
        <v>1613</v>
      </c>
      <c r="B1779" t="s">
        <v>2183</v>
      </c>
      <c r="C1779" t="s">
        <v>816</v>
      </c>
      <c r="D1779" t="s">
        <v>817</v>
      </c>
      <c r="E1779" t="s">
        <v>818</v>
      </c>
      <c r="F1779" t="s">
        <v>15</v>
      </c>
      <c r="G1779" t="s">
        <v>16</v>
      </c>
      <c r="H1779" t="s">
        <v>819</v>
      </c>
      <c r="I1779" t="s">
        <v>79</v>
      </c>
      <c r="J1779">
        <v>1</v>
      </c>
      <c r="K1779">
        <v>11000</v>
      </c>
      <c r="L1779">
        <v>16000</v>
      </c>
      <c r="M1779">
        <v>16000</v>
      </c>
      <c r="N1779" t="s">
        <v>19</v>
      </c>
    </row>
    <row r="1780" spans="1:14" x14ac:dyDescent="0.25">
      <c r="A1780" t="s">
        <v>1613</v>
      </c>
      <c r="B1780" t="s">
        <v>2183</v>
      </c>
      <c r="C1780" t="s">
        <v>816</v>
      </c>
      <c r="D1780" t="s">
        <v>817</v>
      </c>
      <c r="E1780" t="s">
        <v>818</v>
      </c>
      <c r="F1780" t="s">
        <v>15</v>
      </c>
      <c r="G1780" t="s">
        <v>16</v>
      </c>
      <c r="H1780" t="s">
        <v>819</v>
      </c>
      <c r="I1780" t="s">
        <v>130</v>
      </c>
      <c r="J1780">
        <v>1</v>
      </c>
      <c r="K1780">
        <v>9500</v>
      </c>
      <c r="L1780">
        <v>12500</v>
      </c>
      <c r="M1780">
        <v>12500</v>
      </c>
      <c r="N1780" t="s">
        <v>19</v>
      </c>
    </row>
    <row r="1781" spans="1:14" x14ac:dyDescent="0.25">
      <c r="A1781" t="s">
        <v>1613</v>
      </c>
      <c r="B1781" t="s">
        <v>2183</v>
      </c>
      <c r="C1781" t="s">
        <v>816</v>
      </c>
      <c r="D1781" t="s">
        <v>817</v>
      </c>
      <c r="E1781" t="s">
        <v>818</v>
      </c>
      <c r="F1781" t="s">
        <v>15</v>
      </c>
      <c r="G1781" t="s">
        <v>16</v>
      </c>
      <c r="H1781" t="s">
        <v>819</v>
      </c>
      <c r="I1781" t="s">
        <v>131</v>
      </c>
      <c r="J1781">
        <v>1</v>
      </c>
      <c r="K1781">
        <v>9500</v>
      </c>
      <c r="L1781">
        <v>12500</v>
      </c>
      <c r="M1781">
        <v>12500</v>
      </c>
      <c r="N1781" t="s">
        <v>19</v>
      </c>
    </row>
    <row r="1782" spans="1:14" x14ac:dyDescent="0.25">
      <c r="A1782" t="s">
        <v>1613</v>
      </c>
      <c r="B1782" t="s">
        <v>2183</v>
      </c>
      <c r="C1782" t="s">
        <v>816</v>
      </c>
      <c r="D1782" t="s">
        <v>817</v>
      </c>
      <c r="E1782" t="s">
        <v>818</v>
      </c>
      <c r="F1782" t="s">
        <v>15</v>
      </c>
      <c r="G1782" t="s">
        <v>16</v>
      </c>
      <c r="H1782" t="s">
        <v>819</v>
      </c>
      <c r="I1782" t="s">
        <v>187</v>
      </c>
      <c r="J1782">
        <v>1</v>
      </c>
      <c r="K1782">
        <v>850</v>
      </c>
      <c r="L1782">
        <v>1500</v>
      </c>
      <c r="M1782">
        <v>1500</v>
      </c>
      <c r="N1782" t="s">
        <v>19</v>
      </c>
    </row>
    <row r="1783" spans="1:14" x14ac:dyDescent="0.25">
      <c r="A1783" t="s">
        <v>1613</v>
      </c>
      <c r="B1783" t="s">
        <v>2183</v>
      </c>
      <c r="C1783" t="s">
        <v>816</v>
      </c>
      <c r="D1783" t="s">
        <v>817</v>
      </c>
      <c r="E1783" t="s">
        <v>818</v>
      </c>
      <c r="F1783" t="s">
        <v>15</v>
      </c>
      <c r="G1783" t="s">
        <v>16</v>
      </c>
      <c r="H1783" t="s">
        <v>819</v>
      </c>
      <c r="I1783" t="s">
        <v>97</v>
      </c>
      <c r="J1783">
        <v>1</v>
      </c>
      <c r="K1783">
        <v>2200</v>
      </c>
      <c r="L1783">
        <v>3500</v>
      </c>
      <c r="M1783">
        <v>3500</v>
      </c>
      <c r="N1783" t="s">
        <v>19</v>
      </c>
    </row>
    <row r="1784" spans="1:14" x14ac:dyDescent="0.25">
      <c r="A1784" t="s">
        <v>1613</v>
      </c>
      <c r="B1784" t="s">
        <v>2183</v>
      </c>
      <c r="C1784" t="s">
        <v>816</v>
      </c>
      <c r="D1784" t="s">
        <v>817</v>
      </c>
      <c r="E1784" t="s">
        <v>818</v>
      </c>
      <c r="F1784" t="s">
        <v>15</v>
      </c>
      <c r="G1784" t="s">
        <v>16</v>
      </c>
      <c r="H1784" t="s">
        <v>819</v>
      </c>
      <c r="I1784" t="s">
        <v>820</v>
      </c>
      <c r="J1784">
        <v>1</v>
      </c>
      <c r="K1784">
        <v>23450</v>
      </c>
      <c r="L1784">
        <v>30900</v>
      </c>
      <c r="M1784">
        <v>30900</v>
      </c>
      <c r="N1784" t="s">
        <v>19</v>
      </c>
    </row>
    <row r="1785" spans="1:14" x14ac:dyDescent="0.25">
      <c r="A1785" t="s">
        <v>1613</v>
      </c>
      <c r="B1785" t="s">
        <v>2183</v>
      </c>
      <c r="C1785" t="s">
        <v>816</v>
      </c>
      <c r="D1785" t="s">
        <v>817</v>
      </c>
      <c r="E1785" t="s">
        <v>818</v>
      </c>
      <c r="F1785" t="s">
        <v>15</v>
      </c>
      <c r="G1785" t="s">
        <v>16</v>
      </c>
      <c r="H1785" t="s">
        <v>819</v>
      </c>
      <c r="I1785" t="s">
        <v>189</v>
      </c>
      <c r="J1785">
        <v>1</v>
      </c>
      <c r="K1785">
        <v>500</v>
      </c>
      <c r="L1785">
        <v>700</v>
      </c>
      <c r="M1785">
        <v>700</v>
      </c>
      <c r="N1785" t="s">
        <v>19</v>
      </c>
    </row>
    <row r="1786" spans="1:14" x14ac:dyDescent="0.25">
      <c r="A1786" t="s">
        <v>1613</v>
      </c>
      <c r="B1786" t="s">
        <v>2183</v>
      </c>
      <c r="C1786" t="s">
        <v>816</v>
      </c>
      <c r="D1786" t="s">
        <v>817</v>
      </c>
      <c r="E1786" t="s">
        <v>818</v>
      </c>
      <c r="F1786" t="s">
        <v>15</v>
      </c>
      <c r="G1786" t="s">
        <v>16</v>
      </c>
      <c r="H1786" t="s">
        <v>819</v>
      </c>
      <c r="I1786" t="s">
        <v>190</v>
      </c>
      <c r="J1786">
        <v>1</v>
      </c>
      <c r="K1786">
        <v>350</v>
      </c>
      <c r="L1786">
        <v>500</v>
      </c>
      <c r="M1786">
        <v>500</v>
      </c>
      <c r="N1786" t="s">
        <v>19</v>
      </c>
    </row>
    <row r="1787" spans="1:14" x14ac:dyDescent="0.25">
      <c r="A1787" t="s">
        <v>1613</v>
      </c>
      <c r="B1787" t="s">
        <v>2183</v>
      </c>
      <c r="C1787" t="s">
        <v>816</v>
      </c>
      <c r="D1787" t="s">
        <v>817</v>
      </c>
      <c r="E1787" t="s">
        <v>818</v>
      </c>
      <c r="F1787" t="s">
        <v>15</v>
      </c>
      <c r="G1787" t="s">
        <v>16</v>
      </c>
      <c r="H1787" t="s">
        <v>819</v>
      </c>
      <c r="I1787" t="s">
        <v>151</v>
      </c>
      <c r="J1787">
        <v>1</v>
      </c>
      <c r="K1787">
        <v>2000</v>
      </c>
      <c r="L1787">
        <v>3000</v>
      </c>
      <c r="M1787">
        <v>3000</v>
      </c>
      <c r="N1787" t="s">
        <v>19</v>
      </c>
    </row>
    <row r="1788" spans="1:14" x14ac:dyDescent="0.25">
      <c r="A1788" t="s">
        <v>1613</v>
      </c>
      <c r="B1788" t="s">
        <v>2183</v>
      </c>
      <c r="C1788" t="s">
        <v>816</v>
      </c>
      <c r="D1788" t="s">
        <v>817</v>
      </c>
      <c r="E1788" t="s">
        <v>818</v>
      </c>
      <c r="F1788" t="s">
        <v>15</v>
      </c>
      <c r="G1788" t="s">
        <v>16</v>
      </c>
      <c r="H1788" t="s">
        <v>819</v>
      </c>
      <c r="I1788" t="s">
        <v>63</v>
      </c>
      <c r="J1788">
        <v>1</v>
      </c>
      <c r="K1788">
        <v>400</v>
      </c>
      <c r="L1788">
        <v>400</v>
      </c>
      <c r="M1788">
        <v>400</v>
      </c>
      <c r="N1788" t="s">
        <v>19</v>
      </c>
    </row>
    <row r="1789" spans="1:14" x14ac:dyDescent="0.25">
      <c r="A1789" t="s">
        <v>1615</v>
      </c>
      <c r="B1789" t="s">
        <v>2184</v>
      </c>
      <c r="C1789" t="s">
        <v>822</v>
      </c>
      <c r="D1789" t="s">
        <v>817</v>
      </c>
      <c r="E1789" t="s">
        <v>818</v>
      </c>
      <c r="F1789" t="s">
        <v>823</v>
      </c>
      <c r="G1789" t="s">
        <v>16</v>
      </c>
      <c r="H1789" t="s">
        <v>819</v>
      </c>
      <c r="I1789" t="s">
        <v>79</v>
      </c>
      <c r="J1789">
        <v>1</v>
      </c>
      <c r="K1789">
        <v>11000</v>
      </c>
      <c r="L1789">
        <v>16000</v>
      </c>
      <c r="M1789">
        <v>16000</v>
      </c>
      <c r="N1789" t="s">
        <v>39</v>
      </c>
    </row>
    <row r="1790" spans="1:14" x14ac:dyDescent="0.25">
      <c r="A1790" t="s">
        <v>1615</v>
      </c>
      <c r="B1790" t="s">
        <v>2184</v>
      </c>
      <c r="C1790" t="s">
        <v>822</v>
      </c>
      <c r="D1790" t="s">
        <v>817</v>
      </c>
      <c r="E1790" t="s">
        <v>818</v>
      </c>
      <c r="F1790" t="s">
        <v>823</v>
      </c>
      <c r="G1790" t="s">
        <v>16</v>
      </c>
      <c r="H1790" t="s">
        <v>819</v>
      </c>
      <c r="I1790" t="s">
        <v>130</v>
      </c>
      <c r="J1790">
        <v>1</v>
      </c>
      <c r="K1790">
        <v>9500</v>
      </c>
      <c r="L1790">
        <v>12500</v>
      </c>
      <c r="M1790">
        <v>12500</v>
      </c>
      <c r="N1790" t="s">
        <v>39</v>
      </c>
    </row>
    <row r="1791" spans="1:14" x14ac:dyDescent="0.25">
      <c r="A1791" t="s">
        <v>1615</v>
      </c>
      <c r="B1791" t="s">
        <v>2184</v>
      </c>
      <c r="C1791" t="s">
        <v>822</v>
      </c>
      <c r="D1791" t="s">
        <v>817</v>
      </c>
      <c r="E1791" t="s">
        <v>818</v>
      </c>
      <c r="F1791" t="s">
        <v>823</v>
      </c>
      <c r="G1791" t="s">
        <v>16</v>
      </c>
      <c r="H1791" t="s">
        <v>819</v>
      </c>
      <c r="I1791" t="s">
        <v>97</v>
      </c>
      <c r="J1791">
        <v>1</v>
      </c>
      <c r="K1791">
        <v>2200</v>
      </c>
      <c r="L1791">
        <v>3500</v>
      </c>
      <c r="M1791">
        <v>3500</v>
      </c>
      <c r="N1791" t="s">
        <v>39</v>
      </c>
    </row>
    <row r="1792" spans="1:14" x14ac:dyDescent="0.25">
      <c r="A1792" t="s">
        <v>1615</v>
      </c>
      <c r="B1792" t="s">
        <v>2184</v>
      </c>
      <c r="C1792" t="s">
        <v>822</v>
      </c>
      <c r="D1792" t="s">
        <v>817</v>
      </c>
      <c r="E1792" t="s">
        <v>818</v>
      </c>
      <c r="F1792" t="s">
        <v>823</v>
      </c>
      <c r="G1792" t="s">
        <v>16</v>
      </c>
      <c r="H1792" t="s">
        <v>819</v>
      </c>
      <c r="I1792" t="s">
        <v>820</v>
      </c>
      <c r="J1792">
        <v>1</v>
      </c>
      <c r="K1792">
        <v>23450</v>
      </c>
      <c r="L1792">
        <v>30900</v>
      </c>
      <c r="M1792">
        <v>30900</v>
      </c>
      <c r="N1792" t="s">
        <v>39</v>
      </c>
    </row>
    <row r="1793" spans="1:14" x14ac:dyDescent="0.25">
      <c r="A1793" t="s">
        <v>1615</v>
      </c>
      <c r="B1793" t="s">
        <v>2184</v>
      </c>
      <c r="C1793" t="s">
        <v>822</v>
      </c>
      <c r="D1793" t="s">
        <v>817</v>
      </c>
      <c r="E1793" t="s">
        <v>818</v>
      </c>
      <c r="F1793" t="s">
        <v>823</v>
      </c>
      <c r="G1793" t="s">
        <v>16</v>
      </c>
      <c r="H1793" t="s">
        <v>819</v>
      </c>
      <c r="I1793" t="s">
        <v>189</v>
      </c>
      <c r="J1793">
        <v>1</v>
      </c>
      <c r="K1793">
        <v>500</v>
      </c>
      <c r="L1793">
        <v>700</v>
      </c>
      <c r="M1793">
        <v>700</v>
      </c>
      <c r="N1793" t="s">
        <v>39</v>
      </c>
    </row>
    <row r="1794" spans="1:14" x14ac:dyDescent="0.25">
      <c r="A1794" t="s">
        <v>1615</v>
      </c>
      <c r="B1794" t="s">
        <v>2184</v>
      </c>
      <c r="C1794" t="s">
        <v>822</v>
      </c>
      <c r="D1794" t="s">
        <v>817</v>
      </c>
      <c r="E1794" t="s">
        <v>818</v>
      </c>
      <c r="F1794" t="s">
        <v>823</v>
      </c>
      <c r="G1794" t="s">
        <v>16</v>
      </c>
      <c r="H1794" t="s">
        <v>819</v>
      </c>
      <c r="I1794" t="s">
        <v>190</v>
      </c>
      <c r="J1794">
        <v>1</v>
      </c>
      <c r="K1794">
        <v>350</v>
      </c>
      <c r="L1794">
        <v>500</v>
      </c>
      <c r="M1794">
        <v>500</v>
      </c>
      <c r="N1794" t="s">
        <v>39</v>
      </c>
    </row>
    <row r="1795" spans="1:14" x14ac:dyDescent="0.25">
      <c r="A1795" t="s">
        <v>1615</v>
      </c>
      <c r="B1795" t="s">
        <v>2184</v>
      </c>
      <c r="C1795" t="s">
        <v>822</v>
      </c>
      <c r="D1795" t="s">
        <v>817</v>
      </c>
      <c r="E1795" t="s">
        <v>818</v>
      </c>
      <c r="F1795" t="s">
        <v>823</v>
      </c>
      <c r="G1795" t="s">
        <v>16</v>
      </c>
      <c r="H1795" t="s">
        <v>819</v>
      </c>
      <c r="I1795" t="s">
        <v>151</v>
      </c>
      <c r="J1795">
        <v>1</v>
      </c>
      <c r="K1795">
        <v>2000</v>
      </c>
      <c r="L1795">
        <v>3000</v>
      </c>
      <c r="M1795">
        <v>3000</v>
      </c>
      <c r="N1795" t="s">
        <v>39</v>
      </c>
    </row>
    <row r="1796" spans="1:14" x14ac:dyDescent="0.25">
      <c r="A1796" t="s">
        <v>1615</v>
      </c>
      <c r="B1796" t="s">
        <v>2184</v>
      </c>
      <c r="C1796" t="s">
        <v>822</v>
      </c>
      <c r="D1796" t="s">
        <v>817</v>
      </c>
      <c r="E1796" t="s">
        <v>818</v>
      </c>
      <c r="F1796" t="s">
        <v>823</v>
      </c>
      <c r="G1796" t="s">
        <v>16</v>
      </c>
      <c r="H1796" t="s">
        <v>819</v>
      </c>
      <c r="I1796" t="s">
        <v>63</v>
      </c>
      <c r="J1796">
        <v>1</v>
      </c>
      <c r="K1796">
        <v>400</v>
      </c>
      <c r="L1796">
        <v>400</v>
      </c>
      <c r="M1796">
        <v>400</v>
      </c>
      <c r="N1796" t="s">
        <v>39</v>
      </c>
    </row>
    <row r="1797" spans="1:14" x14ac:dyDescent="0.25">
      <c r="A1797" t="s">
        <v>1614</v>
      </c>
      <c r="B1797" t="s">
        <v>2185</v>
      </c>
      <c r="C1797" t="s">
        <v>825</v>
      </c>
      <c r="D1797" t="s">
        <v>817</v>
      </c>
      <c r="E1797" t="s">
        <v>818</v>
      </c>
      <c r="F1797" t="s">
        <v>826</v>
      </c>
      <c r="G1797" t="s">
        <v>16</v>
      </c>
      <c r="H1797" t="s">
        <v>819</v>
      </c>
      <c r="I1797" t="s">
        <v>827</v>
      </c>
      <c r="J1797">
        <v>2</v>
      </c>
      <c r="K1797">
        <v>15000</v>
      </c>
      <c r="L1797">
        <v>15000</v>
      </c>
      <c r="M1797">
        <v>30000</v>
      </c>
      <c r="N1797" t="s">
        <v>39</v>
      </c>
    </row>
    <row r="1798" spans="1:14" x14ac:dyDescent="0.25">
      <c r="A1798" t="s">
        <v>1609</v>
      </c>
      <c r="B1798" t="s">
        <v>2186</v>
      </c>
      <c r="C1798" t="s">
        <v>943</v>
      </c>
      <c r="D1798" t="s">
        <v>191</v>
      </c>
      <c r="E1798" t="s">
        <v>192</v>
      </c>
      <c r="F1798" t="s">
        <v>15</v>
      </c>
      <c r="G1798" t="s">
        <v>22</v>
      </c>
      <c r="H1798" t="s">
        <v>819</v>
      </c>
      <c r="I1798" t="s">
        <v>581</v>
      </c>
      <c r="J1798">
        <v>1</v>
      </c>
      <c r="K1798">
        <v>9500</v>
      </c>
      <c r="L1798">
        <v>13500</v>
      </c>
      <c r="M1798">
        <v>13500</v>
      </c>
      <c r="N1798" t="s">
        <v>19</v>
      </c>
    </row>
    <row r="1799" spans="1:14" x14ac:dyDescent="0.25">
      <c r="A1799" t="s">
        <v>1609</v>
      </c>
      <c r="B1799" t="s">
        <v>2186</v>
      </c>
      <c r="C1799" t="s">
        <v>943</v>
      </c>
      <c r="D1799" t="s">
        <v>191</v>
      </c>
      <c r="E1799" t="s">
        <v>192</v>
      </c>
      <c r="F1799" t="s">
        <v>15</v>
      </c>
      <c r="G1799" t="s">
        <v>22</v>
      </c>
      <c r="H1799" t="s">
        <v>819</v>
      </c>
      <c r="I1799" t="s">
        <v>76</v>
      </c>
      <c r="J1799">
        <v>1</v>
      </c>
      <c r="K1799">
        <v>1500</v>
      </c>
      <c r="L1799">
        <v>1500</v>
      </c>
      <c r="M1799">
        <v>1500</v>
      </c>
      <c r="N1799" t="s">
        <v>19</v>
      </c>
    </row>
    <row r="1800" spans="1:14" x14ac:dyDescent="0.25">
      <c r="A1800" t="s">
        <v>1507</v>
      </c>
      <c r="B1800" t="s">
        <v>2187</v>
      </c>
      <c r="C1800" t="s">
        <v>944</v>
      </c>
      <c r="D1800" t="s">
        <v>20</v>
      </c>
      <c r="E1800" t="s">
        <v>119</v>
      </c>
      <c r="F1800" t="s">
        <v>15</v>
      </c>
      <c r="G1800" t="s">
        <v>22</v>
      </c>
      <c r="H1800" t="s">
        <v>819</v>
      </c>
      <c r="I1800" t="s">
        <v>121</v>
      </c>
      <c r="J1800">
        <v>50</v>
      </c>
      <c r="K1800">
        <v>32</v>
      </c>
      <c r="L1800">
        <v>50</v>
      </c>
      <c r="M1800">
        <v>2500</v>
      </c>
      <c r="N1800" t="s">
        <v>19</v>
      </c>
    </row>
    <row r="1801" spans="1:14" x14ac:dyDescent="0.25">
      <c r="A1801" t="s">
        <v>1507</v>
      </c>
      <c r="B1801" t="s">
        <v>2188</v>
      </c>
      <c r="C1801" t="s">
        <v>72</v>
      </c>
      <c r="D1801" t="s">
        <v>20</v>
      </c>
      <c r="E1801" t="s">
        <v>119</v>
      </c>
      <c r="F1801" t="s">
        <v>15</v>
      </c>
      <c r="G1801" t="s">
        <v>22</v>
      </c>
      <c r="H1801" t="s">
        <v>819</v>
      </c>
      <c r="I1801" t="s">
        <v>121</v>
      </c>
      <c r="J1801">
        <v>50</v>
      </c>
      <c r="K1801">
        <v>32</v>
      </c>
      <c r="L1801">
        <v>50</v>
      </c>
      <c r="M1801">
        <v>2500</v>
      </c>
      <c r="N1801" t="s">
        <v>19</v>
      </c>
    </row>
    <row r="1802" spans="1:14" x14ac:dyDescent="0.25">
      <c r="A1802" t="s">
        <v>1660</v>
      </c>
      <c r="B1802" t="s">
        <v>2189</v>
      </c>
      <c r="C1802" t="s">
        <v>829</v>
      </c>
      <c r="D1802" t="s">
        <v>296</v>
      </c>
      <c r="E1802" t="s">
        <v>296</v>
      </c>
      <c r="F1802" t="s">
        <v>830</v>
      </c>
      <c r="G1802" t="s">
        <v>831</v>
      </c>
      <c r="H1802" t="s">
        <v>832</v>
      </c>
      <c r="I1802" t="s">
        <v>116</v>
      </c>
      <c r="J1802">
        <v>10</v>
      </c>
      <c r="K1802">
        <v>2185</v>
      </c>
      <c r="L1802">
        <v>3000</v>
      </c>
      <c r="M1802">
        <v>30000</v>
      </c>
      <c r="N1802" t="s">
        <v>39</v>
      </c>
    </row>
    <row r="1803" spans="1:14" x14ac:dyDescent="0.25">
      <c r="A1803" t="s">
        <v>1660</v>
      </c>
      <c r="B1803" t="s">
        <v>2189</v>
      </c>
      <c r="C1803" t="s">
        <v>829</v>
      </c>
      <c r="D1803" t="s">
        <v>296</v>
      </c>
      <c r="E1803" t="s">
        <v>296</v>
      </c>
      <c r="F1803" t="s">
        <v>830</v>
      </c>
      <c r="G1803" t="s">
        <v>831</v>
      </c>
      <c r="H1803" t="s">
        <v>832</v>
      </c>
      <c r="I1803" t="s">
        <v>93</v>
      </c>
      <c r="J1803">
        <v>2</v>
      </c>
      <c r="K1803">
        <v>11000</v>
      </c>
      <c r="L1803">
        <v>15250</v>
      </c>
      <c r="M1803">
        <v>30500</v>
      </c>
      <c r="N1803" t="s">
        <v>39</v>
      </c>
    </row>
    <row r="1804" spans="1:14" x14ac:dyDescent="0.25">
      <c r="A1804" t="s">
        <v>1660</v>
      </c>
      <c r="B1804" t="s">
        <v>2189</v>
      </c>
      <c r="C1804" t="s">
        <v>829</v>
      </c>
      <c r="D1804" t="s">
        <v>296</v>
      </c>
      <c r="E1804" t="s">
        <v>296</v>
      </c>
      <c r="F1804" t="s">
        <v>830</v>
      </c>
      <c r="G1804" t="s">
        <v>831</v>
      </c>
      <c r="H1804" t="s">
        <v>832</v>
      </c>
      <c r="I1804" t="s">
        <v>76</v>
      </c>
      <c r="J1804">
        <v>1</v>
      </c>
      <c r="K1804">
        <v>500</v>
      </c>
      <c r="L1804">
        <v>500</v>
      </c>
      <c r="M1804">
        <v>500</v>
      </c>
      <c r="N1804" t="s">
        <v>39</v>
      </c>
    </row>
    <row r="1805" spans="1:14" x14ac:dyDescent="0.25">
      <c r="A1805" t="s">
        <v>1641</v>
      </c>
      <c r="B1805" t="s">
        <v>2190</v>
      </c>
      <c r="C1805" t="s">
        <v>846</v>
      </c>
      <c r="D1805" t="s">
        <v>224</v>
      </c>
      <c r="E1805" t="s">
        <v>225</v>
      </c>
      <c r="F1805" t="s">
        <v>226</v>
      </c>
      <c r="G1805" t="s">
        <v>37</v>
      </c>
      <c r="H1805" t="s">
        <v>847</v>
      </c>
      <c r="I1805" t="s">
        <v>331</v>
      </c>
      <c r="J1805">
        <v>1</v>
      </c>
      <c r="K1805">
        <v>21000</v>
      </c>
      <c r="L1805">
        <v>21000</v>
      </c>
      <c r="M1805">
        <v>21000</v>
      </c>
      <c r="N1805" t="s">
        <v>39</v>
      </c>
    </row>
    <row r="1806" spans="1:14" x14ac:dyDescent="0.25">
      <c r="A1806" t="s">
        <v>1641</v>
      </c>
      <c r="B1806" t="s">
        <v>2190</v>
      </c>
      <c r="C1806" t="s">
        <v>846</v>
      </c>
      <c r="D1806" t="s">
        <v>224</v>
      </c>
      <c r="E1806" t="s">
        <v>225</v>
      </c>
      <c r="F1806" t="s">
        <v>226</v>
      </c>
      <c r="G1806" t="s">
        <v>37</v>
      </c>
      <c r="H1806" t="s">
        <v>847</v>
      </c>
      <c r="I1806" t="s">
        <v>848</v>
      </c>
      <c r="J1806">
        <v>1</v>
      </c>
      <c r="K1806">
        <v>15000</v>
      </c>
      <c r="L1806">
        <v>15000</v>
      </c>
      <c r="M1806">
        <v>15000</v>
      </c>
      <c r="N1806" t="s">
        <v>39</v>
      </c>
    </row>
    <row r="1807" spans="1:14" x14ac:dyDescent="0.25">
      <c r="A1807" t="s">
        <v>1539</v>
      </c>
      <c r="B1807" t="s">
        <v>2191</v>
      </c>
      <c r="C1807" t="s">
        <v>495</v>
      </c>
      <c r="D1807" t="s">
        <v>1171</v>
      </c>
      <c r="E1807" t="s">
        <v>1172</v>
      </c>
      <c r="F1807" t="s">
        <v>15</v>
      </c>
      <c r="G1807" t="s">
        <v>1043</v>
      </c>
      <c r="H1807" t="s">
        <v>1173</v>
      </c>
      <c r="I1807" t="s">
        <v>1110</v>
      </c>
      <c r="J1807">
        <v>1</v>
      </c>
      <c r="K1807">
        <v>3675</v>
      </c>
      <c r="L1807">
        <v>10500</v>
      </c>
      <c r="M1807">
        <v>10500</v>
      </c>
      <c r="N1807" t="s">
        <v>19</v>
      </c>
    </row>
    <row r="1808" spans="1:14" x14ac:dyDescent="0.25">
      <c r="A1808" t="s">
        <v>1539</v>
      </c>
      <c r="B1808" t="s">
        <v>2191</v>
      </c>
      <c r="C1808" t="s">
        <v>495</v>
      </c>
      <c r="D1808" t="s">
        <v>1171</v>
      </c>
      <c r="E1808" t="s">
        <v>1172</v>
      </c>
      <c r="F1808" t="s">
        <v>15</v>
      </c>
      <c r="G1808" t="s">
        <v>1043</v>
      </c>
      <c r="H1808" t="s">
        <v>1173</v>
      </c>
      <c r="I1808" t="s">
        <v>1011</v>
      </c>
      <c r="J1808">
        <v>1</v>
      </c>
      <c r="K1808">
        <v>9500</v>
      </c>
      <c r="L1808">
        <v>9500</v>
      </c>
      <c r="M1808">
        <v>9500</v>
      </c>
      <c r="N1808" t="s">
        <v>19</v>
      </c>
    </row>
    <row r="1809" spans="1:14" x14ac:dyDescent="0.25">
      <c r="A1809" t="s">
        <v>1539</v>
      </c>
      <c r="B1809" t="s">
        <v>2191</v>
      </c>
      <c r="C1809" t="s">
        <v>495</v>
      </c>
      <c r="D1809" t="s">
        <v>1171</v>
      </c>
      <c r="E1809" t="s">
        <v>1172</v>
      </c>
      <c r="F1809" t="s">
        <v>15</v>
      </c>
      <c r="G1809" t="s">
        <v>1043</v>
      </c>
      <c r="H1809" t="s">
        <v>1173</v>
      </c>
      <c r="I1809" t="s">
        <v>24</v>
      </c>
      <c r="J1809">
        <v>1</v>
      </c>
      <c r="K1809">
        <v>9000</v>
      </c>
      <c r="L1809">
        <v>9000</v>
      </c>
      <c r="M1809">
        <v>9000</v>
      </c>
      <c r="N1809" t="s">
        <v>19</v>
      </c>
    </row>
    <row r="1810" spans="1:14" x14ac:dyDescent="0.25">
      <c r="A1810" t="s">
        <v>1539</v>
      </c>
      <c r="B1810" t="s">
        <v>2191</v>
      </c>
      <c r="C1810" t="s">
        <v>495</v>
      </c>
      <c r="D1810" t="s">
        <v>1171</v>
      </c>
      <c r="E1810" t="s">
        <v>1172</v>
      </c>
      <c r="F1810" t="s">
        <v>15</v>
      </c>
      <c r="G1810" t="s">
        <v>1043</v>
      </c>
      <c r="H1810" t="s">
        <v>1173</v>
      </c>
      <c r="I1810" t="s">
        <v>26</v>
      </c>
      <c r="J1810">
        <v>1</v>
      </c>
      <c r="K1810">
        <v>500</v>
      </c>
      <c r="L1810">
        <v>500</v>
      </c>
      <c r="M1810">
        <v>500</v>
      </c>
      <c r="N1810" t="s">
        <v>19</v>
      </c>
    </row>
    <row r="1811" spans="1:14" x14ac:dyDescent="0.25">
      <c r="A1811" t="s">
        <v>1539</v>
      </c>
      <c r="B1811" t="s">
        <v>2191</v>
      </c>
      <c r="C1811" t="s">
        <v>495</v>
      </c>
      <c r="D1811" t="s">
        <v>1171</v>
      </c>
      <c r="E1811" t="s">
        <v>1172</v>
      </c>
      <c r="F1811" t="s">
        <v>15</v>
      </c>
      <c r="G1811" t="s">
        <v>1043</v>
      </c>
      <c r="H1811" t="s">
        <v>1173</v>
      </c>
      <c r="I1811" t="s">
        <v>1119</v>
      </c>
      <c r="J1811">
        <v>1</v>
      </c>
      <c r="K1811">
        <v>20800</v>
      </c>
      <c r="L1811">
        <v>26000</v>
      </c>
      <c r="M1811">
        <v>26000</v>
      </c>
      <c r="N1811" t="s">
        <v>19</v>
      </c>
    </row>
    <row r="1812" spans="1:14" x14ac:dyDescent="0.25">
      <c r="A1812" t="s">
        <v>1539</v>
      </c>
      <c r="B1812" t="s">
        <v>2191</v>
      </c>
      <c r="C1812" t="s">
        <v>495</v>
      </c>
      <c r="D1812" t="s">
        <v>1171</v>
      </c>
      <c r="E1812" t="s">
        <v>1172</v>
      </c>
      <c r="F1812" t="s">
        <v>15</v>
      </c>
      <c r="G1812" t="s">
        <v>1043</v>
      </c>
      <c r="H1812" t="s">
        <v>1173</v>
      </c>
      <c r="I1812" t="s">
        <v>1120</v>
      </c>
      <c r="J1812">
        <v>1</v>
      </c>
      <c r="K1812">
        <v>2334</v>
      </c>
      <c r="L1812">
        <v>4000</v>
      </c>
      <c r="M1812">
        <v>4000</v>
      </c>
      <c r="N1812" t="s">
        <v>19</v>
      </c>
    </row>
    <row r="1813" spans="1:14" x14ac:dyDescent="0.25">
      <c r="A1813" t="s">
        <v>1539</v>
      </c>
      <c r="B1813" t="s">
        <v>2191</v>
      </c>
      <c r="C1813" t="s">
        <v>495</v>
      </c>
      <c r="D1813" t="s">
        <v>1171</v>
      </c>
      <c r="E1813" t="s">
        <v>1172</v>
      </c>
      <c r="F1813" t="s">
        <v>15</v>
      </c>
      <c r="G1813" t="s">
        <v>1043</v>
      </c>
      <c r="H1813" t="s">
        <v>1173</v>
      </c>
      <c r="I1813" t="s">
        <v>151</v>
      </c>
      <c r="J1813">
        <v>1</v>
      </c>
      <c r="K1813">
        <v>2000</v>
      </c>
      <c r="L1813">
        <v>4000</v>
      </c>
      <c r="M1813">
        <v>4000</v>
      </c>
      <c r="N1813" t="s">
        <v>19</v>
      </c>
    </row>
    <row r="1814" spans="1:14" x14ac:dyDescent="0.25">
      <c r="A1814" t="s">
        <v>1539</v>
      </c>
      <c r="B1814" t="s">
        <v>2191</v>
      </c>
      <c r="C1814" t="s">
        <v>495</v>
      </c>
      <c r="D1814" t="s">
        <v>1171</v>
      </c>
      <c r="E1814" t="s">
        <v>1172</v>
      </c>
      <c r="F1814" t="s">
        <v>15</v>
      </c>
      <c r="G1814" t="s">
        <v>1043</v>
      </c>
      <c r="H1814" t="s">
        <v>1173</v>
      </c>
      <c r="I1814" t="s">
        <v>189</v>
      </c>
      <c r="J1814">
        <v>1</v>
      </c>
      <c r="K1814">
        <v>500</v>
      </c>
      <c r="L1814">
        <v>600</v>
      </c>
      <c r="M1814">
        <v>600</v>
      </c>
      <c r="N1814" t="s">
        <v>19</v>
      </c>
    </row>
    <row r="1815" spans="1:14" x14ac:dyDescent="0.25">
      <c r="A1815" t="s">
        <v>1539</v>
      </c>
      <c r="B1815" t="s">
        <v>2191</v>
      </c>
      <c r="C1815" t="s">
        <v>495</v>
      </c>
      <c r="D1815" t="s">
        <v>1171</v>
      </c>
      <c r="E1815" t="s">
        <v>1172</v>
      </c>
      <c r="F1815" t="s">
        <v>15</v>
      </c>
      <c r="G1815" t="s">
        <v>1043</v>
      </c>
      <c r="H1815" t="s">
        <v>1173</v>
      </c>
      <c r="I1815" t="s">
        <v>1033</v>
      </c>
      <c r="J1815">
        <v>1</v>
      </c>
      <c r="K1815">
        <v>350</v>
      </c>
      <c r="L1815">
        <v>400</v>
      </c>
      <c r="M1815">
        <v>400</v>
      </c>
      <c r="N1815" t="s">
        <v>19</v>
      </c>
    </row>
    <row r="1816" spans="1:14" x14ac:dyDescent="0.25">
      <c r="A1816" t="s">
        <v>1539</v>
      </c>
      <c r="B1816" t="s">
        <v>2191</v>
      </c>
      <c r="C1816" t="s">
        <v>495</v>
      </c>
      <c r="D1816" t="s">
        <v>1171</v>
      </c>
      <c r="E1816" t="s">
        <v>1172</v>
      </c>
      <c r="F1816" t="s">
        <v>15</v>
      </c>
      <c r="G1816" t="s">
        <v>1043</v>
      </c>
      <c r="H1816" t="s">
        <v>1173</v>
      </c>
      <c r="I1816" t="s">
        <v>1174</v>
      </c>
      <c r="J1816">
        <v>1</v>
      </c>
      <c r="K1816">
        <v>3000</v>
      </c>
      <c r="L1816">
        <v>4500</v>
      </c>
      <c r="M1816">
        <v>4500</v>
      </c>
      <c r="N1816" t="s">
        <v>19</v>
      </c>
    </row>
    <row r="1817" spans="1:14" x14ac:dyDescent="0.25">
      <c r="A1817" t="s">
        <v>1539</v>
      </c>
      <c r="B1817" t="s">
        <v>2191</v>
      </c>
      <c r="C1817" t="s">
        <v>495</v>
      </c>
      <c r="D1817" t="s">
        <v>1171</v>
      </c>
      <c r="E1817" t="s">
        <v>1172</v>
      </c>
      <c r="F1817" t="s">
        <v>15</v>
      </c>
      <c r="G1817" t="s">
        <v>1043</v>
      </c>
      <c r="H1817" t="s">
        <v>1173</v>
      </c>
      <c r="I1817" t="s">
        <v>1015</v>
      </c>
      <c r="J1817">
        <v>1</v>
      </c>
      <c r="K1817">
        <v>4250</v>
      </c>
      <c r="L1817">
        <v>6000</v>
      </c>
      <c r="M1817">
        <v>6000</v>
      </c>
      <c r="N1817" t="s">
        <v>19</v>
      </c>
    </row>
    <row r="1818" spans="1:14" x14ac:dyDescent="0.25">
      <c r="A1818" t="s">
        <v>1539</v>
      </c>
      <c r="B1818" t="s">
        <v>2191</v>
      </c>
      <c r="C1818" t="s">
        <v>495</v>
      </c>
      <c r="D1818" t="s">
        <v>1171</v>
      </c>
      <c r="E1818" t="s">
        <v>1172</v>
      </c>
      <c r="F1818" t="s">
        <v>15</v>
      </c>
      <c r="G1818" t="s">
        <v>1043</v>
      </c>
      <c r="H1818" t="s">
        <v>1173</v>
      </c>
      <c r="I1818" t="s">
        <v>116</v>
      </c>
      <c r="J1818">
        <v>1</v>
      </c>
      <c r="K1818">
        <v>2185</v>
      </c>
      <c r="L1818">
        <v>3000</v>
      </c>
      <c r="M1818">
        <v>3000</v>
      </c>
      <c r="N1818" t="s">
        <v>19</v>
      </c>
    </row>
    <row r="1819" spans="1:14" x14ac:dyDescent="0.25">
      <c r="A1819" t="s">
        <v>1539</v>
      </c>
      <c r="B1819" t="s">
        <v>2191</v>
      </c>
      <c r="C1819" t="s">
        <v>495</v>
      </c>
      <c r="D1819" t="s">
        <v>1171</v>
      </c>
      <c r="E1819" t="s">
        <v>1172</v>
      </c>
      <c r="F1819" t="s">
        <v>15</v>
      </c>
      <c r="G1819" t="s">
        <v>1043</v>
      </c>
      <c r="H1819" t="s">
        <v>1173</v>
      </c>
      <c r="I1819" t="s">
        <v>1016</v>
      </c>
      <c r="J1819">
        <v>1</v>
      </c>
      <c r="K1819">
        <v>8500</v>
      </c>
      <c r="L1819">
        <v>12000</v>
      </c>
      <c r="M1819">
        <v>12000</v>
      </c>
      <c r="N1819" t="s">
        <v>19</v>
      </c>
    </row>
    <row r="1820" spans="1:14" x14ac:dyDescent="0.25">
      <c r="A1820" t="s">
        <v>1539</v>
      </c>
      <c r="B1820" t="s">
        <v>2191</v>
      </c>
      <c r="C1820" t="s">
        <v>495</v>
      </c>
      <c r="D1820" t="s">
        <v>1171</v>
      </c>
      <c r="E1820" t="s">
        <v>1172</v>
      </c>
      <c r="F1820" t="s">
        <v>15</v>
      </c>
      <c r="G1820" t="s">
        <v>1043</v>
      </c>
      <c r="H1820" t="s">
        <v>1173</v>
      </c>
      <c r="I1820" t="s">
        <v>97</v>
      </c>
      <c r="J1820">
        <v>1</v>
      </c>
      <c r="K1820">
        <v>2200</v>
      </c>
      <c r="L1820">
        <v>3500</v>
      </c>
      <c r="M1820">
        <v>3500</v>
      </c>
      <c r="N1820" t="s">
        <v>19</v>
      </c>
    </row>
    <row r="1821" spans="1:14" x14ac:dyDescent="0.25">
      <c r="A1821" t="s">
        <v>1539</v>
      </c>
      <c r="B1821" t="s">
        <v>2191</v>
      </c>
      <c r="C1821" t="s">
        <v>495</v>
      </c>
      <c r="D1821" t="s">
        <v>1171</v>
      </c>
      <c r="E1821" t="s">
        <v>1172</v>
      </c>
      <c r="F1821" t="s">
        <v>15</v>
      </c>
      <c r="G1821" t="s">
        <v>1043</v>
      </c>
      <c r="H1821" t="s">
        <v>1173</v>
      </c>
      <c r="I1821" t="s">
        <v>63</v>
      </c>
      <c r="J1821">
        <v>1</v>
      </c>
      <c r="K1821">
        <v>500</v>
      </c>
      <c r="L1821">
        <v>500</v>
      </c>
      <c r="M1821">
        <v>500</v>
      </c>
      <c r="N1821" t="s">
        <v>19</v>
      </c>
    </row>
    <row r="1822" spans="1:14" x14ac:dyDescent="0.25">
      <c r="A1822" t="s">
        <v>1699</v>
      </c>
      <c r="B1822" t="s">
        <v>2192</v>
      </c>
      <c r="C1822" t="s">
        <v>833</v>
      </c>
      <c r="D1822" t="s">
        <v>246</v>
      </c>
      <c r="E1822" t="s">
        <v>247</v>
      </c>
      <c r="F1822" t="s">
        <v>15</v>
      </c>
      <c r="G1822" t="s">
        <v>16</v>
      </c>
      <c r="H1822" t="s">
        <v>834</v>
      </c>
      <c r="I1822" t="s">
        <v>129</v>
      </c>
      <c r="J1822">
        <v>1</v>
      </c>
      <c r="K1822">
        <v>5740.5</v>
      </c>
      <c r="L1822">
        <v>8000</v>
      </c>
      <c r="M1822">
        <v>8000</v>
      </c>
      <c r="N1822" t="s">
        <v>19</v>
      </c>
    </row>
    <row r="1823" spans="1:14" x14ac:dyDescent="0.25">
      <c r="A1823" t="s">
        <v>1486</v>
      </c>
      <c r="B1823" t="s">
        <v>2193</v>
      </c>
      <c r="C1823" t="s">
        <v>948</v>
      </c>
      <c r="D1823" t="s">
        <v>20</v>
      </c>
      <c r="E1823" t="s">
        <v>31</v>
      </c>
      <c r="F1823" t="s">
        <v>15</v>
      </c>
      <c r="G1823" t="s">
        <v>22</v>
      </c>
      <c r="H1823" t="s">
        <v>834</v>
      </c>
      <c r="I1823" t="s">
        <v>154</v>
      </c>
      <c r="J1823">
        <v>5</v>
      </c>
      <c r="K1823">
        <v>965</v>
      </c>
      <c r="L1823">
        <v>1300</v>
      </c>
      <c r="M1823">
        <v>6500</v>
      </c>
      <c r="N1823" t="s">
        <v>19</v>
      </c>
    </row>
    <row r="1824" spans="1:14" x14ac:dyDescent="0.25">
      <c r="A1824" t="s">
        <v>1625</v>
      </c>
      <c r="B1824" t="s">
        <v>2194</v>
      </c>
      <c r="C1824" t="s">
        <v>836</v>
      </c>
      <c r="D1824" t="s">
        <v>431</v>
      </c>
      <c r="E1824" t="s">
        <v>239</v>
      </c>
      <c r="F1824" t="s">
        <v>15</v>
      </c>
      <c r="G1824" t="s">
        <v>37</v>
      </c>
      <c r="H1824" t="s">
        <v>837</v>
      </c>
      <c r="I1824" t="s">
        <v>154</v>
      </c>
      <c r="J1824">
        <v>1</v>
      </c>
      <c r="K1824">
        <v>1100</v>
      </c>
      <c r="L1824">
        <v>1300</v>
      </c>
      <c r="M1824">
        <v>1300</v>
      </c>
      <c r="N1824" t="s">
        <v>19</v>
      </c>
    </row>
    <row r="1825" spans="1:14" x14ac:dyDescent="0.25">
      <c r="A1825" t="s">
        <v>1625</v>
      </c>
      <c r="B1825" t="s">
        <v>2194</v>
      </c>
      <c r="C1825" t="s">
        <v>836</v>
      </c>
      <c r="D1825" t="s">
        <v>431</v>
      </c>
      <c r="E1825" t="s">
        <v>239</v>
      </c>
      <c r="F1825" t="s">
        <v>15</v>
      </c>
      <c r="G1825" t="s">
        <v>37</v>
      </c>
      <c r="H1825" t="s">
        <v>837</v>
      </c>
      <c r="I1825" t="s">
        <v>333</v>
      </c>
      <c r="J1825">
        <v>1</v>
      </c>
      <c r="K1825">
        <v>20</v>
      </c>
      <c r="L1825">
        <v>100</v>
      </c>
      <c r="M1825">
        <v>100</v>
      </c>
      <c r="N1825" t="s">
        <v>19</v>
      </c>
    </row>
    <row r="1826" spans="1:14" x14ac:dyDescent="0.25">
      <c r="A1826" t="s">
        <v>1469</v>
      </c>
      <c r="B1826" t="s">
        <v>2195</v>
      </c>
      <c r="C1826" t="s">
        <v>839</v>
      </c>
      <c r="D1826" t="s">
        <v>363</v>
      </c>
      <c r="E1826" t="s">
        <v>364</v>
      </c>
      <c r="F1826" t="s">
        <v>15</v>
      </c>
      <c r="G1826" t="s">
        <v>37</v>
      </c>
      <c r="H1826" t="s">
        <v>837</v>
      </c>
      <c r="I1826" t="s">
        <v>38</v>
      </c>
      <c r="J1826">
        <v>1</v>
      </c>
      <c r="K1826">
        <v>8500</v>
      </c>
      <c r="L1826">
        <v>11600</v>
      </c>
      <c r="M1826">
        <v>11600</v>
      </c>
      <c r="N1826" t="s">
        <v>19</v>
      </c>
    </row>
    <row r="1827" spans="1:14" x14ac:dyDescent="0.25">
      <c r="A1827" t="s">
        <v>1469</v>
      </c>
      <c r="B1827" t="s">
        <v>2195</v>
      </c>
      <c r="C1827" t="s">
        <v>839</v>
      </c>
      <c r="D1827" t="s">
        <v>363</v>
      </c>
      <c r="E1827" t="s">
        <v>364</v>
      </c>
      <c r="F1827" t="s">
        <v>15</v>
      </c>
      <c r="G1827" t="s">
        <v>37</v>
      </c>
      <c r="H1827" t="s">
        <v>837</v>
      </c>
      <c r="I1827" t="s">
        <v>63</v>
      </c>
      <c r="J1827">
        <v>1</v>
      </c>
      <c r="K1827">
        <v>400</v>
      </c>
      <c r="L1827">
        <v>400</v>
      </c>
      <c r="M1827">
        <v>400</v>
      </c>
      <c r="N1827" t="s">
        <v>19</v>
      </c>
    </row>
    <row r="1828" spans="1:14" x14ac:dyDescent="0.25">
      <c r="A1828" t="s">
        <v>1693</v>
      </c>
      <c r="B1828" t="s">
        <v>2196</v>
      </c>
      <c r="C1828" t="s">
        <v>842</v>
      </c>
      <c r="D1828" t="s">
        <v>706</v>
      </c>
      <c r="E1828" t="s">
        <v>364</v>
      </c>
      <c r="F1828" t="s">
        <v>15</v>
      </c>
      <c r="G1828" t="s">
        <v>37</v>
      </c>
      <c r="H1828" t="s">
        <v>837</v>
      </c>
      <c r="I1828" t="s">
        <v>38</v>
      </c>
      <c r="J1828">
        <v>1</v>
      </c>
      <c r="K1828">
        <v>8500</v>
      </c>
      <c r="L1828">
        <v>11600</v>
      </c>
      <c r="M1828">
        <v>11600</v>
      </c>
      <c r="N1828" t="s">
        <v>19</v>
      </c>
    </row>
    <row r="1829" spans="1:14" x14ac:dyDescent="0.25">
      <c r="A1829" t="s">
        <v>1693</v>
      </c>
      <c r="B1829" t="s">
        <v>2196</v>
      </c>
      <c r="C1829" t="s">
        <v>842</v>
      </c>
      <c r="D1829" t="s">
        <v>706</v>
      </c>
      <c r="E1829" t="s">
        <v>364</v>
      </c>
      <c r="F1829" t="s">
        <v>15</v>
      </c>
      <c r="G1829" t="s">
        <v>37</v>
      </c>
      <c r="H1829" t="s">
        <v>837</v>
      </c>
      <c r="I1829" t="s">
        <v>63</v>
      </c>
      <c r="J1829">
        <v>1</v>
      </c>
      <c r="K1829">
        <v>400</v>
      </c>
      <c r="L1829">
        <v>400</v>
      </c>
      <c r="M1829">
        <v>400</v>
      </c>
      <c r="N1829" t="s">
        <v>19</v>
      </c>
    </row>
    <row r="1830" spans="1:14" x14ac:dyDescent="0.25">
      <c r="A1830" t="s">
        <v>1607</v>
      </c>
      <c r="B1830" t="s">
        <v>2197</v>
      </c>
      <c r="C1830" t="s">
        <v>843</v>
      </c>
      <c r="D1830" t="s">
        <v>844</v>
      </c>
      <c r="E1830" t="s">
        <v>845</v>
      </c>
      <c r="F1830" t="s">
        <v>15</v>
      </c>
      <c r="G1830" t="s">
        <v>22</v>
      </c>
      <c r="H1830" t="s">
        <v>837</v>
      </c>
      <c r="I1830" t="s">
        <v>33</v>
      </c>
      <c r="J1830">
        <v>1</v>
      </c>
      <c r="K1830">
        <v>18000</v>
      </c>
      <c r="L1830">
        <v>18000</v>
      </c>
      <c r="M1830">
        <v>18000</v>
      </c>
      <c r="N1830" t="s">
        <v>19</v>
      </c>
    </row>
    <row r="1831" spans="1:14" x14ac:dyDescent="0.25">
      <c r="A1831" t="s">
        <v>1506</v>
      </c>
      <c r="B1831" t="s">
        <v>2198</v>
      </c>
      <c r="C1831" t="s">
        <v>949</v>
      </c>
      <c r="D1831" t="s">
        <v>20</v>
      </c>
      <c r="E1831" t="s">
        <v>73</v>
      </c>
      <c r="F1831" t="s">
        <v>15</v>
      </c>
      <c r="G1831" t="s">
        <v>22</v>
      </c>
      <c r="H1831" t="s">
        <v>837</v>
      </c>
      <c r="I1831" t="s">
        <v>838</v>
      </c>
      <c r="J1831">
        <v>1</v>
      </c>
      <c r="K1831">
        <v>2975</v>
      </c>
      <c r="L1831">
        <v>8500</v>
      </c>
      <c r="M1831">
        <v>8500</v>
      </c>
      <c r="N1831" t="s">
        <v>19</v>
      </c>
    </row>
    <row r="1832" spans="1:14" x14ac:dyDescent="0.25">
      <c r="A1832" t="s">
        <v>1506</v>
      </c>
      <c r="B1832" t="s">
        <v>2198</v>
      </c>
      <c r="C1832" t="s">
        <v>949</v>
      </c>
      <c r="D1832" t="s">
        <v>20</v>
      </c>
      <c r="E1832" t="s">
        <v>73</v>
      </c>
      <c r="F1832" t="s">
        <v>15</v>
      </c>
      <c r="G1832" t="s">
        <v>22</v>
      </c>
      <c r="H1832" t="s">
        <v>837</v>
      </c>
      <c r="I1832" t="s">
        <v>170</v>
      </c>
      <c r="J1832">
        <v>1</v>
      </c>
      <c r="K1832">
        <v>8250</v>
      </c>
      <c r="L1832">
        <v>8250</v>
      </c>
      <c r="M1832">
        <v>8250</v>
      </c>
      <c r="N1832" t="s">
        <v>19</v>
      </c>
    </row>
    <row r="1833" spans="1:14" x14ac:dyDescent="0.25">
      <c r="A1833" t="s">
        <v>1506</v>
      </c>
      <c r="B1833" t="s">
        <v>2198</v>
      </c>
      <c r="C1833" t="s">
        <v>949</v>
      </c>
      <c r="D1833" t="s">
        <v>20</v>
      </c>
      <c r="E1833" t="s">
        <v>73</v>
      </c>
      <c r="F1833" t="s">
        <v>15</v>
      </c>
      <c r="G1833" t="s">
        <v>22</v>
      </c>
      <c r="H1833" t="s">
        <v>837</v>
      </c>
      <c r="I1833" t="s">
        <v>24</v>
      </c>
      <c r="J1833">
        <v>1</v>
      </c>
      <c r="K1833">
        <v>8250</v>
      </c>
      <c r="L1833">
        <v>8250</v>
      </c>
      <c r="M1833">
        <v>8250</v>
      </c>
      <c r="N1833" t="s">
        <v>19</v>
      </c>
    </row>
    <row r="1834" spans="1:14" x14ac:dyDescent="0.25">
      <c r="A1834" t="s">
        <v>1506</v>
      </c>
      <c r="B1834" t="s">
        <v>2198</v>
      </c>
      <c r="C1834" t="s">
        <v>949</v>
      </c>
      <c r="D1834" t="s">
        <v>20</v>
      </c>
      <c r="E1834" t="s">
        <v>73</v>
      </c>
      <c r="F1834" t="s">
        <v>15</v>
      </c>
      <c r="G1834" t="s">
        <v>22</v>
      </c>
      <c r="H1834" t="s">
        <v>837</v>
      </c>
      <c r="I1834" t="s">
        <v>26</v>
      </c>
      <c r="J1834">
        <v>1</v>
      </c>
      <c r="K1834">
        <v>500</v>
      </c>
      <c r="L1834">
        <v>500</v>
      </c>
      <c r="M1834">
        <v>500</v>
      </c>
      <c r="N1834" t="s">
        <v>19</v>
      </c>
    </row>
    <row r="1835" spans="1:14" x14ac:dyDescent="0.25">
      <c r="A1835" t="s">
        <v>1506</v>
      </c>
      <c r="B1835" t="s">
        <v>2198</v>
      </c>
      <c r="C1835" t="s">
        <v>949</v>
      </c>
      <c r="D1835" t="s">
        <v>20</v>
      </c>
      <c r="E1835" t="s">
        <v>73</v>
      </c>
      <c r="F1835" t="s">
        <v>15</v>
      </c>
      <c r="G1835" t="s">
        <v>22</v>
      </c>
      <c r="H1835" t="s">
        <v>837</v>
      </c>
      <c r="I1835" t="s">
        <v>951</v>
      </c>
      <c r="J1835">
        <v>1</v>
      </c>
      <c r="K1835">
        <v>13000</v>
      </c>
      <c r="L1835">
        <v>16000</v>
      </c>
      <c r="M1835">
        <v>16000</v>
      </c>
      <c r="N1835" t="s">
        <v>19</v>
      </c>
    </row>
    <row r="1836" spans="1:14" x14ac:dyDescent="0.25">
      <c r="A1836" t="s">
        <v>1506</v>
      </c>
      <c r="B1836" t="s">
        <v>2198</v>
      </c>
      <c r="C1836" t="s">
        <v>949</v>
      </c>
      <c r="D1836" t="s">
        <v>20</v>
      </c>
      <c r="E1836" t="s">
        <v>73</v>
      </c>
      <c r="F1836" t="s">
        <v>15</v>
      </c>
      <c r="G1836" t="s">
        <v>22</v>
      </c>
      <c r="H1836" t="s">
        <v>837</v>
      </c>
      <c r="I1836" t="s">
        <v>96</v>
      </c>
      <c r="J1836">
        <v>1</v>
      </c>
      <c r="K1836">
        <v>1350</v>
      </c>
      <c r="L1836">
        <v>2100</v>
      </c>
      <c r="M1836">
        <v>2100</v>
      </c>
      <c r="N1836" t="s">
        <v>19</v>
      </c>
    </row>
    <row r="1837" spans="1:14" x14ac:dyDescent="0.25">
      <c r="A1837" t="s">
        <v>1506</v>
      </c>
      <c r="B1837" t="s">
        <v>2198</v>
      </c>
      <c r="C1837" t="s">
        <v>949</v>
      </c>
      <c r="D1837" t="s">
        <v>20</v>
      </c>
      <c r="E1837" t="s">
        <v>73</v>
      </c>
      <c r="F1837" t="s">
        <v>15</v>
      </c>
      <c r="G1837" t="s">
        <v>22</v>
      </c>
      <c r="H1837" t="s">
        <v>837</v>
      </c>
      <c r="I1837" t="s">
        <v>76</v>
      </c>
      <c r="J1837">
        <v>1</v>
      </c>
      <c r="K1837">
        <v>500</v>
      </c>
      <c r="L1837">
        <v>500</v>
      </c>
      <c r="M1837">
        <v>500</v>
      </c>
      <c r="N1837" t="s">
        <v>19</v>
      </c>
    </row>
    <row r="1838" spans="1:14" x14ac:dyDescent="0.25">
      <c r="A1838" t="s">
        <v>1486</v>
      </c>
      <c r="B1838" t="s">
        <v>2199</v>
      </c>
      <c r="C1838" t="s">
        <v>952</v>
      </c>
      <c r="D1838" t="s">
        <v>20</v>
      </c>
      <c r="E1838" t="s">
        <v>31</v>
      </c>
      <c r="F1838" t="s">
        <v>15</v>
      </c>
      <c r="G1838" t="s">
        <v>22</v>
      </c>
      <c r="H1838" t="s">
        <v>837</v>
      </c>
      <c r="I1838" t="s">
        <v>33</v>
      </c>
      <c r="J1838">
        <v>5</v>
      </c>
      <c r="K1838">
        <v>6500</v>
      </c>
      <c r="L1838">
        <v>6500</v>
      </c>
      <c r="M1838">
        <v>32500</v>
      </c>
      <c r="N1838" t="s">
        <v>19</v>
      </c>
    </row>
    <row r="1839" spans="1:14" x14ac:dyDescent="0.25">
      <c r="A1839" t="s">
        <v>1486</v>
      </c>
      <c r="B1839" t="s">
        <v>2200</v>
      </c>
      <c r="C1839" t="s">
        <v>954</v>
      </c>
      <c r="D1839" t="s">
        <v>20</v>
      </c>
      <c r="E1839" t="s">
        <v>31</v>
      </c>
      <c r="F1839" t="s">
        <v>15</v>
      </c>
      <c r="G1839" t="s">
        <v>22</v>
      </c>
      <c r="H1839" t="s">
        <v>837</v>
      </c>
      <c r="I1839" t="s">
        <v>33</v>
      </c>
      <c r="J1839">
        <v>1</v>
      </c>
      <c r="K1839">
        <v>6500</v>
      </c>
      <c r="L1839">
        <v>6500</v>
      </c>
      <c r="M1839">
        <v>6500</v>
      </c>
      <c r="N1839" t="s">
        <v>19</v>
      </c>
    </row>
    <row r="1840" spans="1:14" x14ac:dyDescent="0.25">
      <c r="A1840" t="s">
        <v>1486</v>
      </c>
      <c r="B1840" t="s">
        <v>2201</v>
      </c>
      <c r="C1840" t="s">
        <v>956</v>
      </c>
      <c r="D1840" t="s">
        <v>20</v>
      </c>
      <c r="E1840" t="s">
        <v>31</v>
      </c>
      <c r="F1840" t="s">
        <v>15</v>
      </c>
      <c r="G1840" t="s">
        <v>22</v>
      </c>
      <c r="H1840" t="s">
        <v>837</v>
      </c>
      <c r="I1840" t="s">
        <v>33</v>
      </c>
      <c r="J1840">
        <v>2</v>
      </c>
      <c r="K1840">
        <v>6500</v>
      </c>
      <c r="L1840">
        <v>6500</v>
      </c>
      <c r="M1840">
        <v>13000</v>
      </c>
      <c r="N1840" t="s">
        <v>19</v>
      </c>
    </row>
    <row r="1841" spans="1:14" x14ac:dyDescent="0.25">
      <c r="A1841" t="s">
        <v>1486</v>
      </c>
      <c r="B1841" t="s">
        <v>2202</v>
      </c>
      <c r="C1841" t="s">
        <v>958</v>
      </c>
      <c r="D1841" t="s">
        <v>20</v>
      </c>
      <c r="E1841" t="s">
        <v>31</v>
      </c>
      <c r="F1841" t="s">
        <v>15</v>
      </c>
      <c r="G1841" t="s">
        <v>22</v>
      </c>
      <c r="H1841" t="s">
        <v>837</v>
      </c>
      <c r="I1841" t="s">
        <v>33</v>
      </c>
      <c r="J1841">
        <v>1</v>
      </c>
      <c r="K1841">
        <v>6500</v>
      </c>
      <c r="L1841">
        <v>6500</v>
      </c>
      <c r="M1841">
        <v>6500</v>
      </c>
      <c r="N1841" t="s">
        <v>19</v>
      </c>
    </row>
    <row r="1842" spans="1:14" x14ac:dyDescent="0.25">
      <c r="A1842" t="s">
        <v>1486</v>
      </c>
      <c r="B1842" t="s">
        <v>2203</v>
      </c>
      <c r="C1842" t="s">
        <v>960</v>
      </c>
      <c r="D1842" t="s">
        <v>20</v>
      </c>
      <c r="E1842" t="s">
        <v>31</v>
      </c>
      <c r="F1842" t="s">
        <v>15</v>
      </c>
      <c r="G1842" t="s">
        <v>22</v>
      </c>
      <c r="H1842" t="s">
        <v>837</v>
      </c>
      <c r="I1842" t="s">
        <v>33</v>
      </c>
      <c r="J1842">
        <v>1</v>
      </c>
      <c r="K1842">
        <v>6500</v>
      </c>
      <c r="L1842">
        <v>6500</v>
      </c>
      <c r="M1842">
        <v>6500</v>
      </c>
      <c r="N1842" t="s">
        <v>19</v>
      </c>
    </row>
    <row r="1843" spans="1:14" x14ac:dyDescent="0.25">
      <c r="A1843" t="s">
        <v>1486</v>
      </c>
      <c r="B1843" t="s">
        <v>2204</v>
      </c>
      <c r="C1843" t="s">
        <v>962</v>
      </c>
      <c r="D1843" t="s">
        <v>20</v>
      </c>
      <c r="E1843" t="s">
        <v>31</v>
      </c>
      <c r="F1843" t="s">
        <v>15</v>
      </c>
      <c r="G1843" t="s">
        <v>22</v>
      </c>
      <c r="H1843" t="s">
        <v>837</v>
      </c>
      <c r="I1843" t="s">
        <v>33</v>
      </c>
      <c r="J1843">
        <v>2</v>
      </c>
      <c r="K1843">
        <v>6500</v>
      </c>
      <c r="L1843">
        <v>6500</v>
      </c>
      <c r="M1843">
        <v>13000</v>
      </c>
      <c r="N1843" t="s">
        <v>19</v>
      </c>
    </row>
    <row r="1844" spans="1:14" x14ac:dyDescent="0.25">
      <c r="A1844" t="s">
        <v>1486</v>
      </c>
      <c r="B1844" t="s">
        <v>2205</v>
      </c>
      <c r="C1844" t="s">
        <v>964</v>
      </c>
      <c r="D1844" t="s">
        <v>20</v>
      </c>
      <c r="E1844" t="s">
        <v>31</v>
      </c>
      <c r="F1844" t="s">
        <v>15</v>
      </c>
      <c r="G1844" t="s">
        <v>22</v>
      </c>
      <c r="H1844" t="s">
        <v>837</v>
      </c>
      <c r="I1844" t="s">
        <v>33</v>
      </c>
      <c r="J1844">
        <v>1</v>
      </c>
      <c r="K1844">
        <v>6500</v>
      </c>
      <c r="L1844">
        <v>6500</v>
      </c>
      <c r="M1844">
        <v>6500</v>
      </c>
      <c r="N1844" t="s">
        <v>19</v>
      </c>
    </row>
    <row r="1845" spans="1:14" x14ac:dyDescent="0.25">
      <c r="A1845" t="s">
        <v>1660</v>
      </c>
      <c r="B1845" t="s">
        <v>2206</v>
      </c>
      <c r="C1845" t="s">
        <v>852</v>
      </c>
      <c r="D1845" t="s">
        <v>296</v>
      </c>
      <c r="E1845" t="s">
        <v>296</v>
      </c>
      <c r="F1845" t="s">
        <v>830</v>
      </c>
      <c r="G1845" t="s">
        <v>831</v>
      </c>
      <c r="H1845" t="s">
        <v>853</v>
      </c>
      <c r="I1845" t="s">
        <v>854</v>
      </c>
      <c r="J1845">
        <v>3</v>
      </c>
      <c r="K1845">
        <v>56500</v>
      </c>
      <c r="L1845">
        <v>76200</v>
      </c>
      <c r="M1845">
        <v>228600</v>
      </c>
      <c r="N1845" t="s">
        <v>39</v>
      </c>
    </row>
    <row r="1846" spans="1:14" x14ac:dyDescent="0.25">
      <c r="A1846" t="s">
        <v>1660</v>
      </c>
      <c r="B1846" t="s">
        <v>2206</v>
      </c>
      <c r="C1846" t="s">
        <v>852</v>
      </c>
      <c r="D1846" t="s">
        <v>296</v>
      </c>
      <c r="E1846" t="s">
        <v>296</v>
      </c>
      <c r="F1846" t="s">
        <v>830</v>
      </c>
      <c r="G1846" t="s">
        <v>831</v>
      </c>
      <c r="H1846" t="s">
        <v>853</v>
      </c>
      <c r="I1846" t="s">
        <v>189</v>
      </c>
      <c r="J1846">
        <v>3</v>
      </c>
      <c r="K1846">
        <v>0</v>
      </c>
      <c r="L1846">
        <v>0</v>
      </c>
      <c r="M1846">
        <v>0</v>
      </c>
      <c r="N1846" t="s">
        <v>39</v>
      </c>
    </row>
    <row r="1847" spans="1:14" x14ac:dyDescent="0.25">
      <c r="A1847" t="s">
        <v>1660</v>
      </c>
      <c r="B1847" t="s">
        <v>2206</v>
      </c>
      <c r="C1847" t="s">
        <v>852</v>
      </c>
      <c r="D1847" t="s">
        <v>296</v>
      </c>
      <c r="E1847" t="s">
        <v>296</v>
      </c>
      <c r="F1847" t="s">
        <v>830</v>
      </c>
      <c r="G1847" t="s">
        <v>831</v>
      </c>
      <c r="H1847" t="s">
        <v>853</v>
      </c>
      <c r="I1847" t="s">
        <v>76</v>
      </c>
      <c r="J1847">
        <v>1</v>
      </c>
      <c r="K1847">
        <v>900</v>
      </c>
      <c r="L1847">
        <v>900</v>
      </c>
      <c r="M1847">
        <v>900</v>
      </c>
      <c r="N1847" t="s">
        <v>39</v>
      </c>
    </row>
    <row r="1848" spans="1:14" x14ac:dyDescent="0.25">
      <c r="A1848" t="s">
        <v>1672</v>
      </c>
      <c r="B1848" t="s">
        <v>2207</v>
      </c>
      <c r="C1848" t="s">
        <v>855</v>
      </c>
      <c r="D1848" t="s">
        <v>856</v>
      </c>
      <c r="E1848" t="s">
        <v>857</v>
      </c>
      <c r="F1848" t="s">
        <v>15</v>
      </c>
      <c r="G1848" t="s">
        <v>16</v>
      </c>
      <c r="H1848" t="s">
        <v>853</v>
      </c>
      <c r="I1848" t="s">
        <v>858</v>
      </c>
      <c r="J1848">
        <v>1</v>
      </c>
      <c r="K1848">
        <v>3675</v>
      </c>
      <c r="L1848">
        <v>10500</v>
      </c>
      <c r="M1848">
        <v>10500</v>
      </c>
      <c r="N1848" t="s">
        <v>19</v>
      </c>
    </row>
    <row r="1849" spans="1:14" x14ac:dyDescent="0.25">
      <c r="A1849" t="s">
        <v>1581</v>
      </c>
      <c r="B1849" t="s">
        <v>2208</v>
      </c>
      <c r="C1849" t="s">
        <v>859</v>
      </c>
      <c r="D1849" t="s">
        <v>87</v>
      </c>
      <c r="E1849" t="s">
        <v>87</v>
      </c>
      <c r="F1849" t="s">
        <v>15</v>
      </c>
      <c r="G1849" t="s">
        <v>37</v>
      </c>
      <c r="H1849" t="s">
        <v>853</v>
      </c>
      <c r="I1849" t="s">
        <v>89</v>
      </c>
      <c r="J1849">
        <v>50</v>
      </c>
      <c r="K1849">
        <v>32</v>
      </c>
      <c r="L1849">
        <v>50</v>
      </c>
      <c r="M1849">
        <v>2500</v>
      </c>
      <c r="N1849" t="s">
        <v>39</v>
      </c>
    </row>
    <row r="1850" spans="1:14" x14ac:dyDescent="0.25">
      <c r="A1850" t="s">
        <v>1488</v>
      </c>
      <c r="B1850" t="s">
        <v>2209</v>
      </c>
      <c r="C1850" t="s">
        <v>966</v>
      </c>
      <c r="D1850" t="s">
        <v>20</v>
      </c>
      <c r="E1850" t="s">
        <v>244</v>
      </c>
      <c r="F1850" t="s">
        <v>15</v>
      </c>
      <c r="G1850" t="s">
        <v>22</v>
      </c>
      <c r="H1850" t="s">
        <v>853</v>
      </c>
      <c r="I1850" t="s">
        <v>385</v>
      </c>
      <c r="J1850">
        <v>30</v>
      </c>
      <c r="K1850">
        <v>960</v>
      </c>
      <c r="L1850">
        <v>1500</v>
      </c>
      <c r="M1850">
        <v>45000</v>
      </c>
      <c r="N1850" t="s">
        <v>19</v>
      </c>
    </row>
    <row r="1851" spans="1:14" x14ac:dyDescent="0.25">
      <c r="A1851" t="s">
        <v>1497</v>
      </c>
      <c r="B1851" t="s">
        <v>2210</v>
      </c>
      <c r="C1851" t="s">
        <v>968</v>
      </c>
      <c r="D1851" t="s">
        <v>20</v>
      </c>
      <c r="E1851" t="s">
        <v>263</v>
      </c>
      <c r="F1851" t="s">
        <v>15</v>
      </c>
      <c r="G1851" t="s">
        <v>22</v>
      </c>
      <c r="H1851" t="s">
        <v>969</v>
      </c>
      <c r="I1851" t="s">
        <v>96</v>
      </c>
      <c r="J1851">
        <v>1</v>
      </c>
      <c r="K1851">
        <v>1350</v>
      </c>
      <c r="L1851">
        <v>2600</v>
      </c>
      <c r="M1851">
        <v>2600</v>
      </c>
      <c r="N1851" t="s">
        <v>19</v>
      </c>
    </row>
    <row r="1852" spans="1:14" x14ac:dyDescent="0.25">
      <c r="A1852" t="s">
        <v>1497</v>
      </c>
      <c r="B1852" t="s">
        <v>2210</v>
      </c>
      <c r="C1852" t="s">
        <v>968</v>
      </c>
      <c r="D1852" t="s">
        <v>20</v>
      </c>
      <c r="E1852" t="s">
        <v>263</v>
      </c>
      <c r="F1852" t="s">
        <v>15</v>
      </c>
      <c r="G1852" t="s">
        <v>22</v>
      </c>
      <c r="H1852" t="s">
        <v>969</v>
      </c>
      <c r="I1852" t="s">
        <v>76</v>
      </c>
      <c r="J1852">
        <v>1</v>
      </c>
      <c r="K1852">
        <v>500</v>
      </c>
      <c r="L1852">
        <v>500</v>
      </c>
      <c r="M1852">
        <v>500</v>
      </c>
      <c r="N1852" t="s">
        <v>19</v>
      </c>
    </row>
    <row r="1853" spans="1:14" x14ac:dyDescent="0.25">
      <c r="A1853" t="s">
        <v>1486</v>
      </c>
      <c r="B1853" t="s">
        <v>2211</v>
      </c>
      <c r="C1853" t="s">
        <v>970</v>
      </c>
      <c r="D1853" t="s">
        <v>20</v>
      </c>
      <c r="E1853" t="s">
        <v>31</v>
      </c>
      <c r="F1853" t="s">
        <v>15</v>
      </c>
      <c r="G1853" t="s">
        <v>22</v>
      </c>
      <c r="H1853" t="s">
        <v>969</v>
      </c>
      <c r="I1853" t="s">
        <v>338</v>
      </c>
      <c r="J1853">
        <v>2</v>
      </c>
      <c r="K1853">
        <v>8500</v>
      </c>
      <c r="L1853">
        <v>11600</v>
      </c>
      <c r="M1853">
        <v>23200</v>
      </c>
      <c r="N1853" t="s">
        <v>19</v>
      </c>
    </row>
    <row r="1854" spans="1:14" x14ac:dyDescent="0.25">
      <c r="A1854" t="s">
        <v>1486</v>
      </c>
      <c r="B1854" t="s">
        <v>2211</v>
      </c>
      <c r="C1854" t="s">
        <v>970</v>
      </c>
      <c r="D1854" t="s">
        <v>20</v>
      </c>
      <c r="E1854" t="s">
        <v>31</v>
      </c>
      <c r="F1854" t="s">
        <v>15</v>
      </c>
      <c r="G1854" t="s">
        <v>22</v>
      </c>
      <c r="H1854" t="s">
        <v>969</v>
      </c>
      <c r="I1854" t="s">
        <v>76</v>
      </c>
      <c r="J1854">
        <v>2</v>
      </c>
      <c r="K1854">
        <v>500</v>
      </c>
      <c r="L1854">
        <v>500</v>
      </c>
      <c r="M1854">
        <v>1000</v>
      </c>
      <c r="N1854" t="s">
        <v>19</v>
      </c>
    </row>
    <row r="1855" spans="1:14" x14ac:dyDescent="0.25">
      <c r="A1855" t="s">
        <v>1486</v>
      </c>
      <c r="B1855" t="s">
        <v>2212</v>
      </c>
      <c r="C1855" t="s">
        <v>972</v>
      </c>
      <c r="D1855" t="s">
        <v>20</v>
      </c>
      <c r="E1855" t="s">
        <v>31</v>
      </c>
      <c r="F1855" t="s">
        <v>15</v>
      </c>
      <c r="G1855" t="s">
        <v>22</v>
      </c>
      <c r="H1855" t="s">
        <v>969</v>
      </c>
      <c r="I1855" t="s">
        <v>338</v>
      </c>
      <c r="J1855">
        <v>6</v>
      </c>
      <c r="K1855">
        <v>8500</v>
      </c>
      <c r="L1855">
        <v>12100</v>
      </c>
      <c r="M1855">
        <v>72600</v>
      </c>
      <c r="N1855" t="s">
        <v>19</v>
      </c>
    </row>
    <row r="1856" spans="1:14" x14ac:dyDescent="0.25">
      <c r="A1856" t="s">
        <v>1486</v>
      </c>
      <c r="B1856" t="s">
        <v>2212</v>
      </c>
      <c r="C1856" t="s">
        <v>972</v>
      </c>
      <c r="D1856" t="s">
        <v>20</v>
      </c>
      <c r="E1856" t="s">
        <v>31</v>
      </c>
      <c r="F1856" t="s">
        <v>15</v>
      </c>
      <c r="G1856" t="s">
        <v>22</v>
      </c>
      <c r="H1856" t="s">
        <v>969</v>
      </c>
      <c r="I1856" t="s">
        <v>93</v>
      </c>
      <c r="J1856">
        <v>1</v>
      </c>
      <c r="K1856">
        <v>11000</v>
      </c>
      <c r="L1856">
        <v>16500</v>
      </c>
      <c r="M1856">
        <v>16500</v>
      </c>
      <c r="N1856" t="s">
        <v>19</v>
      </c>
    </row>
    <row r="1857" spans="1:14" x14ac:dyDescent="0.25">
      <c r="A1857" t="s">
        <v>1486</v>
      </c>
      <c r="B1857" t="s">
        <v>2212</v>
      </c>
      <c r="C1857" t="s">
        <v>972</v>
      </c>
      <c r="D1857" t="s">
        <v>20</v>
      </c>
      <c r="E1857" t="s">
        <v>31</v>
      </c>
      <c r="F1857" t="s">
        <v>15</v>
      </c>
      <c r="G1857" t="s">
        <v>22</v>
      </c>
      <c r="H1857" t="s">
        <v>969</v>
      </c>
      <c r="I1857" t="s">
        <v>76</v>
      </c>
      <c r="J1857">
        <v>1</v>
      </c>
      <c r="K1857">
        <v>500</v>
      </c>
      <c r="L1857">
        <v>500</v>
      </c>
      <c r="M1857">
        <v>500</v>
      </c>
      <c r="N1857" t="s">
        <v>19</v>
      </c>
    </row>
    <row r="1858" spans="1:14" x14ac:dyDescent="0.25">
      <c r="A1858" t="s">
        <v>1594</v>
      </c>
      <c r="B1858" t="s">
        <v>2213</v>
      </c>
      <c r="C1858" t="s">
        <v>863</v>
      </c>
      <c r="D1858" t="s">
        <v>864</v>
      </c>
      <c r="E1858" t="s">
        <v>865</v>
      </c>
      <c r="F1858" t="s">
        <v>866</v>
      </c>
      <c r="G1858" t="s">
        <v>16</v>
      </c>
      <c r="H1858" t="s">
        <v>867</v>
      </c>
      <c r="I1858" t="s">
        <v>868</v>
      </c>
      <c r="J1858">
        <v>1</v>
      </c>
      <c r="K1858">
        <v>2975</v>
      </c>
      <c r="L1858">
        <v>8500</v>
      </c>
      <c r="M1858">
        <v>8500</v>
      </c>
      <c r="N1858" t="s">
        <v>39</v>
      </c>
    </row>
    <row r="1859" spans="1:14" x14ac:dyDescent="0.25">
      <c r="A1859" t="s">
        <v>1594</v>
      </c>
      <c r="B1859" t="s">
        <v>2213</v>
      </c>
      <c r="C1859" t="s">
        <v>863</v>
      </c>
      <c r="D1859" t="s">
        <v>864</v>
      </c>
      <c r="E1859" t="s">
        <v>865</v>
      </c>
      <c r="F1859" t="s">
        <v>866</v>
      </c>
      <c r="G1859" t="s">
        <v>16</v>
      </c>
      <c r="H1859" t="s">
        <v>867</v>
      </c>
      <c r="I1859" t="s">
        <v>48</v>
      </c>
      <c r="J1859">
        <v>1</v>
      </c>
      <c r="K1859">
        <v>8000</v>
      </c>
      <c r="L1859">
        <v>8000</v>
      </c>
      <c r="M1859">
        <v>8000</v>
      </c>
      <c r="N1859" t="s">
        <v>39</v>
      </c>
    </row>
    <row r="1860" spans="1:14" x14ac:dyDescent="0.25">
      <c r="A1860" t="s">
        <v>1594</v>
      </c>
      <c r="B1860" t="s">
        <v>2213</v>
      </c>
      <c r="C1860" t="s">
        <v>863</v>
      </c>
      <c r="D1860" t="s">
        <v>864</v>
      </c>
      <c r="E1860" t="s">
        <v>865</v>
      </c>
      <c r="F1860" t="s">
        <v>866</v>
      </c>
      <c r="G1860" t="s">
        <v>16</v>
      </c>
      <c r="H1860" t="s">
        <v>867</v>
      </c>
      <c r="I1860" t="s">
        <v>126</v>
      </c>
      <c r="J1860">
        <v>1</v>
      </c>
      <c r="K1860">
        <v>8000</v>
      </c>
      <c r="L1860">
        <v>8000</v>
      </c>
      <c r="M1860">
        <v>8000</v>
      </c>
      <c r="N1860" t="s">
        <v>39</v>
      </c>
    </row>
    <row r="1861" spans="1:14" x14ac:dyDescent="0.25">
      <c r="A1861" t="s">
        <v>1594</v>
      </c>
      <c r="B1861" t="s">
        <v>2213</v>
      </c>
      <c r="C1861" t="s">
        <v>863</v>
      </c>
      <c r="D1861" t="s">
        <v>864</v>
      </c>
      <c r="E1861" t="s">
        <v>865</v>
      </c>
      <c r="F1861" t="s">
        <v>866</v>
      </c>
      <c r="G1861" t="s">
        <v>16</v>
      </c>
      <c r="H1861" t="s">
        <v>867</v>
      </c>
      <c r="I1861" t="s">
        <v>26</v>
      </c>
      <c r="J1861">
        <v>1</v>
      </c>
      <c r="K1861">
        <v>500</v>
      </c>
      <c r="L1861">
        <v>500</v>
      </c>
      <c r="M1861">
        <v>500</v>
      </c>
      <c r="N1861" t="s">
        <v>39</v>
      </c>
    </row>
    <row r="1862" spans="1:14" x14ac:dyDescent="0.25">
      <c r="A1862" t="s">
        <v>1594</v>
      </c>
      <c r="B1862" t="s">
        <v>2213</v>
      </c>
      <c r="C1862" t="s">
        <v>863</v>
      </c>
      <c r="D1862" t="s">
        <v>864</v>
      </c>
      <c r="E1862" t="s">
        <v>865</v>
      </c>
      <c r="F1862" t="s">
        <v>866</v>
      </c>
      <c r="G1862" t="s">
        <v>16</v>
      </c>
      <c r="H1862" t="s">
        <v>867</v>
      </c>
      <c r="I1862" t="s">
        <v>116</v>
      </c>
      <c r="J1862">
        <v>1</v>
      </c>
      <c r="K1862">
        <v>2185</v>
      </c>
      <c r="L1862">
        <v>3500</v>
      </c>
      <c r="M1862">
        <v>3500</v>
      </c>
      <c r="N1862" t="s">
        <v>39</v>
      </c>
    </row>
    <row r="1863" spans="1:14" x14ac:dyDescent="0.25">
      <c r="A1863" t="s">
        <v>1594</v>
      </c>
      <c r="B1863" t="s">
        <v>2213</v>
      </c>
      <c r="C1863" t="s">
        <v>863</v>
      </c>
      <c r="D1863" t="s">
        <v>864</v>
      </c>
      <c r="E1863" t="s">
        <v>865</v>
      </c>
      <c r="F1863" t="s">
        <v>866</v>
      </c>
      <c r="G1863" t="s">
        <v>16</v>
      </c>
      <c r="H1863" t="s">
        <v>867</v>
      </c>
      <c r="I1863" t="s">
        <v>38</v>
      </c>
      <c r="J1863">
        <v>1</v>
      </c>
      <c r="K1863">
        <v>8500</v>
      </c>
      <c r="L1863">
        <v>12500</v>
      </c>
      <c r="M1863">
        <v>12500</v>
      </c>
      <c r="N1863" t="s">
        <v>39</v>
      </c>
    </row>
    <row r="1864" spans="1:14" x14ac:dyDescent="0.25">
      <c r="A1864" t="s">
        <v>1594</v>
      </c>
      <c r="B1864" t="s">
        <v>2213</v>
      </c>
      <c r="C1864" t="s">
        <v>863</v>
      </c>
      <c r="D1864" t="s">
        <v>864</v>
      </c>
      <c r="E1864" t="s">
        <v>865</v>
      </c>
      <c r="F1864" t="s">
        <v>866</v>
      </c>
      <c r="G1864" t="s">
        <v>16</v>
      </c>
      <c r="H1864" t="s">
        <v>867</v>
      </c>
      <c r="I1864" t="s">
        <v>97</v>
      </c>
      <c r="J1864">
        <v>1</v>
      </c>
      <c r="K1864">
        <v>2200</v>
      </c>
      <c r="L1864">
        <v>3500</v>
      </c>
      <c r="M1864">
        <v>3500</v>
      </c>
      <c r="N1864" t="s">
        <v>39</v>
      </c>
    </row>
    <row r="1865" spans="1:14" x14ac:dyDescent="0.25">
      <c r="A1865" t="s">
        <v>1594</v>
      </c>
      <c r="B1865" t="s">
        <v>2213</v>
      </c>
      <c r="C1865" t="s">
        <v>863</v>
      </c>
      <c r="D1865" t="s">
        <v>864</v>
      </c>
      <c r="E1865" t="s">
        <v>865</v>
      </c>
      <c r="F1865" t="s">
        <v>866</v>
      </c>
      <c r="G1865" t="s">
        <v>16</v>
      </c>
      <c r="H1865" t="s">
        <v>867</v>
      </c>
      <c r="I1865" t="s">
        <v>79</v>
      </c>
      <c r="J1865">
        <v>1</v>
      </c>
      <c r="K1865">
        <v>11000</v>
      </c>
      <c r="L1865">
        <v>16500</v>
      </c>
      <c r="M1865">
        <v>16500</v>
      </c>
      <c r="N1865" t="s">
        <v>39</v>
      </c>
    </row>
    <row r="1866" spans="1:14" x14ac:dyDescent="0.25">
      <c r="A1866" t="s">
        <v>1594</v>
      </c>
      <c r="B1866" t="s">
        <v>2213</v>
      </c>
      <c r="C1866" t="s">
        <v>863</v>
      </c>
      <c r="D1866" t="s">
        <v>864</v>
      </c>
      <c r="E1866" t="s">
        <v>865</v>
      </c>
      <c r="F1866" t="s">
        <v>866</v>
      </c>
      <c r="G1866" t="s">
        <v>16</v>
      </c>
      <c r="H1866" t="s">
        <v>867</v>
      </c>
      <c r="I1866" t="s">
        <v>869</v>
      </c>
      <c r="J1866">
        <v>1</v>
      </c>
      <c r="K1866">
        <v>21500</v>
      </c>
      <c r="L1866">
        <v>31000</v>
      </c>
      <c r="M1866">
        <v>31000</v>
      </c>
      <c r="N1866" t="s">
        <v>39</v>
      </c>
    </row>
    <row r="1867" spans="1:14" x14ac:dyDescent="0.25">
      <c r="A1867" t="s">
        <v>1594</v>
      </c>
      <c r="B1867" t="s">
        <v>2213</v>
      </c>
      <c r="C1867" t="s">
        <v>863</v>
      </c>
      <c r="D1867" t="s">
        <v>864</v>
      </c>
      <c r="E1867" t="s">
        <v>865</v>
      </c>
      <c r="F1867" t="s">
        <v>866</v>
      </c>
      <c r="G1867" t="s">
        <v>16</v>
      </c>
      <c r="H1867" t="s">
        <v>867</v>
      </c>
      <c r="I1867" t="s">
        <v>870</v>
      </c>
      <c r="J1867">
        <v>1</v>
      </c>
      <c r="K1867">
        <v>2000</v>
      </c>
      <c r="L1867">
        <v>3500</v>
      </c>
      <c r="M1867">
        <v>3500</v>
      </c>
      <c r="N1867" t="s">
        <v>39</v>
      </c>
    </row>
    <row r="1868" spans="1:14" x14ac:dyDescent="0.25">
      <c r="A1868" t="s">
        <v>1594</v>
      </c>
      <c r="B1868" t="s">
        <v>2213</v>
      </c>
      <c r="C1868" t="s">
        <v>863</v>
      </c>
      <c r="D1868" t="s">
        <v>864</v>
      </c>
      <c r="E1868" t="s">
        <v>865</v>
      </c>
      <c r="F1868" t="s">
        <v>866</v>
      </c>
      <c r="G1868" t="s">
        <v>16</v>
      </c>
      <c r="H1868" t="s">
        <v>867</v>
      </c>
      <c r="I1868" t="s">
        <v>63</v>
      </c>
      <c r="J1868">
        <v>1</v>
      </c>
      <c r="K1868">
        <v>500</v>
      </c>
      <c r="L1868">
        <v>500</v>
      </c>
      <c r="M1868">
        <v>500</v>
      </c>
      <c r="N1868" t="s">
        <v>39</v>
      </c>
    </row>
    <row r="1869" spans="1:14" x14ac:dyDescent="0.25">
      <c r="A1869" t="s">
        <v>1536</v>
      </c>
      <c r="B1869" t="s">
        <v>2214</v>
      </c>
      <c r="C1869" t="s">
        <v>872</v>
      </c>
      <c r="D1869" t="s">
        <v>873</v>
      </c>
      <c r="E1869" t="s">
        <v>874</v>
      </c>
      <c r="F1869" t="s">
        <v>15</v>
      </c>
      <c r="G1869" t="s">
        <v>37</v>
      </c>
      <c r="H1869" t="s">
        <v>867</v>
      </c>
      <c r="I1869" t="s">
        <v>151</v>
      </c>
      <c r="J1869">
        <v>1</v>
      </c>
      <c r="K1869">
        <v>2200</v>
      </c>
      <c r="L1869">
        <v>4000</v>
      </c>
      <c r="M1869">
        <v>4000</v>
      </c>
      <c r="N1869" t="s">
        <v>19</v>
      </c>
    </row>
    <row r="1870" spans="1:14" x14ac:dyDescent="0.25">
      <c r="A1870" t="s">
        <v>1606</v>
      </c>
      <c r="B1870" t="s">
        <v>2215</v>
      </c>
      <c r="C1870" t="s">
        <v>875</v>
      </c>
      <c r="D1870" t="s">
        <v>123</v>
      </c>
      <c r="E1870" t="s">
        <v>124</v>
      </c>
      <c r="F1870" t="s">
        <v>15</v>
      </c>
      <c r="G1870" t="s">
        <v>16</v>
      </c>
      <c r="H1870" t="s">
        <v>876</v>
      </c>
      <c r="I1870" t="s">
        <v>249</v>
      </c>
      <c r="J1870">
        <v>1</v>
      </c>
      <c r="K1870">
        <v>21500</v>
      </c>
      <c r="L1870">
        <v>31000</v>
      </c>
      <c r="M1870">
        <v>31000</v>
      </c>
      <c r="N1870" t="s">
        <v>19</v>
      </c>
    </row>
    <row r="1871" spans="1:14" x14ac:dyDescent="0.25">
      <c r="A1871" t="s">
        <v>1606</v>
      </c>
      <c r="B1871" t="s">
        <v>2216</v>
      </c>
      <c r="C1871" t="s">
        <v>877</v>
      </c>
      <c r="D1871" t="s">
        <v>123</v>
      </c>
      <c r="E1871" t="s">
        <v>124</v>
      </c>
      <c r="F1871" t="s">
        <v>15</v>
      </c>
      <c r="G1871" t="s">
        <v>16</v>
      </c>
      <c r="H1871" t="s">
        <v>876</v>
      </c>
      <c r="I1871" t="s">
        <v>249</v>
      </c>
      <c r="J1871">
        <v>1</v>
      </c>
      <c r="K1871">
        <v>21500</v>
      </c>
      <c r="L1871">
        <v>31000</v>
      </c>
      <c r="M1871">
        <v>31000</v>
      </c>
      <c r="N1871" t="s">
        <v>19</v>
      </c>
    </row>
    <row r="1872" spans="1:14" x14ac:dyDescent="0.25">
      <c r="A1872" t="s">
        <v>1711</v>
      </c>
      <c r="B1872" t="s">
        <v>2217</v>
      </c>
      <c r="C1872" t="s">
        <v>496</v>
      </c>
      <c r="D1872" t="s">
        <v>1022</v>
      </c>
      <c r="E1872" t="s">
        <v>1023</v>
      </c>
      <c r="F1872" t="s">
        <v>15</v>
      </c>
      <c r="G1872" t="s">
        <v>1076</v>
      </c>
      <c r="H1872" t="s">
        <v>1175</v>
      </c>
      <c r="I1872" t="s">
        <v>1176</v>
      </c>
      <c r="J1872">
        <v>1</v>
      </c>
      <c r="K1872">
        <v>9500</v>
      </c>
      <c r="L1872">
        <v>13300</v>
      </c>
      <c r="M1872">
        <v>13300</v>
      </c>
      <c r="N1872" t="s">
        <v>19</v>
      </c>
    </row>
    <row r="1873" spans="1:14" x14ac:dyDescent="0.25">
      <c r="A1873" t="s">
        <v>1711</v>
      </c>
      <c r="B1873" t="s">
        <v>2217</v>
      </c>
      <c r="C1873" t="s">
        <v>496</v>
      </c>
      <c r="D1873" t="s">
        <v>1022</v>
      </c>
      <c r="E1873" t="s">
        <v>1023</v>
      </c>
      <c r="F1873" t="s">
        <v>15</v>
      </c>
      <c r="G1873" t="s">
        <v>1076</v>
      </c>
      <c r="H1873" t="s">
        <v>1175</v>
      </c>
      <c r="I1873" t="s">
        <v>63</v>
      </c>
      <c r="J1873">
        <v>1</v>
      </c>
      <c r="K1873">
        <v>200</v>
      </c>
      <c r="L1873">
        <v>200</v>
      </c>
      <c r="M1873">
        <v>200</v>
      </c>
      <c r="N1873" t="s">
        <v>19</v>
      </c>
    </row>
    <row r="1874" spans="1:14" x14ac:dyDescent="0.25">
      <c r="A1874" t="s">
        <v>1595</v>
      </c>
      <c r="B1874" t="s">
        <v>2218</v>
      </c>
      <c r="C1874" t="s">
        <v>878</v>
      </c>
      <c r="D1874" t="s">
        <v>864</v>
      </c>
      <c r="E1874" t="s">
        <v>865</v>
      </c>
      <c r="F1874" t="s">
        <v>879</v>
      </c>
      <c r="G1874" t="s">
        <v>37</v>
      </c>
      <c r="H1874" t="s">
        <v>880</v>
      </c>
      <c r="I1874" t="s">
        <v>881</v>
      </c>
      <c r="J1874">
        <v>1</v>
      </c>
      <c r="K1874">
        <v>15000</v>
      </c>
      <c r="L1874">
        <v>15000</v>
      </c>
      <c r="M1874">
        <v>15000</v>
      </c>
      <c r="N1874" t="s">
        <v>39</v>
      </c>
    </row>
    <row r="1875" spans="1:14" x14ac:dyDescent="0.25">
      <c r="A1875" t="s">
        <v>1600</v>
      </c>
      <c r="B1875" t="s">
        <v>2219</v>
      </c>
      <c r="C1875" t="s">
        <v>882</v>
      </c>
      <c r="D1875" t="s">
        <v>602</v>
      </c>
      <c r="E1875" t="s">
        <v>603</v>
      </c>
      <c r="F1875" t="s">
        <v>883</v>
      </c>
      <c r="G1875" t="s">
        <v>22</v>
      </c>
      <c r="H1875" t="s">
        <v>880</v>
      </c>
      <c r="I1875" t="s">
        <v>151</v>
      </c>
      <c r="J1875">
        <v>1</v>
      </c>
      <c r="K1875">
        <v>2000</v>
      </c>
      <c r="L1875">
        <v>3000</v>
      </c>
      <c r="M1875">
        <v>3000</v>
      </c>
      <c r="N1875" t="s">
        <v>39</v>
      </c>
    </row>
    <row r="1876" spans="1:14" x14ac:dyDescent="0.25">
      <c r="A1876" t="s">
        <v>1600</v>
      </c>
      <c r="B1876" t="s">
        <v>2219</v>
      </c>
      <c r="C1876" t="s">
        <v>882</v>
      </c>
      <c r="D1876" t="s">
        <v>602</v>
      </c>
      <c r="E1876" t="s">
        <v>603</v>
      </c>
      <c r="F1876" t="s">
        <v>883</v>
      </c>
      <c r="G1876" t="s">
        <v>22</v>
      </c>
      <c r="H1876" t="s">
        <v>880</v>
      </c>
      <c r="I1876" t="s">
        <v>884</v>
      </c>
      <c r="J1876">
        <v>1</v>
      </c>
      <c r="K1876">
        <v>2650</v>
      </c>
      <c r="L1876">
        <v>4000</v>
      </c>
      <c r="M1876">
        <v>4000</v>
      </c>
      <c r="N1876" t="s">
        <v>39</v>
      </c>
    </row>
    <row r="1877" spans="1:14" x14ac:dyDescent="0.25">
      <c r="A1877" t="s">
        <v>1486</v>
      </c>
      <c r="B1877" t="s">
        <v>2220</v>
      </c>
      <c r="C1877" t="s">
        <v>975</v>
      </c>
      <c r="D1877" t="s">
        <v>20</v>
      </c>
      <c r="E1877" t="s">
        <v>31</v>
      </c>
      <c r="F1877" t="s">
        <v>15</v>
      </c>
      <c r="G1877" t="s">
        <v>22</v>
      </c>
      <c r="H1877" t="s">
        <v>976</v>
      </c>
      <c r="I1877" t="s">
        <v>33</v>
      </c>
      <c r="J1877">
        <v>1</v>
      </c>
      <c r="K1877">
        <v>6500</v>
      </c>
      <c r="L1877">
        <v>6500</v>
      </c>
      <c r="M1877">
        <v>6500</v>
      </c>
      <c r="N1877" t="s">
        <v>19</v>
      </c>
    </row>
    <row r="1878" spans="1:14" x14ac:dyDescent="0.25">
      <c r="A1878" t="s">
        <v>1486</v>
      </c>
      <c r="B1878" t="s">
        <v>2220</v>
      </c>
      <c r="C1878" t="s">
        <v>975</v>
      </c>
      <c r="D1878" t="s">
        <v>20</v>
      </c>
      <c r="E1878" t="s">
        <v>31</v>
      </c>
      <c r="F1878" t="s">
        <v>15</v>
      </c>
      <c r="G1878" t="s">
        <v>22</v>
      </c>
      <c r="H1878" t="s">
        <v>976</v>
      </c>
      <c r="I1878" t="s">
        <v>977</v>
      </c>
      <c r="J1878">
        <v>1</v>
      </c>
      <c r="K1878">
        <v>1000</v>
      </c>
      <c r="L1878">
        <v>1000</v>
      </c>
      <c r="M1878">
        <v>1000</v>
      </c>
      <c r="N1878" t="s">
        <v>19</v>
      </c>
    </row>
    <row r="1879" spans="1:14" x14ac:dyDescent="0.25">
      <c r="A1879" t="s">
        <v>1557</v>
      </c>
      <c r="B1879" t="s">
        <v>2221</v>
      </c>
      <c r="C1879" t="s">
        <v>502</v>
      </c>
      <c r="D1879" t="s">
        <v>1151</v>
      </c>
      <c r="E1879" t="s">
        <v>1151</v>
      </c>
      <c r="F1879" t="s">
        <v>15</v>
      </c>
      <c r="G1879" t="s">
        <v>1043</v>
      </c>
      <c r="H1879" t="s">
        <v>976</v>
      </c>
      <c r="I1879" t="s">
        <v>1177</v>
      </c>
      <c r="J1879">
        <v>1</v>
      </c>
      <c r="K1879">
        <v>2650</v>
      </c>
      <c r="L1879">
        <v>4500</v>
      </c>
      <c r="M1879">
        <v>4500</v>
      </c>
      <c r="N1879" t="s">
        <v>19</v>
      </c>
    </row>
    <row r="1880" spans="1:14" x14ac:dyDescent="0.25">
      <c r="A1880" t="s">
        <v>1557</v>
      </c>
      <c r="B1880" t="s">
        <v>2221</v>
      </c>
      <c r="C1880" t="s">
        <v>502</v>
      </c>
      <c r="D1880" t="s">
        <v>1151</v>
      </c>
      <c r="E1880" t="s">
        <v>1151</v>
      </c>
      <c r="F1880" t="s">
        <v>15</v>
      </c>
      <c r="G1880" t="s">
        <v>1043</v>
      </c>
      <c r="H1880" t="s">
        <v>976</v>
      </c>
      <c r="I1880" t="s">
        <v>99</v>
      </c>
      <c r="J1880">
        <v>1</v>
      </c>
      <c r="K1880">
        <v>2000</v>
      </c>
      <c r="L1880">
        <v>3000</v>
      </c>
      <c r="M1880">
        <v>3000</v>
      </c>
      <c r="N1880" t="s">
        <v>19</v>
      </c>
    </row>
    <row r="1881" spans="1:14" x14ac:dyDescent="0.25">
      <c r="A1881" t="s">
        <v>1627</v>
      </c>
      <c r="B1881" t="s">
        <v>2222</v>
      </c>
      <c r="C1881" t="s">
        <v>885</v>
      </c>
      <c r="D1881" t="s">
        <v>431</v>
      </c>
      <c r="E1881" t="s">
        <v>239</v>
      </c>
      <c r="F1881" t="s">
        <v>710</v>
      </c>
      <c r="G1881" t="s">
        <v>22</v>
      </c>
      <c r="H1881" t="s">
        <v>886</v>
      </c>
      <c r="I1881" t="s">
        <v>151</v>
      </c>
      <c r="J1881">
        <v>1</v>
      </c>
      <c r="K1881">
        <v>2000</v>
      </c>
      <c r="L1881">
        <v>3500</v>
      </c>
      <c r="M1881">
        <v>3500</v>
      </c>
      <c r="N1881" t="s">
        <v>39</v>
      </c>
    </row>
    <row r="1882" spans="1:14" x14ac:dyDescent="0.25">
      <c r="A1882" t="s">
        <v>1627</v>
      </c>
      <c r="B1882" t="s">
        <v>2222</v>
      </c>
      <c r="C1882" t="s">
        <v>885</v>
      </c>
      <c r="D1882" t="s">
        <v>431</v>
      </c>
      <c r="E1882" t="s">
        <v>239</v>
      </c>
      <c r="F1882" t="s">
        <v>710</v>
      </c>
      <c r="G1882" t="s">
        <v>22</v>
      </c>
      <c r="H1882" t="s">
        <v>886</v>
      </c>
      <c r="I1882" t="s">
        <v>884</v>
      </c>
      <c r="J1882">
        <v>1</v>
      </c>
      <c r="K1882">
        <v>2650</v>
      </c>
      <c r="L1882">
        <v>4000</v>
      </c>
      <c r="M1882">
        <v>4000</v>
      </c>
      <c r="N1882" t="s">
        <v>39</v>
      </c>
    </row>
    <row r="1883" spans="1:14" x14ac:dyDescent="0.25">
      <c r="A1883" t="s">
        <v>1449</v>
      </c>
      <c r="B1883" t="s">
        <v>2223</v>
      </c>
      <c r="C1883" t="s">
        <v>887</v>
      </c>
      <c r="D1883" t="s">
        <v>646</v>
      </c>
      <c r="E1883" t="s">
        <v>58</v>
      </c>
      <c r="F1883" t="s">
        <v>101</v>
      </c>
      <c r="G1883" t="s">
        <v>37</v>
      </c>
      <c r="H1883" t="s">
        <v>888</v>
      </c>
      <c r="I1883" t="s">
        <v>116</v>
      </c>
      <c r="J1883">
        <v>1</v>
      </c>
      <c r="K1883">
        <v>2185</v>
      </c>
      <c r="L1883">
        <v>3200</v>
      </c>
      <c r="M1883">
        <v>3200</v>
      </c>
      <c r="N1883" t="s">
        <v>39</v>
      </c>
    </row>
    <row r="1884" spans="1:14" x14ac:dyDescent="0.25">
      <c r="A1884" t="s">
        <v>1449</v>
      </c>
      <c r="B1884" t="s">
        <v>2223</v>
      </c>
      <c r="C1884" t="s">
        <v>887</v>
      </c>
      <c r="D1884" t="s">
        <v>646</v>
      </c>
      <c r="E1884" t="s">
        <v>58</v>
      </c>
      <c r="F1884" t="s">
        <v>101</v>
      </c>
      <c r="G1884" t="s">
        <v>37</v>
      </c>
      <c r="H1884" t="s">
        <v>888</v>
      </c>
      <c r="I1884" t="s">
        <v>63</v>
      </c>
      <c r="J1884">
        <v>1</v>
      </c>
      <c r="K1884">
        <v>300</v>
      </c>
      <c r="L1884">
        <v>300</v>
      </c>
      <c r="M1884">
        <v>300</v>
      </c>
      <c r="N1884" t="s">
        <v>39</v>
      </c>
    </row>
    <row r="1885" spans="1:14" x14ac:dyDescent="0.25">
      <c r="A1885" t="s">
        <v>1684</v>
      </c>
      <c r="B1885" t="s">
        <v>2224</v>
      </c>
      <c r="C1885" t="s">
        <v>890</v>
      </c>
      <c r="D1885" t="s">
        <v>340</v>
      </c>
      <c r="E1885" t="s">
        <v>341</v>
      </c>
      <c r="F1885" t="s">
        <v>15</v>
      </c>
      <c r="G1885" t="s">
        <v>37</v>
      </c>
      <c r="H1885" t="s">
        <v>888</v>
      </c>
      <c r="I1885" t="s">
        <v>143</v>
      </c>
      <c r="J1885">
        <v>1</v>
      </c>
      <c r="K1885">
        <v>2975</v>
      </c>
      <c r="L1885">
        <v>8500</v>
      </c>
      <c r="M1885">
        <v>8500</v>
      </c>
      <c r="N1885" t="s">
        <v>19</v>
      </c>
    </row>
    <row r="1886" spans="1:14" x14ac:dyDescent="0.25">
      <c r="A1886" t="s">
        <v>1486</v>
      </c>
      <c r="B1886" t="s">
        <v>2225</v>
      </c>
      <c r="C1886" t="s">
        <v>979</v>
      </c>
      <c r="D1886" t="s">
        <v>20</v>
      </c>
      <c r="E1886" t="s">
        <v>31</v>
      </c>
      <c r="F1886" t="s">
        <v>15</v>
      </c>
      <c r="G1886" t="s">
        <v>22</v>
      </c>
      <c r="H1886" t="s">
        <v>888</v>
      </c>
      <c r="I1886" t="s">
        <v>33</v>
      </c>
      <c r="J1886">
        <v>9</v>
      </c>
      <c r="K1886">
        <v>6500</v>
      </c>
      <c r="L1886">
        <v>6500</v>
      </c>
      <c r="M1886">
        <v>58500</v>
      </c>
      <c r="N1886" t="s">
        <v>19</v>
      </c>
    </row>
    <row r="1887" spans="1:14" x14ac:dyDescent="0.25">
      <c r="A1887" t="s">
        <v>1486</v>
      </c>
      <c r="B1887" t="s">
        <v>2226</v>
      </c>
      <c r="C1887" t="s">
        <v>982</v>
      </c>
      <c r="D1887" t="s">
        <v>20</v>
      </c>
      <c r="E1887" t="s">
        <v>31</v>
      </c>
      <c r="F1887" t="s">
        <v>15</v>
      </c>
      <c r="G1887" t="s">
        <v>22</v>
      </c>
      <c r="H1887" t="s">
        <v>888</v>
      </c>
      <c r="I1887" t="s">
        <v>33</v>
      </c>
      <c r="J1887">
        <v>2</v>
      </c>
      <c r="K1887">
        <v>6500</v>
      </c>
      <c r="L1887">
        <v>6500</v>
      </c>
      <c r="M1887">
        <v>13000</v>
      </c>
      <c r="N1887" t="s">
        <v>19</v>
      </c>
    </row>
    <row r="1888" spans="1:14" x14ac:dyDescent="0.25">
      <c r="A1888" t="s">
        <v>1486</v>
      </c>
      <c r="B1888" t="s">
        <v>2227</v>
      </c>
      <c r="C1888" t="s">
        <v>983</v>
      </c>
      <c r="D1888" t="s">
        <v>20</v>
      </c>
      <c r="E1888" t="s">
        <v>31</v>
      </c>
      <c r="F1888" t="s">
        <v>15</v>
      </c>
      <c r="G1888" t="s">
        <v>22</v>
      </c>
      <c r="H1888" t="s">
        <v>888</v>
      </c>
      <c r="I1888" t="s">
        <v>33</v>
      </c>
      <c r="J1888">
        <v>2</v>
      </c>
      <c r="K1888">
        <v>6500</v>
      </c>
      <c r="L1888">
        <v>6500</v>
      </c>
      <c r="M1888">
        <v>13000</v>
      </c>
      <c r="N1888" t="s">
        <v>19</v>
      </c>
    </row>
    <row r="1889" spans="1:14" x14ac:dyDescent="0.25">
      <c r="A1889" t="s">
        <v>1486</v>
      </c>
      <c r="B1889" t="s">
        <v>2228</v>
      </c>
      <c r="C1889" t="s">
        <v>984</v>
      </c>
      <c r="D1889" t="s">
        <v>20</v>
      </c>
      <c r="E1889" t="s">
        <v>31</v>
      </c>
      <c r="F1889" t="s">
        <v>15</v>
      </c>
      <c r="G1889" t="s">
        <v>22</v>
      </c>
      <c r="H1889" t="s">
        <v>888</v>
      </c>
      <c r="I1889" t="s">
        <v>33</v>
      </c>
      <c r="J1889">
        <v>5</v>
      </c>
      <c r="K1889">
        <v>6500</v>
      </c>
      <c r="L1889">
        <v>6500</v>
      </c>
      <c r="M1889">
        <v>32500</v>
      </c>
      <c r="N1889" t="s">
        <v>19</v>
      </c>
    </row>
    <row r="1890" spans="1:14" x14ac:dyDescent="0.25">
      <c r="A1890" t="s">
        <v>1486</v>
      </c>
      <c r="B1890" t="s">
        <v>2229</v>
      </c>
      <c r="C1890" t="s">
        <v>985</v>
      </c>
      <c r="D1890" t="s">
        <v>20</v>
      </c>
      <c r="E1890" t="s">
        <v>31</v>
      </c>
      <c r="F1890" t="s">
        <v>15</v>
      </c>
      <c r="G1890" t="s">
        <v>22</v>
      </c>
      <c r="H1890" t="s">
        <v>888</v>
      </c>
      <c r="I1890" t="s">
        <v>33</v>
      </c>
      <c r="J1890">
        <v>11</v>
      </c>
      <c r="K1890">
        <v>6500</v>
      </c>
      <c r="L1890">
        <v>6500</v>
      </c>
      <c r="M1890">
        <v>71500</v>
      </c>
      <c r="N1890" t="s">
        <v>19</v>
      </c>
    </row>
    <row r="1891" spans="1:14" x14ac:dyDescent="0.25">
      <c r="A1891" t="s">
        <v>1486</v>
      </c>
      <c r="B1891" t="s">
        <v>2230</v>
      </c>
      <c r="C1891" t="s">
        <v>986</v>
      </c>
      <c r="D1891" t="s">
        <v>20</v>
      </c>
      <c r="E1891" t="s">
        <v>31</v>
      </c>
      <c r="F1891" t="s">
        <v>15</v>
      </c>
      <c r="G1891" t="s">
        <v>22</v>
      </c>
      <c r="H1891" t="s">
        <v>888</v>
      </c>
      <c r="I1891" t="s">
        <v>33</v>
      </c>
      <c r="J1891">
        <v>7</v>
      </c>
      <c r="K1891">
        <v>6500</v>
      </c>
      <c r="L1891">
        <v>6500</v>
      </c>
      <c r="M1891">
        <v>45500</v>
      </c>
      <c r="N1891" t="s">
        <v>19</v>
      </c>
    </row>
    <row r="1892" spans="1:14" x14ac:dyDescent="0.25">
      <c r="A1892" t="s">
        <v>1459</v>
      </c>
      <c r="B1892" t="s">
        <v>2231</v>
      </c>
      <c r="C1892" t="s">
        <v>891</v>
      </c>
      <c r="D1892" t="s">
        <v>892</v>
      </c>
      <c r="E1892" t="s">
        <v>893</v>
      </c>
      <c r="F1892" t="s">
        <v>15</v>
      </c>
      <c r="G1892" t="s">
        <v>37</v>
      </c>
      <c r="H1892" t="s">
        <v>894</v>
      </c>
      <c r="I1892" t="s">
        <v>154</v>
      </c>
      <c r="J1892">
        <v>1</v>
      </c>
      <c r="K1892">
        <v>1100</v>
      </c>
      <c r="L1892">
        <v>1400</v>
      </c>
      <c r="M1892">
        <v>1400</v>
      </c>
      <c r="N1892" t="s">
        <v>19</v>
      </c>
    </row>
    <row r="1893" spans="1:14" x14ac:dyDescent="0.25">
      <c r="A1893" t="s">
        <v>1459</v>
      </c>
      <c r="B1893" t="s">
        <v>2231</v>
      </c>
      <c r="C1893" t="s">
        <v>891</v>
      </c>
      <c r="D1893" t="s">
        <v>892</v>
      </c>
      <c r="E1893" t="s">
        <v>893</v>
      </c>
      <c r="F1893" t="s">
        <v>15</v>
      </c>
      <c r="G1893" t="s">
        <v>37</v>
      </c>
      <c r="H1893" t="s">
        <v>894</v>
      </c>
      <c r="I1893" t="s">
        <v>333</v>
      </c>
      <c r="J1893">
        <v>1</v>
      </c>
      <c r="K1893">
        <v>20</v>
      </c>
      <c r="L1893">
        <v>100</v>
      </c>
      <c r="M1893">
        <v>100</v>
      </c>
      <c r="N1893" t="s">
        <v>19</v>
      </c>
    </row>
    <row r="1894" spans="1:14" x14ac:dyDescent="0.25">
      <c r="A1894" t="s">
        <v>1581</v>
      </c>
      <c r="B1894" t="s">
        <v>2232</v>
      </c>
      <c r="C1894" t="s">
        <v>895</v>
      </c>
      <c r="D1894" t="s">
        <v>87</v>
      </c>
      <c r="E1894" t="s">
        <v>87</v>
      </c>
      <c r="F1894" t="s">
        <v>15</v>
      </c>
      <c r="G1894" t="s">
        <v>37</v>
      </c>
      <c r="H1894" t="s">
        <v>896</v>
      </c>
      <c r="I1894" t="s">
        <v>89</v>
      </c>
      <c r="J1894">
        <v>50</v>
      </c>
      <c r="K1894">
        <v>32</v>
      </c>
      <c r="L1894">
        <v>50</v>
      </c>
      <c r="M1894">
        <v>2500</v>
      </c>
      <c r="N1894" t="s">
        <v>39</v>
      </c>
    </row>
    <row r="1895" spans="1:14" x14ac:dyDescent="0.25">
      <c r="A1895" t="s">
        <v>1609</v>
      </c>
      <c r="B1895" t="s">
        <v>2233</v>
      </c>
      <c r="C1895" t="s">
        <v>987</v>
      </c>
      <c r="D1895" t="s">
        <v>191</v>
      </c>
      <c r="E1895" t="s">
        <v>192</v>
      </c>
      <c r="F1895" t="s">
        <v>15</v>
      </c>
      <c r="G1895" t="s">
        <v>22</v>
      </c>
      <c r="H1895" t="s">
        <v>896</v>
      </c>
      <c r="I1895" t="s">
        <v>581</v>
      </c>
      <c r="J1895">
        <v>3</v>
      </c>
      <c r="K1895">
        <v>11000</v>
      </c>
      <c r="L1895">
        <v>15500</v>
      </c>
      <c r="M1895">
        <v>46500</v>
      </c>
      <c r="N1895" t="s">
        <v>19</v>
      </c>
    </row>
    <row r="1896" spans="1:14" x14ac:dyDescent="0.25">
      <c r="A1896" t="s">
        <v>1609</v>
      </c>
      <c r="B1896" t="s">
        <v>2233</v>
      </c>
      <c r="C1896" t="s">
        <v>987</v>
      </c>
      <c r="D1896" t="s">
        <v>191</v>
      </c>
      <c r="E1896" t="s">
        <v>192</v>
      </c>
      <c r="F1896" t="s">
        <v>15</v>
      </c>
      <c r="G1896" t="s">
        <v>22</v>
      </c>
      <c r="H1896" t="s">
        <v>896</v>
      </c>
      <c r="I1896" t="s">
        <v>392</v>
      </c>
      <c r="J1896">
        <v>1</v>
      </c>
      <c r="K1896">
        <v>3360</v>
      </c>
      <c r="L1896">
        <v>5800</v>
      </c>
      <c r="M1896">
        <v>5800</v>
      </c>
      <c r="N1896" t="s">
        <v>19</v>
      </c>
    </row>
    <row r="1897" spans="1:14" x14ac:dyDescent="0.25">
      <c r="A1897" t="s">
        <v>1609</v>
      </c>
      <c r="B1897" t="s">
        <v>2233</v>
      </c>
      <c r="C1897" t="s">
        <v>987</v>
      </c>
      <c r="D1897" t="s">
        <v>191</v>
      </c>
      <c r="E1897" t="s">
        <v>192</v>
      </c>
      <c r="F1897" t="s">
        <v>15</v>
      </c>
      <c r="G1897" t="s">
        <v>22</v>
      </c>
      <c r="H1897" t="s">
        <v>896</v>
      </c>
      <c r="I1897" t="s">
        <v>76</v>
      </c>
      <c r="J1897">
        <v>1</v>
      </c>
      <c r="K1897">
        <v>1500</v>
      </c>
      <c r="L1897">
        <v>1500</v>
      </c>
      <c r="M1897">
        <v>1500</v>
      </c>
      <c r="N1897" t="s">
        <v>19</v>
      </c>
    </row>
    <row r="1898" spans="1:14" x14ac:dyDescent="0.25">
      <c r="A1898" t="s">
        <v>1522</v>
      </c>
      <c r="B1898" t="s">
        <v>2234</v>
      </c>
      <c r="C1898" t="s">
        <v>988</v>
      </c>
      <c r="D1898" t="s">
        <v>20</v>
      </c>
      <c r="E1898" t="s">
        <v>989</v>
      </c>
      <c r="F1898" t="s">
        <v>15</v>
      </c>
      <c r="G1898" t="s">
        <v>22</v>
      </c>
      <c r="H1898" t="s">
        <v>896</v>
      </c>
      <c r="I1898" t="s">
        <v>322</v>
      </c>
      <c r="J1898">
        <v>1</v>
      </c>
      <c r="K1898">
        <v>2975</v>
      </c>
      <c r="L1898">
        <v>8500</v>
      </c>
      <c r="M1898">
        <v>8500</v>
      </c>
      <c r="N1898" t="s">
        <v>19</v>
      </c>
    </row>
    <row r="1899" spans="1:14" x14ac:dyDescent="0.25">
      <c r="A1899" t="s">
        <v>1522</v>
      </c>
      <c r="B1899" t="s">
        <v>2234</v>
      </c>
      <c r="C1899" t="s">
        <v>988</v>
      </c>
      <c r="D1899" t="s">
        <v>20</v>
      </c>
      <c r="E1899" t="s">
        <v>989</v>
      </c>
      <c r="F1899" t="s">
        <v>15</v>
      </c>
      <c r="G1899" t="s">
        <v>22</v>
      </c>
      <c r="H1899" t="s">
        <v>896</v>
      </c>
      <c r="I1899" t="s">
        <v>575</v>
      </c>
      <c r="J1899">
        <v>1</v>
      </c>
      <c r="K1899">
        <v>4550</v>
      </c>
      <c r="L1899">
        <v>4550</v>
      </c>
      <c r="M1899">
        <v>4550</v>
      </c>
      <c r="N1899" t="s">
        <v>19</v>
      </c>
    </row>
    <row r="1900" spans="1:14" x14ac:dyDescent="0.25">
      <c r="A1900" t="s">
        <v>1522</v>
      </c>
      <c r="B1900" t="s">
        <v>2234</v>
      </c>
      <c r="C1900" t="s">
        <v>988</v>
      </c>
      <c r="D1900" t="s">
        <v>20</v>
      </c>
      <c r="E1900" t="s">
        <v>989</v>
      </c>
      <c r="F1900" t="s">
        <v>15</v>
      </c>
      <c r="G1900" t="s">
        <v>22</v>
      </c>
      <c r="H1900" t="s">
        <v>896</v>
      </c>
      <c r="I1900" t="s">
        <v>24</v>
      </c>
      <c r="J1900">
        <v>1</v>
      </c>
      <c r="K1900">
        <v>4550</v>
      </c>
      <c r="L1900">
        <v>4550</v>
      </c>
      <c r="M1900">
        <v>4550</v>
      </c>
      <c r="N1900" t="s">
        <v>19</v>
      </c>
    </row>
    <row r="1901" spans="1:14" x14ac:dyDescent="0.25">
      <c r="A1901" t="s">
        <v>1522</v>
      </c>
      <c r="B1901" t="s">
        <v>2234</v>
      </c>
      <c r="C1901" t="s">
        <v>988</v>
      </c>
      <c r="D1901" t="s">
        <v>20</v>
      </c>
      <c r="E1901" t="s">
        <v>989</v>
      </c>
      <c r="F1901" t="s">
        <v>15</v>
      </c>
      <c r="G1901" t="s">
        <v>22</v>
      </c>
      <c r="H1901" t="s">
        <v>896</v>
      </c>
      <c r="I1901" t="s">
        <v>576</v>
      </c>
      <c r="J1901">
        <v>1</v>
      </c>
      <c r="K1901">
        <v>21000</v>
      </c>
      <c r="L1901">
        <v>30000</v>
      </c>
      <c r="M1901">
        <v>30000</v>
      </c>
      <c r="N1901" t="s">
        <v>19</v>
      </c>
    </row>
    <row r="1902" spans="1:14" x14ac:dyDescent="0.25">
      <c r="A1902" t="s">
        <v>1522</v>
      </c>
      <c r="B1902" t="s">
        <v>2234</v>
      </c>
      <c r="C1902" t="s">
        <v>988</v>
      </c>
      <c r="D1902" t="s">
        <v>20</v>
      </c>
      <c r="E1902" t="s">
        <v>989</v>
      </c>
      <c r="F1902" t="s">
        <v>15</v>
      </c>
      <c r="G1902" t="s">
        <v>22</v>
      </c>
      <c r="H1902" t="s">
        <v>896</v>
      </c>
      <c r="I1902" t="s">
        <v>577</v>
      </c>
      <c r="J1902">
        <v>1</v>
      </c>
      <c r="K1902">
        <v>11700</v>
      </c>
      <c r="L1902">
        <v>16500</v>
      </c>
      <c r="M1902">
        <v>16500</v>
      </c>
      <c r="N1902" t="s">
        <v>19</v>
      </c>
    </row>
    <row r="1903" spans="1:14" x14ac:dyDescent="0.25">
      <c r="A1903" t="s">
        <v>1522</v>
      </c>
      <c r="B1903" t="s">
        <v>2234</v>
      </c>
      <c r="C1903" t="s">
        <v>988</v>
      </c>
      <c r="D1903" t="s">
        <v>20</v>
      </c>
      <c r="E1903" t="s">
        <v>989</v>
      </c>
      <c r="F1903" t="s">
        <v>15</v>
      </c>
      <c r="G1903" t="s">
        <v>22</v>
      </c>
      <c r="H1903" t="s">
        <v>896</v>
      </c>
      <c r="I1903" t="s">
        <v>236</v>
      </c>
      <c r="J1903">
        <v>1</v>
      </c>
      <c r="K1903">
        <v>2200</v>
      </c>
      <c r="L1903">
        <v>3100</v>
      </c>
      <c r="M1903">
        <v>3100</v>
      </c>
      <c r="N1903" t="s">
        <v>19</v>
      </c>
    </row>
    <row r="1904" spans="1:14" x14ac:dyDescent="0.25">
      <c r="A1904" t="s">
        <v>1522</v>
      </c>
      <c r="B1904" t="s">
        <v>2234</v>
      </c>
      <c r="C1904" t="s">
        <v>988</v>
      </c>
      <c r="D1904" t="s">
        <v>20</v>
      </c>
      <c r="E1904" t="s">
        <v>989</v>
      </c>
      <c r="F1904" t="s">
        <v>15</v>
      </c>
      <c r="G1904" t="s">
        <v>22</v>
      </c>
      <c r="H1904" t="s">
        <v>896</v>
      </c>
      <c r="I1904" t="s">
        <v>96</v>
      </c>
      <c r="J1904">
        <v>1</v>
      </c>
      <c r="K1904">
        <v>1350</v>
      </c>
      <c r="L1904">
        <v>2000</v>
      </c>
      <c r="M1904">
        <v>2000</v>
      </c>
      <c r="N1904" t="s">
        <v>19</v>
      </c>
    </row>
    <row r="1905" spans="1:14" x14ac:dyDescent="0.25">
      <c r="A1905" t="s">
        <v>1522</v>
      </c>
      <c r="B1905" t="s">
        <v>2234</v>
      </c>
      <c r="C1905" t="s">
        <v>988</v>
      </c>
      <c r="D1905" t="s">
        <v>20</v>
      </c>
      <c r="E1905" t="s">
        <v>989</v>
      </c>
      <c r="F1905" t="s">
        <v>15</v>
      </c>
      <c r="G1905" t="s">
        <v>22</v>
      </c>
      <c r="H1905" t="s">
        <v>896</v>
      </c>
      <c r="I1905" t="s">
        <v>171</v>
      </c>
      <c r="J1905">
        <v>1</v>
      </c>
      <c r="K1905">
        <v>500</v>
      </c>
      <c r="L1905">
        <v>500</v>
      </c>
      <c r="M1905">
        <v>500</v>
      </c>
      <c r="N1905" t="s">
        <v>19</v>
      </c>
    </row>
    <row r="1906" spans="1:14" x14ac:dyDescent="0.25">
      <c r="A1906" t="s">
        <v>1522</v>
      </c>
      <c r="B1906" t="s">
        <v>2234</v>
      </c>
      <c r="C1906" t="s">
        <v>988</v>
      </c>
      <c r="D1906" t="s">
        <v>20</v>
      </c>
      <c r="E1906" t="s">
        <v>989</v>
      </c>
      <c r="F1906" t="s">
        <v>15</v>
      </c>
      <c r="G1906" t="s">
        <v>22</v>
      </c>
      <c r="H1906" t="s">
        <v>896</v>
      </c>
      <c r="I1906" t="s">
        <v>393</v>
      </c>
      <c r="J1906">
        <v>1</v>
      </c>
      <c r="K1906">
        <v>500</v>
      </c>
      <c r="L1906">
        <v>500</v>
      </c>
      <c r="M1906">
        <v>500</v>
      </c>
      <c r="N1906" t="s">
        <v>19</v>
      </c>
    </row>
    <row r="1907" spans="1:14" x14ac:dyDescent="0.25">
      <c r="A1907" t="s">
        <v>1522</v>
      </c>
      <c r="B1907" t="s">
        <v>2234</v>
      </c>
      <c r="C1907" t="s">
        <v>988</v>
      </c>
      <c r="D1907" t="s">
        <v>20</v>
      </c>
      <c r="E1907" t="s">
        <v>989</v>
      </c>
      <c r="F1907" t="s">
        <v>15</v>
      </c>
      <c r="G1907" t="s">
        <v>22</v>
      </c>
      <c r="H1907" t="s">
        <v>896</v>
      </c>
      <c r="I1907" t="s">
        <v>990</v>
      </c>
      <c r="J1907">
        <v>1</v>
      </c>
      <c r="K1907">
        <v>550</v>
      </c>
      <c r="L1907">
        <v>800</v>
      </c>
      <c r="M1907">
        <v>800</v>
      </c>
      <c r="N1907" t="s">
        <v>19</v>
      </c>
    </row>
    <row r="1908" spans="1:14" x14ac:dyDescent="0.25">
      <c r="A1908" t="s">
        <v>1482</v>
      </c>
      <c r="B1908" t="s">
        <v>2235</v>
      </c>
      <c r="C1908" t="s">
        <v>991</v>
      </c>
      <c r="D1908" t="s">
        <v>20</v>
      </c>
      <c r="E1908" t="s">
        <v>992</v>
      </c>
      <c r="F1908" t="s">
        <v>15</v>
      </c>
      <c r="G1908" t="s">
        <v>22</v>
      </c>
      <c r="H1908" t="s">
        <v>896</v>
      </c>
      <c r="I1908" t="s">
        <v>322</v>
      </c>
      <c r="J1908">
        <v>1</v>
      </c>
      <c r="K1908">
        <v>3675</v>
      </c>
      <c r="L1908">
        <v>10500</v>
      </c>
      <c r="M1908">
        <v>10500</v>
      </c>
      <c r="N1908" t="s">
        <v>19</v>
      </c>
    </row>
    <row r="1909" spans="1:14" x14ac:dyDescent="0.25">
      <c r="A1909" t="s">
        <v>1482</v>
      </c>
      <c r="B1909" t="s">
        <v>2235</v>
      </c>
      <c r="C1909" t="s">
        <v>991</v>
      </c>
      <c r="D1909" t="s">
        <v>20</v>
      </c>
      <c r="E1909" t="s">
        <v>992</v>
      </c>
      <c r="F1909" t="s">
        <v>15</v>
      </c>
      <c r="G1909" t="s">
        <v>22</v>
      </c>
      <c r="H1909" t="s">
        <v>896</v>
      </c>
      <c r="I1909" t="s">
        <v>170</v>
      </c>
      <c r="J1909">
        <v>1</v>
      </c>
      <c r="K1909">
        <v>13750</v>
      </c>
      <c r="L1909">
        <v>13750</v>
      </c>
      <c r="M1909">
        <v>13750</v>
      </c>
      <c r="N1909" t="s">
        <v>19</v>
      </c>
    </row>
    <row r="1910" spans="1:14" x14ac:dyDescent="0.25">
      <c r="A1910" t="s">
        <v>1482</v>
      </c>
      <c r="B1910" t="s">
        <v>2235</v>
      </c>
      <c r="C1910" t="s">
        <v>991</v>
      </c>
      <c r="D1910" t="s">
        <v>20</v>
      </c>
      <c r="E1910" t="s">
        <v>992</v>
      </c>
      <c r="F1910" t="s">
        <v>15</v>
      </c>
      <c r="G1910" t="s">
        <v>22</v>
      </c>
      <c r="H1910" t="s">
        <v>896</v>
      </c>
      <c r="I1910" t="s">
        <v>24</v>
      </c>
      <c r="J1910">
        <v>1</v>
      </c>
      <c r="K1910">
        <v>13750</v>
      </c>
      <c r="L1910">
        <v>13750</v>
      </c>
      <c r="M1910">
        <v>13750</v>
      </c>
      <c r="N1910" t="s">
        <v>19</v>
      </c>
    </row>
    <row r="1911" spans="1:14" x14ac:dyDescent="0.25">
      <c r="A1911" t="s">
        <v>1482</v>
      </c>
      <c r="B1911" t="s">
        <v>2235</v>
      </c>
      <c r="C1911" t="s">
        <v>991</v>
      </c>
      <c r="D1911" t="s">
        <v>20</v>
      </c>
      <c r="E1911" t="s">
        <v>992</v>
      </c>
      <c r="F1911" t="s">
        <v>15</v>
      </c>
      <c r="G1911" t="s">
        <v>22</v>
      </c>
      <c r="H1911" t="s">
        <v>896</v>
      </c>
      <c r="I1911" t="s">
        <v>316</v>
      </c>
      <c r="J1911">
        <v>1</v>
      </c>
      <c r="K1911">
        <v>500</v>
      </c>
      <c r="L1911">
        <v>500</v>
      </c>
      <c r="M1911">
        <v>500</v>
      </c>
      <c r="N1911" t="s">
        <v>19</v>
      </c>
    </row>
    <row r="1912" spans="1:14" x14ac:dyDescent="0.25">
      <c r="A1912" t="s">
        <v>1482</v>
      </c>
      <c r="B1912" t="s">
        <v>2235</v>
      </c>
      <c r="C1912" t="s">
        <v>991</v>
      </c>
      <c r="D1912" t="s">
        <v>20</v>
      </c>
      <c r="E1912" t="s">
        <v>992</v>
      </c>
      <c r="F1912" t="s">
        <v>15</v>
      </c>
      <c r="G1912" t="s">
        <v>22</v>
      </c>
      <c r="H1912" t="s">
        <v>896</v>
      </c>
      <c r="I1912" t="s">
        <v>323</v>
      </c>
      <c r="J1912">
        <v>1</v>
      </c>
      <c r="K1912">
        <v>3500</v>
      </c>
      <c r="L1912">
        <v>10000</v>
      </c>
      <c r="M1912">
        <v>10000</v>
      </c>
      <c r="N1912" t="s">
        <v>19</v>
      </c>
    </row>
    <row r="1913" spans="1:14" x14ac:dyDescent="0.25">
      <c r="A1913" t="s">
        <v>1482</v>
      </c>
      <c r="B1913" t="s">
        <v>2235</v>
      </c>
      <c r="C1913" t="s">
        <v>991</v>
      </c>
      <c r="D1913" t="s">
        <v>20</v>
      </c>
      <c r="E1913" t="s">
        <v>992</v>
      </c>
      <c r="F1913" t="s">
        <v>15</v>
      </c>
      <c r="G1913" t="s">
        <v>22</v>
      </c>
      <c r="H1913" t="s">
        <v>896</v>
      </c>
      <c r="I1913" t="s">
        <v>324</v>
      </c>
      <c r="J1913">
        <v>1</v>
      </c>
      <c r="K1913">
        <v>17500</v>
      </c>
      <c r="L1913">
        <v>50000</v>
      </c>
      <c r="M1913">
        <v>50000</v>
      </c>
      <c r="N1913" t="s">
        <v>19</v>
      </c>
    </row>
    <row r="1914" spans="1:14" x14ac:dyDescent="0.25">
      <c r="A1914" t="s">
        <v>1482</v>
      </c>
      <c r="B1914" t="s">
        <v>2235</v>
      </c>
      <c r="C1914" t="s">
        <v>991</v>
      </c>
      <c r="D1914" t="s">
        <v>20</v>
      </c>
      <c r="E1914" t="s">
        <v>992</v>
      </c>
      <c r="F1914" t="s">
        <v>15</v>
      </c>
      <c r="G1914" t="s">
        <v>22</v>
      </c>
      <c r="H1914" t="s">
        <v>896</v>
      </c>
      <c r="I1914" t="s">
        <v>170</v>
      </c>
      <c r="J1914">
        <v>1</v>
      </c>
      <c r="K1914">
        <v>22950</v>
      </c>
      <c r="L1914">
        <v>22950</v>
      </c>
      <c r="M1914">
        <v>22950</v>
      </c>
      <c r="N1914" t="s">
        <v>19</v>
      </c>
    </row>
    <row r="1915" spans="1:14" x14ac:dyDescent="0.25">
      <c r="A1915" t="s">
        <v>1482</v>
      </c>
      <c r="B1915" t="s">
        <v>2235</v>
      </c>
      <c r="C1915" t="s">
        <v>991</v>
      </c>
      <c r="D1915" t="s">
        <v>20</v>
      </c>
      <c r="E1915" t="s">
        <v>992</v>
      </c>
      <c r="F1915" t="s">
        <v>15</v>
      </c>
      <c r="G1915" t="s">
        <v>22</v>
      </c>
      <c r="H1915" t="s">
        <v>896</v>
      </c>
      <c r="I1915" t="s">
        <v>24</v>
      </c>
      <c r="J1915">
        <v>1</v>
      </c>
      <c r="K1915">
        <v>22950</v>
      </c>
      <c r="L1915">
        <v>22950</v>
      </c>
      <c r="M1915">
        <v>22950</v>
      </c>
      <c r="N1915" t="s">
        <v>19</v>
      </c>
    </row>
    <row r="1916" spans="1:14" x14ac:dyDescent="0.25">
      <c r="A1916" t="s">
        <v>1482</v>
      </c>
      <c r="B1916" t="s">
        <v>2235</v>
      </c>
      <c r="C1916" t="s">
        <v>991</v>
      </c>
      <c r="D1916" t="s">
        <v>20</v>
      </c>
      <c r="E1916" t="s">
        <v>992</v>
      </c>
      <c r="F1916" t="s">
        <v>15</v>
      </c>
      <c r="G1916" t="s">
        <v>22</v>
      </c>
      <c r="H1916" t="s">
        <v>896</v>
      </c>
      <c r="I1916" t="s">
        <v>325</v>
      </c>
      <c r="J1916">
        <v>1</v>
      </c>
      <c r="K1916">
        <v>21500</v>
      </c>
      <c r="L1916">
        <v>31000</v>
      </c>
      <c r="M1916">
        <v>31000</v>
      </c>
      <c r="N1916" t="s">
        <v>19</v>
      </c>
    </row>
    <row r="1917" spans="1:14" x14ac:dyDescent="0.25">
      <c r="A1917" t="s">
        <v>1482</v>
      </c>
      <c r="B1917" t="s">
        <v>2235</v>
      </c>
      <c r="C1917" t="s">
        <v>991</v>
      </c>
      <c r="D1917" t="s">
        <v>20</v>
      </c>
      <c r="E1917" t="s">
        <v>992</v>
      </c>
      <c r="F1917" t="s">
        <v>15</v>
      </c>
      <c r="G1917" t="s">
        <v>22</v>
      </c>
      <c r="H1917" t="s">
        <v>896</v>
      </c>
      <c r="I1917" t="s">
        <v>326</v>
      </c>
      <c r="J1917">
        <v>2</v>
      </c>
      <c r="K1917">
        <v>18500</v>
      </c>
      <c r="L1917">
        <v>26500</v>
      </c>
      <c r="M1917">
        <v>53000</v>
      </c>
      <c r="N1917" t="s">
        <v>19</v>
      </c>
    </row>
    <row r="1918" spans="1:14" x14ac:dyDescent="0.25">
      <c r="A1918" t="s">
        <v>1482</v>
      </c>
      <c r="B1918" t="s">
        <v>2235</v>
      </c>
      <c r="C1918" t="s">
        <v>991</v>
      </c>
      <c r="D1918" t="s">
        <v>20</v>
      </c>
      <c r="E1918" t="s">
        <v>992</v>
      </c>
      <c r="F1918" t="s">
        <v>15</v>
      </c>
      <c r="G1918" t="s">
        <v>22</v>
      </c>
      <c r="H1918" t="s">
        <v>896</v>
      </c>
      <c r="I1918" t="s">
        <v>993</v>
      </c>
      <c r="J1918">
        <v>2</v>
      </c>
      <c r="K1918">
        <v>3000</v>
      </c>
      <c r="L1918">
        <v>4200</v>
      </c>
      <c r="M1918">
        <v>8400</v>
      </c>
      <c r="N1918" t="s">
        <v>19</v>
      </c>
    </row>
    <row r="1919" spans="1:14" x14ac:dyDescent="0.25">
      <c r="A1919" t="s">
        <v>1482</v>
      </c>
      <c r="B1919" t="s">
        <v>2235</v>
      </c>
      <c r="C1919" t="s">
        <v>991</v>
      </c>
      <c r="D1919" t="s">
        <v>20</v>
      </c>
      <c r="E1919" t="s">
        <v>992</v>
      </c>
      <c r="F1919" t="s">
        <v>15</v>
      </c>
      <c r="G1919" t="s">
        <v>22</v>
      </c>
      <c r="H1919" t="s">
        <v>896</v>
      </c>
      <c r="I1919" t="s">
        <v>116</v>
      </c>
      <c r="J1919">
        <v>1</v>
      </c>
      <c r="K1919">
        <v>1350</v>
      </c>
      <c r="L1919">
        <v>2000</v>
      </c>
      <c r="M1919">
        <v>2000</v>
      </c>
      <c r="N1919" t="s">
        <v>19</v>
      </c>
    </row>
    <row r="1920" spans="1:14" x14ac:dyDescent="0.25">
      <c r="A1920" t="s">
        <v>1482</v>
      </c>
      <c r="B1920" t="s">
        <v>2235</v>
      </c>
      <c r="C1920" t="s">
        <v>991</v>
      </c>
      <c r="D1920" t="s">
        <v>20</v>
      </c>
      <c r="E1920" t="s">
        <v>992</v>
      </c>
      <c r="F1920" t="s">
        <v>15</v>
      </c>
      <c r="G1920" t="s">
        <v>22</v>
      </c>
      <c r="H1920" t="s">
        <v>896</v>
      </c>
      <c r="I1920" t="s">
        <v>814</v>
      </c>
      <c r="J1920">
        <v>2</v>
      </c>
      <c r="K1920">
        <v>7500</v>
      </c>
      <c r="L1920">
        <v>11500</v>
      </c>
      <c r="M1920">
        <v>23000</v>
      </c>
      <c r="N1920" t="s">
        <v>19</v>
      </c>
    </row>
    <row r="1921" spans="1:14" x14ac:dyDescent="0.25">
      <c r="A1921" t="s">
        <v>1482</v>
      </c>
      <c r="B1921" t="s">
        <v>2235</v>
      </c>
      <c r="C1921" t="s">
        <v>991</v>
      </c>
      <c r="D1921" t="s">
        <v>20</v>
      </c>
      <c r="E1921" t="s">
        <v>992</v>
      </c>
      <c r="F1921" t="s">
        <v>15</v>
      </c>
      <c r="G1921" t="s">
        <v>22</v>
      </c>
      <c r="H1921" t="s">
        <v>896</v>
      </c>
      <c r="I1921" t="s">
        <v>328</v>
      </c>
      <c r="J1921">
        <v>1</v>
      </c>
      <c r="K1921">
        <v>24330</v>
      </c>
      <c r="L1921">
        <v>34000</v>
      </c>
      <c r="M1921">
        <v>34000</v>
      </c>
      <c r="N1921" t="s">
        <v>19</v>
      </c>
    </row>
    <row r="1922" spans="1:14" x14ac:dyDescent="0.25">
      <c r="A1922" t="s">
        <v>1482</v>
      </c>
      <c r="B1922" t="s">
        <v>2235</v>
      </c>
      <c r="C1922" t="s">
        <v>991</v>
      </c>
      <c r="D1922" t="s">
        <v>20</v>
      </c>
      <c r="E1922" t="s">
        <v>992</v>
      </c>
      <c r="F1922" t="s">
        <v>15</v>
      </c>
      <c r="G1922" t="s">
        <v>22</v>
      </c>
      <c r="H1922" t="s">
        <v>896</v>
      </c>
      <c r="I1922" t="s">
        <v>329</v>
      </c>
      <c r="J1922">
        <v>1</v>
      </c>
      <c r="K1922">
        <v>4250</v>
      </c>
      <c r="L1922">
        <v>6000</v>
      </c>
      <c r="M1922">
        <v>6000</v>
      </c>
      <c r="N1922" t="s">
        <v>19</v>
      </c>
    </row>
    <row r="1923" spans="1:14" x14ac:dyDescent="0.25">
      <c r="A1923" t="s">
        <v>1482</v>
      </c>
      <c r="B1923" t="s">
        <v>2235</v>
      </c>
      <c r="C1923" t="s">
        <v>991</v>
      </c>
      <c r="D1923" t="s">
        <v>20</v>
      </c>
      <c r="E1923" t="s">
        <v>992</v>
      </c>
      <c r="F1923" t="s">
        <v>15</v>
      </c>
      <c r="G1923" t="s">
        <v>22</v>
      </c>
      <c r="H1923" t="s">
        <v>896</v>
      </c>
      <c r="I1923" t="s">
        <v>76</v>
      </c>
      <c r="J1923">
        <v>1</v>
      </c>
      <c r="K1923">
        <v>1100</v>
      </c>
      <c r="L1923">
        <v>1100</v>
      </c>
      <c r="M1923">
        <v>1100</v>
      </c>
      <c r="N1923" t="s">
        <v>19</v>
      </c>
    </row>
    <row r="1924" spans="1:14" x14ac:dyDescent="0.25">
      <c r="A1924" t="s">
        <v>1482</v>
      </c>
      <c r="B1924" t="s">
        <v>2235</v>
      </c>
      <c r="C1924" t="s">
        <v>991</v>
      </c>
      <c r="D1924" t="s">
        <v>20</v>
      </c>
      <c r="E1924" t="s">
        <v>992</v>
      </c>
      <c r="F1924" t="s">
        <v>15</v>
      </c>
      <c r="G1924" t="s">
        <v>22</v>
      </c>
      <c r="H1924" t="s">
        <v>896</v>
      </c>
      <c r="I1924" t="s">
        <v>331</v>
      </c>
      <c r="J1924">
        <v>1</v>
      </c>
      <c r="K1924">
        <v>40000</v>
      </c>
      <c r="L1924">
        <v>40000</v>
      </c>
      <c r="M1924">
        <v>40000</v>
      </c>
      <c r="N1924" t="s">
        <v>19</v>
      </c>
    </row>
    <row r="1925" spans="1:14" x14ac:dyDescent="0.25">
      <c r="A1925" t="s">
        <v>1482</v>
      </c>
      <c r="B1925" t="s">
        <v>2235</v>
      </c>
      <c r="C1925" t="s">
        <v>991</v>
      </c>
      <c r="D1925" t="s">
        <v>20</v>
      </c>
      <c r="E1925" t="s">
        <v>992</v>
      </c>
      <c r="F1925" t="s">
        <v>15</v>
      </c>
      <c r="G1925" t="s">
        <v>22</v>
      </c>
      <c r="H1925" t="s">
        <v>896</v>
      </c>
      <c r="I1925" t="s">
        <v>692</v>
      </c>
      <c r="J1925">
        <v>2</v>
      </c>
      <c r="K1925">
        <v>550</v>
      </c>
      <c r="L1925">
        <v>800</v>
      </c>
      <c r="M1925">
        <v>1600</v>
      </c>
      <c r="N1925" t="s">
        <v>19</v>
      </c>
    </row>
    <row r="1926" spans="1:14" x14ac:dyDescent="0.25">
      <c r="A1926" t="s">
        <v>1700</v>
      </c>
      <c r="B1926" t="s">
        <v>2236</v>
      </c>
      <c r="C1926" t="s">
        <v>897</v>
      </c>
      <c r="D1926" t="s">
        <v>898</v>
      </c>
      <c r="E1926" t="s">
        <v>899</v>
      </c>
      <c r="F1926" t="s">
        <v>15</v>
      </c>
      <c r="G1926" t="s">
        <v>37</v>
      </c>
      <c r="H1926" t="s">
        <v>900</v>
      </c>
      <c r="I1926" t="s">
        <v>241</v>
      </c>
      <c r="J1926">
        <v>1</v>
      </c>
      <c r="K1926">
        <v>8000</v>
      </c>
      <c r="L1926">
        <v>11350</v>
      </c>
      <c r="M1926">
        <v>11350</v>
      </c>
      <c r="N1926" t="s">
        <v>19</v>
      </c>
    </row>
    <row r="1927" spans="1:14" x14ac:dyDescent="0.25">
      <c r="A1927" t="s">
        <v>1700</v>
      </c>
      <c r="B1927" t="s">
        <v>2236</v>
      </c>
      <c r="C1927" t="s">
        <v>897</v>
      </c>
      <c r="D1927" t="s">
        <v>898</v>
      </c>
      <c r="E1927" t="s">
        <v>899</v>
      </c>
      <c r="F1927" t="s">
        <v>15</v>
      </c>
      <c r="G1927" t="s">
        <v>37</v>
      </c>
      <c r="H1927" t="s">
        <v>900</v>
      </c>
      <c r="I1927" t="s">
        <v>242</v>
      </c>
      <c r="J1927">
        <v>3</v>
      </c>
      <c r="K1927">
        <v>30</v>
      </c>
      <c r="L1927">
        <v>45</v>
      </c>
      <c r="M1927">
        <v>135</v>
      </c>
      <c r="N1927" t="s">
        <v>19</v>
      </c>
    </row>
    <row r="1928" spans="1:14" x14ac:dyDescent="0.25">
      <c r="A1928" t="s">
        <v>1700</v>
      </c>
      <c r="B1928" t="s">
        <v>2236</v>
      </c>
      <c r="C1928" t="s">
        <v>897</v>
      </c>
      <c r="D1928" t="s">
        <v>898</v>
      </c>
      <c r="E1928" t="s">
        <v>899</v>
      </c>
      <c r="F1928" t="s">
        <v>15</v>
      </c>
      <c r="G1928" t="s">
        <v>37</v>
      </c>
      <c r="H1928" t="s">
        <v>900</v>
      </c>
      <c r="I1928" t="s">
        <v>63</v>
      </c>
      <c r="J1928">
        <v>1</v>
      </c>
      <c r="K1928">
        <v>500</v>
      </c>
      <c r="L1928">
        <v>500</v>
      </c>
      <c r="M1928">
        <v>500</v>
      </c>
      <c r="N1928" t="s">
        <v>19</v>
      </c>
    </row>
    <row r="1929" spans="1:14" x14ac:dyDescent="0.25">
      <c r="A1929" t="s">
        <v>1724</v>
      </c>
      <c r="B1929" t="s">
        <v>2237</v>
      </c>
      <c r="C1929" t="s">
        <v>907</v>
      </c>
      <c r="D1929" t="s">
        <v>148</v>
      </c>
      <c r="E1929" t="s">
        <v>437</v>
      </c>
      <c r="F1929" t="s">
        <v>15</v>
      </c>
      <c r="G1929" t="s">
        <v>16</v>
      </c>
      <c r="H1929" t="s">
        <v>900</v>
      </c>
      <c r="I1929" t="s">
        <v>422</v>
      </c>
      <c r="J1929">
        <v>1</v>
      </c>
      <c r="K1929">
        <v>3675</v>
      </c>
      <c r="L1929">
        <v>10500</v>
      </c>
      <c r="M1929">
        <v>10500</v>
      </c>
      <c r="N1929" t="s">
        <v>19</v>
      </c>
    </row>
    <row r="1930" spans="1:14" x14ac:dyDescent="0.25">
      <c r="A1930" t="s">
        <v>1724</v>
      </c>
      <c r="B1930" t="s">
        <v>2237</v>
      </c>
      <c r="C1930" t="s">
        <v>907</v>
      </c>
      <c r="D1930" t="s">
        <v>148</v>
      </c>
      <c r="E1930" t="s">
        <v>437</v>
      </c>
      <c r="F1930" t="s">
        <v>15</v>
      </c>
      <c r="G1930" t="s">
        <v>16</v>
      </c>
      <c r="H1930" t="s">
        <v>900</v>
      </c>
      <c r="I1930" t="s">
        <v>48</v>
      </c>
      <c r="J1930">
        <v>1</v>
      </c>
      <c r="K1930">
        <v>3675</v>
      </c>
      <c r="L1930">
        <v>10500</v>
      </c>
      <c r="M1930">
        <v>10500</v>
      </c>
      <c r="N1930" t="s">
        <v>19</v>
      </c>
    </row>
    <row r="1931" spans="1:14" x14ac:dyDescent="0.25">
      <c r="A1931" t="s">
        <v>1724</v>
      </c>
      <c r="B1931" t="s">
        <v>2237</v>
      </c>
      <c r="C1931" t="s">
        <v>907</v>
      </c>
      <c r="D1931" t="s">
        <v>148</v>
      </c>
      <c r="E1931" t="s">
        <v>437</v>
      </c>
      <c r="F1931" t="s">
        <v>15</v>
      </c>
      <c r="G1931" t="s">
        <v>16</v>
      </c>
      <c r="H1931" t="s">
        <v>900</v>
      </c>
      <c r="I1931" t="s">
        <v>24</v>
      </c>
      <c r="J1931">
        <v>1</v>
      </c>
      <c r="K1931">
        <v>3675</v>
      </c>
      <c r="L1931">
        <v>10500</v>
      </c>
      <c r="M1931">
        <v>10500</v>
      </c>
      <c r="N1931" t="s">
        <v>19</v>
      </c>
    </row>
    <row r="1932" spans="1:14" x14ac:dyDescent="0.25">
      <c r="A1932" t="s">
        <v>1724</v>
      </c>
      <c r="B1932" t="s">
        <v>2237</v>
      </c>
      <c r="C1932" t="s">
        <v>907</v>
      </c>
      <c r="D1932" t="s">
        <v>148</v>
      </c>
      <c r="E1932" t="s">
        <v>437</v>
      </c>
      <c r="F1932" t="s">
        <v>15</v>
      </c>
      <c r="G1932" t="s">
        <v>16</v>
      </c>
      <c r="H1932" t="s">
        <v>900</v>
      </c>
      <c r="I1932" t="s">
        <v>26</v>
      </c>
      <c r="J1932">
        <v>1</v>
      </c>
      <c r="K1932">
        <v>500</v>
      </c>
      <c r="L1932">
        <v>500</v>
      </c>
      <c r="M1932">
        <v>500</v>
      </c>
      <c r="N1932" t="s">
        <v>19</v>
      </c>
    </row>
    <row r="1933" spans="1:14" x14ac:dyDescent="0.25">
      <c r="A1933" t="s">
        <v>1724</v>
      </c>
      <c r="B1933" t="s">
        <v>2237</v>
      </c>
      <c r="C1933" t="s">
        <v>907</v>
      </c>
      <c r="D1933" t="s">
        <v>148</v>
      </c>
      <c r="E1933" t="s">
        <v>437</v>
      </c>
      <c r="F1933" t="s">
        <v>15</v>
      </c>
      <c r="G1933" t="s">
        <v>16</v>
      </c>
      <c r="H1933" t="s">
        <v>900</v>
      </c>
      <c r="I1933" t="s">
        <v>151</v>
      </c>
      <c r="J1933">
        <v>1</v>
      </c>
      <c r="K1933">
        <v>2000</v>
      </c>
      <c r="L1933">
        <v>3000</v>
      </c>
      <c r="M1933">
        <v>3000</v>
      </c>
      <c r="N1933" t="s">
        <v>19</v>
      </c>
    </row>
    <row r="1934" spans="1:14" x14ac:dyDescent="0.25">
      <c r="A1934" t="s">
        <v>1724</v>
      </c>
      <c r="B1934" t="s">
        <v>2237</v>
      </c>
      <c r="C1934" t="s">
        <v>907</v>
      </c>
      <c r="D1934" t="s">
        <v>148</v>
      </c>
      <c r="E1934" t="s">
        <v>437</v>
      </c>
      <c r="F1934" t="s">
        <v>15</v>
      </c>
      <c r="G1934" t="s">
        <v>16</v>
      </c>
      <c r="H1934" t="s">
        <v>900</v>
      </c>
      <c r="I1934" t="s">
        <v>884</v>
      </c>
      <c r="J1934">
        <v>1</v>
      </c>
      <c r="K1934">
        <v>2650</v>
      </c>
      <c r="L1934">
        <v>3500</v>
      </c>
      <c r="M1934">
        <v>3500</v>
      </c>
      <c r="N1934" t="s">
        <v>19</v>
      </c>
    </row>
    <row r="1935" spans="1:14" x14ac:dyDescent="0.25">
      <c r="A1935" t="s">
        <v>1547</v>
      </c>
      <c r="B1935" t="s">
        <v>2238</v>
      </c>
      <c r="C1935" t="s">
        <v>909</v>
      </c>
      <c r="D1935" t="s">
        <v>34</v>
      </c>
      <c r="E1935" t="s">
        <v>35</v>
      </c>
      <c r="F1935" t="s">
        <v>15</v>
      </c>
      <c r="G1935" t="s">
        <v>37</v>
      </c>
      <c r="H1935" t="s">
        <v>900</v>
      </c>
      <c r="I1935" t="s">
        <v>209</v>
      </c>
      <c r="J1935">
        <v>1</v>
      </c>
      <c r="K1935">
        <v>23450</v>
      </c>
      <c r="L1935">
        <v>30500</v>
      </c>
      <c r="M1935">
        <v>30500</v>
      </c>
      <c r="N1935" t="s">
        <v>19</v>
      </c>
    </row>
    <row r="1936" spans="1:14" x14ac:dyDescent="0.25">
      <c r="A1936" t="s">
        <v>1547</v>
      </c>
      <c r="B1936" t="s">
        <v>2238</v>
      </c>
      <c r="C1936" t="s">
        <v>909</v>
      </c>
      <c r="D1936" t="s">
        <v>34</v>
      </c>
      <c r="E1936" t="s">
        <v>35</v>
      </c>
      <c r="F1936" t="s">
        <v>15</v>
      </c>
      <c r="G1936" t="s">
        <v>37</v>
      </c>
      <c r="H1936" t="s">
        <v>900</v>
      </c>
      <c r="I1936" t="s">
        <v>151</v>
      </c>
      <c r="J1936">
        <v>1</v>
      </c>
      <c r="K1936">
        <v>2000</v>
      </c>
      <c r="L1936">
        <v>3500</v>
      </c>
      <c r="M1936">
        <v>3500</v>
      </c>
      <c r="N1936" t="s">
        <v>19</v>
      </c>
    </row>
    <row r="1937" spans="1:14" x14ac:dyDescent="0.25">
      <c r="A1937" t="s">
        <v>1547</v>
      </c>
      <c r="B1937" t="s">
        <v>2238</v>
      </c>
      <c r="C1937" t="s">
        <v>909</v>
      </c>
      <c r="D1937" t="s">
        <v>34</v>
      </c>
      <c r="E1937" t="s">
        <v>35</v>
      </c>
      <c r="F1937" t="s">
        <v>15</v>
      </c>
      <c r="G1937" t="s">
        <v>37</v>
      </c>
      <c r="H1937" t="s">
        <v>900</v>
      </c>
      <c r="I1937" t="s">
        <v>210</v>
      </c>
      <c r="J1937">
        <v>1</v>
      </c>
      <c r="K1937">
        <v>530</v>
      </c>
      <c r="L1937">
        <v>700</v>
      </c>
      <c r="M1937">
        <v>700</v>
      </c>
      <c r="N1937" t="s">
        <v>19</v>
      </c>
    </row>
    <row r="1938" spans="1:14" x14ac:dyDescent="0.25">
      <c r="A1938" t="s">
        <v>1547</v>
      </c>
      <c r="B1938" t="s">
        <v>2238</v>
      </c>
      <c r="C1938" t="s">
        <v>909</v>
      </c>
      <c r="D1938" t="s">
        <v>34</v>
      </c>
      <c r="E1938" t="s">
        <v>35</v>
      </c>
      <c r="F1938" t="s">
        <v>15</v>
      </c>
      <c r="G1938" t="s">
        <v>37</v>
      </c>
      <c r="H1938" t="s">
        <v>900</v>
      </c>
      <c r="I1938" t="s">
        <v>211</v>
      </c>
      <c r="J1938">
        <v>1</v>
      </c>
      <c r="K1938">
        <v>350</v>
      </c>
      <c r="L1938">
        <v>500</v>
      </c>
      <c r="M1938">
        <v>500</v>
      </c>
      <c r="N1938" t="s">
        <v>19</v>
      </c>
    </row>
    <row r="1939" spans="1:14" x14ac:dyDescent="0.25">
      <c r="A1939" t="s">
        <v>1547</v>
      </c>
      <c r="B1939" t="s">
        <v>2238</v>
      </c>
      <c r="C1939" t="s">
        <v>909</v>
      </c>
      <c r="D1939" t="s">
        <v>34</v>
      </c>
      <c r="E1939" t="s">
        <v>35</v>
      </c>
      <c r="F1939" t="s">
        <v>15</v>
      </c>
      <c r="G1939" t="s">
        <v>37</v>
      </c>
      <c r="H1939" t="s">
        <v>900</v>
      </c>
      <c r="I1939" t="s">
        <v>50</v>
      </c>
      <c r="J1939">
        <v>1</v>
      </c>
      <c r="K1939">
        <v>500</v>
      </c>
      <c r="L1939">
        <v>500</v>
      </c>
      <c r="M1939">
        <v>500</v>
      </c>
      <c r="N1939" t="s">
        <v>19</v>
      </c>
    </row>
    <row r="1940" spans="1:14" x14ac:dyDescent="0.25">
      <c r="A1940" t="s">
        <v>1547</v>
      </c>
      <c r="B1940" t="s">
        <v>2238</v>
      </c>
      <c r="C1940" t="s">
        <v>909</v>
      </c>
      <c r="D1940" t="s">
        <v>34</v>
      </c>
      <c r="E1940" t="s">
        <v>35</v>
      </c>
      <c r="F1940" t="s">
        <v>15</v>
      </c>
      <c r="G1940" t="s">
        <v>37</v>
      </c>
      <c r="H1940" t="s">
        <v>900</v>
      </c>
      <c r="I1940" t="s">
        <v>63</v>
      </c>
      <c r="J1940">
        <v>1</v>
      </c>
      <c r="K1940">
        <v>300</v>
      </c>
      <c r="L1940">
        <v>300</v>
      </c>
      <c r="M1940">
        <v>300</v>
      </c>
      <c r="N1940" t="s">
        <v>19</v>
      </c>
    </row>
    <row r="1941" spans="1:14" x14ac:dyDescent="0.25">
      <c r="A1941" t="s">
        <v>1547</v>
      </c>
      <c r="B1941" t="s">
        <v>2239</v>
      </c>
      <c r="C1941" t="s">
        <v>911</v>
      </c>
      <c r="D1941" t="s">
        <v>34</v>
      </c>
      <c r="E1941" t="s">
        <v>35</v>
      </c>
      <c r="F1941" t="s">
        <v>15</v>
      </c>
      <c r="G1941" t="s">
        <v>37</v>
      </c>
      <c r="H1941" t="s">
        <v>913</v>
      </c>
      <c r="I1941" t="s">
        <v>38</v>
      </c>
      <c r="J1941">
        <v>1</v>
      </c>
      <c r="K1941">
        <v>8500</v>
      </c>
      <c r="L1941">
        <v>12200</v>
      </c>
      <c r="M1941">
        <v>12200</v>
      </c>
      <c r="N1941" t="s">
        <v>19</v>
      </c>
    </row>
    <row r="1942" spans="1:14" x14ac:dyDescent="0.25">
      <c r="A1942" t="s">
        <v>1547</v>
      </c>
      <c r="B1942" t="s">
        <v>2239</v>
      </c>
      <c r="C1942" t="s">
        <v>911</v>
      </c>
      <c r="D1942" t="s">
        <v>34</v>
      </c>
      <c r="E1942" t="s">
        <v>35</v>
      </c>
      <c r="F1942" t="s">
        <v>15</v>
      </c>
      <c r="G1942" t="s">
        <v>37</v>
      </c>
      <c r="H1942" t="s">
        <v>913</v>
      </c>
      <c r="I1942" t="s">
        <v>393</v>
      </c>
      <c r="J1942">
        <v>1</v>
      </c>
      <c r="K1942">
        <v>300</v>
      </c>
      <c r="L1942">
        <v>300</v>
      </c>
      <c r="M1942">
        <v>300</v>
      </c>
      <c r="N1942" t="s">
        <v>19</v>
      </c>
    </row>
    <row r="1943" spans="1:14" x14ac:dyDescent="0.25">
      <c r="A1943" t="s">
        <v>1486</v>
      </c>
      <c r="B1943" t="s">
        <v>2240</v>
      </c>
      <c r="C1943" t="s">
        <v>994</v>
      </c>
      <c r="D1943" t="s">
        <v>20</v>
      </c>
      <c r="E1943" t="s">
        <v>31</v>
      </c>
      <c r="F1943" t="s">
        <v>15</v>
      </c>
      <c r="G1943" t="s">
        <v>22</v>
      </c>
      <c r="H1943" t="s">
        <v>913</v>
      </c>
      <c r="I1943" t="s">
        <v>995</v>
      </c>
      <c r="J1943">
        <v>1</v>
      </c>
      <c r="K1943">
        <v>5073</v>
      </c>
      <c r="L1943">
        <v>7000</v>
      </c>
      <c r="M1943">
        <v>7000</v>
      </c>
      <c r="N1943" t="s">
        <v>19</v>
      </c>
    </row>
    <row r="1944" spans="1:14" x14ac:dyDescent="0.25">
      <c r="A1944" t="s">
        <v>1486</v>
      </c>
      <c r="B1944" t="s">
        <v>2240</v>
      </c>
      <c r="C1944" t="s">
        <v>994</v>
      </c>
      <c r="D1944" t="s">
        <v>20</v>
      </c>
      <c r="E1944" t="s">
        <v>31</v>
      </c>
      <c r="F1944" t="s">
        <v>15</v>
      </c>
      <c r="G1944" t="s">
        <v>22</v>
      </c>
      <c r="H1944" t="s">
        <v>913</v>
      </c>
      <c r="I1944" t="s">
        <v>93</v>
      </c>
      <c r="J1944">
        <v>1</v>
      </c>
      <c r="K1944">
        <v>11000</v>
      </c>
      <c r="L1944">
        <v>16700</v>
      </c>
      <c r="M1944">
        <v>16700</v>
      </c>
      <c r="N1944" t="s">
        <v>19</v>
      </c>
    </row>
    <row r="1945" spans="1:14" x14ac:dyDescent="0.25">
      <c r="A1945" t="s">
        <v>1486</v>
      </c>
      <c r="B1945" t="s">
        <v>2240</v>
      </c>
      <c r="C1945" t="s">
        <v>994</v>
      </c>
      <c r="D1945" t="s">
        <v>20</v>
      </c>
      <c r="E1945" t="s">
        <v>31</v>
      </c>
      <c r="F1945" t="s">
        <v>15</v>
      </c>
      <c r="G1945" t="s">
        <v>22</v>
      </c>
      <c r="H1945" t="s">
        <v>913</v>
      </c>
      <c r="I1945" t="s">
        <v>76</v>
      </c>
      <c r="J1945">
        <v>1</v>
      </c>
      <c r="K1945">
        <v>300</v>
      </c>
      <c r="L1945">
        <v>300</v>
      </c>
      <c r="M1945">
        <v>300</v>
      </c>
      <c r="N1945" t="s">
        <v>19</v>
      </c>
    </row>
    <row r="1946" spans="1:14" x14ac:dyDescent="0.25">
      <c r="A1946" t="s">
        <v>1486</v>
      </c>
      <c r="B1946" t="s">
        <v>2241</v>
      </c>
      <c r="C1946" t="s">
        <v>996</v>
      </c>
      <c r="D1946" t="s">
        <v>20</v>
      </c>
      <c r="E1946" t="s">
        <v>31</v>
      </c>
      <c r="F1946" t="s">
        <v>15</v>
      </c>
      <c r="G1946" t="s">
        <v>22</v>
      </c>
      <c r="H1946" t="s">
        <v>913</v>
      </c>
      <c r="I1946" t="s">
        <v>93</v>
      </c>
      <c r="J1946">
        <v>1</v>
      </c>
      <c r="K1946">
        <v>11000</v>
      </c>
      <c r="L1946">
        <v>16700</v>
      </c>
      <c r="M1946">
        <v>16700</v>
      </c>
      <c r="N1946" t="s">
        <v>19</v>
      </c>
    </row>
    <row r="1947" spans="1:14" x14ac:dyDescent="0.25">
      <c r="A1947" t="s">
        <v>1486</v>
      </c>
      <c r="B1947" t="s">
        <v>2241</v>
      </c>
      <c r="C1947" t="s">
        <v>996</v>
      </c>
      <c r="D1947" t="s">
        <v>20</v>
      </c>
      <c r="E1947" t="s">
        <v>31</v>
      </c>
      <c r="F1947" t="s">
        <v>15</v>
      </c>
      <c r="G1947" t="s">
        <v>22</v>
      </c>
      <c r="H1947" t="s">
        <v>913</v>
      </c>
      <c r="I1947" t="s">
        <v>76</v>
      </c>
      <c r="J1947">
        <v>1</v>
      </c>
      <c r="K1947">
        <v>300</v>
      </c>
      <c r="L1947">
        <v>300</v>
      </c>
      <c r="M1947">
        <v>300</v>
      </c>
      <c r="N1947" t="s">
        <v>19</v>
      </c>
    </row>
    <row r="1948" spans="1:14" x14ac:dyDescent="0.25">
      <c r="A1948" t="s">
        <v>1711</v>
      </c>
      <c r="B1948" t="s">
        <v>2242</v>
      </c>
      <c r="C1948" t="s">
        <v>509</v>
      </c>
      <c r="D1948" t="s">
        <v>1022</v>
      </c>
      <c r="E1948" t="s">
        <v>1023</v>
      </c>
      <c r="F1948" t="s">
        <v>15</v>
      </c>
      <c r="G1948" t="s">
        <v>1076</v>
      </c>
      <c r="H1948" t="s">
        <v>913</v>
      </c>
      <c r="I1948" t="s">
        <v>1176</v>
      </c>
      <c r="J1948">
        <v>1</v>
      </c>
      <c r="K1948">
        <v>9500</v>
      </c>
      <c r="L1948">
        <v>13000</v>
      </c>
      <c r="M1948">
        <v>13000</v>
      </c>
      <c r="N1948" t="s">
        <v>19</v>
      </c>
    </row>
    <row r="1949" spans="1:14" x14ac:dyDescent="0.25">
      <c r="A1949" t="s">
        <v>1732</v>
      </c>
      <c r="B1949" t="s">
        <v>2243</v>
      </c>
      <c r="C1949" t="s">
        <v>515</v>
      </c>
      <c r="D1949" t="s">
        <v>1178</v>
      </c>
      <c r="E1949" t="s">
        <v>1026</v>
      </c>
      <c r="F1949" t="s">
        <v>36</v>
      </c>
      <c r="G1949" t="s">
        <v>37</v>
      </c>
      <c r="H1949" t="s">
        <v>913</v>
      </c>
      <c r="I1949" t="s">
        <v>264</v>
      </c>
      <c r="J1949">
        <v>1</v>
      </c>
      <c r="K1949">
        <v>850</v>
      </c>
      <c r="L1949">
        <v>2500</v>
      </c>
      <c r="M1949">
        <v>2500</v>
      </c>
      <c r="N1949" t="s">
        <v>1010</v>
      </c>
    </row>
    <row r="1950" spans="1:14" x14ac:dyDescent="0.25">
      <c r="A1950" t="s">
        <v>1670</v>
      </c>
      <c r="B1950" t="s">
        <v>2244</v>
      </c>
      <c r="C1950" t="s">
        <v>914</v>
      </c>
      <c r="D1950" t="s">
        <v>748</v>
      </c>
      <c r="E1950" t="s">
        <v>749</v>
      </c>
      <c r="F1950" t="s">
        <v>750</v>
      </c>
      <c r="G1950" t="s">
        <v>22</v>
      </c>
      <c r="H1950" t="s">
        <v>915</v>
      </c>
      <c r="I1950" t="s">
        <v>61</v>
      </c>
      <c r="J1950">
        <v>1</v>
      </c>
      <c r="K1950">
        <v>7500</v>
      </c>
      <c r="L1950">
        <v>12500</v>
      </c>
      <c r="M1950">
        <v>12500</v>
      </c>
      <c r="N1950" t="s">
        <v>39</v>
      </c>
    </row>
    <row r="1951" spans="1:14" x14ac:dyDescent="0.25">
      <c r="A1951" t="s">
        <v>1670</v>
      </c>
      <c r="B1951" t="s">
        <v>2244</v>
      </c>
      <c r="C1951" t="s">
        <v>914</v>
      </c>
      <c r="D1951" t="s">
        <v>748</v>
      </c>
      <c r="E1951" t="s">
        <v>749</v>
      </c>
      <c r="F1951" t="s">
        <v>750</v>
      </c>
      <c r="G1951" t="s">
        <v>22</v>
      </c>
      <c r="H1951" t="s">
        <v>915</v>
      </c>
      <c r="I1951" t="s">
        <v>63</v>
      </c>
      <c r="J1951">
        <v>1</v>
      </c>
      <c r="K1951">
        <v>500</v>
      </c>
      <c r="L1951">
        <v>500</v>
      </c>
      <c r="M1951">
        <v>500</v>
      </c>
      <c r="N1951" t="s">
        <v>39</v>
      </c>
    </row>
    <row r="1952" spans="1:14" x14ac:dyDescent="0.25">
      <c r="A1952" t="s">
        <v>1434</v>
      </c>
      <c r="B1952" t="s">
        <v>2245</v>
      </c>
      <c r="C1952" t="s">
        <v>517</v>
      </c>
      <c r="D1952" t="s">
        <v>1124</v>
      </c>
      <c r="E1952" t="s">
        <v>1129</v>
      </c>
      <c r="F1952" t="s">
        <v>1179</v>
      </c>
      <c r="G1952" t="s">
        <v>1088</v>
      </c>
      <c r="H1952" t="s">
        <v>1180</v>
      </c>
      <c r="I1952" t="s">
        <v>1130</v>
      </c>
      <c r="J1952">
        <v>1</v>
      </c>
      <c r="K1952">
        <v>3675</v>
      </c>
      <c r="L1952">
        <v>10500</v>
      </c>
      <c r="M1952">
        <v>10500</v>
      </c>
      <c r="N1952" t="s">
        <v>1010</v>
      </c>
    </row>
    <row r="1953" spans="1:14" x14ac:dyDescent="0.25">
      <c r="A1953" t="s">
        <v>1434</v>
      </c>
      <c r="B1953" t="s">
        <v>2245</v>
      </c>
      <c r="C1953" t="s">
        <v>517</v>
      </c>
      <c r="D1953" t="s">
        <v>1124</v>
      </c>
      <c r="E1953" t="s">
        <v>1129</v>
      </c>
      <c r="F1953" t="s">
        <v>1179</v>
      </c>
      <c r="G1953" t="s">
        <v>1088</v>
      </c>
      <c r="H1953" t="s">
        <v>1180</v>
      </c>
      <c r="I1953" t="s">
        <v>26</v>
      </c>
      <c r="J1953">
        <v>1</v>
      </c>
      <c r="K1953">
        <v>500</v>
      </c>
      <c r="L1953">
        <v>500</v>
      </c>
      <c r="M1953">
        <v>500</v>
      </c>
      <c r="N1953" t="s">
        <v>1010</v>
      </c>
    </row>
    <row r="1954" spans="1:14" x14ac:dyDescent="0.25">
      <c r="A1954" t="s">
        <v>1434</v>
      </c>
      <c r="B1954" t="s">
        <v>2245</v>
      </c>
      <c r="C1954" t="s">
        <v>517</v>
      </c>
      <c r="D1954" t="s">
        <v>1124</v>
      </c>
      <c r="E1954" t="s">
        <v>1129</v>
      </c>
      <c r="F1954" t="s">
        <v>1179</v>
      </c>
      <c r="G1954" t="s">
        <v>1088</v>
      </c>
      <c r="H1954" t="s">
        <v>1180</v>
      </c>
      <c r="I1954" t="s">
        <v>537</v>
      </c>
      <c r="J1954">
        <v>1</v>
      </c>
      <c r="K1954">
        <v>9500</v>
      </c>
      <c r="L1954">
        <v>9500</v>
      </c>
      <c r="M1954">
        <v>9500</v>
      </c>
      <c r="N1954" t="s">
        <v>1010</v>
      </c>
    </row>
    <row r="1955" spans="1:14" x14ac:dyDescent="0.25">
      <c r="A1955" t="s">
        <v>1434</v>
      </c>
      <c r="B1955" t="s">
        <v>2245</v>
      </c>
      <c r="C1955" t="s">
        <v>517</v>
      </c>
      <c r="D1955" t="s">
        <v>1124</v>
      </c>
      <c r="E1955" t="s">
        <v>1129</v>
      </c>
      <c r="F1955" t="s">
        <v>1179</v>
      </c>
      <c r="G1955" t="s">
        <v>1088</v>
      </c>
      <c r="H1955" t="s">
        <v>1180</v>
      </c>
      <c r="I1955" t="s">
        <v>24</v>
      </c>
      <c r="J1955">
        <v>1</v>
      </c>
      <c r="K1955">
        <v>9500</v>
      </c>
      <c r="L1955">
        <v>9500</v>
      </c>
      <c r="M1955">
        <v>9500</v>
      </c>
      <c r="N1955" t="s">
        <v>1010</v>
      </c>
    </row>
    <row r="1956" spans="1:14" x14ac:dyDescent="0.25">
      <c r="A1956" t="s">
        <v>1486</v>
      </c>
      <c r="B1956" t="s">
        <v>2246</v>
      </c>
      <c r="C1956" t="s">
        <v>980</v>
      </c>
      <c r="D1956" t="s">
        <v>20</v>
      </c>
      <c r="E1956" t="s">
        <v>31</v>
      </c>
      <c r="F1956" t="s">
        <v>15</v>
      </c>
      <c r="G1956" t="s">
        <v>22</v>
      </c>
      <c r="H1956" t="s">
        <v>981</v>
      </c>
      <c r="I1956" t="s">
        <v>33</v>
      </c>
      <c r="J1956">
        <v>7</v>
      </c>
      <c r="K1956">
        <v>6500</v>
      </c>
      <c r="L1956">
        <v>6500</v>
      </c>
      <c r="M1956">
        <v>45500</v>
      </c>
      <c r="N1956" t="s">
        <v>19</v>
      </c>
    </row>
    <row r="1957" spans="1:14" x14ac:dyDescent="0.25">
      <c r="A1957" t="s">
        <v>1498</v>
      </c>
      <c r="B1957" t="s">
        <v>2247</v>
      </c>
      <c r="C1957" t="s">
        <v>997</v>
      </c>
      <c r="D1957" t="s">
        <v>20</v>
      </c>
      <c r="E1957" t="s">
        <v>21</v>
      </c>
      <c r="F1957" t="s">
        <v>15</v>
      </c>
      <c r="G1957" t="s">
        <v>22</v>
      </c>
      <c r="H1957" t="s">
        <v>981</v>
      </c>
      <c r="I1957" t="s">
        <v>93</v>
      </c>
      <c r="J1957">
        <v>15</v>
      </c>
      <c r="K1957">
        <v>11000</v>
      </c>
      <c r="L1957">
        <v>253900</v>
      </c>
      <c r="M1957">
        <v>3808500</v>
      </c>
      <c r="N1957" t="s">
        <v>19</v>
      </c>
    </row>
    <row r="1958" spans="1:14" x14ac:dyDescent="0.25">
      <c r="A1958" t="s">
        <v>1498</v>
      </c>
      <c r="B1958" t="s">
        <v>2247</v>
      </c>
      <c r="C1958" t="s">
        <v>997</v>
      </c>
      <c r="D1958" t="s">
        <v>20</v>
      </c>
      <c r="E1958" t="s">
        <v>21</v>
      </c>
      <c r="F1958" t="s">
        <v>15</v>
      </c>
      <c r="G1958" t="s">
        <v>22</v>
      </c>
      <c r="H1958" t="s">
        <v>981</v>
      </c>
      <c r="I1958" t="s">
        <v>76</v>
      </c>
      <c r="J1958">
        <v>1</v>
      </c>
      <c r="K1958">
        <v>1100</v>
      </c>
      <c r="L1958">
        <v>1100</v>
      </c>
      <c r="M1958">
        <v>1100</v>
      </c>
      <c r="N1958" t="s">
        <v>19</v>
      </c>
    </row>
    <row r="1959" spans="1:14" x14ac:dyDescent="0.25">
      <c r="A1959" t="s">
        <v>1579</v>
      </c>
      <c r="B1959" t="s">
        <v>2248</v>
      </c>
      <c r="C1959" t="s">
        <v>519</v>
      </c>
      <c r="D1959" t="s">
        <v>1081</v>
      </c>
      <c r="E1959" t="s">
        <v>1081</v>
      </c>
      <c r="F1959" t="s">
        <v>1082</v>
      </c>
      <c r="G1959" t="s">
        <v>1043</v>
      </c>
      <c r="H1959" t="s">
        <v>981</v>
      </c>
      <c r="I1959" t="s">
        <v>1159</v>
      </c>
      <c r="J1959">
        <v>1</v>
      </c>
      <c r="K1959">
        <v>8500</v>
      </c>
      <c r="L1959">
        <v>11000</v>
      </c>
      <c r="M1959">
        <v>11000</v>
      </c>
      <c r="N1959" t="s">
        <v>1010</v>
      </c>
    </row>
    <row r="1960" spans="1:14" x14ac:dyDescent="0.25">
      <c r="A1960" t="s">
        <v>1536</v>
      </c>
      <c r="B1960" t="s">
        <v>2249</v>
      </c>
      <c r="C1960" t="s">
        <v>916</v>
      </c>
      <c r="D1960" t="s">
        <v>873</v>
      </c>
      <c r="E1960" t="s">
        <v>874</v>
      </c>
      <c r="F1960" t="s">
        <v>15</v>
      </c>
      <c r="G1960" t="s">
        <v>37</v>
      </c>
      <c r="H1960" t="s">
        <v>917</v>
      </c>
      <c r="I1960" t="s">
        <v>209</v>
      </c>
      <c r="J1960">
        <v>1</v>
      </c>
      <c r="K1960">
        <v>23450</v>
      </c>
      <c r="L1960">
        <v>29500</v>
      </c>
      <c r="M1960">
        <v>29500</v>
      </c>
      <c r="N1960" t="s">
        <v>19</v>
      </c>
    </row>
    <row r="1961" spans="1:14" x14ac:dyDescent="0.25">
      <c r="A1961" t="s">
        <v>1536</v>
      </c>
      <c r="B1961" t="s">
        <v>2249</v>
      </c>
      <c r="C1961" t="s">
        <v>916</v>
      </c>
      <c r="D1961" t="s">
        <v>873</v>
      </c>
      <c r="E1961" t="s">
        <v>874</v>
      </c>
      <c r="F1961" t="s">
        <v>15</v>
      </c>
      <c r="G1961" t="s">
        <v>37</v>
      </c>
      <c r="H1961" t="s">
        <v>917</v>
      </c>
      <c r="I1961" t="s">
        <v>151</v>
      </c>
      <c r="J1961">
        <v>1</v>
      </c>
      <c r="K1961">
        <v>2000</v>
      </c>
      <c r="L1961">
        <v>3500</v>
      </c>
      <c r="M1961">
        <v>3500</v>
      </c>
      <c r="N1961" t="s">
        <v>19</v>
      </c>
    </row>
    <row r="1962" spans="1:14" x14ac:dyDescent="0.25">
      <c r="A1962" t="s">
        <v>1536</v>
      </c>
      <c r="B1962" t="s">
        <v>2249</v>
      </c>
      <c r="C1962" t="s">
        <v>916</v>
      </c>
      <c r="D1962" t="s">
        <v>873</v>
      </c>
      <c r="E1962" t="s">
        <v>874</v>
      </c>
      <c r="F1962" t="s">
        <v>15</v>
      </c>
      <c r="G1962" t="s">
        <v>37</v>
      </c>
      <c r="H1962" t="s">
        <v>917</v>
      </c>
      <c r="I1962" t="s">
        <v>210</v>
      </c>
      <c r="J1962">
        <v>1</v>
      </c>
      <c r="K1962">
        <v>530</v>
      </c>
      <c r="L1962">
        <v>700</v>
      </c>
      <c r="M1962">
        <v>700</v>
      </c>
      <c r="N1962" t="s">
        <v>19</v>
      </c>
    </row>
    <row r="1963" spans="1:14" x14ac:dyDescent="0.25">
      <c r="A1963" t="s">
        <v>1536</v>
      </c>
      <c r="B1963" t="s">
        <v>2249</v>
      </c>
      <c r="C1963" t="s">
        <v>916</v>
      </c>
      <c r="D1963" t="s">
        <v>873</v>
      </c>
      <c r="E1963" t="s">
        <v>874</v>
      </c>
      <c r="F1963" t="s">
        <v>15</v>
      </c>
      <c r="G1963" t="s">
        <v>37</v>
      </c>
      <c r="H1963" t="s">
        <v>917</v>
      </c>
      <c r="I1963" t="s">
        <v>211</v>
      </c>
      <c r="J1963">
        <v>1</v>
      </c>
      <c r="K1963">
        <v>350</v>
      </c>
      <c r="L1963">
        <v>500</v>
      </c>
      <c r="M1963">
        <v>500</v>
      </c>
      <c r="N1963" t="s">
        <v>19</v>
      </c>
    </row>
    <row r="1964" spans="1:14" x14ac:dyDescent="0.25">
      <c r="A1964" t="s">
        <v>1536</v>
      </c>
      <c r="B1964" t="s">
        <v>2249</v>
      </c>
      <c r="C1964" t="s">
        <v>916</v>
      </c>
      <c r="D1964" t="s">
        <v>873</v>
      </c>
      <c r="E1964" t="s">
        <v>874</v>
      </c>
      <c r="F1964" t="s">
        <v>15</v>
      </c>
      <c r="G1964" t="s">
        <v>37</v>
      </c>
      <c r="H1964" t="s">
        <v>917</v>
      </c>
      <c r="I1964" t="s">
        <v>50</v>
      </c>
      <c r="J1964">
        <v>1</v>
      </c>
      <c r="K1964">
        <v>500</v>
      </c>
      <c r="L1964">
        <v>500</v>
      </c>
      <c r="M1964">
        <v>500</v>
      </c>
      <c r="N1964" t="s">
        <v>19</v>
      </c>
    </row>
    <row r="1965" spans="1:14" x14ac:dyDescent="0.25">
      <c r="A1965" t="s">
        <v>1536</v>
      </c>
      <c r="B1965" t="s">
        <v>2249</v>
      </c>
      <c r="C1965" t="s">
        <v>916</v>
      </c>
      <c r="D1965" t="s">
        <v>873</v>
      </c>
      <c r="E1965" t="s">
        <v>874</v>
      </c>
      <c r="F1965" t="s">
        <v>15</v>
      </c>
      <c r="G1965" t="s">
        <v>37</v>
      </c>
      <c r="H1965" t="s">
        <v>917</v>
      </c>
      <c r="I1965" t="s">
        <v>63</v>
      </c>
      <c r="J1965">
        <v>1</v>
      </c>
      <c r="K1965">
        <v>300</v>
      </c>
      <c r="L1965">
        <v>300</v>
      </c>
      <c r="M1965">
        <v>300</v>
      </c>
      <c r="N1965" t="s">
        <v>19</v>
      </c>
    </row>
    <row r="1966" spans="1:14" x14ac:dyDescent="0.25">
      <c r="A1966" t="s">
        <v>1596</v>
      </c>
      <c r="B1966" t="s">
        <v>2250</v>
      </c>
      <c r="C1966" t="s">
        <v>920</v>
      </c>
      <c r="D1966" t="s">
        <v>864</v>
      </c>
      <c r="E1966" t="s">
        <v>865</v>
      </c>
      <c r="F1966" t="s">
        <v>921</v>
      </c>
      <c r="G1966" t="s">
        <v>37</v>
      </c>
      <c r="H1966" t="s">
        <v>917</v>
      </c>
      <c r="I1966" t="s">
        <v>383</v>
      </c>
      <c r="J1966">
        <v>1</v>
      </c>
      <c r="K1966">
        <v>4250</v>
      </c>
      <c r="L1966">
        <v>6000</v>
      </c>
      <c r="M1966">
        <v>6000</v>
      </c>
      <c r="N1966" t="s">
        <v>39</v>
      </c>
    </row>
    <row r="1967" spans="1:14" x14ac:dyDescent="0.25">
      <c r="A1967" t="s">
        <v>1661</v>
      </c>
      <c r="B1967" t="s">
        <v>2251</v>
      </c>
      <c r="C1967" t="s">
        <v>923</v>
      </c>
      <c r="D1967" t="s">
        <v>926</v>
      </c>
      <c r="E1967" t="s">
        <v>927</v>
      </c>
      <c r="F1967" t="s">
        <v>15</v>
      </c>
      <c r="G1967" t="s">
        <v>37</v>
      </c>
      <c r="H1967" t="s">
        <v>917</v>
      </c>
      <c r="I1967" t="s">
        <v>38</v>
      </c>
      <c r="J1967">
        <v>1</v>
      </c>
      <c r="K1967">
        <v>8500</v>
      </c>
      <c r="L1967">
        <v>12200</v>
      </c>
      <c r="M1967">
        <v>12200</v>
      </c>
      <c r="N1967" t="s">
        <v>19</v>
      </c>
    </row>
    <row r="1968" spans="1:14" x14ac:dyDescent="0.25">
      <c r="A1968" t="s">
        <v>1661</v>
      </c>
      <c r="B1968" t="s">
        <v>2251</v>
      </c>
      <c r="C1968" t="s">
        <v>923</v>
      </c>
      <c r="D1968" t="s">
        <v>926</v>
      </c>
      <c r="E1968" t="s">
        <v>927</v>
      </c>
      <c r="F1968" t="s">
        <v>15</v>
      </c>
      <c r="G1968" t="s">
        <v>37</v>
      </c>
      <c r="H1968" t="s">
        <v>917</v>
      </c>
      <c r="I1968" t="s">
        <v>393</v>
      </c>
      <c r="J1968">
        <v>1</v>
      </c>
      <c r="K1968">
        <v>300</v>
      </c>
      <c r="L1968">
        <v>300</v>
      </c>
      <c r="M1968">
        <v>300</v>
      </c>
      <c r="N1968" t="s">
        <v>19</v>
      </c>
    </row>
    <row r="1969" spans="1:14" x14ac:dyDescent="0.25">
      <c r="A1969" t="s">
        <v>1442</v>
      </c>
      <c r="B1969" t="s">
        <v>2252</v>
      </c>
      <c r="C1969" t="s">
        <v>928</v>
      </c>
      <c r="D1969" t="s">
        <v>929</v>
      </c>
      <c r="E1969" t="s">
        <v>930</v>
      </c>
      <c r="F1969" t="s">
        <v>931</v>
      </c>
      <c r="G1969" t="s">
        <v>37</v>
      </c>
      <c r="H1969" t="s">
        <v>917</v>
      </c>
      <c r="I1969" t="s">
        <v>932</v>
      </c>
      <c r="J1969">
        <v>1</v>
      </c>
      <c r="K1969">
        <v>15000</v>
      </c>
      <c r="L1969">
        <v>15000</v>
      </c>
      <c r="M1969">
        <v>15000</v>
      </c>
      <c r="N1969" t="s">
        <v>39</v>
      </c>
    </row>
    <row r="1970" spans="1:14" x14ac:dyDescent="0.25">
      <c r="A1970" t="s">
        <v>1486</v>
      </c>
      <c r="B1970" t="s">
        <v>2253</v>
      </c>
      <c r="C1970" t="s">
        <v>998</v>
      </c>
      <c r="D1970" t="s">
        <v>20</v>
      </c>
      <c r="E1970" t="s">
        <v>31</v>
      </c>
      <c r="F1970" t="s">
        <v>15</v>
      </c>
      <c r="G1970" t="s">
        <v>22</v>
      </c>
      <c r="H1970" t="s">
        <v>917</v>
      </c>
      <c r="I1970" t="s">
        <v>154</v>
      </c>
      <c r="J1970">
        <v>5</v>
      </c>
      <c r="K1970">
        <v>1100</v>
      </c>
      <c r="L1970">
        <v>1700</v>
      </c>
      <c r="M1970">
        <v>8500</v>
      </c>
      <c r="N1970" t="s">
        <v>19</v>
      </c>
    </row>
    <row r="1971" spans="1:14" x14ac:dyDescent="0.25">
      <c r="A1971" t="s">
        <v>1520</v>
      </c>
      <c r="B1971" t="s">
        <v>2254</v>
      </c>
      <c r="C1971" t="s">
        <v>999</v>
      </c>
      <c r="D1971" t="s">
        <v>20</v>
      </c>
      <c r="E1971" t="s">
        <v>901</v>
      </c>
      <c r="F1971" t="s">
        <v>15</v>
      </c>
      <c r="G1971" t="s">
        <v>22</v>
      </c>
      <c r="H1971" t="s">
        <v>917</v>
      </c>
      <c r="I1971" t="s">
        <v>1000</v>
      </c>
      <c r="J1971">
        <v>100</v>
      </c>
      <c r="K1971">
        <v>32</v>
      </c>
      <c r="L1971">
        <v>50</v>
      </c>
      <c r="M1971">
        <v>5000</v>
      </c>
      <c r="N1971" t="s">
        <v>19</v>
      </c>
    </row>
    <row r="1972" spans="1:14" x14ac:dyDescent="0.25">
      <c r="A1972" t="s">
        <v>1428</v>
      </c>
      <c r="B1972" t="s">
        <v>2255</v>
      </c>
      <c r="C1972" t="s">
        <v>522</v>
      </c>
      <c r="D1972" t="s">
        <v>1124</v>
      </c>
      <c r="E1972" t="s">
        <v>1129</v>
      </c>
      <c r="F1972" t="s">
        <v>1181</v>
      </c>
      <c r="G1972" t="s">
        <v>1088</v>
      </c>
      <c r="H1972" t="s">
        <v>917</v>
      </c>
      <c r="I1972" t="s">
        <v>1130</v>
      </c>
      <c r="J1972">
        <v>1</v>
      </c>
      <c r="K1972">
        <v>3675</v>
      </c>
      <c r="L1972">
        <v>10500</v>
      </c>
      <c r="M1972">
        <v>10500</v>
      </c>
      <c r="N1972" t="s">
        <v>1010</v>
      </c>
    </row>
    <row r="1973" spans="1:14" x14ac:dyDescent="0.25">
      <c r="A1973" t="s">
        <v>1428</v>
      </c>
      <c r="B1973" t="s">
        <v>2255</v>
      </c>
      <c r="C1973" t="s">
        <v>522</v>
      </c>
      <c r="D1973" t="s">
        <v>1124</v>
      </c>
      <c r="E1973" t="s">
        <v>1129</v>
      </c>
      <c r="F1973" t="s">
        <v>1181</v>
      </c>
      <c r="G1973" t="s">
        <v>1088</v>
      </c>
      <c r="H1973" t="s">
        <v>917</v>
      </c>
      <c r="I1973" t="s">
        <v>26</v>
      </c>
      <c r="J1973">
        <v>1</v>
      </c>
      <c r="K1973">
        <v>500</v>
      </c>
      <c r="L1973">
        <v>500</v>
      </c>
      <c r="M1973">
        <v>500</v>
      </c>
      <c r="N1973" t="s">
        <v>1010</v>
      </c>
    </row>
    <row r="1974" spans="1:14" x14ac:dyDescent="0.25">
      <c r="A1974" t="s">
        <v>1428</v>
      </c>
      <c r="B1974" t="s">
        <v>2255</v>
      </c>
      <c r="C1974" t="s">
        <v>522</v>
      </c>
      <c r="D1974" t="s">
        <v>1124</v>
      </c>
      <c r="E1974" t="s">
        <v>1129</v>
      </c>
      <c r="F1974" t="s">
        <v>1181</v>
      </c>
      <c r="G1974" t="s">
        <v>1088</v>
      </c>
      <c r="H1974" t="s">
        <v>917</v>
      </c>
      <c r="I1974" t="s">
        <v>537</v>
      </c>
      <c r="J1974">
        <v>1</v>
      </c>
      <c r="K1974">
        <v>9500</v>
      </c>
      <c r="L1974">
        <v>9500</v>
      </c>
      <c r="M1974">
        <v>9500</v>
      </c>
      <c r="N1974" t="s">
        <v>1010</v>
      </c>
    </row>
    <row r="1975" spans="1:14" x14ac:dyDescent="0.25">
      <c r="A1975" t="s">
        <v>1428</v>
      </c>
      <c r="B1975" t="s">
        <v>2255</v>
      </c>
      <c r="C1975" t="s">
        <v>522</v>
      </c>
      <c r="D1975" t="s">
        <v>1124</v>
      </c>
      <c r="E1975" t="s">
        <v>1129</v>
      </c>
      <c r="F1975" t="s">
        <v>1181</v>
      </c>
      <c r="G1975" t="s">
        <v>1088</v>
      </c>
      <c r="H1975" t="s">
        <v>917</v>
      </c>
      <c r="I1975" t="s">
        <v>24</v>
      </c>
      <c r="J1975">
        <v>1</v>
      </c>
      <c r="K1975">
        <v>9500</v>
      </c>
      <c r="L1975">
        <v>9500</v>
      </c>
      <c r="M1975">
        <v>9500</v>
      </c>
      <c r="N1975" t="s">
        <v>1010</v>
      </c>
    </row>
    <row r="1976" spans="1:14" x14ac:dyDescent="0.25">
      <c r="A1976" t="s">
        <v>1551</v>
      </c>
      <c r="B1976" t="s">
        <v>2256</v>
      </c>
      <c r="C1976" t="s">
        <v>935</v>
      </c>
      <c r="D1976" t="s">
        <v>936</v>
      </c>
      <c r="E1976" t="s">
        <v>937</v>
      </c>
      <c r="F1976" t="s">
        <v>15</v>
      </c>
      <c r="G1976" t="s">
        <v>22</v>
      </c>
      <c r="H1976" t="s">
        <v>938</v>
      </c>
      <c r="I1976" t="s">
        <v>642</v>
      </c>
      <c r="J1976">
        <v>1</v>
      </c>
      <c r="K1976">
        <v>3675</v>
      </c>
      <c r="L1976">
        <v>10500</v>
      </c>
      <c r="M1976">
        <v>10500</v>
      </c>
      <c r="N1976" t="s">
        <v>19</v>
      </c>
    </row>
    <row r="1977" spans="1:14" x14ac:dyDescent="0.25">
      <c r="A1977" t="s">
        <v>1551</v>
      </c>
      <c r="B1977" t="s">
        <v>2256</v>
      </c>
      <c r="C1977" t="s">
        <v>935</v>
      </c>
      <c r="D1977" t="s">
        <v>936</v>
      </c>
      <c r="E1977" t="s">
        <v>937</v>
      </c>
      <c r="F1977" t="s">
        <v>15</v>
      </c>
      <c r="G1977" t="s">
        <v>22</v>
      </c>
      <c r="H1977" t="s">
        <v>938</v>
      </c>
      <c r="I1977" t="s">
        <v>48</v>
      </c>
      <c r="J1977">
        <v>1</v>
      </c>
      <c r="K1977">
        <v>14500</v>
      </c>
      <c r="L1977">
        <v>14500</v>
      </c>
      <c r="M1977">
        <v>14500</v>
      </c>
      <c r="N1977" t="s">
        <v>19</v>
      </c>
    </row>
    <row r="1978" spans="1:14" x14ac:dyDescent="0.25">
      <c r="A1978" t="s">
        <v>1551</v>
      </c>
      <c r="B1978" t="s">
        <v>2256</v>
      </c>
      <c r="C1978" t="s">
        <v>935</v>
      </c>
      <c r="D1978" t="s">
        <v>936</v>
      </c>
      <c r="E1978" t="s">
        <v>937</v>
      </c>
      <c r="F1978" t="s">
        <v>15</v>
      </c>
      <c r="G1978" t="s">
        <v>22</v>
      </c>
      <c r="H1978" t="s">
        <v>938</v>
      </c>
      <c r="I1978" t="s">
        <v>126</v>
      </c>
      <c r="J1978">
        <v>1</v>
      </c>
      <c r="K1978">
        <v>14500</v>
      </c>
      <c r="L1978">
        <v>14500</v>
      </c>
      <c r="M1978">
        <v>14500</v>
      </c>
      <c r="N1978" t="s">
        <v>19</v>
      </c>
    </row>
    <row r="1979" spans="1:14" x14ac:dyDescent="0.25">
      <c r="A1979" t="s">
        <v>1551</v>
      </c>
      <c r="B1979" t="s">
        <v>2256</v>
      </c>
      <c r="C1979" t="s">
        <v>935</v>
      </c>
      <c r="D1979" t="s">
        <v>936</v>
      </c>
      <c r="E1979" t="s">
        <v>937</v>
      </c>
      <c r="F1979" t="s">
        <v>15</v>
      </c>
      <c r="G1979" t="s">
        <v>22</v>
      </c>
      <c r="H1979" t="s">
        <v>938</v>
      </c>
      <c r="I1979" t="s">
        <v>50</v>
      </c>
      <c r="J1979">
        <v>1</v>
      </c>
      <c r="K1979">
        <v>500</v>
      </c>
      <c r="L1979">
        <v>500</v>
      </c>
      <c r="M1979">
        <v>500</v>
      </c>
      <c r="N1979" t="s">
        <v>19</v>
      </c>
    </row>
    <row r="1980" spans="1:14" x14ac:dyDescent="0.25">
      <c r="A1980" t="s">
        <v>1551</v>
      </c>
      <c r="B1980" t="s">
        <v>2256</v>
      </c>
      <c r="C1980" t="s">
        <v>935</v>
      </c>
      <c r="D1980" t="s">
        <v>936</v>
      </c>
      <c r="E1980" t="s">
        <v>937</v>
      </c>
      <c r="F1980" t="s">
        <v>15</v>
      </c>
      <c r="G1980" t="s">
        <v>22</v>
      </c>
      <c r="H1980" t="s">
        <v>938</v>
      </c>
      <c r="I1980" t="s">
        <v>127</v>
      </c>
      <c r="J1980">
        <v>1</v>
      </c>
      <c r="K1980">
        <v>3500</v>
      </c>
      <c r="L1980">
        <v>10000</v>
      </c>
      <c r="M1980">
        <v>10000</v>
      </c>
      <c r="N1980" t="s">
        <v>19</v>
      </c>
    </row>
    <row r="1981" spans="1:14" x14ac:dyDescent="0.25">
      <c r="A1981" t="s">
        <v>1551</v>
      </c>
      <c r="B1981" t="s">
        <v>2256</v>
      </c>
      <c r="C1981" t="s">
        <v>935</v>
      </c>
      <c r="D1981" t="s">
        <v>936</v>
      </c>
      <c r="E1981" t="s">
        <v>937</v>
      </c>
      <c r="F1981" t="s">
        <v>15</v>
      </c>
      <c r="G1981" t="s">
        <v>22</v>
      </c>
      <c r="H1981" t="s">
        <v>938</v>
      </c>
      <c r="I1981" t="s">
        <v>60</v>
      </c>
      <c r="J1981">
        <v>2</v>
      </c>
      <c r="K1981">
        <v>11000</v>
      </c>
      <c r="L1981">
        <v>15500</v>
      </c>
      <c r="M1981">
        <v>31000</v>
      </c>
      <c r="N1981" t="s">
        <v>19</v>
      </c>
    </row>
    <row r="1982" spans="1:14" x14ac:dyDescent="0.25">
      <c r="A1982" t="s">
        <v>1551</v>
      </c>
      <c r="B1982" t="s">
        <v>2256</v>
      </c>
      <c r="C1982" t="s">
        <v>935</v>
      </c>
      <c r="D1982" t="s">
        <v>936</v>
      </c>
      <c r="E1982" t="s">
        <v>937</v>
      </c>
      <c r="F1982" t="s">
        <v>15</v>
      </c>
      <c r="G1982" t="s">
        <v>22</v>
      </c>
      <c r="H1982" t="s">
        <v>938</v>
      </c>
      <c r="I1982" t="s">
        <v>116</v>
      </c>
      <c r="J1982">
        <v>1</v>
      </c>
      <c r="K1982">
        <v>2185</v>
      </c>
      <c r="L1982">
        <v>3000</v>
      </c>
      <c r="M1982">
        <v>3000</v>
      </c>
      <c r="N1982" t="s">
        <v>19</v>
      </c>
    </row>
    <row r="1983" spans="1:14" x14ac:dyDescent="0.25">
      <c r="A1983" t="s">
        <v>1551</v>
      </c>
      <c r="B1983" t="s">
        <v>2256</v>
      </c>
      <c r="C1983" t="s">
        <v>935</v>
      </c>
      <c r="D1983" t="s">
        <v>936</v>
      </c>
      <c r="E1983" t="s">
        <v>937</v>
      </c>
      <c r="F1983" t="s">
        <v>15</v>
      </c>
      <c r="G1983" t="s">
        <v>22</v>
      </c>
      <c r="H1983" t="s">
        <v>938</v>
      </c>
      <c r="I1983" t="s">
        <v>97</v>
      </c>
      <c r="J1983">
        <v>2</v>
      </c>
      <c r="K1983">
        <v>2200</v>
      </c>
      <c r="L1983">
        <v>3000</v>
      </c>
      <c r="M1983">
        <v>6000</v>
      </c>
      <c r="N1983" t="s">
        <v>19</v>
      </c>
    </row>
    <row r="1984" spans="1:14" x14ac:dyDescent="0.25">
      <c r="A1984" t="s">
        <v>1551</v>
      </c>
      <c r="B1984" t="s">
        <v>2256</v>
      </c>
      <c r="C1984" t="s">
        <v>935</v>
      </c>
      <c r="D1984" t="s">
        <v>936</v>
      </c>
      <c r="E1984" t="s">
        <v>937</v>
      </c>
      <c r="F1984" t="s">
        <v>15</v>
      </c>
      <c r="G1984" t="s">
        <v>22</v>
      </c>
      <c r="H1984" t="s">
        <v>938</v>
      </c>
      <c r="I1984" t="s">
        <v>248</v>
      </c>
      <c r="J1984">
        <v>1</v>
      </c>
      <c r="K1984">
        <v>8500</v>
      </c>
      <c r="L1984">
        <v>12000</v>
      </c>
      <c r="M1984">
        <v>12000</v>
      </c>
      <c r="N1984" t="s">
        <v>19</v>
      </c>
    </row>
    <row r="1985" spans="1:14" x14ac:dyDescent="0.25">
      <c r="A1985" t="s">
        <v>1551</v>
      </c>
      <c r="B1985" t="s">
        <v>2256</v>
      </c>
      <c r="C1985" t="s">
        <v>935</v>
      </c>
      <c r="D1985" t="s">
        <v>936</v>
      </c>
      <c r="E1985" t="s">
        <v>937</v>
      </c>
      <c r="F1985" t="s">
        <v>15</v>
      </c>
      <c r="G1985" t="s">
        <v>22</v>
      </c>
      <c r="H1985" t="s">
        <v>938</v>
      </c>
      <c r="I1985" t="s">
        <v>939</v>
      </c>
      <c r="J1985">
        <v>4</v>
      </c>
      <c r="K1985">
        <v>9850</v>
      </c>
      <c r="L1985">
        <v>12500</v>
      </c>
      <c r="M1985">
        <v>50000</v>
      </c>
      <c r="N1985" t="s">
        <v>19</v>
      </c>
    </row>
    <row r="1986" spans="1:14" x14ac:dyDescent="0.25">
      <c r="A1986" t="s">
        <v>1551</v>
      </c>
      <c r="B1986" t="s">
        <v>2256</v>
      </c>
      <c r="C1986" t="s">
        <v>935</v>
      </c>
      <c r="D1986" t="s">
        <v>936</v>
      </c>
      <c r="E1986" t="s">
        <v>937</v>
      </c>
      <c r="F1986" t="s">
        <v>15</v>
      </c>
      <c r="G1986" t="s">
        <v>22</v>
      </c>
      <c r="H1986" t="s">
        <v>938</v>
      </c>
      <c r="I1986" t="s">
        <v>249</v>
      </c>
      <c r="J1986">
        <v>2</v>
      </c>
      <c r="K1986">
        <v>21500</v>
      </c>
      <c r="L1986">
        <v>30250</v>
      </c>
      <c r="M1986">
        <v>60500</v>
      </c>
      <c r="N1986" t="s">
        <v>19</v>
      </c>
    </row>
    <row r="1987" spans="1:14" x14ac:dyDescent="0.25">
      <c r="A1987" t="s">
        <v>1706</v>
      </c>
      <c r="B1987" t="s">
        <v>2257</v>
      </c>
      <c r="C1987" t="s">
        <v>940</v>
      </c>
      <c r="D1987" t="s">
        <v>941</v>
      </c>
      <c r="E1987" t="s">
        <v>942</v>
      </c>
      <c r="F1987" t="s">
        <v>710</v>
      </c>
      <c r="G1987" t="s">
        <v>22</v>
      </c>
      <c r="H1987" t="s">
        <v>938</v>
      </c>
      <c r="I1987" t="s">
        <v>151</v>
      </c>
      <c r="J1987">
        <v>1</v>
      </c>
      <c r="K1987">
        <v>2000</v>
      </c>
      <c r="L1987">
        <v>3000</v>
      </c>
      <c r="M1987">
        <v>3000</v>
      </c>
      <c r="N1987" t="s">
        <v>39</v>
      </c>
    </row>
    <row r="1988" spans="1:14" x14ac:dyDescent="0.25">
      <c r="A1988" t="s">
        <v>1706</v>
      </c>
      <c r="B1988" t="s">
        <v>2257</v>
      </c>
      <c r="C1988" t="s">
        <v>940</v>
      </c>
      <c r="D1988" t="s">
        <v>941</v>
      </c>
      <c r="E1988" t="s">
        <v>942</v>
      </c>
      <c r="F1988" t="s">
        <v>710</v>
      </c>
      <c r="G1988" t="s">
        <v>22</v>
      </c>
      <c r="H1988" t="s">
        <v>938</v>
      </c>
      <c r="I1988" t="s">
        <v>884</v>
      </c>
      <c r="J1988">
        <v>1</v>
      </c>
      <c r="K1988">
        <v>2650</v>
      </c>
      <c r="L1988">
        <v>4000</v>
      </c>
      <c r="M1988">
        <v>4000</v>
      </c>
      <c r="N1988" t="s">
        <v>39</v>
      </c>
    </row>
    <row r="1989" spans="1:14" x14ac:dyDescent="0.25">
      <c r="A1989" t="s">
        <v>1537</v>
      </c>
      <c r="B1989" t="s">
        <v>2258</v>
      </c>
      <c r="C1989" t="s">
        <v>943</v>
      </c>
      <c r="D1989" t="s">
        <v>488</v>
      </c>
      <c r="E1989" t="s">
        <v>489</v>
      </c>
      <c r="F1989" t="s">
        <v>15</v>
      </c>
      <c r="G1989" t="s">
        <v>22</v>
      </c>
      <c r="H1989" t="s">
        <v>938</v>
      </c>
      <c r="I1989" t="s">
        <v>795</v>
      </c>
      <c r="J1989">
        <v>50</v>
      </c>
      <c r="K1989">
        <v>17</v>
      </c>
      <c r="L1989">
        <v>30</v>
      </c>
      <c r="M1989">
        <v>1500</v>
      </c>
      <c r="N1989" t="s">
        <v>19</v>
      </c>
    </row>
    <row r="1990" spans="1:14" x14ac:dyDescent="0.25">
      <c r="A1990" t="s">
        <v>1468</v>
      </c>
      <c r="B1990" t="s">
        <v>2259</v>
      </c>
      <c r="C1990" t="s">
        <v>944</v>
      </c>
      <c r="D1990" t="s">
        <v>363</v>
      </c>
      <c r="E1990" t="s">
        <v>364</v>
      </c>
      <c r="F1990" t="s">
        <v>266</v>
      </c>
      <c r="G1990" t="s">
        <v>22</v>
      </c>
      <c r="H1990" t="s">
        <v>938</v>
      </c>
      <c r="I1990" t="s">
        <v>33</v>
      </c>
      <c r="J1990">
        <v>26</v>
      </c>
      <c r="K1990">
        <v>10000</v>
      </c>
      <c r="L1990">
        <v>10000</v>
      </c>
      <c r="M1990">
        <v>260000</v>
      </c>
      <c r="N1990" t="s">
        <v>19</v>
      </c>
    </row>
    <row r="1991" spans="1:14" x14ac:dyDescent="0.25">
      <c r="A1991" t="s">
        <v>1425</v>
      </c>
      <c r="B1991" t="s">
        <v>2260</v>
      </c>
      <c r="C1991" t="s">
        <v>945</v>
      </c>
      <c r="D1991" t="s">
        <v>946</v>
      </c>
      <c r="E1991" t="s">
        <v>364</v>
      </c>
      <c r="F1991" t="s">
        <v>266</v>
      </c>
      <c r="G1991" t="s">
        <v>22</v>
      </c>
      <c r="H1991" t="s">
        <v>938</v>
      </c>
      <c r="I1991" t="s">
        <v>33</v>
      </c>
      <c r="J1991">
        <v>1</v>
      </c>
      <c r="K1991">
        <v>10000</v>
      </c>
      <c r="L1991">
        <v>10000</v>
      </c>
      <c r="M1991">
        <v>10000</v>
      </c>
      <c r="N1991" t="s">
        <v>19</v>
      </c>
    </row>
    <row r="1992" spans="1:14" x14ac:dyDescent="0.25">
      <c r="A1992" t="s">
        <v>1529</v>
      </c>
      <c r="B1992" t="s">
        <v>2261</v>
      </c>
      <c r="C1992" t="s">
        <v>948</v>
      </c>
      <c r="D1992" t="s">
        <v>685</v>
      </c>
      <c r="E1992" t="s">
        <v>364</v>
      </c>
      <c r="F1992" t="s">
        <v>266</v>
      </c>
      <c r="G1992" t="s">
        <v>22</v>
      </c>
      <c r="H1992" t="s">
        <v>938</v>
      </c>
      <c r="I1992" t="s">
        <v>33</v>
      </c>
      <c r="J1992">
        <v>1</v>
      </c>
      <c r="K1992">
        <v>10000</v>
      </c>
      <c r="L1992">
        <v>10000</v>
      </c>
      <c r="M1992">
        <v>10000</v>
      </c>
      <c r="N1992" t="s">
        <v>19</v>
      </c>
    </row>
    <row r="1993" spans="1:14" x14ac:dyDescent="0.25">
      <c r="A1993" t="s">
        <v>1531</v>
      </c>
      <c r="B1993" t="s">
        <v>2262</v>
      </c>
      <c r="C1993" t="s">
        <v>949</v>
      </c>
      <c r="D1993" t="s">
        <v>950</v>
      </c>
      <c r="E1993" t="s">
        <v>364</v>
      </c>
      <c r="F1993" t="s">
        <v>266</v>
      </c>
      <c r="G1993" t="s">
        <v>22</v>
      </c>
      <c r="H1993" t="s">
        <v>938</v>
      </c>
      <c r="I1993" t="s">
        <v>33</v>
      </c>
      <c r="J1993">
        <v>1</v>
      </c>
      <c r="K1993">
        <v>10000</v>
      </c>
      <c r="L1993">
        <v>10000</v>
      </c>
      <c r="M1993">
        <v>10000</v>
      </c>
      <c r="N1993" t="s">
        <v>19</v>
      </c>
    </row>
    <row r="1994" spans="1:14" x14ac:dyDescent="0.25">
      <c r="A1994" t="s">
        <v>1558</v>
      </c>
      <c r="B1994" t="s">
        <v>2263</v>
      </c>
      <c r="C1994" t="s">
        <v>952</v>
      </c>
      <c r="D1994" t="s">
        <v>953</v>
      </c>
      <c r="E1994" t="s">
        <v>364</v>
      </c>
      <c r="F1994" t="s">
        <v>266</v>
      </c>
      <c r="G1994" t="s">
        <v>22</v>
      </c>
      <c r="H1994" t="s">
        <v>938</v>
      </c>
      <c r="I1994" t="s">
        <v>33</v>
      </c>
      <c r="J1994">
        <v>1</v>
      </c>
      <c r="K1994">
        <v>10000</v>
      </c>
      <c r="L1994">
        <v>10000</v>
      </c>
      <c r="M1994">
        <v>10000</v>
      </c>
      <c r="N1994" t="s">
        <v>19</v>
      </c>
    </row>
    <row r="1995" spans="1:14" x14ac:dyDescent="0.25">
      <c r="A1995" t="s">
        <v>1559</v>
      </c>
      <c r="B1995" t="s">
        <v>2264</v>
      </c>
      <c r="C1995" t="s">
        <v>954</v>
      </c>
      <c r="D1995" t="s">
        <v>955</v>
      </c>
      <c r="E1995" t="s">
        <v>364</v>
      </c>
      <c r="F1995" t="s">
        <v>266</v>
      </c>
      <c r="G1995" t="s">
        <v>22</v>
      </c>
      <c r="H1995" t="s">
        <v>938</v>
      </c>
      <c r="I1995" t="s">
        <v>33</v>
      </c>
      <c r="J1995">
        <v>1</v>
      </c>
      <c r="K1995">
        <v>10000</v>
      </c>
      <c r="L1995">
        <v>10000</v>
      </c>
      <c r="M1995">
        <v>10000</v>
      </c>
      <c r="N1995" t="s">
        <v>19</v>
      </c>
    </row>
    <row r="1996" spans="1:14" x14ac:dyDescent="0.25">
      <c r="A1996" t="s">
        <v>1560</v>
      </c>
      <c r="B1996" t="s">
        <v>2265</v>
      </c>
      <c r="C1996" t="s">
        <v>956</v>
      </c>
      <c r="D1996" t="s">
        <v>957</v>
      </c>
      <c r="E1996" t="s">
        <v>364</v>
      </c>
      <c r="F1996" t="s">
        <v>266</v>
      </c>
      <c r="G1996" t="s">
        <v>22</v>
      </c>
      <c r="H1996" t="s">
        <v>938</v>
      </c>
      <c r="I1996" t="s">
        <v>33</v>
      </c>
      <c r="J1996">
        <v>1</v>
      </c>
      <c r="K1996">
        <v>10000</v>
      </c>
      <c r="L1996">
        <v>10000</v>
      </c>
      <c r="M1996">
        <v>10000</v>
      </c>
      <c r="N1996" t="s">
        <v>19</v>
      </c>
    </row>
    <row r="1997" spans="1:14" x14ac:dyDescent="0.25">
      <c r="A1997" t="s">
        <v>1583</v>
      </c>
      <c r="B1997" t="s">
        <v>2266</v>
      </c>
      <c r="C1997" t="s">
        <v>958</v>
      </c>
      <c r="D1997" t="s">
        <v>959</v>
      </c>
      <c r="E1997" t="s">
        <v>364</v>
      </c>
      <c r="F1997" t="s">
        <v>266</v>
      </c>
      <c r="G1997" t="s">
        <v>22</v>
      </c>
      <c r="H1997" t="s">
        <v>938</v>
      </c>
      <c r="I1997" t="s">
        <v>33</v>
      </c>
      <c r="J1997">
        <v>1</v>
      </c>
      <c r="K1997">
        <v>10000</v>
      </c>
      <c r="L1997">
        <v>10000</v>
      </c>
      <c r="M1997">
        <v>10000</v>
      </c>
      <c r="N1997" t="s">
        <v>19</v>
      </c>
    </row>
    <row r="1998" spans="1:14" x14ac:dyDescent="0.25">
      <c r="A1998" t="s">
        <v>1584</v>
      </c>
      <c r="B1998" t="s">
        <v>2267</v>
      </c>
      <c r="C1998" t="s">
        <v>960</v>
      </c>
      <c r="D1998" t="s">
        <v>961</v>
      </c>
      <c r="E1998" t="s">
        <v>364</v>
      </c>
      <c r="F1998" t="s">
        <v>266</v>
      </c>
      <c r="G1998" t="s">
        <v>22</v>
      </c>
      <c r="H1998" t="s">
        <v>938</v>
      </c>
      <c r="I1998" t="s">
        <v>33</v>
      </c>
      <c r="J1998">
        <v>1</v>
      </c>
      <c r="K1998">
        <v>10000</v>
      </c>
      <c r="L1998">
        <v>10000</v>
      </c>
      <c r="M1998">
        <v>10000</v>
      </c>
      <c r="N1998" t="s">
        <v>19</v>
      </c>
    </row>
    <row r="1999" spans="1:14" x14ac:dyDescent="0.25">
      <c r="A1999" t="s">
        <v>1608</v>
      </c>
      <c r="B1999" t="s">
        <v>2268</v>
      </c>
      <c r="C1999" t="s">
        <v>962</v>
      </c>
      <c r="D1999" t="s">
        <v>963</v>
      </c>
      <c r="E1999" t="s">
        <v>364</v>
      </c>
      <c r="F1999" t="s">
        <v>266</v>
      </c>
      <c r="G1999" t="s">
        <v>22</v>
      </c>
      <c r="H1999" t="s">
        <v>938</v>
      </c>
      <c r="I1999" t="s">
        <v>33</v>
      </c>
      <c r="J1999">
        <v>1</v>
      </c>
      <c r="K1999">
        <v>10000</v>
      </c>
      <c r="L1999">
        <v>10000</v>
      </c>
      <c r="M1999">
        <v>10000</v>
      </c>
      <c r="N1999" t="s">
        <v>19</v>
      </c>
    </row>
    <row r="2000" spans="1:14" x14ac:dyDescent="0.25">
      <c r="A2000" t="s">
        <v>1658</v>
      </c>
      <c r="B2000" t="s">
        <v>2269</v>
      </c>
      <c r="C2000" t="s">
        <v>964</v>
      </c>
      <c r="D2000" t="s">
        <v>965</v>
      </c>
      <c r="E2000" t="s">
        <v>364</v>
      </c>
      <c r="F2000" t="s">
        <v>266</v>
      </c>
      <c r="G2000" t="s">
        <v>22</v>
      </c>
      <c r="H2000" t="s">
        <v>938</v>
      </c>
      <c r="I2000" t="s">
        <v>33</v>
      </c>
      <c r="J2000">
        <v>1</v>
      </c>
      <c r="K2000">
        <v>10000</v>
      </c>
      <c r="L2000">
        <v>10000</v>
      </c>
      <c r="M2000">
        <v>10000</v>
      </c>
      <c r="N2000" t="s">
        <v>19</v>
      </c>
    </row>
    <row r="2001" spans="1:14" x14ac:dyDescent="0.25">
      <c r="A2001" t="s">
        <v>1691</v>
      </c>
      <c r="B2001" t="s">
        <v>2270</v>
      </c>
      <c r="C2001" t="s">
        <v>966</v>
      </c>
      <c r="D2001" t="s">
        <v>967</v>
      </c>
      <c r="E2001" t="s">
        <v>364</v>
      </c>
      <c r="F2001" t="s">
        <v>266</v>
      </c>
      <c r="G2001" t="s">
        <v>22</v>
      </c>
      <c r="H2001" t="s">
        <v>938</v>
      </c>
      <c r="I2001" t="s">
        <v>33</v>
      </c>
      <c r="J2001">
        <v>1</v>
      </c>
      <c r="K2001">
        <v>10000</v>
      </c>
      <c r="L2001">
        <v>10000</v>
      </c>
      <c r="M2001">
        <v>10000</v>
      </c>
      <c r="N2001" t="s">
        <v>19</v>
      </c>
    </row>
    <row r="2002" spans="1:14" x14ac:dyDescent="0.25">
      <c r="A2002" t="s">
        <v>1692</v>
      </c>
      <c r="B2002" t="s">
        <v>2271</v>
      </c>
      <c r="C2002" t="s">
        <v>968</v>
      </c>
      <c r="D2002" t="s">
        <v>706</v>
      </c>
      <c r="E2002" t="s">
        <v>364</v>
      </c>
      <c r="F2002" t="s">
        <v>266</v>
      </c>
      <c r="G2002" t="s">
        <v>22</v>
      </c>
      <c r="H2002" t="s">
        <v>938</v>
      </c>
      <c r="I2002" t="s">
        <v>33</v>
      </c>
      <c r="J2002">
        <v>1</v>
      </c>
      <c r="K2002">
        <v>10000</v>
      </c>
      <c r="L2002">
        <v>10000</v>
      </c>
      <c r="M2002">
        <v>10000</v>
      </c>
      <c r="N2002" t="s">
        <v>19</v>
      </c>
    </row>
    <row r="2003" spans="1:14" x14ac:dyDescent="0.25">
      <c r="A2003" t="s">
        <v>1694</v>
      </c>
      <c r="B2003" t="s">
        <v>2272</v>
      </c>
      <c r="C2003" t="s">
        <v>970</v>
      </c>
      <c r="D2003" t="s">
        <v>971</v>
      </c>
      <c r="E2003" t="s">
        <v>364</v>
      </c>
      <c r="F2003" t="s">
        <v>266</v>
      </c>
      <c r="G2003" t="s">
        <v>22</v>
      </c>
      <c r="H2003" t="s">
        <v>938</v>
      </c>
      <c r="I2003" t="s">
        <v>33</v>
      </c>
      <c r="J2003">
        <v>1</v>
      </c>
      <c r="K2003">
        <v>10000</v>
      </c>
      <c r="L2003">
        <v>10000</v>
      </c>
      <c r="M2003">
        <v>10000</v>
      </c>
      <c r="N2003" t="s">
        <v>19</v>
      </c>
    </row>
    <row r="2004" spans="1:14" x14ac:dyDescent="0.25">
      <c r="A2004" t="s">
        <v>1517</v>
      </c>
      <c r="B2004" t="s">
        <v>2273</v>
      </c>
      <c r="C2004" t="s">
        <v>1001</v>
      </c>
      <c r="D2004" t="s">
        <v>20</v>
      </c>
      <c r="E2004" t="s">
        <v>379</v>
      </c>
      <c r="F2004" t="s">
        <v>15</v>
      </c>
      <c r="G2004" t="s">
        <v>22</v>
      </c>
      <c r="H2004" t="s">
        <v>1002</v>
      </c>
      <c r="I2004" t="s">
        <v>381</v>
      </c>
      <c r="J2004">
        <v>1</v>
      </c>
      <c r="K2004">
        <v>17</v>
      </c>
      <c r="L2004">
        <v>1250</v>
      </c>
      <c r="M2004">
        <v>1250</v>
      </c>
      <c r="N2004" t="s">
        <v>19</v>
      </c>
    </row>
    <row r="2005" spans="1:14" x14ac:dyDescent="0.25">
      <c r="A2005" t="s">
        <v>1511</v>
      </c>
      <c r="B2005" t="s">
        <v>2274</v>
      </c>
      <c r="C2005" t="s">
        <v>1003</v>
      </c>
      <c r="D2005" t="s">
        <v>20</v>
      </c>
      <c r="E2005" t="s">
        <v>623</v>
      </c>
      <c r="F2005" t="s">
        <v>15</v>
      </c>
      <c r="G2005" t="s">
        <v>22</v>
      </c>
      <c r="H2005" t="s">
        <v>1002</v>
      </c>
      <c r="I2005" t="s">
        <v>761</v>
      </c>
      <c r="J2005">
        <v>1</v>
      </c>
      <c r="K2005">
        <v>8500</v>
      </c>
      <c r="L2005">
        <v>12000</v>
      </c>
      <c r="M2005">
        <v>12000</v>
      </c>
      <c r="N2005" t="s">
        <v>19</v>
      </c>
    </row>
    <row r="2006" spans="1:14" x14ac:dyDescent="0.25">
      <c r="A2006" t="s">
        <v>1511</v>
      </c>
      <c r="B2006" t="s">
        <v>2274</v>
      </c>
      <c r="C2006" t="s">
        <v>1003</v>
      </c>
      <c r="D2006" t="s">
        <v>20</v>
      </c>
      <c r="E2006" t="s">
        <v>623</v>
      </c>
      <c r="F2006" t="s">
        <v>15</v>
      </c>
      <c r="G2006" t="s">
        <v>22</v>
      </c>
      <c r="H2006" t="s">
        <v>1002</v>
      </c>
      <c r="I2006" t="s">
        <v>76</v>
      </c>
      <c r="J2006">
        <v>1</v>
      </c>
      <c r="K2006">
        <v>500</v>
      </c>
      <c r="L2006">
        <v>500</v>
      </c>
      <c r="M2006">
        <v>500</v>
      </c>
      <c r="N2006" t="s">
        <v>19</v>
      </c>
    </row>
    <row r="2007" spans="1:14" x14ac:dyDescent="0.25">
      <c r="A2007" t="s">
        <v>1609</v>
      </c>
      <c r="B2007" t="s">
        <v>2275</v>
      </c>
      <c r="C2007" t="s">
        <v>1004</v>
      </c>
      <c r="D2007" t="s">
        <v>191</v>
      </c>
      <c r="E2007" t="s">
        <v>192</v>
      </c>
      <c r="F2007" t="s">
        <v>15</v>
      </c>
      <c r="G2007" t="s">
        <v>22</v>
      </c>
      <c r="H2007" t="s">
        <v>1002</v>
      </c>
      <c r="I2007" t="s">
        <v>581</v>
      </c>
      <c r="J2007">
        <v>2</v>
      </c>
      <c r="K2007">
        <v>11000</v>
      </c>
      <c r="L2007">
        <v>15500</v>
      </c>
      <c r="M2007">
        <v>31000</v>
      </c>
      <c r="N2007" t="s">
        <v>19</v>
      </c>
    </row>
    <row r="2008" spans="1:14" x14ac:dyDescent="0.25">
      <c r="A2008" t="s">
        <v>1609</v>
      </c>
      <c r="B2008" t="s">
        <v>2275</v>
      </c>
      <c r="C2008" t="s">
        <v>1004</v>
      </c>
      <c r="D2008" t="s">
        <v>191</v>
      </c>
      <c r="E2008" t="s">
        <v>192</v>
      </c>
      <c r="F2008" t="s">
        <v>15</v>
      </c>
      <c r="G2008" t="s">
        <v>22</v>
      </c>
      <c r="H2008" t="s">
        <v>1002</v>
      </c>
      <c r="I2008" t="s">
        <v>76</v>
      </c>
      <c r="J2008">
        <v>1</v>
      </c>
      <c r="K2008">
        <v>1500</v>
      </c>
      <c r="L2008">
        <v>1500</v>
      </c>
      <c r="M2008">
        <v>1500</v>
      </c>
      <c r="N2008" t="s">
        <v>19</v>
      </c>
    </row>
    <row r="2009" spans="1:14" x14ac:dyDescent="0.25">
      <c r="A2009" t="s">
        <v>1722</v>
      </c>
      <c r="B2009" t="s">
        <v>2276</v>
      </c>
      <c r="C2009" t="s">
        <v>972</v>
      </c>
      <c r="D2009" t="s">
        <v>973</v>
      </c>
      <c r="E2009" t="s">
        <v>311</v>
      </c>
      <c r="F2009" t="s">
        <v>15</v>
      </c>
      <c r="G2009" t="s">
        <v>22</v>
      </c>
      <c r="H2009" t="s">
        <v>974</v>
      </c>
      <c r="I2009" t="s">
        <v>114</v>
      </c>
      <c r="J2009">
        <v>1</v>
      </c>
      <c r="K2009">
        <v>3675</v>
      </c>
      <c r="L2009">
        <v>10500</v>
      </c>
      <c r="M2009">
        <v>10500</v>
      </c>
      <c r="N2009" t="s">
        <v>19</v>
      </c>
    </row>
    <row r="2010" spans="1:14" x14ac:dyDescent="0.25">
      <c r="A2010" t="s">
        <v>1449</v>
      </c>
      <c r="B2010" t="s">
        <v>2277</v>
      </c>
      <c r="C2010" t="s">
        <v>978</v>
      </c>
      <c r="D2010" t="s">
        <v>646</v>
      </c>
      <c r="E2010" t="s">
        <v>58</v>
      </c>
      <c r="F2010" t="s">
        <v>101</v>
      </c>
      <c r="G2010" t="s">
        <v>37</v>
      </c>
      <c r="H2010" t="s">
        <v>974</v>
      </c>
      <c r="I2010" t="s">
        <v>284</v>
      </c>
      <c r="J2010">
        <v>1</v>
      </c>
      <c r="K2010">
        <v>11000</v>
      </c>
      <c r="L2010">
        <v>16200</v>
      </c>
      <c r="M2010">
        <v>16200</v>
      </c>
      <c r="N2010" t="s">
        <v>39</v>
      </c>
    </row>
    <row r="2011" spans="1:14" x14ac:dyDescent="0.25">
      <c r="A2011" t="s">
        <v>1449</v>
      </c>
      <c r="B2011" t="s">
        <v>2277</v>
      </c>
      <c r="C2011" t="s">
        <v>978</v>
      </c>
      <c r="D2011" t="s">
        <v>646</v>
      </c>
      <c r="E2011" t="s">
        <v>58</v>
      </c>
      <c r="F2011" t="s">
        <v>101</v>
      </c>
      <c r="G2011" t="s">
        <v>37</v>
      </c>
      <c r="H2011" t="s">
        <v>974</v>
      </c>
      <c r="I2011" t="s">
        <v>63</v>
      </c>
      <c r="J2011">
        <v>1</v>
      </c>
      <c r="K2011">
        <v>300</v>
      </c>
      <c r="L2011">
        <v>300</v>
      </c>
      <c r="M2011">
        <v>300</v>
      </c>
      <c r="N2011" t="s">
        <v>39</v>
      </c>
    </row>
    <row r="2012" spans="1:14" x14ac:dyDescent="0.25">
      <c r="A2012" t="s">
        <v>1644</v>
      </c>
      <c r="B2012" t="s">
        <v>2278</v>
      </c>
      <c r="C2012" t="s">
        <v>524</v>
      </c>
      <c r="D2012" t="s">
        <v>1099</v>
      </c>
      <c r="E2012" t="s">
        <v>1100</v>
      </c>
      <c r="F2012" t="s">
        <v>420</v>
      </c>
      <c r="G2012" t="s">
        <v>1043</v>
      </c>
      <c r="H2012" t="s">
        <v>1182</v>
      </c>
      <c r="I2012" t="s">
        <v>1159</v>
      </c>
      <c r="J2012">
        <v>1</v>
      </c>
      <c r="K2012">
        <v>8500</v>
      </c>
      <c r="L2012">
        <v>12200</v>
      </c>
      <c r="M2012">
        <v>12200</v>
      </c>
      <c r="N2012" t="s">
        <v>1010</v>
      </c>
    </row>
    <row r="2013" spans="1:14" x14ac:dyDescent="0.25">
      <c r="A2013" t="s">
        <v>1644</v>
      </c>
      <c r="B2013" t="s">
        <v>2278</v>
      </c>
      <c r="C2013" t="s">
        <v>524</v>
      </c>
      <c r="D2013" t="s">
        <v>1099</v>
      </c>
      <c r="E2013" t="s">
        <v>1100</v>
      </c>
      <c r="F2013" t="s">
        <v>420</v>
      </c>
      <c r="G2013" t="s">
        <v>1043</v>
      </c>
      <c r="H2013" t="s">
        <v>1182</v>
      </c>
      <c r="I2013" t="s">
        <v>85</v>
      </c>
      <c r="J2013">
        <v>1</v>
      </c>
      <c r="K2013">
        <v>1350</v>
      </c>
      <c r="L2013">
        <v>2000</v>
      </c>
      <c r="M2013">
        <v>2000</v>
      </c>
      <c r="N2013" t="s">
        <v>1010</v>
      </c>
    </row>
    <row r="2014" spans="1:14" x14ac:dyDescent="0.25">
      <c r="A2014" t="s">
        <v>1644</v>
      </c>
      <c r="B2014" t="s">
        <v>2278</v>
      </c>
      <c r="C2014" t="s">
        <v>524</v>
      </c>
      <c r="D2014" t="s">
        <v>1099</v>
      </c>
      <c r="E2014" t="s">
        <v>1100</v>
      </c>
      <c r="F2014" t="s">
        <v>420</v>
      </c>
      <c r="G2014" t="s">
        <v>1043</v>
      </c>
      <c r="H2014" t="s">
        <v>1182</v>
      </c>
      <c r="I2014" t="s">
        <v>63</v>
      </c>
      <c r="J2014">
        <v>1</v>
      </c>
      <c r="K2014">
        <v>300</v>
      </c>
      <c r="L2014">
        <v>300</v>
      </c>
      <c r="M2014">
        <v>300</v>
      </c>
      <c r="N2014" t="s">
        <v>1010</v>
      </c>
    </row>
    <row r="2015" spans="1:14" x14ac:dyDescent="0.25">
      <c r="A2015" t="s">
        <v>1645</v>
      </c>
      <c r="B2015" t="s">
        <v>2279</v>
      </c>
      <c r="C2015" t="s">
        <v>535</v>
      </c>
      <c r="D2015" t="s">
        <v>1099</v>
      </c>
      <c r="E2015" t="s">
        <v>1100</v>
      </c>
      <c r="F2015" t="s">
        <v>201</v>
      </c>
      <c r="G2015" t="s">
        <v>1043</v>
      </c>
      <c r="H2015" t="s">
        <v>1182</v>
      </c>
      <c r="I2015" t="s">
        <v>1159</v>
      </c>
      <c r="J2015">
        <v>1</v>
      </c>
      <c r="K2015">
        <v>8500</v>
      </c>
      <c r="L2015">
        <v>12200</v>
      </c>
      <c r="M2015">
        <v>12200</v>
      </c>
      <c r="N2015" t="s">
        <v>1010</v>
      </c>
    </row>
    <row r="2016" spans="1:14" x14ac:dyDescent="0.25">
      <c r="A2016" t="s">
        <v>1645</v>
      </c>
      <c r="B2016" t="s">
        <v>2279</v>
      </c>
      <c r="C2016" t="s">
        <v>535</v>
      </c>
      <c r="D2016" t="s">
        <v>1099</v>
      </c>
      <c r="E2016" t="s">
        <v>1100</v>
      </c>
      <c r="F2016" t="s">
        <v>201</v>
      </c>
      <c r="G2016" t="s">
        <v>1043</v>
      </c>
      <c r="H2016" t="s">
        <v>1182</v>
      </c>
      <c r="I2016" t="s">
        <v>85</v>
      </c>
      <c r="J2016">
        <v>1</v>
      </c>
      <c r="K2016">
        <v>1350</v>
      </c>
      <c r="L2016">
        <v>2000</v>
      </c>
      <c r="M2016">
        <v>2000</v>
      </c>
      <c r="N2016" t="s">
        <v>1010</v>
      </c>
    </row>
    <row r="2017" spans="1:14" x14ac:dyDescent="0.25">
      <c r="A2017" t="s">
        <v>1645</v>
      </c>
      <c r="B2017" t="s">
        <v>2279</v>
      </c>
      <c r="C2017" t="s">
        <v>535</v>
      </c>
      <c r="D2017" t="s">
        <v>1099</v>
      </c>
      <c r="E2017" t="s">
        <v>1100</v>
      </c>
      <c r="F2017" t="s">
        <v>201</v>
      </c>
      <c r="G2017" t="s">
        <v>1043</v>
      </c>
      <c r="H2017" t="s">
        <v>1182</v>
      </c>
      <c r="I2017" t="s">
        <v>63</v>
      </c>
      <c r="J2017">
        <v>1</v>
      </c>
      <c r="K2017">
        <v>300</v>
      </c>
      <c r="L2017">
        <v>300</v>
      </c>
      <c r="M2017">
        <v>300</v>
      </c>
      <c r="N2017" t="s">
        <v>1010</v>
      </c>
    </row>
    <row r="2018" spans="1:14" x14ac:dyDescent="0.25">
      <c r="A2018" t="s">
        <v>1716</v>
      </c>
      <c r="B2018" t="s">
        <v>2280</v>
      </c>
      <c r="C2018" t="s">
        <v>12</v>
      </c>
      <c r="D2018" t="s">
        <v>497</v>
      </c>
      <c r="E2018" t="s">
        <v>498</v>
      </c>
      <c r="F2018" t="s">
        <v>1089</v>
      </c>
      <c r="G2018" t="s">
        <v>16</v>
      </c>
      <c r="H2018" t="s">
        <v>1183</v>
      </c>
      <c r="I2018" t="s">
        <v>1184</v>
      </c>
      <c r="J2018">
        <v>1</v>
      </c>
      <c r="K2018">
        <v>3675</v>
      </c>
      <c r="L2018">
        <v>10500</v>
      </c>
      <c r="M2018">
        <v>10500</v>
      </c>
      <c r="N2018" t="s">
        <v>39</v>
      </c>
    </row>
    <row r="2019" spans="1:14" x14ac:dyDescent="0.25">
      <c r="A2019" t="s">
        <v>1716</v>
      </c>
      <c r="B2019" t="s">
        <v>2280</v>
      </c>
      <c r="C2019" t="s">
        <v>12</v>
      </c>
      <c r="D2019" t="s">
        <v>497</v>
      </c>
      <c r="E2019" t="s">
        <v>498</v>
      </c>
      <c r="F2019" t="s">
        <v>1089</v>
      </c>
      <c r="G2019" t="s">
        <v>16</v>
      </c>
      <c r="H2019" t="s">
        <v>1183</v>
      </c>
      <c r="I2019" t="s">
        <v>48</v>
      </c>
      <c r="J2019">
        <v>1</v>
      </c>
      <c r="K2019">
        <v>9200</v>
      </c>
      <c r="L2019">
        <v>9200</v>
      </c>
      <c r="M2019">
        <v>9200</v>
      </c>
      <c r="N2019" t="s">
        <v>39</v>
      </c>
    </row>
    <row r="2020" spans="1:14" x14ac:dyDescent="0.25">
      <c r="A2020" t="s">
        <v>1716</v>
      </c>
      <c r="B2020" t="s">
        <v>2280</v>
      </c>
      <c r="C2020" t="s">
        <v>12</v>
      </c>
      <c r="D2020" t="s">
        <v>497</v>
      </c>
      <c r="E2020" t="s">
        <v>498</v>
      </c>
      <c r="F2020" t="s">
        <v>1089</v>
      </c>
      <c r="G2020" t="s">
        <v>16</v>
      </c>
      <c r="H2020" t="s">
        <v>1183</v>
      </c>
      <c r="I2020" t="s">
        <v>126</v>
      </c>
      <c r="J2020">
        <v>1</v>
      </c>
      <c r="K2020">
        <v>9200</v>
      </c>
      <c r="L2020">
        <v>9200</v>
      </c>
      <c r="M2020">
        <v>9200</v>
      </c>
      <c r="N2020" t="s">
        <v>39</v>
      </c>
    </row>
    <row r="2021" spans="1:14" x14ac:dyDescent="0.25">
      <c r="A2021" t="s">
        <v>1716</v>
      </c>
      <c r="B2021" t="s">
        <v>2280</v>
      </c>
      <c r="C2021" t="s">
        <v>12</v>
      </c>
      <c r="D2021" t="s">
        <v>497</v>
      </c>
      <c r="E2021" t="s">
        <v>498</v>
      </c>
      <c r="F2021" t="s">
        <v>1089</v>
      </c>
      <c r="G2021" t="s">
        <v>16</v>
      </c>
      <c r="H2021" t="s">
        <v>1183</v>
      </c>
      <c r="I2021" t="s">
        <v>38</v>
      </c>
      <c r="J2021">
        <v>1</v>
      </c>
      <c r="K2021">
        <v>8500</v>
      </c>
      <c r="L2021">
        <v>12000</v>
      </c>
      <c r="M2021">
        <v>12000</v>
      </c>
      <c r="N2021" t="s">
        <v>39</v>
      </c>
    </row>
    <row r="2022" spans="1:14" x14ac:dyDescent="0.25">
      <c r="A2022" t="s">
        <v>1716</v>
      </c>
      <c r="B2022" t="s">
        <v>2280</v>
      </c>
      <c r="C2022" t="s">
        <v>12</v>
      </c>
      <c r="D2022" t="s">
        <v>497</v>
      </c>
      <c r="E2022" t="s">
        <v>498</v>
      </c>
      <c r="F2022" t="s">
        <v>1089</v>
      </c>
      <c r="G2022" t="s">
        <v>16</v>
      </c>
      <c r="H2022" t="s">
        <v>1183</v>
      </c>
      <c r="I2022" t="s">
        <v>97</v>
      </c>
      <c r="J2022">
        <v>1</v>
      </c>
      <c r="K2022">
        <v>2200</v>
      </c>
      <c r="L2022">
        <v>3000</v>
      </c>
      <c r="M2022">
        <v>3000</v>
      </c>
      <c r="N2022" t="s">
        <v>39</v>
      </c>
    </row>
    <row r="2023" spans="1:14" x14ac:dyDescent="0.25">
      <c r="A2023" t="s">
        <v>1716</v>
      </c>
      <c r="B2023" t="s">
        <v>2280</v>
      </c>
      <c r="C2023" t="s">
        <v>12</v>
      </c>
      <c r="D2023" t="s">
        <v>497</v>
      </c>
      <c r="E2023" t="s">
        <v>498</v>
      </c>
      <c r="F2023" t="s">
        <v>1089</v>
      </c>
      <c r="G2023" t="s">
        <v>16</v>
      </c>
      <c r="H2023" t="s">
        <v>1183</v>
      </c>
      <c r="I2023" t="s">
        <v>284</v>
      </c>
      <c r="J2023">
        <v>1</v>
      </c>
      <c r="K2023">
        <v>11000</v>
      </c>
      <c r="L2023">
        <v>15000</v>
      </c>
      <c r="M2023">
        <v>15000</v>
      </c>
      <c r="N2023" t="s">
        <v>39</v>
      </c>
    </row>
    <row r="2024" spans="1:14" x14ac:dyDescent="0.25">
      <c r="A2024" t="s">
        <v>1716</v>
      </c>
      <c r="B2024" t="s">
        <v>2280</v>
      </c>
      <c r="C2024" t="s">
        <v>12</v>
      </c>
      <c r="D2024" t="s">
        <v>497</v>
      </c>
      <c r="E2024" t="s">
        <v>498</v>
      </c>
      <c r="F2024" t="s">
        <v>1089</v>
      </c>
      <c r="G2024" t="s">
        <v>16</v>
      </c>
      <c r="H2024" t="s">
        <v>1183</v>
      </c>
      <c r="I2024" t="s">
        <v>85</v>
      </c>
      <c r="J2024">
        <v>1</v>
      </c>
      <c r="K2024">
        <v>1350</v>
      </c>
      <c r="L2024">
        <v>2500</v>
      </c>
      <c r="M2024">
        <v>2500</v>
      </c>
      <c r="N2024" t="s">
        <v>39</v>
      </c>
    </row>
    <row r="2025" spans="1:14" x14ac:dyDescent="0.25">
      <c r="A2025" t="s">
        <v>1716</v>
      </c>
      <c r="B2025" t="s">
        <v>2280</v>
      </c>
      <c r="C2025" t="s">
        <v>12</v>
      </c>
      <c r="D2025" t="s">
        <v>497</v>
      </c>
      <c r="E2025" t="s">
        <v>498</v>
      </c>
      <c r="F2025" t="s">
        <v>1089</v>
      </c>
      <c r="G2025" t="s">
        <v>16</v>
      </c>
      <c r="H2025" t="s">
        <v>1183</v>
      </c>
      <c r="I2025" t="s">
        <v>249</v>
      </c>
      <c r="J2025">
        <v>1</v>
      </c>
      <c r="K2025">
        <v>21500</v>
      </c>
      <c r="L2025">
        <v>33400</v>
      </c>
      <c r="M2025">
        <v>33400</v>
      </c>
      <c r="N2025" t="s">
        <v>39</v>
      </c>
    </row>
    <row r="2026" spans="1:14" x14ac:dyDescent="0.25">
      <c r="A2026" t="s">
        <v>1716</v>
      </c>
      <c r="B2026" t="s">
        <v>2280</v>
      </c>
      <c r="C2026" t="s">
        <v>12</v>
      </c>
      <c r="D2026" t="s">
        <v>497</v>
      </c>
      <c r="E2026" t="s">
        <v>498</v>
      </c>
      <c r="F2026" t="s">
        <v>1089</v>
      </c>
      <c r="G2026" t="s">
        <v>16</v>
      </c>
      <c r="H2026" t="s">
        <v>1183</v>
      </c>
      <c r="I2026" t="s">
        <v>210</v>
      </c>
      <c r="J2026">
        <v>1</v>
      </c>
      <c r="K2026">
        <v>0</v>
      </c>
      <c r="L2026">
        <v>0</v>
      </c>
      <c r="M2026">
        <v>0</v>
      </c>
      <c r="N2026" t="s">
        <v>39</v>
      </c>
    </row>
    <row r="2027" spans="1:14" x14ac:dyDescent="0.25">
      <c r="A2027" t="s">
        <v>1716</v>
      </c>
      <c r="B2027" t="s">
        <v>2280</v>
      </c>
      <c r="C2027" t="s">
        <v>12</v>
      </c>
      <c r="D2027" t="s">
        <v>497</v>
      </c>
      <c r="E2027" t="s">
        <v>498</v>
      </c>
      <c r="F2027" t="s">
        <v>1089</v>
      </c>
      <c r="G2027" t="s">
        <v>16</v>
      </c>
      <c r="H2027" t="s">
        <v>1183</v>
      </c>
      <c r="I2027" t="s">
        <v>151</v>
      </c>
      <c r="J2027">
        <v>1</v>
      </c>
      <c r="K2027">
        <v>2000</v>
      </c>
      <c r="L2027">
        <v>4000</v>
      </c>
      <c r="M2027">
        <v>4000</v>
      </c>
      <c r="N2027" t="s">
        <v>39</v>
      </c>
    </row>
    <row r="2028" spans="1:14" x14ac:dyDescent="0.25">
      <c r="A2028" t="s">
        <v>1716</v>
      </c>
      <c r="B2028" t="s">
        <v>2280</v>
      </c>
      <c r="C2028" t="s">
        <v>12</v>
      </c>
      <c r="D2028" t="s">
        <v>497</v>
      </c>
      <c r="E2028" t="s">
        <v>498</v>
      </c>
      <c r="F2028" t="s">
        <v>1089</v>
      </c>
      <c r="G2028" t="s">
        <v>16</v>
      </c>
      <c r="H2028" t="s">
        <v>1183</v>
      </c>
      <c r="I2028" t="s">
        <v>26</v>
      </c>
      <c r="J2028">
        <v>1</v>
      </c>
      <c r="K2028">
        <v>500</v>
      </c>
      <c r="L2028">
        <v>500</v>
      </c>
      <c r="M2028">
        <v>500</v>
      </c>
      <c r="N2028" t="s">
        <v>39</v>
      </c>
    </row>
    <row r="2029" spans="1:14" x14ac:dyDescent="0.25">
      <c r="A2029" t="s">
        <v>1716</v>
      </c>
      <c r="B2029" t="s">
        <v>2280</v>
      </c>
      <c r="C2029" t="s">
        <v>12</v>
      </c>
      <c r="D2029" t="s">
        <v>497</v>
      </c>
      <c r="E2029" t="s">
        <v>498</v>
      </c>
      <c r="F2029" t="s">
        <v>1089</v>
      </c>
      <c r="G2029" t="s">
        <v>16</v>
      </c>
      <c r="H2029" t="s">
        <v>1183</v>
      </c>
      <c r="I2029" t="s">
        <v>63</v>
      </c>
      <c r="J2029">
        <v>1</v>
      </c>
      <c r="K2029">
        <v>700</v>
      </c>
      <c r="L2029">
        <v>700</v>
      </c>
      <c r="M2029">
        <v>700</v>
      </c>
      <c r="N2029" t="s">
        <v>39</v>
      </c>
    </row>
    <row r="2030" spans="1:14" x14ac:dyDescent="0.25">
      <c r="A2030" t="s">
        <v>1486</v>
      </c>
      <c r="B2030" t="s">
        <v>2281</v>
      </c>
      <c r="C2030" t="s">
        <v>12</v>
      </c>
      <c r="D2030" t="s">
        <v>20</v>
      </c>
      <c r="E2030" t="s">
        <v>31</v>
      </c>
      <c r="F2030" t="s">
        <v>15</v>
      </c>
      <c r="G2030" t="s">
        <v>22</v>
      </c>
      <c r="H2030" t="s">
        <v>1183</v>
      </c>
      <c r="I2030" t="s">
        <v>33</v>
      </c>
      <c r="J2030">
        <v>1</v>
      </c>
      <c r="K2030">
        <v>6500</v>
      </c>
      <c r="L2030">
        <v>6500</v>
      </c>
      <c r="M2030">
        <v>6500</v>
      </c>
      <c r="N2030" t="s">
        <v>19</v>
      </c>
    </row>
    <row r="2031" spans="1:14" x14ac:dyDescent="0.25">
      <c r="A2031" t="s">
        <v>1723</v>
      </c>
      <c r="B2031" t="s">
        <v>2282</v>
      </c>
      <c r="C2031" t="s">
        <v>30</v>
      </c>
      <c r="D2031" t="s">
        <v>451</v>
      </c>
      <c r="E2031" t="s">
        <v>452</v>
      </c>
      <c r="F2031" t="s">
        <v>15</v>
      </c>
      <c r="G2031" t="s">
        <v>37</v>
      </c>
      <c r="H2031" t="s">
        <v>1183</v>
      </c>
      <c r="I2031" t="s">
        <v>453</v>
      </c>
      <c r="J2031">
        <v>50</v>
      </c>
      <c r="K2031">
        <v>17</v>
      </c>
      <c r="L2031">
        <v>25</v>
      </c>
      <c r="M2031">
        <v>1250</v>
      </c>
      <c r="N2031" t="s">
        <v>19</v>
      </c>
    </row>
    <row r="2032" spans="1:14" x14ac:dyDescent="0.25">
      <c r="A2032" t="s">
        <v>1486</v>
      </c>
      <c r="B2032" t="s">
        <v>1753</v>
      </c>
      <c r="C2032" t="s">
        <v>30</v>
      </c>
      <c r="D2032" t="s">
        <v>20</v>
      </c>
      <c r="E2032" t="s">
        <v>31</v>
      </c>
      <c r="F2032" t="s">
        <v>15</v>
      </c>
      <c r="G2032" t="s">
        <v>22</v>
      </c>
      <c r="H2032" t="s">
        <v>1183</v>
      </c>
      <c r="I2032" t="s">
        <v>33</v>
      </c>
      <c r="J2032">
        <v>1</v>
      </c>
      <c r="K2032">
        <v>6500</v>
      </c>
      <c r="L2032">
        <v>6500</v>
      </c>
      <c r="M2032">
        <v>6500</v>
      </c>
      <c r="N2032" t="s">
        <v>19</v>
      </c>
    </row>
    <row r="2033" spans="1:14" x14ac:dyDescent="0.25">
      <c r="A2033" t="s">
        <v>1581</v>
      </c>
      <c r="B2033" t="s">
        <v>2283</v>
      </c>
      <c r="C2033" t="s">
        <v>40</v>
      </c>
      <c r="D2033" t="s">
        <v>87</v>
      </c>
      <c r="E2033" t="s">
        <v>87</v>
      </c>
      <c r="F2033" t="s">
        <v>15</v>
      </c>
      <c r="G2033" t="s">
        <v>37</v>
      </c>
      <c r="H2033" t="s">
        <v>1183</v>
      </c>
      <c r="I2033" t="s">
        <v>89</v>
      </c>
      <c r="J2033">
        <v>50</v>
      </c>
      <c r="K2033">
        <v>32</v>
      </c>
      <c r="L2033">
        <v>50</v>
      </c>
      <c r="M2033">
        <v>2500</v>
      </c>
      <c r="N2033" t="s">
        <v>39</v>
      </c>
    </row>
    <row r="2034" spans="1:14" x14ac:dyDescent="0.25">
      <c r="A2034" t="s">
        <v>1486</v>
      </c>
      <c r="B2034" t="s">
        <v>1754</v>
      </c>
      <c r="C2034" t="s">
        <v>40</v>
      </c>
      <c r="D2034" t="s">
        <v>20</v>
      </c>
      <c r="E2034" t="s">
        <v>31</v>
      </c>
      <c r="F2034" t="s">
        <v>15</v>
      </c>
      <c r="G2034" t="s">
        <v>22</v>
      </c>
      <c r="H2034" t="s">
        <v>1183</v>
      </c>
      <c r="I2034" t="s">
        <v>33</v>
      </c>
      <c r="J2034">
        <v>2</v>
      </c>
      <c r="K2034">
        <v>6500</v>
      </c>
      <c r="L2034">
        <v>13000</v>
      </c>
      <c r="M2034">
        <v>26000</v>
      </c>
      <c r="N2034" t="s">
        <v>19</v>
      </c>
    </row>
    <row r="2035" spans="1:14" x14ac:dyDescent="0.25">
      <c r="A2035" t="s">
        <v>1486</v>
      </c>
      <c r="B2035" t="s">
        <v>1755</v>
      </c>
      <c r="C2035" t="s">
        <v>44</v>
      </c>
      <c r="D2035" t="s">
        <v>20</v>
      </c>
      <c r="E2035" t="s">
        <v>31</v>
      </c>
      <c r="F2035" t="s">
        <v>15</v>
      </c>
      <c r="G2035" t="s">
        <v>22</v>
      </c>
      <c r="H2035" t="s">
        <v>1183</v>
      </c>
      <c r="I2035" t="s">
        <v>33</v>
      </c>
      <c r="J2035">
        <v>2</v>
      </c>
      <c r="K2035">
        <v>6500</v>
      </c>
      <c r="L2035">
        <v>6500</v>
      </c>
      <c r="M2035">
        <v>13000</v>
      </c>
      <c r="N2035" t="s">
        <v>19</v>
      </c>
    </row>
    <row r="2036" spans="1:14" x14ac:dyDescent="0.25">
      <c r="A2036" t="s">
        <v>1486</v>
      </c>
      <c r="B2036" t="s">
        <v>1756</v>
      </c>
      <c r="C2036" t="s">
        <v>51</v>
      </c>
      <c r="D2036" t="s">
        <v>20</v>
      </c>
      <c r="E2036" t="s">
        <v>31</v>
      </c>
      <c r="F2036" t="s">
        <v>15</v>
      </c>
      <c r="G2036" t="s">
        <v>22</v>
      </c>
      <c r="H2036" t="s">
        <v>1183</v>
      </c>
      <c r="I2036" t="s">
        <v>33</v>
      </c>
      <c r="J2036">
        <v>2</v>
      </c>
      <c r="K2036">
        <v>6500</v>
      </c>
      <c r="L2036">
        <v>6500</v>
      </c>
      <c r="M2036">
        <v>13000</v>
      </c>
      <c r="N2036" t="s">
        <v>19</v>
      </c>
    </row>
    <row r="2037" spans="1:14" x14ac:dyDescent="0.25">
      <c r="A2037" t="s">
        <v>1528</v>
      </c>
      <c r="B2037" t="s">
        <v>2284</v>
      </c>
      <c r="C2037" t="s">
        <v>1185</v>
      </c>
      <c r="D2037" t="s">
        <v>1186</v>
      </c>
      <c r="E2037" t="s">
        <v>1187</v>
      </c>
      <c r="F2037" t="s">
        <v>15</v>
      </c>
      <c r="G2037" t="s">
        <v>37</v>
      </c>
      <c r="H2037" t="s">
        <v>1188</v>
      </c>
      <c r="I2037" t="s">
        <v>1189</v>
      </c>
      <c r="J2037">
        <v>200</v>
      </c>
      <c r="K2037">
        <v>47</v>
      </c>
      <c r="L2037">
        <v>66</v>
      </c>
      <c r="M2037">
        <v>13200</v>
      </c>
      <c r="N2037" t="s">
        <v>39</v>
      </c>
    </row>
    <row r="2038" spans="1:14" x14ac:dyDescent="0.25">
      <c r="A2038" t="s">
        <v>1564</v>
      </c>
      <c r="B2038" t="s">
        <v>2285</v>
      </c>
      <c r="C2038" t="s">
        <v>51</v>
      </c>
      <c r="D2038" t="s">
        <v>483</v>
      </c>
      <c r="E2038" t="s">
        <v>239</v>
      </c>
      <c r="F2038" t="s">
        <v>1190</v>
      </c>
      <c r="G2038" t="s">
        <v>37</v>
      </c>
      <c r="H2038" t="s">
        <v>1188</v>
      </c>
      <c r="I2038" t="s">
        <v>366</v>
      </c>
      <c r="J2038">
        <v>1</v>
      </c>
      <c r="K2038">
        <v>65</v>
      </c>
      <c r="L2038">
        <v>200</v>
      </c>
      <c r="M2038">
        <v>200</v>
      </c>
      <c r="N2038" t="s">
        <v>39</v>
      </c>
    </row>
    <row r="2039" spans="1:14" x14ac:dyDescent="0.25">
      <c r="A2039" t="s">
        <v>1524</v>
      </c>
      <c r="B2039" t="s">
        <v>2286</v>
      </c>
      <c r="C2039" t="s">
        <v>64</v>
      </c>
      <c r="D2039" t="s">
        <v>20</v>
      </c>
      <c r="E2039" t="s">
        <v>1195</v>
      </c>
      <c r="F2039" t="s">
        <v>15</v>
      </c>
      <c r="G2039" t="s">
        <v>22</v>
      </c>
      <c r="H2039" t="s">
        <v>1188</v>
      </c>
      <c r="I2039" t="s">
        <v>33</v>
      </c>
      <c r="J2039">
        <v>1</v>
      </c>
      <c r="K2039">
        <v>18000</v>
      </c>
      <c r="L2039">
        <v>18000</v>
      </c>
      <c r="M2039">
        <v>18000</v>
      </c>
      <c r="N2039" t="s">
        <v>19</v>
      </c>
    </row>
    <row r="2040" spans="1:14" x14ac:dyDescent="0.25">
      <c r="A2040" t="s">
        <v>1524</v>
      </c>
      <c r="B2040" t="s">
        <v>2286</v>
      </c>
      <c r="C2040" t="s">
        <v>64</v>
      </c>
      <c r="D2040" t="s">
        <v>20</v>
      </c>
      <c r="E2040" t="s">
        <v>1195</v>
      </c>
      <c r="F2040" t="s">
        <v>15</v>
      </c>
      <c r="G2040" t="s">
        <v>22</v>
      </c>
      <c r="H2040" t="s">
        <v>1188</v>
      </c>
      <c r="I2040" t="s">
        <v>26</v>
      </c>
      <c r="J2040">
        <v>1</v>
      </c>
      <c r="K2040">
        <v>1000</v>
      </c>
      <c r="L2040">
        <v>1000</v>
      </c>
      <c r="M2040">
        <v>1000</v>
      </c>
      <c r="N2040" t="s">
        <v>19</v>
      </c>
    </row>
    <row r="2041" spans="1:14" x14ac:dyDescent="0.25">
      <c r="A2041" t="s">
        <v>1506</v>
      </c>
      <c r="B2041" t="s">
        <v>2287</v>
      </c>
      <c r="C2041" t="s">
        <v>66</v>
      </c>
      <c r="D2041" t="s">
        <v>20</v>
      </c>
      <c r="E2041" t="s">
        <v>73</v>
      </c>
      <c r="F2041" t="s">
        <v>15</v>
      </c>
      <c r="G2041" t="s">
        <v>22</v>
      </c>
      <c r="H2041" t="s">
        <v>1188</v>
      </c>
      <c r="I2041" t="s">
        <v>96</v>
      </c>
      <c r="J2041">
        <v>1</v>
      </c>
      <c r="K2041">
        <v>1350</v>
      </c>
      <c r="L2041">
        <v>2600</v>
      </c>
      <c r="M2041">
        <v>2600</v>
      </c>
      <c r="N2041" t="s">
        <v>19</v>
      </c>
    </row>
    <row r="2042" spans="1:14" x14ac:dyDescent="0.25">
      <c r="A2042" t="s">
        <v>1506</v>
      </c>
      <c r="B2042" t="s">
        <v>2287</v>
      </c>
      <c r="C2042" t="s">
        <v>66</v>
      </c>
      <c r="D2042" t="s">
        <v>20</v>
      </c>
      <c r="E2042" t="s">
        <v>73</v>
      </c>
      <c r="F2042" t="s">
        <v>15</v>
      </c>
      <c r="G2042" t="s">
        <v>22</v>
      </c>
      <c r="H2042" t="s">
        <v>1188</v>
      </c>
      <c r="I2042" t="s">
        <v>76</v>
      </c>
      <c r="J2042">
        <v>1</v>
      </c>
      <c r="K2042">
        <v>500</v>
      </c>
      <c r="L2042">
        <v>500</v>
      </c>
      <c r="M2042">
        <v>500</v>
      </c>
      <c r="N2042" t="s">
        <v>19</v>
      </c>
    </row>
    <row r="2043" spans="1:14" x14ac:dyDescent="0.25">
      <c r="A2043" t="s">
        <v>1471</v>
      </c>
      <c r="B2043" t="s">
        <v>2288</v>
      </c>
      <c r="C2043" t="s">
        <v>1380</v>
      </c>
      <c r="D2043" t="s">
        <v>1134</v>
      </c>
      <c r="E2043" t="s">
        <v>1037</v>
      </c>
      <c r="F2043" t="s">
        <v>647</v>
      </c>
      <c r="G2043" t="s">
        <v>37</v>
      </c>
      <c r="H2043" t="s">
        <v>1381</v>
      </c>
      <c r="I2043" t="s">
        <v>501</v>
      </c>
      <c r="J2043">
        <v>4</v>
      </c>
      <c r="K2043">
        <v>70</v>
      </c>
      <c r="L2043">
        <v>250</v>
      </c>
      <c r="M2043">
        <v>1000</v>
      </c>
      <c r="N2043" t="s">
        <v>1010</v>
      </c>
    </row>
    <row r="2044" spans="1:14" x14ac:dyDescent="0.25">
      <c r="A2044" t="s">
        <v>1721</v>
      </c>
      <c r="B2044" t="s">
        <v>2289</v>
      </c>
      <c r="C2044" t="s">
        <v>1191</v>
      </c>
      <c r="D2044" t="s">
        <v>650</v>
      </c>
      <c r="E2044" t="s">
        <v>411</v>
      </c>
      <c r="F2044" t="s">
        <v>651</v>
      </c>
      <c r="G2044" t="s">
        <v>16</v>
      </c>
      <c r="H2044" t="s">
        <v>1192</v>
      </c>
      <c r="I2044" t="s">
        <v>284</v>
      </c>
      <c r="J2044">
        <v>1</v>
      </c>
      <c r="K2044">
        <v>11000</v>
      </c>
      <c r="L2044">
        <v>16200</v>
      </c>
      <c r="M2044">
        <v>16200</v>
      </c>
      <c r="N2044" t="s">
        <v>39</v>
      </c>
    </row>
    <row r="2045" spans="1:14" x14ac:dyDescent="0.25">
      <c r="A2045" t="s">
        <v>1721</v>
      </c>
      <c r="B2045" t="s">
        <v>2289</v>
      </c>
      <c r="C2045" t="s">
        <v>1191</v>
      </c>
      <c r="D2045" t="s">
        <v>650</v>
      </c>
      <c r="E2045" t="s">
        <v>411</v>
      </c>
      <c r="F2045" t="s">
        <v>651</v>
      </c>
      <c r="G2045" t="s">
        <v>16</v>
      </c>
      <c r="H2045" t="s">
        <v>1192</v>
      </c>
      <c r="I2045" t="s">
        <v>63</v>
      </c>
      <c r="J2045">
        <v>1</v>
      </c>
      <c r="K2045">
        <v>300</v>
      </c>
      <c r="L2045">
        <v>300</v>
      </c>
      <c r="M2045">
        <v>300</v>
      </c>
      <c r="N2045" t="s">
        <v>39</v>
      </c>
    </row>
    <row r="2046" spans="1:14" x14ac:dyDescent="0.25">
      <c r="A2046" t="s">
        <v>1498</v>
      </c>
      <c r="B2046" t="s">
        <v>2290</v>
      </c>
      <c r="C2046" t="s">
        <v>80</v>
      </c>
      <c r="D2046" t="s">
        <v>20</v>
      </c>
      <c r="E2046" t="s">
        <v>21</v>
      </c>
      <c r="F2046" t="s">
        <v>15</v>
      </c>
      <c r="G2046" t="s">
        <v>22</v>
      </c>
      <c r="H2046" t="s">
        <v>1192</v>
      </c>
      <c r="I2046" t="s">
        <v>71</v>
      </c>
      <c r="J2046">
        <v>1</v>
      </c>
      <c r="K2046">
        <v>1200</v>
      </c>
      <c r="L2046">
        <v>2500</v>
      </c>
      <c r="M2046">
        <v>2500</v>
      </c>
      <c r="N2046" t="s">
        <v>19</v>
      </c>
    </row>
    <row r="2047" spans="1:14" x14ac:dyDescent="0.25">
      <c r="A2047" t="s">
        <v>1666</v>
      </c>
      <c r="B2047" t="s">
        <v>2291</v>
      </c>
      <c r="C2047" t="s">
        <v>1193</v>
      </c>
      <c r="D2047" t="s">
        <v>544</v>
      </c>
      <c r="E2047" t="s">
        <v>547</v>
      </c>
      <c r="F2047" t="s">
        <v>15</v>
      </c>
      <c r="G2047" t="s">
        <v>37</v>
      </c>
      <c r="H2047" t="s">
        <v>1194</v>
      </c>
      <c r="I2047" t="s">
        <v>97</v>
      </c>
      <c r="J2047">
        <v>1</v>
      </c>
      <c r="K2047">
        <v>2200</v>
      </c>
      <c r="L2047">
        <v>3500</v>
      </c>
      <c r="M2047">
        <v>3500</v>
      </c>
      <c r="N2047" t="s">
        <v>19</v>
      </c>
    </row>
    <row r="2048" spans="1:14" x14ac:dyDescent="0.25">
      <c r="A2048" t="s">
        <v>1628</v>
      </c>
      <c r="B2048" t="s">
        <v>2292</v>
      </c>
      <c r="C2048" t="s">
        <v>1196</v>
      </c>
      <c r="D2048" t="s">
        <v>292</v>
      </c>
      <c r="E2048" t="s">
        <v>293</v>
      </c>
      <c r="F2048" t="s">
        <v>294</v>
      </c>
      <c r="G2048" t="s">
        <v>37</v>
      </c>
      <c r="H2048" t="s">
        <v>1197</v>
      </c>
      <c r="I2048" t="s">
        <v>89</v>
      </c>
      <c r="J2048">
        <v>10</v>
      </c>
      <c r="K2048">
        <v>32</v>
      </c>
      <c r="L2048">
        <v>50</v>
      </c>
      <c r="M2048">
        <v>500</v>
      </c>
      <c r="N2048" t="s">
        <v>39</v>
      </c>
    </row>
    <row r="2049" spans="1:14" x14ac:dyDescent="0.25">
      <c r="A2049" t="s">
        <v>1498</v>
      </c>
      <c r="B2049" t="s">
        <v>1772</v>
      </c>
      <c r="C2049" t="s">
        <v>86</v>
      </c>
      <c r="D2049" t="s">
        <v>20</v>
      </c>
      <c r="E2049" t="s">
        <v>21</v>
      </c>
      <c r="F2049" t="s">
        <v>15</v>
      </c>
      <c r="G2049" t="s">
        <v>22</v>
      </c>
      <c r="H2049" t="s">
        <v>1207</v>
      </c>
      <c r="I2049" t="s">
        <v>93</v>
      </c>
      <c r="J2049">
        <v>3</v>
      </c>
      <c r="K2049">
        <v>11000</v>
      </c>
      <c r="L2049">
        <v>50400</v>
      </c>
      <c r="M2049">
        <v>151200</v>
      </c>
      <c r="N2049" t="s">
        <v>19</v>
      </c>
    </row>
    <row r="2050" spans="1:14" x14ac:dyDescent="0.25">
      <c r="A2050" t="s">
        <v>1498</v>
      </c>
      <c r="B2050" t="s">
        <v>1772</v>
      </c>
      <c r="C2050" t="s">
        <v>86</v>
      </c>
      <c r="D2050" t="s">
        <v>20</v>
      </c>
      <c r="E2050" t="s">
        <v>21</v>
      </c>
      <c r="F2050" t="s">
        <v>15</v>
      </c>
      <c r="G2050" t="s">
        <v>22</v>
      </c>
      <c r="H2050" t="s">
        <v>1207</v>
      </c>
      <c r="I2050" t="s">
        <v>76</v>
      </c>
      <c r="J2050">
        <v>1</v>
      </c>
      <c r="K2050">
        <v>600</v>
      </c>
      <c r="L2050">
        <v>600</v>
      </c>
      <c r="M2050">
        <v>600</v>
      </c>
      <c r="N2050" t="s">
        <v>19</v>
      </c>
    </row>
    <row r="2051" spans="1:14" x14ac:dyDescent="0.25">
      <c r="A2051" t="s">
        <v>1576</v>
      </c>
      <c r="B2051" t="s">
        <v>2293</v>
      </c>
      <c r="C2051" t="s">
        <v>1382</v>
      </c>
      <c r="D2051" t="s">
        <v>1070</v>
      </c>
      <c r="E2051" t="s">
        <v>1383</v>
      </c>
      <c r="F2051" t="s">
        <v>1384</v>
      </c>
      <c r="G2051" t="s">
        <v>1076</v>
      </c>
      <c r="H2051" t="s">
        <v>1385</v>
      </c>
      <c r="I2051" t="s">
        <v>1167</v>
      </c>
      <c r="J2051">
        <v>1</v>
      </c>
      <c r="K2051">
        <v>18000</v>
      </c>
      <c r="L2051">
        <v>17000</v>
      </c>
      <c r="M2051">
        <v>17000</v>
      </c>
      <c r="N2051" t="s">
        <v>1010</v>
      </c>
    </row>
    <row r="2052" spans="1:14" x14ac:dyDescent="0.25">
      <c r="A2052" t="s">
        <v>1576</v>
      </c>
      <c r="B2052" t="s">
        <v>2293</v>
      </c>
      <c r="C2052" t="s">
        <v>1382</v>
      </c>
      <c r="D2052" t="s">
        <v>1070</v>
      </c>
      <c r="E2052" t="s">
        <v>1383</v>
      </c>
      <c r="F2052" t="s">
        <v>1384</v>
      </c>
      <c r="G2052" t="s">
        <v>1076</v>
      </c>
      <c r="H2052" t="s">
        <v>1385</v>
      </c>
      <c r="I2052" t="s">
        <v>1032</v>
      </c>
      <c r="J2052">
        <v>1</v>
      </c>
      <c r="K2052">
        <v>26250</v>
      </c>
      <c r="L2052">
        <v>31800</v>
      </c>
      <c r="M2052">
        <v>31800</v>
      </c>
      <c r="N2052" t="s">
        <v>1010</v>
      </c>
    </row>
    <row r="2053" spans="1:14" x14ac:dyDescent="0.25">
      <c r="A2053" t="s">
        <v>1576</v>
      </c>
      <c r="B2053" t="s">
        <v>2293</v>
      </c>
      <c r="C2053" t="s">
        <v>1382</v>
      </c>
      <c r="D2053" t="s">
        <v>1070</v>
      </c>
      <c r="E2053" t="s">
        <v>1383</v>
      </c>
      <c r="F2053" t="s">
        <v>1384</v>
      </c>
      <c r="G2053" t="s">
        <v>1076</v>
      </c>
      <c r="H2053" t="s">
        <v>1385</v>
      </c>
      <c r="I2053" t="s">
        <v>151</v>
      </c>
      <c r="J2053">
        <v>1</v>
      </c>
      <c r="K2053">
        <v>2000</v>
      </c>
      <c r="L2053">
        <v>3000</v>
      </c>
      <c r="M2053">
        <v>3000</v>
      </c>
      <c r="N2053" t="s">
        <v>1010</v>
      </c>
    </row>
    <row r="2054" spans="1:14" x14ac:dyDescent="0.25">
      <c r="A2054" t="s">
        <v>1576</v>
      </c>
      <c r="B2054" t="s">
        <v>2293</v>
      </c>
      <c r="C2054" t="s">
        <v>1382</v>
      </c>
      <c r="D2054" t="s">
        <v>1070</v>
      </c>
      <c r="E2054" t="s">
        <v>1383</v>
      </c>
      <c r="F2054" t="s">
        <v>1384</v>
      </c>
      <c r="G2054" t="s">
        <v>1076</v>
      </c>
      <c r="H2054" t="s">
        <v>1385</v>
      </c>
      <c r="I2054" t="s">
        <v>1051</v>
      </c>
      <c r="J2054">
        <v>1</v>
      </c>
      <c r="K2054">
        <v>935</v>
      </c>
      <c r="L2054">
        <v>1500</v>
      </c>
      <c r="M2054">
        <v>1500</v>
      </c>
      <c r="N2054" t="s">
        <v>1010</v>
      </c>
    </row>
    <row r="2055" spans="1:14" x14ac:dyDescent="0.25">
      <c r="A2055" t="s">
        <v>1576</v>
      </c>
      <c r="B2055" t="s">
        <v>2293</v>
      </c>
      <c r="C2055" t="s">
        <v>1382</v>
      </c>
      <c r="D2055" t="s">
        <v>1070</v>
      </c>
      <c r="E2055" t="s">
        <v>1383</v>
      </c>
      <c r="F2055" t="s">
        <v>1384</v>
      </c>
      <c r="G2055" t="s">
        <v>1076</v>
      </c>
      <c r="H2055" t="s">
        <v>1385</v>
      </c>
      <c r="I2055" t="s">
        <v>189</v>
      </c>
      <c r="J2055">
        <v>1</v>
      </c>
      <c r="K2055">
        <v>500</v>
      </c>
      <c r="L2055">
        <v>700</v>
      </c>
      <c r="M2055">
        <v>700</v>
      </c>
      <c r="N2055" t="s">
        <v>1010</v>
      </c>
    </row>
    <row r="2056" spans="1:14" x14ac:dyDescent="0.25">
      <c r="A2056" t="s">
        <v>1576</v>
      </c>
      <c r="B2056" t="s">
        <v>2293</v>
      </c>
      <c r="C2056" t="s">
        <v>1382</v>
      </c>
      <c r="D2056" t="s">
        <v>1070</v>
      </c>
      <c r="E2056" t="s">
        <v>1383</v>
      </c>
      <c r="F2056" t="s">
        <v>1384</v>
      </c>
      <c r="G2056" t="s">
        <v>1076</v>
      </c>
      <c r="H2056" t="s">
        <v>1385</v>
      </c>
      <c r="I2056" t="s">
        <v>1033</v>
      </c>
      <c r="J2056">
        <v>1</v>
      </c>
      <c r="K2056">
        <v>350</v>
      </c>
      <c r="L2056">
        <v>500</v>
      </c>
      <c r="M2056">
        <v>500</v>
      </c>
      <c r="N2056" t="s">
        <v>1010</v>
      </c>
    </row>
    <row r="2057" spans="1:14" x14ac:dyDescent="0.25">
      <c r="A2057" t="s">
        <v>1676</v>
      </c>
      <c r="B2057" t="s">
        <v>2294</v>
      </c>
      <c r="C2057" t="s">
        <v>1198</v>
      </c>
      <c r="D2057" t="s">
        <v>1199</v>
      </c>
      <c r="E2057" t="s">
        <v>1200</v>
      </c>
      <c r="F2057" t="s">
        <v>15</v>
      </c>
      <c r="G2057" t="s">
        <v>37</v>
      </c>
      <c r="H2057" t="s">
        <v>1201</v>
      </c>
      <c r="I2057" t="s">
        <v>209</v>
      </c>
      <c r="J2057">
        <v>1</v>
      </c>
      <c r="K2057">
        <v>26250</v>
      </c>
      <c r="L2057">
        <v>30300</v>
      </c>
      <c r="M2057">
        <v>30300</v>
      </c>
      <c r="N2057" t="s">
        <v>19</v>
      </c>
    </row>
    <row r="2058" spans="1:14" x14ac:dyDescent="0.25">
      <c r="A2058" t="s">
        <v>1676</v>
      </c>
      <c r="B2058" t="s">
        <v>2294</v>
      </c>
      <c r="C2058" t="s">
        <v>1198</v>
      </c>
      <c r="D2058" t="s">
        <v>1199</v>
      </c>
      <c r="E2058" t="s">
        <v>1200</v>
      </c>
      <c r="F2058" t="s">
        <v>15</v>
      </c>
      <c r="G2058" t="s">
        <v>37</v>
      </c>
      <c r="H2058" t="s">
        <v>1201</v>
      </c>
      <c r="I2058" t="s">
        <v>151</v>
      </c>
      <c r="J2058">
        <v>1</v>
      </c>
      <c r="K2058">
        <v>2000</v>
      </c>
      <c r="L2058">
        <v>3000</v>
      </c>
      <c r="M2058">
        <v>3000</v>
      </c>
      <c r="N2058" t="s">
        <v>19</v>
      </c>
    </row>
    <row r="2059" spans="1:14" x14ac:dyDescent="0.25">
      <c r="A2059" t="s">
        <v>1676</v>
      </c>
      <c r="B2059" t="s">
        <v>2294</v>
      </c>
      <c r="C2059" t="s">
        <v>1198</v>
      </c>
      <c r="D2059" t="s">
        <v>1199</v>
      </c>
      <c r="E2059" t="s">
        <v>1200</v>
      </c>
      <c r="F2059" t="s">
        <v>15</v>
      </c>
      <c r="G2059" t="s">
        <v>37</v>
      </c>
      <c r="H2059" t="s">
        <v>1201</v>
      </c>
      <c r="I2059" t="s">
        <v>210</v>
      </c>
      <c r="J2059">
        <v>1</v>
      </c>
      <c r="K2059">
        <v>530</v>
      </c>
      <c r="L2059">
        <v>700</v>
      </c>
      <c r="M2059">
        <v>700</v>
      </c>
      <c r="N2059" t="s">
        <v>19</v>
      </c>
    </row>
    <row r="2060" spans="1:14" x14ac:dyDescent="0.25">
      <c r="A2060" t="s">
        <v>1676</v>
      </c>
      <c r="B2060" t="s">
        <v>2294</v>
      </c>
      <c r="C2060" t="s">
        <v>1198</v>
      </c>
      <c r="D2060" t="s">
        <v>1199</v>
      </c>
      <c r="E2060" t="s">
        <v>1200</v>
      </c>
      <c r="F2060" t="s">
        <v>15</v>
      </c>
      <c r="G2060" t="s">
        <v>37</v>
      </c>
      <c r="H2060" t="s">
        <v>1201</v>
      </c>
      <c r="I2060" t="s">
        <v>211</v>
      </c>
      <c r="J2060">
        <v>1</v>
      </c>
      <c r="K2060">
        <v>350</v>
      </c>
      <c r="L2060">
        <v>500</v>
      </c>
      <c r="M2060">
        <v>500</v>
      </c>
      <c r="N2060" t="s">
        <v>19</v>
      </c>
    </row>
    <row r="2061" spans="1:14" x14ac:dyDescent="0.25">
      <c r="A2061" t="s">
        <v>1695</v>
      </c>
      <c r="B2061" t="s">
        <v>2295</v>
      </c>
      <c r="C2061" t="s">
        <v>1386</v>
      </c>
      <c r="D2061" t="s">
        <v>1387</v>
      </c>
      <c r="E2061" t="s">
        <v>1388</v>
      </c>
      <c r="F2061" t="s">
        <v>1058</v>
      </c>
      <c r="G2061" t="s">
        <v>1024</v>
      </c>
      <c r="H2061" t="s">
        <v>1201</v>
      </c>
      <c r="I2061" t="s">
        <v>1153</v>
      </c>
      <c r="J2061">
        <v>1</v>
      </c>
      <c r="K2061">
        <v>3675</v>
      </c>
      <c r="L2061">
        <v>10500</v>
      </c>
      <c r="M2061">
        <v>10500</v>
      </c>
      <c r="N2061" t="s">
        <v>1010</v>
      </c>
    </row>
    <row r="2062" spans="1:14" x14ac:dyDescent="0.25">
      <c r="A2062" t="s">
        <v>1695</v>
      </c>
      <c r="B2062" t="s">
        <v>2295</v>
      </c>
      <c r="C2062" t="s">
        <v>1386</v>
      </c>
      <c r="D2062" t="s">
        <v>1387</v>
      </c>
      <c r="E2062" t="s">
        <v>1388</v>
      </c>
      <c r="F2062" t="s">
        <v>1058</v>
      </c>
      <c r="G2062" t="s">
        <v>1024</v>
      </c>
      <c r="H2062" t="s">
        <v>1201</v>
      </c>
      <c r="I2062" t="s">
        <v>1011</v>
      </c>
      <c r="J2062">
        <v>1</v>
      </c>
      <c r="K2062">
        <v>9000</v>
      </c>
      <c r="L2062">
        <v>9000</v>
      </c>
      <c r="M2062">
        <v>9000</v>
      </c>
      <c r="N2062" t="s">
        <v>1010</v>
      </c>
    </row>
    <row r="2063" spans="1:14" x14ac:dyDescent="0.25">
      <c r="A2063" t="s">
        <v>1695</v>
      </c>
      <c r="B2063" t="s">
        <v>2295</v>
      </c>
      <c r="C2063" t="s">
        <v>1386</v>
      </c>
      <c r="D2063" t="s">
        <v>1387</v>
      </c>
      <c r="E2063" t="s">
        <v>1388</v>
      </c>
      <c r="F2063" t="s">
        <v>1058</v>
      </c>
      <c r="G2063" t="s">
        <v>1024</v>
      </c>
      <c r="H2063" t="s">
        <v>1201</v>
      </c>
      <c r="I2063" t="s">
        <v>24</v>
      </c>
      <c r="J2063">
        <v>1</v>
      </c>
      <c r="K2063">
        <v>9000</v>
      </c>
      <c r="L2063">
        <v>9000</v>
      </c>
      <c r="M2063">
        <v>9000</v>
      </c>
      <c r="N2063" t="s">
        <v>1010</v>
      </c>
    </row>
    <row r="2064" spans="1:14" x14ac:dyDescent="0.25">
      <c r="A2064" t="s">
        <v>1695</v>
      </c>
      <c r="B2064" t="s">
        <v>2295</v>
      </c>
      <c r="C2064" t="s">
        <v>1386</v>
      </c>
      <c r="D2064" t="s">
        <v>1387</v>
      </c>
      <c r="E2064" t="s">
        <v>1388</v>
      </c>
      <c r="F2064" t="s">
        <v>1058</v>
      </c>
      <c r="G2064" t="s">
        <v>1024</v>
      </c>
      <c r="H2064" t="s">
        <v>1201</v>
      </c>
      <c r="I2064" t="s">
        <v>26</v>
      </c>
      <c r="J2064">
        <v>1</v>
      </c>
      <c r="K2064">
        <v>500</v>
      </c>
      <c r="L2064">
        <v>500</v>
      </c>
      <c r="M2064">
        <v>500</v>
      </c>
      <c r="N2064" t="s">
        <v>1010</v>
      </c>
    </row>
    <row r="2065" spans="1:14" x14ac:dyDescent="0.25">
      <c r="A2065" t="s">
        <v>1695</v>
      </c>
      <c r="B2065" t="s">
        <v>2295</v>
      </c>
      <c r="C2065" t="s">
        <v>1386</v>
      </c>
      <c r="D2065" t="s">
        <v>1387</v>
      </c>
      <c r="E2065" t="s">
        <v>1388</v>
      </c>
      <c r="F2065" t="s">
        <v>1058</v>
      </c>
      <c r="G2065" t="s">
        <v>1024</v>
      </c>
      <c r="H2065" t="s">
        <v>1201</v>
      </c>
      <c r="I2065" t="s">
        <v>1389</v>
      </c>
      <c r="J2065">
        <v>1</v>
      </c>
      <c r="K2065">
        <v>24640</v>
      </c>
      <c r="L2065">
        <v>35700</v>
      </c>
      <c r="M2065">
        <v>35700</v>
      </c>
      <c r="N2065" t="s">
        <v>1010</v>
      </c>
    </row>
    <row r="2066" spans="1:14" x14ac:dyDescent="0.25">
      <c r="A2066" t="s">
        <v>1695</v>
      </c>
      <c r="B2066" t="s">
        <v>2295</v>
      </c>
      <c r="C2066" t="s">
        <v>1386</v>
      </c>
      <c r="D2066" t="s">
        <v>1387</v>
      </c>
      <c r="E2066" t="s">
        <v>1388</v>
      </c>
      <c r="F2066" t="s">
        <v>1058</v>
      </c>
      <c r="G2066" t="s">
        <v>1024</v>
      </c>
      <c r="H2066" t="s">
        <v>1201</v>
      </c>
      <c r="I2066" t="s">
        <v>189</v>
      </c>
      <c r="J2066">
        <v>1</v>
      </c>
      <c r="K2066">
        <v>500</v>
      </c>
      <c r="L2066">
        <v>600</v>
      </c>
      <c r="M2066">
        <v>600</v>
      </c>
      <c r="N2066" t="s">
        <v>1010</v>
      </c>
    </row>
    <row r="2067" spans="1:14" x14ac:dyDescent="0.25">
      <c r="A2067" t="s">
        <v>1695</v>
      </c>
      <c r="B2067" t="s">
        <v>2295</v>
      </c>
      <c r="C2067" t="s">
        <v>1386</v>
      </c>
      <c r="D2067" t="s">
        <v>1387</v>
      </c>
      <c r="E2067" t="s">
        <v>1388</v>
      </c>
      <c r="F2067" t="s">
        <v>1058</v>
      </c>
      <c r="G2067" t="s">
        <v>1024</v>
      </c>
      <c r="H2067" t="s">
        <v>1201</v>
      </c>
      <c r="I2067" t="s">
        <v>85</v>
      </c>
      <c r="J2067">
        <v>1</v>
      </c>
      <c r="K2067">
        <v>1350</v>
      </c>
      <c r="L2067">
        <v>1700</v>
      </c>
      <c r="M2067">
        <v>1700</v>
      </c>
      <c r="N2067" t="s">
        <v>1010</v>
      </c>
    </row>
    <row r="2068" spans="1:14" x14ac:dyDescent="0.25">
      <c r="A2068" t="s">
        <v>1695</v>
      </c>
      <c r="B2068" t="s">
        <v>2295</v>
      </c>
      <c r="C2068" t="s">
        <v>1386</v>
      </c>
      <c r="D2068" t="s">
        <v>1387</v>
      </c>
      <c r="E2068" t="s">
        <v>1388</v>
      </c>
      <c r="F2068" t="s">
        <v>1058</v>
      </c>
      <c r="G2068" t="s">
        <v>1024</v>
      </c>
      <c r="H2068" t="s">
        <v>1201</v>
      </c>
      <c r="I2068" t="s">
        <v>1390</v>
      </c>
      <c r="J2068">
        <v>1</v>
      </c>
      <c r="K2068">
        <v>4088</v>
      </c>
      <c r="L2068">
        <v>6500</v>
      </c>
      <c r="M2068">
        <v>6500</v>
      </c>
      <c r="N2068" t="s">
        <v>1010</v>
      </c>
    </row>
    <row r="2069" spans="1:14" x14ac:dyDescent="0.25">
      <c r="A2069" t="s">
        <v>1695</v>
      </c>
      <c r="B2069" t="s">
        <v>2295</v>
      </c>
      <c r="C2069" t="s">
        <v>1386</v>
      </c>
      <c r="D2069" t="s">
        <v>1387</v>
      </c>
      <c r="E2069" t="s">
        <v>1388</v>
      </c>
      <c r="F2069" t="s">
        <v>1058</v>
      </c>
      <c r="G2069" t="s">
        <v>1024</v>
      </c>
      <c r="H2069" t="s">
        <v>1201</v>
      </c>
      <c r="I2069" t="s">
        <v>97</v>
      </c>
      <c r="J2069">
        <v>1</v>
      </c>
      <c r="K2069">
        <v>2200</v>
      </c>
      <c r="L2069">
        <v>3000</v>
      </c>
      <c r="M2069">
        <v>3000</v>
      </c>
      <c r="N2069" t="s">
        <v>1010</v>
      </c>
    </row>
    <row r="2070" spans="1:14" x14ac:dyDescent="0.25">
      <c r="A2070" t="s">
        <v>1695</v>
      </c>
      <c r="B2070" t="s">
        <v>2295</v>
      </c>
      <c r="C2070" t="s">
        <v>1386</v>
      </c>
      <c r="D2070" t="s">
        <v>1387</v>
      </c>
      <c r="E2070" t="s">
        <v>1388</v>
      </c>
      <c r="F2070" t="s">
        <v>1058</v>
      </c>
      <c r="G2070" t="s">
        <v>1024</v>
      </c>
      <c r="H2070" t="s">
        <v>1201</v>
      </c>
      <c r="I2070" t="s">
        <v>393</v>
      </c>
      <c r="J2070">
        <v>1</v>
      </c>
      <c r="K2070">
        <v>1000</v>
      </c>
      <c r="L2070">
        <v>1000</v>
      </c>
      <c r="M2070">
        <v>1000</v>
      </c>
      <c r="N2070" t="s">
        <v>1010</v>
      </c>
    </row>
    <row r="2071" spans="1:14" x14ac:dyDescent="0.25">
      <c r="A2071" t="s">
        <v>1678</v>
      </c>
      <c r="B2071" t="s">
        <v>2296</v>
      </c>
      <c r="C2071" t="s">
        <v>1202</v>
      </c>
      <c r="D2071" t="s">
        <v>658</v>
      </c>
      <c r="E2071" t="s">
        <v>659</v>
      </c>
      <c r="F2071" t="s">
        <v>1179</v>
      </c>
      <c r="G2071" t="s">
        <v>22</v>
      </c>
      <c r="H2071" t="s">
        <v>1203</v>
      </c>
      <c r="I2071" t="s">
        <v>1204</v>
      </c>
      <c r="J2071">
        <v>1</v>
      </c>
      <c r="K2071">
        <v>5000</v>
      </c>
      <c r="L2071">
        <v>5000</v>
      </c>
      <c r="M2071">
        <v>5000</v>
      </c>
      <c r="N2071" t="s">
        <v>39</v>
      </c>
    </row>
    <row r="2072" spans="1:14" x14ac:dyDescent="0.25">
      <c r="A2072" t="s">
        <v>1512</v>
      </c>
      <c r="B2072" t="s">
        <v>2297</v>
      </c>
      <c r="C2072" t="s">
        <v>100</v>
      </c>
      <c r="D2072" t="s">
        <v>20</v>
      </c>
      <c r="E2072" t="s">
        <v>1208</v>
      </c>
      <c r="F2072" t="s">
        <v>15</v>
      </c>
      <c r="G2072" t="s">
        <v>22</v>
      </c>
      <c r="H2072" t="s">
        <v>1203</v>
      </c>
      <c r="I2072" t="s">
        <v>669</v>
      </c>
      <c r="J2072">
        <v>1</v>
      </c>
      <c r="K2072">
        <v>650</v>
      </c>
      <c r="L2072">
        <v>1500</v>
      </c>
      <c r="M2072">
        <v>1500</v>
      </c>
      <c r="N2072" t="s">
        <v>19</v>
      </c>
    </row>
    <row r="2073" spans="1:14" x14ac:dyDescent="0.25">
      <c r="A2073" t="s">
        <v>1486</v>
      </c>
      <c r="B2073" t="s">
        <v>2298</v>
      </c>
      <c r="C2073" t="s">
        <v>104</v>
      </c>
      <c r="D2073" t="s">
        <v>20</v>
      </c>
      <c r="E2073" t="s">
        <v>31</v>
      </c>
      <c r="F2073" t="s">
        <v>15</v>
      </c>
      <c r="G2073" t="s">
        <v>22</v>
      </c>
      <c r="H2073" t="s">
        <v>1203</v>
      </c>
      <c r="I2073" t="s">
        <v>145</v>
      </c>
      <c r="J2073">
        <v>1</v>
      </c>
      <c r="K2073">
        <v>3675</v>
      </c>
      <c r="L2073">
        <v>10500</v>
      </c>
      <c r="M2073">
        <v>10500</v>
      </c>
      <c r="N2073" t="s">
        <v>19</v>
      </c>
    </row>
    <row r="2074" spans="1:14" x14ac:dyDescent="0.25">
      <c r="A2074" t="s">
        <v>1486</v>
      </c>
      <c r="B2074" t="s">
        <v>2298</v>
      </c>
      <c r="C2074" t="s">
        <v>104</v>
      </c>
      <c r="D2074" t="s">
        <v>20</v>
      </c>
      <c r="E2074" t="s">
        <v>31</v>
      </c>
      <c r="F2074" t="s">
        <v>15</v>
      </c>
      <c r="G2074" t="s">
        <v>22</v>
      </c>
      <c r="H2074" t="s">
        <v>1203</v>
      </c>
      <c r="I2074" t="s">
        <v>299</v>
      </c>
      <c r="J2074">
        <v>1</v>
      </c>
      <c r="K2074">
        <v>9500</v>
      </c>
      <c r="L2074">
        <v>9500</v>
      </c>
      <c r="M2074">
        <v>9500</v>
      </c>
      <c r="N2074" t="s">
        <v>19</v>
      </c>
    </row>
    <row r="2075" spans="1:14" x14ac:dyDescent="0.25">
      <c r="A2075" t="s">
        <v>1486</v>
      </c>
      <c r="B2075" t="s">
        <v>2298</v>
      </c>
      <c r="C2075" t="s">
        <v>104</v>
      </c>
      <c r="D2075" t="s">
        <v>20</v>
      </c>
      <c r="E2075" t="s">
        <v>31</v>
      </c>
      <c r="F2075" t="s">
        <v>15</v>
      </c>
      <c r="G2075" t="s">
        <v>22</v>
      </c>
      <c r="H2075" t="s">
        <v>1203</v>
      </c>
      <c r="I2075" t="s">
        <v>25</v>
      </c>
      <c r="J2075">
        <v>1</v>
      </c>
      <c r="K2075">
        <v>9500</v>
      </c>
      <c r="L2075">
        <v>9500</v>
      </c>
      <c r="M2075">
        <v>9500</v>
      </c>
      <c r="N2075" t="s">
        <v>19</v>
      </c>
    </row>
    <row r="2076" spans="1:14" x14ac:dyDescent="0.25">
      <c r="A2076" t="s">
        <v>1486</v>
      </c>
      <c r="B2076" t="s">
        <v>2298</v>
      </c>
      <c r="C2076" t="s">
        <v>104</v>
      </c>
      <c r="D2076" t="s">
        <v>20</v>
      </c>
      <c r="E2076" t="s">
        <v>31</v>
      </c>
      <c r="F2076" t="s">
        <v>15</v>
      </c>
      <c r="G2076" t="s">
        <v>22</v>
      </c>
      <c r="H2076" t="s">
        <v>1203</v>
      </c>
      <c r="I2076" t="s">
        <v>134</v>
      </c>
      <c r="J2076">
        <v>1</v>
      </c>
      <c r="K2076">
        <v>500</v>
      </c>
      <c r="L2076">
        <v>500</v>
      </c>
      <c r="M2076">
        <v>500</v>
      </c>
      <c r="N2076" t="s">
        <v>19</v>
      </c>
    </row>
    <row r="2077" spans="1:14" x14ac:dyDescent="0.25">
      <c r="A2077" t="s">
        <v>1486</v>
      </c>
      <c r="B2077" t="s">
        <v>2070</v>
      </c>
      <c r="C2077" t="s">
        <v>780</v>
      </c>
      <c r="D2077" t="s">
        <v>20</v>
      </c>
      <c r="E2077" t="s">
        <v>31</v>
      </c>
      <c r="F2077" t="s">
        <v>15</v>
      </c>
      <c r="G2077" t="s">
        <v>22</v>
      </c>
      <c r="H2077" t="s">
        <v>1203</v>
      </c>
      <c r="I2077" t="s">
        <v>145</v>
      </c>
      <c r="J2077">
        <v>1</v>
      </c>
      <c r="K2077">
        <v>3675</v>
      </c>
      <c r="L2077">
        <v>10500</v>
      </c>
      <c r="M2077">
        <v>10500</v>
      </c>
      <c r="N2077" t="s">
        <v>19</v>
      </c>
    </row>
    <row r="2078" spans="1:14" x14ac:dyDescent="0.25">
      <c r="A2078" t="s">
        <v>1486</v>
      </c>
      <c r="B2078" t="s">
        <v>2070</v>
      </c>
      <c r="C2078" t="s">
        <v>780</v>
      </c>
      <c r="D2078" t="s">
        <v>20</v>
      </c>
      <c r="E2078" t="s">
        <v>31</v>
      </c>
      <c r="F2078" t="s">
        <v>15</v>
      </c>
      <c r="G2078" t="s">
        <v>22</v>
      </c>
      <c r="H2078" t="s">
        <v>1203</v>
      </c>
      <c r="I2078" t="s">
        <v>299</v>
      </c>
      <c r="J2078">
        <v>1</v>
      </c>
      <c r="K2078">
        <v>9500</v>
      </c>
      <c r="L2078">
        <v>9500</v>
      </c>
      <c r="M2078">
        <v>9500</v>
      </c>
      <c r="N2078" t="s">
        <v>19</v>
      </c>
    </row>
    <row r="2079" spans="1:14" x14ac:dyDescent="0.25">
      <c r="A2079" t="s">
        <v>1486</v>
      </c>
      <c r="B2079" t="s">
        <v>2070</v>
      </c>
      <c r="C2079" t="s">
        <v>780</v>
      </c>
      <c r="D2079" t="s">
        <v>20</v>
      </c>
      <c r="E2079" t="s">
        <v>31</v>
      </c>
      <c r="F2079" t="s">
        <v>15</v>
      </c>
      <c r="G2079" t="s">
        <v>22</v>
      </c>
      <c r="H2079" t="s">
        <v>1203</v>
      </c>
      <c r="I2079" t="s">
        <v>25</v>
      </c>
      <c r="J2079">
        <v>1</v>
      </c>
      <c r="K2079">
        <v>9500</v>
      </c>
      <c r="L2079">
        <v>9500</v>
      </c>
      <c r="M2079">
        <v>9500</v>
      </c>
      <c r="N2079" t="s">
        <v>19</v>
      </c>
    </row>
    <row r="2080" spans="1:14" x14ac:dyDescent="0.25">
      <c r="A2080" t="s">
        <v>1486</v>
      </c>
      <c r="B2080" t="s">
        <v>2070</v>
      </c>
      <c r="C2080" t="s">
        <v>780</v>
      </c>
      <c r="D2080" t="s">
        <v>20</v>
      </c>
      <c r="E2080" t="s">
        <v>31</v>
      </c>
      <c r="F2080" t="s">
        <v>15</v>
      </c>
      <c r="G2080" t="s">
        <v>22</v>
      </c>
      <c r="H2080" t="s">
        <v>1203</v>
      </c>
      <c r="I2080" t="s">
        <v>134</v>
      </c>
      <c r="J2080">
        <v>1</v>
      </c>
      <c r="K2080">
        <v>500</v>
      </c>
      <c r="L2080">
        <v>500</v>
      </c>
      <c r="M2080">
        <v>500</v>
      </c>
      <c r="N2080" t="s">
        <v>19</v>
      </c>
    </row>
    <row r="2081" spans="1:14" x14ac:dyDescent="0.25">
      <c r="A2081" t="s">
        <v>1581</v>
      </c>
      <c r="B2081" t="s">
        <v>2299</v>
      </c>
      <c r="C2081" t="s">
        <v>1205</v>
      </c>
      <c r="D2081" t="s">
        <v>87</v>
      </c>
      <c r="E2081" t="s">
        <v>87</v>
      </c>
      <c r="F2081" t="s">
        <v>15</v>
      </c>
      <c r="G2081" t="s">
        <v>37</v>
      </c>
      <c r="H2081" t="s">
        <v>1206</v>
      </c>
      <c r="I2081" t="s">
        <v>89</v>
      </c>
      <c r="J2081">
        <v>50</v>
      </c>
      <c r="K2081">
        <v>32</v>
      </c>
      <c r="L2081">
        <v>50</v>
      </c>
      <c r="M2081">
        <v>2500</v>
      </c>
      <c r="N2081" t="s">
        <v>39</v>
      </c>
    </row>
    <row r="2082" spans="1:14" x14ac:dyDescent="0.25">
      <c r="A2082" t="s">
        <v>1695</v>
      </c>
      <c r="B2082" t="s">
        <v>2300</v>
      </c>
      <c r="C2082" t="s">
        <v>1185</v>
      </c>
      <c r="D2082" t="s">
        <v>1387</v>
      </c>
      <c r="E2082" t="s">
        <v>1388</v>
      </c>
      <c r="F2082" t="s">
        <v>1058</v>
      </c>
      <c r="G2082" t="s">
        <v>1024</v>
      </c>
      <c r="H2082" t="s">
        <v>1206</v>
      </c>
      <c r="I2082" t="s">
        <v>62</v>
      </c>
      <c r="J2082">
        <v>5</v>
      </c>
      <c r="K2082">
        <v>47</v>
      </c>
      <c r="L2082">
        <v>80</v>
      </c>
      <c r="M2082">
        <v>400</v>
      </c>
      <c r="N2082" t="s">
        <v>1010</v>
      </c>
    </row>
    <row r="2083" spans="1:14" x14ac:dyDescent="0.25">
      <c r="A2083" t="s">
        <v>1549</v>
      </c>
      <c r="B2083" t="s">
        <v>2301</v>
      </c>
      <c r="C2083" t="s">
        <v>1209</v>
      </c>
      <c r="D2083" t="s">
        <v>179</v>
      </c>
      <c r="E2083" t="s">
        <v>180</v>
      </c>
      <c r="F2083" t="s">
        <v>15</v>
      </c>
      <c r="G2083" t="s">
        <v>22</v>
      </c>
      <c r="H2083" t="s">
        <v>1210</v>
      </c>
      <c r="I2083" t="s">
        <v>1211</v>
      </c>
      <c r="J2083">
        <v>6</v>
      </c>
      <c r="K2083">
        <v>8000</v>
      </c>
      <c r="L2083">
        <v>8000</v>
      </c>
      <c r="M2083">
        <v>48000</v>
      </c>
      <c r="N2083" t="s">
        <v>39</v>
      </c>
    </row>
    <row r="2084" spans="1:14" x14ac:dyDescent="0.25">
      <c r="A2084" t="s">
        <v>1444</v>
      </c>
      <c r="B2084" t="s">
        <v>2302</v>
      </c>
      <c r="C2084" t="s">
        <v>1212</v>
      </c>
      <c r="D2084" t="s">
        <v>256</v>
      </c>
      <c r="E2084" t="s">
        <v>256</v>
      </c>
      <c r="F2084" t="s">
        <v>266</v>
      </c>
      <c r="G2084" t="s">
        <v>22</v>
      </c>
      <c r="H2084" t="s">
        <v>1210</v>
      </c>
      <c r="I2084" t="s">
        <v>267</v>
      </c>
      <c r="J2084">
        <v>19</v>
      </c>
      <c r="K2084">
        <v>8000</v>
      </c>
      <c r="L2084">
        <v>8000</v>
      </c>
      <c r="M2084">
        <v>152000</v>
      </c>
      <c r="N2084" t="s">
        <v>19</v>
      </c>
    </row>
    <row r="2085" spans="1:14" x14ac:dyDescent="0.25">
      <c r="A2085" t="s">
        <v>1602</v>
      </c>
      <c r="B2085" t="s">
        <v>2303</v>
      </c>
      <c r="C2085" t="s">
        <v>1213</v>
      </c>
      <c r="D2085" t="s">
        <v>1214</v>
      </c>
      <c r="E2085" t="s">
        <v>1215</v>
      </c>
      <c r="F2085" t="s">
        <v>15</v>
      </c>
      <c r="G2085" t="s">
        <v>16</v>
      </c>
      <c r="H2085" t="s">
        <v>1216</v>
      </c>
      <c r="I2085" t="s">
        <v>1217</v>
      </c>
      <c r="J2085">
        <v>1</v>
      </c>
      <c r="K2085">
        <v>3675</v>
      </c>
      <c r="L2085">
        <v>10500</v>
      </c>
      <c r="M2085">
        <v>10500</v>
      </c>
      <c r="N2085" t="s">
        <v>19</v>
      </c>
    </row>
    <row r="2086" spans="1:14" x14ac:dyDescent="0.25">
      <c r="A2086" t="s">
        <v>1602</v>
      </c>
      <c r="B2086" t="s">
        <v>2303</v>
      </c>
      <c r="C2086" t="s">
        <v>1213</v>
      </c>
      <c r="D2086" t="s">
        <v>1214</v>
      </c>
      <c r="E2086" t="s">
        <v>1215</v>
      </c>
      <c r="F2086" t="s">
        <v>15</v>
      </c>
      <c r="G2086" t="s">
        <v>16</v>
      </c>
      <c r="H2086" t="s">
        <v>1216</v>
      </c>
      <c r="I2086" t="s">
        <v>48</v>
      </c>
      <c r="J2086">
        <v>1</v>
      </c>
      <c r="K2086">
        <v>12000</v>
      </c>
      <c r="L2086">
        <v>12000</v>
      </c>
      <c r="M2086">
        <v>12000</v>
      </c>
      <c r="N2086" t="s">
        <v>19</v>
      </c>
    </row>
    <row r="2087" spans="1:14" x14ac:dyDescent="0.25">
      <c r="A2087" t="s">
        <v>1602</v>
      </c>
      <c r="B2087" t="s">
        <v>2303</v>
      </c>
      <c r="C2087" t="s">
        <v>1213</v>
      </c>
      <c r="D2087" t="s">
        <v>1214</v>
      </c>
      <c r="E2087" t="s">
        <v>1215</v>
      </c>
      <c r="F2087" t="s">
        <v>15</v>
      </c>
      <c r="G2087" t="s">
        <v>16</v>
      </c>
      <c r="H2087" t="s">
        <v>1216</v>
      </c>
      <c r="I2087" t="s">
        <v>126</v>
      </c>
      <c r="J2087">
        <v>1</v>
      </c>
      <c r="K2087">
        <v>12000</v>
      </c>
      <c r="L2087">
        <v>12000</v>
      </c>
      <c r="M2087">
        <v>12000</v>
      </c>
      <c r="N2087" t="s">
        <v>19</v>
      </c>
    </row>
    <row r="2088" spans="1:14" x14ac:dyDescent="0.25">
      <c r="A2088" t="s">
        <v>1602</v>
      </c>
      <c r="B2088" t="s">
        <v>2303</v>
      </c>
      <c r="C2088" t="s">
        <v>1213</v>
      </c>
      <c r="D2088" t="s">
        <v>1214</v>
      </c>
      <c r="E2088" t="s">
        <v>1215</v>
      </c>
      <c r="F2088" t="s">
        <v>15</v>
      </c>
      <c r="G2088" t="s">
        <v>16</v>
      </c>
      <c r="H2088" t="s">
        <v>1216</v>
      </c>
      <c r="I2088" t="s">
        <v>26</v>
      </c>
      <c r="J2088">
        <v>1</v>
      </c>
      <c r="K2088">
        <v>500</v>
      </c>
      <c r="L2088">
        <v>500</v>
      </c>
      <c r="M2088">
        <v>500</v>
      </c>
      <c r="N2088" t="s">
        <v>19</v>
      </c>
    </row>
    <row r="2089" spans="1:14" x14ac:dyDescent="0.25">
      <c r="A2089" t="s">
        <v>1602</v>
      </c>
      <c r="B2089" t="s">
        <v>2303</v>
      </c>
      <c r="C2089" t="s">
        <v>1213</v>
      </c>
      <c r="D2089" t="s">
        <v>1214</v>
      </c>
      <c r="E2089" t="s">
        <v>1215</v>
      </c>
      <c r="F2089" t="s">
        <v>15</v>
      </c>
      <c r="G2089" t="s">
        <v>16</v>
      </c>
      <c r="H2089" t="s">
        <v>1216</v>
      </c>
      <c r="I2089" t="s">
        <v>1218</v>
      </c>
      <c r="J2089">
        <v>1</v>
      </c>
      <c r="K2089">
        <v>8500</v>
      </c>
      <c r="L2089">
        <v>16725</v>
      </c>
      <c r="M2089">
        <v>16725</v>
      </c>
      <c r="N2089" t="s">
        <v>19</v>
      </c>
    </row>
    <row r="2090" spans="1:14" x14ac:dyDescent="0.25">
      <c r="A2090" t="s">
        <v>1602</v>
      </c>
      <c r="B2090" t="s">
        <v>2303</v>
      </c>
      <c r="C2090" t="s">
        <v>1213</v>
      </c>
      <c r="D2090" t="s">
        <v>1214</v>
      </c>
      <c r="E2090" t="s">
        <v>1215</v>
      </c>
      <c r="F2090" t="s">
        <v>15</v>
      </c>
      <c r="G2090" t="s">
        <v>16</v>
      </c>
      <c r="H2090" t="s">
        <v>1216</v>
      </c>
      <c r="I2090" t="s">
        <v>1219</v>
      </c>
      <c r="J2090">
        <v>1</v>
      </c>
      <c r="K2090">
        <v>70</v>
      </c>
      <c r="L2090">
        <v>150</v>
      </c>
      <c r="M2090">
        <v>150</v>
      </c>
      <c r="N2090" t="s">
        <v>19</v>
      </c>
    </row>
    <row r="2091" spans="1:14" x14ac:dyDescent="0.25">
      <c r="A2091" t="s">
        <v>1602</v>
      </c>
      <c r="B2091" t="s">
        <v>2303</v>
      </c>
      <c r="C2091" t="s">
        <v>1213</v>
      </c>
      <c r="D2091" t="s">
        <v>1214</v>
      </c>
      <c r="E2091" t="s">
        <v>1215</v>
      </c>
      <c r="F2091" t="s">
        <v>15</v>
      </c>
      <c r="G2091" t="s">
        <v>16</v>
      </c>
      <c r="H2091" t="s">
        <v>1216</v>
      </c>
      <c r="I2091" t="s">
        <v>1220</v>
      </c>
      <c r="J2091">
        <v>5</v>
      </c>
      <c r="K2091">
        <v>17</v>
      </c>
      <c r="L2091">
        <v>25</v>
      </c>
      <c r="M2091">
        <v>125</v>
      </c>
      <c r="N2091" t="s">
        <v>19</v>
      </c>
    </row>
    <row r="2092" spans="1:14" x14ac:dyDescent="0.25">
      <c r="A2092" t="s">
        <v>1602</v>
      </c>
      <c r="B2092" t="s">
        <v>2303</v>
      </c>
      <c r="C2092" t="s">
        <v>1213</v>
      </c>
      <c r="D2092" t="s">
        <v>1214</v>
      </c>
      <c r="E2092" t="s">
        <v>1215</v>
      </c>
      <c r="F2092" t="s">
        <v>15</v>
      </c>
      <c r="G2092" t="s">
        <v>16</v>
      </c>
      <c r="H2092" t="s">
        <v>1216</v>
      </c>
      <c r="I2092" t="s">
        <v>97</v>
      </c>
      <c r="J2092">
        <v>1</v>
      </c>
      <c r="K2092">
        <v>2200</v>
      </c>
      <c r="L2092">
        <v>4700</v>
      </c>
      <c r="M2092">
        <v>4700</v>
      </c>
      <c r="N2092" t="s">
        <v>19</v>
      </c>
    </row>
    <row r="2093" spans="1:14" x14ac:dyDescent="0.25">
      <c r="A2093" t="s">
        <v>1602</v>
      </c>
      <c r="B2093" t="s">
        <v>2303</v>
      </c>
      <c r="C2093" t="s">
        <v>1213</v>
      </c>
      <c r="D2093" t="s">
        <v>1214</v>
      </c>
      <c r="E2093" t="s">
        <v>1215</v>
      </c>
      <c r="F2093" t="s">
        <v>15</v>
      </c>
      <c r="G2093" t="s">
        <v>16</v>
      </c>
      <c r="H2093" t="s">
        <v>1216</v>
      </c>
      <c r="I2093" t="s">
        <v>284</v>
      </c>
      <c r="J2093">
        <v>1</v>
      </c>
      <c r="K2093">
        <v>11000</v>
      </c>
      <c r="L2093">
        <v>17000</v>
      </c>
      <c r="M2093">
        <v>17000</v>
      </c>
      <c r="N2093" t="s">
        <v>19</v>
      </c>
    </row>
    <row r="2094" spans="1:14" x14ac:dyDescent="0.25">
      <c r="A2094" t="s">
        <v>1602</v>
      </c>
      <c r="B2094" t="s">
        <v>2303</v>
      </c>
      <c r="C2094" t="s">
        <v>1213</v>
      </c>
      <c r="D2094" t="s">
        <v>1214</v>
      </c>
      <c r="E2094" t="s">
        <v>1215</v>
      </c>
      <c r="F2094" t="s">
        <v>15</v>
      </c>
      <c r="G2094" t="s">
        <v>16</v>
      </c>
      <c r="H2094" t="s">
        <v>1216</v>
      </c>
      <c r="I2094" t="s">
        <v>85</v>
      </c>
      <c r="J2094">
        <v>1</v>
      </c>
      <c r="K2094">
        <v>1350</v>
      </c>
      <c r="L2094">
        <v>3100</v>
      </c>
      <c r="M2094">
        <v>3100</v>
      </c>
      <c r="N2094" t="s">
        <v>19</v>
      </c>
    </row>
    <row r="2095" spans="1:14" x14ac:dyDescent="0.25">
      <c r="A2095" t="s">
        <v>1602</v>
      </c>
      <c r="B2095" t="s">
        <v>2303</v>
      </c>
      <c r="C2095" t="s">
        <v>1213</v>
      </c>
      <c r="D2095" t="s">
        <v>1214</v>
      </c>
      <c r="E2095" t="s">
        <v>1215</v>
      </c>
      <c r="F2095" t="s">
        <v>15</v>
      </c>
      <c r="G2095" t="s">
        <v>16</v>
      </c>
      <c r="H2095" t="s">
        <v>1216</v>
      </c>
      <c r="I2095" t="s">
        <v>209</v>
      </c>
      <c r="J2095">
        <v>1</v>
      </c>
      <c r="K2095">
        <v>26250</v>
      </c>
      <c r="L2095">
        <v>32200</v>
      </c>
      <c r="M2095">
        <v>32200</v>
      </c>
      <c r="N2095" t="s">
        <v>19</v>
      </c>
    </row>
    <row r="2096" spans="1:14" x14ac:dyDescent="0.25">
      <c r="A2096" t="s">
        <v>1602</v>
      </c>
      <c r="B2096" t="s">
        <v>2303</v>
      </c>
      <c r="C2096" t="s">
        <v>1213</v>
      </c>
      <c r="D2096" t="s">
        <v>1214</v>
      </c>
      <c r="E2096" t="s">
        <v>1215</v>
      </c>
      <c r="F2096" t="s">
        <v>15</v>
      </c>
      <c r="G2096" t="s">
        <v>16</v>
      </c>
      <c r="H2096" t="s">
        <v>1216</v>
      </c>
      <c r="I2096" t="s">
        <v>151</v>
      </c>
      <c r="J2096">
        <v>1</v>
      </c>
      <c r="K2096">
        <v>2000</v>
      </c>
      <c r="L2096">
        <v>3000</v>
      </c>
      <c r="M2096">
        <v>3000</v>
      </c>
      <c r="N2096" t="s">
        <v>19</v>
      </c>
    </row>
    <row r="2097" spans="1:14" x14ac:dyDescent="0.25">
      <c r="A2097" t="s">
        <v>1602</v>
      </c>
      <c r="B2097" t="s">
        <v>2303</v>
      </c>
      <c r="C2097" t="s">
        <v>1213</v>
      </c>
      <c r="D2097" t="s">
        <v>1214</v>
      </c>
      <c r="E2097" t="s">
        <v>1215</v>
      </c>
      <c r="F2097" t="s">
        <v>15</v>
      </c>
      <c r="G2097" t="s">
        <v>16</v>
      </c>
      <c r="H2097" t="s">
        <v>1216</v>
      </c>
      <c r="I2097" t="s">
        <v>210</v>
      </c>
      <c r="J2097">
        <v>1</v>
      </c>
      <c r="K2097">
        <v>530</v>
      </c>
      <c r="L2097">
        <v>700</v>
      </c>
      <c r="M2097">
        <v>700</v>
      </c>
      <c r="N2097" t="s">
        <v>19</v>
      </c>
    </row>
    <row r="2098" spans="1:14" x14ac:dyDescent="0.25">
      <c r="A2098" t="s">
        <v>1602</v>
      </c>
      <c r="B2098" t="s">
        <v>2303</v>
      </c>
      <c r="C2098" t="s">
        <v>1213</v>
      </c>
      <c r="D2098" t="s">
        <v>1214</v>
      </c>
      <c r="E2098" t="s">
        <v>1215</v>
      </c>
      <c r="F2098" t="s">
        <v>15</v>
      </c>
      <c r="G2098" t="s">
        <v>16</v>
      </c>
      <c r="H2098" t="s">
        <v>1216</v>
      </c>
      <c r="I2098" t="s">
        <v>211</v>
      </c>
      <c r="J2098">
        <v>1</v>
      </c>
      <c r="K2098">
        <v>350</v>
      </c>
      <c r="L2098">
        <v>500</v>
      </c>
      <c r="M2098">
        <v>500</v>
      </c>
      <c r="N2098" t="s">
        <v>19</v>
      </c>
    </row>
    <row r="2099" spans="1:14" x14ac:dyDescent="0.25">
      <c r="A2099" t="s">
        <v>1602</v>
      </c>
      <c r="B2099" t="s">
        <v>2303</v>
      </c>
      <c r="C2099" t="s">
        <v>1213</v>
      </c>
      <c r="D2099" t="s">
        <v>1214</v>
      </c>
      <c r="E2099" t="s">
        <v>1215</v>
      </c>
      <c r="F2099" t="s">
        <v>15</v>
      </c>
      <c r="G2099" t="s">
        <v>16</v>
      </c>
      <c r="H2099" t="s">
        <v>1216</v>
      </c>
      <c r="I2099" t="s">
        <v>98</v>
      </c>
      <c r="J2099">
        <v>1</v>
      </c>
      <c r="K2099">
        <v>935</v>
      </c>
      <c r="L2099">
        <v>1500</v>
      </c>
      <c r="M2099">
        <v>1500</v>
      </c>
      <c r="N2099" t="s">
        <v>19</v>
      </c>
    </row>
    <row r="2100" spans="1:14" x14ac:dyDescent="0.25">
      <c r="A2100" t="s">
        <v>1602</v>
      </c>
      <c r="B2100" t="s">
        <v>2303</v>
      </c>
      <c r="C2100" t="s">
        <v>1213</v>
      </c>
      <c r="D2100" t="s">
        <v>1214</v>
      </c>
      <c r="E2100" t="s">
        <v>1215</v>
      </c>
      <c r="F2100" t="s">
        <v>15</v>
      </c>
      <c r="G2100" t="s">
        <v>16</v>
      </c>
      <c r="H2100" t="s">
        <v>1216</v>
      </c>
      <c r="I2100" t="s">
        <v>63</v>
      </c>
      <c r="J2100">
        <v>1</v>
      </c>
      <c r="K2100">
        <v>600</v>
      </c>
      <c r="L2100">
        <v>600</v>
      </c>
      <c r="M2100">
        <v>600</v>
      </c>
      <c r="N2100" t="s">
        <v>19</v>
      </c>
    </row>
    <row r="2101" spans="1:14" x14ac:dyDescent="0.25">
      <c r="A2101" t="s">
        <v>1619</v>
      </c>
      <c r="B2101" t="s">
        <v>2304</v>
      </c>
      <c r="C2101" t="s">
        <v>1221</v>
      </c>
      <c r="D2101" t="s">
        <v>738</v>
      </c>
      <c r="E2101" t="s">
        <v>738</v>
      </c>
      <c r="F2101" t="s">
        <v>739</v>
      </c>
      <c r="G2101" t="s">
        <v>22</v>
      </c>
      <c r="H2101" t="s">
        <v>1222</v>
      </c>
      <c r="I2101" t="s">
        <v>795</v>
      </c>
      <c r="J2101">
        <v>200</v>
      </c>
      <c r="K2101">
        <v>17</v>
      </c>
      <c r="L2101">
        <v>25</v>
      </c>
      <c r="M2101">
        <v>5000</v>
      </c>
      <c r="N2101" t="s">
        <v>39</v>
      </c>
    </row>
    <row r="2102" spans="1:14" x14ac:dyDescent="0.25">
      <c r="A2102" t="s">
        <v>1486</v>
      </c>
      <c r="B2102" t="s">
        <v>2305</v>
      </c>
      <c r="C2102" t="s">
        <v>122</v>
      </c>
      <c r="D2102" t="s">
        <v>20</v>
      </c>
      <c r="E2102" t="s">
        <v>31</v>
      </c>
      <c r="F2102" t="s">
        <v>15</v>
      </c>
      <c r="G2102" t="s">
        <v>22</v>
      </c>
      <c r="H2102" t="s">
        <v>1222</v>
      </c>
      <c r="I2102" t="s">
        <v>33</v>
      </c>
      <c r="J2102">
        <v>2</v>
      </c>
      <c r="K2102">
        <v>6500</v>
      </c>
      <c r="L2102">
        <v>6500</v>
      </c>
      <c r="M2102">
        <v>13000</v>
      </c>
      <c r="N2102" t="s">
        <v>19</v>
      </c>
    </row>
    <row r="2103" spans="1:14" x14ac:dyDescent="0.25">
      <c r="A2103" t="s">
        <v>1596</v>
      </c>
      <c r="B2103" t="s">
        <v>2306</v>
      </c>
      <c r="C2103" t="s">
        <v>1223</v>
      </c>
      <c r="D2103" t="s">
        <v>864</v>
      </c>
      <c r="E2103" t="s">
        <v>865</v>
      </c>
      <c r="F2103" t="s">
        <v>921</v>
      </c>
      <c r="G2103" t="s">
        <v>37</v>
      </c>
      <c r="H2103" t="s">
        <v>1222</v>
      </c>
      <c r="I2103" t="s">
        <v>116</v>
      </c>
      <c r="J2103">
        <v>1</v>
      </c>
      <c r="K2103">
        <v>2185</v>
      </c>
      <c r="L2103">
        <v>3200</v>
      </c>
      <c r="M2103">
        <v>3200</v>
      </c>
      <c r="N2103" t="s">
        <v>39</v>
      </c>
    </row>
    <row r="2104" spans="1:14" x14ac:dyDescent="0.25">
      <c r="A2104" t="s">
        <v>1596</v>
      </c>
      <c r="B2104" t="s">
        <v>2306</v>
      </c>
      <c r="C2104" t="s">
        <v>1223</v>
      </c>
      <c r="D2104" t="s">
        <v>864</v>
      </c>
      <c r="E2104" t="s">
        <v>865</v>
      </c>
      <c r="F2104" t="s">
        <v>921</v>
      </c>
      <c r="G2104" t="s">
        <v>37</v>
      </c>
      <c r="H2104" t="s">
        <v>1222</v>
      </c>
      <c r="I2104" t="s">
        <v>63</v>
      </c>
      <c r="J2104">
        <v>1</v>
      </c>
      <c r="K2104">
        <v>300</v>
      </c>
      <c r="L2104">
        <v>300</v>
      </c>
      <c r="M2104">
        <v>300</v>
      </c>
      <c r="N2104" t="s">
        <v>39</v>
      </c>
    </row>
    <row r="2105" spans="1:14" x14ac:dyDescent="0.25">
      <c r="A2105" t="s">
        <v>1486</v>
      </c>
      <c r="B2105" t="s">
        <v>2307</v>
      </c>
      <c r="C2105" t="s">
        <v>140</v>
      </c>
      <c r="D2105" t="s">
        <v>20</v>
      </c>
      <c r="E2105" t="s">
        <v>31</v>
      </c>
      <c r="F2105" t="s">
        <v>15</v>
      </c>
      <c r="G2105" t="s">
        <v>22</v>
      </c>
      <c r="H2105" t="s">
        <v>1222</v>
      </c>
      <c r="I2105" t="s">
        <v>33</v>
      </c>
      <c r="J2105">
        <v>2</v>
      </c>
      <c r="K2105">
        <v>6500</v>
      </c>
      <c r="L2105">
        <v>6500</v>
      </c>
      <c r="M2105">
        <v>13000</v>
      </c>
      <c r="N2105" t="s">
        <v>19</v>
      </c>
    </row>
    <row r="2106" spans="1:14" x14ac:dyDescent="0.25">
      <c r="A2106" t="s">
        <v>1486</v>
      </c>
      <c r="B2106" t="s">
        <v>1782</v>
      </c>
      <c r="C2106" t="s">
        <v>147</v>
      </c>
      <c r="D2106" t="s">
        <v>20</v>
      </c>
      <c r="E2106" t="s">
        <v>31</v>
      </c>
      <c r="F2106" t="s">
        <v>15</v>
      </c>
      <c r="G2106" t="s">
        <v>22</v>
      </c>
      <c r="H2106" t="s">
        <v>1222</v>
      </c>
      <c r="I2106" t="s">
        <v>33</v>
      </c>
      <c r="J2106">
        <v>1</v>
      </c>
      <c r="K2106">
        <v>6500</v>
      </c>
      <c r="L2106">
        <v>6500</v>
      </c>
      <c r="M2106">
        <v>6500</v>
      </c>
      <c r="N2106" t="s">
        <v>19</v>
      </c>
    </row>
    <row r="2107" spans="1:14" x14ac:dyDescent="0.25">
      <c r="A2107" t="s">
        <v>1486</v>
      </c>
      <c r="B2107" t="s">
        <v>2308</v>
      </c>
      <c r="C2107" t="s">
        <v>155</v>
      </c>
      <c r="D2107" t="s">
        <v>20</v>
      </c>
      <c r="E2107" t="s">
        <v>31</v>
      </c>
      <c r="F2107" t="s">
        <v>15</v>
      </c>
      <c r="G2107" t="s">
        <v>22</v>
      </c>
      <c r="H2107" t="s">
        <v>1222</v>
      </c>
      <c r="I2107" t="s">
        <v>33</v>
      </c>
      <c r="J2107">
        <v>3</v>
      </c>
      <c r="K2107">
        <v>6500</v>
      </c>
      <c r="L2107">
        <v>6500</v>
      </c>
      <c r="M2107">
        <v>19500</v>
      </c>
      <c r="N2107" t="s">
        <v>19</v>
      </c>
    </row>
    <row r="2108" spans="1:14" x14ac:dyDescent="0.25">
      <c r="A2108" t="s">
        <v>1701</v>
      </c>
      <c r="B2108" t="s">
        <v>2309</v>
      </c>
      <c r="C2108" t="s">
        <v>1391</v>
      </c>
      <c r="D2108" t="s">
        <v>1392</v>
      </c>
      <c r="E2108" t="s">
        <v>1393</v>
      </c>
      <c r="F2108" t="s">
        <v>15</v>
      </c>
      <c r="G2108" t="s">
        <v>1024</v>
      </c>
      <c r="H2108" t="s">
        <v>1222</v>
      </c>
      <c r="I2108" t="s">
        <v>1110</v>
      </c>
      <c r="J2108">
        <v>1</v>
      </c>
      <c r="K2108">
        <v>6300</v>
      </c>
      <c r="L2108">
        <v>18000</v>
      </c>
      <c r="M2108">
        <v>18000</v>
      </c>
      <c r="N2108" t="s">
        <v>19</v>
      </c>
    </row>
    <row r="2109" spans="1:14" x14ac:dyDescent="0.25">
      <c r="A2109" t="s">
        <v>1701</v>
      </c>
      <c r="B2109" t="s">
        <v>2309</v>
      </c>
      <c r="C2109" t="s">
        <v>1391</v>
      </c>
      <c r="D2109" t="s">
        <v>1392</v>
      </c>
      <c r="E2109" t="s">
        <v>1393</v>
      </c>
      <c r="F2109" t="s">
        <v>15</v>
      </c>
      <c r="G2109" t="s">
        <v>1024</v>
      </c>
      <c r="H2109" t="s">
        <v>1222</v>
      </c>
      <c r="I2109" t="s">
        <v>1011</v>
      </c>
      <c r="J2109">
        <v>1</v>
      </c>
      <c r="K2109">
        <v>7750</v>
      </c>
      <c r="L2109">
        <v>7750</v>
      </c>
      <c r="M2109">
        <v>7750</v>
      </c>
      <c r="N2109" t="s">
        <v>19</v>
      </c>
    </row>
    <row r="2110" spans="1:14" x14ac:dyDescent="0.25">
      <c r="A2110" t="s">
        <v>1701</v>
      </c>
      <c r="B2110" t="s">
        <v>2309</v>
      </c>
      <c r="C2110" t="s">
        <v>1391</v>
      </c>
      <c r="D2110" t="s">
        <v>1392</v>
      </c>
      <c r="E2110" t="s">
        <v>1393</v>
      </c>
      <c r="F2110" t="s">
        <v>15</v>
      </c>
      <c r="G2110" t="s">
        <v>1024</v>
      </c>
      <c r="H2110" t="s">
        <v>1222</v>
      </c>
      <c r="I2110" t="s">
        <v>24</v>
      </c>
      <c r="J2110">
        <v>1</v>
      </c>
      <c r="K2110">
        <v>7750</v>
      </c>
      <c r="L2110">
        <v>7750</v>
      </c>
      <c r="M2110">
        <v>7750</v>
      </c>
      <c r="N2110" t="s">
        <v>19</v>
      </c>
    </row>
    <row r="2111" spans="1:14" x14ac:dyDescent="0.25">
      <c r="A2111" t="s">
        <v>1701</v>
      </c>
      <c r="B2111" t="s">
        <v>2309</v>
      </c>
      <c r="C2111" t="s">
        <v>1391</v>
      </c>
      <c r="D2111" t="s">
        <v>1392</v>
      </c>
      <c r="E2111" t="s">
        <v>1393</v>
      </c>
      <c r="F2111" t="s">
        <v>15</v>
      </c>
      <c r="G2111" t="s">
        <v>1024</v>
      </c>
      <c r="H2111" t="s">
        <v>1222</v>
      </c>
      <c r="I2111" t="s">
        <v>26</v>
      </c>
      <c r="J2111">
        <v>1</v>
      </c>
      <c r="K2111">
        <v>500</v>
      </c>
      <c r="L2111">
        <v>500</v>
      </c>
      <c r="M2111">
        <v>500</v>
      </c>
      <c r="N2111" t="s">
        <v>19</v>
      </c>
    </row>
    <row r="2112" spans="1:14" x14ac:dyDescent="0.25">
      <c r="A2112" t="s">
        <v>1701</v>
      </c>
      <c r="B2112" t="s">
        <v>2309</v>
      </c>
      <c r="C2112" t="s">
        <v>1391</v>
      </c>
      <c r="D2112" t="s">
        <v>1392</v>
      </c>
      <c r="E2112" t="s">
        <v>1393</v>
      </c>
      <c r="F2112" t="s">
        <v>15</v>
      </c>
      <c r="G2112" t="s">
        <v>1024</v>
      </c>
      <c r="H2112" t="s">
        <v>1222</v>
      </c>
      <c r="I2112" t="s">
        <v>1394</v>
      </c>
      <c r="J2112">
        <v>1</v>
      </c>
      <c r="K2112">
        <v>18700</v>
      </c>
      <c r="L2112">
        <v>26000</v>
      </c>
      <c r="M2112">
        <v>26000</v>
      </c>
      <c r="N2112" t="s">
        <v>19</v>
      </c>
    </row>
    <row r="2113" spans="1:14" x14ac:dyDescent="0.25">
      <c r="A2113" t="s">
        <v>1701</v>
      </c>
      <c r="B2113" t="s">
        <v>2309</v>
      </c>
      <c r="C2113" t="s">
        <v>1391</v>
      </c>
      <c r="D2113" t="s">
        <v>1392</v>
      </c>
      <c r="E2113" t="s">
        <v>1393</v>
      </c>
      <c r="F2113" t="s">
        <v>15</v>
      </c>
      <c r="G2113" t="s">
        <v>1024</v>
      </c>
      <c r="H2113" t="s">
        <v>1222</v>
      </c>
      <c r="I2113" t="s">
        <v>1120</v>
      </c>
      <c r="J2113">
        <v>1</v>
      </c>
      <c r="K2113">
        <v>2334</v>
      </c>
      <c r="L2113">
        <v>3500</v>
      </c>
      <c r="M2113">
        <v>3500</v>
      </c>
      <c r="N2113" t="s">
        <v>19</v>
      </c>
    </row>
    <row r="2114" spans="1:14" x14ac:dyDescent="0.25">
      <c r="A2114" t="s">
        <v>1701</v>
      </c>
      <c r="B2114" t="s">
        <v>2309</v>
      </c>
      <c r="C2114" t="s">
        <v>1391</v>
      </c>
      <c r="D2114" t="s">
        <v>1392</v>
      </c>
      <c r="E2114" t="s">
        <v>1393</v>
      </c>
      <c r="F2114" t="s">
        <v>15</v>
      </c>
      <c r="G2114" t="s">
        <v>1024</v>
      </c>
      <c r="H2114" t="s">
        <v>1222</v>
      </c>
      <c r="I2114" t="s">
        <v>151</v>
      </c>
      <c r="J2114">
        <v>1</v>
      </c>
      <c r="K2114">
        <v>2000</v>
      </c>
      <c r="L2114">
        <v>3000</v>
      </c>
      <c r="M2114">
        <v>3000</v>
      </c>
      <c r="N2114" t="s">
        <v>19</v>
      </c>
    </row>
    <row r="2115" spans="1:14" x14ac:dyDescent="0.25">
      <c r="A2115" t="s">
        <v>1701</v>
      </c>
      <c r="B2115" t="s">
        <v>2309</v>
      </c>
      <c r="C2115" t="s">
        <v>1391</v>
      </c>
      <c r="D2115" t="s">
        <v>1392</v>
      </c>
      <c r="E2115" t="s">
        <v>1393</v>
      </c>
      <c r="F2115" t="s">
        <v>15</v>
      </c>
      <c r="G2115" t="s">
        <v>1024</v>
      </c>
      <c r="H2115" t="s">
        <v>1222</v>
      </c>
      <c r="I2115" t="s">
        <v>1121</v>
      </c>
      <c r="J2115">
        <v>1</v>
      </c>
      <c r="K2115">
        <v>3000</v>
      </c>
      <c r="L2115">
        <v>4000</v>
      </c>
      <c r="M2115">
        <v>4000</v>
      </c>
      <c r="N2115" t="s">
        <v>19</v>
      </c>
    </row>
    <row r="2116" spans="1:14" x14ac:dyDescent="0.25">
      <c r="A2116" t="s">
        <v>1701</v>
      </c>
      <c r="B2116" t="s">
        <v>2309</v>
      </c>
      <c r="C2116" t="s">
        <v>1391</v>
      </c>
      <c r="D2116" t="s">
        <v>1392</v>
      </c>
      <c r="E2116" t="s">
        <v>1393</v>
      </c>
      <c r="F2116" t="s">
        <v>15</v>
      </c>
      <c r="G2116" t="s">
        <v>1024</v>
      </c>
      <c r="H2116" t="s">
        <v>1222</v>
      </c>
      <c r="I2116" t="s">
        <v>1015</v>
      </c>
      <c r="J2116">
        <v>1</v>
      </c>
      <c r="K2116">
        <v>3195</v>
      </c>
      <c r="L2116">
        <v>4300</v>
      </c>
      <c r="M2116">
        <v>4300</v>
      </c>
      <c r="N2116" t="s">
        <v>19</v>
      </c>
    </row>
    <row r="2117" spans="1:14" x14ac:dyDescent="0.25">
      <c r="A2117" t="s">
        <v>1701</v>
      </c>
      <c r="B2117" t="s">
        <v>2309</v>
      </c>
      <c r="C2117" t="s">
        <v>1391</v>
      </c>
      <c r="D2117" t="s">
        <v>1392</v>
      </c>
      <c r="E2117" t="s">
        <v>1393</v>
      </c>
      <c r="F2117" t="s">
        <v>15</v>
      </c>
      <c r="G2117" t="s">
        <v>1024</v>
      </c>
      <c r="H2117" t="s">
        <v>1222</v>
      </c>
      <c r="I2117" t="s">
        <v>85</v>
      </c>
      <c r="J2117">
        <v>1</v>
      </c>
      <c r="K2117">
        <v>1350</v>
      </c>
      <c r="L2117">
        <v>2000</v>
      </c>
      <c r="M2117">
        <v>2000</v>
      </c>
      <c r="N2117" t="s">
        <v>19</v>
      </c>
    </row>
    <row r="2118" spans="1:14" x14ac:dyDescent="0.25">
      <c r="A2118" t="s">
        <v>1701</v>
      </c>
      <c r="B2118" t="s">
        <v>2309</v>
      </c>
      <c r="C2118" t="s">
        <v>1391</v>
      </c>
      <c r="D2118" t="s">
        <v>1392</v>
      </c>
      <c r="E2118" t="s">
        <v>1393</v>
      </c>
      <c r="F2118" t="s">
        <v>15</v>
      </c>
      <c r="G2118" t="s">
        <v>1024</v>
      </c>
      <c r="H2118" t="s">
        <v>1222</v>
      </c>
      <c r="I2118" t="s">
        <v>1016</v>
      </c>
      <c r="J2118">
        <v>1</v>
      </c>
      <c r="K2118">
        <v>8500</v>
      </c>
      <c r="L2118">
        <v>12000</v>
      </c>
      <c r="M2118">
        <v>12000</v>
      </c>
      <c r="N2118" t="s">
        <v>19</v>
      </c>
    </row>
    <row r="2119" spans="1:14" x14ac:dyDescent="0.25">
      <c r="A2119" t="s">
        <v>1701</v>
      </c>
      <c r="B2119" t="s">
        <v>2309</v>
      </c>
      <c r="C2119" t="s">
        <v>1391</v>
      </c>
      <c r="D2119" t="s">
        <v>1392</v>
      </c>
      <c r="E2119" t="s">
        <v>1393</v>
      </c>
      <c r="F2119" t="s">
        <v>15</v>
      </c>
      <c r="G2119" t="s">
        <v>1024</v>
      </c>
      <c r="H2119" t="s">
        <v>1222</v>
      </c>
      <c r="I2119" t="s">
        <v>97</v>
      </c>
      <c r="J2119">
        <v>1</v>
      </c>
      <c r="K2119">
        <v>2200</v>
      </c>
      <c r="L2119">
        <v>3200</v>
      </c>
      <c r="M2119">
        <v>3200</v>
      </c>
      <c r="N2119" t="s">
        <v>19</v>
      </c>
    </row>
    <row r="2120" spans="1:14" x14ac:dyDescent="0.25">
      <c r="A2120" t="s">
        <v>1701</v>
      </c>
      <c r="B2120" t="s">
        <v>2309</v>
      </c>
      <c r="C2120" t="s">
        <v>1391</v>
      </c>
      <c r="D2120" t="s">
        <v>1392</v>
      </c>
      <c r="E2120" t="s">
        <v>1393</v>
      </c>
      <c r="F2120" t="s">
        <v>15</v>
      </c>
      <c r="G2120" t="s">
        <v>1024</v>
      </c>
      <c r="H2120" t="s">
        <v>1222</v>
      </c>
      <c r="I2120" t="s">
        <v>63</v>
      </c>
      <c r="J2120">
        <v>1</v>
      </c>
      <c r="K2120">
        <v>1000</v>
      </c>
      <c r="L2120">
        <v>1000</v>
      </c>
      <c r="M2120">
        <v>1000</v>
      </c>
      <c r="N2120" t="s">
        <v>19</v>
      </c>
    </row>
    <row r="2121" spans="1:14" x14ac:dyDescent="0.25">
      <c r="A2121" t="s">
        <v>1701</v>
      </c>
      <c r="B2121" t="s">
        <v>2309</v>
      </c>
      <c r="C2121" t="s">
        <v>1391</v>
      </c>
      <c r="D2121" t="s">
        <v>1392</v>
      </c>
      <c r="E2121" t="s">
        <v>1393</v>
      </c>
      <c r="F2121" t="s">
        <v>15</v>
      </c>
      <c r="G2121" t="s">
        <v>1024</v>
      </c>
      <c r="H2121" t="s">
        <v>1222</v>
      </c>
      <c r="I2121" t="s">
        <v>331</v>
      </c>
      <c r="J2121">
        <v>1</v>
      </c>
      <c r="K2121">
        <v>8000</v>
      </c>
      <c r="L2121">
        <v>8000</v>
      </c>
      <c r="M2121">
        <v>8000</v>
      </c>
      <c r="N2121" t="s">
        <v>19</v>
      </c>
    </row>
    <row r="2122" spans="1:14" x14ac:dyDescent="0.25">
      <c r="A2122" t="s">
        <v>1477</v>
      </c>
      <c r="B2122" t="s">
        <v>2310</v>
      </c>
      <c r="C2122" t="s">
        <v>172</v>
      </c>
      <c r="D2122" t="s">
        <v>20</v>
      </c>
      <c r="E2122" t="s">
        <v>775</v>
      </c>
      <c r="F2122" t="s">
        <v>15</v>
      </c>
      <c r="G2122" t="s">
        <v>22</v>
      </c>
      <c r="H2122" t="s">
        <v>1236</v>
      </c>
      <c r="I2122" t="s">
        <v>136</v>
      </c>
      <c r="J2122">
        <v>1</v>
      </c>
      <c r="K2122">
        <v>8500</v>
      </c>
      <c r="L2122">
        <v>12000</v>
      </c>
      <c r="M2122">
        <v>12000</v>
      </c>
      <c r="N2122" t="s">
        <v>19</v>
      </c>
    </row>
    <row r="2123" spans="1:14" x14ac:dyDescent="0.25">
      <c r="A2123" t="s">
        <v>1477</v>
      </c>
      <c r="B2123" t="s">
        <v>2310</v>
      </c>
      <c r="C2123" t="s">
        <v>172</v>
      </c>
      <c r="D2123" t="s">
        <v>20</v>
      </c>
      <c r="E2123" t="s">
        <v>775</v>
      </c>
      <c r="F2123" t="s">
        <v>15</v>
      </c>
      <c r="G2123" t="s">
        <v>22</v>
      </c>
      <c r="H2123" t="s">
        <v>1236</v>
      </c>
      <c r="I2123" t="s">
        <v>1237</v>
      </c>
      <c r="J2123">
        <v>1</v>
      </c>
      <c r="K2123">
        <v>3000</v>
      </c>
      <c r="L2123">
        <v>7500</v>
      </c>
      <c r="M2123">
        <v>7500</v>
      </c>
      <c r="N2123" t="s">
        <v>19</v>
      </c>
    </row>
    <row r="2124" spans="1:14" x14ac:dyDescent="0.25">
      <c r="A2124" t="s">
        <v>1477</v>
      </c>
      <c r="B2124" t="s">
        <v>2310</v>
      </c>
      <c r="C2124" t="s">
        <v>172</v>
      </c>
      <c r="D2124" t="s">
        <v>20</v>
      </c>
      <c r="E2124" t="s">
        <v>775</v>
      </c>
      <c r="F2124" t="s">
        <v>15</v>
      </c>
      <c r="G2124" t="s">
        <v>22</v>
      </c>
      <c r="H2124" t="s">
        <v>1236</v>
      </c>
      <c r="I2124" t="s">
        <v>76</v>
      </c>
      <c r="J2124">
        <v>1</v>
      </c>
      <c r="K2124">
        <v>500</v>
      </c>
      <c r="L2124">
        <v>500</v>
      </c>
      <c r="M2124">
        <v>500</v>
      </c>
      <c r="N2124" t="s">
        <v>19</v>
      </c>
    </row>
    <row r="2125" spans="1:14" x14ac:dyDescent="0.25">
      <c r="A2125" t="s">
        <v>1498</v>
      </c>
      <c r="B2125" t="s">
        <v>2311</v>
      </c>
      <c r="C2125" t="s">
        <v>178</v>
      </c>
      <c r="D2125" t="s">
        <v>20</v>
      </c>
      <c r="E2125" t="s">
        <v>21</v>
      </c>
      <c r="F2125" t="s">
        <v>15</v>
      </c>
      <c r="G2125" t="s">
        <v>22</v>
      </c>
      <c r="H2125" t="s">
        <v>1236</v>
      </c>
      <c r="I2125" t="s">
        <v>93</v>
      </c>
      <c r="J2125">
        <v>3</v>
      </c>
      <c r="K2125">
        <v>11000</v>
      </c>
      <c r="L2125">
        <v>50400</v>
      </c>
      <c r="M2125">
        <v>151200</v>
      </c>
      <c r="N2125" t="s">
        <v>19</v>
      </c>
    </row>
    <row r="2126" spans="1:14" x14ac:dyDescent="0.25">
      <c r="A2126" t="s">
        <v>1498</v>
      </c>
      <c r="B2126" t="s">
        <v>2311</v>
      </c>
      <c r="C2126" t="s">
        <v>178</v>
      </c>
      <c r="D2126" t="s">
        <v>20</v>
      </c>
      <c r="E2126" t="s">
        <v>21</v>
      </c>
      <c r="F2126" t="s">
        <v>15</v>
      </c>
      <c r="G2126" t="s">
        <v>22</v>
      </c>
      <c r="H2126" t="s">
        <v>1236</v>
      </c>
      <c r="I2126" t="s">
        <v>76</v>
      </c>
      <c r="J2126">
        <v>1</v>
      </c>
      <c r="K2126">
        <v>600</v>
      </c>
      <c r="L2126">
        <v>600</v>
      </c>
      <c r="M2126">
        <v>600</v>
      </c>
      <c r="N2126" t="s">
        <v>19</v>
      </c>
    </row>
    <row r="2127" spans="1:14" x14ac:dyDescent="0.25">
      <c r="A2127" t="s">
        <v>1609</v>
      </c>
      <c r="B2127" t="s">
        <v>1789</v>
      </c>
      <c r="C2127" t="s">
        <v>184</v>
      </c>
      <c r="D2127" t="s">
        <v>191</v>
      </c>
      <c r="E2127" t="s">
        <v>192</v>
      </c>
      <c r="F2127" t="s">
        <v>15</v>
      </c>
      <c r="G2127" t="s">
        <v>22</v>
      </c>
      <c r="H2127" t="s">
        <v>1236</v>
      </c>
      <c r="I2127" t="s">
        <v>392</v>
      </c>
      <c r="J2127">
        <v>3</v>
      </c>
      <c r="K2127">
        <v>3360</v>
      </c>
      <c r="L2127">
        <v>5800</v>
      </c>
      <c r="M2127">
        <v>17400</v>
      </c>
      <c r="N2127" t="s">
        <v>19</v>
      </c>
    </row>
    <row r="2128" spans="1:14" x14ac:dyDescent="0.25">
      <c r="A2128" t="s">
        <v>1609</v>
      </c>
      <c r="B2128" t="s">
        <v>1789</v>
      </c>
      <c r="C2128" t="s">
        <v>184</v>
      </c>
      <c r="D2128" t="s">
        <v>191</v>
      </c>
      <c r="E2128" t="s">
        <v>192</v>
      </c>
      <c r="F2128" t="s">
        <v>15</v>
      </c>
      <c r="G2128" t="s">
        <v>22</v>
      </c>
      <c r="H2128" t="s">
        <v>1236</v>
      </c>
      <c r="I2128" t="s">
        <v>393</v>
      </c>
      <c r="J2128">
        <v>1</v>
      </c>
      <c r="K2128">
        <v>1500</v>
      </c>
      <c r="L2128">
        <v>1500</v>
      </c>
      <c r="M2128">
        <v>1500</v>
      </c>
      <c r="N2128" t="s">
        <v>19</v>
      </c>
    </row>
    <row r="2129" spans="1:14" x14ac:dyDescent="0.25">
      <c r="A2129" t="s">
        <v>1552</v>
      </c>
      <c r="B2129" t="s">
        <v>2312</v>
      </c>
      <c r="C2129" t="s">
        <v>1224</v>
      </c>
      <c r="D2129" t="s">
        <v>936</v>
      </c>
      <c r="E2129" t="s">
        <v>937</v>
      </c>
      <c r="F2129" t="s">
        <v>1225</v>
      </c>
      <c r="G2129" t="s">
        <v>22</v>
      </c>
      <c r="H2129" t="s">
        <v>1226</v>
      </c>
      <c r="I2129" t="s">
        <v>939</v>
      </c>
      <c r="J2129">
        <v>1</v>
      </c>
      <c r="K2129">
        <v>9850</v>
      </c>
      <c r="L2129">
        <v>13500</v>
      </c>
      <c r="M2129">
        <v>13500</v>
      </c>
      <c r="N2129" t="s">
        <v>39</v>
      </c>
    </row>
    <row r="2130" spans="1:14" x14ac:dyDescent="0.25">
      <c r="A2130" t="s">
        <v>1552</v>
      </c>
      <c r="B2130" t="s">
        <v>2312</v>
      </c>
      <c r="C2130" t="s">
        <v>1224</v>
      </c>
      <c r="D2130" t="s">
        <v>936</v>
      </c>
      <c r="E2130" t="s">
        <v>937</v>
      </c>
      <c r="F2130" t="s">
        <v>1225</v>
      </c>
      <c r="G2130" t="s">
        <v>22</v>
      </c>
      <c r="H2130" t="s">
        <v>1226</v>
      </c>
      <c r="I2130" t="s">
        <v>248</v>
      </c>
      <c r="J2130">
        <v>1</v>
      </c>
      <c r="K2130">
        <v>8500</v>
      </c>
      <c r="L2130">
        <v>12000</v>
      </c>
      <c r="M2130">
        <v>12000</v>
      </c>
      <c r="N2130" t="s">
        <v>39</v>
      </c>
    </row>
    <row r="2131" spans="1:14" x14ac:dyDescent="0.25">
      <c r="A2131" t="s">
        <v>1552</v>
      </c>
      <c r="B2131" t="s">
        <v>2312</v>
      </c>
      <c r="C2131" t="s">
        <v>1224</v>
      </c>
      <c r="D2131" t="s">
        <v>936</v>
      </c>
      <c r="E2131" t="s">
        <v>937</v>
      </c>
      <c r="F2131" t="s">
        <v>1225</v>
      </c>
      <c r="G2131" t="s">
        <v>22</v>
      </c>
      <c r="H2131" t="s">
        <v>1226</v>
      </c>
      <c r="I2131" t="s">
        <v>63</v>
      </c>
      <c r="J2131">
        <v>1</v>
      </c>
      <c r="K2131">
        <v>500</v>
      </c>
      <c r="L2131">
        <v>500</v>
      </c>
      <c r="M2131">
        <v>500</v>
      </c>
      <c r="N2131" t="s">
        <v>39</v>
      </c>
    </row>
    <row r="2132" spans="1:14" x14ac:dyDescent="0.25">
      <c r="A2132" t="s">
        <v>1511</v>
      </c>
      <c r="B2132" t="s">
        <v>2313</v>
      </c>
      <c r="C2132" t="s">
        <v>198</v>
      </c>
      <c r="D2132" t="s">
        <v>20</v>
      </c>
      <c r="E2132" t="s">
        <v>623</v>
      </c>
      <c r="F2132" t="s">
        <v>15</v>
      </c>
      <c r="G2132" t="s">
        <v>22</v>
      </c>
      <c r="H2132" t="s">
        <v>1226</v>
      </c>
      <c r="I2132" t="s">
        <v>154</v>
      </c>
      <c r="J2132">
        <v>1</v>
      </c>
      <c r="K2132">
        <v>1100</v>
      </c>
      <c r="L2132">
        <v>1500</v>
      </c>
      <c r="M2132">
        <v>1500</v>
      </c>
      <c r="N2132" t="s">
        <v>19</v>
      </c>
    </row>
    <row r="2133" spans="1:14" x14ac:dyDescent="0.25">
      <c r="A2133" t="s">
        <v>1511</v>
      </c>
      <c r="B2133" t="s">
        <v>2313</v>
      </c>
      <c r="C2133" t="s">
        <v>198</v>
      </c>
      <c r="D2133" t="s">
        <v>20</v>
      </c>
      <c r="E2133" t="s">
        <v>623</v>
      </c>
      <c r="F2133" t="s">
        <v>15</v>
      </c>
      <c r="G2133" t="s">
        <v>22</v>
      </c>
      <c r="H2133" t="s">
        <v>1226</v>
      </c>
      <c r="I2133" t="s">
        <v>1079</v>
      </c>
      <c r="J2133">
        <v>1</v>
      </c>
      <c r="K2133">
        <v>80</v>
      </c>
      <c r="L2133">
        <v>200</v>
      </c>
      <c r="M2133">
        <v>200</v>
      </c>
      <c r="N2133" t="s">
        <v>19</v>
      </c>
    </row>
    <row r="2134" spans="1:14" x14ac:dyDescent="0.25">
      <c r="A2134" t="s">
        <v>1480</v>
      </c>
      <c r="B2134" t="s">
        <v>2314</v>
      </c>
      <c r="C2134" t="s">
        <v>206</v>
      </c>
      <c r="D2134" t="s">
        <v>20</v>
      </c>
      <c r="E2134" t="s">
        <v>1247</v>
      </c>
      <c r="F2134" t="s">
        <v>15</v>
      </c>
      <c r="G2134" t="s">
        <v>22</v>
      </c>
      <c r="H2134" t="s">
        <v>1226</v>
      </c>
      <c r="I2134" t="s">
        <v>322</v>
      </c>
      <c r="J2134">
        <v>2</v>
      </c>
      <c r="K2134">
        <v>5250</v>
      </c>
      <c r="L2134">
        <v>15000</v>
      </c>
      <c r="M2134">
        <v>30000</v>
      </c>
      <c r="N2134" t="s">
        <v>19</v>
      </c>
    </row>
    <row r="2135" spans="1:14" x14ac:dyDescent="0.25">
      <c r="A2135" t="s">
        <v>1480</v>
      </c>
      <c r="B2135" t="s">
        <v>2314</v>
      </c>
      <c r="C2135" t="s">
        <v>206</v>
      </c>
      <c r="D2135" t="s">
        <v>20</v>
      </c>
      <c r="E2135" t="s">
        <v>1247</v>
      </c>
      <c r="F2135" t="s">
        <v>15</v>
      </c>
      <c r="G2135" t="s">
        <v>22</v>
      </c>
      <c r="H2135" t="s">
        <v>1226</v>
      </c>
      <c r="I2135" t="s">
        <v>170</v>
      </c>
      <c r="J2135">
        <v>2</v>
      </c>
      <c r="K2135">
        <v>28000</v>
      </c>
      <c r="L2135">
        <v>28000</v>
      </c>
      <c r="M2135">
        <v>56000</v>
      </c>
      <c r="N2135" t="s">
        <v>19</v>
      </c>
    </row>
    <row r="2136" spans="1:14" x14ac:dyDescent="0.25">
      <c r="A2136" t="s">
        <v>1480</v>
      </c>
      <c r="B2136" t="s">
        <v>2314</v>
      </c>
      <c r="C2136" t="s">
        <v>206</v>
      </c>
      <c r="D2136" t="s">
        <v>20</v>
      </c>
      <c r="E2136" t="s">
        <v>1247</v>
      </c>
      <c r="F2136" t="s">
        <v>15</v>
      </c>
      <c r="G2136" t="s">
        <v>22</v>
      </c>
      <c r="H2136" t="s">
        <v>1226</v>
      </c>
      <c r="I2136" t="s">
        <v>24</v>
      </c>
      <c r="J2136">
        <v>2</v>
      </c>
      <c r="K2136">
        <v>28000</v>
      </c>
      <c r="L2136">
        <v>28000</v>
      </c>
      <c r="M2136">
        <v>56000</v>
      </c>
      <c r="N2136" t="s">
        <v>19</v>
      </c>
    </row>
    <row r="2137" spans="1:14" x14ac:dyDescent="0.25">
      <c r="A2137" t="s">
        <v>1480</v>
      </c>
      <c r="B2137" t="s">
        <v>2314</v>
      </c>
      <c r="C2137" t="s">
        <v>206</v>
      </c>
      <c r="D2137" t="s">
        <v>20</v>
      </c>
      <c r="E2137" t="s">
        <v>1247</v>
      </c>
      <c r="F2137" t="s">
        <v>15</v>
      </c>
      <c r="G2137" t="s">
        <v>22</v>
      </c>
      <c r="H2137" t="s">
        <v>1226</v>
      </c>
      <c r="I2137" t="s">
        <v>316</v>
      </c>
      <c r="J2137">
        <v>2</v>
      </c>
      <c r="K2137">
        <v>500</v>
      </c>
      <c r="L2137">
        <v>500</v>
      </c>
      <c r="M2137">
        <v>1000</v>
      </c>
      <c r="N2137" t="s">
        <v>19</v>
      </c>
    </row>
    <row r="2138" spans="1:14" x14ac:dyDescent="0.25">
      <c r="A2138" t="s">
        <v>1480</v>
      </c>
      <c r="B2138" t="s">
        <v>2314</v>
      </c>
      <c r="C2138" t="s">
        <v>206</v>
      </c>
      <c r="D2138" t="s">
        <v>20</v>
      </c>
      <c r="E2138" t="s">
        <v>1247</v>
      </c>
      <c r="F2138" t="s">
        <v>15</v>
      </c>
      <c r="G2138" t="s">
        <v>22</v>
      </c>
      <c r="H2138" t="s">
        <v>1226</v>
      </c>
      <c r="I2138" t="s">
        <v>324</v>
      </c>
      <c r="J2138">
        <v>1</v>
      </c>
      <c r="K2138">
        <v>2975</v>
      </c>
      <c r="L2138">
        <v>8500</v>
      </c>
      <c r="M2138">
        <v>8500</v>
      </c>
      <c r="N2138" t="s">
        <v>19</v>
      </c>
    </row>
    <row r="2139" spans="1:14" x14ac:dyDescent="0.25">
      <c r="A2139" t="s">
        <v>1480</v>
      </c>
      <c r="B2139" t="s">
        <v>2314</v>
      </c>
      <c r="C2139" t="s">
        <v>206</v>
      </c>
      <c r="D2139" t="s">
        <v>20</v>
      </c>
      <c r="E2139" t="s">
        <v>1247</v>
      </c>
      <c r="F2139" t="s">
        <v>15</v>
      </c>
      <c r="G2139" t="s">
        <v>22</v>
      </c>
      <c r="H2139" t="s">
        <v>1226</v>
      </c>
      <c r="I2139" t="s">
        <v>170</v>
      </c>
      <c r="J2139">
        <v>1</v>
      </c>
      <c r="K2139">
        <v>30750</v>
      </c>
      <c r="L2139">
        <v>30750</v>
      </c>
      <c r="M2139">
        <v>30750</v>
      </c>
      <c r="N2139" t="s">
        <v>19</v>
      </c>
    </row>
    <row r="2140" spans="1:14" x14ac:dyDescent="0.25">
      <c r="A2140" t="s">
        <v>1480</v>
      </c>
      <c r="B2140" t="s">
        <v>2314</v>
      </c>
      <c r="C2140" t="s">
        <v>206</v>
      </c>
      <c r="D2140" t="s">
        <v>20</v>
      </c>
      <c r="E2140" t="s">
        <v>1247</v>
      </c>
      <c r="F2140" t="s">
        <v>15</v>
      </c>
      <c r="G2140" t="s">
        <v>22</v>
      </c>
      <c r="H2140" t="s">
        <v>1226</v>
      </c>
      <c r="I2140" t="s">
        <v>24</v>
      </c>
      <c r="J2140">
        <v>1</v>
      </c>
      <c r="K2140">
        <v>30750</v>
      </c>
      <c r="L2140">
        <v>30750</v>
      </c>
      <c r="M2140">
        <v>30750</v>
      </c>
      <c r="N2140" t="s">
        <v>19</v>
      </c>
    </row>
    <row r="2141" spans="1:14" x14ac:dyDescent="0.25">
      <c r="A2141" t="s">
        <v>1480</v>
      </c>
      <c r="B2141" t="s">
        <v>2314</v>
      </c>
      <c r="C2141" t="s">
        <v>206</v>
      </c>
      <c r="D2141" t="s">
        <v>20</v>
      </c>
      <c r="E2141" t="s">
        <v>1247</v>
      </c>
      <c r="F2141" t="s">
        <v>15</v>
      </c>
      <c r="G2141" t="s">
        <v>22</v>
      </c>
      <c r="H2141" t="s">
        <v>1226</v>
      </c>
      <c r="I2141" t="s">
        <v>325</v>
      </c>
      <c r="J2141">
        <v>2</v>
      </c>
      <c r="K2141">
        <v>24300</v>
      </c>
      <c r="L2141">
        <v>35000</v>
      </c>
      <c r="M2141">
        <v>70000</v>
      </c>
      <c r="N2141" t="s">
        <v>19</v>
      </c>
    </row>
    <row r="2142" spans="1:14" x14ac:dyDescent="0.25">
      <c r="A2142" t="s">
        <v>1480</v>
      </c>
      <c r="B2142" t="s">
        <v>2314</v>
      </c>
      <c r="C2142" t="s">
        <v>206</v>
      </c>
      <c r="D2142" t="s">
        <v>20</v>
      </c>
      <c r="E2142" t="s">
        <v>1247</v>
      </c>
      <c r="F2142" t="s">
        <v>15</v>
      </c>
      <c r="G2142" t="s">
        <v>22</v>
      </c>
      <c r="H2142" t="s">
        <v>1226</v>
      </c>
      <c r="I2142" t="s">
        <v>116</v>
      </c>
      <c r="J2142">
        <v>1</v>
      </c>
      <c r="K2142">
        <v>1350</v>
      </c>
      <c r="L2142">
        <v>2000</v>
      </c>
      <c r="M2142">
        <v>2000</v>
      </c>
      <c r="N2142" t="s">
        <v>19</v>
      </c>
    </row>
    <row r="2143" spans="1:14" x14ac:dyDescent="0.25">
      <c r="A2143" t="s">
        <v>1480</v>
      </c>
      <c r="B2143" t="s">
        <v>2314</v>
      </c>
      <c r="C2143" t="s">
        <v>206</v>
      </c>
      <c r="D2143" t="s">
        <v>20</v>
      </c>
      <c r="E2143" t="s">
        <v>1247</v>
      </c>
      <c r="F2143" t="s">
        <v>15</v>
      </c>
      <c r="G2143" t="s">
        <v>22</v>
      </c>
      <c r="H2143" t="s">
        <v>1226</v>
      </c>
      <c r="I2143" t="s">
        <v>814</v>
      </c>
      <c r="J2143">
        <v>2</v>
      </c>
      <c r="K2143">
        <v>7500</v>
      </c>
      <c r="L2143">
        <v>10700</v>
      </c>
      <c r="M2143">
        <v>21400</v>
      </c>
      <c r="N2143" t="s">
        <v>19</v>
      </c>
    </row>
    <row r="2144" spans="1:14" x14ac:dyDescent="0.25">
      <c r="A2144" t="s">
        <v>1480</v>
      </c>
      <c r="B2144" t="s">
        <v>2314</v>
      </c>
      <c r="C2144" t="s">
        <v>206</v>
      </c>
      <c r="D2144" t="s">
        <v>20</v>
      </c>
      <c r="E2144" t="s">
        <v>1247</v>
      </c>
      <c r="F2144" t="s">
        <v>15</v>
      </c>
      <c r="G2144" t="s">
        <v>22</v>
      </c>
      <c r="H2144" t="s">
        <v>1226</v>
      </c>
      <c r="I2144" t="s">
        <v>761</v>
      </c>
      <c r="J2144">
        <v>1</v>
      </c>
      <c r="K2144">
        <v>8500</v>
      </c>
      <c r="L2144">
        <v>12000</v>
      </c>
      <c r="M2144">
        <v>12000</v>
      </c>
      <c r="N2144" t="s">
        <v>19</v>
      </c>
    </row>
    <row r="2145" spans="1:14" x14ac:dyDescent="0.25">
      <c r="A2145" t="s">
        <v>1480</v>
      </c>
      <c r="B2145" t="s">
        <v>2314</v>
      </c>
      <c r="C2145" t="s">
        <v>206</v>
      </c>
      <c r="D2145" t="s">
        <v>20</v>
      </c>
      <c r="E2145" t="s">
        <v>1247</v>
      </c>
      <c r="F2145" t="s">
        <v>15</v>
      </c>
      <c r="G2145" t="s">
        <v>22</v>
      </c>
      <c r="H2145" t="s">
        <v>1226</v>
      </c>
      <c r="I2145" t="s">
        <v>328</v>
      </c>
      <c r="J2145">
        <v>1</v>
      </c>
      <c r="K2145">
        <v>24450</v>
      </c>
      <c r="L2145">
        <v>34000</v>
      </c>
      <c r="M2145">
        <v>34000</v>
      </c>
      <c r="N2145" t="s">
        <v>19</v>
      </c>
    </row>
    <row r="2146" spans="1:14" x14ac:dyDescent="0.25">
      <c r="A2146" t="s">
        <v>1480</v>
      </c>
      <c r="B2146" t="s">
        <v>2314</v>
      </c>
      <c r="C2146" t="s">
        <v>206</v>
      </c>
      <c r="D2146" t="s">
        <v>20</v>
      </c>
      <c r="E2146" t="s">
        <v>1247</v>
      </c>
      <c r="F2146" t="s">
        <v>15</v>
      </c>
      <c r="G2146" t="s">
        <v>22</v>
      </c>
      <c r="H2146" t="s">
        <v>1226</v>
      </c>
      <c r="I2146" t="s">
        <v>329</v>
      </c>
      <c r="J2146">
        <v>1</v>
      </c>
      <c r="K2146">
        <v>3195</v>
      </c>
      <c r="L2146">
        <v>4500</v>
      </c>
      <c r="M2146">
        <v>4500</v>
      </c>
      <c r="N2146" t="s">
        <v>19</v>
      </c>
    </row>
    <row r="2147" spans="1:14" x14ac:dyDescent="0.25">
      <c r="A2147" t="s">
        <v>1480</v>
      </c>
      <c r="B2147" t="s">
        <v>2314</v>
      </c>
      <c r="C2147" t="s">
        <v>206</v>
      </c>
      <c r="D2147" t="s">
        <v>20</v>
      </c>
      <c r="E2147" t="s">
        <v>1247</v>
      </c>
      <c r="F2147" t="s">
        <v>15</v>
      </c>
      <c r="G2147" t="s">
        <v>22</v>
      </c>
      <c r="H2147" t="s">
        <v>1226</v>
      </c>
      <c r="I2147" t="s">
        <v>76</v>
      </c>
      <c r="J2147">
        <v>1</v>
      </c>
      <c r="K2147">
        <v>500</v>
      </c>
      <c r="L2147">
        <v>500</v>
      </c>
      <c r="M2147">
        <v>500</v>
      </c>
      <c r="N2147" t="s">
        <v>19</v>
      </c>
    </row>
    <row r="2148" spans="1:14" x14ac:dyDescent="0.25">
      <c r="A2148" t="s">
        <v>1480</v>
      </c>
      <c r="B2148" t="s">
        <v>2314</v>
      </c>
      <c r="C2148" t="s">
        <v>206</v>
      </c>
      <c r="D2148" t="s">
        <v>20</v>
      </c>
      <c r="E2148" t="s">
        <v>1247</v>
      </c>
      <c r="F2148" t="s">
        <v>15</v>
      </c>
      <c r="G2148" t="s">
        <v>22</v>
      </c>
      <c r="H2148" t="s">
        <v>1226</v>
      </c>
      <c r="I2148" t="s">
        <v>331</v>
      </c>
      <c r="J2148">
        <v>1</v>
      </c>
      <c r="K2148">
        <v>32000</v>
      </c>
      <c r="L2148">
        <v>32000</v>
      </c>
      <c r="M2148">
        <v>32000</v>
      </c>
      <c r="N2148" t="s">
        <v>19</v>
      </c>
    </row>
    <row r="2149" spans="1:14" x14ac:dyDescent="0.25">
      <c r="A2149" t="s">
        <v>1480</v>
      </c>
      <c r="B2149" t="s">
        <v>2314</v>
      </c>
      <c r="C2149" t="s">
        <v>206</v>
      </c>
      <c r="D2149" t="s">
        <v>20</v>
      </c>
      <c r="E2149" t="s">
        <v>1247</v>
      </c>
      <c r="F2149" t="s">
        <v>15</v>
      </c>
      <c r="G2149" t="s">
        <v>22</v>
      </c>
      <c r="H2149" t="s">
        <v>1226</v>
      </c>
      <c r="I2149" t="s">
        <v>692</v>
      </c>
      <c r="J2149">
        <v>2</v>
      </c>
      <c r="K2149">
        <v>550</v>
      </c>
      <c r="L2149">
        <v>800</v>
      </c>
      <c r="M2149">
        <v>1600</v>
      </c>
      <c r="N2149" t="s">
        <v>19</v>
      </c>
    </row>
    <row r="2150" spans="1:14" x14ac:dyDescent="0.25">
      <c r="A2150" t="s">
        <v>1664</v>
      </c>
      <c r="B2150" t="s">
        <v>2315</v>
      </c>
      <c r="C2150" t="s">
        <v>1227</v>
      </c>
      <c r="D2150" t="s">
        <v>52</v>
      </c>
      <c r="E2150" t="s">
        <v>53</v>
      </c>
      <c r="F2150" t="s">
        <v>15</v>
      </c>
      <c r="G2150" t="s">
        <v>37</v>
      </c>
      <c r="H2150" t="s">
        <v>1228</v>
      </c>
      <c r="I2150" t="s">
        <v>428</v>
      </c>
      <c r="J2150">
        <v>5</v>
      </c>
      <c r="K2150">
        <v>70</v>
      </c>
      <c r="L2150">
        <v>250</v>
      </c>
      <c r="M2150">
        <v>1250</v>
      </c>
      <c r="N2150" t="s">
        <v>39</v>
      </c>
    </row>
    <row r="2151" spans="1:14" x14ac:dyDescent="0.25">
      <c r="A2151" t="s">
        <v>1586</v>
      </c>
      <c r="B2151" t="s">
        <v>2316</v>
      </c>
      <c r="C2151" t="s">
        <v>1191</v>
      </c>
      <c r="D2151" t="s">
        <v>1117</v>
      </c>
      <c r="E2151" t="s">
        <v>1118</v>
      </c>
      <c r="F2151" t="s">
        <v>1395</v>
      </c>
      <c r="G2151" t="s">
        <v>1024</v>
      </c>
      <c r="H2151" t="s">
        <v>1396</v>
      </c>
      <c r="I2151" t="s">
        <v>1153</v>
      </c>
      <c r="J2151">
        <v>1</v>
      </c>
      <c r="K2151">
        <v>6300</v>
      </c>
      <c r="L2151">
        <v>18000</v>
      </c>
      <c r="M2151">
        <v>18000</v>
      </c>
      <c r="N2151" t="s">
        <v>1010</v>
      </c>
    </row>
    <row r="2152" spans="1:14" x14ac:dyDescent="0.25">
      <c r="A2152" t="s">
        <v>1586</v>
      </c>
      <c r="B2152" t="s">
        <v>2316</v>
      </c>
      <c r="C2152" t="s">
        <v>1191</v>
      </c>
      <c r="D2152" t="s">
        <v>1117</v>
      </c>
      <c r="E2152" t="s">
        <v>1118</v>
      </c>
      <c r="F2152" t="s">
        <v>1395</v>
      </c>
      <c r="G2152" t="s">
        <v>1024</v>
      </c>
      <c r="H2152" t="s">
        <v>1396</v>
      </c>
      <c r="I2152" t="s">
        <v>1011</v>
      </c>
      <c r="J2152">
        <v>1</v>
      </c>
      <c r="K2152">
        <v>5500</v>
      </c>
      <c r="L2152">
        <v>5500</v>
      </c>
      <c r="M2152">
        <v>5500</v>
      </c>
      <c r="N2152" t="s">
        <v>1010</v>
      </c>
    </row>
    <row r="2153" spans="1:14" x14ac:dyDescent="0.25">
      <c r="A2153" t="s">
        <v>1586</v>
      </c>
      <c r="B2153" t="s">
        <v>2316</v>
      </c>
      <c r="C2153" t="s">
        <v>1191</v>
      </c>
      <c r="D2153" t="s">
        <v>1117</v>
      </c>
      <c r="E2153" t="s">
        <v>1118</v>
      </c>
      <c r="F2153" t="s">
        <v>1395</v>
      </c>
      <c r="G2153" t="s">
        <v>1024</v>
      </c>
      <c r="H2153" t="s">
        <v>1396</v>
      </c>
      <c r="I2153" t="s">
        <v>24</v>
      </c>
      <c r="J2153">
        <v>1</v>
      </c>
      <c r="K2153">
        <v>5500</v>
      </c>
      <c r="L2153">
        <v>5500</v>
      </c>
      <c r="M2153">
        <v>5500</v>
      </c>
      <c r="N2153" t="s">
        <v>1010</v>
      </c>
    </row>
    <row r="2154" spans="1:14" x14ac:dyDescent="0.25">
      <c r="A2154" t="s">
        <v>1586</v>
      </c>
      <c r="B2154" t="s">
        <v>2316</v>
      </c>
      <c r="C2154" t="s">
        <v>1191</v>
      </c>
      <c r="D2154" t="s">
        <v>1117</v>
      </c>
      <c r="E2154" t="s">
        <v>1118</v>
      </c>
      <c r="F2154" t="s">
        <v>1395</v>
      </c>
      <c r="G2154" t="s">
        <v>1024</v>
      </c>
      <c r="H2154" t="s">
        <v>1396</v>
      </c>
      <c r="I2154" t="s">
        <v>26</v>
      </c>
      <c r="J2154">
        <v>1</v>
      </c>
      <c r="K2154">
        <v>500</v>
      </c>
      <c r="L2154">
        <v>500</v>
      </c>
      <c r="M2154">
        <v>500</v>
      </c>
      <c r="N2154" t="s">
        <v>1010</v>
      </c>
    </row>
    <row r="2155" spans="1:14" x14ac:dyDescent="0.25">
      <c r="A2155" t="s">
        <v>1586</v>
      </c>
      <c r="B2155" t="s">
        <v>2316</v>
      </c>
      <c r="C2155" t="s">
        <v>1191</v>
      </c>
      <c r="D2155" t="s">
        <v>1117</v>
      </c>
      <c r="E2155" t="s">
        <v>1118</v>
      </c>
      <c r="F2155" t="s">
        <v>1395</v>
      </c>
      <c r="G2155" t="s">
        <v>1024</v>
      </c>
      <c r="H2155" t="s">
        <v>1396</v>
      </c>
      <c r="I2155" t="s">
        <v>1389</v>
      </c>
      <c r="J2155">
        <v>1</v>
      </c>
      <c r="K2155">
        <v>24640</v>
      </c>
      <c r="L2155">
        <v>25000</v>
      </c>
      <c r="M2155">
        <v>25000</v>
      </c>
      <c r="N2155" t="s">
        <v>1010</v>
      </c>
    </row>
    <row r="2156" spans="1:14" x14ac:dyDescent="0.25">
      <c r="A2156" t="s">
        <v>1586</v>
      </c>
      <c r="B2156" t="s">
        <v>2316</v>
      </c>
      <c r="C2156" t="s">
        <v>1191</v>
      </c>
      <c r="D2156" t="s">
        <v>1117</v>
      </c>
      <c r="E2156" t="s">
        <v>1118</v>
      </c>
      <c r="F2156" t="s">
        <v>1395</v>
      </c>
      <c r="G2156" t="s">
        <v>1024</v>
      </c>
      <c r="H2156" t="s">
        <v>1396</v>
      </c>
      <c r="I2156" t="s">
        <v>189</v>
      </c>
      <c r="J2156">
        <v>1</v>
      </c>
      <c r="K2156">
        <v>500</v>
      </c>
      <c r="L2156">
        <v>600</v>
      </c>
      <c r="M2156">
        <v>600</v>
      </c>
      <c r="N2156" t="s">
        <v>1010</v>
      </c>
    </row>
    <row r="2157" spans="1:14" x14ac:dyDescent="0.25">
      <c r="A2157" t="s">
        <v>1586</v>
      </c>
      <c r="B2157" t="s">
        <v>2316</v>
      </c>
      <c r="C2157" t="s">
        <v>1191</v>
      </c>
      <c r="D2157" t="s">
        <v>1117</v>
      </c>
      <c r="E2157" t="s">
        <v>1118</v>
      </c>
      <c r="F2157" t="s">
        <v>1395</v>
      </c>
      <c r="G2157" t="s">
        <v>1024</v>
      </c>
      <c r="H2157" t="s">
        <v>1396</v>
      </c>
      <c r="I2157" t="s">
        <v>1014</v>
      </c>
      <c r="J2157">
        <v>1</v>
      </c>
      <c r="K2157">
        <v>970</v>
      </c>
      <c r="L2157">
        <v>1200</v>
      </c>
      <c r="M2157">
        <v>1200</v>
      </c>
      <c r="N2157" t="s">
        <v>1010</v>
      </c>
    </row>
    <row r="2158" spans="1:14" x14ac:dyDescent="0.25">
      <c r="A2158" t="s">
        <v>1586</v>
      </c>
      <c r="B2158" t="s">
        <v>2316</v>
      </c>
      <c r="C2158" t="s">
        <v>1191</v>
      </c>
      <c r="D2158" t="s">
        <v>1117</v>
      </c>
      <c r="E2158" t="s">
        <v>1118</v>
      </c>
      <c r="F2158" t="s">
        <v>1395</v>
      </c>
      <c r="G2158" t="s">
        <v>1024</v>
      </c>
      <c r="H2158" t="s">
        <v>1396</v>
      </c>
      <c r="I2158" t="s">
        <v>1015</v>
      </c>
      <c r="J2158">
        <v>1</v>
      </c>
      <c r="K2158">
        <v>4250</v>
      </c>
      <c r="L2158">
        <v>4700</v>
      </c>
      <c r="M2158">
        <v>4700</v>
      </c>
      <c r="N2158" t="s">
        <v>1010</v>
      </c>
    </row>
    <row r="2159" spans="1:14" x14ac:dyDescent="0.25">
      <c r="A2159" t="s">
        <v>1586</v>
      </c>
      <c r="B2159" t="s">
        <v>2316</v>
      </c>
      <c r="C2159" t="s">
        <v>1191</v>
      </c>
      <c r="D2159" t="s">
        <v>1117</v>
      </c>
      <c r="E2159" t="s">
        <v>1118</v>
      </c>
      <c r="F2159" t="s">
        <v>1395</v>
      </c>
      <c r="G2159" t="s">
        <v>1024</v>
      </c>
      <c r="H2159" t="s">
        <v>1396</v>
      </c>
      <c r="I2159" t="s">
        <v>85</v>
      </c>
      <c r="J2159">
        <v>1</v>
      </c>
      <c r="K2159">
        <v>1350</v>
      </c>
      <c r="L2159">
        <v>1700</v>
      </c>
      <c r="M2159">
        <v>1700</v>
      </c>
      <c r="N2159" t="s">
        <v>1010</v>
      </c>
    </row>
    <row r="2160" spans="1:14" x14ac:dyDescent="0.25">
      <c r="A2160" t="s">
        <v>1586</v>
      </c>
      <c r="B2160" t="s">
        <v>2316</v>
      </c>
      <c r="C2160" t="s">
        <v>1191</v>
      </c>
      <c r="D2160" t="s">
        <v>1117</v>
      </c>
      <c r="E2160" t="s">
        <v>1118</v>
      </c>
      <c r="F2160" t="s">
        <v>1395</v>
      </c>
      <c r="G2160" t="s">
        <v>1024</v>
      </c>
      <c r="H2160" t="s">
        <v>1396</v>
      </c>
      <c r="I2160" t="s">
        <v>1016</v>
      </c>
      <c r="J2160">
        <v>1</v>
      </c>
      <c r="K2160">
        <v>8500</v>
      </c>
      <c r="L2160">
        <v>10000</v>
      </c>
      <c r="M2160">
        <v>10000</v>
      </c>
      <c r="N2160" t="s">
        <v>1010</v>
      </c>
    </row>
    <row r="2161" spans="1:14" x14ac:dyDescent="0.25">
      <c r="A2161" t="s">
        <v>1586</v>
      </c>
      <c r="B2161" t="s">
        <v>2316</v>
      </c>
      <c r="C2161" t="s">
        <v>1191</v>
      </c>
      <c r="D2161" t="s">
        <v>1117</v>
      </c>
      <c r="E2161" t="s">
        <v>1118</v>
      </c>
      <c r="F2161" t="s">
        <v>1395</v>
      </c>
      <c r="G2161" t="s">
        <v>1024</v>
      </c>
      <c r="H2161" t="s">
        <v>1396</v>
      </c>
      <c r="I2161" t="s">
        <v>97</v>
      </c>
      <c r="J2161">
        <v>1</v>
      </c>
      <c r="K2161">
        <v>2200</v>
      </c>
      <c r="L2161">
        <v>3000</v>
      </c>
      <c r="M2161">
        <v>3000</v>
      </c>
      <c r="N2161" t="s">
        <v>1010</v>
      </c>
    </row>
    <row r="2162" spans="1:14" x14ac:dyDescent="0.25">
      <c r="A2162" t="s">
        <v>1586</v>
      </c>
      <c r="B2162" t="s">
        <v>2316</v>
      </c>
      <c r="C2162" t="s">
        <v>1191</v>
      </c>
      <c r="D2162" t="s">
        <v>1117</v>
      </c>
      <c r="E2162" t="s">
        <v>1118</v>
      </c>
      <c r="F2162" t="s">
        <v>1395</v>
      </c>
      <c r="G2162" t="s">
        <v>1024</v>
      </c>
      <c r="H2162" t="s">
        <v>1396</v>
      </c>
      <c r="I2162" t="s">
        <v>1121</v>
      </c>
      <c r="J2162">
        <v>1</v>
      </c>
      <c r="K2162">
        <v>3000</v>
      </c>
      <c r="L2162">
        <v>3800</v>
      </c>
      <c r="M2162">
        <v>3800</v>
      </c>
      <c r="N2162" t="s">
        <v>1010</v>
      </c>
    </row>
    <row r="2163" spans="1:14" x14ac:dyDescent="0.25">
      <c r="A2163" t="s">
        <v>1586</v>
      </c>
      <c r="B2163" t="s">
        <v>2316</v>
      </c>
      <c r="C2163" t="s">
        <v>1191</v>
      </c>
      <c r="D2163" t="s">
        <v>1117</v>
      </c>
      <c r="E2163" t="s">
        <v>1118</v>
      </c>
      <c r="F2163" t="s">
        <v>1395</v>
      </c>
      <c r="G2163" t="s">
        <v>1024</v>
      </c>
      <c r="H2163" t="s">
        <v>1396</v>
      </c>
      <c r="I2163" t="s">
        <v>63</v>
      </c>
      <c r="J2163">
        <v>1</v>
      </c>
      <c r="K2163">
        <v>500</v>
      </c>
      <c r="L2163">
        <v>500</v>
      </c>
      <c r="M2163">
        <v>500</v>
      </c>
      <c r="N2163" t="s">
        <v>1010</v>
      </c>
    </row>
    <row r="2164" spans="1:14" x14ac:dyDescent="0.25">
      <c r="A2164" t="s">
        <v>1711</v>
      </c>
      <c r="B2164" t="s">
        <v>2317</v>
      </c>
      <c r="C2164" t="s">
        <v>1193</v>
      </c>
      <c r="D2164" t="s">
        <v>1022</v>
      </c>
      <c r="E2164" t="s">
        <v>1023</v>
      </c>
      <c r="F2164" t="s">
        <v>15</v>
      </c>
      <c r="G2164" t="s">
        <v>1076</v>
      </c>
      <c r="H2164" t="s">
        <v>1396</v>
      </c>
      <c r="I2164" t="s">
        <v>154</v>
      </c>
      <c r="J2164">
        <v>1</v>
      </c>
      <c r="K2164">
        <v>1100</v>
      </c>
      <c r="L2164">
        <v>1500</v>
      </c>
      <c r="M2164">
        <v>1500</v>
      </c>
      <c r="N2164" t="s">
        <v>19</v>
      </c>
    </row>
    <row r="2165" spans="1:14" x14ac:dyDescent="0.25">
      <c r="A2165" t="s">
        <v>1711</v>
      </c>
      <c r="B2165" t="s">
        <v>2317</v>
      </c>
      <c r="C2165" t="s">
        <v>1193</v>
      </c>
      <c r="D2165" t="s">
        <v>1022</v>
      </c>
      <c r="E2165" t="s">
        <v>1023</v>
      </c>
      <c r="F2165" t="s">
        <v>15</v>
      </c>
      <c r="G2165" t="s">
        <v>1076</v>
      </c>
      <c r="H2165" t="s">
        <v>1396</v>
      </c>
      <c r="I2165" t="s">
        <v>1078</v>
      </c>
      <c r="J2165">
        <v>1</v>
      </c>
      <c r="K2165">
        <v>30</v>
      </c>
      <c r="L2165">
        <v>200</v>
      </c>
      <c r="M2165">
        <v>200</v>
      </c>
      <c r="N2165" t="s">
        <v>19</v>
      </c>
    </row>
    <row r="2166" spans="1:14" x14ac:dyDescent="0.25">
      <c r="A2166" t="s">
        <v>1666</v>
      </c>
      <c r="B2166" t="s">
        <v>2318</v>
      </c>
      <c r="C2166" t="s">
        <v>1229</v>
      </c>
      <c r="D2166" t="s">
        <v>544</v>
      </c>
      <c r="E2166" t="s">
        <v>547</v>
      </c>
      <c r="F2166" t="s">
        <v>15</v>
      </c>
      <c r="G2166" t="s">
        <v>37</v>
      </c>
      <c r="H2166" t="s">
        <v>1230</v>
      </c>
      <c r="I2166" t="s">
        <v>97</v>
      </c>
      <c r="J2166">
        <v>1</v>
      </c>
      <c r="K2166">
        <v>2200</v>
      </c>
      <c r="L2166">
        <v>3150</v>
      </c>
      <c r="M2166">
        <v>3150</v>
      </c>
      <c r="N2166" t="s">
        <v>19</v>
      </c>
    </row>
    <row r="2167" spans="1:14" x14ac:dyDescent="0.25">
      <c r="A2167" t="s">
        <v>1666</v>
      </c>
      <c r="B2167" t="s">
        <v>2318</v>
      </c>
      <c r="C2167" t="s">
        <v>1229</v>
      </c>
      <c r="D2167" t="s">
        <v>544</v>
      </c>
      <c r="E2167" t="s">
        <v>547</v>
      </c>
      <c r="F2167" t="s">
        <v>15</v>
      </c>
      <c r="G2167" t="s">
        <v>37</v>
      </c>
      <c r="H2167" t="s">
        <v>1230</v>
      </c>
      <c r="I2167" t="s">
        <v>63</v>
      </c>
      <c r="J2167">
        <v>1</v>
      </c>
      <c r="K2167">
        <v>300</v>
      </c>
      <c r="L2167">
        <v>300</v>
      </c>
      <c r="M2167">
        <v>300</v>
      </c>
      <c r="N2167" t="s">
        <v>19</v>
      </c>
    </row>
    <row r="2168" spans="1:14" x14ac:dyDescent="0.25">
      <c r="A2168" t="s">
        <v>1499</v>
      </c>
      <c r="B2168" t="s">
        <v>2319</v>
      </c>
      <c r="C2168" t="s">
        <v>208</v>
      </c>
      <c r="D2168" t="s">
        <v>20</v>
      </c>
      <c r="E2168" t="s">
        <v>1259</v>
      </c>
      <c r="F2168" t="s">
        <v>15</v>
      </c>
      <c r="G2168" t="s">
        <v>22</v>
      </c>
      <c r="H2168" t="s">
        <v>1230</v>
      </c>
      <c r="I2168" t="s">
        <v>322</v>
      </c>
      <c r="J2168">
        <v>1</v>
      </c>
      <c r="K2168">
        <v>5250</v>
      </c>
      <c r="L2168">
        <v>15000</v>
      </c>
      <c r="M2168">
        <v>15000</v>
      </c>
      <c r="N2168" t="s">
        <v>19</v>
      </c>
    </row>
    <row r="2169" spans="1:14" x14ac:dyDescent="0.25">
      <c r="A2169" t="s">
        <v>1499</v>
      </c>
      <c r="B2169" t="s">
        <v>2319</v>
      </c>
      <c r="C2169" t="s">
        <v>208</v>
      </c>
      <c r="D2169" t="s">
        <v>20</v>
      </c>
      <c r="E2169" t="s">
        <v>1259</v>
      </c>
      <c r="F2169" t="s">
        <v>15</v>
      </c>
      <c r="G2169" t="s">
        <v>22</v>
      </c>
      <c r="H2169" t="s">
        <v>1230</v>
      </c>
      <c r="I2169" t="s">
        <v>170</v>
      </c>
      <c r="J2169">
        <v>1</v>
      </c>
      <c r="K2169">
        <v>15000</v>
      </c>
      <c r="L2169">
        <v>15000</v>
      </c>
      <c r="M2169">
        <v>15000</v>
      </c>
      <c r="N2169" t="s">
        <v>19</v>
      </c>
    </row>
    <row r="2170" spans="1:14" x14ac:dyDescent="0.25">
      <c r="A2170" t="s">
        <v>1499</v>
      </c>
      <c r="B2170" t="s">
        <v>2319</v>
      </c>
      <c r="C2170" t="s">
        <v>208</v>
      </c>
      <c r="D2170" t="s">
        <v>20</v>
      </c>
      <c r="E2170" t="s">
        <v>1259</v>
      </c>
      <c r="F2170" t="s">
        <v>15</v>
      </c>
      <c r="G2170" t="s">
        <v>22</v>
      </c>
      <c r="H2170" t="s">
        <v>1230</v>
      </c>
      <c r="I2170" t="s">
        <v>24</v>
      </c>
      <c r="J2170">
        <v>1</v>
      </c>
      <c r="K2170">
        <v>15000</v>
      </c>
      <c r="L2170">
        <v>15000</v>
      </c>
      <c r="M2170">
        <v>15000</v>
      </c>
      <c r="N2170" t="s">
        <v>19</v>
      </c>
    </row>
    <row r="2171" spans="1:14" x14ac:dyDescent="0.25">
      <c r="A2171" t="s">
        <v>1499</v>
      </c>
      <c r="B2171" t="s">
        <v>2319</v>
      </c>
      <c r="C2171" t="s">
        <v>208</v>
      </c>
      <c r="D2171" t="s">
        <v>20</v>
      </c>
      <c r="E2171" t="s">
        <v>1259</v>
      </c>
      <c r="F2171" t="s">
        <v>15</v>
      </c>
      <c r="G2171" t="s">
        <v>22</v>
      </c>
      <c r="H2171" t="s">
        <v>1230</v>
      </c>
      <c r="I2171" t="s">
        <v>316</v>
      </c>
      <c r="J2171">
        <v>1</v>
      </c>
      <c r="K2171">
        <v>500</v>
      </c>
      <c r="L2171">
        <v>500</v>
      </c>
      <c r="M2171">
        <v>500</v>
      </c>
      <c r="N2171" t="s">
        <v>19</v>
      </c>
    </row>
    <row r="2172" spans="1:14" x14ac:dyDescent="0.25">
      <c r="A2172" t="s">
        <v>1499</v>
      </c>
      <c r="B2172" t="s">
        <v>2319</v>
      </c>
      <c r="C2172" t="s">
        <v>208</v>
      </c>
      <c r="D2172" t="s">
        <v>20</v>
      </c>
      <c r="E2172" t="s">
        <v>1259</v>
      </c>
      <c r="F2172" t="s">
        <v>15</v>
      </c>
      <c r="G2172" t="s">
        <v>22</v>
      </c>
      <c r="H2172" t="s">
        <v>1230</v>
      </c>
      <c r="I2172" t="s">
        <v>324</v>
      </c>
      <c r="J2172">
        <v>1</v>
      </c>
      <c r="K2172">
        <v>2975</v>
      </c>
      <c r="L2172">
        <v>8500</v>
      </c>
      <c r="M2172">
        <v>8500</v>
      </c>
      <c r="N2172" t="s">
        <v>19</v>
      </c>
    </row>
    <row r="2173" spans="1:14" x14ac:dyDescent="0.25">
      <c r="A2173" t="s">
        <v>1499</v>
      </c>
      <c r="B2173" t="s">
        <v>2319</v>
      </c>
      <c r="C2173" t="s">
        <v>208</v>
      </c>
      <c r="D2173" t="s">
        <v>20</v>
      </c>
      <c r="E2173" t="s">
        <v>1259</v>
      </c>
      <c r="F2173" t="s">
        <v>15</v>
      </c>
      <c r="G2173" t="s">
        <v>22</v>
      </c>
      <c r="H2173" t="s">
        <v>1230</v>
      </c>
      <c r="I2173" t="s">
        <v>170</v>
      </c>
      <c r="J2173">
        <v>1</v>
      </c>
      <c r="K2173">
        <v>30000</v>
      </c>
      <c r="L2173">
        <v>30000</v>
      </c>
      <c r="M2173">
        <v>30000</v>
      </c>
      <c r="N2173" t="s">
        <v>19</v>
      </c>
    </row>
    <row r="2174" spans="1:14" x14ac:dyDescent="0.25">
      <c r="A2174" t="s">
        <v>1499</v>
      </c>
      <c r="B2174" t="s">
        <v>2319</v>
      </c>
      <c r="C2174" t="s">
        <v>208</v>
      </c>
      <c r="D2174" t="s">
        <v>20</v>
      </c>
      <c r="E2174" t="s">
        <v>1259</v>
      </c>
      <c r="F2174" t="s">
        <v>15</v>
      </c>
      <c r="G2174" t="s">
        <v>22</v>
      </c>
      <c r="H2174" t="s">
        <v>1230</v>
      </c>
      <c r="I2174" t="s">
        <v>24</v>
      </c>
      <c r="J2174">
        <v>1</v>
      </c>
      <c r="K2174">
        <v>30000</v>
      </c>
      <c r="L2174">
        <v>30000</v>
      </c>
      <c r="M2174">
        <v>30000</v>
      </c>
      <c r="N2174" t="s">
        <v>19</v>
      </c>
    </row>
    <row r="2175" spans="1:14" x14ac:dyDescent="0.25">
      <c r="A2175" t="s">
        <v>1499</v>
      </c>
      <c r="B2175" t="s">
        <v>2319</v>
      </c>
      <c r="C2175" t="s">
        <v>208</v>
      </c>
      <c r="D2175" t="s">
        <v>20</v>
      </c>
      <c r="E2175" t="s">
        <v>1259</v>
      </c>
      <c r="F2175" t="s">
        <v>15</v>
      </c>
      <c r="G2175" t="s">
        <v>22</v>
      </c>
      <c r="H2175" t="s">
        <v>1230</v>
      </c>
      <c r="I2175" t="s">
        <v>325</v>
      </c>
      <c r="J2175">
        <v>1</v>
      </c>
      <c r="K2175">
        <v>24300</v>
      </c>
      <c r="L2175">
        <v>35000</v>
      </c>
      <c r="M2175">
        <v>35000</v>
      </c>
      <c r="N2175" t="s">
        <v>19</v>
      </c>
    </row>
    <row r="2176" spans="1:14" x14ac:dyDescent="0.25">
      <c r="A2176" t="s">
        <v>1499</v>
      </c>
      <c r="B2176" t="s">
        <v>2319</v>
      </c>
      <c r="C2176" t="s">
        <v>208</v>
      </c>
      <c r="D2176" t="s">
        <v>20</v>
      </c>
      <c r="E2176" t="s">
        <v>1259</v>
      </c>
      <c r="F2176" t="s">
        <v>15</v>
      </c>
      <c r="G2176" t="s">
        <v>22</v>
      </c>
      <c r="H2176" t="s">
        <v>1230</v>
      </c>
      <c r="I2176" t="s">
        <v>116</v>
      </c>
      <c r="J2176">
        <v>1</v>
      </c>
      <c r="K2176">
        <v>1350</v>
      </c>
      <c r="L2176">
        <v>2000</v>
      </c>
      <c r="M2176">
        <v>2000</v>
      </c>
      <c r="N2176" t="s">
        <v>19</v>
      </c>
    </row>
    <row r="2177" spans="1:14" x14ac:dyDescent="0.25">
      <c r="A2177" t="s">
        <v>1499</v>
      </c>
      <c r="B2177" t="s">
        <v>2319</v>
      </c>
      <c r="C2177" t="s">
        <v>208</v>
      </c>
      <c r="D2177" t="s">
        <v>20</v>
      </c>
      <c r="E2177" t="s">
        <v>1259</v>
      </c>
      <c r="F2177" t="s">
        <v>15</v>
      </c>
      <c r="G2177" t="s">
        <v>22</v>
      </c>
      <c r="H2177" t="s">
        <v>1230</v>
      </c>
      <c r="I2177" t="s">
        <v>814</v>
      </c>
      <c r="J2177">
        <v>1</v>
      </c>
      <c r="K2177">
        <v>7500</v>
      </c>
      <c r="L2177">
        <v>10200</v>
      </c>
      <c r="M2177">
        <v>10200</v>
      </c>
      <c r="N2177" t="s">
        <v>19</v>
      </c>
    </row>
    <row r="2178" spans="1:14" x14ac:dyDescent="0.25">
      <c r="A2178" t="s">
        <v>1499</v>
      </c>
      <c r="B2178" t="s">
        <v>2319</v>
      </c>
      <c r="C2178" t="s">
        <v>208</v>
      </c>
      <c r="D2178" t="s">
        <v>20</v>
      </c>
      <c r="E2178" t="s">
        <v>1259</v>
      </c>
      <c r="F2178" t="s">
        <v>15</v>
      </c>
      <c r="G2178" t="s">
        <v>22</v>
      </c>
      <c r="H2178" t="s">
        <v>1230</v>
      </c>
      <c r="I2178" t="s">
        <v>761</v>
      </c>
      <c r="J2178">
        <v>1</v>
      </c>
      <c r="K2178">
        <v>8500</v>
      </c>
      <c r="L2178">
        <v>12000</v>
      </c>
      <c r="M2178">
        <v>12000</v>
      </c>
      <c r="N2178" t="s">
        <v>19</v>
      </c>
    </row>
    <row r="2179" spans="1:14" x14ac:dyDescent="0.25">
      <c r="A2179" t="s">
        <v>1499</v>
      </c>
      <c r="B2179" t="s">
        <v>2319</v>
      </c>
      <c r="C2179" t="s">
        <v>208</v>
      </c>
      <c r="D2179" t="s">
        <v>20</v>
      </c>
      <c r="E2179" t="s">
        <v>1259</v>
      </c>
      <c r="F2179" t="s">
        <v>15</v>
      </c>
      <c r="G2179" t="s">
        <v>22</v>
      </c>
      <c r="H2179" t="s">
        <v>1230</v>
      </c>
      <c r="I2179" t="s">
        <v>328</v>
      </c>
      <c r="J2179">
        <v>1</v>
      </c>
      <c r="K2179">
        <v>24450</v>
      </c>
      <c r="L2179">
        <v>34000</v>
      </c>
      <c r="M2179">
        <v>34000</v>
      </c>
      <c r="N2179" t="s">
        <v>19</v>
      </c>
    </row>
    <row r="2180" spans="1:14" x14ac:dyDescent="0.25">
      <c r="A2180" t="s">
        <v>1499</v>
      </c>
      <c r="B2180" t="s">
        <v>2319</v>
      </c>
      <c r="C2180" t="s">
        <v>208</v>
      </c>
      <c r="D2180" t="s">
        <v>20</v>
      </c>
      <c r="E2180" t="s">
        <v>1259</v>
      </c>
      <c r="F2180" t="s">
        <v>15</v>
      </c>
      <c r="G2180" t="s">
        <v>22</v>
      </c>
      <c r="H2180" t="s">
        <v>1230</v>
      </c>
      <c r="I2180" t="s">
        <v>329</v>
      </c>
      <c r="J2180">
        <v>1</v>
      </c>
      <c r="K2180">
        <v>3195</v>
      </c>
      <c r="L2180">
        <v>4500</v>
      </c>
      <c r="M2180">
        <v>4500</v>
      </c>
      <c r="N2180" t="s">
        <v>19</v>
      </c>
    </row>
    <row r="2181" spans="1:14" x14ac:dyDescent="0.25">
      <c r="A2181" t="s">
        <v>1499</v>
      </c>
      <c r="B2181" t="s">
        <v>2319</v>
      </c>
      <c r="C2181" t="s">
        <v>208</v>
      </c>
      <c r="D2181" t="s">
        <v>20</v>
      </c>
      <c r="E2181" t="s">
        <v>1259</v>
      </c>
      <c r="F2181" t="s">
        <v>15</v>
      </c>
      <c r="G2181" t="s">
        <v>22</v>
      </c>
      <c r="H2181" t="s">
        <v>1230</v>
      </c>
      <c r="I2181" t="s">
        <v>76</v>
      </c>
      <c r="J2181">
        <v>1</v>
      </c>
      <c r="K2181">
        <v>500</v>
      </c>
      <c r="L2181">
        <v>500</v>
      </c>
      <c r="M2181">
        <v>500</v>
      </c>
      <c r="N2181" t="s">
        <v>19</v>
      </c>
    </row>
    <row r="2182" spans="1:14" x14ac:dyDescent="0.25">
      <c r="A2182" t="s">
        <v>1499</v>
      </c>
      <c r="B2182" t="s">
        <v>2319</v>
      </c>
      <c r="C2182" t="s">
        <v>208</v>
      </c>
      <c r="D2182" t="s">
        <v>20</v>
      </c>
      <c r="E2182" t="s">
        <v>1259</v>
      </c>
      <c r="F2182" t="s">
        <v>15</v>
      </c>
      <c r="G2182" t="s">
        <v>22</v>
      </c>
      <c r="H2182" t="s">
        <v>1230</v>
      </c>
      <c r="I2182" t="s">
        <v>331</v>
      </c>
      <c r="J2182">
        <v>1</v>
      </c>
      <c r="K2182">
        <v>36000</v>
      </c>
      <c r="L2182">
        <v>36000</v>
      </c>
      <c r="M2182">
        <v>36000</v>
      </c>
      <c r="N2182" t="s">
        <v>19</v>
      </c>
    </row>
    <row r="2183" spans="1:14" x14ac:dyDescent="0.25">
      <c r="A2183" t="s">
        <v>1499</v>
      </c>
      <c r="B2183" t="s">
        <v>2319</v>
      </c>
      <c r="C2183" t="s">
        <v>208</v>
      </c>
      <c r="D2183" t="s">
        <v>20</v>
      </c>
      <c r="E2183" t="s">
        <v>1259</v>
      </c>
      <c r="F2183" t="s">
        <v>15</v>
      </c>
      <c r="G2183" t="s">
        <v>22</v>
      </c>
      <c r="H2183" t="s">
        <v>1230</v>
      </c>
      <c r="I2183" t="s">
        <v>692</v>
      </c>
      <c r="J2183">
        <v>1</v>
      </c>
      <c r="K2183">
        <v>550</v>
      </c>
      <c r="L2183">
        <v>800</v>
      </c>
      <c r="M2183">
        <v>800</v>
      </c>
      <c r="N2183" t="s">
        <v>19</v>
      </c>
    </row>
    <row r="2184" spans="1:14" x14ac:dyDescent="0.25">
      <c r="A2184" t="s">
        <v>1495</v>
      </c>
      <c r="B2184" t="s">
        <v>2320</v>
      </c>
      <c r="C2184" t="s">
        <v>212</v>
      </c>
      <c r="D2184" t="s">
        <v>20</v>
      </c>
      <c r="E2184" t="s">
        <v>132</v>
      </c>
      <c r="F2184" t="s">
        <v>15</v>
      </c>
      <c r="G2184" t="s">
        <v>22</v>
      </c>
      <c r="H2184" t="s">
        <v>1230</v>
      </c>
      <c r="I2184" t="s">
        <v>133</v>
      </c>
      <c r="J2184">
        <v>1</v>
      </c>
      <c r="K2184">
        <v>3675</v>
      </c>
      <c r="L2184">
        <v>10500</v>
      </c>
      <c r="M2184">
        <v>10500</v>
      </c>
      <c r="N2184" t="s">
        <v>19</v>
      </c>
    </row>
    <row r="2185" spans="1:14" x14ac:dyDescent="0.25">
      <c r="A2185" t="s">
        <v>1495</v>
      </c>
      <c r="B2185" t="s">
        <v>2320</v>
      </c>
      <c r="C2185" t="s">
        <v>212</v>
      </c>
      <c r="D2185" t="s">
        <v>20</v>
      </c>
      <c r="E2185" t="s">
        <v>132</v>
      </c>
      <c r="F2185" t="s">
        <v>15</v>
      </c>
      <c r="G2185" t="s">
        <v>22</v>
      </c>
      <c r="H2185" t="s">
        <v>1230</v>
      </c>
      <c r="I2185" t="s">
        <v>25</v>
      </c>
      <c r="J2185">
        <v>1</v>
      </c>
      <c r="K2185">
        <v>12100</v>
      </c>
      <c r="L2185">
        <v>12100</v>
      </c>
      <c r="M2185">
        <v>12100</v>
      </c>
      <c r="N2185" t="s">
        <v>19</v>
      </c>
    </row>
    <row r="2186" spans="1:14" x14ac:dyDescent="0.25">
      <c r="A2186" t="s">
        <v>1495</v>
      </c>
      <c r="B2186" t="s">
        <v>2320</v>
      </c>
      <c r="C2186" t="s">
        <v>212</v>
      </c>
      <c r="D2186" t="s">
        <v>20</v>
      </c>
      <c r="E2186" t="s">
        <v>132</v>
      </c>
      <c r="F2186" t="s">
        <v>15</v>
      </c>
      <c r="G2186" t="s">
        <v>22</v>
      </c>
      <c r="H2186" t="s">
        <v>1230</v>
      </c>
      <c r="I2186" t="s">
        <v>24</v>
      </c>
      <c r="J2186">
        <v>1</v>
      </c>
      <c r="K2186">
        <v>12100</v>
      </c>
      <c r="L2186">
        <v>12100</v>
      </c>
      <c r="M2186">
        <v>12100</v>
      </c>
      <c r="N2186" t="s">
        <v>19</v>
      </c>
    </row>
    <row r="2187" spans="1:14" x14ac:dyDescent="0.25">
      <c r="A2187" t="s">
        <v>1495</v>
      </c>
      <c r="B2187" t="s">
        <v>2320</v>
      </c>
      <c r="C2187" t="s">
        <v>212</v>
      </c>
      <c r="D2187" t="s">
        <v>20</v>
      </c>
      <c r="E2187" t="s">
        <v>132</v>
      </c>
      <c r="F2187" t="s">
        <v>15</v>
      </c>
      <c r="G2187" t="s">
        <v>22</v>
      </c>
      <c r="H2187" t="s">
        <v>1230</v>
      </c>
      <c r="I2187" t="s">
        <v>134</v>
      </c>
      <c r="J2187">
        <v>1</v>
      </c>
      <c r="K2187">
        <v>500</v>
      </c>
      <c r="L2187">
        <v>500</v>
      </c>
      <c r="M2187">
        <v>500</v>
      </c>
      <c r="N2187" t="s">
        <v>19</v>
      </c>
    </row>
    <row r="2188" spans="1:14" x14ac:dyDescent="0.25">
      <c r="A2188" t="s">
        <v>1495</v>
      </c>
      <c r="B2188" t="s">
        <v>2320</v>
      </c>
      <c r="C2188" t="s">
        <v>212</v>
      </c>
      <c r="D2188" t="s">
        <v>20</v>
      </c>
      <c r="E2188" t="s">
        <v>132</v>
      </c>
      <c r="F2188" t="s">
        <v>15</v>
      </c>
      <c r="G2188" t="s">
        <v>22</v>
      </c>
      <c r="H2188" t="s">
        <v>1230</v>
      </c>
      <c r="I2188" t="s">
        <v>98</v>
      </c>
      <c r="J2188">
        <v>1</v>
      </c>
      <c r="K2188">
        <v>935</v>
      </c>
      <c r="L2188">
        <v>1300</v>
      </c>
      <c r="M2188">
        <v>1300</v>
      </c>
      <c r="N2188" t="s">
        <v>19</v>
      </c>
    </row>
    <row r="2189" spans="1:14" x14ac:dyDescent="0.25">
      <c r="A2189" t="s">
        <v>1495</v>
      </c>
      <c r="B2189" t="s">
        <v>2320</v>
      </c>
      <c r="C2189" t="s">
        <v>212</v>
      </c>
      <c r="D2189" t="s">
        <v>20</v>
      </c>
      <c r="E2189" t="s">
        <v>132</v>
      </c>
      <c r="F2189" t="s">
        <v>15</v>
      </c>
      <c r="G2189" t="s">
        <v>22</v>
      </c>
      <c r="H2189" t="s">
        <v>1230</v>
      </c>
      <c r="I2189" t="s">
        <v>1260</v>
      </c>
      <c r="J2189">
        <v>1</v>
      </c>
      <c r="K2189">
        <v>24640</v>
      </c>
      <c r="L2189">
        <v>35200</v>
      </c>
      <c r="M2189">
        <v>35200</v>
      </c>
      <c r="N2189" t="s">
        <v>19</v>
      </c>
    </row>
    <row r="2190" spans="1:14" x14ac:dyDescent="0.25">
      <c r="A2190" t="s">
        <v>1495</v>
      </c>
      <c r="B2190" t="s">
        <v>2320</v>
      </c>
      <c r="C2190" t="s">
        <v>212</v>
      </c>
      <c r="D2190" t="s">
        <v>20</v>
      </c>
      <c r="E2190" t="s">
        <v>132</v>
      </c>
      <c r="F2190" t="s">
        <v>15</v>
      </c>
      <c r="G2190" t="s">
        <v>22</v>
      </c>
      <c r="H2190" t="s">
        <v>1230</v>
      </c>
      <c r="I2190" t="s">
        <v>76</v>
      </c>
      <c r="J2190">
        <v>1</v>
      </c>
      <c r="K2190">
        <v>500</v>
      </c>
      <c r="L2190">
        <v>500</v>
      </c>
      <c r="M2190">
        <v>500</v>
      </c>
      <c r="N2190" t="s">
        <v>19</v>
      </c>
    </row>
    <row r="2191" spans="1:14" x14ac:dyDescent="0.25">
      <c r="A2191" t="s">
        <v>1495</v>
      </c>
      <c r="B2191" t="s">
        <v>2320</v>
      </c>
      <c r="C2191" t="s">
        <v>212</v>
      </c>
      <c r="D2191" t="s">
        <v>20</v>
      </c>
      <c r="E2191" t="s">
        <v>132</v>
      </c>
      <c r="F2191" t="s">
        <v>15</v>
      </c>
      <c r="G2191" t="s">
        <v>22</v>
      </c>
      <c r="H2191" t="s">
        <v>1230</v>
      </c>
      <c r="I2191" t="s">
        <v>210</v>
      </c>
      <c r="J2191">
        <v>1</v>
      </c>
      <c r="K2191">
        <v>880</v>
      </c>
      <c r="L2191">
        <v>1300</v>
      </c>
      <c r="M2191">
        <v>1300</v>
      </c>
      <c r="N2191" t="s">
        <v>19</v>
      </c>
    </row>
    <row r="2192" spans="1:14" x14ac:dyDescent="0.25">
      <c r="A2192" t="s">
        <v>1505</v>
      </c>
      <c r="B2192" t="s">
        <v>2321</v>
      </c>
      <c r="C2192" t="s">
        <v>215</v>
      </c>
      <c r="D2192" t="s">
        <v>20</v>
      </c>
      <c r="E2192" t="s">
        <v>192</v>
      </c>
      <c r="F2192" t="s">
        <v>15</v>
      </c>
      <c r="G2192" t="s">
        <v>22</v>
      </c>
      <c r="H2192" t="s">
        <v>1230</v>
      </c>
      <c r="I2192" t="s">
        <v>1264</v>
      </c>
      <c r="J2192">
        <v>4</v>
      </c>
      <c r="K2192">
        <v>18000</v>
      </c>
      <c r="L2192">
        <v>25000</v>
      </c>
      <c r="M2192">
        <v>100000</v>
      </c>
      <c r="N2192" t="s">
        <v>19</v>
      </c>
    </row>
    <row r="2193" spans="1:14" x14ac:dyDescent="0.25">
      <c r="A2193" t="s">
        <v>1505</v>
      </c>
      <c r="B2193" t="s">
        <v>2321</v>
      </c>
      <c r="C2193" t="s">
        <v>215</v>
      </c>
      <c r="D2193" t="s">
        <v>20</v>
      </c>
      <c r="E2193" t="s">
        <v>192</v>
      </c>
      <c r="F2193" t="s">
        <v>15</v>
      </c>
      <c r="G2193" t="s">
        <v>22</v>
      </c>
      <c r="H2193" t="s">
        <v>1230</v>
      </c>
      <c r="I2193" t="s">
        <v>1265</v>
      </c>
      <c r="J2193">
        <v>1</v>
      </c>
      <c r="K2193">
        <v>23500</v>
      </c>
      <c r="L2193">
        <v>28000</v>
      </c>
      <c r="M2193">
        <v>28000</v>
      </c>
      <c r="N2193" t="s">
        <v>19</v>
      </c>
    </row>
    <row r="2194" spans="1:14" x14ac:dyDescent="0.25">
      <c r="A2194" t="s">
        <v>1505</v>
      </c>
      <c r="B2194" t="s">
        <v>2321</v>
      </c>
      <c r="C2194" t="s">
        <v>215</v>
      </c>
      <c r="D2194" t="s">
        <v>20</v>
      </c>
      <c r="E2194" t="s">
        <v>192</v>
      </c>
      <c r="F2194" t="s">
        <v>15</v>
      </c>
      <c r="G2194" t="s">
        <v>22</v>
      </c>
      <c r="H2194" t="s">
        <v>1230</v>
      </c>
      <c r="I2194" t="s">
        <v>722</v>
      </c>
      <c r="J2194">
        <v>1</v>
      </c>
      <c r="K2194">
        <v>3500</v>
      </c>
      <c r="L2194">
        <v>10000</v>
      </c>
      <c r="M2194">
        <v>10000</v>
      </c>
      <c r="N2194" t="s">
        <v>19</v>
      </c>
    </row>
    <row r="2195" spans="1:14" x14ac:dyDescent="0.25">
      <c r="A2195" t="s">
        <v>1505</v>
      </c>
      <c r="B2195" t="s">
        <v>2321</v>
      </c>
      <c r="C2195" t="s">
        <v>215</v>
      </c>
      <c r="D2195" t="s">
        <v>20</v>
      </c>
      <c r="E2195" t="s">
        <v>192</v>
      </c>
      <c r="F2195" t="s">
        <v>15</v>
      </c>
      <c r="G2195" t="s">
        <v>22</v>
      </c>
      <c r="H2195" t="s">
        <v>1230</v>
      </c>
      <c r="I2195" t="s">
        <v>170</v>
      </c>
      <c r="J2195">
        <v>1</v>
      </c>
      <c r="K2195">
        <v>13500</v>
      </c>
      <c r="L2195">
        <v>13500</v>
      </c>
      <c r="M2195">
        <v>13500</v>
      </c>
      <c r="N2195" t="s">
        <v>19</v>
      </c>
    </row>
    <row r="2196" spans="1:14" x14ac:dyDescent="0.25">
      <c r="A2196" t="s">
        <v>1505</v>
      </c>
      <c r="B2196" t="s">
        <v>2321</v>
      </c>
      <c r="C2196" t="s">
        <v>215</v>
      </c>
      <c r="D2196" t="s">
        <v>20</v>
      </c>
      <c r="E2196" t="s">
        <v>192</v>
      </c>
      <c r="F2196" t="s">
        <v>15</v>
      </c>
      <c r="G2196" t="s">
        <v>22</v>
      </c>
      <c r="H2196" t="s">
        <v>1230</v>
      </c>
      <c r="I2196" t="s">
        <v>24</v>
      </c>
      <c r="J2196">
        <v>1</v>
      </c>
      <c r="K2196">
        <v>13500</v>
      </c>
      <c r="L2196">
        <v>13500</v>
      </c>
      <c r="M2196">
        <v>13500</v>
      </c>
      <c r="N2196" t="s">
        <v>19</v>
      </c>
    </row>
    <row r="2197" spans="1:14" x14ac:dyDescent="0.25">
      <c r="A2197" t="s">
        <v>1505</v>
      </c>
      <c r="B2197" t="s">
        <v>2321</v>
      </c>
      <c r="C2197" t="s">
        <v>215</v>
      </c>
      <c r="D2197" t="s">
        <v>20</v>
      </c>
      <c r="E2197" t="s">
        <v>192</v>
      </c>
      <c r="F2197" t="s">
        <v>15</v>
      </c>
      <c r="G2197" t="s">
        <v>22</v>
      </c>
      <c r="H2197" t="s">
        <v>1230</v>
      </c>
      <c r="I2197" t="s">
        <v>723</v>
      </c>
      <c r="J2197">
        <v>4</v>
      </c>
      <c r="K2197">
        <v>21000</v>
      </c>
      <c r="L2197">
        <v>60000</v>
      </c>
      <c r="M2197">
        <v>240000</v>
      </c>
      <c r="N2197" t="s">
        <v>19</v>
      </c>
    </row>
    <row r="2198" spans="1:14" x14ac:dyDescent="0.25">
      <c r="A2198" t="s">
        <v>1505</v>
      </c>
      <c r="B2198" t="s">
        <v>2321</v>
      </c>
      <c r="C2198" t="s">
        <v>215</v>
      </c>
      <c r="D2198" t="s">
        <v>20</v>
      </c>
      <c r="E2198" t="s">
        <v>192</v>
      </c>
      <c r="F2198" t="s">
        <v>15</v>
      </c>
      <c r="G2198" t="s">
        <v>22</v>
      </c>
      <c r="H2198" t="s">
        <v>1230</v>
      </c>
      <c r="I2198" t="s">
        <v>170</v>
      </c>
      <c r="J2198">
        <v>4</v>
      </c>
      <c r="K2198">
        <v>15000</v>
      </c>
      <c r="L2198">
        <v>15000</v>
      </c>
      <c r="M2198">
        <v>60000</v>
      </c>
      <c r="N2198" t="s">
        <v>19</v>
      </c>
    </row>
    <row r="2199" spans="1:14" x14ac:dyDescent="0.25">
      <c r="A2199" t="s">
        <v>1505</v>
      </c>
      <c r="B2199" t="s">
        <v>2321</v>
      </c>
      <c r="C2199" t="s">
        <v>215</v>
      </c>
      <c r="D2199" t="s">
        <v>20</v>
      </c>
      <c r="E2199" t="s">
        <v>192</v>
      </c>
      <c r="F2199" t="s">
        <v>15</v>
      </c>
      <c r="G2199" t="s">
        <v>22</v>
      </c>
      <c r="H2199" t="s">
        <v>1230</v>
      </c>
      <c r="I2199" t="s">
        <v>24</v>
      </c>
      <c r="J2199">
        <v>4</v>
      </c>
      <c r="K2199">
        <v>15000</v>
      </c>
      <c r="L2199">
        <v>15000</v>
      </c>
      <c r="M2199">
        <v>60000</v>
      </c>
      <c r="N2199" t="s">
        <v>19</v>
      </c>
    </row>
    <row r="2200" spans="1:14" x14ac:dyDescent="0.25">
      <c r="A2200" t="s">
        <v>1505</v>
      </c>
      <c r="B2200" t="s">
        <v>2321</v>
      </c>
      <c r="C2200" t="s">
        <v>215</v>
      </c>
      <c r="D2200" t="s">
        <v>20</v>
      </c>
      <c r="E2200" t="s">
        <v>192</v>
      </c>
      <c r="F2200" t="s">
        <v>15</v>
      </c>
      <c r="G2200" t="s">
        <v>22</v>
      </c>
      <c r="H2200" t="s">
        <v>1230</v>
      </c>
      <c r="I2200" t="s">
        <v>99</v>
      </c>
      <c r="J2200">
        <v>5</v>
      </c>
      <c r="K2200">
        <v>2000</v>
      </c>
      <c r="L2200">
        <v>2800</v>
      </c>
      <c r="M2200">
        <v>14000</v>
      </c>
      <c r="N2200" t="s">
        <v>19</v>
      </c>
    </row>
    <row r="2201" spans="1:14" x14ac:dyDescent="0.25">
      <c r="A2201" t="s">
        <v>1505</v>
      </c>
      <c r="B2201" t="s">
        <v>2321</v>
      </c>
      <c r="C2201" t="s">
        <v>215</v>
      </c>
      <c r="D2201" t="s">
        <v>20</v>
      </c>
      <c r="E2201" t="s">
        <v>192</v>
      </c>
      <c r="F2201" t="s">
        <v>15</v>
      </c>
      <c r="G2201" t="s">
        <v>22</v>
      </c>
      <c r="H2201" t="s">
        <v>1230</v>
      </c>
      <c r="I2201" t="s">
        <v>26</v>
      </c>
      <c r="J2201">
        <v>4</v>
      </c>
      <c r="K2201">
        <v>2000</v>
      </c>
      <c r="L2201">
        <v>2000</v>
      </c>
      <c r="M2201">
        <v>8000</v>
      </c>
      <c r="N2201" t="s">
        <v>19</v>
      </c>
    </row>
    <row r="2202" spans="1:14" x14ac:dyDescent="0.25">
      <c r="A2202" t="s">
        <v>1609</v>
      </c>
      <c r="B2202" t="s">
        <v>2322</v>
      </c>
      <c r="C2202" t="s">
        <v>219</v>
      </c>
      <c r="D2202" t="s">
        <v>191</v>
      </c>
      <c r="E2202" t="s">
        <v>192</v>
      </c>
      <c r="F2202" t="s">
        <v>15</v>
      </c>
      <c r="G2202" t="s">
        <v>22</v>
      </c>
      <c r="H2202" t="s">
        <v>1230</v>
      </c>
      <c r="I2202" t="s">
        <v>581</v>
      </c>
      <c r="J2202">
        <v>4</v>
      </c>
      <c r="K2202">
        <v>11000</v>
      </c>
      <c r="L2202">
        <v>15500</v>
      </c>
      <c r="M2202">
        <v>62000</v>
      </c>
      <c r="N2202" t="s">
        <v>19</v>
      </c>
    </row>
    <row r="2203" spans="1:14" x14ac:dyDescent="0.25">
      <c r="A2203" t="s">
        <v>1609</v>
      </c>
      <c r="B2203" t="s">
        <v>2322</v>
      </c>
      <c r="C2203" t="s">
        <v>219</v>
      </c>
      <c r="D2203" t="s">
        <v>191</v>
      </c>
      <c r="E2203" t="s">
        <v>192</v>
      </c>
      <c r="F2203" t="s">
        <v>15</v>
      </c>
      <c r="G2203" t="s">
        <v>22</v>
      </c>
      <c r="H2203" t="s">
        <v>1230</v>
      </c>
      <c r="I2203" t="s">
        <v>116</v>
      </c>
      <c r="J2203">
        <v>4</v>
      </c>
      <c r="K2203">
        <v>2185</v>
      </c>
      <c r="L2203">
        <v>3100</v>
      </c>
      <c r="M2203">
        <v>12400</v>
      </c>
      <c r="N2203" t="s">
        <v>19</v>
      </c>
    </row>
    <row r="2204" spans="1:14" x14ac:dyDescent="0.25">
      <c r="A2204" t="s">
        <v>1609</v>
      </c>
      <c r="B2204" t="s">
        <v>2322</v>
      </c>
      <c r="C2204" t="s">
        <v>219</v>
      </c>
      <c r="D2204" t="s">
        <v>191</v>
      </c>
      <c r="E2204" t="s">
        <v>192</v>
      </c>
      <c r="F2204" t="s">
        <v>15</v>
      </c>
      <c r="G2204" t="s">
        <v>22</v>
      </c>
      <c r="H2204" t="s">
        <v>1230</v>
      </c>
      <c r="I2204" t="s">
        <v>1267</v>
      </c>
      <c r="J2204">
        <v>5</v>
      </c>
      <c r="K2204">
        <v>3360</v>
      </c>
      <c r="L2204">
        <v>5300</v>
      </c>
      <c r="M2204">
        <v>26500</v>
      </c>
      <c r="N2204" t="s">
        <v>19</v>
      </c>
    </row>
    <row r="2205" spans="1:14" x14ac:dyDescent="0.25">
      <c r="A2205" t="s">
        <v>1609</v>
      </c>
      <c r="B2205" t="s">
        <v>2322</v>
      </c>
      <c r="C2205" t="s">
        <v>219</v>
      </c>
      <c r="D2205" t="s">
        <v>191</v>
      </c>
      <c r="E2205" t="s">
        <v>192</v>
      </c>
      <c r="F2205" t="s">
        <v>15</v>
      </c>
      <c r="G2205" t="s">
        <v>22</v>
      </c>
      <c r="H2205" t="s">
        <v>1230</v>
      </c>
      <c r="I2205" t="s">
        <v>76</v>
      </c>
      <c r="J2205">
        <v>5</v>
      </c>
      <c r="K2205">
        <v>2000</v>
      </c>
      <c r="L2205">
        <v>2500</v>
      </c>
      <c r="M2205">
        <v>12500</v>
      </c>
      <c r="N2205" t="s">
        <v>19</v>
      </c>
    </row>
    <row r="2206" spans="1:14" x14ac:dyDescent="0.25">
      <c r="A2206" t="s">
        <v>1597</v>
      </c>
      <c r="B2206" t="s">
        <v>2323</v>
      </c>
      <c r="C2206" t="s">
        <v>1231</v>
      </c>
      <c r="D2206" t="s">
        <v>1232</v>
      </c>
      <c r="E2206" t="s">
        <v>1233</v>
      </c>
      <c r="F2206" t="s">
        <v>15</v>
      </c>
      <c r="G2206" t="s">
        <v>37</v>
      </c>
      <c r="H2206" t="s">
        <v>1234</v>
      </c>
      <c r="I2206" t="s">
        <v>1235</v>
      </c>
      <c r="J2206">
        <v>1</v>
      </c>
      <c r="K2206">
        <v>1650</v>
      </c>
      <c r="L2206">
        <v>2700</v>
      </c>
      <c r="M2206">
        <v>2700</v>
      </c>
      <c r="N2206" t="s">
        <v>19</v>
      </c>
    </row>
    <row r="2207" spans="1:14" x14ac:dyDescent="0.25">
      <c r="A2207" t="s">
        <v>1597</v>
      </c>
      <c r="B2207" t="s">
        <v>2323</v>
      </c>
      <c r="C2207" t="s">
        <v>1231</v>
      </c>
      <c r="D2207" t="s">
        <v>1232</v>
      </c>
      <c r="E2207" t="s">
        <v>1233</v>
      </c>
      <c r="F2207" t="s">
        <v>15</v>
      </c>
      <c r="G2207" t="s">
        <v>37</v>
      </c>
      <c r="H2207" t="s">
        <v>1234</v>
      </c>
      <c r="I2207" t="s">
        <v>63</v>
      </c>
      <c r="J2207">
        <v>1</v>
      </c>
      <c r="K2207">
        <v>300</v>
      </c>
      <c r="L2207">
        <v>300</v>
      </c>
      <c r="M2207">
        <v>300</v>
      </c>
      <c r="N2207" t="s">
        <v>19</v>
      </c>
    </row>
    <row r="2208" spans="1:14" x14ac:dyDescent="0.25">
      <c r="A2208" t="s">
        <v>1689</v>
      </c>
      <c r="B2208" t="s">
        <v>2324</v>
      </c>
      <c r="C2208" t="s">
        <v>1238</v>
      </c>
      <c r="D2208" t="s">
        <v>1239</v>
      </c>
      <c r="E2208" t="s">
        <v>174</v>
      </c>
      <c r="F2208" t="s">
        <v>1240</v>
      </c>
      <c r="G2208" t="s">
        <v>37</v>
      </c>
      <c r="H2208" t="s">
        <v>1241</v>
      </c>
      <c r="I2208" t="s">
        <v>249</v>
      </c>
      <c r="J2208">
        <v>1</v>
      </c>
      <c r="K2208">
        <v>23450</v>
      </c>
      <c r="L2208">
        <v>31100</v>
      </c>
      <c r="M2208">
        <v>31100</v>
      </c>
      <c r="N2208" t="s">
        <v>39</v>
      </c>
    </row>
    <row r="2209" spans="1:14" x14ac:dyDescent="0.25">
      <c r="A2209" t="s">
        <v>1689</v>
      </c>
      <c r="B2209" t="s">
        <v>2324</v>
      </c>
      <c r="C2209" t="s">
        <v>1238</v>
      </c>
      <c r="D2209" t="s">
        <v>1239</v>
      </c>
      <c r="E2209" t="s">
        <v>174</v>
      </c>
      <c r="F2209" t="s">
        <v>1240</v>
      </c>
      <c r="G2209" t="s">
        <v>37</v>
      </c>
      <c r="H2209" t="s">
        <v>1241</v>
      </c>
      <c r="I2209" t="s">
        <v>210</v>
      </c>
      <c r="J2209">
        <v>1</v>
      </c>
      <c r="K2209">
        <v>0</v>
      </c>
      <c r="L2209">
        <v>0</v>
      </c>
      <c r="M2209">
        <v>0</v>
      </c>
      <c r="N2209" t="s">
        <v>39</v>
      </c>
    </row>
    <row r="2210" spans="1:14" x14ac:dyDescent="0.25">
      <c r="A2210" t="s">
        <v>1689</v>
      </c>
      <c r="B2210" t="s">
        <v>2324</v>
      </c>
      <c r="C2210" t="s">
        <v>1238</v>
      </c>
      <c r="D2210" t="s">
        <v>1239</v>
      </c>
      <c r="E2210" t="s">
        <v>174</v>
      </c>
      <c r="F2210" t="s">
        <v>1240</v>
      </c>
      <c r="G2210" t="s">
        <v>37</v>
      </c>
      <c r="H2210" t="s">
        <v>1241</v>
      </c>
      <c r="I2210" t="s">
        <v>151</v>
      </c>
      <c r="J2210">
        <v>1</v>
      </c>
      <c r="K2210">
        <v>2000</v>
      </c>
      <c r="L2210">
        <v>3500</v>
      </c>
      <c r="M2210">
        <v>3500</v>
      </c>
      <c r="N2210" t="s">
        <v>39</v>
      </c>
    </row>
    <row r="2211" spans="1:14" x14ac:dyDescent="0.25">
      <c r="A2211" t="s">
        <v>1689</v>
      </c>
      <c r="B2211" t="s">
        <v>2324</v>
      </c>
      <c r="C2211" t="s">
        <v>1238</v>
      </c>
      <c r="D2211" t="s">
        <v>1239</v>
      </c>
      <c r="E2211" t="s">
        <v>174</v>
      </c>
      <c r="F2211" t="s">
        <v>1240</v>
      </c>
      <c r="G2211" t="s">
        <v>37</v>
      </c>
      <c r="H2211" t="s">
        <v>1241</v>
      </c>
      <c r="I2211" t="s">
        <v>63</v>
      </c>
      <c r="J2211">
        <v>1</v>
      </c>
      <c r="K2211">
        <v>400</v>
      </c>
      <c r="L2211">
        <v>400</v>
      </c>
      <c r="M2211">
        <v>400</v>
      </c>
      <c r="N2211" t="s">
        <v>39</v>
      </c>
    </row>
    <row r="2212" spans="1:14" x14ac:dyDescent="0.25">
      <c r="A2212" t="s">
        <v>1696</v>
      </c>
      <c r="B2212" t="s">
        <v>2325</v>
      </c>
      <c r="C2212" t="s">
        <v>1242</v>
      </c>
      <c r="D2212" t="s">
        <v>1243</v>
      </c>
      <c r="E2212" t="s">
        <v>1244</v>
      </c>
      <c r="F2212" t="s">
        <v>15</v>
      </c>
      <c r="G2212" t="s">
        <v>37</v>
      </c>
      <c r="H2212" t="s">
        <v>1245</v>
      </c>
      <c r="I2212" t="s">
        <v>154</v>
      </c>
      <c r="J2212">
        <v>1</v>
      </c>
      <c r="K2212">
        <v>1100</v>
      </c>
      <c r="L2212">
        <v>1650</v>
      </c>
      <c r="M2212">
        <v>1650</v>
      </c>
      <c r="N2212" t="s">
        <v>19</v>
      </c>
    </row>
    <row r="2213" spans="1:14" x14ac:dyDescent="0.25">
      <c r="A2213" t="s">
        <v>1696</v>
      </c>
      <c r="B2213" t="s">
        <v>2325</v>
      </c>
      <c r="C2213" t="s">
        <v>1242</v>
      </c>
      <c r="D2213" t="s">
        <v>1243</v>
      </c>
      <c r="E2213" t="s">
        <v>1244</v>
      </c>
      <c r="F2213" t="s">
        <v>15</v>
      </c>
      <c r="G2213" t="s">
        <v>37</v>
      </c>
      <c r="H2213" t="s">
        <v>1245</v>
      </c>
      <c r="I2213" t="s">
        <v>333</v>
      </c>
      <c r="J2213">
        <v>1</v>
      </c>
      <c r="K2213">
        <v>30</v>
      </c>
      <c r="L2213">
        <v>150</v>
      </c>
      <c r="M2213">
        <v>150</v>
      </c>
      <c r="N2213" t="s">
        <v>19</v>
      </c>
    </row>
    <row r="2214" spans="1:14" x14ac:dyDescent="0.25">
      <c r="A2214" t="s">
        <v>1581</v>
      </c>
      <c r="B2214" t="s">
        <v>2326</v>
      </c>
      <c r="C2214" t="s">
        <v>1246</v>
      </c>
      <c r="D2214" t="s">
        <v>87</v>
      </c>
      <c r="E2214" t="s">
        <v>87</v>
      </c>
      <c r="F2214" t="s">
        <v>15</v>
      </c>
      <c r="G2214" t="s">
        <v>37</v>
      </c>
      <c r="H2214" t="s">
        <v>1245</v>
      </c>
      <c r="I2214" t="s">
        <v>89</v>
      </c>
      <c r="J2214">
        <v>50</v>
      </c>
      <c r="K2214">
        <v>32</v>
      </c>
      <c r="L2214">
        <v>50</v>
      </c>
      <c r="M2214">
        <v>2500</v>
      </c>
      <c r="N2214" t="s">
        <v>39</v>
      </c>
    </row>
    <row r="2215" spans="1:14" x14ac:dyDescent="0.25">
      <c r="A2215" t="s">
        <v>1555</v>
      </c>
      <c r="B2215" t="s">
        <v>2327</v>
      </c>
      <c r="C2215" t="s">
        <v>1196</v>
      </c>
      <c r="D2215" t="s">
        <v>1397</v>
      </c>
      <c r="E2215" t="s">
        <v>1398</v>
      </c>
      <c r="F2215" t="s">
        <v>15</v>
      </c>
      <c r="G2215" t="s">
        <v>1024</v>
      </c>
      <c r="H2215" t="s">
        <v>1245</v>
      </c>
      <c r="I2215" t="s">
        <v>1110</v>
      </c>
      <c r="J2215">
        <v>1</v>
      </c>
      <c r="K2215">
        <v>6300</v>
      </c>
      <c r="L2215">
        <v>18000</v>
      </c>
      <c r="M2215">
        <v>18000</v>
      </c>
      <c r="N2215" t="s">
        <v>19</v>
      </c>
    </row>
    <row r="2216" spans="1:14" x14ac:dyDescent="0.25">
      <c r="A2216" t="s">
        <v>1555</v>
      </c>
      <c r="B2216" t="s">
        <v>2327</v>
      </c>
      <c r="C2216" t="s">
        <v>1196</v>
      </c>
      <c r="D2216" t="s">
        <v>1397</v>
      </c>
      <c r="E2216" t="s">
        <v>1398</v>
      </c>
      <c r="F2216" t="s">
        <v>15</v>
      </c>
      <c r="G2216" t="s">
        <v>1024</v>
      </c>
      <c r="H2216" t="s">
        <v>1245</v>
      </c>
      <c r="I2216" t="s">
        <v>1011</v>
      </c>
      <c r="J2216">
        <v>1</v>
      </c>
      <c r="K2216">
        <v>7750</v>
      </c>
      <c r="L2216">
        <v>7750</v>
      </c>
      <c r="M2216">
        <v>7750</v>
      </c>
      <c r="N2216" t="s">
        <v>19</v>
      </c>
    </row>
    <row r="2217" spans="1:14" x14ac:dyDescent="0.25">
      <c r="A2217" t="s">
        <v>1555</v>
      </c>
      <c r="B2217" t="s">
        <v>2327</v>
      </c>
      <c r="C2217" t="s">
        <v>1196</v>
      </c>
      <c r="D2217" t="s">
        <v>1397</v>
      </c>
      <c r="E2217" t="s">
        <v>1398</v>
      </c>
      <c r="F2217" t="s">
        <v>15</v>
      </c>
      <c r="G2217" t="s">
        <v>1024</v>
      </c>
      <c r="H2217" t="s">
        <v>1245</v>
      </c>
      <c r="I2217" t="s">
        <v>24</v>
      </c>
      <c r="J2217">
        <v>1</v>
      </c>
      <c r="K2217">
        <v>7750</v>
      </c>
      <c r="L2217">
        <v>7750</v>
      </c>
      <c r="M2217">
        <v>7750</v>
      </c>
      <c r="N2217" t="s">
        <v>19</v>
      </c>
    </row>
    <row r="2218" spans="1:14" x14ac:dyDescent="0.25">
      <c r="A2218" t="s">
        <v>1555</v>
      </c>
      <c r="B2218" t="s">
        <v>2327</v>
      </c>
      <c r="C2218" t="s">
        <v>1196</v>
      </c>
      <c r="D2218" t="s">
        <v>1397</v>
      </c>
      <c r="E2218" t="s">
        <v>1398</v>
      </c>
      <c r="F2218" t="s">
        <v>15</v>
      </c>
      <c r="G2218" t="s">
        <v>1024</v>
      </c>
      <c r="H2218" t="s">
        <v>1245</v>
      </c>
      <c r="I2218" t="s">
        <v>26</v>
      </c>
      <c r="J2218">
        <v>1</v>
      </c>
      <c r="K2218">
        <v>500</v>
      </c>
      <c r="L2218">
        <v>500</v>
      </c>
      <c r="M2218">
        <v>500</v>
      </c>
      <c r="N2218" t="s">
        <v>19</v>
      </c>
    </row>
    <row r="2219" spans="1:14" x14ac:dyDescent="0.25">
      <c r="A2219" t="s">
        <v>1555</v>
      </c>
      <c r="B2219" t="s">
        <v>2327</v>
      </c>
      <c r="C2219" t="s">
        <v>1196</v>
      </c>
      <c r="D2219" t="s">
        <v>1397</v>
      </c>
      <c r="E2219" t="s">
        <v>1398</v>
      </c>
      <c r="F2219" t="s">
        <v>15</v>
      </c>
      <c r="G2219" t="s">
        <v>1024</v>
      </c>
      <c r="H2219" t="s">
        <v>1245</v>
      </c>
      <c r="I2219" t="s">
        <v>1394</v>
      </c>
      <c r="J2219">
        <v>1</v>
      </c>
      <c r="K2219">
        <v>18700</v>
      </c>
      <c r="L2219">
        <v>25500</v>
      </c>
      <c r="M2219">
        <v>25500</v>
      </c>
      <c r="N2219" t="s">
        <v>19</v>
      </c>
    </row>
    <row r="2220" spans="1:14" x14ac:dyDescent="0.25">
      <c r="A2220" t="s">
        <v>1555</v>
      </c>
      <c r="B2220" t="s">
        <v>2327</v>
      </c>
      <c r="C2220" t="s">
        <v>1196</v>
      </c>
      <c r="D2220" t="s">
        <v>1397</v>
      </c>
      <c r="E2220" t="s">
        <v>1398</v>
      </c>
      <c r="F2220" t="s">
        <v>15</v>
      </c>
      <c r="G2220" t="s">
        <v>1024</v>
      </c>
      <c r="H2220" t="s">
        <v>1245</v>
      </c>
      <c r="I2220" t="s">
        <v>1120</v>
      </c>
      <c r="J2220">
        <v>1</v>
      </c>
      <c r="K2220">
        <v>2334</v>
      </c>
      <c r="L2220">
        <v>3500</v>
      </c>
      <c r="M2220">
        <v>3500</v>
      </c>
      <c r="N2220" t="s">
        <v>19</v>
      </c>
    </row>
    <row r="2221" spans="1:14" x14ac:dyDescent="0.25">
      <c r="A2221" t="s">
        <v>1555</v>
      </c>
      <c r="B2221" t="s">
        <v>2327</v>
      </c>
      <c r="C2221" t="s">
        <v>1196</v>
      </c>
      <c r="D2221" t="s">
        <v>1397</v>
      </c>
      <c r="E2221" t="s">
        <v>1398</v>
      </c>
      <c r="F2221" t="s">
        <v>15</v>
      </c>
      <c r="G2221" t="s">
        <v>1024</v>
      </c>
      <c r="H2221" t="s">
        <v>1245</v>
      </c>
      <c r="I2221" t="s">
        <v>151</v>
      </c>
      <c r="J2221">
        <v>1</v>
      </c>
      <c r="K2221">
        <v>2000</v>
      </c>
      <c r="L2221">
        <v>3000</v>
      </c>
      <c r="M2221">
        <v>3000</v>
      </c>
      <c r="N2221" t="s">
        <v>19</v>
      </c>
    </row>
    <row r="2222" spans="1:14" x14ac:dyDescent="0.25">
      <c r="A2222" t="s">
        <v>1555</v>
      </c>
      <c r="B2222" t="s">
        <v>2327</v>
      </c>
      <c r="C2222" t="s">
        <v>1196</v>
      </c>
      <c r="D2222" t="s">
        <v>1397</v>
      </c>
      <c r="E2222" t="s">
        <v>1398</v>
      </c>
      <c r="F2222" t="s">
        <v>15</v>
      </c>
      <c r="G2222" t="s">
        <v>1024</v>
      </c>
      <c r="H2222" t="s">
        <v>1245</v>
      </c>
      <c r="I2222" t="s">
        <v>1016</v>
      </c>
      <c r="J2222">
        <v>1</v>
      </c>
      <c r="K2222">
        <v>8500</v>
      </c>
      <c r="L2222">
        <v>12000</v>
      </c>
      <c r="M2222">
        <v>12000</v>
      </c>
      <c r="N2222" t="s">
        <v>19</v>
      </c>
    </row>
    <row r="2223" spans="1:14" x14ac:dyDescent="0.25">
      <c r="A2223" t="s">
        <v>1555</v>
      </c>
      <c r="B2223" t="s">
        <v>2327</v>
      </c>
      <c r="C2223" t="s">
        <v>1196</v>
      </c>
      <c r="D2223" t="s">
        <v>1397</v>
      </c>
      <c r="E2223" t="s">
        <v>1398</v>
      </c>
      <c r="F2223" t="s">
        <v>15</v>
      </c>
      <c r="G2223" t="s">
        <v>1024</v>
      </c>
      <c r="H2223" t="s">
        <v>1245</v>
      </c>
      <c r="I2223" t="s">
        <v>63</v>
      </c>
      <c r="J2223">
        <v>1</v>
      </c>
      <c r="K2223">
        <v>1000</v>
      </c>
      <c r="L2223">
        <v>1000</v>
      </c>
      <c r="M2223">
        <v>1000</v>
      </c>
      <c r="N2223" t="s">
        <v>19</v>
      </c>
    </row>
    <row r="2224" spans="1:14" x14ac:dyDescent="0.25">
      <c r="A2224" t="s">
        <v>1453</v>
      </c>
      <c r="B2224" t="s">
        <v>2328</v>
      </c>
      <c r="C2224" t="s">
        <v>1248</v>
      </c>
      <c r="D2224" t="s">
        <v>1249</v>
      </c>
      <c r="E2224" t="s">
        <v>1250</v>
      </c>
      <c r="F2224" t="s">
        <v>201</v>
      </c>
      <c r="G2224" t="s">
        <v>1251</v>
      </c>
      <c r="H2224" t="s">
        <v>1252</v>
      </c>
      <c r="I2224" t="s">
        <v>512</v>
      </c>
      <c r="J2224">
        <v>1</v>
      </c>
      <c r="K2224">
        <v>5250</v>
      </c>
      <c r="L2224">
        <v>15000</v>
      </c>
      <c r="M2224">
        <v>15000</v>
      </c>
      <c r="N2224" t="s">
        <v>39</v>
      </c>
    </row>
    <row r="2225" spans="1:14" x14ac:dyDescent="0.25">
      <c r="A2225" t="s">
        <v>1453</v>
      </c>
      <c r="B2225" t="s">
        <v>2328</v>
      </c>
      <c r="C2225" t="s">
        <v>1248</v>
      </c>
      <c r="D2225" t="s">
        <v>1249</v>
      </c>
      <c r="E2225" t="s">
        <v>1250</v>
      </c>
      <c r="F2225" t="s">
        <v>201</v>
      </c>
      <c r="G2225" t="s">
        <v>1251</v>
      </c>
      <c r="H2225" t="s">
        <v>1252</v>
      </c>
      <c r="I2225" t="s">
        <v>48</v>
      </c>
      <c r="J2225">
        <v>1</v>
      </c>
      <c r="K2225">
        <v>4750</v>
      </c>
      <c r="L2225">
        <v>4750</v>
      </c>
      <c r="M2225">
        <v>4750</v>
      </c>
      <c r="N2225" t="s">
        <v>39</v>
      </c>
    </row>
    <row r="2226" spans="1:14" x14ac:dyDescent="0.25">
      <c r="A2226" t="s">
        <v>1453</v>
      </c>
      <c r="B2226" t="s">
        <v>2328</v>
      </c>
      <c r="C2226" t="s">
        <v>1248</v>
      </c>
      <c r="D2226" t="s">
        <v>1249</v>
      </c>
      <c r="E2226" t="s">
        <v>1250</v>
      </c>
      <c r="F2226" t="s">
        <v>201</v>
      </c>
      <c r="G2226" t="s">
        <v>1251</v>
      </c>
      <c r="H2226" t="s">
        <v>1252</v>
      </c>
      <c r="I2226" t="s">
        <v>24</v>
      </c>
      <c r="J2226">
        <v>1</v>
      </c>
      <c r="K2226">
        <v>4750</v>
      </c>
      <c r="L2226">
        <v>4750</v>
      </c>
      <c r="M2226">
        <v>4750</v>
      </c>
      <c r="N2226" t="s">
        <v>39</v>
      </c>
    </row>
    <row r="2227" spans="1:14" x14ac:dyDescent="0.25">
      <c r="A2227" t="s">
        <v>1453</v>
      </c>
      <c r="B2227" t="s">
        <v>2328</v>
      </c>
      <c r="C2227" t="s">
        <v>1248</v>
      </c>
      <c r="D2227" t="s">
        <v>1249</v>
      </c>
      <c r="E2227" t="s">
        <v>1250</v>
      </c>
      <c r="F2227" t="s">
        <v>201</v>
      </c>
      <c r="G2227" t="s">
        <v>1251</v>
      </c>
      <c r="H2227" t="s">
        <v>1252</v>
      </c>
      <c r="I2227" t="s">
        <v>26</v>
      </c>
      <c r="J2227">
        <v>1</v>
      </c>
      <c r="K2227">
        <v>500</v>
      </c>
      <c r="L2227">
        <v>500</v>
      </c>
      <c r="M2227">
        <v>500</v>
      </c>
      <c r="N2227" t="s">
        <v>39</v>
      </c>
    </row>
    <row r="2228" spans="1:14" x14ac:dyDescent="0.25">
      <c r="A2228" t="s">
        <v>1453</v>
      </c>
      <c r="B2228" t="s">
        <v>2328</v>
      </c>
      <c r="C2228" t="s">
        <v>1248</v>
      </c>
      <c r="D2228" t="s">
        <v>1249</v>
      </c>
      <c r="E2228" t="s">
        <v>1250</v>
      </c>
      <c r="F2228" t="s">
        <v>201</v>
      </c>
      <c r="G2228" t="s">
        <v>1251</v>
      </c>
      <c r="H2228" t="s">
        <v>1252</v>
      </c>
      <c r="I2228" t="s">
        <v>1253</v>
      </c>
      <c r="J2228">
        <v>1</v>
      </c>
      <c r="K2228">
        <v>2200</v>
      </c>
      <c r="L2228">
        <v>3000</v>
      </c>
      <c r="M2228">
        <v>3000</v>
      </c>
      <c r="N2228" t="s">
        <v>39</v>
      </c>
    </row>
    <row r="2229" spans="1:14" x14ac:dyDescent="0.25">
      <c r="A2229" t="s">
        <v>1453</v>
      </c>
      <c r="B2229" t="s">
        <v>2328</v>
      </c>
      <c r="C2229" t="s">
        <v>1248</v>
      </c>
      <c r="D2229" t="s">
        <v>1249</v>
      </c>
      <c r="E2229" t="s">
        <v>1250</v>
      </c>
      <c r="F2229" t="s">
        <v>201</v>
      </c>
      <c r="G2229" t="s">
        <v>1251</v>
      </c>
      <c r="H2229" t="s">
        <v>1252</v>
      </c>
      <c r="I2229" t="s">
        <v>383</v>
      </c>
      <c r="J2229">
        <v>1</v>
      </c>
      <c r="K2229">
        <v>3195</v>
      </c>
      <c r="L2229">
        <v>4500</v>
      </c>
      <c r="M2229">
        <v>4500</v>
      </c>
      <c r="N2229" t="s">
        <v>39</v>
      </c>
    </row>
    <row r="2230" spans="1:14" x14ac:dyDescent="0.25">
      <c r="A2230" t="s">
        <v>1453</v>
      </c>
      <c r="B2230" t="s">
        <v>2328</v>
      </c>
      <c r="C2230" t="s">
        <v>1248</v>
      </c>
      <c r="D2230" t="s">
        <v>1249</v>
      </c>
      <c r="E2230" t="s">
        <v>1250</v>
      </c>
      <c r="F2230" t="s">
        <v>201</v>
      </c>
      <c r="G2230" t="s">
        <v>1251</v>
      </c>
      <c r="H2230" t="s">
        <v>1252</v>
      </c>
      <c r="I2230" t="s">
        <v>1254</v>
      </c>
      <c r="J2230">
        <v>1</v>
      </c>
      <c r="K2230">
        <v>4088</v>
      </c>
      <c r="L2230">
        <v>5500</v>
      </c>
      <c r="M2230">
        <v>5500</v>
      </c>
      <c r="N2230" t="s">
        <v>39</v>
      </c>
    </row>
    <row r="2231" spans="1:14" x14ac:dyDescent="0.25">
      <c r="A2231" t="s">
        <v>1453</v>
      </c>
      <c r="B2231" t="s">
        <v>2328</v>
      </c>
      <c r="C2231" t="s">
        <v>1248</v>
      </c>
      <c r="D2231" t="s">
        <v>1249</v>
      </c>
      <c r="E2231" t="s">
        <v>1250</v>
      </c>
      <c r="F2231" t="s">
        <v>201</v>
      </c>
      <c r="G2231" t="s">
        <v>1251</v>
      </c>
      <c r="H2231" t="s">
        <v>1252</v>
      </c>
      <c r="I2231" t="s">
        <v>1255</v>
      </c>
      <c r="J2231">
        <v>3</v>
      </c>
      <c r="K2231">
        <v>47</v>
      </c>
      <c r="L2231">
        <v>70</v>
      </c>
      <c r="M2231">
        <v>210</v>
      </c>
      <c r="N2231" t="s">
        <v>39</v>
      </c>
    </row>
    <row r="2232" spans="1:14" x14ac:dyDescent="0.25">
      <c r="A2232" t="s">
        <v>1453</v>
      </c>
      <c r="B2232" t="s">
        <v>2328</v>
      </c>
      <c r="C2232" t="s">
        <v>1248</v>
      </c>
      <c r="D2232" t="s">
        <v>1249</v>
      </c>
      <c r="E2232" t="s">
        <v>1250</v>
      </c>
      <c r="F2232" t="s">
        <v>201</v>
      </c>
      <c r="G2232" t="s">
        <v>1251</v>
      </c>
      <c r="H2232" t="s">
        <v>1252</v>
      </c>
      <c r="I2232" t="s">
        <v>85</v>
      </c>
      <c r="J2232">
        <v>1</v>
      </c>
      <c r="K2232">
        <v>1350</v>
      </c>
      <c r="L2232">
        <v>2000</v>
      </c>
      <c r="M2232">
        <v>2000</v>
      </c>
      <c r="N2232" t="s">
        <v>39</v>
      </c>
    </row>
    <row r="2233" spans="1:14" x14ac:dyDescent="0.25">
      <c r="A2233" t="s">
        <v>1453</v>
      </c>
      <c r="B2233" t="s">
        <v>2328</v>
      </c>
      <c r="C2233" t="s">
        <v>1248</v>
      </c>
      <c r="D2233" t="s">
        <v>1249</v>
      </c>
      <c r="E2233" t="s">
        <v>1250</v>
      </c>
      <c r="F2233" t="s">
        <v>201</v>
      </c>
      <c r="G2233" t="s">
        <v>1251</v>
      </c>
      <c r="H2233" t="s">
        <v>1252</v>
      </c>
      <c r="I2233" t="s">
        <v>1256</v>
      </c>
      <c r="J2233">
        <v>1</v>
      </c>
      <c r="K2233">
        <v>24640</v>
      </c>
      <c r="L2233">
        <v>33290</v>
      </c>
      <c r="M2233">
        <v>33290</v>
      </c>
      <c r="N2233" t="s">
        <v>39</v>
      </c>
    </row>
    <row r="2234" spans="1:14" x14ac:dyDescent="0.25">
      <c r="A2234" t="s">
        <v>1453</v>
      </c>
      <c r="B2234" t="s">
        <v>2328</v>
      </c>
      <c r="C2234" t="s">
        <v>1248</v>
      </c>
      <c r="D2234" t="s">
        <v>1249</v>
      </c>
      <c r="E2234" t="s">
        <v>1250</v>
      </c>
      <c r="F2234" t="s">
        <v>201</v>
      </c>
      <c r="G2234" t="s">
        <v>1251</v>
      </c>
      <c r="H2234" t="s">
        <v>1252</v>
      </c>
      <c r="I2234" t="s">
        <v>151</v>
      </c>
      <c r="J2234">
        <v>1</v>
      </c>
      <c r="K2234">
        <v>0</v>
      </c>
      <c r="L2234">
        <v>0</v>
      </c>
      <c r="M2234">
        <v>0</v>
      </c>
      <c r="N2234" t="s">
        <v>39</v>
      </c>
    </row>
    <row r="2235" spans="1:14" x14ac:dyDescent="0.25">
      <c r="A2235" t="s">
        <v>1453</v>
      </c>
      <c r="B2235" t="s">
        <v>2328</v>
      </c>
      <c r="C2235" t="s">
        <v>1248</v>
      </c>
      <c r="D2235" t="s">
        <v>1249</v>
      </c>
      <c r="E2235" t="s">
        <v>1250</v>
      </c>
      <c r="F2235" t="s">
        <v>201</v>
      </c>
      <c r="G2235" t="s">
        <v>1251</v>
      </c>
      <c r="H2235" t="s">
        <v>1252</v>
      </c>
      <c r="I2235" t="s">
        <v>210</v>
      </c>
      <c r="J2235">
        <v>1</v>
      </c>
      <c r="K2235">
        <v>530</v>
      </c>
      <c r="L2235">
        <v>700</v>
      </c>
      <c r="M2235">
        <v>700</v>
      </c>
      <c r="N2235" t="s">
        <v>39</v>
      </c>
    </row>
    <row r="2236" spans="1:14" x14ac:dyDescent="0.25">
      <c r="A2236" t="s">
        <v>1453</v>
      </c>
      <c r="B2236" t="s">
        <v>2328</v>
      </c>
      <c r="C2236" t="s">
        <v>1248</v>
      </c>
      <c r="D2236" t="s">
        <v>1249</v>
      </c>
      <c r="E2236" t="s">
        <v>1250</v>
      </c>
      <c r="F2236" t="s">
        <v>201</v>
      </c>
      <c r="G2236" t="s">
        <v>1251</v>
      </c>
      <c r="H2236" t="s">
        <v>1252</v>
      </c>
      <c r="I2236" t="s">
        <v>63</v>
      </c>
      <c r="J2236">
        <v>1</v>
      </c>
      <c r="K2236">
        <v>800</v>
      </c>
      <c r="L2236">
        <v>800</v>
      </c>
      <c r="M2236">
        <v>800</v>
      </c>
      <c r="N2236" t="s">
        <v>39</v>
      </c>
    </row>
    <row r="2237" spans="1:14" x14ac:dyDescent="0.25">
      <c r="A2237" t="s">
        <v>1565</v>
      </c>
      <c r="B2237" t="s">
        <v>2329</v>
      </c>
      <c r="C2237" t="s">
        <v>1257</v>
      </c>
      <c r="D2237" t="s">
        <v>305</v>
      </c>
      <c r="E2237" t="s">
        <v>306</v>
      </c>
      <c r="F2237" t="s">
        <v>15</v>
      </c>
      <c r="G2237" t="s">
        <v>37</v>
      </c>
      <c r="H2237" t="s">
        <v>1258</v>
      </c>
      <c r="I2237" t="s">
        <v>209</v>
      </c>
      <c r="J2237">
        <v>1</v>
      </c>
      <c r="K2237">
        <v>26250</v>
      </c>
      <c r="L2237">
        <v>32300</v>
      </c>
      <c r="M2237">
        <v>32300</v>
      </c>
      <c r="N2237" t="s">
        <v>19</v>
      </c>
    </row>
    <row r="2238" spans="1:14" x14ac:dyDescent="0.25">
      <c r="A2238" t="s">
        <v>1565</v>
      </c>
      <c r="B2238" t="s">
        <v>2329</v>
      </c>
      <c r="C2238" t="s">
        <v>1257</v>
      </c>
      <c r="D2238" t="s">
        <v>305</v>
      </c>
      <c r="E2238" t="s">
        <v>306</v>
      </c>
      <c r="F2238" t="s">
        <v>15</v>
      </c>
      <c r="G2238" t="s">
        <v>37</v>
      </c>
      <c r="H2238" t="s">
        <v>1258</v>
      </c>
      <c r="I2238" t="s">
        <v>151</v>
      </c>
      <c r="J2238">
        <v>1</v>
      </c>
      <c r="K2238">
        <v>2000</v>
      </c>
      <c r="L2238">
        <v>3000</v>
      </c>
      <c r="M2238">
        <v>3000</v>
      </c>
      <c r="N2238" t="s">
        <v>19</v>
      </c>
    </row>
    <row r="2239" spans="1:14" x14ac:dyDescent="0.25">
      <c r="A2239" t="s">
        <v>1565</v>
      </c>
      <c r="B2239" t="s">
        <v>2329</v>
      </c>
      <c r="C2239" t="s">
        <v>1257</v>
      </c>
      <c r="D2239" t="s">
        <v>305</v>
      </c>
      <c r="E2239" t="s">
        <v>306</v>
      </c>
      <c r="F2239" t="s">
        <v>15</v>
      </c>
      <c r="G2239" t="s">
        <v>37</v>
      </c>
      <c r="H2239" t="s">
        <v>1258</v>
      </c>
      <c r="I2239" t="s">
        <v>210</v>
      </c>
      <c r="J2239">
        <v>1</v>
      </c>
      <c r="K2239">
        <v>530</v>
      </c>
      <c r="L2239">
        <v>700</v>
      </c>
      <c r="M2239">
        <v>700</v>
      </c>
      <c r="N2239" t="s">
        <v>19</v>
      </c>
    </row>
    <row r="2240" spans="1:14" x14ac:dyDescent="0.25">
      <c r="A2240" t="s">
        <v>1565</v>
      </c>
      <c r="B2240" t="s">
        <v>2329</v>
      </c>
      <c r="C2240" t="s">
        <v>1257</v>
      </c>
      <c r="D2240" t="s">
        <v>305</v>
      </c>
      <c r="E2240" t="s">
        <v>306</v>
      </c>
      <c r="F2240" t="s">
        <v>15</v>
      </c>
      <c r="G2240" t="s">
        <v>37</v>
      </c>
      <c r="H2240" t="s">
        <v>1258</v>
      </c>
      <c r="I2240" t="s">
        <v>211</v>
      </c>
      <c r="J2240">
        <v>1</v>
      </c>
      <c r="K2240">
        <v>350</v>
      </c>
      <c r="L2240">
        <v>500</v>
      </c>
      <c r="M2240">
        <v>500</v>
      </c>
      <c r="N2240" t="s">
        <v>19</v>
      </c>
    </row>
    <row r="2241" spans="1:14" x14ac:dyDescent="0.25">
      <c r="A2241" t="s">
        <v>1565</v>
      </c>
      <c r="B2241" t="s">
        <v>2329</v>
      </c>
      <c r="C2241" t="s">
        <v>1257</v>
      </c>
      <c r="D2241" t="s">
        <v>305</v>
      </c>
      <c r="E2241" t="s">
        <v>306</v>
      </c>
      <c r="F2241" t="s">
        <v>15</v>
      </c>
      <c r="G2241" t="s">
        <v>37</v>
      </c>
      <c r="H2241" t="s">
        <v>1258</v>
      </c>
      <c r="I2241" t="s">
        <v>26</v>
      </c>
      <c r="J2241">
        <v>1</v>
      </c>
      <c r="K2241">
        <v>500</v>
      </c>
      <c r="L2241">
        <v>500</v>
      </c>
      <c r="M2241">
        <v>500</v>
      </c>
      <c r="N2241" t="s">
        <v>19</v>
      </c>
    </row>
    <row r="2242" spans="1:14" x14ac:dyDescent="0.25">
      <c r="A2242" t="s">
        <v>1486</v>
      </c>
      <c r="B2242" t="s">
        <v>2330</v>
      </c>
      <c r="C2242" t="s">
        <v>243</v>
      </c>
      <c r="D2242" t="s">
        <v>20</v>
      </c>
      <c r="E2242" t="s">
        <v>31</v>
      </c>
      <c r="F2242" t="s">
        <v>15</v>
      </c>
      <c r="G2242" t="s">
        <v>22</v>
      </c>
      <c r="H2242" t="s">
        <v>1272</v>
      </c>
      <c r="I2242" t="s">
        <v>912</v>
      </c>
      <c r="J2242">
        <v>1</v>
      </c>
      <c r="K2242">
        <v>15000</v>
      </c>
      <c r="L2242">
        <v>15000</v>
      </c>
      <c r="M2242">
        <v>15000</v>
      </c>
      <c r="N2242" t="s">
        <v>19</v>
      </c>
    </row>
    <row r="2243" spans="1:14" x14ac:dyDescent="0.25">
      <c r="A2243" t="s">
        <v>1497</v>
      </c>
      <c r="B2243" t="s">
        <v>2331</v>
      </c>
      <c r="C2243" t="s">
        <v>245</v>
      </c>
      <c r="D2243" t="s">
        <v>20</v>
      </c>
      <c r="E2243" t="s">
        <v>263</v>
      </c>
      <c r="F2243" t="s">
        <v>15</v>
      </c>
      <c r="G2243" t="s">
        <v>22</v>
      </c>
      <c r="H2243" t="s">
        <v>1272</v>
      </c>
      <c r="I2243" t="s">
        <v>1275</v>
      </c>
      <c r="J2243">
        <v>1</v>
      </c>
      <c r="K2243">
        <v>8000</v>
      </c>
      <c r="L2243">
        <v>14500</v>
      </c>
      <c r="M2243">
        <v>14500</v>
      </c>
      <c r="N2243" t="s">
        <v>19</v>
      </c>
    </row>
    <row r="2244" spans="1:14" x14ac:dyDescent="0.25">
      <c r="A2244" t="s">
        <v>1497</v>
      </c>
      <c r="B2244" t="s">
        <v>2331</v>
      </c>
      <c r="C2244" t="s">
        <v>245</v>
      </c>
      <c r="D2244" t="s">
        <v>20</v>
      </c>
      <c r="E2244" t="s">
        <v>263</v>
      </c>
      <c r="F2244" t="s">
        <v>15</v>
      </c>
      <c r="G2244" t="s">
        <v>22</v>
      </c>
      <c r="H2244" t="s">
        <v>1272</v>
      </c>
      <c r="I2244" t="s">
        <v>76</v>
      </c>
      <c r="J2244">
        <v>1</v>
      </c>
      <c r="K2244">
        <v>500</v>
      </c>
      <c r="L2244">
        <v>500</v>
      </c>
      <c r="M2244">
        <v>500</v>
      </c>
      <c r="N2244" t="s">
        <v>19</v>
      </c>
    </row>
    <row r="2245" spans="1:14" x14ac:dyDescent="0.25">
      <c r="A2245" t="s">
        <v>1718</v>
      </c>
      <c r="B2245" t="s">
        <v>2332</v>
      </c>
      <c r="C2245" t="s">
        <v>1198</v>
      </c>
      <c r="D2245" t="s">
        <v>1399</v>
      </c>
      <c r="E2245" t="s">
        <v>1399</v>
      </c>
      <c r="F2245" t="s">
        <v>1400</v>
      </c>
      <c r="G2245" t="s">
        <v>1088</v>
      </c>
      <c r="H2245" t="s">
        <v>1401</v>
      </c>
      <c r="I2245" t="s">
        <v>1130</v>
      </c>
      <c r="J2245">
        <v>6</v>
      </c>
      <c r="K2245">
        <v>6300</v>
      </c>
      <c r="L2245">
        <v>18000</v>
      </c>
      <c r="M2245">
        <v>108000</v>
      </c>
      <c r="N2245" t="s">
        <v>1010</v>
      </c>
    </row>
    <row r="2246" spans="1:14" x14ac:dyDescent="0.25">
      <c r="A2246" t="s">
        <v>1718</v>
      </c>
      <c r="B2246" t="s">
        <v>2332</v>
      </c>
      <c r="C2246" t="s">
        <v>1198</v>
      </c>
      <c r="D2246" t="s">
        <v>1399</v>
      </c>
      <c r="E2246" t="s">
        <v>1399</v>
      </c>
      <c r="F2246" t="s">
        <v>1400</v>
      </c>
      <c r="G2246" t="s">
        <v>1088</v>
      </c>
      <c r="H2246" t="s">
        <v>1401</v>
      </c>
      <c r="I2246" t="s">
        <v>26</v>
      </c>
      <c r="J2246">
        <v>6</v>
      </c>
      <c r="K2246">
        <v>500</v>
      </c>
      <c r="L2246">
        <v>500</v>
      </c>
      <c r="M2246">
        <v>3000</v>
      </c>
      <c r="N2246" t="s">
        <v>1010</v>
      </c>
    </row>
    <row r="2247" spans="1:14" x14ac:dyDescent="0.25">
      <c r="A2247" t="s">
        <v>1718</v>
      </c>
      <c r="B2247" t="s">
        <v>2332</v>
      </c>
      <c r="C2247" t="s">
        <v>1198</v>
      </c>
      <c r="D2247" t="s">
        <v>1399</v>
      </c>
      <c r="E2247" t="s">
        <v>1399</v>
      </c>
      <c r="F2247" t="s">
        <v>1400</v>
      </c>
      <c r="G2247" t="s">
        <v>1088</v>
      </c>
      <c r="H2247" t="s">
        <v>1401</v>
      </c>
      <c r="I2247" t="s">
        <v>537</v>
      </c>
      <c r="J2247">
        <v>6</v>
      </c>
      <c r="K2247">
        <v>20750</v>
      </c>
      <c r="L2247">
        <v>20750</v>
      </c>
      <c r="M2247">
        <v>124500</v>
      </c>
      <c r="N2247" t="s">
        <v>1010</v>
      </c>
    </row>
    <row r="2248" spans="1:14" x14ac:dyDescent="0.25">
      <c r="A2248" t="s">
        <v>1718</v>
      </c>
      <c r="B2248" t="s">
        <v>2332</v>
      </c>
      <c r="C2248" t="s">
        <v>1198</v>
      </c>
      <c r="D2248" t="s">
        <v>1399</v>
      </c>
      <c r="E2248" t="s">
        <v>1399</v>
      </c>
      <c r="F2248" t="s">
        <v>1400</v>
      </c>
      <c r="G2248" t="s">
        <v>1088</v>
      </c>
      <c r="H2248" t="s">
        <v>1401</v>
      </c>
      <c r="I2248" t="s">
        <v>24</v>
      </c>
      <c r="J2248">
        <v>6</v>
      </c>
      <c r="K2248">
        <v>20750</v>
      </c>
      <c r="L2248">
        <v>20750</v>
      </c>
      <c r="M2248">
        <v>124500</v>
      </c>
      <c r="N2248" t="s">
        <v>1010</v>
      </c>
    </row>
    <row r="2249" spans="1:14" x14ac:dyDescent="0.25">
      <c r="A2249" t="s">
        <v>1718</v>
      </c>
      <c r="B2249" t="s">
        <v>2332</v>
      </c>
      <c r="C2249" t="s">
        <v>1198</v>
      </c>
      <c r="D2249" t="s">
        <v>1399</v>
      </c>
      <c r="E2249" t="s">
        <v>1399</v>
      </c>
      <c r="F2249" t="s">
        <v>1400</v>
      </c>
      <c r="G2249" t="s">
        <v>1088</v>
      </c>
      <c r="H2249" t="s">
        <v>1401</v>
      </c>
      <c r="I2249" t="s">
        <v>127</v>
      </c>
      <c r="J2249">
        <v>6</v>
      </c>
      <c r="K2249">
        <v>3500</v>
      </c>
      <c r="L2249">
        <v>10000</v>
      </c>
      <c r="M2249">
        <v>60000</v>
      </c>
      <c r="N2249" t="s">
        <v>1010</v>
      </c>
    </row>
    <row r="2250" spans="1:14" x14ac:dyDescent="0.25">
      <c r="A2250" t="s">
        <v>1509</v>
      </c>
      <c r="B2250" t="s">
        <v>2333</v>
      </c>
      <c r="C2250" t="s">
        <v>255</v>
      </c>
      <c r="D2250" t="s">
        <v>20</v>
      </c>
      <c r="E2250" t="s">
        <v>70</v>
      </c>
      <c r="F2250" t="s">
        <v>15</v>
      </c>
      <c r="G2250" t="s">
        <v>22</v>
      </c>
      <c r="H2250" t="s">
        <v>1281</v>
      </c>
      <c r="I2250" t="s">
        <v>715</v>
      </c>
      <c r="J2250">
        <v>100</v>
      </c>
      <c r="K2250">
        <v>17</v>
      </c>
      <c r="L2250">
        <v>25</v>
      </c>
      <c r="M2250">
        <v>2500</v>
      </c>
      <c r="N2250" t="s">
        <v>19</v>
      </c>
    </row>
    <row r="2251" spans="1:14" x14ac:dyDescent="0.25">
      <c r="A2251" t="s">
        <v>1509</v>
      </c>
      <c r="B2251" t="s">
        <v>2333</v>
      </c>
      <c r="C2251" t="s">
        <v>255</v>
      </c>
      <c r="D2251" t="s">
        <v>20</v>
      </c>
      <c r="E2251" t="s">
        <v>70</v>
      </c>
      <c r="F2251" t="s">
        <v>15</v>
      </c>
      <c r="G2251" t="s">
        <v>22</v>
      </c>
      <c r="H2251" t="s">
        <v>1281</v>
      </c>
      <c r="I2251" t="s">
        <v>62</v>
      </c>
      <c r="J2251">
        <v>100</v>
      </c>
      <c r="K2251">
        <v>47</v>
      </c>
      <c r="L2251">
        <v>80</v>
      </c>
      <c r="M2251">
        <v>8000</v>
      </c>
      <c r="N2251" t="s">
        <v>19</v>
      </c>
    </row>
    <row r="2252" spans="1:14" x14ac:dyDescent="0.25">
      <c r="A2252" t="s">
        <v>1592</v>
      </c>
      <c r="B2252" t="s">
        <v>2334</v>
      </c>
      <c r="C2252" t="s">
        <v>1261</v>
      </c>
      <c r="D2252" t="s">
        <v>253</v>
      </c>
      <c r="E2252" t="s">
        <v>239</v>
      </c>
      <c r="F2252" t="s">
        <v>266</v>
      </c>
      <c r="G2252" t="s">
        <v>16</v>
      </c>
      <c r="H2252" t="s">
        <v>1262</v>
      </c>
      <c r="I2252" t="s">
        <v>267</v>
      </c>
      <c r="J2252">
        <v>3</v>
      </c>
      <c r="K2252">
        <v>10000</v>
      </c>
      <c r="L2252">
        <v>10000</v>
      </c>
      <c r="M2252">
        <v>30000</v>
      </c>
      <c r="N2252" t="s">
        <v>19</v>
      </c>
    </row>
    <row r="2253" spans="1:14" x14ac:dyDescent="0.25">
      <c r="A2253" t="s">
        <v>1543</v>
      </c>
      <c r="B2253" t="s">
        <v>2335</v>
      </c>
      <c r="C2253" t="s">
        <v>1263</v>
      </c>
      <c r="D2253" t="s">
        <v>238</v>
      </c>
      <c r="E2253" t="s">
        <v>239</v>
      </c>
      <c r="F2253" t="s">
        <v>266</v>
      </c>
      <c r="G2253" t="s">
        <v>16</v>
      </c>
      <c r="H2253" t="s">
        <v>1262</v>
      </c>
      <c r="I2253" t="s">
        <v>267</v>
      </c>
      <c r="J2253">
        <v>3</v>
      </c>
      <c r="K2253">
        <v>10000</v>
      </c>
      <c r="L2253">
        <v>10000</v>
      </c>
      <c r="M2253">
        <v>30000</v>
      </c>
      <c r="N2253" t="s">
        <v>19</v>
      </c>
    </row>
    <row r="2254" spans="1:14" x14ac:dyDescent="0.25">
      <c r="A2254" t="s">
        <v>1427</v>
      </c>
      <c r="B2254" t="s">
        <v>2336</v>
      </c>
      <c r="C2254" t="s">
        <v>1266</v>
      </c>
      <c r="D2254" t="s">
        <v>269</v>
      </c>
      <c r="E2254" t="s">
        <v>239</v>
      </c>
      <c r="F2254" t="s">
        <v>266</v>
      </c>
      <c r="G2254" t="s">
        <v>16</v>
      </c>
      <c r="H2254" t="s">
        <v>1262</v>
      </c>
      <c r="I2254" t="s">
        <v>267</v>
      </c>
      <c r="J2254">
        <v>2</v>
      </c>
      <c r="K2254">
        <v>10000</v>
      </c>
      <c r="L2254">
        <v>10000</v>
      </c>
      <c r="M2254">
        <v>20000</v>
      </c>
      <c r="N2254" t="s">
        <v>19</v>
      </c>
    </row>
    <row r="2255" spans="1:14" x14ac:dyDescent="0.25">
      <c r="A2255" t="s">
        <v>1486</v>
      </c>
      <c r="B2255" t="s">
        <v>2337</v>
      </c>
      <c r="C2255" t="s">
        <v>251</v>
      </c>
      <c r="D2255" t="s">
        <v>20</v>
      </c>
      <c r="E2255" t="s">
        <v>31</v>
      </c>
      <c r="F2255" t="s">
        <v>15</v>
      </c>
      <c r="G2255" t="s">
        <v>22</v>
      </c>
      <c r="H2255" t="s">
        <v>1262</v>
      </c>
      <c r="I2255" t="s">
        <v>145</v>
      </c>
      <c r="J2255">
        <v>1</v>
      </c>
      <c r="K2255">
        <v>6300</v>
      </c>
      <c r="L2255">
        <v>18000</v>
      </c>
      <c r="M2255">
        <v>18000</v>
      </c>
      <c r="N2255" t="s">
        <v>19</v>
      </c>
    </row>
    <row r="2256" spans="1:14" x14ac:dyDescent="0.25">
      <c r="A2256" t="s">
        <v>1486</v>
      </c>
      <c r="B2256" t="s">
        <v>2337</v>
      </c>
      <c r="C2256" t="s">
        <v>251</v>
      </c>
      <c r="D2256" t="s">
        <v>20</v>
      </c>
      <c r="E2256" t="s">
        <v>31</v>
      </c>
      <c r="F2256" t="s">
        <v>15</v>
      </c>
      <c r="G2256" t="s">
        <v>22</v>
      </c>
      <c r="H2256" t="s">
        <v>1262</v>
      </c>
      <c r="I2256" t="s">
        <v>299</v>
      </c>
      <c r="J2256">
        <v>1</v>
      </c>
      <c r="K2256">
        <v>5750</v>
      </c>
      <c r="L2256">
        <v>5750</v>
      </c>
      <c r="M2256">
        <v>5750</v>
      </c>
      <c r="N2256" t="s">
        <v>19</v>
      </c>
    </row>
    <row r="2257" spans="1:14" x14ac:dyDescent="0.25">
      <c r="A2257" t="s">
        <v>1486</v>
      </c>
      <c r="B2257" t="s">
        <v>2337</v>
      </c>
      <c r="C2257" t="s">
        <v>251</v>
      </c>
      <c r="D2257" t="s">
        <v>20</v>
      </c>
      <c r="E2257" t="s">
        <v>31</v>
      </c>
      <c r="F2257" t="s">
        <v>15</v>
      </c>
      <c r="G2257" t="s">
        <v>22</v>
      </c>
      <c r="H2257" t="s">
        <v>1262</v>
      </c>
      <c r="I2257" t="s">
        <v>25</v>
      </c>
      <c r="J2257">
        <v>1</v>
      </c>
      <c r="K2257">
        <v>5750</v>
      </c>
      <c r="L2257">
        <v>5750</v>
      </c>
      <c r="M2257">
        <v>5750</v>
      </c>
      <c r="N2257" t="s">
        <v>19</v>
      </c>
    </row>
    <row r="2258" spans="1:14" x14ac:dyDescent="0.25">
      <c r="A2258" t="s">
        <v>1486</v>
      </c>
      <c r="B2258" t="s">
        <v>2337</v>
      </c>
      <c r="C2258" t="s">
        <v>251</v>
      </c>
      <c r="D2258" t="s">
        <v>20</v>
      </c>
      <c r="E2258" t="s">
        <v>31</v>
      </c>
      <c r="F2258" t="s">
        <v>15</v>
      </c>
      <c r="G2258" t="s">
        <v>22</v>
      </c>
      <c r="H2258" t="s">
        <v>1262</v>
      </c>
      <c r="I2258" t="s">
        <v>134</v>
      </c>
      <c r="J2258">
        <v>1</v>
      </c>
      <c r="K2258">
        <v>500</v>
      </c>
      <c r="L2258">
        <v>500</v>
      </c>
      <c r="M2258">
        <v>500</v>
      </c>
      <c r="N2258" t="s">
        <v>19</v>
      </c>
    </row>
    <row r="2259" spans="1:14" x14ac:dyDescent="0.25">
      <c r="A2259" t="s">
        <v>1623</v>
      </c>
      <c r="B2259" t="s">
        <v>2338</v>
      </c>
      <c r="C2259" t="s">
        <v>1268</v>
      </c>
      <c r="D2259" t="s">
        <v>1269</v>
      </c>
      <c r="E2259" t="s">
        <v>160</v>
      </c>
      <c r="F2259" t="s">
        <v>15</v>
      </c>
      <c r="G2259" t="s">
        <v>22</v>
      </c>
      <c r="H2259" t="s">
        <v>1270</v>
      </c>
      <c r="I2259" t="s">
        <v>939</v>
      </c>
      <c r="J2259">
        <v>1</v>
      </c>
      <c r="K2259">
        <v>9850</v>
      </c>
      <c r="L2259">
        <v>13500</v>
      </c>
      <c r="M2259">
        <v>13500</v>
      </c>
      <c r="N2259" t="s">
        <v>39</v>
      </c>
    </row>
    <row r="2260" spans="1:14" x14ac:dyDescent="0.25">
      <c r="A2260" t="s">
        <v>1486</v>
      </c>
      <c r="B2260" t="s">
        <v>2339</v>
      </c>
      <c r="C2260" t="s">
        <v>262</v>
      </c>
      <c r="D2260" t="s">
        <v>20</v>
      </c>
      <c r="E2260" t="s">
        <v>31</v>
      </c>
      <c r="F2260" t="s">
        <v>15</v>
      </c>
      <c r="G2260" t="s">
        <v>22</v>
      </c>
      <c r="H2260" t="s">
        <v>1288</v>
      </c>
      <c r="I2260" t="s">
        <v>33</v>
      </c>
      <c r="J2260">
        <v>3</v>
      </c>
      <c r="K2260">
        <v>6500</v>
      </c>
      <c r="L2260">
        <v>6500</v>
      </c>
      <c r="M2260">
        <v>19500</v>
      </c>
      <c r="N2260" t="s">
        <v>19</v>
      </c>
    </row>
    <row r="2261" spans="1:14" x14ac:dyDescent="0.25">
      <c r="A2261" t="s">
        <v>1523</v>
      </c>
      <c r="B2261" t="s">
        <v>2340</v>
      </c>
      <c r="C2261" t="s">
        <v>277</v>
      </c>
      <c r="D2261" t="s">
        <v>20</v>
      </c>
      <c r="E2261" t="s">
        <v>1300</v>
      </c>
      <c r="F2261" t="s">
        <v>15</v>
      </c>
      <c r="G2261" t="s">
        <v>22</v>
      </c>
      <c r="H2261" t="s">
        <v>1288</v>
      </c>
      <c r="I2261" t="s">
        <v>1301</v>
      </c>
      <c r="J2261">
        <v>1</v>
      </c>
      <c r="K2261">
        <v>20000</v>
      </c>
      <c r="L2261">
        <v>20000</v>
      </c>
      <c r="M2261">
        <v>20000</v>
      </c>
      <c r="N2261" t="s">
        <v>19</v>
      </c>
    </row>
    <row r="2262" spans="1:14" x14ac:dyDescent="0.25">
      <c r="A2262" t="s">
        <v>1523</v>
      </c>
      <c r="B2262" t="s">
        <v>2340</v>
      </c>
      <c r="C2262" t="s">
        <v>277</v>
      </c>
      <c r="D2262" t="s">
        <v>20</v>
      </c>
      <c r="E2262" t="s">
        <v>1300</v>
      </c>
      <c r="F2262" t="s">
        <v>15</v>
      </c>
      <c r="G2262" t="s">
        <v>22</v>
      </c>
      <c r="H2262" t="s">
        <v>1288</v>
      </c>
      <c r="I2262" t="s">
        <v>1302</v>
      </c>
      <c r="J2262">
        <v>1</v>
      </c>
      <c r="K2262">
        <v>5200</v>
      </c>
      <c r="L2262">
        <v>7500</v>
      </c>
      <c r="M2262">
        <v>7500</v>
      </c>
      <c r="N2262" t="s">
        <v>19</v>
      </c>
    </row>
    <row r="2263" spans="1:14" x14ac:dyDescent="0.25">
      <c r="A2263" t="s">
        <v>1523</v>
      </c>
      <c r="B2263" t="s">
        <v>2340</v>
      </c>
      <c r="C2263" t="s">
        <v>277</v>
      </c>
      <c r="D2263" t="s">
        <v>20</v>
      </c>
      <c r="E2263" t="s">
        <v>1300</v>
      </c>
      <c r="F2263" t="s">
        <v>15</v>
      </c>
      <c r="G2263" t="s">
        <v>22</v>
      </c>
      <c r="H2263" t="s">
        <v>1288</v>
      </c>
      <c r="I2263" t="s">
        <v>99</v>
      </c>
      <c r="J2263">
        <v>1</v>
      </c>
      <c r="K2263">
        <v>2000</v>
      </c>
      <c r="L2263">
        <v>4000</v>
      </c>
      <c r="M2263">
        <v>4000</v>
      </c>
      <c r="N2263" t="s">
        <v>19</v>
      </c>
    </row>
    <row r="2264" spans="1:14" x14ac:dyDescent="0.25">
      <c r="A2264" t="s">
        <v>1523</v>
      </c>
      <c r="B2264" t="s">
        <v>2340</v>
      </c>
      <c r="C2264" t="s">
        <v>277</v>
      </c>
      <c r="D2264" t="s">
        <v>20</v>
      </c>
      <c r="E2264" t="s">
        <v>1300</v>
      </c>
      <c r="F2264" t="s">
        <v>15</v>
      </c>
      <c r="G2264" t="s">
        <v>22</v>
      </c>
      <c r="H2264" t="s">
        <v>1288</v>
      </c>
      <c r="I2264" t="s">
        <v>26</v>
      </c>
      <c r="J2264">
        <v>1</v>
      </c>
      <c r="K2264">
        <v>500</v>
      </c>
      <c r="L2264">
        <v>500</v>
      </c>
      <c r="M2264">
        <v>500</v>
      </c>
      <c r="N2264" t="s">
        <v>19</v>
      </c>
    </row>
    <row r="2265" spans="1:14" x14ac:dyDescent="0.25">
      <c r="A2265" t="s">
        <v>1523</v>
      </c>
      <c r="B2265" t="s">
        <v>2341</v>
      </c>
      <c r="C2265" t="s">
        <v>282</v>
      </c>
      <c r="D2265" t="s">
        <v>20</v>
      </c>
      <c r="E2265" t="s">
        <v>1300</v>
      </c>
      <c r="F2265" t="s">
        <v>15</v>
      </c>
      <c r="G2265" t="s">
        <v>22</v>
      </c>
      <c r="H2265" t="s">
        <v>1288</v>
      </c>
      <c r="I2265" t="s">
        <v>1301</v>
      </c>
      <c r="J2265">
        <v>1</v>
      </c>
      <c r="K2265">
        <v>20000</v>
      </c>
      <c r="L2265">
        <v>20000</v>
      </c>
      <c r="M2265">
        <v>20000</v>
      </c>
      <c r="N2265" t="s">
        <v>19</v>
      </c>
    </row>
    <row r="2266" spans="1:14" x14ac:dyDescent="0.25">
      <c r="A2266" t="s">
        <v>1523</v>
      </c>
      <c r="B2266" t="s">
        <v>2341</v>
      </c>
      <c r="C2266" t="s">
        <v>282</v>
      </c>
      <c r="D2266" t="s">
        <v>20</v>
      </c>
      <c r="E2266" t="s">
        <v>1300</v>
      </c>
      <c r="F2266" t="s">
        <v>15</v>
      </c>
      <c r="G2266" t="s">
        <v>22</v>
      </c>
      <c r="H2266" t="s">
        <v>1288</v>
      </c>
      <c r="I2266" t="s">
        <v>1307</v>
      </c>
      <c r="J2266">
        <v>1</v>
      </c>
      <c r="K2266">
        <v>18495</v>
      </c>
      <c r="L2266">
        <v>26500</v>
      </c>
      <c r="M2266">
        <v>26500</v>
      </c>
      <c r="N2266" t="s">
        <v>19</v>
      </c>
    </row>
    <row r="2267" spans="1:14" x14ac:dyDescent="0.25">
      <c r="A2267" t="s">
        <v>1523</v>
      </c>
      <c r="B2267" t="s">
        <v>2341</v>
      </c>
      <c r="C2267" t="s">
        <v>282</v>
      </c>
      <c r="D2267" t="s">
        <v>20</v>
      </c>
      <c r="E2267" t="s">
        <v>1300</v>
      </c>
      <c r="F2267" t="s">
        <v>15</v>
      </c>
      <c r="G2267" t="s">
        <v>22</v>
      </c>
      <c r="H2267" t="s">
        <v>1288</v>
      </c>
      <c r="I2267" t="s">
        <v>26</v>
      </c>
      <c r="J2267">
        <v>1</v>
      </c>
      <c r="K2267">
        <v>500</v>
      </c>
      <c r="L2267">
        <v>500</v>
      </c>
      <c r="M2267">
        <v>500</v>
      </c>
      <c r="N2267" t="s">
        <v>19</v>
      </c>
    </row>
    <row r="2268" spans="1:14" x14ac:dyDescent="0.25">
      <c r="A2268" t="s">
        <v>1523</v>
      </c>
      <c r="B2268" t="s">
        <v>2342</v>
      </c>
      <c r="C2268" t="s">
        <v>285</v>
      </c>
      <c r="D2268" t="s">
        <v>20</v>
      </c>
      <c r="E2268" t="s">
        <v>1300</v>
      </c>
      <c r="F2268" t="s">
        <v>15</v>
      </c>
      <c r="G2268" t="s">
        <v>22</v>
      </c>
      <c r="H2268" t="s">
        <v>1288</v>
      </c>
      <c r="I2268" t="s">
        <v>1301</v>
      </c>
      <c r="J2268">
        <v>1</v>
      </c>
      <c r="K2268">
        <v>20000</v>
      </c>
      <c r="L2268">
        <v>20000</v>
      </c>
      <c r="M2268">
        <v>20000</v>
      </c>
      <c r="N2268" t="s">
        <v>19</v>
      </c>
    </row>
    <row r="2269" spans="1:14" x14ac:dyDescent="0.25">
      <c r="A2269" t="s">
        <v>1523</v>
      </c>
      <c r="B2269" t="s">
        <v>2342</v>
      </c>
      <c r="C2269" t="s">
        <v>285</v>
      </c>
      <c r="D2269" t="s">
        <v>20</v>
      </c>
      <c r="E2269" t="s">
        <v>1300</v>
      </c>
      <c r="F2269" t="s">
        <v>15</v>
      </c>
      <c r="G2269" t="s">
        <v>22</v>
      </c>
      <c r="H2269" t="s">
        <v>1288</v>
      </c>
      <c r="I2269" t="s">
        <v>1307</v>
      </c>
      <c r="J2269">
        <v>1</v>
      </c>
      <c r="K2269">
        <v>18495</v>
      </c>
      <c r="L2269">
        <v>26500</v>
      </c>
      <c r="M2269">
        <v>26500</v>
      </c>
      <c r="N2269" t="s">
        <v>19</v>
      </c>
    </row>
    <row r="2270" spans="1:14" x14ac:dyDescent="0.25">
      <c r="A2270" t="s">
        <v>1523</v>
      </c>
      <c r="B2270" t="s">
        <v>2342</v>
      </c>
      <c r="C2270" t="s">
        <v>285</v>
      </c>
      <c r="D2270" t="s">
        <v>20</v>
      </c>
      <c r="E2270" t="s">
        <v>1300</v>
      </c>
      <c r="F2270" t="s">
        <v>15</v>
      </c>
      <c r="G2270" t="s">
        <v>22</v>
      </c>
      <c r="H2270" t="s">
        <v>1288</v>
      </c>
      <c r="I2270" t="s">
        <v>26</v>
      </c>
      <c r="J2270">
        <v>1</v>
      </c>
      <c r="K2270">
        <v>500</v>
      </c>
      <c r="L2270">
        <v>500</v>
      </c>
      <c r="M2270">
        <v>500</v>
      </c>
      <c r="N2270" t="s">
        <v>19</v>
      </c>
    </row>
    <row r="2271" spans="1:14" x14ac:dyDescent="0.25">
      <c r="A2271" t="s">
        <v>1523</v>
      </c>
      <c r="B2271" t="s">
        <v>2343</v>
      </c>
      <c r="C2271" t="s">
        <v>295</v>
      </c>
      <c r="D2271" t="s">
        <v>20</v>
      </c>
      <c r="E2271" t="s">
        <v>1300</v>
      </c>
      <c r="F2271" t="s">
        <v>15</v>
      </c>
      <c r="G2271" t="s">
        <v>22</v>
      </c>
      <c r="H2271" t="s">
        <v>1288</v>
      </c>
      <c r="I2271" t="s">
        <v>1313</v>
      </c>
      <c r="J2271">
        <v>1</v>
      </c>
      <c r="K2271">
        <v>22850</v>
      </c>
      <c r="L2271">
        <v>33000</v>
      </c>
      <c r="M2271">
        <v>33000</v>
      </c>
      <c r="N2271" t="s">
        <v>19</v>
      </c>
    </row>
    <row r="2272" spans="1:14" x14ac:dyDescent="0.25">
      <c r="A2272" t="s">
        <v>1523</v>
      </c>
      <c r="B2272" t="s">
        <v>2343</v>
      </c>
      <c r="C2272" t="s">
        <v>295</v>
      </c>
      <c r="D2272" t="s">
        <v>20</v>
      </c>
      <c r="E2272" t="s">
        <v>1300</v>
      </c>
      <c r="F2272" t="s">
        <v>15</v>
      </c>
      <c r="G2272" t="s">
        <v>22</v>
      </c>
      <c r="H2272" t="s">
        <v>1288</v>
      </c>
      <c r="I2272" t="s">
        <v>99</v>
      </c>
      <c r="J2272">
        <v>1</v>
      </c>
      <c r="K2272">
        <v>2000</v>
      </c>
      <c r="L2272">
        <v>4000</v>
      </c>
      <c r="M2272">
        <v>4000</v>
      </c>
      <c r="N2272" t="s">
        <v>19</v>
      </c>
    </row>
    <row r="2273" spans="1:14" x14ac:dyDescent="0.25">
      <c r="A2273" t="s">
        <v>1523</v>
      </c>
      <c r="B2273" t="s">
        <v>2343</v>
      </c>
      <c r="C2273" t="s">
        <v>295</v>
      </c>
      <c r="D2273" t="s">
        <v>20</v>
      </c>
      <c r="E2273" t="s">
        <v>1300</v>
      </c>
      <c r="F2273" t="s">
        <v>15</v>
      </c>
      <c r="G2273" t="s">
        <v>22</v>
      </c>
      <c r="H2273" t="s">
        <v>1288</v>
      </c>
      <c r="I2273" t="s">
        <v>33</v>
      </c>
      <c r="J2273">
        <v>1</v>
      </c>
      <c r="K2273">
        <v>30000</v>
      </c>
      <c r="L2273">
        <v>30000</v>
      </c>
      <c r="M2273">
        <v>30000</v>
      </c>
      <c r="N2273" t="s">
        <v>19</v>
      </c>
    </row>
    <row r="2274" spans="1:14" x14ac:dyDescent="0.25">
      <c r="A2274" t="s">
        <v>1718</v>
      </c>
      <c r="B2274" t="s">
        <v>2344</v>
      </c>
      <c r="C2274" t="s">
        <v>1202</v>
      </c>
      <c r="D2274" t="s">
        <v>1399</v>
      </c>
      <c r="E2274" t="s">
        <v>1399</v>
      </c>
      <c r="F2274" t="s">
        <v>1400</v>
      </c>
      <c r="G2274" t="s">
        <v>1088</v>
      </c>
      <c r="H2274" t="s">
        <v>1402</v>
      </c>
      <c r="I2274" t="s">
        <v>1394</v>
      </c>
      <c r="J2274">
        <v>1</v>
      </c>
      <c r="K2274">
        <v>18700</v>
      </c>
      <c r="L2274">
        <v>28500</v>
      </c>
      <c r="M2274">
        <v>28500</v>
      </c>
      <c r="N2274" t="s">
        <v>1010</v>
      </c>
    </row>
    <row r="2275" spans="1:14" x14ac:dyDescent="0.25">
      <c r="A2275" t="s">
        <v>1718</v>
      </c>
      <c r="B2275" t="s">
        <v>2344</v>
      </c>
      <c r="C2275" t="s">
        <v>1202</v>
      </c>
      <c r="D2275" t="s">
        <v>1399</v>
      </c>
      <c r="E2275" t="s">
        <v>1399</v>
      </c>
      <c r="F2275" t="s">
        <v>1400</v>
      </c>
      <c r="G2275" t="s">
        <v>1088</v>
      </c>
      <c r="H2275" t="s">
        <v>1402</v>
      </c>
      <c r="I2275" t="s">
        <v>1120</v>
      </c>
      <c r="J2275">
        <v>1</v>
      </c>
      <c r="K2275">
        <v>2334</v>
      </c>
      <c r="L2275">
        <v>3500</v>
      </c>
      <c r="M2275">
        <v>3500</v>
      </c>
      <c r="N2275" t="s">
        <v>1010</v>
      </c>
    </row>
    <row r="2276" spans="1:14" x14ac:dyDescent="0.25">
      <c r="A2276" t="s">
        <v>1718</v>
      </c>
      <c r="B2276" t="s">
        <v>2344</v>
      </c>
      <c r="C2276" t="s">
        <v>1202</v>
      </c>
      <c r="D2276" t="s">
        <v>1399</v>
      </c>
      <c r="E2276" t="s">
        <v>1399</v>
      </c>
      <c r="F2276" t="s">
        <v>1400</v>
      </c>
      <c r="G2276" t="s">
        <v>1088</v>
      </c>
      <c r="H2276" t="s">
        <v>1402</v>
      </c>
      <c r="I2276" t="s">
        <v>151</v>
      </c>
      <c r="J2276">
        <v>1</v>
      </c>
      <c r="K2276">
        <v>2000</v>
      </c>
      <c r="L2276">
        <v>3000</v>
      </c>
      <c r="M2276">
        <v>3000</v>
      </c>
      <c r="N2276" t="s">
        <v>1010</v>
      </c>
    </row>
    <row r="2277" spans="1:14" x14ac:dyDescent="0.25">
      <c r="A2277" t="s">
        <v>1718</v>
      </c>
      <c r="B2277" t="s">
        <v>2344</v>
      </c>
      <c r="C2277" t="s">
        <v>1202</v>
      </c>
      <c r="D2277" t="s">
        <v>1399</v>
      </c>
      <c r="E2277" t="s">
        <v>1399</v>
      </c>
      <c r="F2277" t="s">
        <v>1400</v>
      </c>
      <c r="G2277" t="s">
        <v>1088</v>
      </c>
      <c r="H2277" t="s">
        <v>1402</v>
      </c>
      <c r="I2277" t="s">
        <v>1403</v>
      </c>
      <c r="J2277">
        <v>2</v>
      </c>
      <c r="K2277">
        <v>5400</v>
      </c>
      <c r="L2277">
        <v>7500</v>
      </c>
      <c r="M2277">
        <v>15000</v>
      </c>
      <c r="N2277" t="s">
        <v>1010</v>
      </c>
    </row>
    <row r="2278" spans="1:14" x14ac:dyDescent="0.25">
      <c r="A2278" t="s">
        <v>1718</v>
      </c>
      <c r="B2278" t="s">
        <v>2344</v>
      </c>
      <c r="C2278" t="s">
        <v>1202</v>
      </c>
      <c r="D2278" t="s">
        <v>1399</v>
      </c>
      <c r="E2278" t="s">
        <v>1399</v>
      </c>
      <c r="F2278" t="s">
        <v>1400</v>
      </c>
      <c r="G2278" t="s">
        <v>1088</v>
      </c>
      <c r="H2278" t="s">
        <v>1402</v>
      </c>
      <c r="I2278" t="s">
        <v>1015</v>
      </c>
      <c r="J2278">
        <v>1</v>
      </c>
      <c r="K2278">
        <v>3195</v>
      </c>
      <c r="L2278">
        <v>4300</v>
      </c>
      <c r="M2278">
        <v>4300</v>
      </c>
      <c r="N2278" t="s">
        <v>1010</v>
      </c>
    </row>
    <row r="2279" spans="1:14" x14ac:dyDescent="0.25">
      <c r="A2279" t="s">
        <v>1718</v>
      </c>
      <c r="B2279" t="s">
        <v>2344</v>
      </c>
      <c r="C2279" t="s">
        <v>1202</v>
      </c>
      <c r="D2279" t="s">
        <v>1399</v>
      </c>
      <c r="E2279" t="s">
        <v>1399</v>
      </c>
      <c r="F2279" t="s">
        <v>1400</v>
      </c>
      <c r="G2279" t="s">
        <v>1088</v>
      </c>
      <c r="H2279" t="s">
        <v>1402</v>
      </c>
      <c r="I2279" t="s">
        <v>116</v>
      </c>
      <c r="J2279">
        <v>1</v>
      </c>
      <c r="K2279">
        <v>2185</v>
      </c>
      <c r="L2279">
        <v>3500</v>
      </c>
      <c r="M2279">
        <v>3500</v>
      </c>
      <c r="N2279" t="s">
        <v>1010</v>
      </c>
    </row>
    <row r="2280" spans="1:14" x14ac:dyDescent="0.25">
      <c r="A2280" t="s">
        <v>1718</v>
      </c>
      <c r="B2280" t="s">
        <v>2344</v>
      </c>
      <c r="C2280" t="s">
        <v>1202</v>
      </c>
      <c r="D2280" t="s">
        <v>1399</v>
      </c>
      <c r="E2280" t="s">
        <v>1399</v>
      </c>
      <c r="F2280" t="s">
        <v>1400</v>
      </c>
      <c r="G2280" t="s">
        <v>1088</v>
      </c>
      <c r="H2280" t="s">
        <v>1402</v>
      </c>
      <c r="I2280" t="s">
        <v>1016</v>
      </c>
      <c r="J2280">
        <v>1</v>
      </c>
      <c r="K2280">
        <v>8500</v>
      </c>
      <c r="L2280">
        <v>12500</v>
      </c>
      <c r="M2280">
        <v>12500</v>
      </c>
      <c r="N2280" t="s">
        <v>1010</v>
      </c>
    </row>
    <row r="2281" spans="1:14" x14ac:dyDescent="0.25">
      <c r="A2281" t="s">
        <v>1718</v>
      </c>
      <c r="B2281" t="s">
        <v>2344</v>
      </c>
      <c r="C2281" t="s">
        <v>1202</v>
      </c>
      <c r="D2281" t="s">
        <v>1399</v>
      </c>
      <c r="E2281" t="s">
        <v>1399</v>
      </c>
      <c r="F2281" t="s">
        <v>1400</v>
      </c>
      <c r="G2281" t="s">
        <v>1088</v>
      </c>
      <c r="H2281" t="s">
        <v>1402</v>
      </c>
      <c r="I2281" t="s">
        <v>1404</v>
      </c>
      <c r="J2281">
        <v>1</v>
      </c>
      <c r="K2281">
        <v>8500</v>
      </c>
      <c r="L2281">
        <v>12200</v>
      </c>
      <c r="M2281">
        <v>12200</v>
      </c>
      <c r="N2281" t="s">
        <v>1010</v>
      </c>
    </row>
    <row r="2282" spans="1:14" x14ac:dyDescent="0.25">
      <c r="A2282" t="s">
        <v>1563</v>
      </c>
      <c r="B2282" t="s">
        <v>2345</v>
      </c>
      <c r="C2282" t="s">
        <v>1273</v>
      </c>
      <c r="D2282" t="s">
        <v>483</v>
      </c>
      <c r="E2282" t="s">
        <v>239</v>
      </c>
      <c r="F2282" t="s">
        <v>15</v>
      </c>
      <c r="G2282" t="s">
        <v>37</v>
      </c>
      <c r="H2282" t="s">
        <v>1274</v>
      </c>
      <c r="I2282" t="s">
        <v>154</v>
      </c>
      <c r="J2282">
        <v>1</v>
      </c>
      <c r="K2282">
        <v>1100</v>
      </c>
      <c r="L2282">
        <v>1300</v>
      </c>
      <c r="M2282">
        <v>1300</v>
      </c>
      <c r="N2282" t="s">
        <v>19</v>
      </c>
    </row>
    <row r="2283" spans="1:14" x14ac:dyDescent="0.25">
      <c r="A2283" t="s">
        <v>1563</v>
      </c>
      <c r="B2283" t="s">
        <v>2345</v>
      </c>
      <c r="C2283" t="s">
        <v>1273</v>
      </c>
      <c r="D2283" t="s">
        <v>483</v>
      </c>
      <c r="E2283" t="s">
        <v>239</v>
      </c>
      <c r="F2283" t="s">
        <v>15</v>
      </c>
      <c r="G2283" t="s">
        <v>37</v>
      </c>
      <c r="H2283" t="s">
        <v>1274</v>
      </c>
      <c r="I2283" t="s">
        <v>333</v>
      </c>
      <c r="J2283">
        <v>1</v>
      </c>
      <c r="K2283">
        <v>20</v>
      </c>
      <c r="L2283">
        <v>100</v>
      </c>
      <c r="M2283">
        <v>100</v>
      </c>
      <c r="N2283" t="s">
        <v>19</v>
      </c>
    </row>
    <row r="2284" spans="1:14" x14ac:dyDescent="0.25">
      <c r="A2284" t="s">
        <v>1708</v>
      </c>
      <c r="B2284" t="s">
        <v>2346</v>
      </c>
      <c r="C2284" t="s">
        <v>1276</v>
      </c>
      <c r="D2284" t="s">
        <v>713</v>
      </c>
      <c r="E2284" t="s">
        <v>714</v>
      </c>
      <c r="F2284" t="s">
        <v>1277</v>
      </c>
      <c r="G2284" t="s">
        <v>37</v>
      </c>
      <c r="H2284" t="s">
        <v>1274</v>
      </c>
      <c r="I2284" t="s">
        <v>154</v>
      </c>
      <c r="J2284">
        <v>1</v>
      </c>
      <c r="K2284">
        <v>1100</v>
      </c>
      <c r="L2284">
        <v>1650</v>
      </c>
      <c r="M2284">
        <v>1650</v>
      </c>
      <c r="N2284" t="s">
        <v>39</v>
      </c>
    </row>
    <row r="2285" spans="1:14" x14ac:dyDescent="0.25">
      <c r="A2285" t="s">
        <v>1708</v>
      </c>
      <c r="B2285" t="s">
        <v>2346</v>
      </c>
      <c r="C2285" t="s">
        <v>1276</v>
      </c>
      <c r="D2285" t="s">
        <v>713</v>
      </c>
      <c r="E2285" t="s">
        <v>714</v>
      </c>
      <c r="F2285" t="s">
        <v>1277</v>
      </c>
      <c r="G2285" t="s">
        <v>37</v>
      </c>
      <c r="H2285" t="s">
        <v>1274</v>
      </c>
      <c r="I2285" t="s">
        <v>333</v>
      </c>
      <c r="J2285">
        <v>1</v>
      </c>
      <c r="K2285">
        <v>20</v>
      </c>
      <c r="L2285">
        <v>150</v>
      </c>
      <c r="M2285">
        <v>150</v>
      </c>
      <c r="N2285" t="s">
        <v>39</v>
      </c>
    </row>
    <row r="2286" spans="1:14" x14ac:dyDescent="0.25">
      <c r="A2286" t="s">
        <v>1713</v>
      </c>
      <c r="B2286" t="s">
        <v>2347</v>
      </c>
      <c r="C2286" t="s">
        <v>1278</v>
      </c>
      <c r="D2286" t="s">
        <v>1279</v>
      </c>
      <c r="E2286" t="s">
        <v>293</v>
      </c>
      <c r="F2286" t="s">
        <v>294</v>
      </c>
      <c r="G2286" t="s">
        <v>37</v>
      </c>
      <c r="H2286" t="s">
        <v>1274</v>
      </c>
      <c r="I2286" t="s">
        <v>1280</v>
      </c>
      <c r="J2286">
        <v>1</v>
      </c>
      <c r="K2286">
        <v>5300</v>
      </c>
      <c r="L2286">
        <v>7500</v>
      </c>
      <c r="M2286">
        <v>7500</v>
      </c>
      <c r="N2286" t="s">
        <v>39</v>
      </c>
    </row>
    <row r="2287" spans="1:14" x14ac:dyDescent="0.25">
      <c r="A2287" t="s">
        <v>1470</v>
      </c>
      <c r="B2287" t="s">
        <v>2348</v>
      </c>
      <c r="C2287" t="s">
        <v>1282</v>
      </c>
      <c r="D2287" t="s">
        <v>1283</v>
      </c>
      <c r="E2287" t="s">
        <v>306</v>
      </c>
      <c r="F2287" t="s">
        <v>1284</v>
      </c>
      <c r="G2287" t="s">
        <v>37</v>
      </c>
      <c r="H2287" t="s">
        <v>1285</v>
      </c>
      <c r="I2287" t="s">
        <v>308</v>
      </c>
      <c r="J2287">
        <v>1</v>
      </c>
      <c r="K2287">
        <v>1200</v>
      </c>
      <c r="L2287">
        <v>2500</v>
      </c>
      <c r="M2287">
        <v>2500</v>
      </c>
      <c r="N2287" t="s">
        <v>39</v>
      </c>
    </row>
    <row r="2288" spans="1:14" x14ac:dyDescent="0.25">
      <c r="A2288" t="s">
        <v>1517</v>
      </c>
      <c r="B2288" t="s">
        <v>2349</v>
      </c>
      <c r="C2288" t="s">
        <v>304</v>
      </c>
      <c r="D2288" t="s">
        <v>20</v>
      </c>
      <c r="E2288" t="s">
        <v>379</v>
      </c>
      <c r="F2288" t="s">
        <v>15</v>
      </c>
      <c r="G2288" t="s">
        <v>22</v>
      </c>
      <c r="H2288" t="s">
        <v>1314</v>
      </c>
      <c r="I2288" t="s">
        <v>381</v>
      </c>
      <c r="J2288">
        <v>1</v>
      </c>
      <c r="K2288">
        <v>17</v>
      </c>
      <c r="L2288">
        <v>1250</v>
      </c>
      <c r="M2288">
        <v>1250</v>
      </c>
      <c r="N2288" t="s">
        <v>19</v>
      </c>
    </row>
    <row r="2289" spans="1:14" x14ac:dyDescent="0.25">
      <c r="A2289" t="s">
        <v>1500</v>
      </c>
      <c r="B2289" t="s">
        <v>2350</v>
      </c>
      <c r="C2289" t="s">
        <v>309</v>
      </c>
      <c r="D2289" t="s">
        <v>20</v>
      </c>
      <c r="E2289" t="s">
        <v>1326</v>
      </c>
      <c r="F2289" t="s">
        <v>15</v>
      </c>
      <c r="G2289" t="s">
        <v>22</v>
      </c>
      <c r="H2289" t="s">
        <v>1314</v>
      </c>
      <c r="I2289" t="s">
        <v>1327</v>
      </c>
      <c r="J2289">
        <v>1</v>
      </c>
      <c r="K2289">
        <v>7500</v>
      </c>
      <c r="L2289">
        <v>10700</v>
      </c>
      <c r="M2289">
        <v>10700</v>
      </c>
      <c r="N2289" t="s">
        <v>19</v>
      </c>
    </row>
    <row r="2290" spans="1:14" x14ac:dyDescent="0.25">
      <c r="A2290" t="s">
        <v>1481</v>
      </c>
      <c r="B2290" t="s">
        <v>2351</v>
      </c>
      <c r="C2290" t="s">
        <v>320</v>
      </c>
      <c r="D2290" t="s">
        <v>20</v>
      </c>
      <c r="E2290" t="s">
        <v>1329</v>
      </c>
      <c r="F2290" t="s">
        <v>15</v>
      </c>
      <c r="G2290" t="s">
        <v>22</v>
      </c>
      <c r="H2290" t="s">
        <v>1330</v>
      </c>
      <c r="I2290" t="s">
        <v>574</v>
      </c>
      <c r="J2290">
        <v>1</v>
      </c>
      <c r="K2290">
        <v>5250</v>
      </c>
      <c r="L2290">
        <v>15000</v>
      </c>
      <c r="M2290">
        <v>15000</v>
      </c>
      <c r="N2290" t="s">
        <v>19</v>
      </c>
    </row>
    <row r="2291" spans="1:14" x14ac:dyDescent="0.25">
      <c r="A2291" t="s">
        <v>1481</v>
      </c>
      <c r="B2291" t="s">
        <v>2351</v>
      </c>
      <c r="C2291" t="s">
        <v>320</v>
      </c>
      <c r="D2291" t="s">
        <v>20</v>
      </c>
      <c r="E2291" t="s">
        <v>1329</v>
      </c>
      <c r="F2291" t="s">
        <v>15</v>
      </c>
      <c r="G2291" t="s">
        <v>22</v>
      </c>
      <c r="H2291" t="s">
        <v>1330</v>
      </c>
      <c r="I2291" t="s">
        <v>575</v>
      </c>
      <c r="J2291">
        <v>1</v>
      </c>
      <c r="K2291">
        <v>2500</v>
      </c>
      <c r="L2291">
        <v>2500</v>
      </c>
      <c r="M2291">
        <v>2500</v>
      </c>
      <c r="N2291" t="s">
        <v>19</v>
      </c>
    </row>
    <row r="2292" spans="1:14" x14ac:dyDescent="0.25">
      <c r="A2292" t="s">
        <v>1481</v>
      </c>
      <c r="B2292" t="s">
        <v>2351</v>
      </c>
      <c r="C2292" t="s">
        <v>320</v>
      </c>
      <c r="D2292" t="s">
        <v>20</v>
      </c>
      <c r="E2292" t="s">
        <v>1329</v>
      </c>
      <c r="F2292" t="s">
        <v>15</v>
      </c>
      <c r="G2292" t="s">
        <v>22</v>
      </c>
      <c r="H2292" t="s">
        <v>1330</v>
      </c>
      <c r="I2292" t="s">
        <v>24</v>
      </c>
      <c r="J2292">
        <v>1</v>
      </c>
      <c r="K2292">
        <v>2500</v>
      </c>
      <c r="L2292">
        <v>2500</v>
      </c>
      <c r="M2292">
        <v>2500</v>
      </c>
      <c r="N2292" t="s">
        <v>19</v>
      </c>
    </row>
    <row r="2293" spans="1:14" x14ac:dyDescent="0.25">
      <c r="A2293" t="s">
        <v>1481</v>
      </c>
      <c r="B2293" t="s">
        <v>2351</v>
      </c>
      <c r="C2293" t="s">
        <v>320</v>
      </c>
      <c r="D2293" t="s">
        <v>20</v>
      </c>
      <c r="E2293" t="s">
        <v>1329</v>
      </c>
      <c r="F2293" t="s">
        <v>15</v>
      </c>
      <c r="G2293" t="s">
        <v>22</v>
      </c>
      <c r="H2293" t="s">
        <v>1330</v>
      </c>
      <c r="I2293" t="s">
        <v>576</v>
      </c>
      <c r="J2293">
        <v>1</v>
      </c>
      <c r="K2293">
        <v>24300</v>
      </c>
      <c r="L2293">
        <v>35000</v>
      </c>
      <c r="M2293">
        <v>35000</v>
      </c>
      <c r="N2293" t="s">
        <v>19</v>
      </c>
    </row>
    <row r="2294" spans="1:14" x14ac:dyDescent="0.25">
      <c r="A2294" t="s">
        <v>1481</v>
      </c>
      <c r="B2294" t="s">
        <v>2351</v>
      </c>
      <c r="C2294" t="s">
        <v>320</v>
      </c>
      <c r="D2294" t="s">
        <v>20</v>
      </c>
      <c r="E2294" t="s">
        <v>1329</v>
      </c>
      <c r="F2294" t="s">
        <v>15</v>
      </c>
      <c r="G2294" t="s">
        <v>22</v>
      </c>
      <c r="H2294" t="s">
        <v>1330</v>
      </c>
      <c r="I2294" t="s">
        <v>577</v>
      </c>
      <c r="J2294">
        <v>1</v>
      </c>
      <c r="K2294">
        <v>13400</v>
      </c>
      <c r="L2294">
        <v>17200</v>
      </c>
      <c r="M2294">
        <v>17200</v>
      </c>
      <c r="N2294" t="s">
        <v>19</v>
      </c>
    </row>
    <row r="2295" spans="1:14" x14ac:dyDescent="0.25">
      <c r="A2295" t="s">
        <v>1481</v>
      </c>
      <c r="B2295" t="s">
        <v>2351</v>
      </c>
      <c r="C2295" t="s">
        <v>320</v>
      </c>
      <c r="D2295" t="s">
        <v>20</v>
      </c>
      <c r="E2295" t="s">
        <v>1329</v>
      </c>
      <c r="F2295" t="s">
        <v>15</v>
      </c>
      <c r="G2295" t="s">
        <v>22</v>
      </c>
      <c r="H2295" t="s">
        <v>1330</v>
      </c>
      <c r="I2295" t="s">
        <v>236</v>
      </c>
      <c r="J2295">
        <v>1</v>
      </c>
      <c r="K2295">
        <v>2200</v>
      </c>
      <c r="L2295">
        <v>3100</v>
      </c>
      <c r="M2295">
        <v>3100</v>
      </c>
      <c r="N2295" t="s">
        <v>19</v>
      </c>
    </row>
    <row r="2296" spans="1:14" x14ac:dyDescent="0.25">
      <c r="A2296" t="s">
        <v>1481</v>
      </c>
      <c r="B2296" t="s">
        <v>2351</v>
      </c>
      <c r="C2296" t="s">
        <v>320</v>
      </c>
      <c r="D2296" t="s">
        <v>20</v>
      </c>
      <c r="E2296" t="s">
        <v>1329</v>
      </c>
      <c r="F2296" t="s">
        <v>15</v>
      </c>
      <c r="G2296" t="s">
        <v>22</v>
      </c>
      <c r="H2296" t="s">
        <v>1330</v>
      </c>
      <c r="I2296" t="s">
        <v>1331</v>
      </c>
      <c r="J2296">
        <v>1</v>
      </c>
      <c r="K2296">
        <v>1350</v>
      </c>
      <c r="L2296">
        <v>1900</v>
      </c>
      <c r="M2296">
        <v>1900</v>
      </c>
      <c r="N2296" t="s">
        <v>19</v>
      </c>
    </row>
    <row r="2297" spans="1:14" x14ac:dyDescent="0.25">
      <c r="A2297" t="s">
        <v>1481</v>
      </c>
      <c r="B2297" t="s">
        <v>2351</v>
      </c>
      <c r="C2297" t="s">
        <v>320</v>
      </c>
      <c r="D2297" t="s">
        <v>20</v>
      </c>
      <c r="E2297" t="s">
        <v>1329</v>
      </c>
      <c r="F2297" t="s">
        <v>15</v>
      </c>
      <c r="G2297" t="s">
        <v>22</v>
      </c>
      <c r="H2297" t="s">
        <v>1330</v>
      </c>
      <c r="I2297" t="s">
        <v>171</v>
      </c>
      <c r="J2297">
        <v>1</v>
      </c>
      <c r="K2297">
        <v>500</v>
      </c>
      <c r="L2297">
        <v>500</v>
      </c>
      <c r="M2297">
        <v>500</v>
      </c>
      <c r="N2297" t="s">
        <v>19</v>
      </c>
    </row>
    <row r="2298" spans="1:14" x14ac:dyDescent="0.25">
      <c r="A2298" t="s">
        <v>1481</v>
      </c>
      <c r="B2298" t="s">
        <v>2351</v>
      </c>
      <c r="C2298" t="s">
        <v>320</v>
      </c>
      <c r="D2298" t="s">
        <v>20</v>
      </c>
      <c r="E2298" t="s">
        <v>1329</v>
      </c>
      <c r="F2298" t="s">
        <v>15</v>
      </c>
      <c r="G2298" t="s">
        <v>22</v>
      </c>
      <c r="H2298" t="s">
        <v>1330</v>
      </c>
      <c r="I2298" t="s">
        <v>393</v>
      </c>
      <c r="J2298">
        <v>1</v>
      </c>
      <c r="K2298">
        <v>500</v>
      </c>
      <c r="L2298">
        <v>500</v>
      </c>
      <c r="M2298">
        <v>500</v>
      </c>
      <c r="N2298" t="s">
        <v>19</v>
      </c>
    </row>
    <row r="2299" spans="1:14" x14ac:dyDescent="0.25">
      <c r="A2299" t="s">
        <v>1480</v>
      </c>
      <c r="B2299" t="s">
        <v>2352</v>
      </c>
      <c r="C2299" t="s">
        <v>334</v>
      </c>
      <c r="D2299" t="s">
        <v>20</v>
      </c>
      <c r="E2299" t="s">
        <v>1247</v>
      </c>
      <c r="F2299" t="s">
        <v>15</v>
      </c>
      <c r="G2299" t="s">
        <v>22</v>
      </c>
      <c r="H2299" t="s">
        <v>1330</v>
      </c>
      <c r="I2299" t="s">
        <v>62</v>
      </c>
      <c r="J2299">
        <v>50</v>
      </c>
      <c r="K2299">
        <v>2350</v>
      </c>
      <c r="L2299">
        <v>4000</v>
      </c>
      <c r="M2299">
        <v>200000</v>
      </c>
      <c r="N2299" t="s">
        <v>19</v>
      </c>
    </row>
    <row r="2300" spans="1:14" x14ac:dyDescent="0.25">
      <c r="A2300" t="s">
        <v>1480</v>
      </c>
      <c r="B2300" t="s">
        <v>2352</v>
      </c>
      <c r="C2300" t="s">
        <v>334</v>
      </c>
      <c r="D2300" t="s">
        <v>20</v>
      </c>
      <c r="E2300" t="s">
        <v>1247</v>
      </c>
      <c r="F2300" t="s">
        <v>15</v>
      </c>
      <c r="G2300" t="s">
        <v>22</v>
      </c>
      <c r="H2300" t="s">
        <v>1330</v>
      </c>
      <c r="I2300" t="s">
        <v>381</v>
      </c>
      <c r="J2300">
        <v>50</v>
      </c>
      <c r="K2300">
        <v>850</v>
      </c>
      <c r="L2300">
        <v>1250</v>
      </c>
      <c r="M2300">
        <v>62500</v>
      </c>
      <c r="N2300" t="s">
        <v>19</v>
      </c>
    </row>
    <row r="2301" spans="1:14" x14ac:dyDescent="0.25">
      <c r="A2301" t="s">
        <v>1480</v>
      </c>
      <c r="B2301" t="s">
        <v>2352</v>
      </c>
      <c r="C2301" t="s">
        <v>334</v>
      </c>
      <c r="D2301" t="s">
        <v>20</v>
      </c>
      <c r="E2301" t="s">
        <v>1247</v>
      </c>
      <c r="F2301" t="s">
        <v>15</v>
      </c>
      <c r="G2301" t="s">
        <v>22</v>
      </c>
      <c r="H2301" t="s">
        <v>1330</v>
      </c>
      <c r="I2301" t="s">
        <v>501</v>
      </c>
      <c r="J2301">
        <v>30</v>
      </c>
      <c r="K2301">
        <v>2100</v>
      </c>
      <c r="L2301">
        <v>7500</v>
      </c>
      <c r="M2301">
        <v>225000</v>
      </c>
      <c r="N2301" t="s">
        <v>19</v>
      </c>
    </row>
    <row r="2302" spans="1:14" x14ac:dyDescent="0.25">
      <c r="A2302" t="s">
        <v>1514</v>
      </c>
      <c r="B2302" t="s">
        <v>2353</v>
      </c>
      <c r="C2302" t="s">
        <v>336</v>
      </c>
      <c r="D2302" t="s">
        <v>20</v>
      </c>
      <c r="E2302" t="s">
        <v>434</v>
      </c>
      <c r="F2302" t="s">
        <v>15</v>
      </c>
      <c r="G2302" t="s">
        <v>22</v>
      </c>
      <c r="H2302" t="s">
        <v>1330</v>
      </c>
      <c r="I2302" t="s">
        <v>133</v>
      </c>
      <c r="J2302">
        <v>1</v>
      </c>
      <c r="K2302">
        <v>5250</v>
      </c>
      <c r="L2302">
        <v>15000</v>
      </c>
      <c r="M2302">
        <v>15000</v>
      </c>
      <c r="N2302" t="s">
        <v>19</v>
      </c>
    </row>
    <row r="2303" spans="1:14" x14ac:dyDescent="0.25">
      <c r="A2303" t="s">
        <v>1514</v>
      </c>
      <c r="B2303" t="s">
        <v>2353</v>
      </c>
      <c r="C2303" t="s">
        <v>336</v>
      </c>
      <c r="D2303" t="s">
        <v>20</v>
      </c>
      <c r="E2303" t="s">
        <v>434</v>
      </c>
      <c r="F2303" t="s">
        <v>15</v>
      </c>
      <c r="G2303" t="s">
        <v>22</v>
      </c>
      <c r="H2303" t="s">
        <v>1330</v>
      </c>
      <c r="I2303" t="s">
        <v>170</v>
      </c>
      <c r="J2303">
        <v>1</v>
      </c>
      <c r="K2303">
        <v>5000</v>
      </c>
      <c r="L2303">
        <v>5000</v>
      </c>
      <c r="M2303">
        <v>5000</v>
      </c>
      <c r="N2303" t="s">
        <v>19</v>
      </c>
    </row>
    <row r="2304" spans="1:14" x14ac:dyDescent="0.25">
      <c r="A2304" t="s">
        <v>1514</v>
      </c>
      <c r="B2304" t="s">
        <v>2353</v>
      </c>
      <c r="C2304" t="s">
        <v>336</v>
      </c>
      <c r="D2304" t="s">
        <v>20</v>
      </c>
      <c r="E2304" t="s">
        <v>434</v>
      </c>
      <c r="F2304" t="s">
        <v>15</v>
      </c>
      <c r="G2304" t="s">
        <v>22</v>
      </c>
      <c r="H2304" t="s">
        <v>1330</v>
      </c>
      <c r="I2304" t="s">
        <v>24</v>
      </c>
      <c r="J2304">
        <v>1</v>
      </c>
      <c r="K2304">
        <v>5000</v>
      </c>
      <c r="L2304">
        <v>5000</v>
      </c>
      <c r="M2304">
        <v>5000</v>
      </c>
      <c r="N2304" t="s">
        <v>19</v>
      </c>
    </row>
    <row r="2305" spans="1:14" x14ac:dyDescent="0.25">
      <c r="A2305" t="s">
        <v>1514</v>
      </c>
      <c r="B2305" t="s">
        <v>2353</v>
      </c>
      <c r="C2305" t="s">
        <v>336</v>
      </c>
      <c r="D2305" t="s">
        <v>20</v>
      </c>
      <c r="E2305" t="s">
        <v>434</v>
      </c>
      <c r="F2305" t="s">
        <v>15</v>
      </c>
      <c r="G2305" t="s">
        <v>22</v>
      </c>
      <c r="H2305" t="s">
        <v>1330</v>
      </c>
      <c r="I2305" t="s">
        <v>1337</v>
      </c>
      <c r="J2305">
        <v>1</v>
      </c>
      <c r="K2305">
        <v>13000</v>
      </c>
      <c r="L2305">
        <v>17500</v>
      </c>
      <c r="M2305">
        <v>17500</v>
      </c>
      <c r="N2305" t="s">
        <v>19</v>
      </c>
    </row>
    <row r="2306" spans="1:14" x14ac:dyDescent="0.25">
      <c r="A2306" t="s">
        <v>1514</v>
      </c>
      <c r="B2306" t="s">
        <v>2353</v>
      </c>
      <c r="C2306" t="s">
        <v>336</v>
      </c>
      <c r="D2306" t="s">
        <v>20</v>
      </c>
      <c r="E2306" t="s">
        <v>434</v>
      </c>
      <c r="F2306" t="s">
        <v>15</v>
      </c>
      <c r="G2306" t="s">
        <v>22</v>
      </c>
      <c r="H2306" t="s">
        <v>1330</v>
      </c>
      <c r="I2306" t="s">
        <v>393</v>
      </c>
      <c r="J2306">
        <v>1</v>
      </c>
      <c r="K2306">
        <v>500</v>
      </c>
      <c r="L2306">
        <v>500</v>
      </c>
      <c r="M2306">
        <v>500</v>
      </c>
      <c r="N2306" t="s">
        <v>19</v>
      </c>
    </row>
    <row r="2307" spans="1:14" x14ac:dyDescent="0.25">
      <c r="A2307" t="s">
        <v>1514</v>
      </c>
      <c r="B2307" t="s">
        <v>2353</v>
      </c>
      <c r="C2307" t="s">
        <v>336</v>
      </c>
      <c r="D2307" t="s">
        <v>20</v>
      </c>
      <c r="E2307" t="s">
        <v>434</v>
      </c>
      <c r="F2307" t="s">
        <v>15</v>
      </c>
      <c r="G2307" t="s">
        <v>22</v>
      </c>
      <c r="H2307" t="s">
        <v>1330</v>
      </c>
      <c r="I2307" t="s">
        <v>26</v>
      </c>
      <c r="J2307">
        <v>1</v>
      </c>
      <c r="K2307">
        <v>500</v>
      </c>
      <c r="L2307">
        <v>500</v>
      </c>
      <c r="M2307">
        <v>500</v>
      </c>
      <c r="N2307" t="s">
        <v>19</v>
      </c>
    </row>
    <row r="2308" spans="1:14" x14ac:dyDescent="0.25">
      <c r="A2308" t="s">
        <v>1581</v>
      </c>
      <c r="B2308" t="s">
        <v>2354</v>
      </c>
      <c r="C2308" t="s">
        <v>1286</v>
      </c>
      <c r="D2308" t="s">
        <v>87</v>
      </c>
      <c r="E2308" t="s">
        <v>87</v>
      </c>
      <c r="F2308" t="s">
        <v>15</v>
      </c>
      <c r="G2308" t="s">
        <v>37</v>
      </c>
      <c r="H2308" t="s">
        <v>1287</v>
      </c>
      <c r="I2308" t="s">
        <v>89</v>
      </c>
      <c r="J2308">
        <v>50</v>
      </c>
      <c r="K2308">
        <v>32</v>
      </c>
      <c r="L2308">
        <v>50</v>
      </c>
      <c r="M2308">
        <v>2500</v>
      </c>
      <c r="N2308" t="s">
        <v>39</v>
      </c>
    </row>
    <row r="2309" spans="1:14" x14ac:dyDescent="0.25">
      <c r="A2309" t="s">
        <v>1500</v>
      </c>
      <c r="B2309" t="s">
        <v>2355</v>
      </c>
      <c r="C2309" t="s">
        <v>344</v>
      </c>
      <c r="D2309" t="s">
        <v>20</v>
      </c>
      <c r="E2309" t="s">
        <v>1326</v>
      </c>
      <c r="F2309" t="s">
        <v>15</v>
      </c>
      <c r="G2309" t="s">
        <v>22</v>
      </c>
      <c r="H2309" t="s">
        <v>1341</v>
      </c>
      <c r="I2309" t="s">
        <v>1342</v>
      </c>
      <c r="J2309">
        <v>2</v>
      </c>
      <c r="K2309">
        <v>9500</v>
      </c>
      <c r="L2309">
        <v>13750</v>
      </c>
      <c r="M2309">
        <v>27500</v>
      </c>
      <c r="N2309" t="s">
        <v>19</v>
      </c>
    </row>
    <row r="2310" spans="1:14" x14ac:dyDescent="0.25">
      <c r="A2310" t="s">
        <v>1500</v>
      </c>
      <c r="B2310" t="s">
        <v>2355</v>
      </c>
      <c r="C2310" t="s">
        <v>344</v>
      </c>
      <c r="D2310" t="s">
        <v>20</v>
      </c>
      <c r="E2310" t="s">
        <v>1326</v>
      </c>
      <c r="F2310" t="s">
        <v>15</v>
      </c>
      <c r="G2310" t="s">
        <v>22</v>
      </c>
      <c r="H2310" t="s">
        <v>1341</v>
      </c>
      <c r="I2310" t="s">
        <v>1343</v>
      </c>
      <c r="J2310">
        <v>1</v>
      </c>
      <c r="K2310">
        <v>1014.72</v>
      </c>
      <c r="L2310">
        <v>2000</v>
      </c>
      <c r="M2310">
        <v>2000</v>
      </c>
      <c r="N2310" t="s">
        <v>19</v>
      </c>
    </row>
    <row r="2311" spans="1:14" x14ac:dyDescent="0.25">
      <c r="A2311" t="s">
        <v>1500</v>
      </c>
      <c r="B2311" t="s">
        <v>2355</v>
      </c>
      <c r="C2311" t="s">
        <v>344</v>
      </c>
      <c r="D2311" t="s">
        <v>20</v>
      </c>
      <c r="E2311" t="s">
        <v>1326</v>
      </c>
      <c r="F2311" t="s">
        <v>15</v>
      </c>
      <c r="G2311" t="s">
        <v>22</v>
      </c>
      <c r="H2311" t="s">
        <v>1341</v>
      </c>
      <c r="I2311" t="s">
        <v>393</v>
      </c>
      <c r="J2311">
        <v>1</v>
      </c>
      <c r="K2311">
        <v>500</v>
      </c>
      <c r="L2311">
        <v>500</v>
      </c>
      <c r="M2311">
        <v>500</v>
      </c>
      <c r="N2311" t="s">
        <v>19</v>
      </c>
    </row>
    <row r="2312" spans="1:14" x14ac:dyDescent="0.25">
      <c r="A2312" t="s">
        <v>1511</v>
      </c>
      <c r="B2312" t="s">
        <v>2356</v>
      </c>
      <c r="C2312" t="s">
        <v>346</v>
      </c>
      <c r="D2312" t="s">
        <v>20</v>
      </c>
      <c r="E2312" t="s">
        <v>623</v>
      </c>
      <c r="F2312" t="s">
        <v>15</v>
      </c>
      <c r="G2312" t="s">
        <v>22</v>
      </c>
      <c r="H2312" t="s">
        <v>1350</v>
      </c>
      <c r="I2312" t="s">
        <v>1351</v>
      </c>
      <c r="J2312">
        <v>1</v>
      </c>
      <c r="K2312">
        <v>650</v>
      </c>
      <c r="L2312">
        <v>2000</v>
      </c>
      <c r="M2312">
        <v>2000</v>
      </c>
      <c r="N2312" t="s">
        <v>19</v>
      </c>
    </row>
    <row r="2313" spans="1:14" x14ac:dyDescent="0.25">
      <c r="A2313" t="s">
        <v>1647</v>
      </c>
      <c r="B2313" t="s">
        <v>2357</v>
      </c>
      <c r="C2313" t="s">
        <v>1289</v>
      </c>
      <c r="D2313" t="s">
        <v>57</v>
      </c>
      <c r="E2313" t="s">
        <v>58</v>
      </c>
      <c r="F2313" t="s">
        <v>15</v>
      </c>
      <c r="G2313" t="s">
        <v>37</v>
      </c>
      <c r="H2313" t="s">
        <v>1290</v>
      </c>
      <c r="I2313" t="s">
        <v>97</v>
      </c>
      <c r="J2313">
        <v>1</v>
      </c>
      <c r="K2313">
        <v>2200</v>
      </c>
      <c r="L2313">
        <v>4500</v>
      </c>
      <c r="M2313">
        <v>4500</v>
      </c>
      <c r="N2313" t="s">
        <v>19</v>
      </c>
    </row>
    <row r="2314" spans="1:14" x14ac:dyDescent="0.25">
      <c r="A2314" t="s">
        <v>1647</v>
      </c>
      <c r="B2314" t="s">
        <v>2357</v>
      </c>
      <c r="C2314" t="s">
        <v>1289</v>
      </c>
      <c r="D2314" t="s">
        <v>57</v>
      </c>
      <c r="E2314" t="s">
        <v>58</v>
      </c>
      <c r="F2314" t="s">
        <v>15</v>
      </c>
      <c r="G2314" t="s">
        <v>37</v>
      </c>
      <c r="H2314" t="s">
        <v>1290</v>
      </c>
      <c r="I2314" t="s">
        <v>63</v>
      </c>
      <c r="J2314">
        <v>1</v>
      </c>
      <c r="K2314">
        <v>200</v>
      </c>
      <c r="L2314">
        <v>200</v>
      </c>
      <c r="M2314">
        <v>200</v>
      </c>
      <c r="N2314" t="s">
        <v>19</v>
      </c>
    </row>
    <row r="2315" spans="1:14" x14ac:dyDescent="0.25">
      <c r="A2315" t="s">
        <v>1660</v>
      </c>
      <c r="B2315" t="s">
        <v>2358</v>
      </c>
      <c r="C2315" t="s">
        <v>1291</v>
      </c>
      <c r="D2315" t="s">
        <v>296</v>
      </c>
      <c r="E2315" t="s">
        <v>296</v>
      </c>
      <c r="F2315" t="s">
        <v>830</v>
      </c>
      <c r="G2315" t="s">
        <v>831</v>
      </c>
      <c r="H2315" t="s">
        <v>1290</v>
      </c>
      <c r="I2315" t="s">
        <v>1292</v>
      </c>
      <c r="J2315">
        <v>2</v>
      </c>
      <c r="K2315">
        <v>11000</v>
      </c>
      <c r="L2315">
        <v>15250</v>
      </c>
      <c r="M2315">
        <v>30500</v>
      </c>
      <c r="N2315" t="s">
        <v>39</v>
      </c>
    </row>
    <row r="2316" spans="1:14" x14ac:dyDescent="0.25">
      <c r="A2316" t="s">
        <v>1660</v>
      </c>
      <c r="B2316" t="s">
        <v>2358</v>
      </c>
      <c r="C2316" t="s">
        <v>1291</v>
      </c>
      <c r="D2316" t="s">
        <v>296</v>
      </c>
      <c r="E2316" t="s">
        <v>296</v>
      </c>
      <c r="F2316" t="s">
        <v>830</v>
      </c>
      <c r="G2316" t="s">
        <v>831</v>
      </c>
      <c r="H2316" t="s">
        <v>1290</v>
      </c>
      <c r="I2316" t="s">
        <v>93</v>
      </c>
      <c r="J2316">
        <v>2</v>
      </c>
      <c r="K2316">
        <v>11000</v>
      </c>
      <c r="L2316">
        <v>15000</v>
      </c>
      <c r="M2316">
        <v>30000</v>
      </c>
      <c r="N2316" t="s">
        <v>39</v>
      </c>
    </row>
    <row r="2317" spans="1:14" x14ac:dyDescent="0.25">
      <c r="A2317" t="s">
        <v>1660</v>
      </c>
      <c r="B2317" t="s">
        <v>2358</v>
      </c>
      <c r="C2317" t="s">
        <v>1291</v>
      </c>
      <c r="D2317" t="s">
        <v>296</v>
      </c>
      <c r="E2317" t="s">
        <v>296</v>
      </c>
      <c r="F2317" t="s">
        <v>830</v>
      </c>
      <c r="G2317" t="s">
        <v>831</v>
      </c>
      <c r="H2317" t="s">
        <v>1290</v>
      </c>
      <c r="I2317" t="s">
        <v>76</v>
      </c>
      <c r="J2317">
        <v>1</v>
      </c>
      <c r="K2317">
        <v>500</v>
      </c>
      <c r="L2317">
        <v>500</v>
      </c>
      <c r="M2317">
        <v>500</v>
      </c>
      <c r="N2317" t="s">
        <v>39</v>
      </c>
    </row>
    <row r="2318" spans="1:14" x14ac:dyDescent="0.25">
      <c r="A2318" t="s">
        <v>1550</v>
      </c>
      <c r="B2318" t="s">
        <v>2359</v>
      </c>
      <c r="C2318" t="s">
        <v>1293</v>
      </c>
      <c r="D2318" t="s">
        <v>179</v>
      </c>
      <c r="E2318" t="s">
        <v>180</v>
      </c>
      <c r="F2318" t="s">
        <v>710</v>
      </c>
      <c r="G2318" t="s">
        <v>22</v>
      </c>
      <c r="H2318" t="s">
        <v>1294</v>
      </c>
      <c r="I2318" t="s">
        <v>1295</v>
      </c>
      <c r="J2318">
        <v>1</v>
      </c>
      <c r="K2318">
        <v>2500</v>
      </c>
      <c r="L2318">
        <v>3500</v>
      </c>
      <c r="M2318">
        <v>3500</v>
      </c>
      <c r="N2318" t="s">
        <v>39</v>
      </c>
    </row>
    <row r="2319" spans="1:14" x14ac:dyDescent="0.25">
      <c r="A2319" t="s">
        <v>1469</v>
      </c>
      <c r="B2319" t="s">
        <v>2360</v>
      </c>
      <c r="C2319" t="s">
        <v>1296</v>
      </c>
      <c r="D2319" t="s">
        <v>363</v>
      </c>
      <c r="E2319" t="s">
        <v>364</v>
      </c>
      <c r="F2319" t="s">
        <v>15</v>
      </c>
      <c r="G2319" t="s">
        <v>37</v>
      </c>
      <c r="H2319" t="s">
        <v>1294</v>
      </c>
      <c r="I2319" t="s">
        <v>38</v>
      </c>
      <c r="J2319">
        <v>1</v>
      </c>
      <c r="K2319">
        <v>8500</v>
      </c>
      <c r="L2319">
        <v>10807.14</v>
      </c>
      <c r="M2319">
        <v>10807.14</v>
      </c>
      <c r="N2319" t="s">
        <v>19</v>
      </c>
    </row>
    <row r="2320" spans="1:14" x14ac:dyDescent="0.25">
      <c r="A2320" t="s">
        <v>1469</v>
      </c>
      <c r="B2320" t="s">
        <v>2360</v>
      </c>
      <c r="C2320" t="s">
        <v>1296</v>
      </c>
      <c r="D2320" t="s">
        <v>363</v>
      </c>
      <c r="E2320" t="s">
        <v>364</v>
      </c>
      <c r="F2320" t="s">
        <v>15</v>
      </c>
      <c r="G2320" t="s">
        <v>37</v>
      </c>
      <c r="H2320" t="s">
        <v>1294</v>
      </c>
      <c r="I2320" t="s">
        <v>1297</v>
      </c>
      <c r="J2320">
        <v>1</v>
      </c>
      <c r="K2320">
        <v>892.86</v>
      </c>
      <c r="L2320">
        <v>892.86</v>
      </c>
      <c r="M2320">
        <v>892.86</v>
      </c>
      <c r="N2320" t="s">
        <v>19</v>
      </c>
    </row>
    <row r="2321" spans="1:14" x14ac:dyDescent="0.25">
      <c r="A2321" t="s">
        <v>1469</v>
      </c>
      <c r="B2321" t="s">
        <v>2360</v>
      </c>
      <c r="C2321" t="s">
        <v>1296</v>
      </c>
      <c r="D2321" t="s">
        <v>363</v>
      </c>
      <c r="E2321" t="s">
        <v>364</v>
      </c>
      <c r="F2321" t="s">
        <v>15</v>
      </c>
      <c r="G2321" t="s">
        <v>37</v>
      </c>
      <c r="H2321" t="s">
        <v>1294</v>
      </c>
      <c r="I2321" t="s">
        <v>63</v>
      </c>
      <c r="J2321">
        <v>1</v>
      </c>
      <c r="K2321">
        <v>300</v>
      </c>
      <c r="L2321">
        <v>300</v>
      </c>
      <c r="M2321">
        <v>300</v>
      </c>
      <c r="N2321" t="s">
        <v>19</v>
      </c>
    </row>
    <row r="2322" spans="1:14" x14ac:dyDescent="0.25">
      <c r="A2322" t="s">
        <v>1612</v>
      </c>
      <c r="B2322" t="s">
        <v>2361</v>
      </c>
      <c r="C2322" t="s">
        <v>1205</v>
      </c>
      <c r="D2322" t="s">
        <v>1405</v>
      </c>
      <c r="E2322" t="s">
        <v>1406</v>
      </c>
      <c r="F2322" t="s">
        <v>15</v>
      </c>
      <c r="G2322" t="s">
        <v>37</v>
      </c>
      <c r="H2322" t="s">
        <v>1407</v>
      </c>
      <c r="I2322" t="s">
        <v>33</v>
      </c>
      <c r="J2322">
        <v>1</v>
      </c>
      <c r="K2322">
        <v>18000</v>
      </c>
      <c r="L2322">
        <v>18000</v>
      </c>
      <c r="M2322">
        <v>18000</v>
      </c>
      <c r="N2322" t="s">
        <v>19</v>
      </c>
    </row>
    <row r="2323" spans="1:14" x14ac:dyDescent="0.25">
      <c r="A2323" t="s">
        <v>1542</v>
      </c>
      <c r="B2323" t="s">
        <v>2362</v>
      </c>
      <c r="C2323" t="s">
        <v>1209</v>
      </c>
      <c r="D2323" t="s">
        <v>1160</v>
      </c>
      <c r="E2323" t="s">
        <v>1095</v>
      </c>
      <c r="F2323" t="s">
        <v>15</v>
      </c>
      <c r="G2323" t="s">
        <v>1007</v>
      </c>
      <c r="H2323" t="s">
        <v>1407</v>
      </c>
      <c r="I2323" t="s">
        <v>1163</v>
      </c>
      <c r="J2323">
        <v>2</v>
      </c>
      <c r="K2323">
        <v>18000</v>
      </c>
      <c r="L2323">
        <v>16000</v>
      </c>
      <c r="M2323">
        <v>32000</v>
      </c>
      <c r="N2323" t="s">
        <v>19</v>
      </c>
    </row>
    <row r="2324" spans="1:14" x14ac:dyDescent="0.25">
      <c r="A2324" t="s">
        <v>1523</v>
      </c>
      <c r="B2324" t="s">
        <v>2363</v>
      </c>
      <c r="C2324" t="s">
        <v>351</v>
      </c>
      <c r="D2324" t="s">
        <v>20</v>
      </c>
      <c r="E2324" t="s">
        <v>1300</v>
      </c>
      <c r="F2324" t="s">
        <v>15</v>
      </c>
      <c r="G2324" t="s">
        <v>22</v>
      </c>
      <c r="H2324" t="s">
        <v>1354</v>
      </c>
      <c r="I2324" t="s">
        <v>1301</v>
      </c>
      <c r="J2324">
        <v>1</v>
      </c>
      <c r="K2324">
        <v>14500</v>
      </c>
      <c r="L2324">
        <v>14500</v>
      </c>
      <c r="M2324">
        <v>14500</v>
      </c>
      <c r="N2324" t="s">
        <v>19</v>
      </c>
    </row>
    <row r="2325" spans="1:14" x14ac:dyDescent="0.25">
      <c r="A2325" t="s">
        <v>1523</v>
      </c>
      <c r="B2325" t="s">
        <v>2363</v>
      </c>
      <c r="C2325" t="s">
        <v>351</v>
      </c>
      <c r="D2325" t="s">
        <v>20</v>
      </c>
      <c r="E2325" t="s">
        <v>1300</v>
      </c>
      <c r="F2325" t="s">
        <v>15</v>
      </c>
      <c r="G2325" t="s">
        <v>22</v>
      </c>
      <c r="H2325" t="s">
        <v>1354</v>
      </c>
      <c r="I2325" t="s">
        <v>1307</v>
      </c>
      <c r="J2325">
        <v>1</v>
      </c>
      <c r="K2325">
        <v>22450</v>
      </c>
      <c r="L2325">
        <v>32000</v>
      </c>
      <c r="M2325">
        <v>32000</v>
      </c>
      <c r="N2325" t="s">
        <v>19</v>
      </c>
    </row>
    <row r="2326" spans="1:14" x14ac:dyDescent="0.25">
      <c r="A2326" t="s">
        <v>1523</v>
      </c>
      <c r="B2326" t="s">
        <v>2363</v>
      </c>
      <c r="C2326" t="s">
        <v>351</v>
      </c>
      <c r="D2326" t="s">
        <v>20</v>
      </c>
      <c r="E2326" t="s">
        <v>1300</v>
      </c>
      <c r="F2326" t="s">
        <v>15</v>
      </c>
      <c r="G2326" t="s">
        <v>22</v>
      </c>
      <c r="H2326" t="s">
        <v>1354</v>
      </c>
      <c r="I2326" t="s">
        <v>26</v>
      </c>
      <c r="J2326">
        <v>1</v>
      </c>
      <c r="K2326">
        <v>500</v>
      </c>
      <c r="L2326">
        <v>500</v>
      </c>
      <c r="M2326">
        <v>500</v>
      </c>
      <c r="N2326" t="s">
        <v>19</v>
      </c>
    </row>
    <row r="2327" spans="1:14" x14ac:dyDescent="0.25">
      <c r="A2327" t="s">
        <v>1523</v>
      </c>
      <c r="B2327" t="s">
        <v>2363</v>
      </c>
      <c r="C2327" t="s">
        <v>351</v>
      </c>
      <c r="D2327" t="s">
        <v>20</v>
      </c>
      <c r="E2327" t="s">
        <v>1300</v>
      </c>
      <c r="F2327" t="s">
        <v>15</v>
      </c>
      <c r="G2327" t="s">
        <v>22</v>
      </c>
      <c r="H2327" t="s">
        <v>1354</v>
      </c>
      <c r="I2327" t="s">
        <v>1301</v>
      </c>
      <c r="J2327">
        <v>1</v>
      </c>
      <c r="K2327">
        <v>14500</v>
      </c>
      <c r="L2327">
        <v>14500</v>
      </c>
      <c r="M2327">
        <v>14500</v>
      </c>
      <c r="N2327" t="s">
        <v>19</v>
      </c>
    </row>
    <row r="2328" spans="1:14" x14ac:dyDescent="0.25">
      <c r="A2328" t="s">
        <v>1523</v>
      </c>
      <c r="B2328" t="s">
        <v>2363</v>
      </c>
      <c r="C2328" t="s">
        <v>351</v>
      </c>
      <c r="D2328" t="s">
        <v>20</v>
      </c>
      <c r="E2328" t="s">
        <v>1300</v>
      </c>
      <c r="F2328" t="s">
        <v>15</v>
      </c>
      <c r="G2328" t="s">
        <v>22</v>
      </c>
      <c r="H2328" t="s">
        <v>1354</v>
      </c>
      <c r="I2328" t="s">
        <v>1307</v>
      </c>
      <c r="J2328">
        <v>1</v>
      </c>
      <c r="K2328">
        <v>22450</v>
      </c>
      <c r="L2328">
        <v>32000</v>
      </c>
      <c r="M2328">
        <v>32000</v>
      </c>
      <c r="N2328" t="s">
        <v>19</v>
      </c>
    </row>
    <row r="2329" spans="1:14" x14ac:dyDescent="0.25">
      <c r="A2329" t="s">
        <v>1523</v>
      </c>
      <c r="B2329" t="s">
        <v>2363</v>
      </c>
      <c r="C2329" t="s">
        <v>351</v>
      </c>
      <c r="D2329" t="s">
        <v>20</v>
      </c>
      <c r="E2329" t="s">
        <v>1300</v>
      </c>
      <c r="F2329" t="s">
        <v>15</v>
      </c>
      <c r="G2329" t="s">
        <v>22</v>
      </c>
      <c r="H2329" t="s">
        <v>1354</v>
      </c>
      <c r="I2329" t="s">
        <v>26</v>
      </c>
      <c r="J2329">
        <v>1</v>
      </c>
      <c r="K2329">
        <v>500</v>
      </c>
      <c r="L2329">
        <v>500</v>
      </c>
      <c r="M2329">
        <v>500</v>
      </c>
      <c r="N2329" t="s">
        <v>19</v>
      </c>
    </row>
    <row r="2330" spans="1:14" x14ac:dyDescent="0.25">
      <c r="A2330" t="s">
        <v>1523</v>
      </c>
      <c r="B2330" t="s">
        <v>2364</v>
      </c>
      <c r="C2330" t="s">
        <v>353</v>
      </c>
      <c r="D2330" t="s">
        <v>20</v>
      </c>
      <c r="E2330" t="s">
        <v>1300</v>
      </c>
      <c r="F2330" t="s">
        <v>15</v>
      </c>
      <c r="G2330" t="s">
        <v>22</v>
      </c>
      <c r="H2330" t="s">
        <v>1354</v>
      </c>
      <c r="I2330" t="s">
        <v>1301</v>
      </c>
      <c r="J2330">
        <v>1</v>
      </c>
      <c r="K2330">
        <v>14500</v>
      </c>
      <c r="L2330">
        <v>14500</v>
      </c>
      <c r="M2330">
        <v>14500</v>
      </c>
      <c r="N2330" t="s">
        <v>19</v>
      </c>
    </row>
    <row r="2331" spans="1:14" x14ac:dyDescent="0.25">
      <c r="A2331" t="s">
        <v>1523</v>
      </c>
      <c r="B2331" t="s">
        <v>2364</v>
      </c>
      <c r="C2331" t="s">
        <v>353</v>
      </c>
      <c r="D2331" t="s">
        <v>20</v>
      </c>
      <c r="E2331" t="s">
        <v>1300</v>
      </c>
      <c r="F2331" t="s">
        <v>15</v>
      </c>
      <c r="G2331" t="s">
        <v>22</v>
      </c>
      <c r="H2331" t="s">
        <v>1354</v>
      </c>
      <c r="I2331" t="s">
        <v>1307</v>
      </c>
      <c r="J2331">
        <v>1</v>
      </c>
      <c r="K2331">
        <v>22450</v>
      </c>
      <c r="L2331">
        <v>32000</v>
      </c>
      <c r="M2331">
        <v>32000</v>
      </c>
      <c r="N2331" t="s">
        <v>19</v>
      </c>
    </row>
    <row r="2332" spans="1:14" x14ac:dyDescent="0.25">
      <c r="A2332" t="s">
        <v>1523</v>
      </c>
      <c r="B2332" t="s">
        <v>2364</v>
      </c>
      <c r="C2332" t="s">
        <v>353</v>
      </c>
      <c r="D2332" t="s">
        <v>20</v>
      </c>
      <c r="E2332" t="s">
        <v>1300</v>
      </c>
      <c r="F2332" t="s">
        <v>15</v>
      </c>
      <c r="G2332" t="s">
        <v>22</v>
      </c>
      <c r="H2332" t="s">
        <v>1354</v>
      </c>
      <c r="I2332" t="s">
        <v>26</v>
      </c>
      <c r="J2332">
        <v>1</v>
      </c>
      <c r="K2332">
        <v>500</v>
      </c>
      <c r="L2332">
        <v>500</v>
      </c>
      <c r="M2332">
        <v>500</v>
      </c>
      <c r="N2332" t="s">
        <v>19</v>
      </c>
    </row>
    <row r="2333" spans="1:14" x14ac:dyDescent="0.25">
      <c r="A2333" t="s">
        <v>1523</v>
      </c>
      <c r="B2333" t="s">
        <v>2365</v>
      </c>
      <c r="C2333" t="s">
        <v>356</v>
      </c>
      <c r="D2333" t="s">
        <v>20</v>
      </c>
      <c r="E2333" t="s">
        <v>1300</v>
      </c>
      <c r="F2333" t="s">
        <v>15</v>
      </c>
      <c r="G2333" t="s">
        <v>22</v>
      </c>
      <c r="H2333" t="s">
        <v>1354</v>
      </c>
      <c r="I2333" t="s">
        <v>1301</v>
      </c>
      <c r="J2333">
        <v>1</v>
      </c>
      <c r="K2333">
        <v>17000</v>
      </c>
      <c r="L2333">
        <v>17000</v>
      </c>
      <c r="M2333">
        <v>17000</v>
      </c>
      <c r="N2333" t="s">
        <v>19</v>
      </c>
    </row>
    <row r="2334" spans="1:14" x14ac:dyDescent="0.25">
      <c r="A2334" t="s">
        <v>1523</v>
      </c>
      <c r="B2334" t="s">
        <v>2365</v>
      </c>
      <c r="C2334" t="s">
        <v>356</v>
      </c>
      <c r="D2334" t="s">
        <v>20</v>
      </c>
      <c r="E2334" t="s">
        <v>1300</v>
      </c>
      <c r="F2334" t="s">
        <v>15</v>
      </c>
      <c r="G2334" t="s">
        <v>22</v>
      </c>
      <c r="H2334" t="s">
        <v>1354</v>
      </c>
      <c r="I2334" t="s">
        <v>1302</v>
      </c>
      <c r="J2334">
        <v>1</v>
      </c>
      <c r="K2334">
        <v>5200</v>
      </c>
      <c r="L2334">
        <v>7500</v>
      </c>
      <c r="M2334">
        <v>7500</v>
      </c>
      <c r="N2334" t="s">
        <v>19</v>
      </c>
    </row>
    <row r="2335" spans="1:14" x14ac:dyDescent="0.25">
      <c r="A2335" t="s">
        <v>1523</v>
      </c>
      <c r="B2335" t="s">
        <v>2365</v>
      </c>
      <c r="C2335" t="s">
        <v>356</v>
      </c>
      <c r="D2335" t="s">
        <v>20</v>
      </c>
      <c r="E2335" t="s">
        <v>1300</v>
      </c>
      <c r="F2335" t="s">
        <v>15</v>
      </c>
      <c r="G2335" t="s">
        <v>22</v>
      </c>
      <c r="H2335" t="s">
        <v>1354</v>
      </c>
      <c r="I2335" t="s">
        <v>99</v>
      </c>
      <c r="J2335">
        <v>1</v>
      </c>
      <c r="K2335">
        <v>2000</v>
      </c>
      <c r="L2335">
        <v>4000</v>
      </c>
      <c r="M2335">
        <v>4000</v>
      </c>
      <c r="N2335" t="s">
        <v>19</v>
      </c>
    </row>
    <row r="2336" spans="1:14" x14ac:dyDescent="0.25">
      <c r="A2336" t="s">
        <v>1523</v>
      </c>
      <c r="B2336" t="s">
        <v>2365</v>
      </c>
      <c r="C2336" t="s">
        <v>356</v>
      </c>
      <c r="D2336" t="s">
        <v>20</v>
      </c>
      <c r="E2336" t="s">
        <v>1300</v>
      </c>
      <c r="F2336" t="s">
        <v>15</v>
      </c>
      <c r="G2336" t="s">
        <v>22</v>
      </c>
      <c r="H2336" t="s">
        <v>1354</v>
      </c>
      <c r="I2336" t="s">
        <v>1356</v>
      </c>
      <c r="J2336">
        <v>1</v>
      </c>
      <c r="K2336">
        <v>3900</v>
      </c>
      <c r="L2336">
        <v>5500</v>
      </c>
      <c r="M2336">
        <v>5500</v>
      </c>
      <c r="N2336" t="s">
        <v>19</v>
      </c>
    </row>
    <row r="2337" spans="1:14" x14ac:dyDescent="0.25">
      <c r="A2337" t="s">
        <v>1523</v>
      </c>
      <c r="B2337" t="s">
        <v>2365</v>
      </c>
      <c r="C2337" t="s">
        <v>356</v>
      </c>
      <c r="D2337" t="s">
        <v>20</v>
      </c>
      <c r="E2337" t="s">
        <v>1300</v>
      </c>
      <c r="F2337" t="s">
        <v>15</v>
      </c>
      <c r="G2337" t="s">
        <v>22</v>
      </c>
      <c r="H2337" t="s">
        <v>1354</v>
      </c>
      <c r="I2337" t="s">
        <v>26</v>
      </c>
      <c r="J2337">
        <v>1</v>
      </c>
      <c r="K2337">
        <v>500</v>
      </c>
      <c r="L2337">
        <v>500</v>
      </c>
      <c r="M2337">
        <v>500</v>
      </c>
      <c r="N2337" t="s">
        <v>19</v>
      </c>
    </row>
    <row r="2338" spans="1:14" x14ac:dyDescent="0.25">
      <c r="A2338" t="s">
        <v>1511</v>
      </c>
      <c r="B2338" t="s">
        <v>2366</v>
      </c>
      <c r="C2338" t="s">
        <v>362</v>
      </c>
      <c r="D2338" t="s">
        <v>20</v>
      </c>
      <c r="E2338" t="s">
        <v>623</v>
      </c>
      <c r="F2338" t="s">
        <v>15</v>
      </c>
      <c r="G2338" t="s">
        <v>22</v>
      </c>
      <c r="H2338" t="s">
        <v>1354</v>
      </c>
      <c r="I2338" t="s">
        <v>1359</v>
      </c>
      <c r="J2338">
        <v>1</v>
      </c>
      <c r="K2338">
        <v>28275</v>
      </c>
      <c r="L2338">
        <v>31500</v>
      </c>
      <c r="M2338">
        <v>31500</v>
      </c>
      <c r="N2338" t="s">
        <v>19</v>
      </c>
    </row>
    <row r="2339" spans="1:14" x14ac:dyDescent="0.25">
      <c r="A2339" t="s">
        <v>1511</v>
      </c>
      <c r="B2339" t="s">
        <v>2366</v>
      </c>
      <c r="C2339" t="s">
        <v>362</v>
      </c>
      <c r="D2339" t="s">
        <v>20</v>
      </c>
      <c r="E2339" t="s">
        <v>623</v>
      </c>
      <c r="F2339" t="s">
        <v>15</v>
      </c>
      <c r="G2339" t="s">
        <v>22</v>
      </c>
      <c r="H2339" t="s">
        <v>1354</v>
      </c>
      <c r="I2339" t="s">
        <v>99</v>
      </c>
      <c r="J2339">
        <v>1</v>
      </c>
      <c r="K2339">
        <v>2000</v>
      </c>
      <c r="L2339">
        <v>4000</v>
      </c>
      <c r="M2339">
        <v>4000</v>
      </c>
      <c r="N2339" t="s">
        <v>19</v>
      </c>
    </row>
    <row r="2340" spans="1:14" x14ac:dyDescent="0.25">
      <c r="A2340" t="s">
        <v>1511</v>
      </c>
      <c r="B2340" t="s">
        <v>2366</v>
      </c>
      <c r="C2340" t="s">
        <v>362</v>
      </c>
      <c r="D2340" t="s">
        <v>20</v>
      </c>
      <c r="E2340" t="s">
        <v>623</v>
      </c>
      <c r="F2340" t="s">
        <v>15</v>
      </c>
      <c r="G2340" t="s">
        <v>22</v>
      </c>
      <c r="H2340" t="s">
        <v>1354</v>
      </c>
      <c r="I2340" t="s">
        <v>26</v>
      </c>
      <c r="J2340">
        <v>1</v>
      </c>
      <c r="K2340">
        <v>500</v>
      </c>
      <c r="L2340">
        <v>500</v>
      </c>
      <c r="M2340">
        <v>500</v>
      </c>
      <c r="N2340" t="s">
        <v>19</v>
      </c>
    </row>
    <row r="2341" spans="1:14" x14ac:dyDescent="0.25">
      <c r="A2341" t="s">
        <v>1486</v>
      </c>
      <c r="B2341" t="s">
        <v>1840</v>
      </c>
      <c r="C2341" t="s">
        <v>368</v>
      </c>
      <c r="D2341" t="s">
        <v>20</v>
      </c>
      <c r="E2341" t="s">
        <v>31</v>
      </c>
      <c r="F2341" t="s">
        <v>15</v>
      </c>
      <c r="G2341" t="s">
        <v>22</v>
      </c>
      <c r="H2341" t="s">
        <v>1362</v>
      </c>
      <c r="I2341" t="s">
        <v>33</v>
      </c>
      <c r="J2341">
        <v>2</v>
      </c>
      <c r="K2341">
        <v>6500</v>
      </c>
      <c r="L2341">
        <v>6500</v>
      </c>
      <c r="M2341">
        <v>13000</v>
      </c>
      <c r="N2341" t="s">
        <v>19</v>
      </c>
    </row>
    <row r="2342" spans="1:14" x14ac:dyDescent="0.25">
      <c r="A2342" t="s">
        <v>1486</v>
      </c>
      <c r="B2342" t="s">
        <v>2367</v>
      </c>
      <c r="C2342" t="s">
        <v>369</v>
      </c>
      <c r="D2342" t="s">
        <v>20</v>
      </c>
      <c r="E2342" t="s">
        <v>31</v>
      </c>
      <c r="F2342" t="s">
        <v>15</v>
      </c>
      <c r="G2342" t="s">
        <v>22</v>
      </c>
      <c r="H2342" t="s">
        <v>1362</v>
      </c>
      <c r="I2342" t="s">
        <v>33</v>
      </c>
      <c r="J2342">
        <v>1</v>
      </c>
      <c r="K2342">
        <v>6500</v>
      </c>
      <c r="L2342">
        <v>6500</v>
      </c>
      <c r="M2342">
        <v>6500</v>
      </c>
      <c r="N2342" t="s">
        <v>19</v>
      </c>
    </row>
    <row r="2343" spans="1:14" x14ac:dyDescent="0.25">
      <c r="A2343" t="s">
        <v>1486</v>
      </c>
      <c r="B2343" t="s">
        <v>2368</v>
      </c>
      <c r="C2343" t="s">
        <v>377</v>
      </c>
      <c r="D2343" t="s">
        <v>20</v>
      </c>
      <c r="E2343" t="s">
        <v>31</v>
      </c>
      <c r="F2343" t="s">
        <v>15</v>
      </c>
      <c r="G2343" t="s">
        <v>22</v>
      </c>
      <c r="H2343" t="s">
        <v>1362</v>
      </c>
      <c r="I2343" t="s">
        <v>33</v>
      </c>
      <c r="J2343">
        <v>3</v>
      </c>
      <c r="K2343">
        <v>6500</v>
      </c>
      <c r="L2343">
        <v>6500</v>
      </c>
      <c r="M2343">
        <v>19500</v>
      </c>
      <c r="N2343" t="s">
        <v>19</v>
      </c>
    </row>
    <row r="2344" spans="1:14" x14ac:dyDescent="0.25">
      <c r="A2344" t="s">
        <v>1486</v>
      </c>
      <c r="B2344" t="s">
        <v>2369</v>
      </c>
      <c r="C2344" t="s">
        <v>382</v>
      </c>
      <c r="D2344" t="s">
        <v>20</v>
      </c>
      <c r="E2344" t="s">
        <v>31</v>
      </c>
      <c r="F2344" t="s">
        <v>15</v>
      </c>
      <c r="G2344" t="s">
        <v>22</v>
      </c>
      <c r="H2344" t="s">
        <v>1362</v>
      </c>
      <c r="I2344" t="s">
        <v>33</v>
      </c>
      <c r="J2344">
        <v>4</v>
      </c>
      <c r="K2344">
        <v>6500</v>
      </c>
      <c r="L2344">
        <v>6500</v>
      </c>
      <c r="M2344">
        <v>26000</v>
      </c>
      <c r="N2344" t="s">
        <v>19</v>
      </c>
    </row>
    <row r="2345" spans="1:14" x14ac:dyDescent="0.25">
      <c r="A2345" t="s">
        <v>1486</v>
      </c>
      <c r="B2345" t="s">
        <v>2370</v>
      </c>
      <c r="C2345" t="s">
        <v>386</v>
      </c>
      <c r="D2345" t="s">
        <v>20</v>
      </c>
      <c r="E2345" t="s">
        <v>31</v>
      </c>
      <c r="F2345" t="s">
        <v>15</v>
      </c>
      <c r="G2345" t="s">
        <v>22</v>
      </c>
      <c r="H2345" t="s">
        <v>1362</v>
      </c>
      <c r="I2345" t="s">
        <v>33</v>
      </c>
      <c r="J2345">
        <v>2</v>
      </c>
      <c r="K2345">
        <v>6500</v>
      </c>
      <c r="L2345">
        <v>6500</v>
      </c>
      <c r="M2345">
        <v>13000</v>
      </c>
      <c r="N2345" t="s">
        <v>19</v>
      </c>
    </row>
    <row r="2346" spans="1:14" x14ac:dyDescent="0.25">
      <c r="A2346" t="s">
        <v>1486</v>
      </c>
      <c r="B2346" t="s">
        <v>2371</v>
      </c>
      <c r="C2346" t="s">
        <v>391</v>
      </c>
      <c r="D2346" t="s">
        <v>20</v>
      </c>
      <c r="E2346" t="s">
        <v>31</v>
      </c>
      <c r="F2346" t="s">
        <v>15</v>
      </c>
      <c r="G2346" t="s">
        <v>22</v>
      </c>
      <c r="H2346" t="s">
        <v>1362</v>
      </c>
      <c r="I2346" t="s">
        <v>33</v>
      </c>
      <c r="J2346">
        <v>1</v>
      </c>
      <c r="K2346">
        <v>6500</v>
      </c>
      <c r="L2346">
        <v>6500</v>
      </c>
      <c r="M2346">
        <v>6500</v>
      </c>
      <c r="N2346" t="s">
        <v>19</v>
      </c>
    </row>
    <row r="2347" spans="1:14" x14ac:dyDescent="0.25">
      <c r="A2347" t="s">
        <v>1616</v>
      </c>
      <c r="B2347" t="s">
        <v>2372</v>
      </c>
      <c r="C2347" t="s">
        <v>1303</v>
      </c>
      <c r="D2347" t="s">
        <v>1304</v>
      </c>
      <c r="E2347" t="s">
        <v>596</v>
      </c>
      <c r="F2347" t="s">
        <v>15</v>
      </c>
      <c r="G2347" t="s">
        <v>22</v>
      </c>
      <c r="H2347" t="s">
        <v>1305</v>
      </c>
      <c r="I2347" t="s">
        <v>1306</v>
      </c>
      <c r="J2347">
        <v>13</v>
      </c>
      <c r="K2347">
        <v>10000</v>
      </c>
      <c r="L2347">
        <v>10000</v>
      </c>
      <c r="M2347">
        <v>130000</v>
      </c>
      <c r="N2347" t="s">
        <v>39</v>
      </c>
    </row>
    <row r="2348" spans="1:14" x14ac:dyDescent="0.25">
      <c r="A2348" t="s">
        <v>1568</v>
      </c>
      <c r="B2348" t="s">
        <v>2373</v>
      </c>
      <c r="C2348" t="s">
        <v>1308</v>
      </c>
      <c r="D2348" t="s">
        <v>1309</v>
      </c>
      <c r="E2348" t="s">
        <v>596</v>
      </c>
      <c r="F2348" t="s">
        <v>15</v>
      </c>
      <c r="G2348" t="s">
        <v>22</v>
      </c>
      <c r="H2348" t="s">
        <v>1305</v>
      </c>
      <c r="I2348" t="s">
        <v>1310</v>
      </c>
      <c r="J2348">
        <v>15</v>
      </c>
      <c r="K2348">
        <v>10000</v>
      </c>
      <c r="L2348">
        <v>10000</v>
      </c>
      <c r="M2348">
        <v>150000</v>
      </c>
      <c r="N2348" t="s">
        <v>39</v>
      </c>
    </row>
    <row r="2349" spans="1:14" x14ac:dyDescent="0.25">
      <c r="A2349" t="s">
        <v>1639</v>
      </c>
      <c r="B2349" t="s">
        <v>2374</v>
      </c>
      <c r="C2349" t="s">
        <v>1311</v>
      </c>
      <c r="D2349" t="s">
        <v>1312</v>
      </c>
      <c r="E2349" t="s">
        <v>596</v>
      </c>
      <c r="F2349" t="s">
        <v>266</v>
      </c>
      <c r="G2349" t="s">
        <v>22</v>
      </c>
      <c r="H2349" t="s">
        <v>1305</v>
      </c>
      <c r="I2349" t="s">
        <v>33</v>
      </c>
      <c r="J2349">
        <v>46</v>
      </c>
      <c r="K2349">
        <v>10000</v>
      </c>
      <c r="L2349">
        <v>10000</v>
      </c>
      <c r="M2349">
        <v>460000</v>
      </c>
      <c r="N2349" t="s">
        <v>19</v>
      </c>
    </row>
    <row r="2350" spans="1:14" x14ac:dyDescent="0.25">
      <c r="A2350" t="s">
        <v>1730</v>
      </c>
      <c r="B2350" t="s">
        <v>2375</v>
      </c>
      <c r="C2350" t="s">
        <v>1212</v>
      </c>
      <c r="D2350" t="s">
        <v>1055</v>
      </c>
      <c r="E2350" t="s">
        <v>1056</v>
      </c>
      <c r="F2350" t="s">
        <v>1408</v>
      </c>
      <c r="G2350" t="s">
        <v>37</v>
      </c>
      <c r="H2350" t="s">
        <v>1305</v>
      </c>
      <c r="I2350" t="s">
        <v>38</v>
      </c>
      <c r="J2350">
        <v>1</v>
      </c>
      <c r="K2350">
        <v>8500</v>
      </c>
      <c r="L2350">
        <v>12500</v>
      </c>
      <c r="M2350">
        <v>12500</v>
      </c>
      <c r="N2350" t="s">
        <v>1010</v>
      </c>
    </row>
    <row r="2351" spans="1:14" x14ac:dyDescent="0.25">
      <c r="A2351" t="s">
        <v>1653</v>
      </c>
      <c r="B2351" t="s">
        <v>2376</v>
      </c>
      <c r="C2351" t="s">
        <v>1213</v>
      </c>
      <c r="D2351" t="s">
        <v>1068</v>
      </c>
      <c r="E2351" t="s">
        <v>1068</v>
      </c>
      <c r="F2351" t="s">
        <v>36</v>
      </c>
      <c r="G2351" t="s">
        <v>37</v>
      </c>
      <c r="H2351" t="s">
        <v>1305</v>
      </c>
      <c r="I2351" t="s">
        <v>1051</v>
      </c>
      <c r="J2351">
        <v>1</v>
      </c>
      <c r="K2351">
        <v>970</v>
      </c>
      <c r="L2351">
        <v>1500</v>
      </c>
      <c r="M2351">
        <v>1500</v>
      </c>
      <c r="N2351" t="s">
        <v>1010</v>
      </c>
    </row>
    <row r="2352" spans="1:14" x14ac:dyDescent="0.25">
      <c r="A2352" t="s">
        <v>1429</v>
      </c>
      <c r="B2352" t="s">
        <v>2377</v>
      </c>
      <c r="C2352" t="s">
        <v>1221</v>
      </c>
      <c r="D2352" t="s">
        <v>1124</v>
      </c>
      <c r="E2352" t="s">
        <v>1129</v>
      </c>
      <c r="F2352" t="s">
        <v>1054</v>
      </c>
      <c r="G2352" t="s">
        <v>1088</v>
      </c>
      <c r="H2352" t="s">
        <v>1305</v>
      </c>
      <c r="I2352" t="s">
        <v>1409</v>
      </c>
      <c r="J2352">
        <v>1</v>
      </c>
      <c r="K2352">
        <v>6300</v>
      </c>
      <c r="L2352">
        <v>18000</v>
      </c>
      <c r="M2352">
        <v>18000</v>
      </c>
      <c r="N2352" t="s">
        <v>1010</v>
      </c>
    </row>
    <row r="2353" spans="1:14" x14ac:dyDescent="0.25">
      <c r="A2353" t="s">
        <v>1429</v>
      </c>
      <c r="B2353" t="s">
        <v>2377</v>
      </c>
      <c r="C2353" t="s">
        <v>1221</v>
      </c>
      <c r="D2353" t="s">
        <v>1124</v>
      </c>
      <c r="E2353" t="s">
        <v>1129</v>
      </c>
      <c r="F2353" t="s">
        <v>1054</v>
      </c>
      <c r="G2353" t="s">
        <v>1088</v>
      </c>
      <c r="H2353" t="s">
        <v>1305</v>
      </c>
      <c r="I2353" t="s">
        <v>1011</v>
      </c>
      <c r="J2353">
        <v>1</v>
      </c>
      <c r="K2353">
        <v>5750</v>
      </c>
      <c r="L2353">
        <v>5750</v>
      </c>
      <c r="M2353">
        <v>5750</v>
      </c>
      <c r="N2353" t="s">
        <v>1010</v>
      </c>
    </row>
    <row r="2354" spans="1:14" x14ac:dyDescent="0.25">
      <c r="A2354" t="s">
        <v>1429</v>
      </c>
      <c r="B2354" t="s">
        <v>2377</v>
      </c>
      <c r="C2354" t="s">
        <v>1221</v>
      </c>
      <c r="D2354" t="s">
        <v>1124</v>
      </c>
      <c r="E2354" t="s">
        <v>1129</v>
      </c>
      <c r="F2354" t="s">
        <v>1054</v>
      </c>
      <c r="G2354" t="s">
        <v>1088</v>
      </c>
      <c r="H2354" t="s">
        <v>1305</v>
      </c>
      <c r="I2354" t="s">
        <v>24</v>
      </c>
      <c r="J2354">
        <v>1</v>
      </c>
      <c r="K2354">
        <v>5750</v>
      </c>
      <c r="L2354">
        <v>5750</v>
      </c>
      <c r="M2354">
        <v>5750</v>
      </c>
      <c r="N2354" t="s">
        <v>1010</v>
      </c>
    </row>
    <row r="2355" spans="1:14" x14ac:dyDescent="0.25">
      <c r="A2355" t="s">
        <v>1429</v>
      </c>
      <c r="B2355" t="s">
        <v>2377</v>
      </c>
      <c r="C2355" t="s">
        <v>1221</v>
      </c>
      <c r="D2355" t="s">
        <v>1124</v>
      </c>
      <c r="E2355" t="s">
        <v>1129</v>
      </c>
      <c r="F2355" t="s">
        <v>1054</v>
      </c>
      <c r="G2355" t="s">
        <v>1088</v>
      </c>
      <c r="H2355" t="s">
        <v>1305</v>
      </c>
      <c r="I2355" t="s">
        <v>26</v>
      </c>
      <c r="J2355">
        <v>1</v>
      </c>
      <c r="K2355">
        <v>500</v>
      </c>
      <c r="L2355">
        <v>500</v>
      </c>
      <c r="M2355">
        <v>500</v>
      </c>
      <c r="N2355" t="s">
        <v>1010</v>
      </c>
    </row>
    <row r="2356" spans="1:14" x14ac:dyDescent="0.25">
      <c r="A2356" t="s">
        <v>1430</v>
      </c>
      <c r="B2356" t="s">
        <v>2378</v>
      </c>
      <c r="C2356" t="s">
        <v>1223</v>
      </c>
      <c r="D2356" t="s">
        <v>1124</v>
      </c>
      <c r="E2356" t="s">
        <v>1129</v>
      </c>
      <c r="F2356" t="s">
        <v>1089</v>
      </c>
      <c r="G2356" t="s">
        <v>1088</v>
      </c>
      <c r="H2356" t="s">
        <v>1305</v>
      </c>
      <c r="I2356" t="s">
        <v>1409</v>
      </c>
      <c r="J2356">
        <v>1</v>
      </c>
      <c r="K2356">
        <v>6300</v>
      </c>
      <c r="L2356">
        <v>18000</v>
      </c>
      <c r="M2356">
        <v>18000</v>
      </c>
      <c r="N2356" t="s">
        <v>1010</v>
      </c>
    </row>
    <row r="2357" spans="1:14" x14ac:dyDescent="0.25">
      <c r="A2357" t="s">
        <v>1430</v>
      </c>
      <c r="B2357" t="s">
        <v>2378</v>
      </c>
      <c r="C2357" t="s">
        <v>1223</v>
      </c>
      <c r="D2357" t="s">
        <v>1124</v>
      </c>
      <c r="E2357" t="s">
        <v>1129</v>
      </c>
      <c r="F2357" t="s">
        <v>1089</v>
      </c>
      <c r="G2357" t="s">
        <v>1088</v>
      </c>
      <c r="H2357" t="s">
        <v>1305</v>
      </c>
      <c r="I2357" t="s">
        <v>1011</v>
      </c>
      <c r="J2357">
        <v>1</v>
      </c>
      <c r="K2357">
        <v>5750</v>
      </c>
      <c r="L2357">
        <v>5750</v>
      </c>
      <c r="M2357">
        <v>5750</v>
      </c>
      <c r="N2357" t="s">
        <v>1010</v>
      </c>
    </row>
    <row r="2358" spans="1:14" x14ac:dyDescent="0.25">
      <c r="A2358" t="s">
        <v>1430</v>
      </c>
      <c r="B2358" t="s">
        <v>2378</v>
      </c>
      <c r="C2358" t="s">
        <v>1223</v>
      </c>
      <c r="D2358" t="s">
        <v>1124</v>
      </c>
      <c r="E2358" t="s">
        <v>1129</v>
      </c>
      <c r="F2358" t="s">
        <v>1089</v>
      </c>
      <c r="G2358" t="s">
        <v>1088</v>
      </c>
      <c r="H2358" t="s">
        <v>1305</v>
      </c>
      <c r="I2358" t="s">
        <v>24</v>
      </c>
      <c r="J2358">
        <v>1</v>
      </c>
      <c r="K2358">
        <v>5750</v>
      </c>
      <c r="L2358">
        <v>5750</v>
      </c>
      <c r="M2358">
        <v>5750</v>
      </c>
      <c r="N2358" t="s">
        <v>1010</v>
      </c>
    </row>
    <row r="2359" spans="1:14" x14ac:dyDescent="0.25">
      <c r="A2359" t="s">
        <v>1430</v>
      </c>
      <c r="B2359" t="s">
        <v>2378</v>
      </c>
      <c r="C2359" t="s">
        <v>1223</v>
      </c>
      <c r="D2359" t="s">
        <v>1124</v>
      </c>
      <c r="E2359" t="s">
        <v>1129</v>
      </c>
      <c r="F2359" t="s">
        <v>1089</v>
      </c>
      <c r="G2359" t="s">
        <v>1088</v>
      </c>
      <c r="H2359" t="s">
        <v>1305</v>
      </c>
      <c r="I2359" t="s">
        <v>26</v>
      </c>
      <c r="J2359">
        <v>1</v>
      </c>
      <c r="K2359">
        <v>500</v>
      </c>
      <c r="L2359">
        <v>500</v>
      </c>
      <c r="M2359">
        <v>500</v>
      </c>
      <c r="N2359" t="s">
        <v>1010</v>
      </c>
    </row>
    <row r="2360" spans="1:14" x14ac:dyDescent="0.25">
      <c r="A2360" t="s">
        <v>1609</v>
      </c>
      <c r="B2360" t="s">
        <v>2379</v>
      </c>
      <c r="C2360" t="s">
        <v>398</v>
      </c>
      <c r="D2360" t="s">
        <v>191</v>
      </c>
      <c r="E2360" t="s">
        <v>192</v>
      </c>
      <c r="F2360" t="s">
        <v>15</v>
      </c>
      <c r="G2360" t="s">
        <v>22</v>
      </c>
      <c r="H2360" t="s">
        <v>1363</v>
      </c>
      <c r="I2360" t="s">
        <v>1364</v>
      </c>
      <c r="J2360">
        <v>1</v>
      </c>
      <c r="K2360">
        <v>11000</v>
      </c>
      <c r="L2360">
        <v>15500</v>
      </c>
      <c r="M2360">
        <v>15500</v>
      </c>
      <c r="N2360" t="s">
        <v>19</v>
      </c>
    </row>
    <row r="2361" spans="1:14" x14ac:dyDescent="0.25">
      <c r="A2361" t="s">
        <v>1440</v>
      </c>
      <c r="B2361" t="s">
        <v>2380</v>
      </c>
      <c r="C2361" t="s">
        <v>1224</v>
      </c>
      <c r="D2361" t="s">
        <v>1085</v>
      </c>
      <c r="E2361" t="s">
        <v>1113</v>
      </c>
      <c r="F2361" t="s">
        <v>1114</v>
      </c>
      <c r="G2361" t="s">
        <v>37</v>
      </c>
      <c r="H2361" t="s">
        <v>1363</v>
      </c>
      <c r="I2361" t="s">
        <v>98</v>
      </c>
      <c r="J2361">
        <v>1</v>
      </c>
      <c r="K2361">
        <v>970</v>
      </c>
      <c r="L2361">
        <v>1500</v>
      </c>
      <c r="M2361">
        <v>1500</v>
      </c>
      <c r="N2361" t="s">
        <v>1010</v>
      </c>
    </row>
    <row r="2362" spans="1:14" x14ac:dyDescent="0.25">
      <c r="A2362" t="s">
        <v>1556</v>
      </c>
      <c r="B2362" t="s">
        <v>2381</v>
      </c>
      <c r="C2362" t="s">
        <v>1315</v>
      </c>
      <c r="D2362" t="s">
        <v>1316</v>
      </c>
      <c r="E2362" t="s">
        <v>1317</v>
      </c>
      <c r="F2362" t="s">
        <v>1318</v>
      </c>
      <c r="G2362" t="s">
        <v>1319</v>
      </c>
      <c r="H2362" t="s">
        <v>1320</v>
      </c>
      <c r="I2362" t="s">
        <v>1321</v>
      </c>
      <c r="J2362">
        <v>1</v>
      </c>
      <c r="K2362">
        <v>6300</v>
      </c>
      <c r="L2362">
        <v>18000</v>
      </c>
      <c r="M2362">
        <v>18000</v>
      </c>
      <c r="N2362" t="s">
        <v>39</v>
      </c>
    </row>
    <row r="2363" spans="1:14" x14ac:dyDescent="0.25">
      <c r="A2363" t="s">
        <v>1556</v>
      </c>
      <c r="B2363" t="s">
        <v>2381</v>
      </c>
      <c r="C2363" t="s">
        <v>1315</v>
      </c>
      <c r="D2363" t="s">
        <v>1316</v>
      </c>
      <c r="E2363" t="s">
        <v>1317</v>
      </c>
      <c r="F2363" t="s">
        <v>1318</v>
      </c>
      <c r="G2363" t="s">
        <v>1319</v>
      </c>
      <c r="H2363" t="s">
        <v>1320</v>
      </c>
      <c r="I2363" t="s">
        <v>48</v>
      </c>
      <c r="J2363">
        <v>1</v>
      </c>
      <c r="K2363">
        <v>2975</v>
      </c>
      <c r="L2363">
        <v>8500</v>
      </c>
      <c r="M2363">
        <v>8500</v>
      </c>
      <c r="N2363" t="s">
        <v>39</v>
      </c>
    </row>
    <row r="2364" spans="1:14" x14ac:dyDescent="0.25">
      <c r="A2364" t="s">
        <v>1556</v>
      </c>
      <c r="B2364" t="s">
        <v>2381</v>
      </c>
      <c r="C2364" t="s">
        <v>1315</v>
      </c>
      <c r="D2364" t="s">
        <v>1316</v>
      </c>
      <c r="E2364" t="s">
        <v>1317</v>
      </c>
      <c r="F2364" t="s">
        <v>1318</v>
      </c>
      <c r="G2364" t="s">
        <v>1319</v>
      </c>
      <c r="H2364" t="s">
        <v>1320</v>
      </c>
      <c r="I2364" t="s">
        <v>24</v>
      </c>
      <c r="J2364">
        <v>1</v>
      </c>
      <c r="K2364">
        <v>2975</v>
      </c>
      <c r="L2364">
        <v>8500</v>
      </c>
      <c r="M2364">
        <v>8500</v>
      </c>
      <c r="N2364" t="s">
        <v>39</v>
      </c>
    </row>
    <row r="2365" spans="1:14" x14ac:dyDescent="0.25">
      <c r="A2365" t="s">
        <v>1507</v>
      </c>
      <c r="B2365" t="s">
        <v>2382</v>
      </c>
      <c r="C2365" t="s">
        <v>402</v>
      </c>
      <c r="D2365" t="s">
        <v>20</v>
      </c>
      <c r="E2365" t="s">
        <v>119</v>
      </c>
      <c r="F2365" t="s">
        <v>15</v>
      </c>
      <c r="G2365" t="s">
        <v>22</v>
      </c>
      <c r="H2365" t="s">
        <v>1320</v>
      </c>
      <c r="I2365" t="s">
        <v>1365</v>
      </c>
      <c r="J2365">
        <v>1</v>
      </c>
      <c r="K2365">
        <v>9850</v>
      </c>
      <c r="L2365">
        <v>13500</v>
      </c>
      <c r="M2365">
        <v>13500</v>
      </c>
      <c r="N2365" t="s">
        <v>19</v>
      </c>
    </row>
    <row r="2366" spans="1:14" x14ac:dyDescent="0.25">
      <c r="A2366" t="s">
        <v>1507</v>
      </c>
      <c r="B2366" t="s">
        <v>2382</v>
      </c>
      <c r="C2366" t="s">
        <v>402</v>
      </c>
      <c r="D2366" t="s">
        <v>20</v>
      </c>
      <c r="E2366" t="s">
        <v>119</v>
      </c>
      <c r="F2366" t="s">
        <v>15</v>
      </c>
      <c r="G2366" t="s">
        <v>22</v>
      </c>
      <c r="H2366" t="s">
        <v>1320</v>
      </c>
      <c r="I2366" t="s">
        <v>76</v>
      </c>
      <c r="J2366">
        <v>1</v>
      </c>
      <c r="K2366">
        <v>500</v>
      </c>
      <c r="L2366">
        <v>500</v>
      </c>
      <c r="M2366">
        <v>500</v>
      </c>
      <c r="N2366" t="s">
        <v>19</v>
      </c>
    </row>
    <row r="2367" spans="1:14" x14ac:dyDescent="0.25">
      <c r="A2367" t="s">
        <v>1456</v>
      </c>
      <c r="B2367" t="s">
        <v>2383</v>
      </c>
      <c r="C2367" t="s">
        <v>1315</v>
      </c>
      <c r="D2367" t="s">
        <v>1322</v>
      </c>
      <c r="E2367" t="s">
        <v>1323</v>
      </c>
      <c r="F2367" t="s">
        <v>1324</v>
      </c>
      <c r="G2367" t="s">
        <v>22</v>
      </c>
      <c r="H2367" t="s">
        <v>1325</v>
      </c>
      <c r="I2367" t="s">
        <v>939</v>
      </c>
      <c r="J2367">
        <v>2</v>
      </c>
      <c r="K2367">
        <v>9850</v>
      </c>
      <c r="L2367">
        <v>14000</v>
      </c>
      <c r="M2367">
        <v>28000</v>
      </c>
      <c r="N2367" t="s">
        <v>39</v>
      </c>
    </row>
    <row r="2368" spans="1:14" x14ac:dyDescent="0.25">
      <c r="A2368" t="s">
        <v>1581</v>
      </c>
      <c r="B2368" t="s">
        <v>2384</v>
      </c>
      <c r="C2368" t="s">
        <v>1328</v>
      </c>
      <c r="D2368" t="s">
        <v>87</v>
      </c>
      <c r="E2368" t="s">
        <v>87</v>
      </c>
      <c r="F2368" t="s">
        <v>15</v>
      </c>
      <c r="G2368" t="s">
        <v>37</v>
      </c>
      <c r="H2368" t="s">
        <v>1325</v>
      </c>
      <c r="I2368" t="s">
        <v>89</v>
      </c>
      <c r="J2368">
        <v>50</v>
      </c>
      <c r="K2368">
        <v>32</v>
      </c>
      <c r="L2368">
        <v>50</v>
      </c>
      <c r="M2368">
        <v>2500</v>
      </c>
      <c r="N2368" t="s">
        <v>39</v>
      </c>
    </row>
    <row r="2369" spans="1:14" x14ac:dyDescent="0.25">
      <c r="A2369" t="s">
        <v>1509</v>
      </c>
      <c r="B2369" t="s">
        <v>2385</v>
      </c>
      <c r="C2369" t="s">
        <v>405</v>
      </c>
      <c r="D2369" t="s">
        <v>20</v>
      </c>
      <c r="E2369" t="s">
        <v>70</v>
      </c>
      <c r="F2369" t="s">
        <v>15</v>
      </c>
      <c r="G2369" t="s">
        <v>22</v>
      </c>
      <c r="H2369" t="s">
        <v>1325</v>
      </c>
      <c r="I2369" t="s">
        <v>715</v>
      </c>
      <c r="J2369">
        <v>100</v>
      </c>
      <c r="K2369">
        <v>17</v>
      </c>
      <c r="L2369">
        <v>25</v>
      </c>
      <c r="M2369">
        <v>2500</v>
      </c>
      <c r="N2369" t="s">
        <v>19</v>
      </c>
    </row>
    <row r="2370" spans="1:14" x14ac:dyDescent="0.25">
      <c r="A2370" t="s">
        <v>1509</v>
      </c>
      <c r="B2370" t="s">
        <v>2385</v>
      </c>
      <c r="C2370" t="s">
        <v>405</v>
      </c>
      <c r="D2370" t="s">
        <v>20</v>
      </c>
      <c r="E2370" t="s">
        <v>70</v>
      </c>
      <c r="F2370" t="s">
        <v>15</v>
      </c>
      <c r="G2370" t="s">
        <v>22</v>
      </c>
      <c r="H2370" t="s">
        <v>1325</v>
      </c>
      <c r="I2370" t="s">
        <v>62</v>
      </c>
      <c r="J2370">
        <v>100</v>
      </c>
      <c r="K2370">
        <v>47</v>
      </c>
      <c r="L2370">
        <v>80</v>
      </c>
      <c r="M2370">
        <v>8000</v>
      </c>
      <c r="N2370" t="s">
        <v>19</v>
      </c>
    </row>
    <row r="2371" spans="1:14" x14ac:dyDescent="0.25">
      <c r="A2371" t="s">
        <v>1463</v>
      </c>
      <c r="B2371" t="s">
        <v>2386</v>
      </c>
      <c r="C2371" t="s">
        <v>1227</v>
      </c>
      <c r="D2371" t="s">
        <v>1410</v>
      </c>
      <c r="E2371" t="s">
        <v>1411</v>
      </c>
      <c r="F2371" t="s">
        <v>15</v>
      </c>
      <c r="G2371" t="s">
        <v>37</v>
      </c>
      <c r="H2371" t="s">
        <v>1325</v>
      </c>
      <c r="I2371" t="s">
        <v>33</v>
      </c>
      <c r="J2371">
        <v>1</v>
      </c>
      <c r="K2371">
        <v>15000</v>
      </c>
      <c r="L2371">
        <v>15000</v>
      </c>
      <c r="M2371">
        <v>15000</v>
      </c>
      <c r="N2371" t="s">
        <v>19</v>
      </c>
    </row>
    <row r="2372" spans="1:14" x14ac:dyDescent="0.25">
      <c r="A2372" t="s">
        <v>1632</v>
      </c>
      <c r="B2372" t="s">
        <v>2387</v>
      </c>
      <c r="C2372" t="s">
        <v>1229</v>
      </c>
      <c r="D2372" t="s">
        <v>1412</v>
      </c>
      <c r="E2372" t="s">
        <v>1413</v>
      </c>
      <c r="F2372" t="s">
        <v>15</v>
      </c>
      <c r="G2372" t="s">
        <v>37</v>
      </c>
      <c r="H2372" t="s">
        <v>1325</v>
      </c>
      <c r="I2372" t="s">
        <v>33</v>
      </c>
      <c r="J2372">
        <v>1</v>
      </c>
      <c r="K2372">
        <v>15000</v>
      </c>
      <c r="L2372">
        <v>15000</v>
      </c>
      <c r="M2372">
        <v>15000</v>
      </c>
      <c r="N2372" t="s">
        <v>19</v>
      </c>
    </row>
    <row r="2373" spans="1:14" x14ac:dyDescent="0.25">
      <c r="A2373" t="s">
        <v>1448</v>
      </c>
      <c r="B2373" t="s">
        <v>2388</v>
      </c>
      <c r="C2373" t="s">
        <v>1332</v>
      </c>
      <c r="D2373" t="s">
        <v>646</v>
      </c>
      <c r="E2373" t="s">
        <v>58</v>
      </c>
      <c r="F2373" t="s">
        <v>15</v>
      </c>
      <c r="G2373" t="s">
        <v>37</v>
      </c>
      <c r="H2373" t="s">
        <v>1333</v>
      </c>
      <c r="I2373" t="s">
        <v>33</v>
      </c>
      <c r="J2373">
        <v>1</v>
      </c>
      <c r="K2373">
        <v>15000</v>
      </c>
      <c r="L2373">
        <v>15000</v>
      </c>
      <c r="M2373">
        <v>15000</v>
      </c>
      <c r="N2373" t="s">
        <v>19</v>
      </c>
    </row>
    <row r="2374" spans="1:14" x14ac:dyDescent="0.25">
      <c r="A2374" t="s">
        <v>1554</v>
      </c>
      <c r="B2374" t="s">
        <v>2389</v>
      </c>
      <c r="C2374" t="s">
        <v>409</v>
      </c>
      <c r="D2374" t="s">
        <v>204</v>
      </c>
      <c r="E2374" t="s">
        <v>205</v>
      </c>
      <c r="F2374" t="s">
        <v>15</v>
      </c>
      <c r="G2374" t="s">
        <v>22</v>
      </c>
      <c r="H2374" t="s">
        <v>1366</v>
      </c>
      <c r="I2374" t="s">
        <v>373</v>
      </c>
      <c r="J2374">
        <v>2</v>
      </c>
      <c r="K2374">
        <v>10000</v>
      </c>
      <c r="L2374">
        <v>10000</v>
      </c>
      <c r="M2374">
        <v>20000</v>
      </c>
      <c r="N2374" t="s">
        <v>19</v>
      </c>
    </row>
    <row r="2375" spans="1:14" x14ac:dyDescent="0.25">
      <c r="A2375" t="s">
        <v>1486</v>
      </c>
      <c r="B2375" t="s">
        <v>1882</v>
      </c>
      <c r="C2375" t="s">
        <v>410</v>
      </c>
      <c r="D2375" t="s">
        <v>20</v>
      </c>
      <c r="E2375" t="s">
        <v>31</v>
      </c>
      <c r="F2375" t="s">
        <v>15</v>
      </c>
      <c r="G2375" t="s">
        <v>22</v>
      </c>
      <c r="H2375" t="s">
        <v>1366</v>
      </c>
      <c r="I2375" t="s">
        <v>33</v>
      </c>
      <c r="J2375">
        <v>1</v>
      </c>
      <c r="K2375">
        <v>6500</v>
      </c>
      <c r="L2375">
        <v>6500</v>
      </c>
      <c r="M2375">
        <v>6500</v>
      </c>
      <c r="N2375" t="s">
        <v>19</v>
      </c>
    </row>
    <row r="2376" spans="1:14" x14ac:dyDescent="0.25">
      <c r="A2376" t="s">
        <v>1546</v>
      </c>
      <c r="B2376" t="s">
        <v>2390</v>
      </c>
      <c r="C2376" t="s">
        <v>1334</v>
      </c>
      <c r="D2376" t="s">
        <v>1335</v>
      </c>
      <c r="E2376" t="s">
        <v>1335</v>
      </c>
      <c r="F2376" t="s">
        <v>15</v>
      </c>
      <c r="G2376" t="s">
        <v>37</v>
      </c>
      <c r="H2376" t="s">
        <v>1336</v>
      </c>
      <c r="I2376" t="s">
        <v>33</v>
      </c>
      <c r="J2376">
        <v>1</v>
      </c>
      <c r="K2376">
        <v>15000</v>
      </c>
      <c r="L2376">
        <v>15000</v>
      </c>
      <c r="M2376">
        <v>15000</v>
      </c>
      <c r="N2376" t="s">
        <v>19</v>
      </c>
    </row>
    <row r="2377" spans="1:14" x14ac:dyDescent="0.25">
      <c r="A2377" t="s">
        <v>1455</v>
      </c>
      <c r="B2377" t="s">
        <v>2391</v>
      </c>
      <c r="C2377" t="s">
        <v>1338</v>
      </c>
      <c r="D2377" t="s">
        <v>1322</v>
      </c>
      <c r="E2377" t="s">
        <v>1339</v>
      </c>
      <c r="F2377" t="s">
        <v>1340</v>
      </c>
      <c r="G2377" t="s">
        <v>22</v>
      </c>
      <c r="H2377" t="s">
        <v>1336</v>
      </c>
      <c r="I2377" t="s">
        <v>110</v>
      </c>
      <c r="J2377">
        <v>1</v>
      </c>
      <c r="K2377">
        <v>6825</v>
      </c>
      <c r="L2377">
        <v>19500</v>
      </c>
      <c r="M2377">
        <v>19500</v>
      </c>
      <c r="N2377" t="s">
        <v>39</v>
      </c>
    </row>
    <row r="2378" spans="1:14" x14ac:dyDescent="0.25">
      <c r="A2378" t="s">
        <v>1455</v>
      </c>
      <c r="B2378" t="s">
        <v>2391</v>
      </c>
      <c r="C2378" t="s">
        <v>1338</v>
      </c>
      <c r="D2378" t="s">
        <v>1322</v>
      </c>
      <c r="E2378" t="s">
        <v>1339</v>
      </c>
      <c r="F2378" t="s">
        <v>1340</v>
      </c>
      <c r="G2378" t="s">
        <v>22</v>
      </c>
      <c r="H2378" t="s">
        <v>1336</v>
      </c>
      <c r="I2378" t="s">
        <v>26</v>
      </c>
      <c r="J2378">
        <v>1</v>
      </c>
      <c r="K2378">
        <v>500</v>
      </c>
      <c r="L2378">
        <v>500</v>
      </c>
      <c r="M2378">
        <v>500</v>
      </c>
      <c r="N2378" t="s">
        <v>39</v>
      </c>
    </row>
    <row r="2379" spans="1:14" x14ac:dyDescent="0.25">
      <c r="A2379" t="s">
        <v>1655</v>
      </c>
      <c r="B2379" t="s">
        <v>2392</v>
      </c>
      <c r="C2379" t="s">
        <v>1344</v>
      </c>
      <c r="D2379" t="s">
        <v>199</v>
      </c>
      <c r="E2379" t="s">
        <v>200</v>
      </c>
      <c r="F2379" t="s">
        <v>1345</v>
      </c>
      <c r="G2379" t="s">
        <v>22</v>
      </c>
      <c r="H2379" t="s">
        <v>1336</v>
      </c>
      <c r="I2379" t="s">
        <v>1346</v>
      </c>
      <c r="J2379">
        <v>1</v>
      </c>
      <c r="K2379">
        <v>35000</v>
      </c>
      <c r="L2379">
        <v>35000</v>
      </c>
      <c r="M2379">
        <v>35000</v>
      </c>
      <c r="N2379" t="s">
        <v>39</v>
      </c>
    </row>
    <row r="2380" spans="1:14" x14ac:dyDescent="0.25">
      <c r="A2380" t="s">
        <v>1688</v>
      </c>
      <c r="B2380" t="s">
        <v>2393</v>
      </c>
      <c r="C2380" t="s">
        <v>1231</v>
      </c>
      <c r="D2380" t="s">
        <v>1094</v>
      </c>
      <c r="E2380" t="s">
        <v>1094</v>
      </c>
      <c r="F2380" t="s">
        <v>36</v>
      </c>
      <c r="G2380" t="s">
        <v>37</v>
      </c>
      <c r="H2380" t="s">
        <v>1414</v>
      </c>
      <c r="I2380" t="s">
        <v>1415</v>
      </c>
      <c r="J2380">
        <v>1</v>
      </c>
      <c r="K2380">
        <v>15000</v>
      </c>
      <c r="L2380">
        <v>15000</v>
      </c>
      <c r="M2380">
        <v>15000</v>
      </c>
      <c r="N2380" t="s">
        <v>1010</v>
      </c>
    </row>
    <row r="2381" spans="1:14" x14ac:dyDescent="0.25">
      <c r="A2381" t="s">
        <v>1688</v>
      </c>
      <c r="B2381" t="s">
        <v>2393</v>
      </c>
      <c r="C2381" t="s">
        <v>1231</v>
      </c>
      <c r="D2381" t="s">
        <v>1094</v>
      </c>
      <c r="E2381" t="s">
        <v>1094</v>
      </c>
      <c r="F2381" t="s">
        <v>36</v>
      </c>
      <c r="G2381" t="s">
        <v>37</v>
      </c>
      <c r="H2381" t="s">
        <v>1414</v>
      </c>
      <c r="I2381" t="s">
        <v>1051</v>
      </c>
      <c r="J2381">
        <v>1</v>
      </c>
      <c r="K2381">
        <v>935</v>
      </c>
      <c r="L2381">
        <v>1500</v>
      </c>
      <c r="M2381">
        <v>1500</v>
      </c>
      <c r="N2381" t="s">
        <v>1010</v>
      </c>
    </row>
    <row r="2382" spans="1:14" x14ac:dyDescent="0.25">
      <c r="A2382" t="s">
        <v>1663</v>
      </c>
      <c r="B2382" t="s">
        <v>2394</v>
      </c>
      <c r="C2382" t="s">
        <v>1238</v>
      </c>
      <c r="D2382" t="s">
        <v>1034</v>
      </c>
      <c r="E2382" t="s">
        <v>1034</v>
      </c>
      <c r="F2382" t="s">
        <v>1035</v>
      </c>
      <c r="G2382" t="s">
        <v>37</v>
      </c>
      <c r="H2382" t="s">
        <v>1414</v>
      </c>
      <c r="I2382" t="s">
        <v>1415</v>
      </c>
      <c r="J2382">
        <v>1</v>
      </c>
      <c r="K2382">
        <v>18000</v>
      </c>
      <c r="L2382">
        <v>18000</v>
      </c>
      <c r="M2382">
        <v>18000</v>
      </c>
      <c r="N2382" t="s">
        <v>1010</v>
      </c>
    </row>
    <row r="2383" spans="1:14" x14ac:dyDescent="0.25">
      <c r="A2383" t="s">
        <v>1663</v>
      </c>
      <c r="B2383" t="s">
        <v>2394</v>
      </c>
      <c r="C2383" t="s">
        <v>1238</v>
      </c>
      <c r="D2383" t="s">
        <v>1034</v>
      </c>
      <c r="E2383" t="s">
        <v>1034</v>
      </c>
      <c r="F2383" t="s">
        <v>1035</v>
      </c>
      <c r="G2383" t="s">
        <v>37</v>
      </c>
      <c r="H2383" t="s">
        <v>1414</v>
      </c>
      <c r="I2383" t="s">
        <v>1051</v>
      </c>
      <c r="J2383">
        <v>1</v>
      </c>
      <c r="K2383">
        <v>935</v>
      </c>
      <c r="L2383">
        <v>1500</v>
      </c>
      <c r="M2383">
        <v>1500</v>
      </c>
      <c r="N2383" t="s">
        <v>1010</v>
      </c>
    </row>
    <row r="2384" spans="1:14" x14ac:dyDescent="0.25">
      <c r="A2384" t="s">
        <v>1486</v>
      </c>
      <c r="B2384" t="s">
        <v>2395</v>
      </c>
      <c r="C2384" t="s">
        <v>429</v>
      </c>
      <c r="D2384" t="s">
        <v>20</v>
      </c>
      <c r="E2384" t="s">
        <v>31</v>
      </c>
      <c r="F2384" t="s">
        <v>15</v>
      </c>
      <c r="G2384" t="s">
        <v>22</v>
      </c>
      <c r="H2384" t="s">
        <v>1368</v>
      </c>
      <c r="I2384" t="s">
        <v>33</v>
      </c>
      <c r="J2384">
        <v>1</v>
      </c>
      <c r="K2384">
        <v>6500</v>
      </c>
      <c r="L2384">
        <v>6500</v>
      </c>
      <c r="M2384">
        <v>6500</v>
      </c>
      <c r="N2384" t="s">
        <v>19</v>
      </c>
    </row>
    <row r="2385" spans="1:14" x14ac:dyDescent="0.25">
      <c r="A2385" t="s">
        <v>1581</v>
      </c>
      <c r="B2385" t="s">
        <v>2396</v>
      </c>
      <c r="C2385" t="s">
        <v>1348</v>
      </c>
      <c r="D2385" t="s">
        <v>87</v>
      </c>
      <c r="E2385" t="s">
        <v>87</v>
      </c>
      <c r="F2385" t="s">
        <v>15</v>
      </c>
      <c r="G2385" t="s">
        <v>37</v>
      </c>
      <c r="H2385" t="s">
        <v>1349</v>
      </c>
      <c r="I2385" t="s">
        <v>89</v>
      </c>
      <c r="J2385">
        <v>50</v>
      </c>
      <c r="K2385">
        <v>32</v>
      </c>
      <c r="L2385">
        <v>50</v>
      </c>
      <c r="M2385">
        <v>2500</v>
      </c>
      <c r="N2385" t="s">
        <v>39</v>
      </c>
    </row>
    <row r="2386" spans="1:14" x14ac:dyDescent="0.25">
      <c r="A2386" t="s">
        <v>1554</v>
      </c>
      <c r="B2386" t="s">
        <v>2397</v>
      </c>
      <c r="C2386" t="s">
        <v>413</v>
      </c>
      <c r="D2386" t="s">
        <v>204</v>
      </c>
      <c r="E2386" t="s">
        <v>205</v>
      </c>
      <c r="F2386" t="s">
        <v>15</v>
      </c>
      <c r="G2386" t="s">
        <v>22</v>
      </c>
      <c r="H2386" t="s">
        <v>1349</v>
      </c>
      <c r="I2386" t="s">
        <v>1367</v>
      </c>
      <c r="J2386">
        <v>1</v>
      </c>
      <c r="K2386">
        <v>4500</v>
      </c>
      <c r="L2386">
        <v>8500</v>
      </c>
      <c r="M2386">
        <v>8500</v>
      </c>
      <c r="N2386" t="s">
        <v>19</v>
      </c>
    </row>
    <row r="2387" spans="1:14" x14ac:dyDescent="0.25">
      <c r="A2387" t="s">
        <v>1486</v>
      </c>
      <c r="B2387" t="s">
        <v>1884</v>
      </c>
      <c r="C2387" t="s">
        <v>424</v>
      </c>
      <c r="D2387" t="s">
        <v>20</v>
      </c>
      <c r="E2387" t="s">
        <v>31</v>
      </c>
      <c r="F2387" t="s">
        <v>15</v>
      </c>
      <c r="G2387" t="s">
        <v>22</v>
      </c>
      <c r="H2387" t="s">
        <v>1349</v>
      </c>
      <c r="I2387" t="s">
        <v>33</v>
      </c>
      <c r="J2387">
        <v>1</v>
      </c>
      <c r="K2387">
        <v>6500</v>
      </c>
      <c r="L2387">
        <v>6500</v>
      </c>
      <c r="M2387">
        <v>6500</v>
      </c>
      <c r="N2387" t="s">
        <v>19</v>
      </c>
    </row>
    <row r="2388" spans="1:14" x14ac:dyDescent="0.25">
      <c r="A2388" t="s">
        <v>1486</v>
      </c>
      <c r="B2388" t="s">
        <v>2398</v>
      </c>
      <c r="C2388" t="s">
        <v>433</v>
      </c>
      <c r="D2388" t="s">
        <v>20</v>
      </c>
      <c r="E2388" t="s">
        <v>31</v>
      </c>
      <c r="F2388" t="s">
        <v>15</v>
      </c>
      <c r="G2388" t="s">
        <v>22</v>
      </c>
      <c r="H2388" t="s">
        <v>1349</v>
      </c>
      <c r="I2388" t="s">
        <v>33</v>
      </c>
      <c r="J2388">
        <v>2</v>
      </c>
      <c r="K2388">
        <v>6500</v>
      </c>
      <c r="L2388">
        <v>6500</v>
      </c>
      <c r="M2388">
        <v>13000</v>
      </c>
      <c r="N2388" t="s">
        <v>19</v>
      </c>
    </row>
    <row r="2389" spans="1:14" x14ac:dyDescent="0.25">
      <c r="A2389" t="s">
        <v>1486</v>
      </c>
      <c r="B2389" t="s">
        <v>1887</v>
      </c>
      <c r="C2389" t="s">
        <v>438</v>
      </c>
      <c r="D2389" t="s">
        <v>20</v>
      </c>
      <c r="E2389" t="s">
        <v>31</v>
      </c>
      <c r="F2389" t="s">
        <v>15</v>
      </c>
      <c r="G2389" t="s">
        <v>22</v>
      </c>
      <c r="H2389" t="s">
        <v>1349</v>
      </c>
      <c r="I2389" t="s">
        <v>33</v>
      </c>
      <c r="J2389">
        <v>1</v>
      </c>
      <c r="K2389">
        <v>6500</v>
      </c>
      <c r="L2389">
        <v>6500</v>
      </c>
      <c r="M2389">
        <v>6500</v>
      </c>
      <c r="N2389" t="s">
        <v>19</v>
      </c>
    </row>
    <row r="2390" spans="1:14" x14ac:dyDescent="0.25">
      <c r="A2390" t="s">
        <v>1486</v>
      </c>
      <c r="B2390" t="s">
        <v>2399</v>
      </c>
      <c r="C2390" t="s">
        <v>439</v>
      </c>
      <c r="D2390" t="s">
        <v>20</v>
      </c>
      <c r="E2390" t="s">
        <v>31</v>
      </c>
      <c r="F2390" t="s">
        <v>15</v>
      </c>
      <c r="G2390" t="s">
        <v>22</v>
      </c>
      <c r="H2390" t="s">
        <v>1349</v>
      </c>
      <c r="I2390" t="s">
        <v>33</v>
      </c>
      <c r="J2390">
        <v>1</v>
      </c>
      <c r="K2390">
        <v>6500</v>
      </c>
      <c r="L2390">
        <v>6500</v>
      </c>
      <c r="M2390">
        <v>6500</v>
      </c>
      <c r="N2390" t="s">
        <v>19</v>
      </c>
    </row>
    <row r="2391" spans="1:14" x14ac:dyDescent="0.25">
      <c r="A2391" t="s">
        <v>1526</v>
      </c>
      <c r="B2391" t="s">
        <v>2400</v>
      </c>
      <c r="C2391" t="s">
        <v>443</v>
      </c>
      <c r="D2391" t="s">
        <v>20</v>
      </c>
      <c r="E2391" t="s">
        <v>273</v>
      </c>
      <c r="F2391" t="s">
        <v>15</v>
      </c>
      <c r="G2391" t="s">
        <v>22</v>
      </c>
      <c r="H2391" t="s">
        <v>1369</v>
      </c>
      <c r="I2391" t="s">
        <v>33</v>
      </c>
      <c r="J2391">
        <v>1</v>
      </c>
      <c r="K2391">
        <v>18000</v>
      </c>
      <c r="L2391">
        <v>18000</v>
      </c>
      <c r="M2391">
        <v>18000</v>
      </c>
      <c r="N2391" t="s">
        <v>19</v>
      </c>
    </row>
    <row r="2392" spans="1:14" x14ac:dyDescent="0.25">
      <c r="A2392" t="s">
        <v>1609</v>
      </c>
      <c r="B2392" t="s">
        <v>2401</v>
      </c>
      <c r="C2392" t="s">
        <v>448</v>
      </c>
      <c r="D2392" t="s">
        <v>191</v>
      </c>
      <c r="E2392" t="s">
        <v>192</v>
      </c>
      <c r="F2392" t="s">
        <v>15</v>
      </c>
      <c r="G2392" t="s">
        <v>22</v>
      </c>
      <c r="H2392" t="s">
        <v>1369</v>
      </c>
      <c r="I2392" t="s">
        <v>1370</v>
      </c>
      <c r="J2392">
        <v>4</v>
      </c>
      <c r="K2392">
        <v>2082.35</v>
      </c>
      <c r="L2392">
        <v>3500</v>
      </c>
      <c r="M2392">
        <v>14000</v>
      </c>
      <c r="N2392" t="s">
        <v>19</v>
      </c>
    </row>
    <row r="2393" spans="1:14" x14ac:dyDescent="0.25">
      <c r="A2393" t="s">
        <v>1609</v>
      </c>
      <c r="B2393" t="s">
        <v>2401</v>
      </c>
      <c r="C2393" t="s">
        <v>448</v>
      </c>
      <c r="D2393" t="s">
        <v>191</v>
      </c>
      <c r="E2393" t="s">
        <v>192</v>
      </c>
      <c r="F2393" t="s">
        <v>15</v>
      </c>
      <c r="G2393" t="s">
        <v>22</v>
      </c>
      <c r="H2393" t="s">
        <v>1369</v>
      </c>
      <c r="I2393" t="s">
        <v>1371</v>
      </c>
      <c r="J2393">
        <v>4</v>
      </c>
      <c r="K2393">
        <v>282</v>
      </c>
      <c r="L2393">
        <v>500</v>
      </c>
      <c r="M2393">
        <v>2000</v>
      </c>
      <c r="N2393" t="s">
        <v>19</v>
      </c>
    </row>
    <row r="2394" spans="1:14" x14ac:dyDescent="0.25">
      <c r="A2394" t="s">
        <v>1609</v>
      </c>
      <c r="B2394" t="s">
        <v>2401</v>
      </c>
      <c r="C2394" t="s">
        <v>448</v>
      </c>
      <c r="D2394" t="s">
        <v>191</v>
      </c>
      <c r="E2394" t="s">
        <v>192</v>
      </c>
      <c r="F2394" t="s">
        <v>15</v>
      </c>
      <c r="G2394" t="s">
        <v>22</v>
      </c>
      <c r="H2394" t="s">
        <v>1369</v>
      </c>
      <c r="I2394" t="s">
        <v>1372</v>
      </c>
      <c r="J2394">
        <v>4</v>
      </c>
      <c r="K2394">
        <v>166</v>
      </c>
      <c r="L2394">
        <v>500</v>
      </c>
      <c r="M2394">
        <v>2000</v>
      </c>
      <c r="N2394" t="s">
        <v>19</v>
      </c>
    </row>
    <row r="2395" spans="1:14" x14ac:dyDescent="0.25">
      <c r="A2395" t="s">
        <v>1609</v>
      </c>
      <c r="B2395" t="s">
        <v>2401</v>
      </c>
      <c r="C2395" t="s">
        <v>448</v>
      </c>
      <c r="D2395" t="s">
        <v>191</v>
      </c>
      <c r="E2395" t="s">
        <v>192</v>
      </c>
      <c r="F2395" t="s">
        <v>15</v>
      </c>
      <c r="G2395" t="s">
        <v>22</v>
      </c>
      <c r="H2395" t="s">
        <v>1369</v>
      </c>
      <c r="I2395" t="s">
        <v>1373</v>
      </c>
      <c r="J2395">
        <v>4</v>
      </c>
      <c r="K2395">
        <v>244</v>
      </c>
      <c r="L2395">
        <v>500</v>
      </c>
      <c r="M2395">
        <v>2000</v>
      </c>
      <c r="N2395" t="s">
        <v>19</v>
      </c>
    </row>
    <row r="2396" spans="1:14" x14ac:dyDescent="0.25">
      <c r="A2396" t="s">
        <v>1486</v>
      </c>
      <c r="B2396" t="s">
        <v>2402</v>
      </c>
      <c r="C2396" t="s">
        <v>450</v>
      </c>
      <c r="D2396" t="s">
        <v>20</v>
      </c>
      <c r="E2396" t="s">
        <v>31</v>
      </c>
      <c r="F2396" t="s">
        <v>15</v>
      </c>
      <c r="G2396" t="s">
        <v>22</v>
      </c>
      <c r="H2396" t="s">
        <v>1369</v>
      </c>
      <c r="I2396" t="s">
        <v>145</v>
      </c>
      <c r="J2396">
        <v>1</v>
      </c>
      <c r="K2396">
        <v>6300</v>
      </c>
      <c r="L2396">
        <v>18000</v>
      </c>
      <c r="M2396">
        <v>18000</v>
      </c>
      <c r="N2396" t="s">
        <v>19</v>
      </c>
    </row>
    <row r="2397" spans="1:14" x14ac:dyDescent="0.25">
      <c r="A2397" t="s">
        <v>1486</v>
      </c>
      <c r="B2397" t="s">
        <v>2402</v>
      </c>
      <c r="C2397" t="s">
        <v>450</v>
      </c>
      <c r="D2397" t="s">
        <v>20</v>
      </c>
      <c r="E2397" t="s">
        <v>31</v>
      </c>
      <c r="F2397" t="s">
        <v>15</v>
      </c>
      <c r="G2397" t="s">
        <v>22</v>
      </c>
      <c r="H2397" t="s">
        <v>1369</v>
      </c>
      <c r="I2397" t="s">
        <v>299</v>
      </c>
      <c r="J2397">
        <v>1</v>
      </c>
      <c r="K2397">
        <v>5750</v>
      </c>
      <c r="L2397">
        <v>5750</v>
      </c>
      <c r="M2397">
        <v>5750</v>
      </c>
      <c r="N2397" t="s">
        <v>19</v>
      </c>
    </row>
    <row r="2398" spans="1:14" x14ac:dyDescent="0.25">
      <c r="A2398" t="s">
        <v>1486</v>
      </c>
      <c r="B2398" t="s">
        <v>2402</v>
      </c>
      <c r="C2398" t="s">
        <v>450</v>
      </c>
      <c r="D2398" t="s">
        <v>20</v>
      </c>
      <c r="E2398" t="s">
        <v>31</v>
      </c>
      <c r="F2398" t="s">
        <v>15</v>
      </c>
      <c r="G2398" t="s">
        <v>22</v>
      </c>
      <c r="H2398" t="s">
        <v>1369</v>
      </c>
      <c r="I2398" t="s">
        <v>25</v>
      </c>
      <c r="J2398">
        <v>1</v>
      </c>
      <c r="K2398">
        <v>5750</v>
      </c>
      <c r="L2398">
        <v>5750</v>
      </c>
      <c r="M2398">
        <v>5750</v>
      </c>
      <c r="N2398" t="s">
        <v>19</v>
      </c>
    </row>
    <row r="2399" spans="1:14" x14ac:dyDescent="0.25">
      <c r="A2399" t="s">
        <v>1486</v>
      </c>
      <c r="B2399" t="s">
        <v>2402</v>
      </c>
      <c r="C2399" t="s">
        <v>450</v>
      </c>
      <c r="D2399" t="s">
        <v>20</v>
      </c>
      <c r="E2399" t="s">
        <v>31</v>
      </c>
      <c r="F2399" t="s">
        <v>15</v>
      </c>
      <c r="G2399" t="s">
        <v>22</v>
      </c>
      <c r="H2399" t="s">
        <v>1369</v>
      </c>
      <c r="I2399" t="s">
        <v>134</v>
      </c>
      <c r="J2399">
        <v>1</v>
      </c>
      <c r="K2399">
        <v>500</v>
      </c>
      <c r="L2399">
        <v>500</v>
      </c>
      <c r="M2399">
        <v>500</v>
      </c>
      <c r="N2399" t="s">
        <v>19</v>
      </c>
    </row>
    <row r="2400" spans="1:14" x14ac:dyDescent="0.25">
      <c r="A2400" t="s">
        <v>1657</v>
      </c>
      <c r="B2400" t="s">
        <v>2403</v>
      </c>
      <c r="C2400" t="s">
        <v>1242</v>
      </c>
      <c r="D2400" t="s">
        <v>1416</v>
      </c>
      <c r="E2400" t="s">
        <v>1417</v>
      </c>
      <c r="F2400" t="s">
        <v>15</v>
      </c>
      <c r="G2400" t="s">
        <v>1007</v>
      </c>
      <c r="H2400" t="s">
        <v>1418</v>
      </c>
      <c r="I2400" t="s">
        <v>1419</v>
      </c>
      <c r="J2400">
        <v>1</v>
      </c>
      <c r="K2400">
        <v>22000</v>
      </c>
      <c r="L2400">
        <v>22000</v>
      </c>
      <c r="M2400">
        <v>22000</v>
      </c>
      <c r="N2400" t="s">
        <v>19</v>
      </c>
    </row>
    <row r="2401" spans="1:14" x14ac:dyDescent="0.25">
      <c r="A2401" t="s">
        <v>1657</v>
      </c>
      <c r="B2401" t="s">
        <v>2403</v>
      </c>
      <c r="C2401" t="s">
        <v>1242</v>
      </c>
      <c r="D2401" t="s">
        <v>1416</v>
      </c>
      <c r="E2401" t="s">
        <v>1417</v>
      </c>
      <c r="F2401" t="s">
        <v>15</v>
      </c>
      <c r="G2401" t="s">
        <v>1007</v>
      </c>
      <c r="H2401" t="s">
        <v>1418</v>
      </c>
      <c r="I2401" t="s">
        <v>26</v>
      </c>
      <c r="J2401">
        <v>1</v>
      </c>
      <c r="K2401">
        <v>500</v>
      </c>
      <c r="L2401">
        <v>500</v>
      </c>
      <c r="M2401">
        <v>500</v>
      </c>
      <c r="N2401" t="s">
        <v>19</v>
      </c>
    </row>
    <row r="2402" spans="1:14" x14ac:dyDescent="0.25">
      <c r="A2402" t="s">
        <v>1657</v>
      </c>
      <c r="B2402" t="s">
        <v>2403</v>
      </c>
      <c r="C2402" t="s">
        <v>1242</v>
      </c>
      <c r="D2402" t="s">
        <v>1416</v>
      </c>
      <c r="E2402" t="s">
        <v>1417</v>
      </c>
      <c r="F2402" t="s">
        <v>15</v>
      </c>
      <c r="G2402" t="s">
        <v>1007</v>
      </c>
      <c r="H2402" t="s">
        <v>1418</v>
      </c>
      <c r="I2402" t="s">
        <v>1394</v>
      </c>
      <c r="J2402">
        <v>1</v>
      </c>
      <c r="K2402">
        <v>18700</v>
      </c>
      <c r="L2402">
        <v>27700</v>
      </c>
      <c r="M2402">
        <v>27700</v>
      </c>
      <c r="N2402" t="s">
        <v>19</v>
      </c>
    </row>
    <row r="2403" spans="1:14" x14ac:dyDescent="0.25">
      <c r="A2403" t="s">
        <v>1657</v>
      </c>
      <c r="B2403" t="s">
        <v>2403</v>
      </c>
      <c r="C2403" t="s">
        <v>1242</v>
      </c>
      <c r="D2403" t="s">
        <v>1416</v>
      </c>
      <c r="E2403" t="s">
        <v>1417</v>
      </c>
      <c r="F2403" t="s">
        <v>15</v>
      </c>
      <c r="G2403" t="s">
        <v>1007</v>
      </c>
      <c r="H2403" t="s">
        <v>1418</v>
      </c>
      <c r="I2403" t="s">
        <v>1120</v>
      </c>
      <c r="J2403">
        <v>1</v>
      </c>
      <c r="K2403">
        <v>5100</v>
      </c>
      <c r="L2403">
        <v>7300</v>
      </c>
      <c r="M2403">
        <v>7300</v>
      </c>
      <c r="N2403" t="s">
        <v>19</v>
      </c>
    </row>
    <row r="2404" spans="1:14" x14ac:dyDescent="0.25">
      <c r="A2404" t="s">
        <v>1657</v>
      </c>
      <c r="B2404" t="s">
        <v>2403</v>
      </c>
      <c r="C2404" t="s">
        <v>1242</v>
      </c>
      <c r="D2404" t="s">
        <v>1416</v>
      </c>
      <c r="E2404" t="s">
        <v>1417</v>
      </c>
      <c r="F2404" t="s">
        <v>15</v>
      </c>
      <c r="G2404" t="s">
        <v>1007</v>
      </c>
      <c r="H2404" t="s">
        <v>1418</v>
      </c>
      <c r="I2404" t="s">
        <v>151</v>
      </c>
      <c r="J2404">
        <v>1</v>
      </c>
      <c r="K2404">
        <v>2000</v>
      </c>
      <c r="L2404">
        <v>3000</v>
      </c>
      <c r="M2404">
        <v>3000</v>
      </c>
      <c r="N2404" t="s">
        <v>19</v>
      </c>
    </row>
    <row r="2405" spans="1:14" x14ac:dyDescent="0.25">
      <c r="A2405" t="s">
        <v>1497</v>
      </c>
      <c r="B2405" t="s">
        <v>2404</v>
      </c>
      <c r="C2405" t="s">
        <v>457</v>
      </c>
      <c r="D2405" t="s">
        <v>20</v>
      </c>
      <c r="E2405" t="s">
        <v>263</v>
      </c>
      <c r="F2405" t="s">
        <v>15</v>
      </c>
      <c r="G2405" t="s">
        <v>22</v>
      </c>
      <c r="H2405" t="s">
        <v>1374</v>
      </c>
      <c r="I2405" t="s">
        <v>133</v>
      </c>
      <c r="J2405">
        <v>1</v>
      </c>
      <c r="K2405">
        <v>6300</v>
      </c>
      <c r="L2405">
        <v>18000</v>
      </c>
      <c r="M2405">
        <v>18000</v>
      </c>
      <c r="N2405" t="s">
        <v>19</v>
      </c>
    </row>
    <row r="2406" spans="1:14" x14ac:dyDescent="0.25">
      <c r="A2406" t="s">
        <v>1497</v>
      </c>
      <c r="B2406" t="s">
        <v>2404</v>
      </c>
      <c r="C2406" t="s">
        <v>457</v>
      </c>
      <c r="D2406" t="s">
        <v>20</v>
      </c>
      <c r="E2406" t="s">
        <v>263</v>
      </c>
      <c r="F2406" t="s">
        <v>15</v>
      </c>
      <c r="G2406" t="s">
        <v>22</v>
      </c>
      <c r="H2406" t="s">
        <v>1374</v>
      </c>
      <c r="I2406" t="s">
        <v>25</v>
      </c>
      <c r="J2406">
        <v>1</v>
      </c>
      <c r="K2406">
        <v>14000</v>
      </c>
      <c r="L2406">
        <v>14000</v>
      </c>
      <c r="M2406">
        <v>14000</v>
      </c>
      <c r="N2406" t="s">
        <v>19</v>
      </c>
    </row>
    <row r="2407" spans="1:14" x14ac:dyDescent="0.25">
      <c r="A2407" t="s">
        <v>1497</v>
      </c>
      <c r="B2407" t="s">
        <v>2404</v>
      </c>
      <c r="C2407" t="s">
        <v>457</v>
      </c>
      <c r="D2407" t="s">
        <v>20</v>
      </c>
      <c r="E2407" t="s">
        <v>263</v>
      </c>
      <c r="F2407" t="s">
        <v>15</v>
      </c>
      <c r="G2407" t="s">
        <v>22</v>
      </c>
      <c r="H2407" t="s">
        <v>1374</v>
      </c>
      <c r="I2407" t="s">
        <v>24</v>
      </c>
      <c r="J2407">
        <v>1</v>
      </c>
      <c r="K2407">
        <v>14000</v>
      </c>
      <c r="L2407">
        <v>14000</v>
      </c>
      <c r="M2407">
        <v>14000</v>
      </c>
      <c r="N2407" t="s">
        <v>19</v>
      </c>
    </row>
    <row r="2408" spans="1:14" x14ac:dyDescent="0.25">
      <c r="A2408" t="s">
        <v>1497</v>
      </c>
      <c r="B2408" t="s">
        <v>2404</v>
      </c>
      <c r="C2408" t="s">
        <v>457</v>
      </c>
      <c r="D2408" t="s">
        <v>20</v>
      </c>
      <c r="E2408" t="s">
        <v>263</v>
      </c>
      <c r="F2408" t="s">
        <v>15</v>
      </c>
      <c r="G2408" t="s">
        <v>22</v>
      </c>
      <c r="H2408" t="s">
        <v>1374</v>
      </c>
      <c r="I2408" t="s">
        <v>134</v>
      </c>
      <c r="J2408">
        <v>1</v>
      </c>
      <c r="K2408">
        <v>500</v>
      </c>
      <c r="L2408">
        <v>500</v>
      </c>
      <c r="M2408">
        <v>500</v>
      </c>
      <c r="N2408" t="s">
        <v>19</v>
      </c>
    </row>
    <row r="2409" spans="1:14" x14ac:dyDescent="0.25">
      <c r="A2409" t="s">
        <v>1497</v>
      </c>
      <c r="B2409" t="s">
        <v>2404</v>
      </c>
      <c r="C2409" t="s">
        <v>457</v>
      </c>
      <c r="D2409" t="s">
        <v>20</v>
      </c>
      <c r="E2409" t="s">
        <v>263</v>
      </c>
      <c r="F2409" t="s">
        <v>15</v>
      </c>
      <c r="G2409" t="s">
        <v>22</v>
      </c>
      <c r="H2409" t="s">
        <v>1374</v>
      </c>
      <c r="I2409" t="s">
        <v>383</v>
      </c>
      <c r="J2409">
        <v>1</v>
      </c>
      <c r="K2409">
        <v>3195</v>
      </c>
      <c r="L2409">
        <v>4500</v>
      </c>
      <c r="M2409">
        <v>4500</v>
      </c>
      <c r="N2409" t="s">
        <v>19</v>
      </c>
    </row>
    <row r="2410" spans="1:14" x14ac:dyDescent="0.25">
      <c r="A2410" t="s">
        <v>1497</v>
      </c>
      <c r="B2410" t="s">
        <v>2404</v>
      </c>
      <c r="C2410" t="s">
        <v>457</v>
      </c>
      <c r="D2410" t="s">
        <v>20</v>
      </c>
      <c r="E2410" t="s">
        <v>263</v>
      </c>
      <c r="F2410" t="s">
        <v>15</v>
      </c>
      <c r="G2410" t="s">
        <v>22</v>
      </c>
      <c r="H2410" t="s">
        <v>1374</v>
      </c>
      <c r="I2410" t="s">
        <v>233</v>
      </c>
      <c r="J2410">
        <v>1</v>
      </c>
      <c r="K2410">
        <v>8500</v>
      </c>
      <c r="L2410">
        <v>12000</v>
      </c>
      <c r="M2410">
        <v>12000</v>
      </c>
      <c r="N2410" t="s">
        <v>19</v>
      </c>
    </row>
    <row r="2411" spans="1:14" x14ac:dyDescent="0.25">
      <c r="A2411" t="s">
        <v>1497</v>
      </c>
      <c r="B2411" t="s">
        <v>2404</v>
      </c>
      <c r="C2411" t="s">
        <v>457</v>
      </c>
      <c r="D2411" t="s">
        <v>20</v>
      </c>
      <c r="E2411" t="s">
        <v>263</v>
      </c>
      <c r="F2411" t="s">
        <v>15</v>
      </c>
      <c r="G2411" t="s">
        <v>22</v>
      </c>
      <c r="H2411" t="s">
        <v>1374</v>
      </c>
      <c r="I2411" t="s">
        <v>98</v>
      </c>
      <c r="J2411">
        <v>1</v>
      </c>
      <c r="K2411">
        <v>935</v>
      </c>
      <c r="L2411">
        <v>1500</v>
      </c>
      <c r="M2411">
        <v>1500</v>
      </c>
      <c r="N2411" t="s">
        <v>19</v>
      </c>
    </row>
    <row r="2412" spans="1:14" x14ac:dyDescent="0.25">
      <c r="A2412" t="s">
        <v>1497</v>
      </c>
      <c r="B2412" t="s">
        <v>2404</v>
      </c>
      <c r="C2412" t="s">
        <v>457</v>
      </c>
      <c r="D2412" t="s">
        <v>20</v>
      </c>
      <c r="E2412" t="s">
        <v>263</v>
      </c>
      <c r="F2412" t="s">
        <v>15</v>
      </c>
      <c r="G2412" t="s">
        <v>22</v>
      </c>
      <c r="H2412" t="s">
        <v>1374</v>
      </c>
      <c r="I2412" t="s">
        <v>85</v>
      </c>
      <c r="J2412">
        <v>1</v>
      </c>
      <c r="K2412">
        <v>1350</v>
      </c>
      <c r="L2412">
        <v>1900</v>
      </c>
      <c r="M2412">
        <v>1900</v>
      </c>
      <c r="N2412" t="s">
        <v>19</v>
      </c>
    </row>
    <row r="2413" spans="1:14" x14ac:dyDescent="0.25">
      <c r="A2413" t="s">
        <v>1497</v>
      </c>
      <c r="B2413" t="s">
        <v>2404</v>
      </c>
      <c r="C2413" t="s">
        <v>457</v>
      </c>
      <c r="D2413" t="s">
        <v>20</v>
      </c>
      <c r="E2413" t="s">
        <v>263</v>
      </c>
      <c r="F2413" t="s">
        <v>15</v>
      </c>
      <c r="G2413" t="s">
        <v>22</v>
      </c>
      <c r="H2413" t="s">
        <v>1374</v>
      </c>
      <c r="I2413" t="s">
        <v>137</v>
      </c>
      <c r="J2413">
        <v>1</v>
      </c>
      <c r="K2413">
        <v>2200</v>
      </c>
      <c r="L2413">
        <v>3200</v>
      </c>
      <c r="M2413">
        <v>3200</v>
      </c>
      <c r="N2413" t="s">
        <v>19</v>
      </c>
    </row>
    <row r="2414" spans="1:14" x14ac:dyDescent="0.25">
      <c r="A2414" t="s">
        <v>1497</v>
      </c>
      <c r="B2414" t="s">
        <v>2404</v>
      </c>
      <c r="C2414" t="s">
        <v>457</v>
      </c>
      <c r="D2414" t="s">
        <v>20</v>
      </c>
      <c r="E2414" t="s">
        <v>263</v>
      </c>
      <c r="F2414" t="s">
        <v>15</v>
      </c>
      <c r="G2414" t="s">
        <v>22</v>
      </c>
      <c r="H2414" t="s">
        <v>1374</v>
      </c>
      <c r="I2414" t="s">
        <v>1375</v>
      </c>
      <c r="J2414">
        <v>1</v>
      </c>
      <c r="K2414">
        <v>23000</v>
      </c>
      <c r="L2414">
        <v>32700</v>
      </c>
      <c r="M2414">
        <v>32700</v>
      </c>
      <c r="N2414" t="s">
        <v>19</v>
      </c>
    </row>
    <row r="2415" spans="1:14" x14ac:dyDescent="0.25">
      <c r="A2415" t="s">
        <v>1497</v>
      </c>
      <c r="B2415" t="s">
        <v>2404</v>
      </c>
      <c r="C2415" t="s">
        <v>457</v>
      </c>
      <c r="D2415" t="s">
        <v>20</v>
      </c>
      <c r="E2415" t="s">
        <v>263</v>
      </c>
      <c r="F2415" t="s">
        <v>15</v>
      </c>
      <c r="G2415" t="s">
        <v>22</v>
      </c>
      <c r="H2415" t="s">
        <v>1374</v>
      </c>
      <c r="I2415" t="s">
        <v>99</v>
      </c>
      <c r="J2415">
        <v>1</v>
      </c>
      <c r="K2415">
        <v>2000</v>
      </c>
      <c r="L2415">
        <v>4000</v>
      </c>
      <c r="M2415">
        <v>4000</v>
      </c>
      <c r="N2415" t="s">
        <v>19</v>
      </c>
    </row>
    <row r="2416" spans="1:14" x14ac:dyDescent="0.25">
      <c r="A2416" t="s">
        <v>1497</v>
      </c>
      <c r="B2416" t="s">
        <v>2404</v>
      </c>
      <c r="C2416" t="s">
        <v>457</v>
      </c>
      <c r="D2416" t="s">
        <v>20</v>
      </c>
      <c r="E2416" t="s">
        <v>263</v>
      </c>
      <c r="F2416" t="s">
        <v>15</v>
      </c>
      <c r="G2416" t="s">
        <v>22</v>
      </c>
      <c r="H2416" t="s">
        <v>1374</v>
      </c>
      <c r="I2416" t="s">
        <v>1370</v>
      </c>
      <c r="J2416">
        <v>1</v>
      </c>
      <c r="K2416">
        <v>2082.35</v>
      </c>
      <c r="L2416">
        <v>3500</v>
      </c>
      <c r="M2416">
        <v>3500</v>
      </c>
      <c r="N2416" t="s">
        <v>19</v>
      </c>
    </row>
    <row r="2417" spans="1:14" x14ac:dyDescent="0.25">
      <c r="A2417" t="s">
        <v>1497</v>
      </c>
      <c r="B2417" t="s">
        <v>2404</v>
      </c>
      <c r="C2417" t="s">
        <v>457</v>
      </c>
      <c r="D2417" t="s">
        <v>20</v>
      </c>
      <c r="E2417" t="s">
        <v>263</v>
      </c>
      <c r="F2417" t="s">
        <v>15</v>
      </c>
      <c r="G2417" t="s">
        <v>22</v>
      </c>
      <c r="H2417" t="s">
        <v>1374</v>
      </c>
      <c r="I2417" t="s">
        <v>1371</v>
      </c>
      <c r="J2417">
        <v>1</v>
      </c>
      <c r="K2417">
        <v>282</v>
      </c>
      <c r="L2417">
        <v>500</v>
      </c>
      <c r="M2417">
        <v>500</v>
      </c>
      <c r="N2417" t="s">
        <v>19</v>
      </c>
    </row>
    <row r="2418" spans="1:14" x14ac:dyDescent="0.25">
      <c r="A2418" t="s">
        <v>1497</v>
      </c>
      <c r="B2418" t="s">
        <v>2404</v>
      </c>
      <c r="C2418" t="s">
        <v>457</v>
      </c>
      <c r="D2418" t="s">
        <v>20</v>
      </c>
      <c r="E2418" t="s">
        <v>263</v>
      </c>
      <c r="F2418" t="s">
        <v>15</v>
      </c>
      <c r="G2418" t="s">
        <v>22</v>
      </c>
      <c r="H2418" t="s">
        <v>1374</v>
      </c>
      <c r="I2418" t="s">
        <v>1372</v>
      </c>
      <c r="J2418">
        <v>1</v>
      </c>
      <c r="K2418">
        <v>166</v>
      </c>
      <c r="L2418">
        <v>500</v>
      </c>
      <c r="M2418">
        <v>500</v>
      </c>
      <c r="N2418" t="s">
        <v>19</v>
      </c>
    </row>
    <row r="2419" spans="1:14" x14ac:dyDescent="0.25">
      <c r="A2419" t="s">
        <v>1497</v>
      </c>
      <c r="B2419" t="s">
        <v>2404</v>
      </c>
      <c r="C2419" t="s">
        <v>457</v>
      </c>
      <c r="D2419" t="s">
        <v>20</v>
      </c>
      <c r="E2419" t="s">
        <v>263</v>
      </c>
      <c r="F2419" t="s">
        <v>15</v>
      </c>
      <c r="G2419" t="s">
        <v>22</v>
      </c>
      <c r="H2419" t="s">
        <v>1374</v>
      </c>
      <c r="I2419" t="s">
        <v>1373</v>
      </c>
      <c r="J2419">
        <v>1</v>
      </c>
      <c r="K2419">
        <v>244</v>
      </c>
      <c r="L2419">
        <v>500</v>
      </c>
      <c r="M2419">
        <v>500</v>
      </c>
      <c r="N2419" t="s">
        <v>19</v>
      </c>
    </row>
    <row r="2420" spans="1:14" x14ac:dyDescent="0.25">
      <c r="A2420" t="s">
        <v>1497</v>
      </c>
      <c r="B2420" t="s">
        <v>2404</v>
      </c>
      <c r="C2420" t="s">
        <v>457</v>
      </c>
      <c r="D2420" t="s">
        <v>20</v>
      </c>
      <c r="E2420" t="s">
        <v>263</v>
      </c>
      <c r="F2420" t="s">
        <v>15</v>
      </c>
      <c r="G2420" t="s">
        <v>22</v>
      </c>
      <c r="H2420" t="s">
        <v>1374</v>
      </c>
      <c r="I2420" t="s">
        <v>76</v>
      </c>
      <c r="J2420">
        <v>1</v>
      </c>
      <c r="K2420">
        <v>500</v>
      </c>
      <c r="L2420">
        <v>500</v>
      </c>
      <c r="M2420">
        <v>500</v>
      </c>
      <c r="N2420" t="s">
        <v>19</v>
      </c>
    </row>
    <row r="2421" spans="1:14" x14ac:dyDescent="0.25">
      <c r="A2421" t="s">
        <v>1509</v>
      </c>
      <c r="B2421" t="s">
        <v>2405</v>
      </c>
      <c r="C2421" t="s">
        <v>459</v>
      </c>
      <c r="D2421" t="s">
        <v>20</v>
      </c>
      <c r="E2421" t="s">
        <v>70</v>
      </c>
      <c r="F2421" t="s">
        <v>15</v>
      </c>
      <c r="G2421" t="s">
        <v>22</v>
      </c>
      <c r="H2421" t="s">
        <v>1374</v>
      </c>
      <c r="I2421" t="s">
        <v>231</v>
      </c>
      <c r="J2421">
        <v>1</v>
      </c>
      <c r="K2421">
        <v>6300</v>
      </c>
      <c r="L2421">
        <v>18000</v>
      </c>
      <c r="M2421">
        <v>18000</v>
      </c>
      <c r="N2421" t="s">
        <v>19</v>
      </c>
    </row>
    <row r="2422" spans="1:14" x14ac:dyDescent="0.25">
      <c r="A2422" t="s">
        <v>1509</v>
      </c>
      <c r="B2422" t="s">
        <v>2405</v>
      </c>
      <c r="C2422" t="s">
        <v>459</v>
      </c>
      <c r="D2422" t="s">
        <v>20</v>
      </c>
      <c r="E2422" t="s">
        <v>70</v>
      </c>
      <c r="F2422" t="s">
        <v>15</v>
      </c>
      <c r="G2422" t="s">
        <v>22</v>
      </c>
      <c r="H2422" t="s">
        <v>1374</v>
      </c>
      <c r="I2422" t="s">
        <v>537</v>
      </c>
      <c r="J2422">
        <v>1</v>
      </c>
      <c r="K2422">
        <v>5000</v>
      </c>
      <c r="L2422">
        <v>5000</v>
      </c>
      <c r="M2422">
        <v>5000</v>
      </c>
      <c r="N2422" t="s">
        <v>19</v>
      </c>
    </row>
    <row r="2423" spans="1:14" x14ac:dyDescent="0.25">
      <c r="A2423" t="s">
        <v>1509</v>
      </c>
      <c r="B2423" t="s">
        <v>2405</v>
      </c>
      <c r="C2423" t="s">
        <v>459</v>
      </c>
      <c r="D2423" t="s">
        <v>20</v>
      </c>
      <c r="E2423" t="s">
        <v>70</v>
      </c>
      <c r="F2423" t="s">
        <v>15</v>
      </c>
      <c r="G2423" t="s">
        <v>22</v>
      </c>
      <c r="H2423" t="s">
        <v>1374</v>
      </c>
      <c r="I2423" t="s">
        <v>24</v>
      </c>
      <c r="J2423">
        <v>1</v>
      </c>
      <c r="K2423">
        <v>5000</v>
      </c>
      <c r="L2423">
        <v>5000</v>
      </c>
      <c r="M2423">
        <v>5000</v>
      </c>
      <c r="N2423" t="s">
        <v>19</v>
      </c>
    </row>
    <row r="2424" spans="1:14" x14ac:dyDescent="0.25">
      <c r="A2424" t="s">
        <v>1509</v>
      </c>
      <c r="B2424" t="s">
        <v>2405</v>
      </c>
      <c r="C2424" t="s">
        <v>459</v>
      </c>
      <c r="D2424" t="s">
        <v>20</v>
      </c>
      <c r="E2424" t="s">
        <v>70</v>
      </c>
      <c r="F2424" t="s">
        <v>15</v>
      </c>
      <c r="G2424" t="s">
        <v>22</v>
      </c>
      <c r="H2424" t="s">
        <v>1374</v>
      </c>
      <c r="I2424" t="s">
        <v>1376</v>
      </c>
      <c r="J2424">
        <v>1</v>
      </c>
      <c r="K2424">
        <v>21500</v>
      </c>
      <c r="L2424">
        <v>30700</v>
      </c>
      <c r="M2424">
        <v>30700</v>
      </c>
      <c r="N2424" t="s">
        <v>19</v>
      </c>
    </row>
    <row r="2425" spans="1:14" x14ac:dyDescent="0.25">
      <c r="A2425" t="s">
        <v>1509</v>
      </c>
      <c r="B2425" t="s">
        <v>2405</v>
      </c>
      <c r="C2425" t="s">
        <v>459</v>
      </c>
      <c r="D2425" t="s">
        <v>20</v>
      </c>
      <c r="E2425" t="s">
        <v>70</v>
      </c>
      <c r="F2425" t="s">
        <v>15</v>
      </c>
      <c r="G2425" t="s">
        <v>22</v>
      </c>
      <c r="H2425" t="s">
        <v>1374</v>
      </c>
      <c r="I2425" t="s">
        <v>539</v>
      </c>
      <c r="J2425">
        <v>1</v>
      </c>
      <c r="K2425">
        <v>5100</v>
      </c>
      <c r="L2425">
        <v>7500</v>
      </c>
      <c r="M2425">
        <v>7500</v>
      </c>
      <c r="N2425" t="s">
        <v>19</v>
      </c>
    </row>
    <row r="2426" spans="1:14" x14ac:dyDescent="0.25">
      <c r="A2426" t="s">
        <v>1509</v>
      </c>
      <c r="B2426" t="s">
        <v>2405</v>
      </c>
      <c r="C2426" t="s">
        <v>459</v>
      </c>
      <c r="D2426" t="s">
        <v>20</v>
      </c>
      <c r="E2426" t="s">
        <v>70</v>
      </c>
      <c r="F2426" t="s">
        <v>15</v>
      </c>
      <c r="G2426" t="s">
        <v>22</v>
      </c>
      <c r="H2426" t="s">
        <v>1374</v>
      </c>
      <c r="I2426" t="s">
        <v>134</v>
      </c>
      <c r="J2426">
        <v>1</v>
      </c>
      <c r="K2426">
        <v>500</v>
      </c>
      <c r="L2426">
        <v>500</v>
      </c>
      <c r="M2426">
        <v>500</v>
      </c>
      <c r="N2426" t="s">
        <v>19</v>
      </c>
    </row>
    <row r="2427" spans="1:14" x14ac:dyDescent="0.25">
      <c r="A2427" t="s">
        <v>1509</v>
      </c>
      <c r="B2427" t="s">
        <v>2405</v>
      </c>
      <c r="C2427" t="s">
        <v>459</v>
      </c>
      <c r="D2427" t="s">
        <v>20</v>
      </c>
      <c r="E2427" t="s">
        <v>70</v>
      </c>
      <c r="F2427" t="s">
        <v>15</v>
      </c>
      <c r="G2427" t="s">
        <v>22</v>
      </c>
      <c r="H2427" t="s">
        <v>1374</v>
      </c>
      <c r="I2427" t="s">
        <v>135</v>
      </c>
      <c r="J2427">
        <v>1</v>
      </c>
      <c r="K2427">
        <v>3195</v>
      </c>
      <c r="L2427">
        <v>4500</v>
      </c>
      <c r="M2427">
        <v>4500</v>
      </c>
      <c r="N2427" t="s">
        <v>19</v>
      </c>
    </row>
    <row r="2428" spans="1:14" x14ac:dyDescent="0.25">
      <c r="A2428" t="s">
        <v>1509</v>
      </c>
      <c r="B2428" t="s">
        <v>2405</v>
      </c>
      <c r="C2428" t="s">
        <v>459</v>
      </c>
      <c r="D2428" t="s">
        <v>20</v>
      </c>
      <c r="E2428" t="s">
        <v>70</v>
      </c>
      <c r="F2428" t="s">
        <v>15</v>
      </c>
      <c r="G2428" t="s">
        <v>22</v>
      </c>
      <c r="H2428" t="s">
        <v>1374</v>
      </c>
      <c r="I2428" t="s">
        <v>233</v>
      </c>
      <c r="J2428">
        <v>1</v>
      </c>
      <c r="K2428">
        <v>8500</v>
      </c>
      <c r="L2428">
        <v>12100</v>
      </c>
      <c r="M2428">
        <v>12100</v>
      </c>
      <c r="N2428" t="s">
        <v>19</v>
      </c>
    </row>
    <row r="2429" spans="1:14" x14ac:dyDescent="0.25">
      <c r="A2429" t="s">
        <v>1509</v>
      </c>
      <c r="B2429" t="s">
        <v>2405</v>
      </c>
      <c r="C2429" t="s">
        <v>459</v>
      </c>
      <c r="D2429" t="s">
        <v>20</v>
      </c>
      <c r="E2429" t="s">
        <v>70</v>
      </c>
      <c r="F2429" t="s">
        <v>15</v>
      </c>
      <c r="G2429" t="s">
        <v>22</v>
      </c>
      <c r="H2429" t="s">
        <v>1374</v>
      </c>
      <c r="I2429" t="s">
        <v>236</v>
      </c>
      <c r="J2429">
        <v>1</v>
      </c>
      <c r="K2429">
        <v>2200</v>
      </c>
      <c r="L2429">
        <v>3200</v>
      </c>
      <c r="M2429">
        <v>3200</v>
      </c>
      <c r="N2429" t="s">
        <v>19</v>
      </c>
    </row>
    <row r="2430" spans="1:14" x14ac:dyDescent="0.25">
      <c r="A2430" t="s">
        <v>1509</v>
      </c>
      <c r="B2430" t="s">
        <v>2405</v>
      </c>
      <c r="C2430" t="s">
        <v>459</v>
      </c>
      <c r="D2430" t="s">
        <v>20</v>
      </c>
      <c r="E2430" t="s">
        <v>70</v>
      </c>
      <c r="F2430" t="s">
        <v>15</v>
      </c>
      <c r="G2430" t="s">
        <v>22</v>
      </c>
      <c r="H2430" t="s">
        <v>1374</v>
      </c>
      <c r="I2430" t="s">
        <v>99</v>
      </c>
      <c r="J2430">
        <v>1</v>
      </c>
      <c r="K2430">
        <v>2000</v>
      </c>
      <c r="L2430">
        <v>4000</v>
      </c>
      <c r="M2430">
        <v>4000</v>
      </c>
      <c r="N2430" t="s">
        <v>19</v>
      </c>
    </row>
    <row r="2431" spans="1:14" x14ac:dyDescent="0.25">
      <c r="A2431" t="s">
        <v>1509</v>
      </c>
      <c r="B2431" t="s">
        <v>2405</v>
      </c>
      <c r="C2431" t="s">
        <v>459</v>
      </c>
      <c r="D2431" t="s">
        <v>20</v>
      </c>
      <c r="E2431" t="s">
        <v>70</v>
      </c>
      <c r="F2431" t="s">
        <v>15</v>
      </c>
      <c r="G2431" t="s">
        <v>22</v>
      </c>
      <c r="H2431" t="s">
        <v>1374</v>
      </c>
      <c r="I2431" t="s">
        <v>76</v>
      </c>
      <c r="J2431">
        <v>1</v>
      </c>
      <c r="K2431">
        <v>500</v>
      </c>
      <c r="L2431">
        <v>500</v>
      </c>
      <c r="M2431">
        <v>500</v>
      </c>
      <c r="N2431" t="s">
        <v>19</v>
      </c>
    </row>
    <row r="2432" spans="1:14" x14ac:dyDescent="0.25">
      <c r="A2432" t="s">
        <v>1526</v>
      </c>
      <c r="B2432" t="s">
        <v>2406</v>
      </c>
      <c r="C2432" t="s">
        <v>466</v>
      </c>
      <c r="D2432" t="s">
        <v>20</v>
      </c>
      <c r="E2432" t="s">
        <v>273</v>
      </c>
      <c r="F2432" t="s">
        <v>15</v>
      </c>
      <c r="G2432" t="s">
        <v>22</v>
      </c>
      <c r="H2432" t="s">
        <v>1377</v>
      </c>
      <c r="I2432" t="s">
        <v>761</v>
      </c>
      <c r="J2432">
        <v>1</v>
      </c>
      <c r="K2432">
        <v>8500</v>
      </c>
      <c r="L2432">
        <v>12000</v>
      </c>
      <c r="M2432">
        <v>12000</v>
      </c>
      <c r="N2432" t="s">
        <v>19</v>
      </c>
    </row>
    <row r="2433" spans="1:14" x14ac:dyDescent="0.25">
      <c r="A2433" t="s">
        <v>1441</v>
      </c>
      <c r="B2433" t="s">
        <v>2407</v>
      </c>
      <c r="C2433" t="s">
        <v>1352</v>
      </c>
      <c r="D2433" t="s">
        <v>13</v>
      </c>
      <c r="E2433" t="s">
        <v>14</v>
      </c>
      <c r="F2433" t="s">
        <v>15</v>
      </c>
      <c r="G2433" t="s">
        <v>22</v>
      </c>
      <c r="H2433" t="s">
        <v>1353</v>
      </c>
      <c r="I2433" t="s">
        <v>33</v>
      </c>
      <c r="J2433">
        <v>3</v>
      </c>
      <c r="K2433">
        <v>8500</v>
      </c>
      <c r="L2433">
        <v>8500</v>
      </c>
      <c r="M2433">
        <v>25500</v>
      </c>
      <c r="N2433" t="s">
        <v>19</v>
      </c>
    </row>
    <row r="2434" spans="1:14" x14ac:dyDescent="0.25">
      <c r="A2434" t="s">
        <v>1664</v>
      </c>
      <c r="B2434" t="s">
        <v>2408</v>
      </c>
      <c r="C2434" t="s">
        <v>1355</v>
      </c>
      <c r="D2434" t="s">
        <v>52</v>
      </c>
      <c r="E2434" t="s">
        <v>53</v>
      </c>
      <c r="F2434" t="s">
        <v>15</v>
      </c>
      <c r="G2434" t="s">
        <v>37</v>
      </c>
      <c r="H2434" t="s">
        <v>1353</v>
      </c>
      <c r="I2434" t="s">
        <v>428</v>
      </c>
      <c r="J2434">
        <v>4</v>
      </c>
      <c r="K2434">
        <v>70</v>
      </c>
      <c r="L2434">
        <v>250</v>
      </c>
      <c r="M2434">
        <v>1000</v>
      </c>
      <c r="N2434" t="s">
        <v>39</v>
      </c>
    </row>
    <row r="2435" spans="1:14" x14ac:dyDescent="0.25">
      <c r="A2435" t="s">
        <v>1580</v>
      </c>
      <c r="B2435" t="s">
        <v>2409</v>
      </c>
      <c r="C2435" t="s">
        <v>1357</v>
      </c>
      <c r="D2435" t="s">
        <v>633</v>
      </c>
      <c r="E2435" t="s">
        <v>634</v>
      </c>
      <c r="F2435" t="s">
        <v>15</v>
      </c>
      <c r="G2435" t="s">
        <v>37</v>
      </c>
      <c r="H2435" t="s">
        <v>1353</v>
      </c>
      <c r="I2435" t="s">
        <v>264</v>
      </c>
      <c r="J2435">
        <v>1</v>
      </c>
      <c r="K2435">
        <v>1200</v>
      </c>
      <c r="L2435">
        <v>2000</v>
      </c>
      <c r="M2435">
        <v>2000</v>
      </c>
      <c r="N2435" t="s">
        <v>19</v>
      </c>
    </row>
    <row r="2436" spans="1:14" x14ac:dyDescent="0.25">
      <c r="A2436" t="s">
        <v>1457</v>
      </c>
      <c r="B2436" t="s">
        <v>2410</v>
      </c>
      <c r="C2436" t="s">
        <v>1358</v>
      </c>
      <c r="D2436" t="s">
        <v>523</v>
      </c>
      <c r="E2436" t="s">
        <v>311</v>
      </c>
      <c r="F2436" t="s">
        <v>15</v>
      </c>
      <c r="G2436" t="s">
        <v>22</v>
      </c>
      <c r="H2436" t="s">
        <v>1353</v>
      </c>
      <c r="I2436" t="s">
        <v>211</v>
      </c>
      <c r="J2436">
        <v>1</v>
      </c>
      <c r="K2436">
        <v>175</v>
      </c>
      <c r="L2436">
        <v>500</v>
      </c>
      <c r="M2436">
        <v>500</v>
      </c>
      <c r="N2436" t="s">
        <v>19</v>
      </c>
    </row>
    <row r="2437" spans="1:14" x14ac:dyDescent="0.25">
      <c r="A2437" t="s">
        <v>1526</v>
      </c>
      <c r="B2437" t="s">
        <v>2411</v>
      </c>
      <c r="C2437" t="s">
        <v>470</v>
      </c>
      <c r="D2437" t="s">
        <v>20</v>
      </c>
      <c r="E2437" t="s">
        <v>273</v>
      </c>
      <c r="F2437" t="s">
        <v>15</v>
      </c>
      <c r="G2437" t="s">
        <v>22</v>
      </c>
      <c r="H2437" t="s">
        <v>1378</v>
      </c>
      <c r="I2437" t="s">
        <v>71</v>
      </c>
      <c r="J2437">
        <v>1</v>
      </c>
      <c r="K2437">
        <v>1200</v>
      </c>
      <c r="L2437">
        <v>2000</v>
      </c>
      <c r="M2437">
        <v>2000</v>
      </c>
      <c r="N2437" t="s">
        <v>19</v>
      </c>
    </row>
    <row r="2438" spans="1:14" x14ac:dyDescent="0.25">
      <c r="A2438" t="s">
        <v>1653</v>
      </c>
      <c r="B2438" t="s">
        <v>2412</v>
      </c>
      <c r="C2438" t="s">
        <v>1246</v>
      </c>
      <c r="D2438" t="s">
        <v>1068</v>
      </c>
      <c r="E2438" t="s">
        <v>1068</v>
      </c>
      <c r="F2438" t="s">
        <v>36</v>
      </c>
      <c r="G2438" t="s">
        <v>37</v>
      </c>
      <c r="H2438" t="s">
        <v>1378</v>
      </c>
      <c r="I2438" t="s">
        <v>1420</v>
      </c>
      <c r="J2438">
        <v>1</v>
      </c>
      <c r="K2438">
        <v>18000</v>
      </c>
      <c r="L2438">
        <v>18000</v>
      </c>
      <c r="M2438">
        <v>18000</v>
      </c>
      <c r="N2438" t="s">
        <v>1010</v>
      </c>
    </row>
    <row r="2439" spans="1:14" x14ac:dyDescent="0.25">
      <c r="A2439" t="s">
        <v>1528</v>
      </c>
      <c r="B2439" t="s">
        <v>2413</v>
      </c>
      <c r="C2439" t="s">
        <v>1360</v>
      </c>
      <c r="D2439" t="s">
        <v>1186</v>
      </c>
      <c r="E2439" t="s">
        <v>1187</v>
      </c>
      <c r="F2439" t="s">
        <v>15</v>
      </c>
      <c r="G2439" t="s">
        <v>37</v>
      </c>
      <c r="H2439" t="s">
        <v>1361</v>
      </c>
      <c r="I2439" t="s">
        <v>1189</v>
      </c>
      <c r="J2439">
        <v>250</v>
      </c>
      <c r="K2439">
        <v>47</v>
      </c>
      <c r="L2439">
        <v>77</v>
      </c>
      <c r="M2439">
        <v>19250</v>
      </c>
      <c r="N2439" t="s">
        <v>39</v>
      </c>
    </row>
    <row r="2440" spans="1:14" x14ac:dyDescent="0.25">
      <c r="A2440" t="s">
        <v>1494</v>
      </c>
      <c r="B2440" t="s">
        <v>2414</v>
      </c>
      <c r="C2440" t="s">
        <v>474</v>
      </c>
      <c r="D2440" t="s">
        <v>20</v>
      </c>
      <c r="E2440" t="s">
        <v>821</v>
      </c>
      <c r="F2440" t="s">
        <v>15</v>
      </c>
      <c r="G2440" t="s">
        <v>22</v>
      </c>
      <c r="H2440" t="s">
        <v>1361</v>
      </c>
      <c r="I2440" t="s">
        <v>381</v>
      </c>
      <c r="J2440">
        <v>50</v>
      </c>
      <c r="K2440">
        <v>17</v>
      </c>
      <c r="L2440">
        <v>25</v>
      </c>
      <c r="M2440">
        <v>1250</v>
      </c>
      <c r="N2440" t="s">
        <v>19</v>
      </c>
    </row>
    <row r="2441" spans="1:14" x14ac:dyDescent="0.25">
      <c r="A2441" t="s">
        <v>1494</v>
      </c>
      <c r="B2441" t="s">
        <v>2414</v>
      </c>
      <c r="C2441" t="s">
        <v>474</v>
      </c>
      <c r="D2441" t="s">
        <v>20</v>
      </c>
      <c r="E2441" t="s">
        <v>821</v>
      </c>
      <c r="F2441" t="s">
        <v>15</v>
      </c>
      <c r="G2441" t="s">
        <v>22</v>
      </c>
      <c r="H2441" t="s">
        <v>1361</v>
      </c>
      <c r="I2441" t="s">
        <v>62</v>
      </c>
      <c r="J2441">
        <v>50</v>
      </c>
      <c r="K2441">
        <v>47</v>
      </c>
      <c r="L2441">
        <v>80</v>
      </c>
      <c r="M2441">
        <v>4000</v>
      </c>
      <c r="N2441" t="s">
        <v>19</v>
      </c>
    </row>
    <row r="2442" spans="1:14" x14ac:dyDescent="0.25">
      <c r="A2442" t="s">
        <v>1494</v>
      </c>
      <c r="B2442" t="s">
        <v>2414</v>
      </c>
      <c r="C2442" t="s">
        <v>474</v>
      </c>
      <c r="D2442" t="s">
        <v>20</v>
      </c>
      <c r="E2442" t="s">
        <v>821</v>
      </c>
      <c r="F2442" t="s">
        <v>15</v>
      </c>
      <c r="G2442" t="s">
        <v>22</v>
      </c>
      <c r="H2442" t="s">
        <v>1361</v>
      </c>
      <c r="I2442" t="s">
        <v>1379</v>
      </c>
      <c r="J2442">
        <v>10</v>
      </c>
      <c r="K2442">
        <v>70</v>
      </c>
      <c r="L2442">
        <v>250</v>
      </c>
      <c r="M2442">
        <v>2500</v>
      </c>
      <c r="N2442" t="s">
        <v>19</v>
      </c>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B54F-8A19-44EB-85DC-3E859BBC08FB}">
  <dimension ref="A3:C14"/>
  <sheetViews>
    <sheetView workbookViewId="0">
      <selection activeCell="B3" sqref="B3"/>
    </sheetView>
  </sheetViews>
  <sheetFormatPr defaultRowHeight="15.75" x14ac:dyDescent="0.25"/>
  <cols>
    <col min="1" max="1" width="49.625" bestFit="1" customWidth="1"/>
    <col min="2" max="2" width="18" bestFit="1" customWidth="1"/>
    <col min="3" max="3" width="22.25" bestFit="1" customWidth="1"/>
  </cols>
  <sheetData>
    <row r="3" spans="1:3" x14ac:dyDescent="0.25">
      <c r="A3" s="1" t="s">
        <v>1421</v>
      </c>
      <c r="B3" t="s">
        <v>1735</v>
      </c>
      <c r="C3" t="s">
        <v>1737</v>
      </c>
    </row>
    <row r="4" spans="1:3" x14ac:dyDescent="0.25">
      <c r="A4" s="2" t="s">
        <v>1480</v>
      </c>
      <c r="B4">
        <v>878500</v>
      </c>
      <c r="C4">
        <v>2</v>
      </c>
    </row>
    <row r="5" spans="1:3" x14ac:dyDescent="0.25">
      <c r="A5" s="2" t="s">
        <v>1486</v>
      </c>
      <c r="B5">
        <v>2291000</v>
      </c>
      <c r="C5">
        <v>116</v>
      </c>
    </row>
    <row r="6" spans="1:3" x14ac:dyDescent="0.25">
      <c r="A6" s="2" t="s">
        <v>1492</v>
      </c>
      <c r="B6">
        <v>515000</v>
      </c>
      <c r="C6">
        <v>1</v>
      </c>
    </row>
    <row r="7" spans="1:3" x14ac:dyDescent="0.25">
      <c r="A7" s="2" t="s">
        <v>1494</v>
      </c>
      <c r="B7">
        <v>522750</v>
      </c>
      <c r="C7">
        <v>2</v>
      </c>
    </row>
    <row r="8" spans="1:3" x14ac:dyDescent="0.25">
      <c r="A8" s="2" t="s">
        <v>1495</v>
      </c>
      <c r="B8">
        <v>568700</v>
      </c>
      <c r="C8">
        <v>7</v>
      </c>
    </row>
    <row r="9" spans="1:3" x14ac:dyDescent="0.25">
      <c r="A9" s="2" t="s">
        <v>1498</v>
      </c>
      <c r="B9">
        <v>4609400</v>
      </c>
      <c r="C9">
        <v>7</v>
      </c>
    </row>
    <row r="10" spans="1:3" x14ac:dyDescent="0.25">
      <c r="A10" s="2" t="s">
        <v>1505</v>
      </c>
      <c r="B10">
        <v>1239094</v>
      </c>
      <c r="C10">
        <v>4</v>
      </c>
    </row>
    <row r="11" spans="1:3" x14ac:dyDescent="0.25">
      <c r="A11" s="2" t="s">
        <v>1606</v>
      </c>
      <c r="B11">
        <v>983600</v>
      </c>
      <c r="C11">
        <v>8</v>
      </c>
    </row>
    <row r="12" spans="1:3" x14ac:dyDescent="0.25">
      <c r="A12" s="2" t="s">
        <v>1609</v>
      </c>
      <c r="B12">
        <v>949398</v>
      </c>
      <c r="C12">
        <v>15</v>
      </c>
    </row>
    <row r="13" spans="1:3" x14ac:dyDescent="0.25">
      <c r="A13" s="2" t="s">
        <v>1711</v>
      </c>
      <c r="B13">
        <v>698400</v>
      </c>
      <c r="C13">
        <v>16</v>
      </c>
    </row>
    <row r="14" spans="1:3" x14ac:dyDescent="0.25">
      <c r="A14" s="2" t="s">
        <v>1422</v>
      </c>
      <c r="B14">
        <v>13255842</v>
      </c>
      <c r="C14">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73"/>
  <sheetViews>
    <sheetView topLeftCell="G2422" workbookViewId="0">
      <selection activeCell="G2438" sqref="A1:N2473"/>
    </sheetView>
  </sheetViews>
  <sheetFormatPr defaultRowHeight="15.75" x14ac:dyDescent="0.25"/>
  <cols>
    <col min="1" max="1" width="89.25" bestFit="1" customWidth="1"/>
    <col min="2" max="2" width="60.75" bestFit="1" customWidth="1"/>
    <col min="3" max="3" width="13.875" customWidth="1"/>
    <col min="4" max="4" width="51.875" customWidth="1"/>
    <col min="5" max="5" width="35.875" customWidth="1"/>
    <col min="6" max="6" width="38.875" customWidth="1"/>
    <col min="7" max="7" width="207.875" customWidth="1"/>
    <col min="8" max="8" width="13.875" customWidth="1"/>
    <col min="9" max="9" width="319.875" customWidth="1"/>
    <col min="10" max="11" width="13.875" customWidth="1"/>
    <col min="12" max="12" width="16.875" customWidth="1"/>
    <col min="13" max="13" width="15.875" customWidth="1"/>
    <col min="14" max="14" width="17.875" customWidth="1"/>
  </cols>
  <sheetData>
    <row r="1" spans="1:14" x14ac:dyDescent="0.25">
      <c r="A1" t="s">
        <v>1423</v>
      </c>
      <c r="B1" t="s">
        <v>1424</v>
      </c>
      <c r="C1" t="s">
        <v>0</v>
      </c>
      <c r="D1" t="s">
        <v>1</v>
      </c>
      <c r="E1" t="s">
        <v>2</v>
      </c>
      <c r="F1" t="s">
        <v>3</v>
      </c>
      <c r="G1" t="s">
        <v>4</v>
      </c>
      <c r="H1" t="s">
        <v>5</v>
      </c>
      <c r="I1" t="s">
        <v>6</v>
      </c>
      <c r="J1" t="s">
        <v>7</v>
      </c>
      <c r="K1" t="s">
        <v>8</v>
      </c>
      <c r="L1" t="s">
        <v>9</v>
      </c>
      <c r="M1" t="s">
        <v>10</v>
      </c>
      <c r="N1" t="s">
        <v>11</v>
      </c>
    </row>
    <row r="2" spans="1:14" x14ac:dyDescent="0.25">
      <c r="A2" t="str">
        <f>Table3[[#This Row],[Company Name]] &amp; " - " &amp; Table3[[#This Row],[Store Name]] &amp; " - " &amp; Table3[[#This Row],[Store Branch / Address]]</f>
        <v>CANELLE FOOD CORPORATION - CINNABON - GENERIC</v>
      </c>
      <c r="B2" t="str">
        <f>Table3[[#This Row],[Client ID]] &amp; " - " &amp; Table3[[#This Row],[SO Number]]</f>
        <v>CANELLE FOOD CORPORATION - CINNABON - GENERIC - SO-26-039</v>
      </c>
      <c r="C2" t="s">
        <v>1298</v>
      </c>
      <c r="D2" t="s">
        <v>363</v>
      </c>
      <c r="E2" t="s">
        <v>364</v>
      </c>
      <c r="F2" t="s">
        <v>15</v>
      </c>
      <c r="G2" t="s">
        <v>22</v>
      </c>
      <c r="H2" t="s">
        <v>1299</v>
      </c>
      <c r="I2" t="s">
        <v>154</v>
      </c>
      <c r="J2">
        <v>5</v>
      </c>
      <c r="K2">
        <v>1100</v>
      </c>
      <c r="L2">
        <v>1500</v>
      </c>
      <c r="M2">
        <v>7500</v>
      </c>
      <c r="N2" t="s">
        <v>19</v>
      </c>
    </row>
    <row r="3" spans="1:14" x14ac:dyDescent="0.25">
      <c r="A3" t="str">
        <f>Table3[[#This Row],[Company Name]] &amp; " - " &amp; Table3[[#This Row],[Store Name]] &amp; " - " &amp; Table3[[#This Row],[Store Branch / Address]]</f>
        <v>HUZZAH - HUZZAH - GENERIC</v>
      </c>
      <c r="B3" t="str">
        <f>Table3[[#This Row],[Client ID]] &amp; " - " &amp; Table3[[#This Row],[SO Number]]</f>
        <v>HUZZAH - HUZZAH - GENERIC - SO-011</v>
      </c>
      <c r="C3" t="s">
        <v>86</v>
      </c>
      <c r="D3" t="s">
        <v>87</v>
      </c>
      <c r="E3" t="s">
        <v>87</v>
      </c>
      <c r="F3" t="s">
        <v>15</v>
      </c>
      <c r="G3" t="s">
        <v>37</v>
      </c>
      <c r="H3" t="s">
        <v>88</v>
      </c>
      <c r="I3" t="s">
        <v>89</v>
      </c>
      <c r="J3">
        <v>50</v>
      </c>
      <c r="K3">
        <v>32</v>
      </c>
      <c r="L3">
        <v>50</v>
      </c>
      <c r="M3">
        <v>2500</v>
      </c>
      <c r="N3" t="s">
        <v>39</v>
      </c>
    </row>
    <row r="4" spans="1:14" x14ac:dyDescent="0.25">
      <c r="A4" t="str">
        <f>Table3[[#This Row],[Company Name]] &amp; " - " &amp; Table3[[#This Row],[Store Name]] &amp; " - " &amp; Table3[[#This Row],[Store Branch / Address]]</f>
        <v>VISUAL MIX INC - BOOKSALE BOOKSTORE - GENERIC</v>
      </c>
      <c r="B4" t="str">
        <f>Table3[[#This Row],[Client ID]] &amp; " - " &amp; Table3[[#This Row],[SO Number]]</f>
        <v>VISUAL MIX INC - BOOKSALE BOOKSTORE - GENERIC - SO-017</v>
      </c>
      <c r="C4" t="s">
        <v>147</v>
      </c>
      <c r="D4" t="s">
        <v>148</v>
      </c>
      <c r="E4" t="s">
        <v>149</v>
      </c>
      <c r="F4" t="s">
        <v>15</v>
      </c>
      <c r="G4" t="s">
        <v>22</v>
      </c>
      <c r="H4" t="s">
        <v>150</v>
      </c>
      <c r="I4" t="s">
        <v>110</v>
      </c>
      <c r="J4">
        <v>1</v>
      </c>
      <c r="K4">
        <v>6825</v>
      </c>
      <c r="L4">
        <v>19500</v>
      </c>
      <c r="M4">
        <v>19500</v>
      </c>
      <c r="N4" t="s">
        <v>19</v>
      </c>
    </row>
    <row r="5" spans="1:14" x14ac:dyDescent="0.25">
      <c r="A5" t="str">
        <f>Table3[[#This Row],[Company Name]] &amp; " - " &amp; Table3[[#This Row],[Store Name]] &amp; " - " &amp; Table3[[#This Row],[Store Branch / Address]]</f>
        <v>VISUAL MIX INC - BOOKSALE BOOKSTORE - GENERIC</v>
      </c>
      <c r="B5" t="str">
        <f>Table3[[#This Row],[Client ID]] &amp; " - " &amp; Table3[[#This Row],[SO Number]]</f>
        <v>VISUAL MIX INC - BOOKSALE BOOKSTORE - GENERIC - SO-017</v>
      </c>
      <c r="C5" t="s">
        <v>147</v>
      </c>
      <c r="D5" t="s">
        <v>148</v>
      </c>
      <c r="E5" t="s">
        <v>149</v>
      </c>
      <c r="F5" t="s">
        <v>15</v>
      </c>
      <c r="G5" t="s">
        <v>22</v>
      </c>
      <c r="H5" t="s">
        <v>150</v>
      </c>
      <c r="I5" t="s">
        <v>26</v>
      </c>
      <c r="J5">
        <v>1</v>
      </c>
      <c r="K5">
        <v>500</v>
      </c>
      <c r="L5">
        <v>500</v>
      </c>
      <c r="M5">
        <v>500</v>
      </c>
      <c r="N5" t="s">
        <v>19</v>
      </c>
    </row>
    <row r="6" spans="1:14" x14ac:dyDescent="0.25">
      <c r="A6" t="str">
        <f>Table3[[#This Row],[Company Name]] &amp; " - " &amp; Table3[[#This Row],[Store Name]] &amp; " - " &amp; Table3[[#This Row],[Store Branch / Address]]</f>
        <v>VISUAL MIX INC - BOOKSALE BOOKSTORE - GENERIC</v>
      </c>
      <c r="B6" t="str">
        <f>Table3[[#This Row],[Client ID]] &amp; " - " &amp; Table3[[#This Row],[SO Number]]</f>
        <v>VISUAL MIX INC - BOOKSALE BOOKSTORE - GENERIC - SO-017</v>
      </c>
      <c r="C6" t="s">
        <v>147</v>
      </c>
      <c r="D6" t="s">
        <v>148</v>
      </c>
      <c r="E6" t="s">
        <v>149</v>
      </c>
      <c r="F6" t="s">
        <v>15</v>
      </c>
      <c r="G6" t="s">
        <v>22</v>
      </c>
      <c r="H6" t="s">
        <v>150</v>
      </c>
      <c r="I6" t="s">
        <v>151</v>
      </c>
      <c r="J6">
        <v>1</v>
      </c>
      <c r="K6">
        <v>2800</v>
      </c>
      <c r="L6">
        <v>3500</v>
      </c>
      <c r="M6">
        <v>3500</v>
      </c>
      <c r="N6" t="s">
        <v>19</v>
      </c>
    </row>
    <row r="7" spans="1:14" x14ac:dyDescent="0.25">
      <c r="A7" t="str">
        <f>Table3[[#This Row],[Company Name]] &amp; " - " &amp; Table3[[#This Row],[Store Name]] &amp; " - " &amp; Table3[[#This Row],[Store Branch / Address]]</f>
        <v>VISUAL MIX INC - BOOKSALE BOOKSTORE - GENERIC</v>
      </c>
      <c r="B7" t="str">
        <f>Table3[[#This Row],[Client ID]] &amp; " - " &amp; Table3[[#This Row],[SO Number]]</f>
        <v>VISUAL MIX INC - BOOKSALE BOOKSTORE - GENERIC - SO-017</v>
      </c>
      <c r="C7" t="s">
        <v>147</v>
      </c>
      <c r="D7" t="s">
        <v>148</v>
      </c>
      <c r="E7" t="s">
        <v>149</v>
      </c>
      <c r="F7" t="s">
        <v>15</v>
      </c>
      <c r="G7" t="s">
        <v>22</v>
      </c>
      <c r="H7" t="s">
        <v>150</v>
      </c>
      <c r="I7" t="s">
        <v>152</v>
      </c>
      <c r="J7">
        <v>1</v>
      </c>
      <c r="K7">
        <v>1900</v>
      </c>
      <c r="L7">
        <v>2500</v>
      </c>
      <c r="M7">
        <v>2500</v>
      </c>
      <c r="N7" t="s">
        <v>19</v>
      </c>
    </row>
    <row r="8" spans="1:14" x14ac:dyDescent="0.25">
      <c r="A8" t="str">
        <f>Table3[[#This Row],[Company Name]] &amp; " - " &amp; Table3[[#This Row],[Store Name]] &amp; " - " &amp; Table3[[#This Row],[Store Branch / Address]]</f>
        <v>GREEN HORIZON FORTUNE TRADING CO - 5-11 TACTICAL - TRINOMA</v>
      </c>
      <c r="B8" t="str">
        <f>Table3[[#This Row],[Client ID]] &amp; " - " &amp; Table3[[#This Row],[SO Number]]</f>
        <v>GREEN HORIZON FORTUNE TRADING CO - 5-11 TACTICAL - TRINOMA - SO-001</v>
      </c>
      <c r="C8" t="s">
        <v>12</v>
      </c>
      <c r="D8" t="s">
        <v>1005</v>
      </c>
      <c r="E8" t="s">
        <v>1006</v>
      </c>
      <c r="F8" t="s">
        <v>883</v>
      </c>
      <c r="G8" t="s">
        <v>1007</v>
      </c>
      <c r="H8" t="s">
        <v>1008</v>
      </c>
      <c r="I8" t="s">
        <v>1009</v>
      </c>
      <c r="J8">
        <v>1</v>
      </c>
      <c r="K8">
        <v>3675</v>
      </c>
      <c r="L8">
        <v>10500</v>
      </c>
      <c r="M8">
        <v>10500</v>
      </c>
      <c r="N8" t="s">
        <v>1010</v>
      </c>
    </row>
    <row r="9" spans="1:14" x14ac:dyDescent="0.25">
      <c r="A9" t="str">
        <f>Table3[[#This Row],[Company Name]] &amp; " - " &amp; Table3[[#This Row],[Store Name]] &amp; " - " &amp; Table3[[#This Row],[Store Branch / Address]]</f>
        <v>GREEN HORIZON FORTUNE TRADING CO - 5-11 TACTICAL - TRINOMA</v>
      </c>
      <c r="B9" t="str">
        <f>Table3[[#This Row],[Client ID]] &amp; " - " &amp; Table3[[#This Row],[SO Number]]</f>
        <v>GREEN HORIZON FORTUNE TRADING CO - 5-11 TACTICAL - TRINOMA - SO-001</v>
      </c>
      <c r="C9" t="s">
        <v>12</v>
      </c>
      <c r="D9" t="s">
        <v>1005</v>
      </c>
      <c r="E9" t="s">
        <v>1006</v>
      </c>
      <c r="F9" t="s">
        <v>883</v>
      </c>
      <c r="G9" t="s">
        <v>1007</v>
      </c>
      <c r="H9" t="s">
        <v>1008</v>
      </c>
      <c r="I9" t="s">
        <v>1011</v>
      </c>
      <c r="J9">
        <v>1</v>
      </c>
      <c r="K9">
        <v>3850</v>
      </c>
      <c r="L9">
        <v>11000</v>
      </c>
      <c r="M9">
        <v>11000</v>
      </c>
      <c r="N9" t="s">
        <v>1010</v>
      </c>
    </row>
    <row r="10" spans="1:14" x14ac:dyDescent="0.25">
      <c r="A10" t="str">
        <f>Table3[[#This Row],[Company Name]] &amp; " - " &amp; Table3[[#This Row],[Store Name]] &amp; " - " &amp; Table3[[#This Row],[Store Branch / Address]]</f>
        <v>GREEN HORIZON FORTUNE TRADING CO - 5-11 TACTICAL - TRINOMA</v>
      </c>
      <c r="B10" t="str">
        <f>Table3[[#This Row],[Client ID]] &amp; " - " &amp; Table3[[#This Row],[SO Number]]</f>
        <v>GREEN HORIZON FORTUNE TRADING CO - 5-11 TACTICAL - TRINOMA - SO-001</v>
      </c>
      <c r="C10" t="s">
        <v>12</v>
      </c>
      <c r="D10" t="s">
        <v>1005</v>
      </c>
      <c r="E10" t="s">
        <v>1006</v>
      </c>
      <c r="F10" t="s">
        <v>883</v>
      </c>
      <c r="G10" t="s">
        <v>1007</v>
      </c>
      <c r="H10" t="s">
        <v>1008</v>
      </c>
      <c r="I10" t="s">
        <v>24</v>
      </c>
      <c r="J10">
        <v>1</v>
      </c>
      <c r="K10">
        <v>4200</v>
      </c>
      <c r="L10">
        <v>12000</v>
      </c>
      <c r="M10">
        <v>12000</v>
      </c>
      <c r="N10" t="s">
        <v>1010</v>
      </c>
    </row>
    <row r="11" spans="1:14" x14ac:dyDescent="0.25">
      <c r="A11" t="str">
        <f>Table3[[#This Row],[Company Name]] &amp; " - " &amp; Table3[[#This Row],[Store Name]] &amp; " - " &amp; Table3[[#This Row],[Store Branch / Address]]</f>
        <v>GREEN HORIZON FORTUNE TRADING CO - 5-11 TACTICAL - TRINOMA</v>
      </c>
      <c r="B11" t="str">
        <f>Table3[[#This Row],[Client ID]] &amp; " - " &amp; Table3[[#This Row],[SO Number]]</f>
        <v>GREEN HORIZON FORTUNE TRADING CO - 5-11 TACTICAL - TRINOMA - SO-001</v>
      </c>
      <c r="C11" t="s">
        <v>12</v>
      </c>
      <c r="D11" t="s">
        <v>1005</v>
      </c>
      <c r="E11" t="s">
        <v>1006</v>
      </c>
      <c r="F11" t="s">
        <v>883</v>
      </c>
      <c r="G11" t="s">
        <v>1007</v>
      </c>
      <c r="H11" t="s">
        <v>1008</v>
      </c>
      <c r="I11" t="s">
        <v>26</v>
      </c>
      <c r="J11">
        <v>1</v>
      </c>
      <c r="K11">
        <v>500</v>
      </c>
      <c r="L11">
        <v>500</v>
      </c>
      <c r="M11">
        <v>500</v>
      </c>
      <c r="N11" t="s">
        <v>1010</v>
      </c>
    </row>
    <row r="12" spans="1:14" x14ac:dyDescent="0.25">
      <c r="A12" t="str">
        <f>Table3[[#This Row],[Company Name]] &amp; " - " &amp; Table3[[#This Row],[Store Name]] &amp; " - " &amp; Table3[[#This Row],[Store Branch / Address]]</f>
        <v>GREEN HORIZON FORTUNE TRADING CO - 5-11 TACTICAL - TRINOMA</v>
      </c>
      <c r="B12" t="str">
        <f>Table3[[#This Row],[Client ID]] &amp; " - " &amp; Table3[[#This Row],[SO Number]]</f>
        <v>GREEN HORIZON FORTUNE TRADING CO - 5-11 TACTICAL - TRINOMA - SO-001</v>
      </c>
      <c r="C12" t="s">
        <v>12</v>
      </c>
      <c r="D12" t="s">
        <v>1005</v>
      </c>
      <c r="E12" t="s">
        <v>1006</v>
      </c>
      <c r="F12" t="s">
        <v>883</v>
      </c>
      <c r="G12" t="s">
        <v>1007</v>
      </c>
      <c r="H12" t="s">
        <v>1008</v>
      </c>
      <c r="I12" t="s">
        <v>1012</v>
      </c>
      <c r="J12">
        <v>1</v>
      </c>
      <c r="K12">
        <v>21500</v>
      </c>
      <c r="L12">
        <v>32000</v>
      </c>
      <c r="M12">
        <v>32000</v>
      </c>
      <c r="N12" t="s">
        <v>1010</v>
      </c>
    </row>
    <row r="13" spans="1:14" x14ac:dyDescent="0.25">
      <c r="A13" t="str">
        <f>Table3[[#This Row],[Company Name]] &amp; " - " &amp; Table3[[#This Row],[Store Name]] &amp; " - " &amp; Table3[[#This Row],[Store Branch / Address]]</f>
        <v>GREEN HORIZON FORTUNE TRADING CO - 5-11 TACTICAL - TRINOMA</v>
      </c>
      <c r="B13" t="str">
        <f>Table3[[#This Row],[Client ID]] &amp; " - " &amp; Table3[[#This Row],[SO Number]]</f>
        <v>GREEN HORIZON FORTUNE TRADING CO - 5-11 TACTICAL - TRINOMA - SO-001</v>
      </c>
      <c r="C13" t="s">
        <v>12</v>
      </c>
      <c r="D13" t="s">
        <v>1005</v>
      </c>
      <c r="E13" t="s">
        <v>1006</v>
      </c>
      <c r="F13" t="s">
        <v>883</v>
      </c>
      <c r="G13" t="s">
        <v>1007</v>
      </c>
      <c r="H13" t="s">
        <v>1008</v>
      </c>
      <c r="I13" t="s">
        <v>1013</v>
      </c>
      <c r="J13">
        <v>1</v>
      </c>
      <c r="K13">
        <v>2800</v>
      </c>
      <c r="L13">
        <v>4000</v>
      </c>
      <c r="M13">
        <v>4000</v>
      </c>
      <c r="N13" t="s">
        <v>1010</v>
      </c>
    </row>
    <row r="14" spans="1:14" x14ac:dyDescent="0.25">
      <c r="A14" t="str">
        <f>Table3[[#This Row],[Company Name]] &amp; " - " &amp; Table3[[#This Row],[Store Name]] &amp; " - " &amp; Table3[[#This Row],[Store Branch / Address]]</f>
        <v>GREEN HORIZON FORTUNE TRADING CO - 5-11 TACTICAL - TRINOMA</v>
      </c>
      <c r="B14" t="str">
        <f>Table3[[#This Row],[Client ID]] &amp; " - " &amp; Table3[[#This Row],[SO Number]]</f>
        <v>GREEN HORIZON FORTUNE TRADING CO - 5-11 TACTICAL - TRINOMA - SO-001</v>
      </c>
      <c r="C14" t="s">
        <v>12</v>
      </c>
      <c r="D14" t="s">
        <v>1005</v>
      </c>
      <c r="E14" t="s">
        <v>1006</v>
      </c>
      <c r="F14" t="s">
        <v>883</v>
      </c>
      <c r="G14" t="s">
        <v>1007</v>
      </c>
      <c r="H14" t="s">
        <v>1008</v>
      </c>
      <c r="I14" t="s">
        <v>1014</v>
      </c>
      <c r="J14">
        <v>1</v>
      </c>
      <c r="K14">
        <v>935</v>
      </c>
      <c r="L14">
        <v>1500</v>
      </c>
      <c r="M14">
        <v>1500</v>
      </c>
      <c r="N14" t="s">
        <v>1010</v>
      </c>
    </row>
    <row r="15" spans="1:14" x14ac:dyDescent="0.25">
      <c r="A15" t="str">
        <f>Table3[[#This Row],[Company Name]] &amp; " - " &amp; Table3[[#This Row],[Store Name]] &amp; " - " &amp; Table3[[#This Row],[Store Branch / Address]]</f>
        <v>GREEN HORIZON FORTUNE TRADING CO - 5-11 TACTICAL - TRINOMA</v>
      </c>
      <c r="B15" t="str">
        <f>Table3[[#This Row],[Client ID]] &amp; " - " &amp; Table3[[#This Row],[SO Number]]</f>
        <v>GREEN HORIZON FORTUNE TRADING CO - 5-11 TACTICAL - TRINOMA - SO-001</v>
      </c>
      <c r="C15" t="s">
        <v>12</v>
      </c>
      <c r="D15" t="s">
        <v>1005</v>
      </c>
      <c r="E15" t="s">
        <v>1006</v>
      </c>
      <c r="F15" t="s">
        <v>883</v>
      </c>
      <c r="G15" t="s">
        <v>1007</v>
      </c>
      <c r="H15" t="s">
        <v>1008</v>
      </c>
      <c r="I15" t="s">
        <v>1015</v>
      </c>
      <c r="J15">
        <v>1</v>
      </c>
      <c r="K15">
        <v>4250</v>
      </c>
      <c r="L15">
        <v>6500</v>
      </c>
      <c r="M15">
        <v>6500</v>
      </c>
      <c r="N15" t="s">
        <v>1010</v>
      </c>
    </row>
    <row r="16" spans="1:14" x14ac:dyDescent="0.25">
      <c r="A16" t="str">
        <f>Table3[[#This Row],[Company Name]] &amp; " - " &amp; Table3[[#This Row],[Store Name]] &amp; " - " &amp; Table3[[#This Row],[Store Branch / Address]]</f>
        <v>GREEN HORIZON FORTUNE TRADING CO - 5-11 TACTICAL - TRINOMA</v>
      </c>
      <c r="B16" t="str">
        <f>Table3[[#This Row],[Client ID]] &amp; " - " &amp; Table3[[#This Row],[SO Number]]</f>
        <v>GREEN HORIZON FORTUNE TRADING CO - 5-11 TACTICAL - TRINOMA - SO-001</v>
      </c>
      <c r="C16" t="s">
        <v>12</v>
      </c>
      <c r="D16" t="s">
        <v>1005</v>
      </c>
      <c r="E16" t="s">
        <v>1006</v>
      </c>
      <c r="F16" t="s">
        <v>883</v>
      </c>
      <c r="G16" t="s">
        <v>1007</v>
      </c>
      <c r="H16" t="s">
        <v>1008</v>
      </c>
      <c r="I16" t="s">
        <v>1016</v>
      </c>
      <c r="J16">
        <v>1</v>
      </c>
      <c r="K16">
        <v>8500</v>
      </c>
      <c r="L16">
        <v>12500</v>
      </c>
      <c r="M16">
        <v>12500</v>
      </c>
      <c r="N16" t="s">
        <v>1010</v>
      </c>
    </row>
    <row r="17" spans="1:14" x14ac:dyDescent="0.25">
      <c r="A17" t="str">
        <f>Table3[[#This Row],[Company Name]] &amp; " - " &amp; Table3[[#This Row],[Store Name]] &amp; " - " &amp; Table3[[#This Row],[Store Branch / Address]]</f>
        <v>GREEN HORIZON FORTUNE TRADING CO - 5-11 TACTICAL - TRINOMA</v>
      </c>
      <c r="B17" t="str">
        <f>Table3[[#This Row],[Client ID]] &amp; " - " &amp; Table3[[#This Row],[SO Number]]</f>
        <v>GREEN HORIZON FORTUNE TRADING CO - 5-11 TACTICAL - TRINOMA - SO-001</v>
      </c>
      <c r="C17" t="s">
        <v>12</v>
      </c>
      <c r="D17" t="s">
        <v>1005</v>
      </c>
      <c r="E17" t="s">
        <v>1006</v>
      </c>
      <c r="F17" t="s">
        <v>883</v>
      </c>
      <c r="G17" t="s">
        <v>1007</v>
      </c>
      <c r="H17" t="s">
        <v>1008</v>
      </c>
      <c r="I17" t="s">
        <v>97</v>
      </c>
      <c r="J17">
        <v>1</v>
      </c>
      <c r="K17">
        <v>2200</v>
      </c>
      <c r="L17">
        <v>3500</v>
      </c>
      <c r="M17">
        <v>3500</v>
      </c>
      <c r="N17" t="s">
        <v>1010</v>
      </c>
    </row>
    <row r="18" spans="1:14" x14ac:dyDescent="0.25">
      <c r="A18" t="str">
        <f>Table3[[#This Row],[Company Name]] &amp; " - " &amp; Table3[[#This Row],[Store Name]] &amp; " - " &amp; Table3[[#This Row],[Store Branch / Address]]</f>
        <v>GREEN HORIZON FORTUNE TRADING CO - 5-11 TACTICAL - TRINOMA</v>
      </c>
      <c r="B18" t="str">
        <f>Table3[[#This Row],[Client ID]] &amp; " - " &amp; Table3[[#This Row],[SO Number]]</f>
        <v>GREEN HORIZON FORTUNE TRADING CO - 5-11 TACTICAL - TRINOMA - SO-001</v>
      </c>
      <c r="C18" t="s">
        <v>12</v>
      </c>
      <c r="D18" t="s">
        <v>1005</v>
      </c>
      <c r="E18" t="s">
        <v>1006</v>
      </c>
      <c r="F18" t="s">
        <v>883</v>
      </c>
      <c r="G18" t="s">
        <v>1007</v>
      </c>
      <c r="H18" t="s">
        <v>1008</v>
      </c>
      <c r="I18" t="s">
        <v>63</v>
      </c>
      <c r="J18">
        <v>1</v>
      </c>
      <c r="K18">
        <v>500</v>
      </c>
      <c r="L18">
        <v>500</v>
      </c>
      <c r="M18">
        <v>500</v>
      </c>
      <c r="N18" t="s">
        <v>1010</v>
      </c>
    </row>
    <row r="19" spans="1:14" x14ac:dyDescent="0.25">
      <c r="A19" t="str">
        <f>Table3[[#This Row],[Company Name]] &amp; " - " &amp; Table3[[#This Row],[Store Name]] &amp; " - " &amp; Table3[[#This Row],[Store Branch / Address]]</f>
        <v>ARIZONA ICE CREAM CORPORATION - COLDSTONE - GENERIC</v>
      </c>
      <c r="B19" t="str">
        <f>Table3[[#This Row],[Client ID]] &amp; " - " &amp; Table3[[#This Row],[SO Number]]</f>
        <v>ARIZONA ICE CREAM CORPORATION - COLDSTONE - GENERIC - SO-001</v>
      </c>
      <c r="C19" t="s">
        <v>12</v>
      </c>
      <c r="D19" t="s">
        <v>13</v>
      </c>
      <c r="E19" t="s">
        <v>14</v>
      </c>
      <c r="F19" t="s">
        <v>15</v>
      </c>
      <c r="G19" t="s">
        <v>16</v>
      </c>
      <c r="H19" t="s">
        <v>17</v>
      </c>
      <c r="I19" t="s">
        <v>18</v>
      </c>
      <c r="J19">
        <v>3</v>
      </c>
      <c r="K19">
        <v>8500</v>
      </c>
      <c r="L19">
        <v>8500</v>
      </c>
      <c r="M19">
        <v>25500</v>
      </c>
      <c r="N19" t="s">
        <v>19</v>
      </c>
    </row>
    <row r="20" spans="1:14" x14ac:dyDescent="0.25">
      <c r="A20" t="str">
        <f>Table3[[#This Row],[Company Name]] &amp; " - " &amp; Table3[[#This Row],[Store Name]] &amp; " - " &amp; Table3[[#This Row],[Store Branch / Address]]</f>
        <v>CHICKEN DELI - KITCHEN CITY - GENERIC</v>
      </c>
      <c r="B20" t="str">
        <f>Table3[[#This Row],[Client ID]] &amp; " - " &amp; Table3[[#This Row],[SO Number]]</f>
        <v>CHICKEN DELI - KITCHEN CITY - GENERIC - SO-001</v>
      </c>
      <c r="C20" t="s">
        <v>12</v>
      </c>
      <c r="D20" t="s">
        <v>20</v>
      </c>
      <c r="E20" t="s">
        <v>21</v>
      </c>
      <c r="F20" t="s">
        <v>15</v>
      </c>
      <c r="G20" t="s">
        <v>22</v>
      </c>
      <c r="H20" t="s">
        <v>17</v>
      </c>
      <c r="I20" t="s">
        <v>23</v>
      </c>
      <c r="J20">
        <v>1</v>
      </c>
      <c r="K20">
        <v>3675</v>
      </c>
      <c r="L20">
        <v>10500</v>
      </c>
      <c r="M20">
        <v>10500</v>
      </c>
      <c r="N20" t="s">
        <v>19</v>
      </c>
    </row>
    <row r="21" spans="1:14" x14ac:dyDescent="0.25">
      <c r="A21" t="str">
        <f>Table3[[#This Row],[Company Name]] &amp; " - " &amp; Table3[[#This Row],[Store Name]] &amp; " - " &amp; Table3[[#This Row],[Store Branch / Address]]</f>
        <v>CHICKEN DELI - KITCHEN CITY - GENERIC</v>
      </c>
      <c r="B21" t="str">
        <f>Table3[[#This Row],[Client ID]] &amp; " - " &amp; Table3[[#This Row],[SO Number]]</f>
        <v>CHICKEN DELI - KITCHEN CITY - GENERIC - SO-001</v>
      </c>
      <c r="C21" t="s">
        <v>12</v>
      </c>
      <c r="D21" t="s">
        <v>20</v>
      </c>
      <c r="E21" t="s">
        <v>21</v>
      </c>
      <c r="F21" t="s">
        <v>15</v>
      </c>
      <c r="G21" t="s">
        <v>22</v>
      </c>
      <c r="H21" t="s">
        <v>17</v>
      </c>
      <c r="I21" t="s">
        <v>24</v>
      </c>
      <c r="J21">
        <v>1</v>
      </c>
      <c r="K21">
        <v>12000</v>
      </c>
      <c r="L21">
        <v>12000</v>
      </c>
      <c r="M21">
        <v>12000</v>
      </c>
      <c r="N21" t="s">
        <v>19</v>
      </c>
    </row>
    <row r="22" spans="1:14" x14ac:dyDescent="0.25">
      <c r="A22" t="str">
        <f>Table3[[#Headers],[Client ID]]</f>
        <v>Client ID</v>
      </c>
      <c r="B22" t="str">
        <f>Table3[[#This Row],[Client ID]] &amp; " - " &amp; Table3[[#This Row],[SO Number]]</f>
        <v>Client ID - SO-001</v>
      </c>
      <c r="C22" t="s">
        <v>12</v>
      </c>
      <c r="D22" t="s">
        <v>20</v>
      </c>
      <c r="E22" t="s">
        <v>21</v>
      </c>
      <c r="F22" t="s">
        <v>15</v>
      </c>
      <c r="G22" t="s">
        <v>22</v>
      </c>
      <c r="H22" t="s">
        <v>17</v>
      </c>
      <c r="I22" t="s">
        <v>25</v>
      </c>
      <c r="J22">
        <v>1</v>
      </c>
      <c r="K22">
        <v>12000</v>
      </c>
      <c r="L22">
        <v>12000</v>
      </c>
      <c r="M22">
        <v>12000</v>
      </c>
      <c r="N22" t="s">
        <v>19</v>
      </c>
    </row>
    <row r="23" spans="1:14" x14ac:dyDescent="0.25">
      <c r="A23" t="str">
        <f>Table3[[#This Row],[Company Name]] &amp; " - " &amp; Table3[[#This Row],[Store Name]] &amp; " - " &amp; Table3[[#This Row],[Store Branch / Address]]</f>
        <v>CHICKEN DELI - KITCHEN CITY - GENERIC</v>
      </c>
      <c r="B23" t="str">
        <f>Table3[[#This Row],[Client ID]] &amp; " - " &amp; Table3[[#This Row],[SO Number]]</f>
        <v>CHICKEN DELI - KITCHEN CITY - GENERIC - SO-001</v>
      </c>
      <c r="C23" t="s">
        <v>12</v>
      </c>
      <c r="D23" t="s">
        <v>20</v>
      </c>
      <c r="E23" t="s">
        <v>21</v>
      </c>
      <c r="F23" t="s">
        <v>15</v>
      </c>
      <c r="G23" t="s">
        <v>22</v>
      </c>
      <c r="H23" t="s">
        <v>17</v>
      </c>
      <c r="I23" t="s">
        <v>26</v>
      </c>
      <c r="J23">
        <v>1</v>
      </c>
      <c r="K23">
        <v>500</v>
      </c>
      <c r="L23">
        <v>0</v>
      </c>
      <c r="M23">
        <v>0</v>
      </c>
      <c r="N23" t="s">
        <v>19</v>
      </c>
    </row>
    <row r="24" spans="1:14" x14ac:dyDescent="0.25">
      <c r="A24" t="str">
        <f>Table3[[#This Row],[Company Name]] &amp; " - " &amp; Table3[[#This Row],[Store Name]] &amp; " - " &amp; Table3[[#This Row],[Store Branch / Address]]</f>
        <v>CHICKEN DELI - KITCHEN CITY - GENERIC</v>
      </c>
      <c r="B24" t="str">
        <f>Table3[[#This Row],[Client ID]] &amp; " - " &amp; Table3[[#This Row],[SO Number]]</f>
        <v>CHICKEN DELI - KITCHEN CITY - GENERIC - SO-001</v>
      </c>
      <c r="C24" t="s">
        <v>12</v>
      </c>
      <c r="D24" t="s">
        <v>20</v>
      </c>
      <c r="E24" t="s">
        <v>21</v>
      </c>
      <c r="F24" t="s">
        <v>15</v>
      </c>
      <c r="G24" t="s">
        <v>22</v>
      </c>
      <c r="H24" t="s">
        <v>17</v>
      </c>
      <c r="I24" t="s">
        <v>27</v>
      </c>
      <c r="J24">
        <v>1</v>
      </c>
      <c r="K24">
        <v>10500</v>
      </c>
      <c r="L24">
        <v>0</v>
      </c>
      <c r="M24">
        <v>0</v>
      </c>
      <c r="N24" t="s">
        <v>19</v>
      </c>
    </row>
    <row r="25" spans="1:14" x14ac:dyDescent="0.25">
      <c r="A25" t="str">
        <f>Table3[[#This Row],[Company Name]] &amp; " - " &amp; Table3[[#This Row],[Store Name]] &amp; " - " &amp; Table3[[#This Row],[Store Branch / Address]]</f>
        <v>CHICKEN DELI - KITCHEN CITY - GENERIC</v>
      </c>
      <c r="B25" t="str">
        <f>Table3[[#This Row],[Client ID]] &amp; " - " &amp; Table3[[#This Row],[SO Number]]</f>
        <v>CHICKEN DELI - KITCHEN CITY - GENERIC - SO-001</v>
      </c>
      <c r="C25" t="s">
        <v>12</v>
      </c>
      <c r="D25" t="s">
        <v>20</v>
      </c>
      <c r="E25" t="s">
        <v>21</v>
      </c>
      <c r="F25" t="s">
        <v>15</v>
      </c>
      <c r="G25" t="s">
        <v>22</v>
      </c>
      <c r="H25" t="s">
        <v>17</v>
      </c>
      <c r="I25" t="s">
        <v>28</v>
      </c>
      <c r="J25">
        <v>3</v>
      </c>
      <c r="K25">
        <v>10750</v>
      </c>
      <c r="L25">
        <v>49500</v>
      </c>
      <c r="M25">
        <v>148500</v>
      </c>
      <c r="N25" t="s">
        <v>19</v>
      </c>
    </row>
    <row r="26" spans="1:14" x14ac:dyDescent="0.25">
      <c r="A26" t="str">
        <f>Table3[[#This Row],[Company Name]] &amp; " - " &amp; Table3[[#This Row],[Store Name]] &amp; " - " &amp; Table3[[#This Row],[Store Branch / Address]]</f>
        <v>CHICKEN DELI - KITCHEN CITY - GENERIC</v>
      </c>
      <c r="B26" t="str">
        <f>Table3[[#This Row],[Client ID]] &amp; " - " &amp; Table3[[#This Row],[SO Number]]</f>
        <v>CHICKEN DELI - KITCHEN CITY - GENERIC - SO-001</v>
      </c>
      <c r="C26" t="s">
        <v>12</v>
      </c>
      <c r="D26" t="s">
        <v>20</v>
      </c>
      <c r="E26" t="s">
        <v>21</v>
      </c>
      <c r="F26" t="s">
        <v>15</v>
      </c>
      <c r="G26" t="s">
        <v>22</v>
      </c>
      <c r="H26" t="s">
        <v>17</v>
      </c>
      <c r="I26" t="s">
        <v>29</v>
      </c>
      <c r="J26">
        <v>2</v>
      </c>
      <c r="K26">
        <v>8500</v>
      </c>
      <c r="L26">
        <v>0</v>
      </c>
      <c r="M26">
        <v>0</v>
      </c>
      <c r="N26" t="s">
        <v>19</v>
      </c>
    </row>
    <row r="27" spans="1:14" x14ac:dyDescent="0.25">
      <c r="A27" t="str">
        <f>Table3[[#This Row],[Company Name]] &amp; " - " &amp; Table3[[#This Row],[Store Name]] &amp; " - " &amp; Table3[[#This Row],[Store Branch / Address]]</f>
        <v>ELEVATED FOOD RECIPE INC - HEALTHY SHABUSHABU - ROCKWELL</v>
      </c>
      <c r="B27" t="str">
        <f>Table3[[#This Row],[Client ID]] &amp; " - " &amp; Table3[[#This Row],[SO Number]]</f>
        <v>ELEVATED FOOD RECIPE INC - HEALTHY SHABUSHABU - ROCKWELL - SO-002</v>
      </c>
      <c r="C27" t="s">
        <v>30</v>
      </c>
      <c r="D27" t="s">
        <v>34</v>
      </c>
      <c r="E27" t="s">
        <v>35</v>
      </c>
      <c r="F27" t="s">
        <v>36</v>
      </c>
      <c r="G27" t="s">
        <v>37</v>
      </c>
      <c r="H27" t="s">
        <v>17</v>
      </c>
      <c r="I27" t="s">
        <v>38</v>
      </c>
      <c r="J27">
        <v>1</v>
      </c>
      <c r="K27">
        <v>8500</v>
      </c>
      <c r="L27">
        <v>12500</v>
      </c>
      <c r="M27">
        <v>12500</v>
      </c>
      <c r="N27" t="s">
        <v>39</v>
      </c>
    </row>
    <row r="28" spans="1:14" x14ac:dyDescent="0.25">
      <c r="A28" t="str">
        <f>Table3[[#This Row],[Company Name]] &amp; " - " &amp; Table3[[#This Row],[Store Name]] &amp; " - " &amp; Table3[[#This Row],[Store Branch / Address]]</f>
        <v>SAINT MICHAEL FOOD OPC - MALAYA'S CAFÉ - GENERIC</v>
      </c>
      <c r="B28" t="str">
        <f>Table3[[#This Row],[Client ID]] &amp; " - " &amp; Table3[[#This Row],[SO Number]]</f>
        <v>SAINT MICHAEL FOOD OPC - MALAYA'S CAFÉ - GENERIC - SO-003</v>
      </c>
      <c r="C28" t="s">
        <v>40</v>
      </c>
      <c r="D28" t="s">
        <v>41</v>
      </c>
      <c r="E28" t="s">
        <v>42</v>
      </c>
      <c r="F28" t="s">
        <v>15</v>
      </c>
      <c r="G28" t="s">
        <v>37</v>
      </c>
      <c r="H28" t="s">
        <v>17</v>
      </c>
      <c r="I28" t="s">
        <v>43</v>
      </c>
      <c r="J28">
        <v>10</v>
      </c>
      <c r="K28">
        <v>70</v>
      </c>
      <c r="L28">
        <v>250</v>
      </c>
      <c r="M28">
        <v>2500</v>
      </c>
      <c r="N28" t="s">
        <v>19</v>
      </c>
    </row>
    <row r="29" spans="1:14" x14ac:dyDescent="0.25">
      <c r="A29" t="str">
        <f>Table3[[#This Row],[Company Name]] &amp; " - " &amp; Table3[[#This Row],[Store Name]] &amp; " - " &amp; Table3[[#This Row],[Store Branch / Address]]</f>
        <v>TAN THOMAS DIAN - OON - GENERIC</v>
      </c>
      <c r="B29" t="str">
        <f>Table3[[#This Row],[Client ID]] &amp; " - " &amp; Table3[[#This Row],[SO Number]]</f>
        <v>TAN THOMAS DIAN - OON - GENERIC - SO-004</v>
      </c>
      <c r="C29" t="s">
        <v>44</v>
      </c>
      <c r="D29" t="s">
        <v>45</v>
      </c>
      <c r="E29" t="s">
        <v>46</v>
      </c>
      <c r="F29" t="s">
        <v>15</v>
      </c>
      <c r="G29" t="s">
        <v>22</v>
      </c>
      <c r="H29" t="s">
        <v>17</v>
      </c>
      <c r="I29" t="s">
        <v>47</v>
      </c>
      <c r="J29">
        <v>1</v>
      </c>
      <c r="K29">
        <v>2275</v>
      </c>
      <c r="L29">
        <v>6500</v>
      </c>
      <c r="M29">
        <v>6500</v>
      </c>
      <c r="N29" t="s">
        <v>19</v>
      </c>
    </row>
    <row r="30" spans="1:14" x14ac:dyDescent="0.25">
      <c r="A30" t="str">
        <f>Table3[[#This Row],[Company Name]] &amp; " - " &amp; Table3[[#This Row],[Store Name]] &amp; " - " &amp; Table3[[#This Row],[Store Branch / Address]]</f>
        <v>TAN THOMAS DIAN - OON - GENERIC</v>
      </c>
      <c r="B30" t="str">
        <f>Table3[[#This Row],[Client ID]] &amp; " - " &amp; Table3[[#This Row],[SO Number]]</f>
        <v>TAN THOMAS DIAN - OON - GENERIC - SO-004</v>
      </c>
      <c r="C30" t="s">
        <v>44</v>
      </c>
      <c r="D30" t="s">
        <v>45</v>
      </c>
      <c r="E30" t="s">
        <v>46</v>
      </c>
      <c r="F30" t="s">
        <v>15</v>
      </c>
      <c r="G30" t="s">
        <v>22</v>
      </c>
      <c r="H30" t="s">
        <v>17</v>
      </c>
      <c r="I30" t="s">
        <v>48</v>
      </c>
      <c r="J30">
        <v>1</v>
      </c>
      <c r="K30">
        <v>2275</v>
      </c>
      <c r="L30">
        <v>6500</v>
      </c>
      <c r="M30">
        <v>6500</v>
      </c>
      <c r="N30" t="s">
        <v>19</v>
      </c>
    </row>
    <row r="31" spans="1:14" x14ac:dyDescent="0.25">
      <c r="A31" t="str">
        <f>Table3[[#This Row],[Company Name]] &amp; " - " &amp; Table3[[#This Row],[Store Name]] &amp; " - " &amp; Table3[[#This Row],[Store Branch / Address]]</f>
        <v>TAN THOMAS DIAN - OON - GENERIC</v>
      </c>
      <c r="B31" t="str">
        <f>Table3[[#This Row],[Client ID]] &amp; " - " &amp; Table3[[#This Row],[SO Number]]</f>
        <v>TAN THOMAS DIAN - OON - GENERIC - SO-004</v>
      </c>
      <c r="C31" t="s">
        <v>44</v>
      </c>
      <c r="D31" t="s">
        <v>45</v>
      </c>
      <c r="E31" t="s">
        <v>46</v>
      </c>
      <c r="F31" t="s">
        <v>15</v>
      </c>
      <c r="G31" t="s">
        <v>22</v>
      </c>
      <c r="H31" t="s">
        <v>17</v>
      </c>
      <c r="I31" t="s">
        <v>49</v>
      </c>
      <c r="J31">
        <v>1</v>
      </c>
      <c r="K31">
        <v>2275</v>
      </c>
      <c r="L31">
        <v>6500</v>
      </c>
      <c r="M31">
        <v>6500</v>
      </c>
      <c r="N31" t="s">
        <v>19</v>
      </c>
    </row>
    <row r="32" spans="1:14" x14ac:dyDescent="0.25">
      <c r="A32" t="str">
        <f>Table3[[#This Row],[Company Name]] &amp; " - " &amp; Table3[[#This Row],[Store Name]] &amp; " - " &amp; Table3[[#This Row],[Store Branch / Address]]</f>
        <v>TAN THOMAS DIAN - OON - GENERIC</v>
      </c>
      <c r="B32" t="str">
        <f>Table3[[#This Row],[Client ID]] &amp; " - " &amp; Table3[[#This Row],[SO Number]]</f>
        <v>TAN THOMAS DIAN - OON - GENERIC - SO-004</v>
      </c>
      <c r="C32" t="s">
        <v>44</v>
      </c>
      <c r="D32" t="s">
        <v>45</v>
      </c>
      <c r="E32" t="s">
        <v>46</v>
      </c>
      <c r="F32" t="s">
        <v>15</v>
      </c>
      <c r="G32" t="s">
        <v>22</v>
      </c>
      <c r="H32" t="s">
        <v>17</v>
      </c>
      <c r="I32" t="s">
        <v>50</v>
      </c>
      <c r="J32">
        <v>1</v>
      </c>
      <c r="K32">
        <v>500</v>
      </c>
      <c r="L32">
        <v>500</v>
      </c>
      <c r="M32">
        <v>500</v>
      </c>
      <c r="N32" t="s">
        <v>19</v>
      </c>
    </row>
    <row r="33" spans="1:14" x14ac:dyDescent="0.25">
      <c r="A33" t="str">
        <f>Table3[[#This Row],[Company Name]] &amp; " - " &amp; Table3[[#This Row],[Store Name]] &amp; " - " &amp; Table3[[#This Row],[Store Branch / Address]]</f>
        <v>ELEGANT TRIO COLORS CORPORATION - JAZZY FRANCE - AYALA MALLS FELIZ</v>
      </c>
      <c r="B33" t="str">
        <f>Table3[[#This Row],[Client ID]] &amp; " - " &amp; Table3[[#This Row],[SO Number]]</f>
        <v>ELEGANT TRIO COLORS CORPORATION - JAZZY FRANCE - AYALA MALLS FELIZ - SO-002</v>
      </c>
      <c r="C33" t="s">
        <v>30</v>
      </c>
      <c r="D33" t="s">
        <v>1017</v>
      </c>
      <c r="E33" t="s">
        <v>1018</v>
      </c>
      <c r="F33" t="s">
        <v>1019</v>
      </c>
      <c r="G33" t="s">
        <v>1020</v>
      </c>
      <c r="H33" t="s">
        <v>17</v>
      </c>
      <c r="I33" t="s">
        <v>1009</v>
      </c>
      <c r="J33">
        <v>1</v>
      </c>
      <c r="K33">
        <v>3675</v>
      </c>
      <c r="L33">
        <v>10500</v>
      </c>
      <c r="M33">
        <v>10500</v>
      </c>
      <c r="N33" t="s">
        <v>1010</v>
      </c>
    </row>
    <row r="34" spans="1:14" x14ac:dyDescent="0.25">
      <c r="A34" t="str">
        <f>Table3[[#This Row],[Company Name]] &amp; " - " &amp; Table3[[#This Row],[Store Name]] &amp; " - " &amp; Table3[[#This Row],[Store Branch / Address]]</f>
        <v>ELEGANT TRIO COLORS CORPORATION - JAZZY FRANCE - AYALA MALLS FELIZ</v>
      </c>
      <c r="B34" t="str">
        <f>Table3[[#This Row],[Client ID]] &amp; " - " &amp; Table3[[#This Row],[SO Number]]</f>
        <v>ELEGANT TRIO COLORS CORPORATION - JAZZY FRANCE - AYALA MALLS FELIZ - SO-002</v>
      </c>
      <c r="C34" t="s">
        <v>30</v>
      </c>
      <c r="D34" t="s">
        <v>1017</v>
      </c>
      <c r="E34" t="s">
        <v>1018</v>
      </c>
      <c r="F34" t="s">
        <v>1019</v>
      </c>
      <c r="G34" t="s">
        <v>1020</v>
      </c>
      <c r="H34" t="s">
        <v>17</v>
      </c>
      <c r="I34" t="s">
        <v>1011</v>
      </c>
      <c r="J34">
        <v>1</v>
      </c>
      <c r="K34">
        <v>3850</v>
      </c>
      <c r="L34">
        <v>11000</v>
      </c>
      <c r="M34">
        <v>11000</v>
      </c>
      <c r="N34" t="s">
        <v>1010</v>
      </c>
    </row>
    <row r="35" spans="1:14" x14ac:dyDescent="0.25">
      <c r="A35" t="str">
        <f>Table3[[#This Row],[Company Name]] &amp; " - " &amp; Table3[[#This Row],[Store Name]] &amp; " - " &amp; Table3[[#This Row],[Store Branch / Address]]</f>
        <v>ELEGANT TRIO COLORS CORPORATION - JAZZY FRANCE - AYALA MALLS FELIZ</v>
      </c>
      <c r="B35" t="str">
        <f>Table3[[#This Row],[Client ID]] &amp; " - " &amp; Table3[[#This Row],[SO Number]]</f>
        <v>ELEGANT TRIO COLORS CORPORATION - JAZZY FRANCE - AYALA MALLS FELIZ - SO-002</v>
      </c>
      <c r="C35" t="s">
        <v>30</v>
      </c>
      <c r="D35" t="s">
        <v>1017</v>
      </c>
      <c r="E35" t="s">
        <v>1018</v>
      </c>
      <c r="F35" t="s">
        <v>1019</v>
      </c>
      <c r="G35" t="s">
        <v>1020</v>
      </c>
      <c r="H35" t="s">
        <v>17</v>
      </c>
      <c r="I35" t="s">
        <v>24</v>
      </c>
      <c r="J35">
        <v>1</v>
      </c>
      <c r="K35">
        <v>4200</v>
      </c>
      <c r="L35">
        <v>12000</v>
      </c>
      <c r="M35">
        <v>12000</v>
      </c>
      <c r="N35" t="s">
        <v>1010</v>
      </c>
    </row>
    <row r="36" spans="1:14" x14ac:dyDescent="0.25">
      <c r="A36" t="str">
        <f>Table3[[#This Row],[Company Name]] &amp; " - " &amp; Table3[[#This Row],[Store Name]] &amp; " - " &amp; Table3[[#This Row],[Store Branch / Address]]</f>
        <v>ELEGANT TRIO COLORS CORPORATION - JAZZY FRANCE - AYALA MALLS FELIZ</v>
      </c>
      <c r="B36" t="str">
        <f>Table3[[#This Row],[Client ID]] &amp; " - " &amp; Table3[[#This Row],[SO Number]]</f>
        <v>ELEGANT TRIO COLORS CORPORATION - JAZZY FRANCE - AYALA MALLS FELIZ - SO-002</v>
      </c>
      <c r="C36" t="s">
        <v>30</v>
      </c>
      <c r="D36" t="s">
        <v>1017</v>
      </c>
      <c r="E36" t="s">
        <v>1018</v>
      </c>
      <c r="F36" t="s">
        <v>1019</v>
      </c>
      <c r="G36" t="s">
        <v>1020</v>
      </c>
      <c r="H36" t="s">
        <v>17</v>
      </c>
      <c r="I36" t="s">
        <v>26</v>
      </c>
      <c r="J36">
        <v>1</v>
      </c>
      <c r="K36">
        <v>500</v>
      </c>
      <c r="L36">
        <v>500</v>
      </c>
      <c r="M36">
        <v>500</v>
      </c>
      <c r="N36" t="s">
        <v>1010</v>
      </c>
    </row>
    <row r="37" spans="1:14" x14ac:dyDescent="0.25">
      <c r="A37" t="str">
        <f>Table3[[#This Row],[Company Name]] &amp; " - " &amp; Table3[[#This Row],[Store Name]] &amp; " - " &amp; Table3[[#This Row],[Store Branch / Address]]</f>
        <v>ELEGANT TRIO COLORS CORPORATION - JAZZY FRANCE - AYALA MALLS FELIZ</v>
      </c>
      <c r="B37" t="str">
        <f>Table3[[#This Row],[Client ID]] &amp; " - " &amp; Table3[[#This Row],[SO Number]]</f>
        <v>ELEGANT TRIO COLORS CORPORATION - JAZZY FRANCE - AYALA MALLS FELIZ - SO-002</v>
      </c>
      <c r="C37" t="s">
        <v>30</v>
      </c>
      <c r="D37" t="s">
        <v>1017</v>
      </c>
      <c r="E37" t="s">
        <v>1018</v>
      </c>
      <c r="F37" t="s">
        <v>1019</v>
      </c>
      <c r="G37" t="s">
        <v>1020</v>
      </c>
      <c r="H37" t="s">
        <v>17</v>
      </c>
      <c r="I37" t="s">
        <v>1012</v>
      </c>
      <c r="J37">
        <v>1</v>
      </c>
      <c r="K37">
        <v>21500</v>
      </c>
      <c r="L37">
        <v>32500</v>
      </c>
      <c r="M37">
        <v>32500</v>
      </c>
      <c r="N37" t="s">
        <v>1010</v>
      </c>
    </row>
    <row r="38" spans="1:14" x14ac:dyDescent="0.25">
      <c r="A38" t="str">
        <f>Table3[[#This Row],[Company Name]] &amp; " - " &amp; Table3[[#This Row],[Store Name]] &amp; " - " &amp; Table3[[#This Row],[Store Branch / Address]]</f>
        <v>ELEGANT TRIO COLORS CORPORATION - JAZZY FRANCE - AYALA MALLS FELIZ</v>
      </c>
      <c r="B38" t="str">
        <f>Table3[[#This Row],[Client ID]] &amp; " - " &amp; Table3[[#This Row],[SO Number]]</f>
        <v>ELEGANT TRIO COLORS CORPORATION - JAZZY FRANCE - AYALA MALLS FELIZ - SO-002</v>
      </c>
      <c r="C38" t="s">
        <v>30</v>
      </c>
      <c r="D38" t="s">
        <v>1017</v>
      </c>
      <c r="E38" t="s">
        <v>1018</v>
      </c>
      <c r="F38" t="s">
        <v>1019</v>
      </c>
      <c r="G38" t="s">
        <v>1020</v>
      </c>
      <c r="H38" t="s">
        <v>17</v>
      </c>
      <c r="I38" t="s">
        <v>1013</v>
      </c>
      <c r="J38">
        <v>1</v>
      </c>
      <c r="K38">
        <v>2800</v>
      </c>
      <c r="L38">
        <v>4000</v>
      </c>
      <c r="M38">
        <v>4000</v>
      </c>
      <c r="N38" t="s">
        <v>1010</v>
      </c>
    </row>
    <row r="39" spans="1:14" x14ac:dyDescent="0.25">
      <c r="A39" t="str">
        <f>Table3[[#This Row],[Company Name]] &amp; " - " &amp; Table3[[#This Row],[Store Name]] &amp; " - " &amp; Table3[[#This Row],[Store Branch / Address]]</f>
        <v>ELEGANT TRIO COLORS CORPORATION - JAZZY FRANCE - AYALA MALLS FELIZ</v>
      </c>
      <c r="B39" t="str">
        <f>Table3[[#This Row],[Client ID]] &amp; " - " &amp; Table3[[#This Row],[SO Number]]</f>
        <v>ELEGANT TRIO COLORS CORPORATION - JAZZY FRANCE - AYALA MALLS FELIZ - SO-002</v>
      </c>
      <c r="C39" t="s">
        <v>30</v>
      </c>
      <c r="D39" t="s">
        <v>1017</v>
      </c>
      <c r="E39" t="s">
        <v>1018</v>
      </c>
      <c r="F39" t="s">
        <v>1019</v>
      </c>
      <c r="G39" t="s">
        <v>1020</v>
      </c>
      <c r="H39" t="s">
        <v>17</v>
      </c>
      <c r="I39" t="s">
        <v>1014</v>
      </c>
      <c r="J39">
        <v>1</v>
      </c>
      <c r="K39">
        <v>935</v>
      </c>
      <c r="L39">
        <v>1500</v>
      </c>
      <c r="M39">
        <v>1500</v>
      </c>
      <c r="N39" t="s">
        <v>1010</v>
      </c>
    </row>
    <row r="40" spans="1:14" x14ac:dyDescent="0.25">
      <c r="A40" t="str">
        <f>Table3[[#This Row],[Company Name]] &amp; " - " &amp; Table3[[#This Row],[Store Name]] &amp; " - " &amp; Table3[[#This Row],[Store Branch / Address]]</f>
        <v>ELEGANT TRIO COLORS CORPORATION - JAZZY FRANCE - AYALA MALLS FELIZ</v>
      </c>
      <c r="B40" t="str">
        <f>Table3[[#This Row],[Client ID]] &amp; " - " &amp; Table3[[#This Row],[SO Number]]</f>
        <v>ELEGANT TRIO COLORS CORPORATION - JAZZY FRANCE - AYALA MALLS FELIZ - SO-002</v>
      </c>
      <c r="C40" t="s">
        <v>30</v>
      </c>
      <c r="D40" t="s">
        <v>1017</v>
      </c>
      <c r="E40" t="s">
        <v>1018</v>
      </c>
      <c r="F40" t="s">
        <v>1019</v>
      </c>
      <c r="G40" t="s">
        <v>1020</v>
      </c>
      <c r="H40" t="s">
        <v>17</v>
      </c>
      <c r="I40" t="s">
        <v>1021</v>
      </c>
      <c r="J40">
        <v>1</v>
      </c>
      <c r="K40">
        <v>2185</v>
      </c>
      <c r="L40">
        <v>3500</v>
      </c>
      <c r="M40">
        <v>3500</v>
      </c>
      <c r="N40" t="s">
        <v>1010</v>
      </c>
    </row>
    <row r="41" spans="1:14" x14ac:dyDescent="0.25">
      <c r="A41" t="str">
        <f>Table3[[#This Row],[Company Name]] &amp; " - " &amp; Table3[[#This Row],[Store Name]] &amp; " - " &amp; Table3[[#This Row],[Store Branch / Address]]</f>
        <v>ELEGANT TRIO COLORS CORPORATION - JAZZY FRANCE - AYALA MALLS FELIZ</v>
      </c>
      <c r="B41" t="str">
        <f>Table3[[#This Row],[Client ID]] &amp; " - " &amp; Table3[[#This Row],[SO Number]]</f>
        <v>ELEGANT TRIO COLORS CORPORATION - JAZZY FRANCE - AYALA MALLS FELIZ - SO-002</v>
      </c>
      <c r="C41" t="s">
        <v>30</v>
      </c>
      <c r="D41" t="s">
        <v>1017</v>
      </c>
      <c r="E41" t="s">
        <v>1018</v>
      </c>
      <c r="F41" t="s">
        <v>1019</v>
      </c>
      <c r="G41" t="s">
        <v>1020</v>
      </c>
      <c r="H41" t="s">
        <v>17</v>
      </c>
      <c r="I41" t="s">
        <v>97</v>
      </c>
      <c r="J41">
        <v>1</v>
      </c>
      <c r="K41">
        <v>2200</v>
      </c>
      <c r="L41">
        <v>3500</v>
      </c>
      <c r="M41">
        <v>3500</v>
      </c>
      <c r="N41" t="s">
        <v>1010</v>
      </c>
    </row>
    <row r="42" spans="1:14" x14ac:dyDescent="0.25">
      <c r="A42" t="str">
        <f>Table3[[#This Row],[Company Name]] &amp; " - " &amp; Table3[[#This Row],[Store Name]] &amp; " - " &amp; Table3[[#This Row],[Store Branch / Address]]</f>
        <v>ELEGANT TRIO COLORS CORPORATION - JAZZY FRANCE - AYALA MALLS FELIZ</v>
      </c>
      <c r="B42" t="str">
        <f>Table3[[#This Row],[Client ID]] &amp; " - " &amp; Table3[[#This Row],[SO Number]]</f>
        <v>ELEGANT TRIO COLORS CORPORATION - JAZZY FRANCE - AYALA MALLS FELIZ - SO-002</v>
      </c>
      <c r="C42" t="s">
        <v>30</v>
      </c>
      <c r="D42" t="s">
        <v>1017</v>
      </c>
      <c r="E42" t="s">
        <v>1018</v>
      </c>
      <c r="F42" t="s">
        <v>1019</v>
      </c>
      <c r="G42" t="s">
        <v>1020</v>
      </c>
      <c r="H42" t="s">
        <v>17</v>
      </c>
      <c r="I42" t="s">
        <v>63</v>
      </c>
      <c r="J42">
        <v>1</v>
      </c>
      <c r="K42">
        <v>500</v>
      </c>
      <c r="L42">
        <v>500</v>
      </c>
      <c r="M42">
        <v>500</v>
      </c>
      <c r="N42" t="s">
        <v>1010</v>
      </c>
    </row>
    <row r="43" spans="1:14" x14ac:dyDescent="0.25">
      <c r="A43" t="str">
        <f>Table3[[#This Row],[Company Name]] &amp; " - " &amp; Table3[[#This Row],[Store Name]] &amp; " - " &amp; Table3[[#This Row],[Store Branch / Address]]</f>
        <v>RRH FOOD GROUP INC - QUEENS AT BOLLYWOOD - GENERIC</v>
      </c>
      <c r="B43" t="str">
        <f>Table3[[#This Row],[Client ID]] &amp; " - " &amp; Table3[[#This Row],[SO Number]]</f>
        <v>RRH FOOD GROUP INC - QUEENS AT BOLLYWOOD - GENERIC - SO-005</v>
      </c>
      <c r="C43" t="s">
        <v>51</v>
      </c>
      <c r="D43" t="s">
        <v>52</v>
      </c>
      <c r="E43" t="s">
        <v>53</v>
      </c>
      <c r="F43" t="s">
        <v>15</v>
      </c>
      <c r="G43" t="s">
        <v>22</v>
      </c>
      <c r="H43" t="s">
        <v>54</v>
      </c>
      <c r="I43" t="s">
        <v>55</v>
      </c>
      <c r="J43">
        <v>1</v>
      </c>
      <c r="K43">
        <v>1229</v>
      </c>
      <c r="L43">
        <v>2000</v>
      </c>
      <c r="M43">
        <v>2000</v>
      </c>
      <c r="N43" t="s">
        <v>19</v>
      </c>
    </row>
    <row r="44" spans="1:14" x14ac:dyDescent="0.25">
      <c r="A44" t="str">
        <f>Table3[[#This Row],[Company Name]] &amp; " - " &amp; Table3[[#This Row],[Store Name]] &amp; " - " &amp; Table3[[#This Row],[Store Branch / Address]]</f>
        <v>POL S MOM S PLACE INC - MAMOU - AYALA MALLS 30TH</v>
      </c>
      <c r="B44" t="str">
        <f>Table3[[#This Row],[Client ID]] &amp; " - " &amp; Table3[[#This Row],[SO Number]]</f>
        <v>POL S MOM S PLACE INC - MAMOU - AYALA MALLS 30TH - SO-006</v>
      </c>
      <c r="C44" t="s">
        <v>56</v>
      </c>
      <c r="D44" t="s">
        <v>57</v>
      </c>
      <c r="E44" t="s">
        <v>58</v>
      </c>
      <c r="F44" t="s">
        <v>59</v>
      </c>
      <c r="G44" t="s">
        <v>16</v>
      </c>
      <c r="H44" t="s">
        <v>54</v>
      </c>
      <c r="I44" t="s">
        <v>60</v>
      </c>
      <c r="J44">
        <v>1</v>
      </c>
      <c r="K44">
        <v>10750</v>
      </c>
      <c r="L44">
        <v>16000</v>
      </c>
      <c r="M44">
        <v>16000</v>
      </c>
      <c r="N44" t="s">
        <v>39</v>
      </c>
    </row>
    <row r="45" spans="1:14" x14ac:dyDescent="0.25">
      <c r="A45" t="str">
        <f>Table3[[#This Row],[Company Name]] &amp; " - " &amp; Table3[[#This Row],[Store Name]] &amp; " - " &amp; Table3[[#This Row],[Store Branch / Address]]</f>
        <v>POL S MOM S PLACE INC - MAMOU - AYALA MALLS 30TH</v>
      </c>
      <c r="B45" t="str">
        <f>Table3[[#This Row],[Client ID]] &amp; " - " &amp; Table3[[#This Row],[SO Number]]</f>
        <v>POL S MOM S PLACE INC - MAMOU - AYALA MALLS 30TH - SO-006</v>
      </c>
      <c r="C45" t="s">
        <v>56</v>
      </c>
      <c r="D45" t="s">
        <v>57</v>
      </c>
      <c r="E45" t="s">
        <v>58</v>
      </c>
      <c r="F45" t="s">
        <v>59</v>
      </c>
      <c r="G45" t="s">
        <v>16</v>
      </c>
      <c r="H45" t="s">
        <v>54</v>
      </c>
      <c r="I45" t="s">
        <v>61</v>
      </c>
      <c r="J45">
        <v>1</v>
      </c>
      <c r="K45">
        <v>7500</v>
      </c>
      <c r="L45">
        <v>11650</v>
      </c>
      <c r="M45">
        <v>11650</v>
      </c>
      <c r="N45" t="s">
        <v>39</v>
      </c>
    </row>
    <row r="46" spans="1:14" x14ac:dyDescent="0.25">
      <c r="A46" t="str">
        <f>Table3[[#This Row],[Company Name]] &amp; " - " &amp; Table3[[#This Row],[Store Name]] &amp; " - " &amp; Table3[[#This Row],[Store Branch / Address]]</f>
        <v>POL S MOM S PLACE INC - MAMOU - AYALA MALLS 30TH</v>
      </c>
      <c r="B46" t="str">
        <f>Table3[[#This Row],[Client ID]] &amp; " - " &amp; Table3[[#This Row],[SO Number]]</f>
        <v>POL S MOM S PLACE INC - MAMOU - AYALA MALLS 30TH - SO-006</v>
      </c>
      <c r="C46" t="s">
        <v>56</v>
      </c>
      <c r="D46" t="s">
        <v>57</v>
      </c>
      <c r="E46" t="s">
        <v>58</v>
      </c>
      <c r="F46" t="s">
        <v>59</v>
      </c>
      <c r="G46" t="s">
        <v>16</v>
      </c>
      <c r="H46" t="s">
        <v>54</v>
      </c>
      <c r="I46" t="s">
        <v>62</v>
      </c>
      <c r="J46">
        <v>5</v>
      </c>
      <c r="K46">
        <v>47</v>
      </c>
      <c r="L46">
        <v>70</v>
      </c>
      <c r="M46">
        <v>350</v>
      </c>
      <c r="N46" t="s">
        <v>39</v>
      </c>
    </row>
    <row r="47" spans="1:14" x14ac:dyDescent="0.25">
      <c r="A47" t="str">
        <f>Table3[[#This Row],[Company Name]] &amp; " - " &amp; Table3[[#This Row],[Store Name]] &amp; " - " &amp; Table3[[#This Row],[Store Branch / Address]]</f>
        <v>POL S MOM S PLACE INC - MAMOU - AYALA MALLS 30TH</v>
      </c>
      <c r="B47" t="str">
        <f>Table3[[#This Row],[Client ID]] &amp; " - " &amp; Table3[[#This Row],[SO Number]]</f>
        <v>POL S MOM S PLACE INC - MAMOU - AYALA MALLS 30TH - SO-006</v>
      </c>
      <c r="C47" t="s">
        <v>56</v>
      </c>
      <c r="D47" t="s">
        <v>57</v>
      </c>
      <c r="E47" t="s">
        <v>58</v>
      </c>
      <c r="F47" t="s">
        <v>59</v>
      </c>
      <c r="G47" t="s">
        <v>16</v>
      </c>
      <c r="H47" t="s">
        <v>54</v>
      </c>
      <c r="I47" t="s">
        <v>63</v>
      </c>
      <c r="J47">
        <v>1</v>
      </c>
      <c r="K47">
        <v>500</v>
      </c>
      <c r="L47">
        <v>500</v>
      </c>
      <c r="M47">
        <v>500</v>
      </c>
      <c r="N47" t="s">
        <v>39</v>
      </c>
    </row>
    <row r="48" spans="1:14" x14ac:dyDescent="0.25">
      <c r="A48" t="str">
        <f>Table3[[#This Row],[Company Name]] &amp; " - " &amp; Table3[[#This Row],[Store Name]] &amp; " - " &amp; Table3[[#This Row],[Store Branch / Address]]</f>
        <v>RRH FOOD GROUP INC - QUEENS AT BOLLYWOOD - GENERIC</v>
      </c>
      <c r="B48" t="str">
        <f>Table3[[#This Row],[Client ID]] &amp; " - " &amp; Table3[[#This Row],[SO Number]]</f>
        <v>RRH FOOD GROUP INC - QUEENS AT BOLLYWOOD - GENERIC - SO-007</v>
      </c>
      <c r="C48" t="s">
        <v>64</v>
      </c>
      <c r="D48" t="s">
        <v>52</v>
      </c>
      <c r="E48" t="s">
        <v>53</v>
      </c>
      <c r="F48" t="s">
        <v>15</v>
      </c>
      <c r="G48" t="s">
        <v>22</v>
      </c>
      <c r="H48" t="s">
        <v>54</v>
      </c>
      <c r="I48" t="s">
        <v>65</v>
      </c>
      <c r="J48">
        <v>2</v>
      </c>
      <c r="K48">
        <v>70</v>
      </c>
      <c r="L48">
        <v>300</v>
      </c>
      <c r="M48">
        <v>600</v>
      </c>
      <c r="N48" t="s">
        <v>19</v>
      </c>
    </row>
    <row r="49" spans="1:14" x14ac:dyDescent="0.25">
      <c r="A49" t="str">
        <f>Table3[[#This Row],[Company Name]] &amp; " - " &amp; Table3[[#This Row],[Store Name]] &amp; " - " &amp; Table3[[#This Row],[Store Branch / Address]]</f>
        <v>TIONG BAHRU PHILIPPINES INC - TIONG BAHRU - GENERIC</v>
      </c>
      <c r="B49" t="str">
        <f>Table3[[#This Row],[Client ID]] &amp; " - " &amp; Table3[[#This Row],[SO Number]]</f>
        <v>TIONG BAHRU PHILIPPINES INC - TIONG BAHRU - GENERIC - SO-003</v>
      </c>
      <c r="C49" t="s">
        <v>40</v>
      </c>
      <c r="D49" t="s">
        <v>1022</v>
      </c>
      <c r="E49" t="s">
        <v>1023</v>
      </c>
      <c r="F49" t="s">
        <v>15</v>
      </c>
      <c r="G49" t="s">
        <v>1024</v>
      </c>
      <c r="H49" t="s">
        <v>54</v>
      </c>
      <c r="I49" t="s">
        <v>47</v>
      </c>
      <c r="J49">
        <v>1</v>
      </c>
      <c r="K49">
        <v>3675</v>
      </c>
      <c r="L49">
        <v>10500</v>
      </c>
      <c r="M49">
        <v>10500</v>
      </c>
      <c r="N49" t="s">
        <v>19</v>
      </c>
    </row>
    <row r="50" spans="1:14" x14ac:dyDescent="0.25">
      <c r="A50" t="str">
        <f>Table3[[#This Row],[Company Name]] &amp; " - " &amp; Table3[[#This Row],[Store Name]] &amp; " - " &amp; Table3[[#This Row],[Store Branch / Address]]</f>
        <v>TIONG BAHRU PHILIPPINES INC - TIONG BAHRU - GENERIC</v>
      </c>
      <c r="B50" t="str">
        <f>Table3[[#This Row],[Client ID]] &amp; " - " &amp; Table3[[#This Row],[SO Number]]</f>
        <v>TIONG BAHRU PHILIPPINES INC - TIONG BAHRU - GENERIC - SO-003</v>
      </c>
      <c r="C50" t="s">
        <v>40</v>
      </c>
      <c r="D50" t="s">
        <v>1022</v>
      </c>
      <c r="E50" t="s">
        <v>1023</v>
      </c>
      <c r="F50" t="s">
        <v>15</v>
      </c>
      <c r="G50" t="s">
        <v>1024</v>
      </c>
      <c r="H50" t="s">
        <v>54</v>
      </c>
      <c r="I50" t="s">
        <v>25</v>
      </c>
      <c r="J50">
        <v>1</v>
      </c>
      <c r="K50">
        <v>3325</v>
      </c>
      <c r="L50">
        <v>9500</v>
      </c>
      <c r="M50">
        <v>9500</v>
      </c>
      <c r="N50" t="s">
        <v>19</v>
      </c>
    </row>
    <row r="51" spans="1:14" x14ac:dyDescent="0.25">
      <c r="A51" t="str">
        <f>Table3[[#This Row],[Company Name]] &amp; " - " &amp; Table3[[#This Row],[Store Name]] &amp; " - " &amp; Table3[[#This Row],[Store Branch / Address]]</f>
        <v>TIONG BAHRU PHILIPPINES INC - TIONG BAHRU - GENERIC</v>
      </c>
      <c r="B51" t="str">
        <f>Table3[[#This Row],[Client ID]] &amp; " - " &amp; Table3[[#This Row],[SO Number]]</f>
        <v>TIONG BAHRU PHILIPPINES INC - TIONG BAHRU - GENERIC - SO-003</v>
      </c>
      <c r="C51" t="s">
        <v>40</v>
      </c>
      <c r="D51" t="s">
        <v>1022</v>
      </c>
      <c r="E51" t="s">
        <v>1023</v>
      </c>
      <c r="F51" t="s">
        <v>15</v>
      </c>
      <c r="G51" t="s">
        <v>1024</v>
      </c>
      <c r="H51" t="s">
        <v>54</v>
      </c>
      <c r="I51" t="s">
        <v>24</v>
      </c>
      <c r="J51">
        <v>1</v>
      </c>
      <c r="K51">
        <v>3325</v>
      </c>
      <c r="L51">
        <v>9500</v>
      </c>
      <c r="M51">
        <v>9500</v>
      </c>
      <c r="N51" t="s">
        <v>19</v>
      </c>
    </row>
    <row r="52" spans="1:14" x14ac:dyDescent="0.25">
      <c r="A52" t="str">
        <f>Table3[[#This Row],[Company Name]] &amp; " - " &amp; Table3[[#This Row],[Store Name]] &amp; " - " &amp; Table3[[#This Row],[Store Branch / Address]]</f>
        <v>TIONG BAHRU PHILIPPINES INC - TIONG BAHRU - GENERIC</v>
      </c>
      <c r="B52" t="str">
        <f>Table3[[#This Row],[Client ID]] &amp; " - " &amp; Table3[[#This Row],[SO Number]]</f>
        <v>TIONG BAHRU PHILIPPINES INC - TIONG BAHRU - GENERIC - SO-003</v>
      </c>
      <c r="C52" t="s">
        <v>40</v>
      </c>
      <c r="D52" t="s">
        <v>1022</v>
      </c>
      <c r="E52" t="s">
        <v>1023</v>
      </c>
      <c r="F52" t="s">
        <v>15</v>
      </c>
      <c r="G52" t="s">
        <v>1024</v>
      </c>
      <c r="H52" t="s">
        <v>54</v>
      </c>
      <c r="I52" t="s">
        <v>26</v>
      </c>
      <c r="J52">
        <v>1</v>
      </c>
      <c r="K52">
        <v>500</v>
      </c>
      <c r="L52">
        <v>500</v>
      </c>
      <c r="M52">
        <v>500</v>
      </c>
      <c r="N52" t="s">
        <v>19</v>
      </c>
    </row>
    <row r="53" spans="1:14" x14ac:dyDescent="0.25">
      <c r="A53" t="str">
        <f>Table3[[#This Row],[Company Name]] &amp; " - " &amp; Table3[[#This Row],[Store Name]] &amp; " - " &amp; Table3[[#This Row],[Store Branch / Address]]</f>
        <v>TIONG BAHRU PHILIPPINES INC - TIONG BAHRU - GENERIC</v>
      </c>
      <c r="B53" t="str">
        <f>Table3[[#This Row],[Client ID]] &amp; " - " &amp; Table3[[#This Row],[SO Number]]</f>
        <v>TIONG BAHRU PHILIPPINES INC - TIONG BAHRU - GENERIC - SO-004</v>
      </c>
      <c r="C53" t="s">
        <v>44</v>
      </c>
      <c r="D53" t="s">
        <v>1022</v>
      </c>
      <c r="E53" t="s">
        <v>1023</v>
      </c>
      <c r="F53" t="s">
        <v>15</v>
      </c>
      <c r="G53" t="s">
        <v>1024</v>
      </c>
      <c r="H53" t="s">
        <v>54</v>
      </c>
      <c r="I53" t="s">
        <v>47</v>
      </c>
      <c r="J53">
        <v>1</v>
      </c>
      <c r="K53">
        <v>3675</v>
      </c>
      <c r="L53">
        <v>10500</v>
      </c>
      <c r="M53">
        <v>10500</v>
      </c>
      <c r="N53" t="s">
        <v>19</v>
      </c>
    </row>
    <row r="54" spans="1:14" x14ac:dyDescent="0.25">
      <c r="A54" t="str">
        <f>Table3[[#This Row],[Company Name]] &amp; " - " &amp; Table3[[#This Row],[Store Name]] &amp; " - " &amp; Table3[[#This Row],[Store Branch / Address]]</f>
        <v>TIONG BAHRU PHILIPPINES INC - TIONG BAHRU - GENERIC</v>
      </c>
      <c r="B54" t="str">
        <f>Table3[[#This Row],[Client ID]] &amp; " - " &amp; Table3[[#This Row],[SO Number]]</f>
        <v>TIONG BAHRU PHILIPPINES INC - TIONG BAHRU - GENERIC - SO-004</v>
      </c>
      <c r="C54" t="s">
        <v>44</v>
      </c>
      <c r="D54" t="s">
        <v>1022</v>
      </c>
      <c r="E54" t="s">
        <v>1023</v>
      </c>
      <c r="F54" t="s">
        <v>15</v>
      </c>
      <c r="G54" t="s">
        <v>1024</v>
      </c>
      <c r="H54" t="s">
        <v>54</v>
      </c>
      <c r="I54" t="s">
        <v>25</v>
      </c>
      <c r="J54">
        <v>1</v>
      </c>
      <c r="K54">
        <v>3325</v>
      </c>
      <c r="L54">
        <v>9500</v>
      </c>
      <c r="M54">
        <v>9500</v>
      </c>
      <c r="N54" t="s">
        <v>19</v>
      </c>
    </row>
    <row r="55" spans="1:14" x14ac:dyDescent="0.25">
      <c r="A55" t="str">
        <f>Table3[[#This Row],[Company Name]] &amp; " - " &amp; Table3[[#This Row],[Store Name]] &amp; " - " &amp; Table3[[#This Row],[Store Branch / Address]]</f>
        <v>TIONG BAHRU PHILIPPINES INC - TIONG BAHRU - GENERIC</v>
      </c>
      <c r="B55" t="str">
        <f>Table3[[#This Row],[Client ID]] &amp; " - " &amp; Table3[[#This Row],[SO Number]]</f>
        <v>TIONG BAHRU PHILIPPINES INC - TIONG BAHRU - GENERIC - SO-004</v>
      </c>
      <c r="C55" t="s">
        <v>44</v>
      </c>
      <c r="D55" t="s">
        <v>1022</v>
      </c>
      <c r="E55" t="s">
        <v>1023</v>
      </c>
      <c r="F55" t="s">
        <v>15</v>
      </c>
      <c r="G55" t="s">
        <v>1024</v>
      </c>
      <c r="H55" t="s">
        <v>54</v>
      </c>
      <c r="I55" t="s">
        <v>24</v>
      </c>
      <c r="J55">
        <v>1</v>
      </c>
      <c r="K55">
        <v>3325</v>
      </c>
      <c r="L55">
        <v>9500</v>
      </c>
      <c r="M55">
        <v>9500</v>
      </c>
      <c r="N55" t="s">
        <v>19</v>
      </c>
    </row>
    <row r="56" spans="1:14" x14ac:dyDescent="0.25">
      <c r="A56" t="str">
        <f>Table3[[#This Row],[Company Name]] &amp; " - " &amp; Table3[[#This Row],[Store Name]] &amp; " - " &amp; Table3[[#This Row],[Store Branch / Address]]</f>
        <v>TIONG BAHRU PHILIPPINES INC - TIONG BAHRU - GENERIC</v>
      </c>
      <c r="B56" t="str">
        <f>Table3[[#This Row],[Client ID]] &amp; " - " &amp; Table3[[#This Row],[SO Number]]</f>
        <v>TIONG BAHRU PHILIPPINES INC - TIONG BAHRU - GENERIC - SO-004</v>
      </c>
      <c r="C56" t="s">
        <v>44</v>
      </c>
      <c r="D56" t="s">
        <v>1022</v>
      </c>
      <c r="E56" t="s">
        <v>1023</v>
      </c>
      <c r="F56" t="s">
        <v>15</v>
      </c>
      <c r="G56" t="s">
        <v>1024</v>
      </c>
      <c r="H56" t="s">
        <v>54</v>
      </c>
      <c r="I56" t="s">
        <v>26</v>
      </c>
      <c r="J56">
        <v>1</v>
      </c>
      <c r="K56">
        <v>500</v>
      </c>
      <c r="L56">
        <v>500</v>
      </c>
      <c r="M56">
        <v>500</v>
      </c>
      <c r="N56" t="s">
        <v>19</v>
      </c>
    </row>
    <row r="57" spans="1:14" x14ac:dyDescent="0.25">
      <c r="A57" t="str">
        <f>Table3[[#This Row],[Company Name]] &amp; " - " &amp; Table3[[#This Row],[Store Name]] &amp; " - " &amp; Table3[[#This Row],[Store Branch / Address]]</f>
        <v>TIONG BAHRU PHILIPPINES INC - TIONG BAHRU - GENERIC</v>
      </c>
      <c r="B57" t="str">
        <f>Table3[[#This Row],[Client ID]] &amp; " - " &amp; Table3[[#This Row],[SO Number]]</f>
        <v>TIONG BAHRU PHILIPPINES INC - TIONG BAHRU - GENERIC - SO-005</v>
      </c>
      <c r="C57" t="s">
        <v>51</v>
      </c>
      <c r="D57" t="s">
        <v>1022</v>
      </c>
      <c r="E57" t="s">
        <v>1023</v>
      </c>
      <c r="F57" t="s">
        <v>15</v>
      </c>
      <c r="G57" t="s">
        <v>1024</v>
      </c>
      <c r="H57" t="s">
        <v>54</v>
      </c>
      <c r="I57" t="s">
        <v>47</v>
      </c>
      <c r="J57">
        <v>1</v>
      </c>
      <c r="K57">
        <v>3675</v>
      </c>
      <c r="L57">
        <v>10500</v>
      </c>
      <c r="M57">
        <v>10500</v>
      </c>
      <c r="N57" t="s">
        <v>19</v>
      </c>
    </row>
    <row r="58" spans="1:14" x14ac:dyDescent="0.25">
      <c r="A58" t="str">
        <f>Table3[[#This Row],[Company Name]] &amp; " - " &amp; Table3[[#This Row],[Store Name]] &amp; " - " &amp; Table3[[#This Row],[Store Branch / Address]]</f>
        <v>TIONG BAHRU PHILIPPINES INC - TIONG BAHRU - GENERIC</v>
      </c>
      <c r="B58" t="str">
        <f>Table3[[#This Row],[Client ID]] &amp; " - " &amp; Table3[[#This Row],[SO Number]]</f>
        <v>TIONG BAHRU PHILIPPINES INC - TIONG BAHRU - GENERIC - SO-005</v>
      </c>
      <c r="C58" t="s">
        <v>51</v>
      </c>
      <c r="D58" t="s">
        <v>1022</v>
      </c>
      <c r="E58" t="s">
        <v>1023</v>
      </c>
      <c r="F58" t="s">
        <v>15</v>
      </c>
      <c r="G58" t="s">
        <v>1024</v>
      </c>
      <c r="H58" t="s">
        <v>54</v>
      </c>
      <c r="I58" t="s">
        <v>25</v>
      </c>
      <c r="J58">
        <v>1</v>
      </c>
      <c r="K58">
        <v>3325</v>
      </c>
      <c r="L58">
        <v>9500</v>
      </c>
      <c r="M58">
        <v>9500</v>
      </c>
      <c r="N58" t="s">
        <v>19</v>
      </c>
    </row>
    <row r="59" spans="1:14" x14ac:dyDescent="0.25">
      <c r="A59" t="str">
        <f>Table3[[#This Row],[Company Name]] &amp; " - " &amp; Table3[[#This Row],[Store Name]] &amp; " - " &amp; Table3[[#This Row],[Store Branch / Address]]</f>
        <v>TIONG BAHRU PHILIPPINES INC - TIONG BAHRU - GENERIC</v>
      </c>
      <c r="B59" t="str">
        <f>Table3[[#This Row],[Client ID]] &amp; " - " &amp; Table3[[#This Row],[SO Number]]</f>
        <v>TIONG BAHRU PHILIPPINES INC - TIONG BAHRU - GENERIC - SO-005</v>
      </c>
      <c r="C59" t="s">
        <v>51</v>
      </c>
      <c r="D59" t="s">
        <v>1022</v>
      </c>
      <c r="E59" t="s">
        <v>1023</v>
      </c>
      <c r="F59" t="s">
        <v>15</v>
      </c>
      <c r="G59" t="s">
        <v>1024</v>
      </c>
      <c r="H59" t="s">
        <v>54</v>
      </c>
      <c r="I59" t="s">
        <v>24</v>
      </c>
      <c r="J59">
        <v>1</v>
      </c>
      <c r="K59">
        <v>3325</v>
      </c>
      <c r="L59">
        <v>9500</v>
      </c>
      <c r="M59">
        <v>9500</v>
      </c>
      <c r="N59" t="s">
        <v>19</v>
      </c>
    </row>
    <row r="60" spans="1:14" x14ac:dyDescent="0.25">
      <c r="A60" t="str">
        <f>Table3[[#This Row],[Company Name]] &amp; " - " &amp; Table3[[#This Row],[Store Name]] &amp; " - " &amp; Table3[[#This Row],[Store Branch / Address]]</f>
        <v>TIONG BAHRU PHILIPPINES INC - TIONG BAHRU - GENERIC</v>
      </c>
      <c r="B60" t="str">
        <f>Table3[[#This Row],[Client ID]] &amp; " - " &amp; Table3[[#This Row],[SO Number]]</f>
        <v>TIONG BAHRU PHILIPPINES INC - TIONG BAHRU - GENERIC - SO-005</v>
      </c>
      <c r="C60" t="s">
        <v>51</v>
      </c>
      <c r="D60" t="s">
        <v>1022</v>
      </c>
      <c r="E60" t="s">
        <v>1023</v>
      </c>
      <c r="F60" t="s">
        <v>15</v>
      </c>
      <c r="G60" t="s">
        <v>1024</v>
      </c>
      <c r="H60" t="s">
        <v>54</v>
      </c>
      <c r="I60" t="s">
        <v>26</v>
      </c>
      <c r="J60">
        <v>1</v>
      </c>
      <c r="K60">
        <v>500</v>
      </c>
      <c r="L60">
        <v>500</v>
      </c>
      <c r="M60">
        <v>500</v>
      </c>
      <c r="N60" t="s">
        <v>19</v>
      </c>
    </row>
    <row r="61" spans="1:14" x14ac:dyDescent="0.25">
      <c r="A61" t="str">
        <f>Table3[[#This Row],[Company Name]] &amp; " - " &amp; Table3[[#This Row],[Store Name]] &amp; " - " &amp; Table3[[#This Row],[Store Branch / Address]]</f>
        <v>TIONG BAHRU PHILIPPINES INC - TIONG BAHRU - GENERIC</v>
      </c>
      <c r="B61" t="str">
        <f>Table3[[#This Row],[Client ID]] &amp; " - " &amp; Table3[[#This Row],[SO Number]]</f>
        <v>TIONG BAHRU PHILIPPINES INC - TIONG BAHRU - GENERIC - SO-005</v>
      </c>
      <c r="C61" t="s">
        <v>51</v>
      </c>
      <c r="D61" t="s">
        <v>1022</v>
      </c>
      <c r="E61" t="s">
        <v>1023</v>
      </c>
      <c r="F61" t="s">
        <v>15</v>
      </c>
      <c r="G61" t="s">
        <v>1024</v>
      </c>
      <c r="H61" t="s">
        <v>54</v>
      </c>
      <c r="I61" t="s">
        <v>97</v>
      </c>
      <c r="J61">
        <v>2</v>
      </c>
      <c r="K61">
        <v>2200</v>
      </c>
      <c r="L61">
        <v>3500</v>
      </c>
      <c r="M61">
        <v>7000</v>
      </c>
      <c r="N61" t="s">
        <v>19</v>
      </c>
    </row>
    <row r="62" spans="1:14" x14ac:dyDescent="0.25">
      <c r="A62" t="str">
        <f>Table3[[#This Row],[Company Name]] &amp; " - " &amp; Table3[[#This Row],[Store Name]] &amp; " - " &amp; Table3[[#This Row],[Store Branch / Address]]</f>
        <v>TIONG BAHRU PHILIPPINES INC - TIONG BAHRU - GENERIC</v>
      </c>
      <c r="B62" t="str">
        <f>Table3[[#This Row],[Client ID]] &amp; " - " &amp; Table3[[#This Row],[SO Number]]</f>
        <v>TIONG BAHRU PHILIPPINES INC - TIONG BAHRU - GENERIC - SO-005</v>
      </c>
      <c r="C62" t="s">
        <v>51</v>
      </c>
      <c r="D62" t="s">
        <v>1022</v>
      </c>
      <c r="E62" t="s">
        <v>1023</v>
      </c>
      <c r="F62" t="s">
        <v>15</v>
      </c>
      <c r="G62" t="s">
        <v>1024</v>
      </c>
      <c r="H62" t="s">
        <v>54</v>
      </c>
      <c r="I62" t="s">
        <v>127</v>
      </c>
      <c r="J62">
        <v>1</v>
      </c>
      <c r="K62">
        <v>6825</v>
      </c>
      <c r="L62">
        <v>19500</v>
      </c>
      <c r="M62">
        <v>19500</v>
      </c>
      <c r="N62" t="s">
        <v>19</v>
      </c>
    </row>
    <row r="63" spans="1:14" x14ac:dyDescent="0.25">
      <c r="A63" t="str">
        <f>Table3[[#This Row],[Company Name]] &amp; " - " &amp; Table3[[#This Row],[Store Name]] &amp; " - " &amp; Table3[[#This Row],[Store Branch / Address]]</f>
        <v>TIONG BAHRU PHILIPPINES INC - TIONG BAHRU - GENERIC</v>
      </c>
      <c r="B63" t="str">
        <f>Table3[[#This Row],[Client ID]] &amp; " - " &amp; Table3[[#This Row],[SO Number]]</f>
        <v>TIONG BAHRU PHILIPPINES INC - TIONG BAHRU - GENERIC - SO-005</v>
      </c>
      <c r="C63" t="s">
        <v>51</v>
      </c>
      <c r="D63" t="s">
        <v>1022</v>
      </c>
      <c r="E63" t="s">
        <v>1023</v>
      </c>
      <c r="F63" t="s">
        <v>15</v>
      </c>
      <c r="G63" t="s">
        <v>1024</v>
      </c>
      <c r="H63" t="s">
        <v>54</v>
      </c>
      <c r="I63" t="s">
        <v>63</v>
      </c>
      <c r="J63">
        <v>1</v>
      </c>
      <c r="K63">
        <v>500</v>
      </c>
      <c r="L63">
        <v>500</v>
      </c>
      <c r="M63">
        <v>500</v>
      </c>
      <c r="N63" t="s">
        <v>19</v>
      </c>
    </row>
    <row r="64" spans="1:14" x14ac:dyDescent="0.25">
      <c r="A64" t="str">
        <f>Table3[[#This Row],[Company Name]] &amp; " - " &amp; Table3[[#This Row],[Store Name]] &amp; " - " &amp; Table3[[#This Row],[Store Branch / Address]]</f>
        <v>TIONG BAHRU PHILIPPINES INC - TIONG BAHRU - GENERIC</v>
      </c>
      <c r="B64" t="str">
        <f>Table3[[#This Row],[Client ID]] &amp; " - " &amp; Table3[[#This Row],[SO Number]]</f>
        <v>TIONG BAHRU PHILIPPINES INC - TIONG BAHRU - GENERIC - SO-006</v>
      </c>
      <c r="C64" t="s">
        <v>56</v>
      </c>
      <c r="D64" t="s">
        <v>1022</v>
      </c>
      <c r="E64" t="s">
        <v>1023</v>
      </c>
      <c r="F64" t="s">
        <v>15</v>
      </c>
      <c r="G64" t="s">
        <v>1024</v>
      </c>
      <c r="H64" t="s">
        <v>54</v>
      </c>
      <c r="I64" t="s">
        <v>47</v>
      </c>
      <c r="J64">
        <v>1</v>
      </c>
      <c r="K64">
        <v>3675</v>
      </c>
      <c r="L64">
        <v>10500</v>
      </c>
      <c r="M64">
        <v>10500</v>
      </c>
      <c r="N64" t="s">
        <v>19</v>
      </c>
    </row>
    <row r="65" spans="1:14" x14ac:dyDescent="0.25">
      <c r="A65" t="str">
        <f>Table3[[#This Row],[Company Name]] &amp; " - " &amp; Table3[[#This Row],[Store Name]] &amp; " - " &amp; Table3[[#This Row],[Store Branch / Address]]</f>
        <v>TIONG BAHRU PHILIPPINES INC - TIONG BAHRU - GENERIC</v>
      </c>
      <c r="B65" t="str">
        <f>Table3[[#This Row],[Client ID]] &amp; " - " &amp; Table3[[#This Row],[SO Number]]</f>
        <v>TIONG BAHRU PHILIPPINES INC - TIONG BAHRU - GENERIC - SO-006</v>
      </c>
      <c r="C65" t="s">
        <v>56</v>
      </c>
      <c r="D65" t="s">
        <v>1022</v>
      </c>
      <c r="E65" t="s">
        <v>1023</v>
      </c>
      <c r="F65" t="s">
        <v>15</v>
      </c>
      <c r="G65" t="s">
        <v>1024</v>
      </c>
      <c r="H65" t="s">
        <v>54</v>
      </c>
      <c r="I65" t="s">
        <v>25</v>
      </c>
      <c r="J65">
        <v>1</v>
      </c>
      <c r="K65">
        <v>3325</v>
      </c>
      <c r="L65">
        <v>9500</v>
      </c>
      <c r="M65">
        <v>9500</v>
      </c>
      <c r="N65" t="s">
        <v>19</v>
      </c>
    </row>
    <row r="66" spans="1:14" x14ac:dyDescent="0.25">
      <c r="A66" t="str">
        <f>Table3[[#This Row],[Company Name]] &amp; " - " &amp; Table3[[#This Row],[Store Name]] &amp; " - " &amp; Table3[[#This Row],[Store Branch / Address]]</f>
        <v>TIONG BAHRU PHILIPPINES INC - TIONG BAHRU - GENERIC</v>
      </c>
      <c r="B66" t="str">
        <f>Table3[[#This Row],[Client ID]] &amp; " - " &amp; Table3[[#This Row],[SO Number]]</f>
        <v>TIONG BAHRU PHILIPPINES INC - TIONG BAHRU - GENERIC - SO-006</v>
      </c>
      <c r="C66" t="s">
        <v>56</v>
      </c>
      <c r="D66" t="s">
        <v>1022</v>
      </c>
      <c r="E66" t="s">
        <v>1023</v>
      </c>
      <c r="F66" t="s">
        <v>15</v>
      </c>
      <c r="G66" t="s">
        <v>1024</v>
      </c>
      <c r="H66" t="s">
        <v>54</v>
      </c>
      <c r="I66" t="s">
        <v>24</v>
      </c>
      <c r="J66">
        <v>1</v>
      </c>
      <c r="K66">
        <v>3325</v>
      </c>
      <c r="L66">
        <v>9500</v>
      </c>
      <c r="M66">
        <v>9500</v>
      </c>
      <c r="N66" t="s">
        <v>19</v>
      </c>
    </row>
    <row r="67" spans="1:14" x14ac:dyDescent="0.25">
      <c r="A67" t="str">
        <f>Table3[[#This Row],[Company Name]] &amp; " - " &amp; Table3[[#This Row],[Store Name]] &amp; " - " &amp; Table3[[#This Row],[Store Branch / Address]]</f>
        <v>TIONG BAHRU PHILIPPINES INC - TIONG BAHRU - GENERIC</v>
      </c>
      <c r="B67" t="str">
        <f>Table3[[#This Row],[Client ID]] &amp; " - " &amp; Table3[[#This Row],[SO Number]]</f>
        <v>TIONG BAHRU PHILIPPINES INC - TIONG BAHRU - GENERIC - SO-006</v>
      </c>
      <c r="C67" t="s">
        <v>56</v>
      </c>
      <c r="D67" t="s">
        <v>1022</v>
      </c>
      <c r="E67" t="s">
        <v>1023</v>
      </c>
      <c r="F67" t="s">
        <v>15</v>
      </c>
      <c r="G67" t="s">
        <v>1024</v>
      </c>
      <c r="H67" t="s">
        <v>54</v>
      </c>
      <c r="I67" t="s">
        <v>26</v>
      </c>
      <c r="J67">
        <v>1</v>
      </c>
      <c r="K67">
        <v>500</v>
      </c>
      <c r="L67">
        <v>500</v>
      </c>
      <c r="M67">
        <v>500</v>
      </c>
      <c r="N67" t="s">
        <v>19</v>
      </c>
    </row>
    <row r="68" spans="1:14" x14ac:dyDescent="0.25">
      <c r="A68" t="str">
        <f>Table3[[#This Row],[Company Name]] &amp; " - " &amp; Table3[[#This Row],[Store Name]] &amp; " - " &amp; Table3[[#This Row],[Store Branch / Address]]</f>
        <v>TIONG BAHRU PHILIPPINES INC - TIONG BAHRU - GENERIC</v>
      </c>
      <c r="B68" t="str">
        <f>Table3[[#This Row],[Client ID]] &amp; " - " &amp; Table3[[#This Row],[SO Number]]</f>
        <v>TIONG BAHRU PHILIPPINES INC - TIONG BAHRU - GENERIC - SO-006</v>
      </c>
      <c r="C68" t="s">
        <v>56</v>
      </c>
      <c r="D68" t="s">
        <v>1022</v>
      </c>
      <c r="E68" t="s">
        <v>1023</v>
      </c>
      <c r="F68" t="s">
        <v>15</v>
      </c>
      <c r="G68" t="s">
        <v>1024</v>
      </c>
      <c r="H68" t="s">
        <v>54</v>
      </c>
      <c r="I68" t="s">
        <v>97</v>
      </c>
      <c r="J68">
        <v>2</v>
      </c>
      <c r="K68">
        <v>2200</v>
      </c>
      <c r="L68">
        <v>3500</v>
      </c>
      <c r="M68">
        <v>7000</v>
      </c>
      <c r="N68" t="s">
        <v>19</v>
      </c>
    </row>
    <row r="69" spans="1:14" x14ac:dyDescent="0.25">
      <c r="A69" t="str">
        <f>Table3[[#This Row],[Company Name]] &amp; " - " &amp; Table3[[#This Row],[Store Name]] &amp; " - " &amp; Table3[[#This Row],[Store Branch / Address]]</f>
        <v>TIONG BAHRU PHILIPPINES INC - TIONG BAHRU - GENERIC</v>
      </c>
      <c r="B69" t="str">
        <f>Table3[[#This Row],[Client ID]] &amp; " - " &amp; Table3[[#This Row],[SO Number]]</f>
        <v>TIONG BAHRU PHILIPPINES INC - TIONG BAHRU - GENERIC - SO-006</v>
      </c>
      <c r="C69" t="s">
        <v>56</v>
      </c>
      <c r="D69" t="s">
        <v>1022</v>
      </c>
      <c r="E69" t="s">
        <v>1023</v>
      </c>
      <c r="F69" t="s">
        <v>15</v>
      </c>
      <c r="G69" t="s">
        <v>1024</v>
      </c>
      <c r="H69" t="s">
        <v>54</v>
      </c>
      <c r="I69" t="s">
        <v>127</v>
      </c>
      <c r="J69">
        <v>1</v>
      </c>
      <c r="K69">
        <v>6825</v>
      </c>
      <c r="L69">
        <v>19500</v>
      </c>
      <c r="M69">
        <v>19500</v>
      </c>
      <c r="N69" t="s">
        <v>19</v>
      </c>
    </row>
    <row r="70" spans="1:14" x14ac:dyDescent="0.25">
      <c r="A70" t="str">
        <f>Table3[[#This Row],[Company Name]] &amp; " - " &amp; Table3[[#This Row],[Store Name]] &amp; " - " &amp; Table3[[#This Row],[Store Branch / Address]]</f>
        <v>TIONG BAHRU PHILIPPINES INC - TIONG BAHRU - GENERIC</v>
      </c>
      <c r="B70" t="str">
        <f>Table3[[#This Row],[Client ID]] &amp; " - " &amp; Table3[[#This Row],[SO Number]]</f>
        <v>TIONG BAHRU PHILIPPINES INC - TIONG BAHRU - GENERIC - SO-006</v>
      </c>
      <c r="C70" t="s">
        <v>56</v>
      </c>
      <c r="D70" t="s">
        <v>1022</v>
      </c>
      <c r="E70" t="s">
        <v>1023</v>
      </c>
      <c r="F70" t="s">
        <v>15</v>
      </c>
      <c r="G70" t="s">
        <v>1024</v>
      </c>
      <c r="H70" t="s">
        <v>54</v>
      </c>
      <c r="I70" t="s">
        <v>63</v>
      </c>
      <c r="J70">
        <v>1</v>
      </c>
      <c r="K70">
        <v>500</v>
      </c>
      <c r="L70">
        <v>500</v>
      </c>
      <c r="M70">
        <v>500</v>
      </c>
      <c r="N70" t="s">
        <v>19</v>
      </c>
    </row>
    <row r="71" spans="1:14" x14ac:dyDescent="0.25">
      <c r="A71" t="str">
        <f>Table3[[#This Row],[Company Name]] &amp; " - " &amp; Table3[[#This Row],[Store Name]] &amp; " - " &amp; Table3[[#This Row],[Store Branch / Address]]</f>
        <v>CHICKEN DELI - GONGCHA - GENERIC</v>
      </c>
      <c r="B71" t="str">
        <f>Table3[[#This Row],[Client ID]] &amp; " - " &amp; Table3[[#This Row],[SO Number]]</f>
        <v>CHICKEN DELI - GONGCHA - GENERIC - SO-002</v>
      </c>
      <c r="C71" t="s">
        <v>30</v>
      </c>
      <c r="D71" t="s">
        <v>20</v>
      </c>
      <c r="E71" t="s">
        <v>31</v>
      </c>
      <c r="F71" t="s">
        <v>15</v>
      </c>
      <c r="G71" t="s">
        <v>22</v>
      </c>
      <c r="H71" t="s">
        <v>32</v>
      </c>
      <c r="I71" t="s">
        <v>33</v>
      </c>
      <c r="J71">
        <v>1</v>
      </c>
      <c r="K71">
        <v>6500</v>
      </c>
      <c r="L71">
        <v>6500</v>
      </c>
      <c r="M71">
        <v>6500</v>
      </c>
      <c r="N71" t="s">
        <v>19</v>
      </c>
    </row>
    <row r="72" spans="1:14" x14ac:dyDescent="0.25">
      <c r="A72" t="str">
        <f>Table3[[#This Row],[Company Name]] &amp; " - " &amp; Table3[[#This Row],[Store Name]] &amp; " - " &amp; Table3[[#This Row],[Store Branch / Address]]</f>
        <v>CHICKEN DELI - GONGCHA - GENERIC</v>
      </c>
      <c r="B72" t="str">
        <f>Table3[[#This Row],[Client ID]] &amp; " - " &amp; Table3[[#This Row],[SO Number]]</f>
        <v>CHICKEN DELI - GONGCHA - GENERIC - SO-003</v>
      </c>
      <c r="C72" t="s">
        <v>40</v>
      </c>
      <c r="D72" t="s">
        <v>20</v>
      </c>
      <c r="E72" t="s">
        <v>31</v>
      </c>
      <c r="F72" t="s">
        <v>15</v>
      </c>
      <c r="G72" t="s">
        <v>22</v>
      </c>
      <c r="H72" t="s">
        <v>32</v>
      </c>
      <c r="I72" t="s">
        <v>33</v>
      </c>
      <c r="J72">
        <v>3</v>
      </c>
      <c r="K72">
        <v>6500</v>
      </c>
      <c r="L72">
        <v>19500</v>
      </c>
      <c r="M72">
        <v>58500</v>
      </c>
      <c r="N72" t="s">
        <v>19</v>
      </c>
    </row>
    <row r="73" spans="1:14" x14ac:dyDescent="0.25">
      <c r="A73" t="str">
        <f>Table3[[#This Row],[Company Name]] &amp; " - " &amp; Table3[[#This Row],[Store Name]] &amp; " - " &amp; Table3[[#This Row],[Store Branch / Address]]</f>
        <v>CHICKEN DELI - GONGCHA - GENERIC</v>
      </c>
      <c r="B73" t="str">
        <f>Table3[[#This Row],[Client ID]] &amp; " - " &amp; Table3[[#This Row],[SO Number]]</f>
        <v>CHICKEN DELI - GONGCHA - GENERIC - SO-004</v>
      </c>
      <c r="C73" t="s">
        <v>44</v>
      </c>
      <c r="D73" t="s">
        <v>20</v>
      </c>
      <c r="E73" t="s">
        <v>31</v>
      </c>
      <c r="F73" t="s">
        <v>15</v>
      </c>
      <c r="G73" t="s">
        <v>22</v>
      </c>
      <c r="H73" t="s">
        <v>32</v>
      </c>
      <c r="I73" t="s">
        <v>33</v>
      </c>
      <c r="J73">
        <v>2</v>
      </c>
      <c r="K73">
        <v>6500</v>
      </c>
      <c r="L73">
        <v>6500</v>
      </c>
      <c r="M73">
        <v>13000</v>
      </c>
      <c r="N73" t="s">
        <v>19</v>
      </c>
    </row>
    <row r="74" spans="1:14" x14ac:dyDescent="0.25">
      <c r="A74" t="str">
        <f>Table3[[#This Row],[Company Name]] &amp; " - " &amp; Table3[[#This Row],[Store Name]] &amp; " - " &amp; Table3[[#This Row],[Store Branch / Address]]</f>
        <v>CHICKEN DELI - GONGCHA - GENERIC</v>
      </c>
      <c r="B74" t="str">
        <f>Table3[[#This Row],[Client ID]] &amp; " - " &amp; Table3[[#This Row],[SO Number]]</f>
        <v>CHICKEN DELI - GONGCHA - GENERIC - SO-005</v>
      </c>
      <c r="C74" t="s">
        <v>51</v>
      </c>
      <c r="D74" t="s">
        <v>20</v>
      </c>
      <c r="E74" t="s">
        <v>31</v>
      </c>
      <c r="F74" t="s">
        <v>15</v>
      </c>
      <c r="G74" t="s">
        <v>22</v>
      </c>
      <c r="H74" t="s">
        <v>32</v>
      </c>
      <c r="I74" t="s">
        <v>33</v>
      </c>
      <c r="J74">
        <v>2</v>
      </c>
      <c r="K74">
        <v>6500</v>
      </c>
      <c r="L74">
        <v>6500</v>
      </c>
      <c r="M74">
        <v>13000</v>
      </c>
      <c r="N74" t="s">
        <v>19</v>
      </c>
    </row>
    <row r="75" spans="1:14" x14ac:dyDescent="0.25">
      <c r="A75" t="str">
        <f>Table3[[#This Row],[Company Name]] &amp; " - " &amp; Table3[[#This Row],[Store Name]] &amp; " - " &amp; Table3[[#This Row],[Store Branch / Address]]</f>
        <v>CHICKEN DELI - GONGCHA - GENERIC</v>
      </c>
      <c r="B75" t="str">
        <f>Table3[[#This Row],[Client ID]] &amp; " - " &amp; Table3[[#This Row],[SO Number]]</f>
        <v>CHICKEN DELI - GONGCHA - GENERIC - SO-006</v>
      </c>
      <c r="C75" t="s">
        <v>56</v>
      </c>
      <c r="D75" t="s">
        <v>20</v>
      </c>
      <c r="E75" t="s">
        <v>31</v>
      </c>
      <c r="F75" t="s">
        <v>15</v>
      </c>
      <c r="G75" t="s">
        <v>22</v>
      </c>
      <c r="H75" t="s">
        <v>32</v>
      </c>
      <c r="I75" t="s">
        <v>33</v>
      </c>
      <c r="J75">
        <v>1</v>
      </c>
      <c r="K75">
        <v>6500</v>
      </c>
      <c r="L75">
        <v>6500</v>
      </c>
      <c r="M75">
        <v>6500</v>
      </c>
      <c r="N75" t="s">
        <v>19</v>
      </c>
    </row>
    <row r="76" spans="1:14" x14ac:dyDescent="0.25">
      <c r="A76" t="str">
        <f>Table3[[#This Row],[Company Name]] &amp; " - " &amp; Table3[[#This Row],[Store Name]] &amp; " - " &amp; Table3[[#This Row],[Store Branch / Address]]</f>
        <v>CHICKEN DELI - GONGCHA - GENERIC</v>
      </c>
      <c r="B76" t="str">
        <f>Table3[[#This Row],[Client ID]] &amp; " - " &amp; Table3[[#This Row],[SO Number]]</f>
        <v>CHICKEN DELI - GONGCHA - GENERIC - SO-007</v>
      </c>
      <c r="C76" t="s">
        <v>64</v>
      </c>
      <c r="D76" t="s">
        <v>20</v>
      </c>
      <c r="E76" t="s">
        <v>31</v>
      </c>
      <c r="F76" t="s">
        <v>15</v>
      </c>
      <c r="G76" t="s">
        <v>22</v>
      </c>
      <c r="H76" t="s">
        <v>32</v>
      </c>
      <c r="I76" t="s">
        <v>33</v>
      </c>
      <c r="J76">
        <v>1</v>
      </c>
      <c r="K76">
        <v>6500</v>
      </c>
      <c r="L76">
        <v>6500</v>
      </c>
      <c r="M76">
        <v>6500</v>
      </c>
      <c r="N76" t="s">
        <v>19</v>
      </c>
    </row>
    <row r="77" spans="1:14" x14ac:dyDescent="0.25">
      <c r="A77" t="str">
        <f>Table3[[#This Row],[Company Name]] &amp; " - " &amp; Table3[[#This Row],[Store Name]] &amp; " - " &amp; Table3[[#This Row],[Store Branch / Address]]</f>
        <v>ITULID GERARDO ICOTANIM - DAJA FOOD SERVICES - GENERIC</v>
      </c>
      <c r="B77" t="str">
        <f>Table3[[#This Row],[Client ID]] &amp; " - " &amp; Table3[[#This Row],[SO Number]]</f>
        <v>ITULID GERARDO ICOTANIM - DAJA FOOD SERVICES - GENERIC - SO-008</v>
      </c>
      <c r="C77" t="s">
        <v>66</v>
      </c>
      <c r="D77" t="s">
        <v>67</v>
      </c>
      <c r="E77" t="s">
        <v>68</v>
      </c>
      <c r="F77" t="s">
        <v>15</v>
      </c>
      <c r="G77" t="s">
        <v>37</v>
      </c>
      <c r="H77" t="s">
        <v>69</v>
      </c>
      <c r="I77" t="s">
        <v>38</v>
      </c>
      <c r="J77">
        <v>1</v>
      </c>
      <c r="K77">
        <v>8500</v>
      </c>
      <c r="L77">
        <v>12500</v>
      </c>
      <c r="M77">
        <v>12500</v>
      </c>
      <c r="N77" t="s">
        <v>19</v>
      </c>
    </row>
    <row r="78" spans="1:14" x14ac:dyDescent="0.25">
      <c r="A78" t="str">
        <f>Table3[[#This Row],[Company Name]] &amp; " - " &amp; Table3[[#This Row],[Store Name]] &amp; " - " &amp; Table3[[#This Row],[Store Branch / Address]]</f>
        <v>CHICKEN DELI - OJO EYEWEAR - GENERIC</v>
      </c>
      <c r="B78" t="str">
        <f>Table3[[#This Row],[Client ID]] &amp; " - " &amp; Table3[[#This Row],[SO Number]]</f>
        <v>CHICKEN DELI - OJO EYEWEAR - GENERIC - SO-008</v>
      </c>
      <c r="C78" t="s">
        <v>66</v>
      </c>
      <c r="D78" t="s">
        <v>20</v>
      </c>
      <c r="E78" t="s">
        <v>70</v>
      </c>
      <c r="F78" t="s">
        <v>15</v>
      </c>
      <c r="G78" t="s">
        <v>22</v>
      </c>
      <c r="H78" t="s">
        <v>69</v>
      </c>
      <c r="I78" t="s">
        <v>71</v>
      </c>
      <c r="J78">
        <v>1</v>
      </c>
      <c r="K78">
        <v>700</v>
      </c>
      <c r="L78">
        <v>1700</v>
      </c>
      <c r="M78">
        <v>1700</v>
      </c>
      <c r="N78" t="s">
        <v>19</v>
      </c>
    </row>
    <row r="79" spans="1:14" x14ac:dyDescent="0.25">
      <c r="A79" t="str">
        <f>Table3[[#This Row],[Company Name]] &amp; " - " &amp; Table3[[#This Row],[Store Name]] &amp; " - " &amp; Table3[[#This Row],[Store Branch / Address]]</f>
        <v>BLT GREAT FOOD DINE INC - SIMPLY THAI - GENERIC</v>
      </c>
      <c r="B79" t="str">
        <f>Table3[[#This Row],[Client ID]] &amp; " - " &amp; Table3[[#This Row],[SO Number]]</f>
        <v>BLT GREAT FOOD DINE INC - SIMPLY THAI - GENERIC - SO-009</v>
      </c>
      <c r="C79" t="s">
        <v>72</v>
      </c>
      <c r="D79" t="s">
        <v>77</v>
      </c>
      <c r="E79" t="s">
        <v>78</v>
      </c>
      <c r="F79" t="s">
        <v>15</v>
      </c>
      <c r="G79" t="s">
        <v>37</v>
      </c>
      <c r="H79" t="s">
        <v>69</v>
      </c>
      <c r="I79" t="s">
        <v>79</v>
      </c>
      <c r="J79">
        <v>1</v>
      </c>
      <c r="K79">
        <v>10750</v>
      </c>
      <c r="L79">
        <v>15500</v>
      </c>
      <c r="M79">
        <v>15500</v>
      </c>
      <c r="N79" t="s">
        <v>19</v>
      </c>
    </row>
    <row r="80" spans="1:14" x14ac:dyDescent="0.25">
      <c r="A80" t="str">
        <f>Table3[[#This Row],[Company Name]] &amp; " - " &amp; Table3[[#This Row],[Store Name]] &amp; " - " &amp; Table3[[#This Row],[Store Branch / Address]]</f>
        <v>M W TOWNSTORE - M &amp; W - GENERIC</v>
      </c>
      <c r="B80" t="str">
        <f>Table3[[#This Row],[Client ID]] &amp; " - " &amp; Table3[[#This Row],[SO Number]]</f>
        <v>M W TOWNSTORE - M &amp; W - GENERIC - SO-106</v>
      </c>
      <c r="C80" t="s">
        <v>578</v>
      </c>
      <c r="D80" t="s">
        <v>191</v>
      </c>
      <c r="E80" t="s">
        <v>192</v>
      </c>
      <c r="F80" t="s">
        <v>15</v>
      </c>
      <c r="G80" t="s">
        <v>22</v>
      </c>
      <c r="H80" t="s">
        <v>580</v>
      </c>
      <c r="I80" t="s">
        <v>392</v>
      </c>
      <c r="J80">
        <v>3</v>
      </c>
      <c r="K80">
        <v>3360</v>
      </c>
      <c r="L80">
        <v>5800</v>
      </c>
      <c r="M80">
        <v>17400</v>
      </c>
      <c r="N80" t="s">
        <v>19</v>
      </c>
    </row>
    <row r="81" spans="1:14" x14ac:dyDescent="0.25">
      <c r="A81" t="str">
        <f>Table3[[#This Row],[Company Name]] &amp; " - " &amp; Table3[[#This Row],[Store Name]] &amp; " - " &amp; Table3[[#This Row],[Store Branch / Address]]</f>
        <v>M W TOWNSTORE - M &amp; W - GENERIC</v>
      </c>
      <c r="B81" t="str">
        <f>Table3[[#This Row],[Client ID]] &amp; " - " &amp; Table3[[#This Row],[SO Number]]</f>
        <v>M W TOWNSTORE - M &amp; W - GENERIC - SO-106</v>
      </c>
      <c r="C81" t="s">
        <v>578</v>
      </c>
      <c r="D81" t="s">
        <v>191</v>
      </c>
      <c r="E81" t="s">
        <v>192</v>
      </c>
      <c r="F81" t="s">
        <v>15</v>
      </c>
      <c r="G81" t="s">
        <v>22</v>
      </c>
      <c r="H81" t="s">
        <v>580</v>
      </c>
      <c r="I81" t="s">
        <v>581</v>
      </c>
      <c r="J81">
        <v>1</v>
      </c>
      <c r="K81">
        <v>9500</v>
      </c>
      <c r="L81">
        <v>13500</v>
      </c>
      <c r="M81">
        <v>13500</v>
      </c>
      <c r="N81" t="s">
        <v>19</v>
      </c>
    </row>
    <row r="82" spans="1:14" x14ac:dyDescent="0.25">
      <c r="A82" t="str">
        <f>Table3[[#This Row],[Company Name]] &amp; " - " &amp; Table3[[#This Row],[Store Name]] &amp; " - " &amp; Table3[[#This Row],[Store Branch / Address]]</f>
        <v>CHICKEN DELI - MAGOOS - GENERIC</v>
      </c>
      <c r="B82" t="str">
        <f>Table3[[#This Row],[Client ID]] &amp; " - " &amp; Table3[[#This Row],[SO Number]]</f>
        <v>CHICKEN DELI - MAGOOS - GENERIC - SO-009</v>
      </c>
      <c r="C82" t="s">
        <v>72</v>
      </c>
      <c r="D82" t="s">
        <v>20</v>
      </c>
      <c r="E82" t="s">
        <v>73</v>
      </c>
      <c r="F82" t="s">
        <v>15</v>
      </c>
      <c r="G82" t="s">
        <v>22</v>
      </c>
      <c r="H82" t="s">
        <v>74</v>
      </c>
      <c r="I82" t="s">
        <v>75</v>
      </c>
      <c r="J82">
        <v>1</v>
      </c>
      <c r="K82">
        <v>10900</v>
      </c>
      <c r="L82">
        <v>15500</v>
      </c>
      <c r="M82">
        <v>15500</v>
      </c>
      <c r="N82" t="s">
        <v>19</v>
      </c>
    </row>
    <row r="83" spans="1:14" x14ac:dyDescent="0.25">
      <c r="A83" t="str">
        <f>Table3[[#This Row],[Company Name]] &amp; " - " &amp; Table3[[#This Row],[Store Name]] &amp; " - " &amp; Table3[[#This Row],[Store Branch / Address]]</f>
        <v>CHICKEN DELI - MAGOOS - GENERIC</v>
      </c>
      <c r="B83" t="str">
        <f>Table3[[#This Row],[Client ID]] &amp; " - " &amp; Table3[[#This Row],[SO Number]]</f>
        <v>CHICKEN DELI - MAGOOS - GENERIC - SO-009</v>
      </c>
      <c r="C83" t="s">
        <v>72</v>
      </c>
      <c r="D83" t="s">
        <v>20</v>
      </c>
      <c r="E83" t="s">
        <v>73</v>
      </c>
      <c r="F83" t="s">
        <v>15</v>
      </c>
      <c r="G83" t="s">
        <v>22</v>
      </c>
      <c r="H83" t="s">
        <v>74</v>
      </c>
      <c r="I83" t="s">
        <v>76</v>
      </c>
      <c r="J83">
        <v>1</v>
      </c>
      <c r="K83">
        <v>500</v>
      </c>
      <c r="L83">
        <v>500</v>
      </c>
      <c r="M83">
        <v>500</v>
      </c>
      <c r="N83" t="s">
        <v>19</v>
      </c>
    </row>
    <row r="84" spans="1:14" x14ac:dyDescent="0.25">
      <c r="A84" t="str">
        <f>Table3[[#This Row],[Company Name]] &amp; " - " &amp; Table3[[#This Row],[Store Name]] &amp; " - " &amp; Table3[[#This Row],[Store Branch / Address]]</f>
        <v>CHICKEN DELI - CASA REYES - GENERIC</v>
      </c>
      <c r="B84" t="str">
        <f>Table3[[#This Row],[Client ID]] &amp; " - " &amp; Table3[[#This Row],[SO Number]]</f>
        <v>CHICKEN DELI - CASA REYES - GENERIC - SO-010</v>
      </c>
      <c r="C84" t="s">
        <v>80</v>
      </c>
      <c r="D84" t="s">
        <v>20</v>
      </c>
      <c r="E84" t="s">
        <v>81</v>
      </c>
      <c r="F84" t="s">
        <v>15</v>
      </c>
      <c r="G84" t="s">
        <v>22</v>
      </c>
      <c r="H84" t="s">
        <v>74</v>
      </c>
      <c r="I84" t="s">
        <v>82</v>
      </c>
      <c r="J84">
        <v>1</v>
      </c>
      <c r="K84">
        <v>2250</v>
      </c>
      <c r="L84">
        <v>4200</v>
      </c>
      <c r="M84">
        <v>4200</v>
      </c>
      <c r="N84" t="s">
        <v>19</v>
      </c>
    </row>
    <row r="85" spans="1:14" x14ac:dyDescent="0.25">
      <c r="A85" t="str">
        <f>Table3[[#This Row],[Company Name]] &amp; " - " &amp; Table3[[#This Row],[Store Name]] &amp; " - " &amp; Table3[[#This Row],[Store Branch / Address]]</f>
        <v>CHICKEN DELI - CASA REYES - GENERIC</v>
      </c>
      <c r="B85" t="str">
        <f>Table3[[#This Row],[Client ID]] &amp; " - " &amp; Table3[[#This Row],[SO Number]]</f>
        <v>CHICKEN DELI - CASA REYES - GENERIC - SO-010</v>
      </c>
      <c r="C85" t="s">
        <v>80</v>
      </c>
      <c r="D85" t="s">
        <v>20</v>
      </c>
      <c r="E85" t="s">
        <v>81</v>
      </c>
      <c r="F85" t="s">
        <v>15</v>
      </c>
      <c r="G85" t="s">
        <v>22</v>
      </c>
      <c r="H85" t="s">
        <v>74</v>
      </c>
      <c r="I85" t="s">
        <v>76</v>
      </c>
      <c r="J85">
        <v>1</v>
      </c>
      <c r="K85">
        <v>500</v>
      </c>
      <c r="L85">
        <v>500</v>
      </c>
      <c r="M85">
        <v>500</v>
      </c>
      <c r="N85" t="s">
        <v>19</v>
      </c>
    </row>
    <row r="86" spans="1:14" x14ac:dyDescent="0.25">
      <c r="A86" t="str">
        <f>Table3[[#This Row],[Company Name]] &amp; " - " &amp; Table3[[#This Row],[Store Name]] &amp; " - " &amp; Table3[[#This Row],[Store Branch / Address]]</f>
        <v>COSEIP PHILIP PATRICK TAN - POTATO KING - GENERIC</v>
      </c>
      <c r="B86" t="str">
        <f>Table3[[#This Row],[Client ID]] &amp; " - " &amp; Table3[[#This Row],[SO Number]]</f>
        <v>COSEIP PHILIP PATRICK TAN - POTATO KING - GENERIC - SO-010</v>
      </c>
      <c r="C86" t="s">
        <v>80</v>
      </c>
      <c r="D86" t="s">
        <v>83</v>
      </c>
      <c r="E86" t="s">
        <v>84</v>
      </c>
      <c r="F86" t="s">
        <v>15</v>
      </c>
      <c r="G86" t="s">
        <v>37</v>
      </c>
      <c r="H86" t="s">
        <v>74</v>
      </c>
      <c r="I86" t="s">
        <v>85</v>
      </c>
      <c r="J86">
        <v>1</v>
      </c>
      <c r="K86">
        <v>1350</v>
      </c>
      <c r="L86">
        <v>2500</v>
      </c>
      <c r="M86">
        <v>2500</v>
      </c>
      <c r="N86" t="s">
        <v>19</v>
      </c>
    </row>
    <row r="87" spans="1:14" x14ac:dyDescent="0.25">
      <c r="A87" t="str">
        <f>Table3[[#This Row],[Company Name]] &amp; " - " &amp; Table3[[#This Row],[Store Name]] &amp; " - " &amp; Table3[[#This Row],[Store Branch / Address]]</f>
        <v>CHICKEN DELI - MAGOOS - GENERIC</v>
      </c>
      <c r="B87" t="str">
        <f>Table3[[#This Row],[Client ID]] &amp; " - " &amp; Table3[[#This Row],[SO Number]]</f>
        <v>CHICKEN DELI - MAGOOS - GENERIC - SO-072</v>
      </c>
      <c r="C87" t="s">
        <v>443</v>
      </c>
      <c r="D87" t="s">
        <v>20</v>
      </c>
      <c r="E87" t="s">
        <v>73</v>
      </c>
      <c r="F87" t="s">
        <v>15</v>
      </c>
      <c r="G87" t="s">
        <v>22</v>
      </c>
      <c r="H87" t="s">
        <v>74</v>
      </c>
      <c r="I87" t="s">
        <v>75</v>
      </c>
      <c r="J87">
        <v>1</v>
      </c>
      <c r="K87">
        <v>10900</v>
      </c>
      <c r="L87">
        <v>15500</v>
      </c>
      <c r="M87">
        <v>15500</v>
      </c>
      <c r="N87" t="s">
        <v>19</v>
      </c>
    </row>
    <row r="88" spans="1:14" x14ac:dyDescent="0.25">
      <c r="A88" t="str">
        <f>Table3[[#This Row],[Company Name]] &amp; " - " &amp; Table3[[#This Row],[Store Name]] &amp; " - " &amp; Table3[[#This Row],[Store Branch / Address]]</f>
        <v>CHICKEN DELI - MAGOOS - GENERIC</v>
      </c>
      <c r="B88" t="str">
        <f>Table3[[#This Row],[Client ID]] &amp; " - " &amp; Table3[[#This Row],[SO Number]]</f>
        <v>CHICKEN DELI - MAGOOS - GENERIC - SO-072</v>
      </c>
      <c r="C88" t="s">
        <v>443</v>
      </c>
      <c r="D88" t="s">
        <v>20</v>
      </c>
      <c r="E88" t="s">
        <v>73</v>
      </c>
      <c r="F88" t="s">
        <v>15</v>
      </c>
      <c r="G88" t="s">
        <v>22</v>
      </c>
      <c r="H88" t="s">
        <v>74</v>
      </c>
      <c r="I88" t="s">
        <v>76</v>
      </c>
      <c r="J88">
        <v>1</v>
      </c>
      <c r="K88">
        <v>500</v>
      </c>
      <c r="L88">
        <v>500</v>
      </c>
      <c r="M88">
        <v>500</v>
      </c>
      <c r="N88" t="s">
        <v>19</v>
      </c>
    </row>
    <row r="89" spans="1:14" x14ac:dyDescent="0.25">
      <c r="A89" t="str">
        <f>Table3[[#This Row],[Company Name]] &amp; " - " &amp; Table3[[#This Row],[Store Name]] &amp; " - " &amp; Table3[[#This Row],[Store Branch / Address]]</f>
        <v>GRIMALKIN CORPORATION - NINETYGO - SM BICUTAN</v>
      </c>
      <c r="B89" t="str">
        <f>Table3[[#This Row],[Client ID]] &amp; " - " &amp; Table3[[#This Row],[SO Number]]</f>
        <v>GRIMALKIN CORPORATION - NINETYGO - SM BICUTAN - SO-008</v>
      </c>
      <c r="C89" t="s">
        <v>66</v>
      </c>
      <c r="D89" t="s">
        <v>1028</v>
      </c>
      <c r="E89" t="s">
        <v>1029</v>
      </c>
      <c r="F89" t="s">
        <v>1030</v>
      </c>
      <c r="G89" t="s">
        <v>1031</v>
      </c>
      <c r="H89" t="s">
        <v>74</v>
      </c>
      <c r="I89" t="s">
        <v>1009</v>
      </c>
      <c r="J89">
        <v>1</v>
      </c>
      <c r="K89">
        <v>3675</v>
      </c>
      <c r="L89">
        <v>10500</v>
      </c>
      <c r="M89">
        <v>10500</v>
      </c>
      <c r="N89" t="s">
        <v>1010</v>
      </c>
    </row>
    <row r="90" spans="1:14" x14ac:dyDescent="0.25">
      <c r="A90" t="str">
        <f>Table3[[#This Row],[Company Name]] &amp; " - " &amp; Table3[[#This Row],[Store Name]] &amp; " - " &amp; Table3[[#This Row],[Store Branch / Address]]</f>
        <v>GRIMALKIN CORPORATION - NINETYGO - SM BICUTAN</v>
      </c>
      <c r="B90" t="str">
        <f>Table3[[#This Row],[Client ID]] &amp; " - " &amp; Table3[[#This Row],[SO Number]]</f>
        <v>GRIMALKIN CORPORATION - NINETYGO - SM BICUTAN - SO-008</v>
      </c>
      <c r="C90" t="s">
        <v>66</v>
      </c>
      <c r="D90" t="s">
        <v>1028</v>
      </c>
      <c r="E90" t="s">
        <v>1029</v>
      </c>
      <c r="F90" t="s">
        <v>1030</v>
      </c>
      <c r="G90" t="s">
        <v>1031</v>
      </c>
      <c r="H90" t="s">
        <v>74</v>
      </c>
      <c r="I90" t="s">
        <v>1011</v>
      </c>
      <c r="J90">
        <v>1</v>
      </c>
      <c r="K90">
        <v>4200</v>
      </c>
      <c r="L90">
        <v>11500</v>
      </c>
      <c r="M90">
        <v>11500</v>
      </c>
      <c r="N90" t="s">
        <v>1010</v>
      </c>
    </row>
    <row r="91" spans="1:14" x14ac:dyDescent="0.25">
      <c r="A91" t="str">
        <f>Table3[[#This Row],[Company Name]] &amp; " - " &amp; Table3[[#This Row],[Store Name]] &amp; " - " &amp; Table3[[#This Row],[Store Branch / Address]]</f>
        <v>GRIMALKIN CORPORATION - NINETYGO - SM BICUTAN</v>
      </c>
      <c r="B91" t="str">
        <f>Table3[[#This Row],[Client ID]] &amp; " - " &amp; Table3[[#This Row],[SO Number]]</f>
        <v>GRIMALKIN CORPORATION - NINETYGO - SM BICUTAN - SO-008</v>
      </c>
      <c r="C91" t="s">
        <v>66</v>
      </c>
      <c r="D91" t="s">
        <v>1028</v>
      </c>
      <c r="E91" t="s">
        <v>1029</v>
      </c>
      <c r="F91" t="s">
        <v>1030</v>
      </c>
      <c r="G91" t="s">
        <v>1031</v>
      </c>
      <c r="H91" t="s">
        <v>74</v>
      </c>
      <c r="I91" t="s">
        <v>24</v>
      </c>
      <c r="J91">
        <v>1</v>
      </c>
      <c r="K91">
        <v>4200</v>
      </c>
      <c r="L91">
        <v>11500</v>
      </c>
      <c r="M91">
        <v>11500</v>
      </c>
      <c r="N91" t="s">
        <v>1010</v>
      </c>
    </row>
    <row r="92" spans="1:14" x14ac:dyDescent="0.25">
      <c r="A92" t="str">
        <f>Table3[[#This Row],[Company Name]] &amp; " - " &amp; Table3[[#This Row],[Store Name]] &amp; " - " &amp; Table3[[#This Row],[Store Branch / Address]]</f>
        <v>GRIMALKIN CORPORATION - NINETYGO - SM BICUTAN</v>
      </c>
      <c r="B92" t="str">
        <f>Table3[[#This Row],[Client ID]] &amp; " - " &amp; Table3[[#This Row],[SO Number]]</f>
        <v>GRIMALKIN CORPORATION - NINETYGO - SM BICUTAN - SO-008</v>
      </c>
      <c r="C92" t="s">
        <v>66</v>
      </c>
      <c r="D92" t="s">
        <v>1028</v>
      </c>
      <c r="E92" t="s">
        <v>1029</v>
      </c>
      <c r="F92" t="s">
        <v>1030</v>
      </c>
      <c r="G92" t="s">
        <v>1031</v>
      </c>
      <c r="H92" t="s">
        <v>74</v>
      </c>
      <c r="I92" t="s">
        <v>26</v>
      </c>
      <c r="J92">
        <v>1</v>
      </c>
      <c r="K92">
        <v>500</v>
      </c>
      <c r="L92">
        <v>500</v>
      </c>
      <c r="M92">
        <v>500</v>
      </c>
      <c r="N92" t="s">
        <v>1010</v>
      </c>
    </row>
    <row r="93" spans="1:14" x14ac:dyDescent="0.25">
      <c r="A93" t="str">
        <f>Table3[[#This Row],[Company Name]] &amp; " - " &amp; Table3[[#This Row],[Store Name]] &amp; " - " &amp; Table3[[#This Row],[Store Branch / Address]]</f>
        <v>GRIMALKIN CORPORATION - NINETYGO - SM BICUTAN</v>
      </c>
      <c r="B93" t="str">
        <f>Table3[[#This Row],[Client ID]] &amp; " - " &amp; Table3[[#This Row],[SO Number]]</f>
        <v>GRIMALKIN CORPORATION - NINETYGO - SM BICUTAN - SO-008</v>
      </c>
      <c r="C93" t="s">
        <v>66</v>
      </c>
      <c r="D93" t="s">
        <v>1028</v>
      </c>
      <c r="E93" t="s">
        <v>1029</v>
      </c>
      <c r="F93" t="s">
        <v>1030</v>
      </c>
      <c r="G93" t="s">
        <v>1031</v>
      </c>
      <c r="H93" t="s">
        <v>74</v>
      </c>
      <c r="I93" t="s">
        <v>331</v>
      </c>
      <c r="J93">
        <v>1</v>
      </c>
      <c r="K93">
        <v>3500</v>
      </c>
      <c r="L93">
        <v>5000</v>
      </c>
      <c r="M93">
        <v>5000</v>
      </c>
      <c r="N93" t="s">
        <v>1010</v>
      </c>
    </row>
    <row r="94" spans="1:14" x14ac:dyDescent="0.25">
      <c r="A94" t="str">
        <f>Table3[[#This Row],[Company Name]] &amp; " - " &amp; Table3[[#This Row],[Store Name]] &amp; " - " &amp; Table3[[#This Row],[Store Branch / Address]]</f>
        <v>GRIMALKIN CORPORATION - NINETYGO - SM BICUTAN</v>
      </c>
      <c r="B94" t="str">
        <f>Table3[[#This Row],[Client ID]] &amp; " - " &amp; Table3[[#This Row],[SO Number]]</f>
        <v>GRIMALKIN CORPORATION - NINETYGO - SM BICUTAN - SO-008</v>
      </c>
      <c r="C94" t="s">
        <v>66</v>
      </c>
      <c r="D94" t="s">
        <v>1028</v>
      </c>
      <c r="E94" t="s">
        <v>1029</v>
      </c>
      <c r="F94" t="s">
        <v>1030</v>
      </c>
      <c r="G94" t="s">
        <v>1031</v>
      </c>
      <c r="H94" t="s">
        <v>74</v>
      </c>
      <c r="I94" t="s">
        <v>1032</v>
      </c>
      <c r="J94">
        <v>1</v>
      </c>
      <c r="K94">
        <v>23450</v>
      </c>
      <c r="L94">
        <v>32300</v>
      </c>
      <c r="M94">
        <v>32300</v>
      </c>
      <c r="N94" t="s">
        <v>1010</v>
      </c>
    </row>
    <row r="95" spans="1:14" x14ac:dyDescent="0.25">
      <c r="A95" t="str">
        <f>Table3[[#This Row],[Company Name]] &amp; " - " &amp; Table3[[#This Row],[Store Name]] &amp; " - " &amp; Table3[[#This Row],[Store Branch / Address]]</f>
        <v>GRIMALKIN CORPORATION - NINETYGO - SM BICUTAN</v>
      </c>
      <c r="B95" t="str">
        <f>Table3[[#This Row],[Client ID]] &amp; " - " &amp; Table3[[#This Row],[SO Number]]</f>
        <v>GRIMALKIN CORPORATION - NINETYGO - SM BICUTAN - SO-008</v>
      </c>
      <c r="C95" t="s">
        <v>66</v>
      </c>
      <c r="D95" t="s">
        <v>1028</v>
      </c>
      <c r="E95" t="s">
        <v>1029</v>
      </c>
      <c r="F95" t="s">
        <v>1030</v>
      </c>
      <c r="G95" t="s">
        <v>1031</v>
      </c>
      <c r="H95" t="s">
        <v>74</v>
      </c>
      <c r="I95" t="s">
        <v>118</v>
      </c>
      <c r="J95">
        <v>1</v>
      </c>
      <c r="K95">
        <v>2300</v>
      </c>
      <c r="L95">
        <v>4000</v>
      </c>
      <c r="M95">
        <v>4000</v>
      </c>
      <c r="N95" t="s">
        <v>1010</v>
      </c>
    </row>
    <row r="96" spans="1:14" x14ac:dyDescent="0.25">
      <c r="A96" t="str">
        <f>Table3[[#This Row],[Company Name]] &amp; " - " &amp; Table3[[#This Row],[Store Name]] &amp; " - " &amp; Table3[[#This Row],[Store Branch / Address]]</f>
        <v>GRIMALKIN CORPORATION - NINETYGO - SM BICUTAN</v>
      </c>
      <c r="B96" t="str">
        <f>Table3[[#This Row],[Client ID]] &amp; " - " &amp; Table3[[#This Row],[SO Number]]</f>
        <v>GRIMALKIN CORPORATION - NINETYGO - SM BICUTAN - SO-008</v>
      </c>
      <c r="C96" t="s">
        <v>66</v>
      </c>
      <c r="D96" t="s">
        <v>1028</v>
      </c>
      <c r="E96" t="s">
        <v>1029</v>
      </c>
      <c r="F96" t="s">
        <v>1030</v>
      </c>
      <c r="G96" t="s">
        <v>1031</v>
      </c>
      <c r="H96" t="s">
        <v>74</v>
      </c>
      <c r="I96" t="s">
        <v>189</v>
      </c>
      <c r="J96">
        <v>1</v>
      </c>
      <c r="K96">
        <v>530</v>
      </c>
      <c r="L96">
        <v>700</v>
      </c>
      <c r="M96">
        <v>700</v>
      </c>
      <c r="N96" t="s">
        <v>1010</v>
      </c>
    </row>
    <row r="97" spans="1:14" x14ac:dyDescent="0.25">
      <c r="A97" t="str">
        <f>Table3[[#This Row],[Company Name]] &amp; " - " &amp; Table3[[#This Row],[Store Name]] &amp; " - " &amp; Table3[[#This Row],[Store Branch / Address]]</f>
        <v>GRIMALKIN CORPORATION - NINETYGO - SM BICUTAN</v>
      </c>
      <c r="B97" t="str">
        <f>Table3[[#This Row],[Client ID]] &amp; " - " &amp; Table3[[#This Row],[SO Number]]</f>
        <v>GRIMALKIN CORPORATION - NINETYGO - SM BICUTAN - SO-008</v>
      </c>
      <c r="C97" t="s">
        <v>66</v>
      </c>
      <c r="D97" t="s">
        <v>1028</v>
      </c>
      <c r="E97" t="s">
        <v>1029</v>
      </c>
      <c r="F97" t="s">
        <v>1030</v>
      </c>
      <c r="G97" t="s">
        <v>1031</v>
      </c>
      <c r="H97" t="s">
        <v>74</v>
      </c>
      <c r="I97" t="s">
        <v>1033</v>
      </c>
      <c r="J97">
        <v>1</v>
      </c>
      <c r="K97">
        <v>350</v>
      </c>
      <c r="L97">
        <v>500</v>
      </c>
      <c r="M97">
        <v>500</v>
      </c>
      <c r="N97" t="s">
        <v>1010</v>
      </c>
    </row>
    <row r="98" spans="1:14" x14ac:dyDescent="0.25">
      <c r="A98" t="str">
        <f>Table3[[#This Row],[Company Name]] &amp; " - " &amp; Table3[[#This Row],[Store Name]] &amp; " - " &amp; Table3[[#This Row],[Store Branch / Address]]</f>
        <v>GRIMALKIN CORPORATION - NINETYGO - SM BICUTAN</v>
      </c>
      <c r="B98" t="str">
        <f>Table3[[#This Row],[Client ID]] &amp; " - " &amp; Table3[[#This Row],[SO Number]]</f>
        <v>GRIMALKIN CORPORATION - NINETYGO - SM BICUTAN - SO-008</v>
      </c>
      <c r="C98" t="s">
        <v>66</v>
      </c>
      <c r="D98" t="s">
        <v>1028</v>
      </c>
      <c r="E98" t="s">
        <v>1029</v>
      </c>
      <c r="F98" t="s">
        <v>1030</v>
      </c>
      <c r="G98" t="s">
        <v>1031</v>
      </c>
      <c r="H98" t="s">
        <v>74</v>
      </c>
      <c r="I98" t="s">
        <v>1014</v>
      </c>
      <c r="J98">
        <v>1</v>
      </c>
      <c r="K98">
        <v>935</v>
      </c>
      <c r="L98">
        <v>1500</v>
      </c>
      <c r="M98">
        <v>1500</v>
      </c>
      <c r="N98" t="s">
        <v>1010</v>
      </c>
    </row>
    <row r="99" spans="1:14" x14ac:dyDescent="0.25">
      <c r="A99" t="str">
        <f>Table3[[#This Row],[Company Name]] &amp; " - " &amp; Table3[[#This Row],[Store Name]] &amp; " - " &amp; Table3[[#This Row],[Store Branch / Address]]</f>
        <v>GRIMALKIN CORPORATION - NINETYGO - SM BICUTAN</v>
      </c>
      <c r="B99" t="str">
        <f>Table3[[#This Row],[Client ID]] &amp; " - " &amp; Table3[[#This Row],[SO Number]]</f>
        <v>GRIMALKIN CORPORATION - NINETYGO - SM BICUTAN - SO-008</v>
      </c>
      <c r="C99" t="s">
        <v>66</v>
      </c>
      <c r="D99" t="s">
        <v>1028</v>
      </c>
      <c r="E99" t="s">
        <v>1029</v>
      </c>
      <c r="F99" t="s">
        <v>1030</v>
      </c>
      <c r="G99" t="s">
        <v>1031</v>
      </c>
      <c r="H99" t="s">
        <v>74</v>
      </c>
      <c r="I99" t="s">
        <v>63</v>
      </c>
      <c r="J99">
        <v>1</v>
      </c>
      <c r="K99">
        <v>500</v>
      </c>
      <c r="L99">
        <v>500</v>
      </c>
      <c r="M99">
        <v>500</v>
      </c>
      <c r="N99" t="s">
        <v>1010</v>
      </c>
    </row>
    <row r="100" spans="1:14" x14ac:dyDescent="0.25">
      <c r="A100" t="str">
        <f>Table3[[#This Row],[Company Name]] &amp; " - " &amp; Table3[[#This Row],[Store Name]] &amp; " - " &amp; Table3[[#This Row],[Store Branch / Address]]</f>
        <v>POL S MOM S PLACE INC - MAMOU - GREENBELT 5</v>
      </c>
      <c r="B100" t="str">
        <f>Table3[[#This Row],[Client ID]] &amp; " - " &amp; Table3[[#This Row],[SO Number]]</f>
        <v>POL S MOM S PLACE INC - MAMOU - GREENBELT 5 - SO-012</v>
      </c>
      <c r="C100" t="s">
        <v>100</v>
      </c>
      <c r="D100" t="s">
        <v>57</v>
      </c>
      <c r="E100" t="s">
        <v>58</v>
      </c>
      <c r="F100" t="s">
        <v>101</v>
      </c>
      <c r="G100" t="s">
        <v>37</v>
      </c>
      <c r="H100" t="s">
        <v>102</v>
      </c>
      <c r="I100" t="s">
        <v>55</v>
      </c>
      <c r="J100">
        <v>1</v>
      </c>
      <c r="K100">
        <v>1200</v>
      </c>
      <c r="L100">
        <v>2000</v>
      </c>
      <c r="M100">
        <v>2000</v>
      </c>
      <c r="N100" t="s">
        <v>39</v>
      </c>
    </row>
    <row r="101" spans="1:14" x14ac:dyDescent="0.25">
      <c r="A101" t="str">
        <f>Table3[[#This Row],[Company Name]] &amp; " - " &amp; Table3[[#This Row],[Store Name]] &amp; " - " &amp; Table3[[#This Row],[Store Branch / Address]]</f>
        <v>GINTONG PATATAS ENTERPRISES INC - POTATO GIANT - SM CABANATUAN</v>
      </c>
      <c r="B101" t="str">
        <f>Table3[[#This Row],[Client ID]] &amp; " - " &amp; Table3[[#This Row],[SO Number]]</f>
        <v>GINTONG PATATAS ENTERPRISES INC - POTATO GIANT - SM CABANATUAN - SO-043</v>
      </c>
      <c r="C101" t="s">
        <v>304</v>
      </c>
      <c r="D101" t="s">
        <v>305</v>
      </c>
      <c r="E101" t="s">
        <v>306</v>
      </c>
      <c r="F101" t="s">
        <v>307</v>
      </c>
      <c r="G101" t="s">
        <v>37</v>
      </c>
      <c r="H101" t="s">
        <v>102</v>
      </c>
      <c r="I101" t="s">
        <v>308</v>
      </c>
      <c r="J101">
        <v>1</v>
      </c>
      <c r="K101">
        <v>1200</v>
      </c>
      <c r="L101">
        <v>2000</v>
      </c>
      <c r="M101">
        <v>2000</v>
      </c>
      <c r="N101" t="s">
        <v>39</v>
      </c>
    </row>
    <row r="102" spans="1:14" x14ac:dyDescent="0.25">
      <c r="A102" t="str">
        <f>Table3[[#This Row],[Company Name]] &amp; " - " &amp; Table3[[#This Row],[Store Name]] &amp; " - " &amp; Table3[[#This Row],[Store Branch / Address]]</f>
        <v>ROSANNA OCAMPO - ROSANNA OCAMPO - ROCKWELL POWERPLANT</v>
      </c>
      <c r="B102" t="str">
        <f>Table3[[#This Row],[Client ID]] &amp; " - " &amp; Table3[[#This Row],[SO Number]]</f>
        <v>ROSANNA OCAMPO - ROSANNA OCAMPO - ROCKWELL POWERPLANT - SO-009</v>
      </c>
      <c r="C102" t="s">
        <v>72</v>
      </c>
      <c r="D102" t="s">
        <v>1034</v>
      </c>
      <c r="E102" t="s">
        <v>1034</v>
      </c>
      <c r="F102" t="s">
        <v>1035</v>
      </c>
      <c r="G102" t="s">
        <v>37</v>
      </c>
      <c r="H102" t="s">
        <v>1036</v>
      </c>
      <c r="I102" t="s">
        <v>501</v>
      </c>
      <c r="J102">
        <v>2</v>
      </c>
      <c r="K102">
        <v>70</v>
      </c>
      <c r="L102">
        <v>250</v>
      </c>
      <c r="M102">
        <v>500</v>
      </c>
      <c r="N102" t="s">
        <v>1010</v>
      </c>
    </row>
    <row r="103" spans="1:14" x14ac:dyDescent="0.25">
      <c r="A103" t="str">
        <f>Table3[[#This Row],[Company Name]] &amp; " - " &amp; Table3[[#This Row],[Store Name]] &amp; " - " &amp; Table3[[#This Row],[Store Branch / Address]]</f>
        <v>SUNSHINE SUPERMART INC - SUNSHINE SUPERMART - GENERIC</v>
      </c>
      <c r="B103" t="str">
        <f>Table3[[#This Row],[Client ID]] &amp; " - " &amp; Table3[[#This Row],[SO Number]]</f>
        <v>SUNSHINE SUPERMART INC - SUNSHINE SUPERMART - GENERIC - SO-013</v>
      </c>
      <c r="C103" t="s">
        <v>104</v>
      </c>
      <c r="D103" t="s">
        <v>107</v>
      </c>
      <c r="E103" t="s">
        <v>108</v>
      </c>
      <c r="F103" t="s">
        <v>15</v>
      </c>
      <c r="G103" t="s">
        <v>16</v>
      </c>
      <c r="H103" t="s">
        <v>109</v>
      </c>
      <c r="I103" t="s">
        <v>110</v>
      </c>
      <c r="J103">
        <v>2</v>
      </c>
      <c r="K103">
        <v>5075</v>
      </c>
      <c r="L103">
        <v>17500</v>
      </c>
      <c r="M103">
        <v>35000</v>
      </c>
      <c r="N103" t="s">
        <v>19</v>
      </c>
    </row>
    <row r="104" spans="1:14" x14ac:dyDescent="0.25">
      <c r="A104" t="str">
        <f>Table3[[#This Row],[Company Name]] &amp; " - " &amp; Table3[[#This Row],[Store Name]] &amp; " - " &amp; Table3[[#This Row],[Store Branch / Address]]</f>
        <v>SUNSHINE SUPERMART INC - SUNSHINE SUPERMART - GENERIC</v>
      </c>
      <c r="B104" t="str">
        <f>Table3[[#This Row],[Client ID]] &amp; " - " &amp; Table3[[#This Row],[SO Number]]</f>
        <v>SUNSHINE SUPERMART INC - SUNSHINE SUPERMART - GENERIC - SO-013</v>
      </c>
      <c r="C104" t="s">
        <v>104</v>
      </c>
      <c r="D104" t="s">
        <v>107</v>
      </c>
      <c r="E104" t="s">
        <v>108</v>
      </c>
      <c r="F104" t="s">
        <v>15</v>
      </c>
      <c r="G104" t="s">
        <v>16</v>
      </c>
      <c r="H104" t="s">
        <v>109</v>
      </c>
      <c r="I104" t="s">
        <v>26</v>
      </c>
      <c r="J104">
        <v>2</v>
      </c>
      <c r="K104">
        <v>500</v>
      </c>
      <c r="L104">
        <v>500</v>
      </c>
      <c r="M104">
        <v>1000</v>
      </c>
      <c r="N104" t="s">
        <v>19</v>
      </c>
    </row>
    <row r="105" spans="1:14" x14ac:dyDescent="0.25">
      <c r="A105" t="str">
        <f>Table3[[#This Row],[Company Name]] &amp; " - " &amp; Table3[[#This Row],[Store Name]] &amp; " - " &amp; Table3[[#This Row],[Store Branch / Address]]</f>
        <v>CHICKEN DELI - KITCHEN CITY - GENERIC</v>
      </c>
      <c r="B105" t="str">
        <f>Table3[[#This Row],[Client ID]] &amp; " - " &amp; Table3[[#This Row],[SO Number]]</f>
        <v>CHICKEN DELI - KITCHEN CITY - GENERIC - SO-011</v>
      </c>
      <c r="C105" t="s">
        <v>86</v>
      </c>
      <c r="D105" t="s">
        <v>20</v>
      </c>
      <c r="E105" t="s">
        <v>21</v>
      </c>
      <c r="F105" t="s">
        <v>15</v>
      </c>
      <c r="G105" t="s">
        <v>22</v>
      </c>
      <c r="H105" t="s">
        <v>90</v>
      </c>
      <c r="I105" t="s">
        <v>91</v>
      </c>
      <c r="J105">
        <v>2</v>
      </c>
      <c r="K105">
        <v>3675</v>
      </c>
      <c r="L105">
        <v>10500</v>
      </c>
      <c r="M105">
        <v>21000</v>
      </c>
      <c r="N105" t="s">
        <v>19</v>
      </c>
    </row>
    <row r="106" spans="1:14" x14ac:dyDescent="0.25">
      <c r="A106" t="str">
        <f>Table3[[#This Row],[Company Name]] &amp; " - " &amp; Table3[[#This Row],[Store Name]] &amp; " - " &amp; Table3[[#This Row],[Store Branch / Address]]</f>
        <v>CHICKEN DELI - KITCHEN CITY - GENERIC</v>
      </c>
      <c r="B106" t="str">
        <f>Table3[[#This Row],[Client ID]] &amp; " - " &amp; Table3[[#This Row],[SO Number]]</f>
        <v>CHICKEN DELI - KITCHEN CITY - GENERIC - SO-011</v>
      </c>
      <c r="C106" t="s">
        <v>86</v>
      </c>
      <c r="D106" t="s">
        <v>20</v>
      </c>
      <c r="E106" t="s">
        <v>21</v>
      </c>
      <c r="F106" t="s">
        <v>15</v>
      </c>
      <c r="G106" t="s">
        <v>22</v>
      </c>
      <c r="H106" t="s">
        <v>90</v>
      </c>
      <c r="I106" t="s">
        <v>92</v>
      </c>
      <c r="J106">
        <v>2</v>
      </c>
      <c r="K106">
        <v>11000</v>
      </c>
      <c r="L106">
        <v>11000</v>
      </c>
      <c r="M106">
        <v>22000</v>
      </c>
      <c r="N106" t="s">
        <v>19</v>
      </c>
    </row>
    <row r="107" spans="1:14" x14ac:dyDescent="0.25">
      <c r="A107" t="str">
        <f>Table3[[#This Row],[Company Name]] &amp; " - " &amp; Table3[[#This Row],[Store Name]] &amp; " - " &amp; Table3[[#This Row],[Store Branch / Address]]</f>
        <v>CHICKEN DELI - KITCHEN CITY - GENERIC</v>
      </c>
      <c r="B107" t="str">
        <f>Table3[[#This Row],[Client ID]] &amp; " - " &amp; Table3[[#This Row],[SO Number]]</f>
        <v>CHICKEN DELI - KITCHEN CITY - GENERIC - SO-011</v>
      </c>
      <c r="C107" t="s">
        <v>86</v>
      </c>
      <c r="D107" t="s">
        <v>20</v>
      </c>
      <c r="E107" t="s">
        <v>21</v>
      </c>
      <c r="F107" t="s">
        <v>15</v>
      </c>
      <c r="G107" t="s">
        <v>22</v>
      </c>
      <c r="H107" t="s">
        <v>90</v>
      </c>
      <c r="I107" t="s">
        <v>24</v>
      </c>
      <c r="J107">
        <v>2</v>
      </c>
      <c r="K107">
        <v>11000</v>
      </c>
      <c r="L107">
        <v>11000</v>
      </c>
      <c r="M107">
        <v>22000</v>
      </c>
      <c r="N107" t="s">
        <v>19</v>
      </c>
    </row>
    <row r="108" spans="1:14" x14ac:dyDescent="0.25">
      <c r="A108" t="str">
        <f>Table3[[#This Row],[Company Name]] &amp; " - " &amp; Table3[[#This Row],[Store Name]] &amp; " - " &amp; Table3[[#This Row],[Store Branch / Address]]</f>
        <v>CHICKEN DELI - KITCHEN CITY - GENERIC</v>
      </c>
      <c r="B108" t="str">
        <f>Table3[[#This Row],[Client ID]] &amp; " - " &amp; Table3[[#This Row],[SO Number]]</f>
        <v>CHICKEN DELI - KITCHEN CITY - GENERIC - SO-011</v>
      </c>
      <c r="C108" t="s">
        <v>86</v>
      </c>
      <c r="D108" t="s">
        <v>20</v>
      </c>
      <c r="E108" t="s">
        <v>21</v>
      </c>
      <c r="F108" t="s">
        <v>15</v>
      </c>
      <c r="G108" t="s">
        <v>22</v>
      </c>
      <c r="H108" t="s">
        <v>90</v>
      </c>
      <c r="I108" t="s">
        <v>26</v>
      </c>
      <c r="J108">
        <v>2</v>
      </c>
      <c r="K108">
        <v>500</v>
      </c>
      <c r="L108">
        <v>500</v>
      </c>
      <c r="M108">
        <v>1000</v>
      </c>
      <c r="N108" t="s">
        <v>19</v>
      </c>
    </row>
    <row r="109" spans="1:14" x14ac:dyDescent="0.25">
      <c r="A109" t="str">
        <f>Table3[[#This Row],[Company Name]] &amp; " - " &amp; Table3[[#This Row],[Store Name]] &amp; " - " &amp; Table3[[#This Row],[Store Branch / Address]]</f>
        <v>CHICKEN DELI - KITCHEN CITY - GENERIC</v>
      </c>
      <c r="B109" t="str">
        <f>Table3[[#This Row],[Client ID]] &amp; " - " &amp; Table3[[#This Row],[SO Number]]</f>
        <v>CHICKEN DELI - KITCHEN CITY - GENERIC - SO-011</v>
      </c>
      <c r="C109" t="s">
        <v>86</v>
      </c>
      <c r="D109" t="s">
        <v>20</v>
      </c>
      <c r="E109" t="s">
        <v>21</v>
      </c>
      <c r="F109" t="s">
        <v>15</v>
      </c>
      <c r="G109" t="s">
        <v>22</v>
      </c>
      <c r="H109" t="s">
        <v>90</v>
      </c>
      <c r="I109" t="s">
        <v>93</v>
      </c>
      <c r="J109">
        <v>2</v>
      </c>
      <c r="K109">
        <v>10750</v>
      </c>
      <c r="L109">
        <v>15000</v>
      </c>
      <c r="M109">
        <v>30000</v>
      </c>
      <c r="N109" t="s">
        <v>19</v>
      </c>
    </row>
    <row r="110" spans="1:14" x14ac:dyDescent="0.25">
      <c r="A110" t="str">
        <f>Table3[[#This Row],[Company Name]] &amp; " - " &amp; Table3[[#This Row],[Store Name]] &amp; " - " &amp; Table3[[#This Row],[Store Branch / Address]]</f>
        <v>CHICKEN DELI - KITCHEN CITY - GENERIC</v>
      </c>
      <c r="B110" t="str">
        <f>Table3[[#This Row],[Client ID]] &amp; " - " &amp; Table3[[#This Row],[SO Number]]</f>
        <v>CHICKEN DELI - KITCHEN CITY - GENERIC - SO-011</v>
      </c>
      <c r="C110" t="s">
        <v>86</v>
      </c>
      <c r="D110" t="s">
        <v>20</v>
      </c>
      <c r="E110" t="s">
        <v>21</v>
      </c>
      <c r="F110" t="s">
        <v>15</v>
      </c>
      <c r="G110" t="s">
        <v>22</v>
      </c>
      <c r="H110" t="s">
        <v>90</v>
      </c>
      <c r="I110" t="s">
        <v>94</v>
      </c>
      <c r="J110">
        <v>2</v>
      </c>
      <c r="K110">
        <v>24250</v>
      </c>
      <c r="L110">
        <v>34500</v>
      </c>
      <c r="M110">
        <v>69000</v>
      </c>
      <c r="N110" t="s">
        <v>19</v>
      </c>
    </row>
    <row r="111" spans="1:14" x14ac:dyDescent="0.25">
      <c r="A111" t="str">
        <f>Table3[[#This Row],[Company Name]] &amp; " - " &amp; Table3[[#This Row],[Store Name]] &amp; " - " &amp; Table3[[#This Row],[Store Branch / Address]]</f>
        <v>CHICKEN DELI - KITCHEN CITY - GENERIC</v>
      </c>
      <c r="B111" t="str">
        <f>Table3[[#This Row],[Client ID]] &amp; " - " &amp; Table3[[#This Row],[SO Number]]</f>
        <v>CHICKEN DELI - KITCHEN CITY - GENERIC - SO-011</v>
      </c>
      <c r="C111" t="s">
        <v>86</v>
      </c>
      <c r="D111" t="s">
        <v>20</v>
      </c>
      <c r="E111" t="s">
        <v>21</v>
      </c>
      <c r="F111" t="s">
        <v>15</v>
      </c>
      <c r="G111" t="s">
        <v>22</v>
      </c>
      <c r="H111" t="s">
        <v>90</v>
      </c>
      <c r="I111" t="s">
        <v>95</v>
      </c>
      <c r="J111">
        <v>2</v>
      </c>
      <c r="K111">
        <v>8500</v>
      </c>
      <c r="L111">
        <v>12500</v>
      </c>
      <c r="M111">
        <v>25000</v>
      </c>
      <c r="N111" t="s">
        <v>19</v>
      </c>
    </row>
    <row r="112" spans="1:14" x14ac:dyDescent="0.25">
      <c r="A112" t="str">
        <f>Table3[[#This Row],[Company Name]] &amp; " - " &amp; Table3[[#This Row],[Store Name]] &amp; " - " &amp; Table3[[#This Row],[Store Branch / Address]]</f>
        <v>CHICKEN DELI - KITCHEN CITY - GENERIC</v>
      </c>
      <c r="B112" t="str">
        <f>Table3[[#This Row],[Client ID]] &amp; " - " &amp; Table3[[#This Row],[SO Number]]</f>
        <v>CHICKEN DELI - KITCHEN CITY - GENERIC - SO-011</v>
      </c>
      <c r="C112" t="s">
        <v>86</v>
      </c>
      <c r="D112" t="s">
        <v>20</v>
      </c>
      <c r="E112" t="s">
        <v>21</v>
      </c>
      <c r="F112" t="s">
        <v>15</v>
      </c>
      <c r="G112" t="s">
        <v>22</v>
      </c>
      <c r="H112" t="s">
        <v>90</v>
      </c>
      <c r="I112" t="s">
        <v>95</v>
      </c>
      <c r="J112">
        <v>2</v>
      </c>
      <c r="K112">
        <v>8500</v>
      </c>
      <c r="L112">
        <v>12500</v>
      </c>
      <c r="M112">
        <v>25000</v>
      </c>
      <c r="N112" t="s">
        <v>19</v>
      </c>
    </row>
    <row r="113" spans="1:14" x14ac:dyDescent="0.25">
      <c r="A113" t="str">
        <f>Table3[[#This Row],[Company Name]] &amp; " - " &amp; Table3[[#This Row],[Store Name]] &amp; " - " &amp; Table3[[#This Row],[Store Branch / Address]]</f>
        <v>CHICKEN DELI - KITCHEN CITY - GENERIC</v>
      </c>
      <c r="B113" t="str">
        <f>Table3[[#This Row],[Client ID]] &amp; " - " &amp; Table3[[#This Row],[SO Number]]</f>
        <v>CHICKEN DELI - KITCHEN CITY - GENERIC - SO-011</v>
      </c>
      <c r="C113" t="s">
        <v>86</v>
      </c>
      <c r="D113" t="s">
        <v>20</v>
      </c>
      <c r="E113" t="s">
        <v>21</v>
      </c>
      <c r="F113" t="s">
        <v>15</v>
      </c>
      <c r="G113" t="s">
        <v>22</v>
      </c>
      <c r="H113" t="s">
        <v>90</v>
      </c>
      <c r="I113" t="s">
        <v>96</v>
      </c>
      <c r="J113">
        <v>2</v>
      </c>
      <c r="K113">
        <v>1350</v>
      </c>
      <c r="L113">
        <v>2000</v>
      </c>
      <c r="M113">
        <v>4000</v>
      </c>
      <c r="N113" t="s">
        <v>19</v>
      </c>
    </row>
    <row r="114" spans="1:14" x14ac:dyDescent="0.25">
      <c r="A114" t="str">
        <f>Table3[[#This Row],[Company Name]] &amp; " - " &amp; Table3[[#This Row],[Store Name]] &amp; " - " &amp; Table3[[#This Row],[Store Branch / Address]]</f>
        <v>CHICKEN DELI - KITCHEN CITY - GENERIC</v>
      </c>
      <c r="B114" t="str">
        <f>Table3[[#This Row],[Client ID]] &amp; " - " &amp; Table3[[#This Row],[SO Number]]</f>
        <v>CHICKEN DELI - KITCHEN CITY - GENERIC - SO-011</v>
      </c>
      <c r="C114" t="s">
        <v>86</v>
      </c>
      <c r="D114" t="s">
        <v>20</v>
      </c>
      <c r="E114" t="s">
        <v>21</v>
      </c>
      <c r="F114" t="s">
        <v>15</v>
      </c>
      <c r="G114" t="s">
        <v>22</v>
      </c>
      <c r="H114" t="s">
        <v>90</v>
      </c>
      <c r="I114" t="s">
        <v>97</v>
      </c>
      <c r="J114">
        <v>2</v>
      </c>
      <c r="K114">
        <v>2250</v>
      </c>
      <c r="L114">
        <v>3500</v>
      </c>
      <c r="M114">
        <v>7000</v>
      </c>
      <c r="N114" t="s">
        <v>19</v>
      </c>
    </row>
    <row r="115" spans="1:14" x14ac:dyDescent="0.25">
      <c r="A115" t="str">
        <f>Table3[[#This Row],[Company Name]] &amp; " - " &amp; Table3[[#This Row],[Store Name]] &amp; " - " &amp; Table3[[#This Row],[Store Branch / Address]]</f>
        <v>CHICKEN DELI - KITCHEN CITY - GENERIC</v>
      </c>
      <c r="B115" t="str">
        <f>Table3[[#This Row],[Client ID]] &amp; " - " &amp; Table3[[#This Row],[SO Number]]</f>
        <v>CHICKEN DELI - KITCHEN CITY - GENERIC - SO-011</v>
      </c>
      <c r="C115" t="s">
        <v>86</v>
      </c>
      <c r="D115" t="s">
        <v>20</v>
      </c>
      <c r="E115" t="s">
        <v>21</v>
      </c>
      <c r="F115" t="s">
        <v>15</v>
      </c>
      <c r="G115" t="s">
        <v>22</v>
      </c>
      <c r="H115" t="s">
        <v>90</v>
      </c>
      <c r="I115" t="s">
        <v>98</v>
      </c>
      <c r="J115">
        <v>2</v>
      </c>
      <c r="K115">
        <v>970</v>
      </c>
      <c r="L115">
        <v>1500</v>
      </c>
      <c r="M115">
        <v>3000</v>
      </c>
      <c r="N115" t="s">
        <v>19</v>
      </c>
    </row>
    <row r="116" spans="1:14" x14ac:dyDescent="0.25">
      <c r="A116" t="str">
        <f>Table3[[#This Row],[Company Name]] &amp; " - " &amp; Table3[[#This Row],[Store Name]] &amp; " - " &amp; Table3[[#This Row],[Store Branch / Address]]</f>
        <v>CHICKEN DELI - KITCHEN CITY - GENERIC</v>
      </c>
      <c r="B116" t="str">
        <f>Table3[[#This Row],[Client ID]] &amp; " - " &amp; Table3[[#This Row],[SO Number]]</f>
        <v>CHICKEN DELI - KITCHEN CITY - GENERIC - SO-011</v>
      </c>
      <c r="C116" t="s">
        <v>86</v>
      </c>
      <c r="D116" t="s">
        <v>20</v>
      </c>
      <c r="E116" t="s">
        <v>21</v>
      </c>
      <c r="F116" t="s">
        <v>15</v>
      </c>
      <c r="G116" t="s">
        <v>22</v>
      </c>
      <c r="H116" t="s">
        <v>90</v>
      </c>
      <c r="I116" t="s">
        <v>99</v>
      </c>
      <c r="J116">
        <v>2</v>
      </c>
      <c r="K116">
        <v>2800</v>
      </c>
      <c r="L116">
        <v>4000</v>
      </c>
      <c r="M116">
        <v>8000</v>
      </c>
      <c r="N116" t="s">
        <v>19</v>
      </c>
    </row>
    <row r="117" spans="1:14" x14ac:dyDescent="0.25">
      <c r="A117" t="str">
        <f>Table3[[#This Row],[Company Name]] &amp; " - " &amp; Table3[[#This Row],[Store Name]] &amp; " - " &amp; Table3[[#This Row],[Store Branch / Address]]</f>
        <v>CHICKEN DELI - KITCHEN CITY - GENERIC</v>
      </c>
      <c r="B117" t="str">
        <f>Table3[[#This Row],[Client ID]] &amp; " - " &amp; Table3[[#This Row],[SO Number]]</f>
        <v>CHICKEN DELI - KITCHEN CITY - GENERIC - SO-011</v>
      </c>
      <c r="C117" t="s">
        <v>86</v>
      </c>
      <c r="D117" t="s">
        <v>20</v>
      </c>
      <c r="E117" t="s">
        <v>21</v>
      </c>
      <c r="F117" t="s">
        <v>15</v>
      </c>
      <c r="G117" t="s">
        <v>22</v>
      </c>
      <c r="H117" t="s">
        <v>90</v>
      </c>
      <c r="I117" t="s">
        <v>76</v>
      </c>
      <c r="J117">
        <v>1</v>
      </c>
      <c r="K117">
        <v>800</v>
      </c>
      <c r="L117">
        <v>800</v>
      </c>
      <c r="M117">
        <v>800</v>
      </c>
      <c r="N117" t="s">
        <v>19</v>
      </c>
    </row>
    <row r="118" spans="1:14" x14ac:dyDescent="0.25">
      <c r="A118" t="str">
        <f>Table3[[#This Row],[Company Name]] &amp; " - " &amp; Table3[[#This Row],[Store Name]] &amp; " - " &amp; Table3[[#This Row],[Store Branch / Address]]</f>
        <v>CHICKEN DELI - BOWLING - GENERIC</v>
      </c>
      <c r="B118" t="str">
        <f>Table3[[#This Row],[Client ID]] &amp; " - " &amp; Table3[[#This Row],[SO Number]]</f>
        <v>CHICKEN DELI - BOWLING - GENERIC - SO-012</v>
      </c>
      <c r="C118" t="s">
        <v>100</v>
      </c>
      <c r="D118" t="s">
        <v>20</v>
      </c>
      <c r="E118" t="s">
        <v>103</v>
      </c>
      <c r="F118" t="s">
        <v>15</v>
      </c>
      <c r="G118" t="s">
        <v>22</v>
      </c>
      <c r="H118" t="s">
        <v>90</v>
      </c>
      <c r="I118" t="s">
        <v>96</v>
      </c>
      <c r="J118">
        <v>1</v>
      </c>
      <c r="K118">
        <v>1350</v>
      </c>
      <c r="L118">
        <v>2600</v>
      </c>
      <c r="M118">
        <v>2600</v>
      </c>
      <c r="N118" t="s">
        <v>19</v>
      </c>
    </row>
    <row r="119" spans="1:14" x14ac:dyDescent="0.25">
      <c r="A119" t="str">
        <f>Table3[[#This Row],[Company Name]] &amp; " - " &amp; Table3[[#This Row],[Store Name]] &amp; " - " &amp; Table3[[#This Row],[Store Branch / Address]]</f>
        <v>CHICKEN DELI - BOWLING - GENERIC</v>
      </c>
      <c r="B119" t="str">
        <f>Table3[[#This Row],[Client ID]] &amp; " - " &amp; Table3[[#This Row],[SO Number]]</f>
        <v>CHICKEN DELI - BOWLING - GENERIC - SO-012</v>
      </c>
      <c r="C119" t="s">
        <v>100</v>
      </c>
      <c r="D119" t="s">
        <v>20</v>
      </c>
      <c r="E119" t="s">
        <v>103</v>
      </c>
      <c r="F119" t="s">
        <v>15</v>
      </c>
      <c r="G119" t="s">
        <v>22</v>
      </c>
      <c r="H119" t="s">
        <v>90</v>
      </c>
      <c r="I119" t="s">
        <v>76</v>
      </c>
      <c r="J119">
        <v>1</v>
      </c>
      <c r="K119">
        <v>500</v>
      </c>
      <c r="L119">
        <v>500</v>
      </c>
      <c r="M119">
        <v>500</v>
      </c>
      <c r="N119" t="s">
        <v>19</v>
      </c>
    </row>
    <row r="120" spans="1:14" x14ac:dyDescent="0.25">
      <c r="A120" t="str">
        <f>Table3[[#This Row],[Company Name]] &amp; " - " &amp; Table3[[#This Row],[Store Name]] &amp; " - " &amp; Table3[[#This Row],[Store Branch / Address]]</f>
        <v>SAINT MICHAEL FOODS OPC NO COR YET - MALAYA'S CAFÉ - GENERIC</v>
      </c>
      <c r="B120" t="str">
        <f>Table3[[#This Row],[Client ID]] &amp; " - " &amp; Table3[[#This Row],[SO Number]]</f>
        <v>SAINT MICHAEL FOODS OPC NO COR YET - MALAYA'S CAFÉ - GENERIC - SO-014</v>
      </c>
      <c r="C120" t="s">
        <v>111</v>
      </c>
      <c r="D120" t="s">
        <v>112</v>
      </c>
      <c r="E120" t="s">
        <v>42</v>
      </c>
      <c r="F120" t="s">
        <v>15</v>
      </c>
      <c r="G120" t="s">
        <v>113</v>
      </c>
      <c r="H120" t="s">
        <v>90</v>
      </c>
      <c r="I120" t="s">
        <v>114</v>
      </c>
      <c r="J120">
        <v>1</v>
      </c>
      <c r="K120">
        <v>3675</v>
      </c>
      <c r="L120">
        <v>10500</v>
      </c>
      <c r="M120">
        <v>10500</v>
      </c>
      <c r="N120" t="s">
        <v>19</v>
      </c>
    </row>
    <row r="121" spans="1:14" x14ac:dyDescent="0.25">
      <c r="A121" t="str">
        <f>Table3[[#This Row],[Company Name]] &amp; " - " &amp; Table3[[#This Row],[Store Name]] &amp; " - " &amp; Table3[[#This Row],[Store Branch / Address]]</f>
        <v>SAINT MICHAEL FOODS OPC NO COR YET - MALAYA'S CAFÉ - GENERIC</v>
      </c>
      <c r="B121" t="str">
        <f>Table3[[#This Row],[Client ID]] &amp; " - " &amp; Table3[[#This Row],[SO Number]]</f>
        <v>SAINT MICHAEL FOODS OPC NO COR YET - MALAYA'S CAFÉ - GENERIC - SO-014</v>
      </c>
      <c r="C121" t="s">
        <v>111</v>
      </c>
      <c r="D121" t="s">
        <v>112</v>
      </c>
      <c r="E121" t="s">
        <v>42</v>
      </c>
      <c r="F121" t="s">
        <v>15</v>
      </c>
      <c r="G121" t="s">
        <v>113</v>
      </c>
      <c r="H121" t="s">
        <v>90</v>
      </c>
      <c r="I121" t="s">
        <v>48</v>
      </c>
      <c r="J121">
        <v>1</v>
      </c>
      <c r="K121">
        <v>2975</v>
      </c>
      <c r="L121">
        <v>8500</v>
      </c>
      <c r="M121">
        <v>8500</v>
      </c>
      <c r="N121" t="s">
        <v>19</v>
      </c>
    </row>
    <row r="122" spans="1:14" x14ac:dyDescent="0.25">
      <c r="A122" t="str">
        <f>Table3[[#This Row],[Company Name]] &amp; " - " &amp; Table3[[#This Row],[Store Name]] &amp; " - " &amp; Table3[[#This Row],[Store Branch / Address]]</f>
        <v>SAINT MICHAEL FOODS OPC NO COR YET - MALAYA'S CAFÉ - GENERIC</v>
      </c>
      <c r="B122" t="str">
        <f>Table3[[#This Row],[Client ID]] &amp; " - " &amp; Table3[[#This Row],[SO Number]]</f>
        <v>SAINT MICHAEL FOODS OPC NO COR YET - MALAYA'S CAFÉ - GENERIC - SO-014</v>
      </c>
      <c r="C122" t="s">
        <v>111</v>
      </c>
      <c r="D122" t="s">
        <v>112</v>
      </c>
      <c r="E122" t="s">
        <v>42</v>
      </c>
      <c r="F122" t="s">
        <v>15</v>
      </c>
      <c r="G122" t="s">
        <v>113</v>
      </c>
      <c r="H122" t="s">
        <v>90</v>
      </c>
      <c r="I122" t="s">
        <v>24</v>
      </c>
      <c r="J122">
        <v>1</v>
      </c>
      <c r="K122">
        <v>2975</v>
      </c>
      <c r="L122">
        <v>8500</v>
      </c>
      <c r="M122">
        <v>8500</v>
      </c>
      <c r="N122" t="s">
        <v>19</v>
      </c>
    </row>
    <row r="123" spans="1:14" x14ac:dyDescent="0.25">
      <c r="A123" t="str">
        <f>Table3[[#This Row],[Company Name]] &amp; " - " &amp; Table3[[#This Row],[Store Name]] &amp; " - " &amp; Table3[[#This Row],[Store Branch / Address]]</f>
        <v>SAINT MICHAEL FOODS OPC NO COR YET - MALAYA'S CAFÉ - GENERIC</v>
      </c>
      <c r="B123" t="str">
        <f>Table3[[#This Row],[Client ID]] &amp; " - " &amp; Table3[[#This Row],[SO Number]]</f>
        <v>SAINT MICHAEL FOODS OPC NO COR YET - MALAYA'S CAFÉ - GENERIC - SO-014</v>
      </c>
      <c r="C123" t="s">
        <v>111</v>
      </c>
      <c r="D123" t="s">
        <v>112</v>
      </c>
      <c r="E123" t="s">
        <v>42</v>
      </c>
      <c r="F123" t="s">
        <v>15</v>
      </c>
      <c r="G123" t="s">
        <v>113</v>
      </c>
      <c r="H123" t="s">
        <v>90</v>
      </c>
      <c r="I123" t="s">
        <v>26</v>
      </c>
      <c r="J123">
        <v>1</v>
      </c>
      <c r="K123">
        <v>500</v>
      </c>
      <c r="L123">
        <v>500</v>
      </c>
      <c r="M123">
        <v>500</v>
      </c>
      <c r="N123" t="s">
        <v>19</v>
      </c>
    </row>
    <row r="124" spans="1:14" x14ac:dyDescent="0.25">
      <c r="A124" t="str">
        <f>Table3[[#This Row],[Company Name]] &amp; " - " &amp; Table3[[#This Row],[Store Name]] &amp; " - " &amp; Table3[[#This Row],[Store Branch / Address]]</f>
        <v>SAINT MICHAEL FOODS OPC NO COR YET - MALAYA'S CAFÉ - GENERIC</v>
      </c>
      <c r="B124" t="str">
        <f>Table3[[#This Row],[Client ID]] &amp; " - " &amp; Table3[[#This Row],[SO Number]]</f>
        <v>SAINT MICHAEL FOODS OPC NO COR YET - MALAYA'S CAFÉ - GENERIC - SO-014</v>
      </c>
      <c r="C124" t="s">
        <v>111</v>
      </c>
      <c r="D124" t="s">
        <v>112</v>
      </c>
      <c r="E124" t="s">
        <v>42</v>
      </c>
      <c r="F124" t="s">
        <v>15</v>
      </c>
      <c r="G124" t="s">
        <v>113</v>
      </c>
      <c r="H124" t="s">
        <v>90</v>
      </c>
      <c r="I124" t="s">
        <v>97</v>
      </c>
      <c r="J124">
        <v>1</v>
      </c>
      <c r="K124">
        <v>2250</v>
      </c>
      <c r="L124">
        <v>3000</v>
      </c>
      <c r="M124">
        <v>3000</v>
      </c>
      <c r="N124" t="s">
        <v>19</v>
      </c>
    </row>
    <row r="125" spans="1:14" x14ac:dyDescent="0.25">
      <c r="A125" t="str">
        <f>Table3[[#This Row],[Company Name]] &amp; " - " &amp; Table3[[#This Row],[Store Name]] &amp; " - " &amp; Table3[[#This Row],[Store Branch / Address]]</f>
        <v>SAINT MICHAEL FOODS OPC NO COR YET - MALAYA'S CAFÉ - GENERIC</v>
      </c>
      <c r="B125" t="str">
        <f>Table3[[#This Row],[Client ID]] &amp; " - " &amp; Table3[[#This Row],[SO Number]]</f>
        <v>SAINT MICHAEL FOODS OPC NO COR YET - MALAYA'S CAFÉ - GENERIC - SO-014</v>
      </c>
      <c r="C125" t="s">
        <v>111</v>
      </c>
      <c r="D125" t="s">
        <v>112</v>
      </c>
      <c r="E125" t="s">
        <v>42</v>
      </c>
      <c r="F125" t="s">
        <v>15</v>
      </c>
      <c r="G125" t="s">
        <v>113</v>
      </c>
      <c r="H125" t="s">
        <v>90</v>
      </c>
      <c r="I125" t="s">
        <v>38</v>
      </c>
      <c r="J125">
        <v>1</v>
      </c>
      <c r="K125">
        <v>8500</v>
      </c>
      <c r="L125">
        <v>11500</v>
      </c>
      <c r="M125">
        <v>11500</v>
      </c>
      <c r="N125" t="s">
        <v>19</v>
      </c>
    </row>
    <row r="126" spans="1:14" x14ac:dyDescent="0.25">
      <c r="A126" t="str">
        <f>Table3[[#This Row],[Company Name]] &amp; " - " &amp; Table3[[#This Row],[Store Name]] &amp; " - " &amp; Table3[[#This Row],[Store Branch / Address]]</f>
        <v>SAINT MICHAEL FOODS OPC NO COR YET - MALAYA'S CAFÉ - GENERIC</v>
      </c>
      <c r="B126" t="str">
        <f>Table3[[#This Row],[Client ID]] &amp; " - " &amp; Table3[[#This Row],[SO Number]]</f>
        <v>SAINT MICHAEL FOODS OPC NO COR YET - MALAYA'S CAFÉ - GENERIC - SO-014</v>
      </c>
      <c r="C126" t="s">
        <v>111</v>
      </c>
      <c r="D126" t="s">
        <v>112</v>
      </c>
      <c r="E126" t="s">
        <v>42</v>
      </c>
      <c r="F126" t="s">
        <v>15</v>
      </c>
      <c r="G126" t="s">
        <v>113</v>
      </c>
      <c r="H126" t="s">
        <v>90</v>
      </c>
      <c r="I126" t="s">
        <v>115</v>
      </c>
      <c r="J126">
        <v>1</v>
      </c>
      <c r="K126">
        <v>10750</v>
      </c>
      <c r="L126">
        <v>15000</v>
      </c>
      <c r="M126">
        <v>15000</v>
      </c>
      <c r="N126" t="s">
        <v>19</v>
      </c>
    </row>
    <row r="127" spans="1:14" x14ac:dyDescent="0.25">
      <c r="A127" t="str">
        <f>Table3[[#This Row],[Company Name]] &amp; " - " &amp; Table3[[#This Row],[Store Name]] &amp; " - " &amp; Table3[[#This Row],[Store Branch / Address]]</f>
        <v>SAINT MICHAEL FOODS OPC NO COR YET - MALAYA'S CAFÉ - GENERIC</v>
      </c>
      <c r="B127" t="str">
        <f>Table3[[#This Row],[Client ID]] &amp; " - " &amp; Table3[[#This Row],[SO Number]]</f>
        <v>SAINT MICHAEL FOODS OPC NO COR YET - MALAYA'S CAFÉ - GENERIC - SO-014</v>
      </c>
      <c r="C127" t="s">
        <v>111</v>
      </c>
      <c r="D127" t="s">
        <v>112</v>
      </c>
      <c r="E127" t="s">
        <v>42</v>
      </c>
      <c r="F127" t="s">
        <v>15</v>
      </c>
      <c r="G127" t="s">
        <v>113</v>
      </c>
      <c r="H127" t="s">
        <v>90</v>
      </c>
      <c r="I127" t="s">
        <v>116</v>
      </c>
      <c r="J127">
        <v>1</v>
      </c>
      <c r="K127">
        <v>2185</v>
      </c>
      <c r="L127">
        <v>3000</v>
      </c>
      <c r="M127">
        <v>3000</v>
      </c>
      <c r="N127" t="s">
        <v>19</v>
      </c>
    </row>
    <row r="128" spans="1:14" x14ac:dyDescent="0.25">
      <c r="A128" t="str">
        <f>Table3[[#This Row],[Company Name]] &amp; " - " &amp; Table3[[#This Row],[Store Name]] &amp; " - " &amp; Table3[[#This Row],[Store Branch / Address]]</f>
        <v>SAINT MICHAEL FOODS OPC NO COR YET - MALAYA'S CAFÉ - GENERIC</v>
      </c>
      <c r="B128" t="str">
        <f>Table3[[#This Row],[Client ID]] &amp; " - " &amp; Table3[[#This Row],[SO Number]]</f>
        <v>SAINT MICHAEL FOODS OPC NO COR YET - MALAYA'S CAFÉ - GENERIC - SO-014</v>
      </c>
      <c r="C128" t="s">
        <v>111</v>
      </c>
      <c r="D128" t="s">
        <v>112</v>
      </c>
      <c r="E128" t="s">
        <v>42</v>
      </c>
      <c r="F128" t="s">
        <v>15</v>
      </c>
      <c r="G128" t="s">
        <v>113</v>
      </c>
      <c r="H128" t="s">
        <v>90</v>
      </c>
      <c r="I128" t="s">
        <v>117</v>
      </c>
      <c r="J128">
        <v>1</v>
      </c>
      <c r="K128">
        <v>21500</v>
      </c>
      <c r="L128">
        <v>32000</v>
      </c>
      <c r="M128">
        <v>32000</v>
      </c>
      <c r="N128" t="s">
        <v>19</v>
      </c>
    </row>
    <row r="129" spans="1:14" x14ac:dyDescent="0.25">
      <c r="A129" t="str">
        <f>Table3[[#This Row],[Company Name]] &amp; " - " &amp; Table3[[#This Row],[Store Name]] &amp; " - " &amp; Table3[[#This Row],[Store Branch / Address]]</f>
        <v>SAINT MICHAEL FOODS OPC NO COR YET - MALAYA'S CAFÉ - GENERIC</v>
      </c>
      <c r="B129" t="str">
        <f>Table3[[#This Row],[Client ID]] &amp; " - " &amp; Table3[[#This Row],[SO Number]]</f>
        <v>SAINT MICHAEL FOODS OPC NO COR YET - MALAYA'S CAFÉ - GENERIC - SO-014</v>
      </c>
      <c r="C129" t="s">
        <v>111</v>
      </c>
      <c r="D129" t="s">
        <v>112</v>
      </c>
      <c r="E129" t="s">
        <v>42</v>
      </c>
      <c r="F129" t="s">
        <v>15</v>
      </c>
      <c r="G129" t="s">
        <v>113</v>
      </c>
      <c r="H129" t="s">
        <v>90</v>
      </c>
      <c r="I129" t="s">
        <v>118</v>
      </c>
      <c r="J129">
        <v>1</v>
      </c>
      <c r="K129">
        <v>2500</v>
      </c>
      <c r="L129">
        <v>3500</v>
      </c>
      <c r="M129">
        <v>3500</v>
      </c>
      <c r="N129" t="s">
        <v>19</v>
      </c>
    </row>
    <row r="130" spans="1:14" x14ac:dyDescent="0.25">
      <c r="A130" t="str">
        <f>Table3[[#This Row],[Company Name]] &amp; " - " &amp; Table3[[#This Row],[Store Name]] &amp; " - " &amp; Table3[[#This Row],[Store Branch / Address]]</f>
        <v>LIGHTERS GALORE - LIGHTERS GALORE - GATEWAY</v>
      </c>
      <c r="B130" t="str">
        <f>Table3[[#This Row],[Client ID]] &amp; " - " &amp; Table3[[#This Row],[SO Number]]</f>
        <v>LIGHTERS GALORE - LIGHTERS GALORE - GATEWAY - SO-010</v>
      </c>
      <c r="C130" t="s">
        <v>80</v>
      </c>
      <c r="D130" t="s">
        <v>1037</v>
      </c>
      <c r="E130" t="s">
        <v>1037</v>
      </c>
      <c r="F130" t="s">
        <v>647</v>
      </c>
      <c r="G130" t="s">
        <v>37</v>
      </c>
      <c r="H130" t="s">
        <v>90</v>
      </c>
      <c r="I130" t="s">
        <v>501</v>
      </c>
      <c r="J130">
        <v>3</v>
      </c>
      <c r="K130">
        <v>70</v>
      </c>
      <c r="L130">
        <v>250</v>
      </c>
      <c r="M130">
        <v>750</v>
      </c>
      <c r="N130" t="s">
        <v>1010</v>
      </c>
    </row>
    <row r="131" spans="1:14" x14ac:dyDescent="0.25">
      <c r="A131" t="str">
        <f>Table3[[#This Row],[Company Name]] &amp; " - " &amp; Table3[[#This Row],[Store Name]] &amp; " - " &amp; Table3[[#This Row],[Store Branch / Address]]</f>
        <v>CHICKEN DELI - FOODEXPRESS - GENERIC</v>
      </c>
      <c r="B131" t="str">
        <f>Table3[[#This Row],[Client ID]] &amp; " - " &amp; Table3[[#This Row],[SO Number]]</f>
        <v>CHICKEN DELI - FOODEXPRESS - GENERIC - SO-013</v>
      </c>
      <c r="C131" t="s">
        <v>104</v>
      </c>
      <c r="D131" t="s">
        <v>20</v>
      </c>
      <c r="E131" t="s">
        <v>105</v>
      </c>
      <c r="F131" t="s">
        <v>15</v>
      </c>
      <c r="G131" t="s">
        <v>22</v>
      </c>
      <c r="H131" t="s">
        <v>106</v>
      </c>
      <c r="I131" t="s">
        <v>93</v>
      </c>
      <c r="J131">
        <v>1</v>
      </c>
      <c r="K131">
        <v>10750</v>
      </c>
      <c r="L131">
        <v>16500</v>
      </c>
      <c r="M131">
        <v>16500</v>
      </c>
      <c r="N131" t="s">
        <v>19</v>
      </c>
    </row>
    <row r="132" spans="1:14" x14ac:dyDescent="0.25">
      <c r="A132" t="str">
        <f>Table3[[#This Row],[Company Name]] &amp; " - " &amp; Table3[[#This Row],[Store Name]] &amp; " - " &amp; Table3[[#This Row],[Store Branch / Address]]</f>
        <v>LIPA GRILLE RESTAURANT CO - LIPA GRILLE - GENERIC</v>
      </c>
      <c r="B132" t="str">
        <f>Table3[[#This Row],[Client ID]] &amp; " - " &amp; Table3[[#This Row],[SO Number]]</f>
        <v>LIPA GRILLE RESTAURANT CO - LIPA GRILLE - GENERIC - SO-015</v>
      </c>
      <c r="C132" t="s">
        <v>122</v>
      </c>
      <c r="D132" t="s">
        <v>123</v>
      </c>
      <c r="E132" t="s">
        <v>124</v>
      </c>
      <c r="F132" t="s">
        <v>15</v>
      </c>
      <c r="G132" t="s">
        <v>16</v>
      </c>
      <c r="H132" t="s">
        <v>106</v>
      </c>
      <c r="I132" t="s">
        <v>125</v>
      </c>
      <c r="J132">
        <v>2</v>
      </c>
      <c r="K132">
        <v>7350</v>
      </c>
      <c r="L132">
        <v>10500</v>
      </c>
      <c r="M132">
        <v>21000</v>
      </c>
      <c r="N132" t="s">
        <v>19</v>
      </c>
    </row>
    <row r="133" spans="1:14" x14ac:dyDescent="0.25">
      <c r="A133" t="str">
        <f>Table3[[#This Row],[Company Name]] &amp; " - " &amp; Table3[[#This Row],[Store Name]] &amp; " - " &amp; Table3[[#This Row],[Store Branch / Address]]</f>
        <v>LIPA GRILLE RESTAURANT CO - LIPA GRILLE - GENERIC</v>
      </c>
      <c r="B133" t="str">
        <f>Table3[[#This Row],[Client ID]] &amp; " - " &amp; Table3[[#This Row],[SO Number]]</f>
        <v>LIPA GRILLE RESTAURANT CO - LIPA GRILLE - GENERIC - SO-015</v>
      </c>
      <c r="C133" t="s">
        <v>122</v>
      </c>
      <c r="D133" t="s">
        <v>123</v>
      </c>
      <c r="E133" t="s">
        <v>124</v>
      </c>
      <c r="F133" t="s">
        <v>15</v>
      </c>
      <c r="G133" t="s">
        <v>16</v>
      </c>
      <c r="H133" t="s">
        <v>106</v>
      </c>
      <c r="I133" t="s">
        <v>48</v>
      </c>
      <c r="J133">
        <v>2</v>
      </c>
      <c r="K133">
        <v>10150</v>
      </c>
      <c r="L133">
        <v>14500</v>
      </c>
      <c r="M133">
        <v>29000</v>
      </c>
      <c r="N133" t="s">
        <v>19</v>
      </c>
    </row>
    <row r="134" spans="1:14" x14ac:dyDescent="0.25">
      <c r="A134" t="str">
        <f>Table3[[#This Row],[Company Name]] &amp; " - " &amp; Table3[[#This Row],[Store Name]] &amp; " - " &amp; Table3[[#This Row],[Store Branch / Address]]</f>
        <v>LIPA GRILLE RESTAURANT CO - LIPA GRILLE - GENERIC</v>
      </c>
      <c r="B134" t="str">
        <f>Table3[[#This Row],[Client ID]] &amp; " - " &amp; Table3[[#This Row],[SO Number]]</f>
        <v>LIPA GRILLE RESTAURANT CO - LIPA GRILLE - GENERIC - SO-015</v>
      </c>
      <c r="C134" t="s">
        <v>122</v>
      </c>
      <c r="D134" t="s">
        <v>123</v>
      </c>
      <c r="E134" t="s">
        <v>124</v>
      </c>
      <c r="F134" t="s">
        <v>15</v>
      </c>
      <c r="G134" t="s">
        <v>16</v>
      </c>
      <c r="H134" t="s">
        <v>106</v>
      </c>
      <c r="I134" t="s">
        <v>126</v>
      </c>
      <c r="J134">
        <v>2</v>
      </c>
      <c r="K134">
        <v>10150</v>
      </c>
      <c r="L134">
        <v>14500</v>
      </c>
      <c r="M134">
        <v>29000</v>
      </c>
      <c r="N134" t="s">
        <v>19</v>
      </c>
    </row>
    <row r="135" spans="1:14" x14ac:dyDescent="0.25">
      <c r="A135" t="str">
        <f>Table3[[#This Row],[Company Name]] &amp; " - " &amp; Table3[[#This Row],[Store Name]] &amp; " - " &amp; Table3[[#This Row],[Store Branch / Address]]</f>
        <v>LIPA GRILLE RESTAURANT CO - LIPA GRILLE - GENERIC</v>
      </c>
      <c r="B135" t="str">
        <f>Table3[[#This Row],[Client ID]] &amp; " - " &amp; Table3[[#This Row],[SO Number]]</f>
        <v>LIPA GRILLE RESTAURANT CO - LIPA GRILLE - GENERIC - SO-015</v>
      </c>
      <c r="C135" t="s">
        <v>122</v>
      </c>
      <c r="D135" t="s">
        <v>123</v>
      </c>
      <c r="E135" t="s">
        <v>124</v>
      </c>
      <c r="F135" t="s">
        <v>15</v>
      </c>
      <c r="G135" t="s">
        <v>16</v>
      </c>
      <c r="H135" t="s">
        <v>106</v>
      </c>
      <c r="I135" t="s">
        <v>50</v>
      </c>
      <c r="J135">
        <v>2</v>
      </c>
      <c r="K135">
        <v>500</v>
      </c>
      <c r="L135">
        <v>500</v>
      </c>
      <c r="M135">
        <v>1000</v>
      </c>
      <c r="N135" t="s">
        <v>19</v>
      </c>
    </row>
    <row r="136" spans="1:14" x14ac:dyDescent="0.25">
      <c r="A136" t="str">
        <f>Table3[[#This Row],[Company Name]] &amp; " - " &amp; Table3[[#This Row],[Store Name]] &amp; " - " &amp; Table3[[#This Row],[Store Branch / Address]]</f>
        <v>LIPA GRILLE RESTAURANT CO - LIPA GRILLE - GENERIC</v>
      </c>
      <c r="B136" t="str">
        <f>Table3[[#This Row],[Client ID]] &amp; " - " &amp; Table3[[#This Row],[SO Number]]</f>
        <v>LIPA GRILLE RESTAURANT CO - LIPA GRILLE - GENERIC - SO-015</v>
      </c>
      <c r="C136" t="s">
        <v>122</v>
      </c>
      <c r="D136" t="s">
        <v>123</v>
      </c>
      <c r="E136" t="s">
        <v>124</v>
      </c>
      <c r="F136" t="s">
        <v>15</v>
      </c>
      <c r="G136" t="s">
        <v>16</v>
      </c>
      <c r="H136" t="s">
        <v>106</v>
      </c>
      <c r="I136" t="s">
        <v>127</v>
      </c>
      <c r="J136">
        <v>1</v>
      </c>
      <c r="K136">
        <v>7000</v>
      </c>
      <c r="L136">
        <v>20000</v>
      </c>
      <c r="M136">
        <v>20000</v>
      </c>
      <c r="N136" t="s">
        <v>19</v>
      </c>
    </row>
    <row r="137" spans="1:14" x14ac:dyDescent="0.25">
      <c r="A137" t="str">
        <f>Table3[[#This Row],[Company Name]] &amp; " - " &amp; Table3[[#This Row],[Store Name]] &amp; " - " &amp; Table3[[#This Row],[Store Branch / Address]]</f>
        <v>LIPA GRILLE RESTAURANT CO - LIPA GRILLE - GENERIC</v>
      </c>
      <c r="B137" t="str">
        <f>Table3[[#This Row],[Client ID]] &amp; " - " &amp; Table3[[#This Row],[SO Number]]</f>
        <v>LIPA GRILLE RESTAURANT CO - LIPA GRILLE - GENERIC - SO-015</v>
      </c>
      <c r="C137" t="s">
        <v>122</v>
      </c>
      <c r="D137" t="s">
        <v>123</v>
      </c>
      <c r="E137" t="s">
        <v>124</v>
      </c>
      <c r="F137" t="s">
        <v>15</v>
      </c>
      <c r="G137" t="s">
        <v>16</v>
      </c>
      <c r="H137" t="s">
        <v>106</v>
      </c>
      <c r="I137" t="s">
        <v>60</v>
      </c>
      <c r="J137">
        <v>3</v>
      </c>
      <c r="K137">
        <v>10750</v>
      </c>
      <c r="L137">
        <v>16500</v>
      </c>
      <c r="M137">
        <v>49500</v>
      </c>
      <c r="N137" t="s">
        <v>19</v>
      </c>
    </row>
    <row r="138" spans="1:14" x14ac:dyDescent="0.25">
      <c r="A138" t="str">
        <f>Table3[[#This Row],[Company Name]] &amp; " - " &amp; Table3[[#This Row],[Store Name]] &amp; " - " &amp; Table3[[#This Row],[Store Branch / Address]]</f>
        <v>LIPA GRILLE RESTAURANT CO - LIPA GRILLE - GENERIC</v>
      </c>
      <c r="B138" t="str">
        <f>Table3[[#This Row],[Client ID]] &amp; " - " &amp; Table3[[#This Row],[SO Number]]</f>
        <v>LIPA GRILLE RESTAURANT CO - LIPA GRILLE - GENERIC - SO-015</v>
      </c>
      <c r="C138" t="s">
        <v>122</v>
      </c>
      <c r="D138" t="s">
        <v>123</v>
      </c>
      <c r="E138" t="s">
        <v>124</v>
      </c>
      <c r="F138" t="s">
        <v>15</v>
      </c>
      <c r="G138" t="s">
        <v>16</v>
      </c>
      <c r="H138" t="s">
        <v>106</v>
      </c>
      <c r="I138" t="s">
        <v>128</v>
      </c>
      <c r="J138">
        <v>1</v>
      </c>
      <c r="K138">
        <v>4250</v>
      </c>
      <c r="L138">
        <v>6000</v>
      </c>
      <c r="M138">
        <v>6000</v>
      </c>
      <c r="N138" t="s">
        <v>19</v>
      </c>
    </row>
    <row r="139" spans="1:14" x14ac:dyDescent="0.25">
      <c r="A139" t="str">
        <f>Table3[[#This Row],[Company Name]] &amp; " - " &amp; Table3[[#This Row],[Store Name]] &amp; " - " &amp; Table3[[#This Row],[Store Branch / Address]]</f>
        <v>LIPA GRILLE RESTAURANT CO - LIPA GRILLE - GENERIC</v>
      </c>
      <c r="B139" t="str">
        <f>Table3[[#This Row],[Client ID]] &amp; " - " &amp; Table3[[#This Row],[SO Number]]</f>
        <v>LIPA GRILLE RESTAURANT CO - LIPA GRILLE - GENERIC - SO-015</v>
      </c>
      <c r="C139" t="s">
        <v>122</v>
      </c>
      <c r="D139" t="s">
        <v>123</v>
      </c>
      <c r="E139" t="s">
        <v>124</v>
      </c>
      <c r="F139" t="s">
        <v>15</v>
      </c>
      <c r="G139" t="s">
        <v>16</v>
      </c>
      <c r="H139" t="s">
        <v>106</v>
      </c>
      <c r="I139" t="s">
        <v>116</v>
      </c>
      <c r="J139">
        <v>2</v>
      </c>
      <c r="K139">
        <v>2185</v>
      </c>
      <c r="L139">
        <v>3000</v>
      </c>
      <c r="M139">
        <v>6000</v>
      </c>
      <c r="N139" t="s">
        <v>19</v>
      </c>
    </row>
    <row r="140" spans="1:14" x14ac:dyDescent="0.25">
      <c r="A140" t="str">
        <f>Table3[[#This Row],[Company Name]] &amp; " - " &amp; Table3[[#This Row],[Store Name]] &amp; " - " &amp; Table3[[#This Row],[Store Branch / Address]]</f>
        <v>LIPA GRILLE RESTAURANT CO - LIPA GRILLE - GENERIC</v>
      </c>
      <c r="B140" t="str">
        <f>Table3[[#This Row],[Client ID]] &amp; " - " &amp; Table3[[#This Row],[SO Number]]</f>
        <v>LIPA GRILLE RESTAURANT CO - LIPA GRILLE - GENERIC - SO-015</v>
      </c>
      <c r="C140" t="s">
        <v>122</v>
      </c>
      <c r="D140" t="s">
        <v>123</v>
      </c>
      <c r="E140" t="s">
        <v>124</v>
      </c>
      <c r="F140" t="s">
        <v>15</v>
      </c>
      <c r="G140" t="s">
        <v>16</v>
      </c>
      <c r="H140" t="s">
        <v>106</v>
      </c>
      <c r="I140" t="s">
        <v>97</v>
      </c>
      <c r="J140">
        <v>4</v>
      </c>
      <c r="K140">
        <v>2200</v>
      </c>
      <c r="L140">
        <v>3500</v>
      </c>
      <c r="M140">
        <v>14000</v>
      </c>
      <c r="N140" t="s">
        <v>19</v>
      </c>
    </row>
    <row r="141" spans="1:14" x14ac:dyDescent="0.25">
      <c r="A141" t="str">
        <f>Table3[[#This Row],[Company Name]] &amp; " - " &amp; Table3[[#This Row],[Store Name]] &amp; " - " &amp; Table3[[#This Row],[Store Branch / Address]]</f>
        <v>LIPA GRILLE RESTAURANT CO - LIPA GRILLE - GENERIC</v>
      </c>
      <c r="B141" t="str">
        <f>Table3[[#This Row],[Client ID]] &amp; " - " &amp; Table3[[#This Row],[SO Number]]</f>
        <v>LIPA GRILLE RESTAURANT CO - LIPA GRILLE - GENERIC - SO-015</v>
      </c>
      <c r="C141" t="s">
        <v>122</v>
      </c>
      <c r="D141" t="s">
        <v>123</v>
      </c>
      <c r="E141" t="s">
        <v>124</v>
      </c>
      <c r="F141" t="s">
        <v>15</v>
      </c>
      <c r="G141" t="s">
        <v>16</v>
      </c>
      <c r="H141" t="s">
        <v>106</v>
      </c>
      <c r="I141" t="s">
        <v>129</v>
      </c>
      <c r="J141">
        <v>2</v>
      </c>
      <c r="K141">
        <v>5740.5</v>
      </c>
      <c r="L141">
        <v>8000</v>
      </c>
      <c r="M141">
        <v>16000</v>
      </c>
      <c r="N141" t="s">
        <v>19</v>
      </c>
    </row>
    <row r="142" spans="1:14" x14ac:dyDescent="0.25">
      <c r="A142" t="str">
        <f>Table3[[#This Row],[Company Name]] &amp; " - " &amp; Table3[[#This Row],[Store Name]] &amp; " - " &amp; Table3[[#This Row],[Store Branch / Address]]</f>
        <v>LIPA GRILLE RESTAURANT CO - LIPA GRILLE - GENERIC</v>
      </c>
      <c r="B142" t="str">
        <f>Table3[[#This Row],[Client ID]] &amp; " - " &amp; Table3[[#This Row],[SO Number]]</f>
        <v>LIPA GRILLE RESTAURANT CO - LIPA GRILLE - GENERIC - SO-015</v>
      </c>
      <c r="C142" t="s">
        <v>122</v>
      </c>
      <c r="D142" t="s">
        <v>123</v>
      </c>
      <c r="E142" t="s">
        <v>124</v>
      </c>
      <c r="F142" t="s">
        <v>15</v>
      </c>
      <c r="G142" t="s">
        <v>16</v>
      </c>
      <c r="H142" t="s">
        <v>106</v>
      </c>
      <c r="I142" t="s">
        <v>130</v>
      </c>
      <c r="J142">
        <v>2</v>
      </c>
      <c r="K142">
        <v>9500</v>
      </c>
      <c r="L142">
        <v>13000</v>
      </c>
      <c r="M142">
        <v>26000</v>
      </c>
      <c r="N142" t="s">
        <v>19</v>
      </c>
    </row>
    <row r="143" spans="1:14" x14ac:dyDescent="0.25">
      <c r="A143" t="str">
        <f>Table3[[#This Row],[Company Name]] &amp; " - " &amp; Table3[[#This Row],[Store Name]] &amp; " - " &amp; Table3[[#This Row],[Store Branch / Address]]</f>
        <v>LIPA GRILLE RESTAURANT CO - LIPA GRILLE - GENERIC</v>
      </c>
      <c r="B143" t="str">
        <f>Table3[[#This Row],[Client ID]] &amp; " - " &amp; Table3[[#This Row],[SO Number]]</f>
        <v>LIPA GRILLE RESTAURANT CO - LIPA GRILLE - GENERIC - SO-015</v>
      </c>
      <c r="C143" t="s">
        <v>122</v>
      </c>
      <c r="D143" t="s">
        <v>123</v>
      </c>
      <c r="E143" t="s">
        <v>124</v>
      </c>
      <c r="F143" t="s">
        <v>15</v>
      </c>
      <c r="G143" t="s">
        <v>16</v>
      </c>
      <c r="H143" t="s">
        <v>106</v>
      </c>
      <c r="I143" t="s">
        <v>131</v>
      </c>
      <c r="J143">
        <v>1</v>
      </c>
      <c r="K143">
        <v>9500</v>
      </c>
      <c r="L143">
        <v>13000</v>
      </c>
      <c r="M143">
        <v>13000</v>
      </c>
      <c r="N143" t="s">
        <v>19</v>
      </c>
    </row>
    <row r="144" spans="1:14" x14ac:dyDescent="0.25">
      <c r="A144" t="str">
        <f>Table3[[#This Row],[Company Name]] &amp; " - " &amp; Table3[[#This Row],[Store Name]] &amp; " - " &amp; Table3[[#This Row],[Store Branch / Address]]</f>
        <v>LIPA GRILLE RESTAURANT CO - LIPA GRILLE - GENERIC</v>
      </c>
      <c r="B144" t="str">
        <f>Table3[[#This Row],[Client ID]] &amp; " - " &amp; Table3[[#This Row],[SO Number]]</f>
        <v>LIPA GRILLE RESTAURANT CO - LIPA GRILLE - GENERIC - SO-015</v>
      </c>
      <c r="C144" t="s">
        <v>122</v>
      </c>
      <c r="D144" t="s">
        <v>123</v>
      </c>
      <c r="E144" t="s">
        <v>124</v>
      </c>
      <c r="F144" t="s">
        <v>15</v>
      </c>
      <c r="G144" t="s">
        <v>16</v>
      </c>
      <c r="H144" t="s">
        <v>106</v>
      </c>
      <c r="I144" t="s">
        <v>117</v>
      </c>
      <c r="J144">
        <v>4</v>
      </c>
      <c r="K144">
        <v>21500</v>
      </c>
      <c r="L144">
        <v>31075</v>
      </c>
      <c r="M144">
        <v>124300</v>
      </c>
      <c r="N144" t="s">
        <v>19</v>
      </c>
    </row>
    <row r="145" spans="1:14" x14ac:dyDescent="0.25">
      <c r="A145" t="str">
        <f>Table3[[#This Row],[Company Name]] &amp; " - " &amp; Table3[[#This Row],[Store Name]] &amp; " - " &amp; Table3[[#This Row],[Store Branch / Address]]</f>
        <v>GCU FOOD SERVICES NO COR YET - KRAKEN TAKOYAKI - GENERIC</v>
      </c>
      <c r="B145" t="str">
        <f>Table3[[#This Row],[Client ID]] &amp; " - " &amp; Table3[[#This Row],[SO Number]]</f>
        <v>GCU FOOD SERVICES NO COR YET - KRAKEN TAKOYAKI - GENERIC - SO-016</v>
      </c>
      <c r="C145" t="s">
        <v>140</v>
      </c>
      <c r="D145" t="s">
        <v>141</v>
      </c>
      <c r="E145" t="s">
        <v>142</v>
      </c>
      <c r="F145" t="s">
        <v>15</v>
      </c>
      <c r="G145" t="s">
        <v>22</v>
      </c>
      <c r="H145" t="s">
        <v>106</v>
      </c>
      <c r="I145" t="s">
        <v>143</v>
      </c>
      <c r="J145">
        <v>1</v>
      </c>
      <c r="K145">
        <v>2975</v>
      </c>
      <c r="L145">
        <v>8500</v>
      </c>
      <c r="M145">
        <v>8500</v>
      </c>
      <c r="N145" t="s">
        <v>19</v>
      </c>
    </row>
    <row r="146" spans="1:14" x14ac:dyDescent="0.25">
      <c r="A146" t="str">
        <f>Table3[[#This Row],[Company Name]] &amp; " - " &amp; Table3[[#This Row],[Store Name]] &amp; " - " &amp; Table3[[#This Row],[Store Branch / Address]]</f>
        <v>GCU FOOD SERVICES NO COR YET - KRAKEN TAKOYAKI - GENERIC</v>
      </c>
      <c r="B146" t="str">
        <f>Table3[[#This Row],[Client ID]] &amp; " - " &amp; Table3[[#This Row],[SO Number]]</f>
        <v>GCU FOOD SERVICES NO COR YET - KRAKEN TAKOYAKI - GENERIC - SO-016</v>
      </c>
      <c r="C146" t="s">
        <v>140</v>
      </c>
      <c r="D146" t="s">
        <v>141</v>
      </c>
      <c r="E146" t="s">
        <v>142</v>
      </c>
      <c r="F146" t="s">
        <v>15</v>
      </c>
      <c r="G146" t="s">
        <v>22</v>
      </c>
      <c r="H146" t="s">
        <v>106</v>
      </c>
      <c r="I146" t="s">
        <v>48</v>
      </c>
      <c r="J146">
        <v>1</v>
      </c>
      <c r="K146">
        <v>1925</v>
      </c>
      <c r="L146">
        <v>5500</v>
      </c>
      <c r="M146">
        <v>5500</v>
      </c>
      <c r="N146" t="s">
        <v>19</v>
      </c>
    </row>
    <row r="147" spans="1:14" x14ac:dyDescent="0.25">
      <c r="A147" t="str">
        <f>Table3[[#This Row],[Company Name]] &amp; " - " &amp; Table3[[#This Row],[Store Name]] &amp; " - " &amp; Table3[[#This Row],[Store Branch / Address]]</f>
        <v>GCU FOOD SERVICES NO COR YET - KRAKEN TAKOYAKI - GENERIC</v>
      </c>
      <c r="B147" t="str">
        <f>Table3[[#This Row],[Client ID]] &amp; " - " &amp; Table3[[#This Row],[SO Number]]</f>
        <v>GCU FOOD SERVICES NO COR YET - KRAKEN TAKOYAKI - GENERIC - SO-016</v>
      </c>
      <c r="C147" t="s">
        <v>140</v>
      </c>
      <c r="D147" t="s">
        <v>141</v>
      </c>
      <c r="E147" t="s">
        <v>142</v>
      </c>
      <c r="F147" t="s">
        <v>15</v>
      </c>
      <c r="G147" t="s">
        <v>22</v>
      </c>
      <c r="H147" t="s">
        <v>106</v>
      </c>
      <c r="I147" t="s">
        <v>24</v>
      </c>
      <c r="J147">
        <v>1</v>
      </c>
      <c r="K147">
        <v>1925</v>
      </c>
      <c r="L147">
        <v>5500</v>
      </c>
      <c r="M147">
        <v>5500</v>
      </c>
      <c r="N147" t="s">
        <v>19</v>
      </c>
    </row>
    <row r="148" spans="1:14" x14ac:dyDescent="0.25">
      <c r="A148" t="str">
        <f>Table3[[#This Row],[Company Name]] &amp; " - " &amp; Table3[[#This Row],[Store Name]] &amp; " - " &amp; Table3[[#This Row],[Store Branch / Address]]</f>
        <v>GCU FOOD SERVICES NO COR YET - KRAKEN TAKOYAKI - GENERIC</v>
      </c>
      <c r="B148" t="str">
        <f>Table3[[#This Row],[Client ID]] &amp; " - " &amp; Table3[[#This Row],[SO Number]]</f>
        <v>GCU FOOD SERVICES NO COR YET - KRAKEN TAKOYAKI - GENERIC - SO-016</v>
      </c>
      <c r="C148" t="s">
        <v>140</v>
      </c>
      <c r="D148" t="s">
        <v>141</v>
      </c>
      <c r="E148" t="s">
        <v>142</v>
      </c>
      <c r="F148" t="s">
        <v>15</v>
      </c>
      <c r="G148" t="s">
        <v>22</v>
      </c>
      <c r="H148" t="s">
        <v>106</v>
      </c>
      <c r="I148" t="s">
        <v>26</v>
      </c>
      <c r="J148">
        <v>1</v>
      </c>
      <c r="K148">
        <v>500</v>
      </c>
      <c r="L148">
        <v>500</v>
      </c>
      <c r="M148">
        <v>500</v>
      </c>
      <c r="N148" t="s">
        <v>19</v>
      </c>
    </row>
    <row r="149" spans="1:14" x14ac:dyDescent="0.25">
      <c r="A149" t="str">
        <f>Table3[[#This Row],[Company Name]] &amp; " - " &amp; Table3[[#This Row],[Store Name]] &amp; " - " &amp; Table3[[#This Row],[Store Branch / Address]]</f>
        <v>GCU FOOD SERVICES NO COR YET - KRAKEN TAKOYAKI - GENERIC</v>
      </c>
      <c r="B149" t="str">
        <f>Table3[[#This Row],[Client ID]] &amp; " - " &amp; Table3[[#This Row],[SO Number]]</f>
        <v>GCU FOOD SERVICES NO COR YET - KRAKEN TAKOYAKI - GENERIC - SO-016</v>
      </c>
      <c r="C149" t="s">
        <v>140</v>
      </c>
      <c r="D149" t="s">
        <v>141</v>
      </c>
      <c r="E149" t="s">
        <v>142</v>
      </c>
      <c r="F149" t="s">
        <v>15</v>
      </c>
      <c r="G149" t="s">
        <v>22</v>
      </c>
      <c r="H149" t="s">
        <v>106</v>
      </c>
      <c r="I149" t="s">
        <v>116</v>
      </c>
      <c r="J149">
        <v>1</v>
      </c>
      <c r="K149">
        <v>2185</v>
      </c>
      <c r="L149">
        <v>3500</v>
      </c>
      <c r="M149">
        <v>3500</v>
      </c>
      <c r="N149" t="s">
        <v>19</v>
      </c>
    </row>
    <row r="150" spans="1:14" x14ac:dyDescent="0.25">
      <c r="A150" t="str">
        <f>Table3[[#This Row],[Company Name]] &amp; " - " &amp; Table3[[#This Row],[Store Name]] &amp; " - " &amp; Table3[[#This Row],[Store Branch / Address]]</f>
        <v>GCU FOOD SERVICES NO COR YET - KRAKEN TAKOYAKI - GENERIC</v>
      </c>
      <c r="B150" t="str">
        <f>Table3[[#This Row],[Client ID]] &amp; " - " &amp; Table3[[#This Row],[SO Number]]</f>
        <v>GCU FOOD SERVICES NO COR YET - KRAKEN TAKOYAKI - GENERIC - SO-016</v>
      </c>
      <c r="C150" t="s">
        <v>140</v>
      </c>
      <c r="D150" t="s">
        <v>141</v>
      </c>
      <c r="E150" t="s">
        <v>142</v>
      </c>
      <c r="F150" t="s">
        <v>15</v>
      </c>
      <c r="G150" t="s">
        <v>22</v>
      </c>
      <c r="H150" t="s">
        <v>106</v>
      </c>
      <c r="I150" t="s">
        <v>38</v>
      </c>
      <c r="J150">
        <v>1</v>
      </c>
      <c r="K150">
        <v>8500</v>
      </c>
      <c r="L150">
        <v>12500</v>
      </c>
      <c r="M150">
        <v>12500</v>
      </c>
      <c r="N150" t="s">
        <v>19</v>
      </c>
    </row>
    <row r="151" spans="1:14" x14ac:dyDescent="0.25">
      <c r="A151" t="str">
        <f>Table3[[#This Row],[Company Name]] &amp; " - " &amp; Table3[[#This Row],[Store Name]] &amp; " - " &amp; Table3[[#This Row],[Store Branch / Address]]</f>
        <v>CHICKEN DELI - MN+LA APPAREL - GENERIC</v>
      </c>
      <c r="B151" t="str">
        <f>Table3[[#This Row],[Client ID]] &amp; " - " &amp; Table3[[#This Row],[SO Number]]</f>
        <v>CHICKEN DELI - MN+LA APPAREL - GENERIC - SO-014</v>
      </c>
      <c r="C151" t="s">
        <v>111</v>
      </c>
      <c r="D151" t="s">
        <v>20</v>
      </c>
      <c r="E151" t="s">
        <v>119</v>
      </c>
      <c r="F151" t="s">
        <v>15</v>
      </c>
      <c r="G151" t="s">
        <v>22</v>
      </c>
      <c r="H151" t="s">
        <v>120</v>
      </c>
      <c r="I151" t="s">
        <v>121</v>
      </c>
      <c r="J151">
        <v>50</v>
      </c>
      <c r="K151">
        <v>32</v>
      </c>
      <c r="L151">
        <v>50</v>
      </c>
      <c r="M151">
        <v>2500</v>
      </c>
      <c r="N151" t="s">
        <v>19</v>
      </c>
    </row>
    <row r="152" spans="1:14" x14ac:dyDescent="0.25">
      <c r="A152" t="str">
        <f>Table3[[#This Row],[Company Name]] &amp; " - " &amp; Table3[[#This Row],[Store Name]] &amp; " - " &amp; Table3[[#This Row],[Store Branch / Address]]</f>
        <v>CHICKEN DELI - ISSY &amp;CO. - GENERIC</v>
      </c>
      <c r="B152" t="str">
        <f>Table3[[#This Row],[Client ID]] &amp; " - " &amp; Table3[[#This Row],[SO Number]]</f>
        <v>CHICKEN DELI - ISSY &amp;CO. - GENERIC - SO-015</v>
      </c>
      <c r="C152" t="s">
        <v>122</v>
      </c>
      <c r="D152" t="s">
        <v>20</v>
      </c>
      <c r="E152" t="s">
        <v>132</v>
      </c>
      <c r="F152" t="s">
        <v>15</v>
      </c>
      <c r="G152" t="s">
        <v>22</v>
      </c>
      <c r="H152" t="s">
        <v>120</v>
      </c>
      <c r="I152" t="s">
        <v>133</v>
      </c>
      <c r="J152">
        <v>1</v>
      </c>
      <c r="K152">
        <v>3675</v>
      </c>
      <c r="L152">
        <v>10500</v>
      </c>
      <c r="M152">
        <v>10500</v>
      </c>
      <c r="N152" t="s">
        <v>19</v>
      </c>
    </row>
    <row r="153" spans="1:14" x14ac:dyDescent="0.25">
      <c r="A153" t="str">
        <f>Table3[[#This Row],[Company Name]] &amp; " - " &amp; Table3[[#This Row],[Store Name]] &amp; " - " &amp; Table3[[#This Row],[Store Branch / Address]]</f>
        <v>CHICKEN DELI - ISSY &amp;CO. - GENERIC</v>
      </c>
      <c r="B153" t="str">
        <f>Table3[[#This Row],[Client ID]] &amp; " - " &amp; Table3[[#This Row],[SO Number]]</f>
        <v>CHICKEN DELI - ISSY &amp;CO. - GENERIC - SO-015</v>
      </c>
      <c r="C153" t="s">
        <v>122</v>
      </c>
      <c r="D153" t="s">
        <v>20</v>
      </c>
      <c r="E153" t="s">
        <v>132</v>
      </c>
      <c r="F153" t="s">
        <v>15</v>
      </c>
      <c r="G153" t="s">
        <v>22</v>
      </c>
      <c r="H153" t="s">
        <v>120</v>
      </c>
      <c r="I153" t="s">
        <v>25</v>
      </c>
      <c r="J153">
        <v>1</v>
      </c>
      <c r="K153">
        <v>12800</v>
      </c>
      <c r="L153">
        <v>12800</v>
      </c>
      <c r="M153">
        <v>12800</v>
      </c>
      <c r="N153" t="s">
        <v>19</v>
      </c>
    </row>
    <row r="154" spans="1:14" x14ac:dyDescent="0.25">
      <c r="A154" t="str">
        <f>Table3[[#This Row],[Company Name]] &amp; " - " &amp; Table3[[#This Row],[Store Name]] &amp; " - " &amp; Table3[[#This Row],[Store Branch / Address]]</f>
        <v>CHICKEN DELI - ISSY &amp;CO. - GENERIC</v>
      </c>
      <c r="B154" t="str">
        <f>Table3[[#This Row],[Client ID]] &amp; " - " &amp; Table3[[#This Row],[SO Number]]</f>
        <v>CHICKEN DELI - ISSY &amp;CO. - GENERIC - SO-015</v>
      </c>
      <c r="C154" t="s">
        <v>122</v>
      </c>
      <c r="D154" t="s">
        <v>20</v>
      </c>
      <c r="E154" t="s">
        <v>132</v>
      </c>
      <c r="F154" t="s">
        <v>15</v>
      </c>
      <c r="G154" t="s">
        <v>22</v>
      </c>
      <c r="H154" t="s">
        <v>120</v>
      </c>
      <c r="I154" t="s">
        <v>24</v>
      </c>
      <c r="J154">
        <v>1</v>
      </c>
      <c r="K154">
        <v>12800</v>
      </c>
      <c r="L154">
        <v>12800</v>
      </c>
      <c r="M154">
        <v>12800</v>
      </c>
      <c r="N154" t="s">
        <v>19</v>
      </c>
    </row>
    <row r="155" spans="1:14" x14ac:dyDescent="0.25">
      <c r="A155" t="str">
        <f>Table3[[#This Row],[Company Name]] &amp; " - " &amp; Table3[[#This Row],[Store Name]] &amp; " - " &amp; Table3[[#This Row],[Store Branch / Address]]</f>
        <v>CHICKEN DELI - ISSY &amp;CO. - GENERIC</v>
      </c>
      <c r="B155" t="str">
        <f>Table3[[#This Row],[Client ID]] &amp; " - " &amp; Table3[[#This Row],[SO Number]]</f>
        <v>CHICKEN DELI - ISSY &amp;CO. - GENERIC - SO-015</v>
      </c>
      <c r="C155" t="s">
        <v>122</v>
      </c>
      <c r="D155" t="s">
        <v>20</v>
      </c>
      <c r="E155" t="s">
        <v>132</v>
      </c>
      <c r="F155" t="s">
        <v>15</v>
      </c>
      <c r="G155" t="s">
        <v>22</v>
      </c>
      <c r="H155" t="s">
        <v>120</v>
      </c>
      <c r="I155" t="s">
        <v>134</v>
      </c>
      <c r="J155">
        <v>1</v>
      </c>
      <c r="K155">
        <v>500</v>
      </c>
      <c r="L155">
        <v>500</v>
      </c>
      <c r="M155">
        <v>500</v>
      </c>
      <c r="N155" t="s">
        <v>19</v>
      </c>
    </row>
    <row r="156" spans="1:14" x14ac:dyDescent="0.25">
      <c r="A156" t="str">
        <f>Table3[[#This Row],[Company Name]] &amp; " - " &amp; Table3[[#This Row],[Store Name]] &amp; " - " &amp; Table3[[#This Row],[Store Branch / Address]]</f>
        <v>CHICKEN DELI - ISSY &amp;CO. - GENERIC</v>
      </c>
      <c r="B156" t="str">
        <f>Table3[[#This Row],[Client ID]] &amp; " - " &amp; Table3[[#This Row],[SO Number]]</f>
        <v>CHICKEN DELI - ISSY &amp;CO. - GENERIC - SO-015</v>
      </c>
      <c r="C156" t="s">
        <v>122</v>
      </c>
      <c r="D156" t="s">
        <v>20</v>
      </c>
      <c r="E156" t="s">
        <v>132</v>
      </c>
      <c r="F156" t="s">
        <v>15</v>
      </c>
      <c r="G156" t="s">
        <v>22</v>
      </c>
      <c r="H156" t="s">
        <v>120</v>
      </c>
      <c r="I156" t="s">
        <v>135</v>
      </c>
      <c r="J156">
        <v>1</v>
      </c>
      <c r="K156">
        <v>4550</v>
      </c>
      <c r="L156">
        <v>6500</v>
      </c>
      <c r="M156">
        <v>6500</v>
      </c>
      <c r="N156" t="s">
        <v>19</v>
      </c>
    </row>
    <row r="157" spans="1:14" x14ac:dyDescent="0.25">
      <c r="A157" t="str">
        <f>Table3[[#This Row],[Company Name]] &amp; " - " &amp; Table3[[#This Row],[Store Name]] &amp; " - " &amp; Table3[[#This Row],[Store Branch / Address]]</f>
        <v>CHICKEN DELI - ISSY &amp;CO. - GENERIC</v>
      </c>
      <c r="B157" t="str">
        <f>Table3[[#This Row],[Client ID]] &amp; " - " &amp; Table3[[#This Row],[SO Number]]</f>
        <v>CHICKEN DELI - ISSY &amp;CO. - GENERIC - SO-015</v>
      </c>
      <c r="C157" t="s">
        <v>122</v>
      </c>
      <c r="D157" t="s">
        <v>20</v>
      </c>
      <c r="E157" t="s">
        <v>132</v>
      </c>
      <c r="F157" t="s">
        <v>15</v>
      </c>
      <c r="G157" t="s">
        <v>22</v>
      </c>
      <c r="H157" t="s">
        <v>120</v>
      </c>
      <c r="I157" t="s">
        <v>136</v>
      </c>
      <c r="J157">
        <v>1</v>
      </c>
      <c r="K157">
        <v>8500</v>
      </c>
      <c r="L157">
        <v>12000</v>
      </c>
      <c r="M157">
        <v>12000</v>
      </c>
      <c r="N157" t="s">
        <v>19</v>
      </c>
    </row>
    <row r="158" spans="1:14" x14ac:dyDescent="0.25">
      <c r="A158" t="str">
        <f>Table3[[#This Row],[Company Name]] &amp; " - " &amp; Table3[[#This Row],[Store Name]] &amp; " - " &amp; Table3[[#This Row],[Store Branch / Address]]</f>
        <v>CHICKEN DELI - ISSY &amp;CO. - GENERIC</v>
      </c>
      <c r="B158" t="str">
        <f>Table3[[#This Row],[Client ID]] &amp; " - " &amp; Table3[[#This Row],[SO Number]]</f>
        <v>CHICKEN DELI - ISSY &amp;CO. - GENERIC - SO-015</v>
      </c>
      <c r="C158" t="s">
        <v>122</v>
      </c>
      <c r="D158" t="s">
        <v>20</v>
      </c>
      <c r="E158" t="s">
        <v>132</v>
      </c>
      <c r="F158" t="s">
        <v>15</v>
      </c>
      <c r="G158" t="s">
        <v>22</v>
      </c>
      <c r="H158" t="s">
        <v>120</v>
      </c>
      <c r="I158" t="s">
        <v>98</v>
      </c>
      <c r="J158">
        <v>1</v>
      </c>
      <c r="K158">
        <v>935</v>
      </c>
      <c r="L158">
        <v>1300</v>
      </c>
      <c r="M158">
        <v>1300</v>
      </c>
      <c r="N158" t="s">
        <v>19</v>
      </c>
    </row>
    <row r="159" spans="1:14" x14ac:dyDescent="0.25">
      <c r="A159" t="str">
        <f>Table3[[#This Row],[Company Name]] &amp; " - " &amp; Table3[[#This Row],[Store Name]] &amp; " - " &amp; Table3[[#This Row],[Store Branch / Address]]</f>
        <v>CHICKEN DELI - ISSY &amp;CO. - GENERIC</v>
      </c>
      <c r="B159" t="str">
        <f>Table3[[#This Row],[Client ID]] &amp; " - " &amp; Table3[[#This Row],[SO Number]]</f>
        <v>CHICKEN DELI - ISSY &amp;CO. - GENERIC - SO-015</v>
      </c>
      <c r="C159" t="s">
        <v>122</v>
      </c>
      <c r="D159" t="s">
        <v>20</v>
      </c>
      <c r="E159" t="s">
        <v>132</v>
      </c>
      <c r="F159" t="s">
        <v>15</v>
      </c>
      <c r="G159" t="s">
        <v>22</v>
      </c>
      <c r="H159" t="s">
        <v>120</v>
      </c>
      <c r="I159" t="s">
        <v>116</v>
      </c>
      <c r="J159">
        <v>1</v>
      </c>
      <c r="K159">
        <v>2185</v>
      </c>
      <c r="L159">
        <v>3500</v>
      </c>
      <c r="M159">
        <v>3500</v>
      </c>
      <c r="N159" t="s">
        <v>19</v>
      </c>
    </row>
    <row r="160" spans="1:14" x14ac:dyDescent="0.25">
      <c r="A160" t="str">
        <f>Table3[[#This Row],[Company Name]] &amp; " - " &amp; Table3[[#This Row],[Store Name]] &amp; " - " &amp; Table3[[#This Row],[Store Branch / Address]]</f>
        <v>CHICKEN DELI - ISSY &amp;CO. - GENERIC</v>
      </c>
      <c r="B160" t="str">
        <f>Table3[[#This Row],[Client ID]] &amp; " - " &amp; Table3[[#This Row],[SO Number]]</f>
        <v>CHICKEN DELI - ISSY &amp;CO. - GENERIC - SO-015</v>
      </c>
      <c r="C160" t="s">
        <v>122</v>
      </c>
      <c r="D160" t="s">
        <v>20</v>
      </c>
      <c r="E160" t="s">
        <v>132</v>
      </c>
      <c r="F160" t="s">
        <v>15</v>
      </c>
      <c r="G160" t="s">
        <v>22</v>
      </c>
      <c r="H160" t="s">
        <v>120</v>
      </c>
      <c r="I160" t="s">
        <v>137</v>
      </c>
      <c r="J160">
        <v>1</v>
      </c>
      <c r="K160">
        <v>2200</v>
      </c>
      <c r="L160">
        <v>3100</v>
      </c>
      <c r="M160">
        <v>3100</v>
      </c>
      <c r="N160" t="s">
        <v>19</v>
      </c>
    </row>
    <row r="161" spans="1:14" x14ac:dyDescent="0.25">
      <c r="A161" t="str">
        <f>Table3[[#This Row],[Company Name]] &amp; " - " &amp; Table3[[#This Row],[Store Name]] &amp; " - " &amp; Table3[[#This Row],[Store Branch / Address]]</f>
        <v>CHICKEN DELI - ISSY &amp;CO. - GENERIC</v>
      </c>
      <c r="B161" t="str">
        <f>Table3[[#This Row],[Client ID]] &amp; " - " &amp; Table3[[#This Row],[SO Number]]</f>
        <v>CHICKEN DELI - ISSY &amp;CO. - GENERIC - SO-015</v>
      </c>
      <c r="C161" t="s">
        <v>122</v>
      </c>
      <c r="D161" t="s">
        <v>20</v>
      </c>
      <c r="E161" t="s">
        <v>132</v>
      </c>
      <c r="F161" t="s">
        <v>15</v>
      </c>
      <c r="G161" t="s">
        <v>22</v>
      </c>
      <c r="H161" t="s">
        <v>120</v>
      </c>
      <c r="I161" t="s">
        <v>138</v>
      </c>
      <c r="J161">
        <v>1</v>
      </c>
      <c r="K161">
        <v>18700</v>
      </c>
      <c r="L161">
        <v>27000</v>
      </c>
      <c r="M161">
        <v>27000</v>
      </c>
      <c r="N161" t="s">
        <v>19</v>
      </c>
    </row>
    <row r="162" spans="1:14" x14ac:dyDescent="0.25">
      <c r="A162" t="str">
        <f>Table3[[#This Row],[Company Name]] &amp; " - " &amp; Table3[[#This Row],[Store Name]] &amp; " - " &amp; Table3[[#This Row],[Store Branch / Address]]</f>
        <v>CHICKEN DELI - ISSY &amp;CO. - GENERIC</v>
      </c>
      <c r="B162" t="str">
        <f>Table3[[#This Row],[Client ID]] &amp; " - " &amp; Table3[[#This Row],[SO Number]]</f>
        <v>CHICKEN DELI - ISSY &amp;CO. - GENERIC - SO-015</v>
      </c>
      <c r="C162" t="s">
        <v>122</v>
      </c>
      <c r="D162" t="s">
        <v>20</v>
      </c>
      <c r="E162" t="s">
        <v>132</v>
      </c>
      <c r="F162" t="s">
        <v>15</v>
      </c>
      <c r="G162" t="s">
        <v>22</v>
      </c>
      <c r="H162" t="s">
        <v>120</v>
      </c>
      <c r="I162" t="s">
        <v>139</v>
      </c>
      <c r="J162">
        <v>1</v>
      </c>
      <c r="K162">
        <v>2800</v>
      </c>
      <c r="L162">
        <v>4000</v>
      </c>
      <c r="M162">
        <v>4000</v>
      </c>
      <c r="N162" t="s">
        <v>19</v>
      </c>
    </row>
    <row r="163" spans="1:14" x14ac:dyDescent="0.25">
      <c r="A163" t="str">
        <f>Table3[[#This Row],[Company Name]] &amp; " - " &amp; Table3[[#This Row],[Store Name]] &amp; " - " &amp; Table3[[#This Row],[Store Branch / Address]]</f>
        <v>CHICKEN DELI - ISSY &amp;CO. - GENERIC</v>
      </c>
      <c r="B163" t="str">
        <f>Table3[[#This Row],[Client ID]] &amp; " - " &amp; Table3[[#This Row],[SO Number]]</f>
        <v>CHICKEN DELI - ISSY &amp;CO. - GENERIC - SO-015</v>
      </c>
      <c r="C163" t="s">
        <v>122</v>
      </c>
      <c r="D163" t="s">
        <v>20</v>
      </c>
      <c r="E163" t="s">
        <v>132</v>
      </c>
      <c r="F163" t="s">
        <v>15</v>
      </c>
      <c r="G163" t="s">
        <v>22</v>
      </c>
      <c r="H163" t="s">
        <v>120</v>
      </c>
      <c r="I163" t="s">
        <v>99</v>
      </c>
      <c r="J163">
        <v>1</v>
      </c>
      <c r="K163">
        <v>2800</v>
      </c>
      <c r="L163">
        <v>4000</v>
      </c>
      <c r="M163">
        <v>4000</v>
      </c>
      <c r="N163" t="s">
        <v>19</v>
      </c>
    </row>
    <row r="164" spans="1:14" x14ac:dyDescent="0.25">
      <c r="A164" t="str">
        <f>Table3[[#This Row],[Company Name]] &amp; " - " &amp; Table3[[#This Row],[Store Name]] &amp; " - " &amp; Table3[[#This Row],[Store Branch / Address]]</f>
        <v>CHICKEN DELI - ISSY &amp;CO. - GENERIC</v>
      </c>
      <c r="B164" t="str">
        <f>Table3[[#This Row],[Client ID]] &amp; " - " &amp; Table3[[#This Row],[SO Number]]</f>
        <v>CHICKEN DELI - ISSY &amp;CO. - GENERIC - SO-015</v>
      </c>
      <c r="C164" t="s">
        <v>122</v>
      </c>
      <c r="D164" t="s">
        <v>20</v>
      </c>
      <c r="E164" t="s">
        <v>132</v>
      </c>
      <c r="F164" t="s">
        <v>15</v>
      </c>
      <c r="G164" t="s">
        <v>22</v>
      </c>
      <c r="H164" t="s">
        <v>120</v>
      </c>
      <c r="I164" t="s">
        <v>76</v>
      </c>
      <c r="J164">
        <v>1</v>
      </c>
      <c r="K164">
        <v>500</v>
      </c>
      <c r="L164">
        <v>500</v>
      </c>
      <c r="M164">
        <v>500</v>
      </c>
      <c r="N164" t="s">
        <v>19</v>
      </c>
    </row>
    <row r="165" spans="1:14" x14ac:dyDescent="0.25">
      <c r="A165" t="str">
        <f>Table3[[#This Row],[Company Name]] &amp; " - " &amp; Table3[[#This Row],[Store Name]] &amp; " - " &amp; Table3[[#This Row],[Store Branch / Address]]</f>
        <v>CHICKEN DELI - ASIAN KITCHEN - GENERIC</v>
      </c>
      <c r="B165" t="str">
        <f>Table3[[#This Row],[Client ID]] &amp; " - " &amp; Table3[[#This Row],[SO Number]]</f>
        <v>CHICKEN DELI - ASIAN KITCHEN - GENERIC - SO-016</v>
      </c>
      <c r="C165" t="s">
        <v>140</v>
      </c>
      <c r="D165" t="s">
        <v>20</v>
      </c>
      <c r="E165" t="s">
        <v>144</v>
      </c>
      <c r="F165" t="s">
        <v>15</v>
      </c>
      <c r="G165" t="s">
        <v>22</v>
      </c>
      <c r="H165" t="s">
        <v>120</v>
      </c>
      <c r="I165" t="s">
        <v>145</v>
      </c>
      <c r="J165">
        <v>1</v>
      </c>
      <c r="K165">
        <v>2975</v>
      </c>
      <c r="L165">
        <v>8500</v>
      </c>
      <c r="M165">
        <v>8500</v>
      </c>
      <c r="N165" t="s">
        <v>19</v>
      </c>
    </row>
    <row r="166" spans="1:14" x14ac:dyDescent="0.25">
      <c r="A166" t="str">
        <f>Table3[[#This Row],[Company Name]] &amp; " - " &amp; Table3[[#This Row],[Store Name]] &amp; " - " &amp; Table3[[#This Row],[Store Branch / Address]]</f>
        <v>CHICKEN DELI - ASIAN KITCHEN - GENERIC</v>
      </c>
      <c r="B166" t="str">
        <f>Table3[[#This Row],[Client ID]] &amp; " - " &amp; Table3[[#This Row],[SO Number]]</f>
        <v>CHICKEN DELI - ASIAN KITCHEN - GENERIC - SO-016</v>
      </c>
      <c r="C166" t="s">
        <v>140</v>
      </c>
      <c r="D166" t="s">
        <v>20</v>
      </c>
      <c r="E166" t="s">
        <v>144</v>
      </c>
      <c r="F166" t="s">
        <v>15</v>
      </c>
      <c r="G166" t="s">
        <v>22</v>
      </c>
      <c r="H166" t="s">
        <v>120</v>
      </c>
      <c r="I166" t="s">
        <v>25</v>
      </c>
      <c r="J166">
        <v>1</v>
      </c>
      <c r="K166">
        <v>8000</v>
      </c>
      <c r="L166">
        <v>8000</v>
      </c>
      <c r="M166">
        <v>8000</v>
      </c>
      <c r="N166" t="s">
        <v>19</v>
      </c>
    </row>
    <row r="167" spans="1:14" x14ac:dyDescent="0.25">
      <c r="A167" t="str">
        <f>Table3[[#This Row],[Company Name]] &amp; " - " &amp; Table3[[#This Row],[Store Name]] &amp; " - " &amp; Table3[[#This Row],[Store Branch / Address]]</f>
        <v>CHICKEN DELI - ASIAN KITCHEN - GENERIC</v>
      </c>
      <c r="B167" t="str">
        <f>Table3[[#This Row],[Client ID]] &amp; " - " &amp; Table3[[#This Row],[SO Number]]</f>
        <v>CHICKEN DELI - ASIAN KITCHEN - GENERIC - SO-016</v>
      </c>
      <c r="C167" t="s">
        <v>140</v>
      </c>
      <c r="D167" t="s">
        <v>20</v>
      </c>
      <c r="E167" t="s">
        <v>144</v>
      </c>
      <c r="F167" t="s">
        <v>15</v>
      </c>
      <c r="G167" t="s">
        <v>22</v>
      </c>
      <c r="H167" t="s">
        <v>120</v>
      </c>
      <c r="I167" t="s">
        <v>24</v>
      </c>
      <c r="J167">
        <v>1</v>
      </c>
      <c r="K167">
        <v>8000</v>
      </c>
      <c r="L167">
        <v>8000</v>
      </c>
      <c r="M167">
        <v>8000</v>
      </c>
      <c r="N167" t="s">
        <v>19</v>
      </c>
    </row>
    <row r="168" spans="1:14" x14ac:dyDescent="0.25">
      <c r="A168" t="str">
        <f>Table3[[#This Row],[Company Name]] &amp; " - " &amp; Table3[[#This Row],[Store Name]] &amp; " - " &amp; Table3[[#This Row],[Store Branch / Address]]</f>
        <v>CHICKEN DELI - ASIAN KITCHEN - GENERIC</v>
      </c>
      <c r="B168" t="str">
        <f>Table3[[#This Row],[Client ID]] &amp; " - " &amp; Table3[[#This Row],[SO Number]]</f>
        <v>CHICKEN DELI - ASIAN KITCHEN - GENERIC - SO-016</v>
      </c>
      <c r="C168" t="s">
        <v>140</v>
      </c>
      <c r="D168" t="s">
        <v>20</v>
      </c>
      <c r="E168" t="s">
        <v>144</v>
      </c>
      <c r="F168" t="s">
        <v>15</v>
      </c>
      <c r="G168" t="s">
        <v>22</v>
      </c>
      <c r="H168" t="s">
        <v>120</v>
      </c>
      <c r="I168" t="s">
        <v>134</v>
      </c>
      <c r="J168">
        <v>1</v>
      </c>
      <c r="K168">
        <v>500</v>
      </c>
      <c r="L168">
        <v>500</v>
      </c>
      <c r="M168">
        <v>500</v>
      </c>
      <c r="N168" t="s">
        <v>19</v>
      </c>
    </row>
    <row r="169" spans="1:14" x14ac:dyDescent="0.25">
      <c r="A169" t="str">
        <f>Table3[[#This Row],[Company Name]] &amp; " - " &amp; Table3[[#This Row],[Store Name]] &amp; " - " &amp; Table3[[#This Row],[Store Branch / Address]]</f>
        <v>CHICKEN DELI - ASIAN KITCHEN - GENERIC</v>
      </c>
      <c r="B169" t="str">
        <f>Table3[[#This Row],[Client ID]] &amp; " - " &amp; Table3[[#This Row],[SO Number]]</f>
        <v>CHICKEN DELI - ASIAN KITCHEN - GENERIC - SO-016</v>
      </c>
      <c r="C169" t="s">
        <v>140</v>
      </c>
      <c r="D169" t="s">
        <v>20</v>
      </c>
      <c r="E169" t="s">
        <v>144</v>
      </c>
      <c r="F169" t="s">
        <v>15</v>
      </c>
      <c r="G169" t="s">
        <v>22</v>
      </c>
      <c r="H169" t="s">
        <v>120</v>
      </c>
      <c r="I169" t="s">
        <v>146</v>
      </c>
      <c r="J169">
        <v>1</v>
      </c>
      <c r="K169">
        <v>10900</v>
      </c>
      <c r="L169">
        <v>15500</v>
      </c>
      <c r="M169">
        <v>15500</v>
      </c>
      <c r="N169" t="s">
        <v>19</v>
      </c>
    </row>
    <row r="170" spans="1:14" x14ac:dyDescent="0.25">
      <c r="A170" t="str">
        <f>Table3[[#This Row],[Company Name]] &amp; " - " &amp; Table3[[#This Row],[Store Name]] &amp; " - " &amp; Table3[[#This Row],[Store Branch / Address]]</f>
        <v>CHICKEN DELI - ASIAN KITCHEN - GENERIC</v>
      </c>
      <c r="B170" t="str">
        <f>Table3[[#This Row],[Client ID]] &amp; " - " &amp; Table3[[#This Row],[SO Number]]</f>
        <v>CHICKEN DELI - ASIAN KITCHEN - GENERIC - SO-016</v>
      </c>
      <c r="C170" t="s">
        <v>140</v>
      </c>
      <c r="D170" t="s">
        <v>20</v>
      </c>
      <c r="E170" t="s">
        <v>144</v>
      </c>
      <c r="F170" t="s">
        <v>15</v>
      </c>
      <c r="G170" t="s">
        <v>22</v>
      </c>
      <c r="H170" t="s">
        <v>120</v>
      </c>
      <c r="I170" t="s">
        <v>96</v>
      </c>
      <c r="J170">
        <v>1</v>
      </c>
      <c r="K170">
        <v>2185</v>
      </c>
      <c r="L170">
        <v>3100</v>
      </c>
      <c r="M170">
        <v>3100</v>
      </c>
      <c r="N170" t="s">
        <v>19</v>
      </c>
    </row>
    <row r="171" spans="1:14" x14ac:dyDescent="0.25">
      <c r="A171" t="str">
        <f>Table3[[#This Row],[Company Name]] &amp; " - " &amp; Table3[[#This Row],[Store Name]] &amp; " - " &amp; Table3[[#This Row],[Store Branch / Address]]</f>
        <v>CHICKEN DELI - ASIAN KITCHEN - GENERIC</v>
      </c>
      <c r="B171" t="str">
        <f>Table3[[#This Row],[Client ID]] &amp; " - " &amp; Table3[[#This Row],[SO Number]]</f>
        <v>CHICKEN DELI - ASIAN KITCHEN - GENERIC - SO-016</v>
      </c>
      <c r="C171" t="s">
        <v>140</v>
      </c>
      <c r="D171" t="s">
        <v>20</v>
      </c>
      <c r="E171" t="s">
        <v>144</v>
      </c>
      <c r="F171" t="s">
        <v>15</v>
      </c>
      <c r="G171" t="s">
        <v>22</v>
      </c>
      <c r="H171" t="s">
        <v>120</v>
      </c>
      <c r="I171" t="s">
        <v>76</v>
      </c>
      <c r="J171">
        <v>1</v>
      </c>
      <c r="K171">
        <v>500</v>
      </c>
      <c r="L171">
        <v>500</v>
      </c>
      <c r="M171">
        <v>500</v>
      </c>
      <c r="N171" t="s">
        <v>19</v>
      </c>
    </row>
    <row r="172" spans="1:14" x14ac:dyDescent="0.25">
      <c r="A172" t="str">
        <f>Table3[[#This Row],[Company Name]] &amp; " - " &amp; Table3[[#This Row],[Store Name]] &amp; " - " &amp; Table3[[#This Row],[Store Branch / Address]]</f>
        <v>CHICKEN DELI - GONGCHA - GENERIC</v>
      </c>
      <c r="B172" t="str">
        <f>Table3[[#This Row],[Client ID]] &amp; " - " &amp; Table3[[#This Row],[SO Number]]</f>
        <v>CHICKEN DELI - GONGCHA - GENERIC - SO-017</v>
      </c>
      <c r="C172" t="s">
        <v>147</v>
      </c>
      <c r="D172" t="s">
        <v>20</v>
      </c>
      <c r="E172" t="s">
        <v>31</v>
      </c>
      <c r="F172" t="s">
        <v>15</v>
      </c>
      <c r="G172" t="s">
        <v>22</v>
      </c>
      <c r="H172" t="s">
        <v>153</v>
      </c>
      <c r="I172" t="s">
        <v>154</v>
      </c>
      <c r="J172">
        <v>5</v>
      </c>
      <c r="K172">
        <v>965</v>
      </c>
      <c r="L172">
        <v>1300</v>
      </c>
      <c r="M172">
        <v>6500</v>
      </c>
      <c r="N172" t="s">
        <v>19</v>
      </c>
    </row>
    <row r="173" spans="1:14" x14ac:dyDescent="0.25">
      <c r="A173" t="str">
        <f>Table3[[#This Row],[Company Name]] &amp; " - " &amp; Table3[[#This Row],[Store Name]] &amp; " - " &amp; Table3[[#This Row],[Store Branch / Address]]</f>
        <v>ICE CULINARY - CHINESE  INT'L SCHOOL - GENERIC</v>
      </c>
      <c r="B173" t="str">
        <f>Table3[[#This Row],[Client ID]] &amp; " - " &amp; Table3[[#This Row],[SO Number]]</f>
        <v>ICE CULINARY - CHINESE  INT'L SCHOOL - GENERIC - SO-018</v>
      </c>
      <c r="C173" t="s">
        <v>155</v>
      </c>
      <c r="D173" t="s">
        <v>156</v>
      </c>
      <c r="E173" t="s">
        <v>157</v>
      </c>
      <c r="F173" t="s">
        <v>15</v>
      </c>
      <c r="G173" t="s">
        <v>22</v>
      </c>
      <c r="H173" t="s">
        <v>158</v>
      </c>
      <c r="I173" t="s">
        <v>33</v>
      </c>
      <c r="J173">
        <v>1</v>
      </c>
      <c r="K173">
        <v>10000</v>
      </c>
      <c r="L173">
        <v>10000</v>
      </c>
      <c r="M173">
        <v>10000</v>
      </c>
      <c r="N173" t="s">
        <v>19</v>
      </c>
    </row>
    <row r="174" spans="1:14" x14ac:dyDescent="0.25">
      <c r="A174" t="str">
        <f>Table3[[#This Row],[Company Name]] &amp; " - " &amp; Table3[[#This Row],[Store Name]] &amp; " - " &amp; Table3[[#This Row],[Store Branch / Address]]</f>
        <v>KERDAR NIK INC - ARYA - GENERIC</v>
      </c>
      <c r="B174" t="str">
        <f>Table3[[#This Row],[Client ID]] &amp; " - " &amp; Table3[[#This Row],[SO Number]]</f>
        <v>KERDAR NIK INC - ARYA - GENERIC - SO-018</v>
      </c>
      <c r="C174" t="s">
        <v>155</v>
      </c>
      <c r="D174" t="s">
        <v>159</v>
      </c>
      <c r="E174" t="s">
        <v>160</v>
      </c>
      <c r="F174" t="s">
        <v>15</v>
      </c>
      <c r="G174" t="s">
        <v>22</v>
      </c>
      <c r="H174" t="s">
        <v>158</v>
      </c>
      <c r="I174" t="s">
        <v>161</v>
      </c>
      <c r="J174">
        <v>4</v>
      </c>
      <c r="K174">
        <v>8500</v>
      </c>
      <c r="L174">
        <v>12000</v>
      </c>
      <c r="M174">
        <v>48000</v>
      </c>
      <c r="N174" t="s">
        <v>19</v>
      </c>
    </row>
    <row r="175" spans="1:14" x14ac:dyDescent="0.25">
      <c r="A175" t="str">
        <f>Table3[[#This Row],[Company Name]] &amp; " - " &amp; Table3[[#This Row],[Store Name]] &amp; " - " &amp; Table3[[#This Row],[Store Branch / Address]]</f>
        <v>KERDAR NIK INC - ARYA - GENERIC</v>
      </c>
      <c r="B175" t="str">
        <f>Table3[[#This Row],[Client ID]] &amp; " - " &amp; Table3[[#This Row],[SO Number]]</f>
        <v>KERDAR NIK INC - ARYA - GENERIC - SO-018</v>
      </c>
      <c r="C175" t="s">
        <v>155</v>
      </c>
      <c r="D175" t="s">
        <v>159</v>
      </c>
      <c r="E175" t="s">
        <v>160</v>
      </c>
      <c r="F175" t="s">
        <v>15</v>
      </c>
      <c r="G175" t="s">
        <v>22</v>
      </c>
      <c r="H175" t="s">
        <v>158</v>
      </c>
      <c r="I175" t="s">
        <v>63</v>
      </c>
      <c r="J175">
        <v>1</v>
      </c>
      <c r="K175">
        <v>500</v>
      </c>
      <c r="L175">
        <v>500</v>
      </c>
      <c r="M175">
        <v>500</v>
      </c>
      <c r="N175" t="s">
        <v>19</v>
      </c>
    </row>
    <row r="176" spans="1:14" x14ac:dyDescent="0.25">
      <c r="A176" t="str">
        <f>Table3[[#This Row],[Company Name]] &amp; " - " &amp; Table3[[#This Row],[Store Name]] &amp; " - " &amp; Table3[[#This Row],[Store Branch / Address]]</f>
        <v>CHICKEN DELI - APT8 - GENERIC</v>
      </c>
      <c r="B176" t="str">
        <f>Table3[[#This Row],[Client ID]] &amp; " - " &amp; Table3[[#This Row],[SO Number]]</f>
        <v>CHICKEN DELI - APT8 - GENERIC - SO-019</v>
      </c>
      <c r="C176" t="s">
        <v>162</v>
      </c>
      <c r="D176" t="s">
        <v>20</v>
      </c>
      <c r="E176" t="s">
        <v>168</v>
      </c>
      <c r="F176" t="s">
        <v>15</v>
      </c>
      <c r="G176" t="s">
        <v>22</v>
      </c>
      <c r="H176" t="s">
        <v>158</v>
      </c>
      <c r="I176" t="s">
        <v>169</v>
      </c>
      <c r="J176">
        <v>1</v>
      </c>
      <c r="K176">
        <v>3675</v>
      </c>
      <c r="L176">
        <v>10500</v>
      </c>
      <c r="M176">
        <v>10500</v>
      </c>
      <c r="N176" t="s">
        <v>19</v>
      </c>
    </row>
    <row r="177" spans="1:14" x14ac:dyDescent="0.25">
      <c r="A177" t="str">
        <f>Table3[[#This Row],[Company Name]] &amp; " - " &amp; Table3[[#This Row],[Store Name]] &amp; " - " &amp; Table3[[#This Row],[Store Branch / Address]]</f>
        <v>CHICKEN DELI - APT8 - GENERIC</v>
      </c>
      <c r="B177" t="str">
        <f>Table3[[#This Row],[Client ID]] &amp; " - " &amp; Table3[[#This Row],[SO Number]]</f>
        <v>CHICKEN DELI - APT8 - GENERIC - SO-019</v>
      </c>
      <c r="C177" t="s">
        <v>162</v>
      </c>
      <c r="D177" t="s">
        <v>20</v>
      </c>
      <c r="E177" t="s">
        <v>168</v>
      </c>
      <c r="F177" t="s">
        <v>15</v>
      </c>
      <c r="G177" t="s">
        <v>22</v>
      </c>
      <c r="H177" t="s">
        <v>158</v>
      </c>
      <c r="I177" t="s">
        <v>170</v>
      </c>
      <c r="J177">
        <v>1</v>
      </c>
      <c r="K177">
        <v>4000</v>
      </c>
      <c r="L177">
        <v>4000</v>
      </c>
      <c r="M177">
        <v>4000</v>
      </c>
      <c r="N177" t="s">
        <v>19</v>
      </c>
    </row>
    <row r="178" spans="1:14" x14ac:dyDescent="0.25">
      <c r="A178" t="str">
        <f>Table3[[#This Row],[Company Name]] &amp; " - " &amp; Table3[[#This Row],[Store Name]] &amp; " - " &amp; Table3[[#This Row],[Store Branch / Address]]</f>
        <v>CHICKEN DELI - APT8 - GENERIC</v>
      </c>
      <c r="B178" t="str">
        <f>Table3[[#This Row],[Client ID]] &amp; " - " &amp; Table3[[#This Row],[SO Number]]</f>
        <v>CHICKEN DELI - APT8 - GENERIC - SO-019</v>
      </c>
      <c r="C178" t="s">
        <v>162</v>
      </c>
      <c r="D178" t="s">
        <v>20</v>
      </c>
      <c r="E178" t="s">
        <v>168</v>
      </c>
      <c r="F178" t="s">
        <v>15</v>
      </c>
      <c r="G178" t="s">
        <v>22</v>
      </c>
      <c r="H178" t="s">
        <v>158</v>
      </c>
      <c r="I178" t="s">
        <v>24</v>
      </c>
      <c r="J178">
        <v>1</v>
      </c>
      <c r="K178">
        <v>4000</v>
      </c>
      <c r="L178">
        <v>4000</v>
      </c>
      <c r="M178">
        <v>4000</v>
      </c>
      <c r="N178" t="s">
        <v>19</v>
      </c>
    </row>
    <row r="179" spans="1:14" x14ac:dyDescent="0.25">
      <c r="A179" t="str">
        <f>Table3[[#This Row],[Company Name]] &amp; " - " &amp; Table3[[#This Row],[Store Name]] &amp; " - " &amp; Table3[[#This Row],[Store Branch / Address]]</f>
        <v>CHICKEN DELI - APT8 - GENERIC</v>
      </c>
      <c r="B179" t="str">
        <f>Table3[[#This Row],[Client ID]] &amp; " - " &amp; Table3[[#This Row],[SO Number]]</f>
        <v>CHICKEN DELI - APT8 - GENERIC - SO-019</v>
      </c>
      <c r="C179" t="s">
        <v>162</v>
      </c>
      <c r="D179" t="s">
        <v>20</v>
      </c>
      <c r="E179" t="s">
        <v>168</v>
      </c>
      <c r="F179" t="s">
        <v>15</v>
      </c>
      <c r="G179" t="s">
        <v>22</v>
      </c>
      <c r="H179" t="s">
        <v>158</v>
      </c>
      <c r="I179" t="s">
        <v>171</v>
      </c>
      <c r="J179">
        <v>1</v>
      </c>
      <c r="K179">
        <v>500</v>
      </c>
      <c r="L179">
        <v>500</v>
      </c>
      <c r="M179">
        <v>500</v>
      </c>
      <c r="N179" t="s">
        <v>19</v>
      </c>
    </row>
    <row r="180" spans="1:14" x14ac:dyDescent="0.25">
      <c r="A180" t="str">
        <f>Table3[[#This Row],[Company Name]] &amp; " - " &amp; Table3[[#This Row],[Store Name]] &amp; " - " &amp; Table3[[#This Row],[Store Branch / Address]]</f>
        <v>CHICKEN DELI - APT8 - GENERIC</v>
      </c>
      <c r="B180" t="str">
        <f>Table3[[#This Row],[Client ID]] &amp; " - " &amp; Table3[[#This Row],[SO Number]]</f>
        <v>CHICKEN DELI - APT8 - GENERIC - SO-020</v>
      </c>
      <c r="C180" t="s">
        <v>172</v>
      </c>
      <c r="D180" t="s">
        <v>20</v>
      </c>
      <c r="E180" t="s">
        <v>168</v>
      </c>
      <c r="F180" t="s">
        <v>15</v>
      </c>
      <c r="G180" t="s">
        <v>22</v>
      </c>
      <c r="H180" t="s">
        <v>158</v>
      </c>
      <c r="I180" t="s">
        <v>169</v>
      </c>
      <c r="J180">
        <v>1</v>
      </c>
      <c r="K180">
        <v>3675</v>
      </c>
      <c r="L180">
        <v>10500</v>
      </c>
      <c r="M180">
        <v>10500</v>
      </c>
      <c r="N180" t="s">
        <v>19</v>
      </c>
    </row>
    <row r="181" spans="1:14" x14ac:dyDescent="0.25">
      <c r="A181" t="str">
        <f>Table3[[#This Row],[Company Name]] &amp; " - " &amp; Table3[[#This Row],[Store Name]] &amp; " - " &amp; Table3[[#This Row],[Store Branch / Address]]</f>
        <v>CHICKEN DELI - APT8 - GENERIC</v>
      </c>
      <c r="B181" t="str">
        <f>Table3[[#This Row],[Client ID]] &amp; " - " &amp; Table3[[#This Row],[SO Number]]</f>
        <v>CHICKEN DELI - APT8 - GENERIC - SO-020</v>
      </c>
      <c r="C181" t="s">
        <v>172</v>
      </c>
      <c r="D181" t="s">
        <v>20</v>
      </c>
      <c r="E181" t="s">
        <v>168</v>
      </c>
      <c r="F181" t="s">
        <v>15</v>
      </c>
      <c r="G181" t="s">
        <v>22</v>
      </c>
      <c r="H181" t="s">
        <v>158</v>
      </c>
      <c r="I181" t="s">
        <v>170</v>
      </c>
      <c r="J181">
        <v>1</v>
      </c>
      <c r="K181">
        <v>4000</v>
      </c>
      <c r="L181">
        <v>4000</v>
      </c>
      <c r="M181">
        <v>4000</v>
      </c>
      <c r="N181" t="s">
        <v>19</v>
      </c>
    </row>
    <row r="182" spans="1:14" x14ac:dyDescent="0.25">
      <c r="A182" t="str">
        <f>Table3[[#This Row],[Company Name]] &amp; " - " &amp; Table3[[#This Row],[Store Name]] &amp; " - " &amp; Table3[[#This Row],[Store Branch / Address]]</f>
        <v>CHICKEN DELI - APT8 - GENERIC</v>
      </c>
      <c r="B182" t="str">
        <f>Table3[[#This Row],[Client ID]] &amp; " - " &amp; Table3[[#This Row],[SO Number]]</f>
        <v>CHICKEN DELI - APT8 - GENERIC - SO-020</v>
      </c>
      <c r="C182" t="s">
        <v>172</v>
      </c>
      <c r="D182" t="s">
        <v>20</v>
      </c>
      <c r="E182" t="s">
        <v>168</v>
      </c>
      <c r="F182" t="s">
        <v>15</v>
      </c>
      <c r="G182" t="s">
        <v>22</v>
      </c>
      <c r="H182" t="s">
        <v>158</v>
      </c>
      <c r="I182" t="s">
        <v>24</v>
      </c>
      <c r="J182">
        <v>1</v>
      </c>
      <c r="K182">
        <v>4000</v>
      </c>
      <c r="L182">
        <v>4000</v>
      </c>
      <c r="M182">
        <v>4000</v>
      </c>
      <c r="N182" t="s">
        <v>19</v>
      </c>
    </row>
    <row r="183" spans="1:14" x14ac:dyDescent="0.25">
      <c r="A183" t="str">
        <f>Table3[[#This Row],[Company Name]] &amp; " - " &amp; Table3[[#This Row],[Store Name]] &amp; " - " &amp; Table3[[#This Row],[Store Branch / Address]]</f>
        <v>CHICKEN DELI - APT8 - GENERIC</v>
      </c>
      <c r="B183" t="str">
        <f>Table3[[#This Row],[Client ID]] &amp; " - " &amp; Table3[[#This Row],[SO Number]]</f>
        <v>CHICKEN DELI - APT8 - GENERIC - SO-020</v>
      </c>
      <c r="C183" t="s">
        <v>172</v>
      </c>
      <c r="D183" t="s">
        <v>20</v>
      </c>
      <c r="E183" t="s">
        <v>168</v>
      </c>
      <c r="F183" t="s">
        <v>15</v>
      </c>
      <c r="G183" t="s">
        <v>22</v>
      </c>
      <c r="H183" t="s">
        <v>158</v>
      </c>
      <c r="I183" t="s">
        <v>171</v>
      </c>
      <c r="J183">
        <v>1</v>
      </c>
      <c r="K183">
        <v>500</v>
      </c>
      <c r="L183">
        <v>500</v>
      </c>
      <c r="M183">
        <v>500</v>
      </c>
      <c r="N183" t="s">
        <v>19</v>
      </c>
    </row>
    <row r="184" spans="1:14" x14ac:dyDescent="0.25">
      <c r="A184" t="str">
        <f>Table3[[#This Row],[Company Name]] &amp; " - " &amp; Table3[[#This Row],[Store Name]] &amp; " - " &amp; Table3[[#This Row],[Store Branch / Address]]</f>
        <v>CHICKEN DELI - APT8 - GENERIC</v>
      </c>
      <c r="B184" t="str">
        <f>Table3[[#This Row],[Client ID]] &amp; " - " &amp; Table3[[#This Row],[SO Number]]</f>
        <v>CHICKEN DELI - APT8 - GENERIC - SO-021</v>
      </c>
      <c r="C184" t="s">
        <v>178</v>
      </c>
      <c r="D184" t="s">
        <v>20</v>
      </c>
      <c r="E184" t="s">
        <v>168</v>
      </c>
      <c r="F184" t="s">
        <v>15</v>
      </c>
      <c r="G184" t="s">
        <v>22</v>
      </c>
      <c r="H184" t="s">
        <v>158</v>
      </c>
      <c r="I184" t="s">
        <v>169</v>
      </c>
      <c r="J184">
        <v>1</v>
      </c>
      <c r="K184">
        <v>3675</v>
      </c>
      <c r="L184">
        <v>10500</v>
      </c>
      <c r="M184">
        <v>10500</v>
      </c>
      <c r="N184" t="s">
        <v>19</v>
      </c>
    </row>
    <row r="185" spans="1:14" x14ac:dyDescent="0.25">
      <c r="A185" t="str">
        <f>Table3[[#This Row],[Company Name]] &amp; " - " &amp; Table3[[#This Row],[Store Name]] &amp; " - " &amp; Table3[[#This Row],[Store Branch / Address]]</f>
        <v>CHICKEN DELI - APT8 - GENERIC</v>
      </c>
      <c r="B185" t="str">
        <f>Table3[[#This Row],[Client ID]] &amp; " - " &amp; Table3[[#This Row],[SO Number]]</f>
        <v>CHICKEN DELI - APT8 - GENERIC - SO-021</v>
      </c>
      <c r="C185" t="s">
        <v>178</v>
      </c>
      <c r="D185" t="s">
        <v>20</v>
      </c>
      <c r="E185" t="s">
        <v>168</v>
      </c>
      <c r="F185" t="s">
        <v>15</v>
      </c>
      <c r="G185" t="s">
        <v>22</v>
      </c>
      <c r="H185" t="s">
        <v>158</v>
      </c>
      <c r="I185" t="s">
        <v>170</v>
      </c>
      <c r="J185">
        <v>1</v>
      </c>
      <c r="K185">
        <v>4750</v>
      </c>
      <c r="L185">
        <v>4750</v>
      </c>
      <c r="M185">
        <v>4750</v>
      </c>
      <c r="N185" t="s">
        <v>19</v>
      </c>
    </row>
    <row r="186" spans="1:14" x14ac:dyDescent="0.25">
      <c r="A186" t="str">
        <f>Table3[[#This Row],[Company Name]] &amp; " - " &amp; Table3[[#This Row],[Store Name]] &amp; " - " &amp; Table3[[#This Row],[Store Branch / Address]]</f>
        <v>CHICKEN DELI - APT8 - GENERIC</v>
      </c>
      <c r="B186" t="str">
        <f>Table3[[#This Row],[Client ID]] &amp; " - " &amp; Table3[[#This Row],[SO Number]]</f>
        <v>CHICKEN DELI - APT8 - GENERIC - SO-021</v>
      </c>
      <c r="C186" t="s">
        <v>178</v>
      </c>
      <c r="D186" t="s">
        <v>20</v>
      </c>
      <c r="E186" t="s">
        <v>168</v>
      </c>
      <c r="F186" t="s">
        <v>15</v>
      </c>
      <c r="G186" t="s">
        <v>22</v>
      </c>
      <c r="H186" t="s">
        <v>158</v>
      </c>
      <c r="I186" t="s">
        <v>24</v>
      </c>
      <c r="J186">
        <v>1</v>
      </c>
      <c r="K186">
        <v>4750</v>
      </c>
      <c r="L186">
        <v>4750</v>
      </c>
      <c r="M186">
        <v>4750</v>
      </c>
      <c r="N186" t="s">
        <v>19</v>
      </c>
    </row>
    <row r="187" spans="1:14" x14ac:dyDescent="0.25">
      <c r="A187" t="str">
        <f>Table3[[#This Row],[Company Name]] &amp; " - " &amp; Table3[[#This Row],[Store Name]] &amp; " - " &amp; Table3[[#This Row],[Store Branch / Address]]</f>
        <v>PAMANA AND TSOKOLATERIA CONCEPT FOOD CORPORATION - PAMANA AND TSOKOLATERIA - GENERIC</v>
      </c>
      <c r="B187" t="str">
        <f>Table3[[#This Row],[Client ID]] &amp; " - " &amp; Table3[[#This Row],[SO Number]]</f>
        <v>PAMANA AND TSOKOLATERIA CONCEPT FOOD CORPORATION - PAMANA AND TSOKOLATERIA - GENERIC - SO-019</v>
      </c>
      <c r="C187" t="s">
        <v>162</v>
      </c>
      <c r="D187" t="s">
        <v>163</v>
      </c>
      <c r="E187" t="s">
        <v>164</v>
      </c>
      <c r="F187" t="s">
        <v>15</v>
      </c>
      <c r="G187" t="s">
        <v>37</v>
      </c>
      <c r="H187" t="s">
        <v>165</v>
      </c>
      <c r="I187" t="s">
        <v>166</v>
      </c>
      <c r="J187">
        <v>1</v>
      </c>
      <c r="K187">
        <v>7000</v>
      </c>
      <c r="L187">
        <v>20000</v>
      </c>
      <c r="M187">
        <v>20000</v>
      </c>
      <c r="N187" t="s">
        <v>19</v>
      </c>
    </row>
    <row r="188" spans="1:14" x14ac:dyDescent="0.25">
      <c r="A188" t="str">
        <f>Table3[[#This Row],[Company Name]] &amp; " - " &amp; Table3[[#This Row],[Store Name]] &amp; " - " &amp; Table3[[#This Row],[Store Branch / Address]]</f>
        <v>PAMANA AND TSOKOLATERIA CONCEPT FOOD CORPORATION - PAMANA AND TSOKOLATERIA - GENERIC</v>
      </c>
      <c r="B188" t="str">
        <f>Table3[[#This Row],[Client ID]] &amp; " - " &amp; Table3[[#This Row],[SO Number]]</f>
        <v>PAMANA AND TSOKOLATERIA CONCEPT FOOD CORPORATION - PAMANA AND TSOKOLATERIA - GENERIC - SO-019</v>
      </c>
      <c r="C188" t="s">
        <v>162</v>
      </c>
      <c r="D188" t="s">
        <v>163</v>
      </c>
      <c r="E188" t="s">
        <v>164</v>
      </c>
      <c r="F188" t="s">
        <v>15</v>
      </c>
      <c r="G188" t="s">
        <v>37</v>
      </c>
      <c r="H188" t="s">
        <v>165</v>
      </c>
      <c r="I188" t="s">
        <v>167</v>
      </c>
      <c r="J188">
        <v>1</v>
      </c>
      <c r="K188">
        <v>25995</v>
      </c>
      <c r="L188">
        <v>32000</v>
      </c>
      <c r="M188">
        <v>32000</v>
      </c>
      <c r="N188" t="s">
        <v>19</v>
      </c>
    </row>
    <row r="189" spans="1:14" x14ac:dyDescent="0.25">
      <c r="A189" t="str">
        <f>Table3[[#This Row],[Company Name]] &amp; " - " &amp; Table3[[#This Row],[Store Name]] &amp; " - " &amp; Table3[[#This Row],[Store Branch / Address]]</f>
        <v>M W TOWNSTORE - M &amp; W - GENERIC</v>
      </c>
      <c r="B189" t="str">
        <f>Table3[[#This Row],[Client ID]] &amp; " - " &amp; Table3[[#This Row],[SO Number]]</f>
        <v>M W TOWNSTORE - M &amp; W - GENERIC - SO-022</v>
      </c>
      <c r="C189" t="s">
        <v>184</v>
      </c>
      <c r="D189" t="s">
        <v>191</v>
      </c>
      <c r="E189" t="s">
        <v>192</v>
      </c>
      <c r="F189" t="s">
        <v>15</v>
      </c>
      <c r="G189" t="s">
        <v>22</v>
      </c>
      <c r="H189" t="s">
        <v>193</v>
      </c>
      <c r="I189" t="s">
        <v>194</v>
      </c>
      <c r="J189">
        <v>1</v>
      </c>
      <c r="K189">
        <v>250000</v>
      </c>
      <c r="L189">
        <v>298000</v>
      </c>
      <c r="M189">
        <v>298000</v>
      </c>
      <c r="N189" t="s">
        <v>19</v>
      </c>
    </row>
    <row r="190" spans="1:14" x14ac:dyDescent="0.25">
      <c r="A190" t="str">
        <f>Table3[[#This Row],[Company Name]] &amp; " - " &amp; Table3[[#This Row],[Store Name]] &amp; " - " &amp; Table3[[#This Row],[Store Branch / Address]]</f>
        <v>M W TOWNSTORE - M &amp; W - GENERIC</v>
      </c>
      <c r="B190" t="str">
        <f>Table3[[#This Row],[Client ID]] &amp; " - " &amp; Table3[[#This Row],[SO Number]]</f>
        <v>M W TOWNSTORE - M &amp; W - GENERIC - SO-022</v>
      </c>
      <c r="C190" t="s">
        <v>184</v>
      </c>
      <c r="D190" t="s">
        <v>191</v>
      </c>
      <c r="E190" t="s">
        <v>192</v>
      </c>
      <c r="F190" t="s">
        <v>15</v>
      </c>
      <c r="G190" t="s">
        <v>22</v>
      </c>
      <c r="H190" t="s">
        <v>193</v>
      </c>
      <c r="I190" t="s">
        <v>195</v>
      </c>
      <c r="J190">
        <v>6</v>
      </c>
      <c r="K190">
        <v>20000</v>
      </c>
      <c r="L190">
        <v>25333</v>
      </c>
      <c r="M190">
        <v>151998</v>
      </c>
      <c r="N190" t="s">
        <v>19</v>
      </c>
    </row>
    <row r="191" spans="1:14" x14ac:dyDescent="0.25">
      <c r="A191" t="str">
        <f>Table3[[#This Row],[Company Name]] &amp; " - " &amp; Table3[[#This Row],[Store Name]] &amp; " - " &amp; Table3[[#This Row],[Store Branch / Address]]</f>
        <v>M W TOWNSTORE - M &amp; W - GENERIC</v>
      </c>
      <c r="B191" t="str">
        <f>Table3[[#This Row],[Client ID]] &amp; " - " &amp; Table3[[#This Row],[SO Number]]</f>
        <v>M W TOWNSTORE - M &amp; W - GENERIC - SO-022</v>
      </c>
      <c r="C191" t="s">
        <v>184</v>
      </c>
      <c r="D191" t="s">
        <v>191</v>
      </c>
      <c r="E191" t="s">
        <v>192</v>
      </c>
      <c r="F191" t="s">
        <v>15</v>
      </c>
      <c r="G191" t="s">
        <v>22</v>
      </c>
      <c r="H191" t="s">
        <v>193</v>
      </c>
      <c r="I191" t="s">
        <v>26</v>
      </c>
      <c r="J191">
        <v>5</v>
      </c>
      <c r="K191">
        <v>500</v>
      </c>
      <c r="L191">
        <v>500</v>
      </c>
      <c r="M191">
        <v>2500</v>
      </c>
      <c r="N191" t="s">
        <v>19</v>
      </c>
    </row>
    <row r="192" spans="1:14" x14ac:dyDescent="0.25">
      <c r="A192" t="str">
        <f>Table3[[#This Row],[Company Name]] &amp; " - " &amp; Table3[[#This Row],[Store Name]] &amp; " - " &amp; Table3[[#This Row],[Store Branch / Address]]</f>
        <v>M W TOWNSTORE - M &amp; W - GENERIC</v>
      </c>
      <c r="B192" t="str">
        <f>Table3[[#This Row],[Client ID]] &amp; " - " &amp; Table3[[#This Row],[SO Number]]</f>
        <v>M W TOWNSTORE - M &amp; W - GENERIC - SO-022</v>
      </c>
      <c r="C192" t="s">
        <v>184</v>
      </c>
      <c r="D192" t="s">
        <v>191</v>
      </c>
      <c r="E192" t="s">
        <v>192</v>
      </c>
      <c r="F192" t="s">
        <v>15</v>
      </c>
      <c r="G192" t="s">
        <v>22</v>
      </c>
      <c r="H192" t="s">
        <v>193</v>
      </c>
      <c r="I192" t="s">
        <v>196</v>
      </c>
      <c r="J192">
        <v>1</v>
      </c>
      <c r="K192">
        <v>19000</v>
      </c>
      <c r="L192">
        <v>25000</v>
      </c>
      <c r="M192">
        <v>25000</v>
      </c>
      <c r="N192" t="s">
        <v>19</v>
      </c>
    </row>
    <row r="193" spans="1:14" x14ac:dyDescent="0.25">
      <c r="A193" t="str">
        <f>Table3[[#This Row],[Company Name]] &amp; " - " &amp; Table3[[#This Row],[Store Name]] &amp; " - " &amp; Table3[[#This Row],[Store Branch / Address]]</f>
        <v>M W TOWNSTORE - M &amp; W - GENERIC</v>
      </c>
      <c r="B193" t="str">
        <f>Table3[[#This Row],[Client ID]] &amp; " - " &amp; Table3[[#This Row],[SO Number]]</f>
        <v>M W TOWNSTORE - M &amp; W - GENERIC - SO-022</v>
      </c>
      <c r="C193" t="s">
        <v>184</v>
      </c>
      <c r="D193" t="s">
        <v>191</v>
      </c>
      <c r="E193" t="s">
        <v>192</v>
      </c>
      <c r="F193" t="s">
        <v>15</v>
      </c>
      <c r="G193" t="s">
        <v>22</v>
      </c>
      <c r="H193" t="s">
        <v>193</v>
      </c>
      <c r="I193" t="s">
        <v>197</v>
      </c>
      <c r="J193">
        <v>1</v>
      </c>
      <c r="K193">
        <v>1500</v>
      </c>
      <c r="L193">
        <v>1500</v>
      </c>
      <c r="M193">
        <v>1500</v>
      </c>
      <c r="N193" t="s">
        <v>19</v>
      </c>
    </row>
    <row r="194" spans="1:14" x14ac:dyDescent="0.25">
      <c r="A194" t="str">
        <f>Table3[[#This Row],[Company Name]] &amp; " - " &amp; Table3[[#This Row],[Store Name]] &amp; " - " &amp; Table3[[#This Row],[Store Branch / Address]]</f>
        <v>FEDERAL PROTECTION SYSTEMS INC - INST.OF CULINARY MNGT.INC. - GENERIC</v>
      </c>
      <c r="B194" t="str">
        <f>Table3[[#This Row],[Client ID]] &amp; " - " &amp; Table3[[#This Row],[SO Number]]</f>
        <v>FEDERAL PROTECTION SYSTEMS INC - INST.OF CULINARY MNGT.INC. - GENERIC - SO-023</v>
      </c>
      <c r="C194" t="s">
        <v>198</v>
      </c>
      <c r="D194" t="s">
        <v>204</v>
      </c>
      <c r="E194" t="s">
        <v>205</v>
      </c>
      <c r="F194" t="s">
        <v>15</v>
      </c>
      <c r="G194" t="s">
        <v>22</v>
      </c>
      <c r="H194" t="s">
        <v>193</v>
      </c>
      <c r="I194" t="s">
        <v>33</v>
      </c>
      <c r="J194">
        <v>3</v>
      </c>
      <c r="K194">
        <v>10000</v>
      </c>
      <c r="L194">
        <v>10000</v>
      </c>
      <c r="M194">
        <v>30000</v>
      </c>
      <c r="N194" t="s">
        <v>19</v>
      </c>
    </row>
    <row r="195" spans="1:14" x14ac:dyDescent="0.25">
      <c r="A195" t="str">
        <f>Table3[[#This Row],[Company Name]] &amp; " - " &amp; Table3[[#This Row],[Store Name]] &amp; " - " &amp; Table3[[#This Row],[Store Branch / Address]]</f>
        <v>EXTREME OUTDOOR ADVENTURE CORP - EXTREME OUTDOOR ADVENTURES - GENERIC</v>
      </c>
      <c r="B195" t="str">
        <f>Table3[[#This Row],[Client ID]] &amp; " - " &amp; Table3[[#This Row],[SO Number]]</f>
        <v>EXTREME OUTDOOR ADVENTURE CORP - EXTREME OUTDOOR ADVENTURES - GENERIC - SO-011</v>
      </c>
      <c r="C195" t="s">
        <v>86</v>
      </c>
      <c r="D195" t="s">
        <v>1038</v>
      </c>
      <c r="E195" t="s">
        <v>1039</v>
      </c>
      <c r="F195" t="s">
        <v>15</v>
      </c>
      <c r="G195" t="s">
        <v>37</v>
      </c>
      <c r="H195" t="s">
        <v>1040</v>
      </c>
      <c r="I195" t="s">
        <v>33</v>
      </c>
      <c r="J195">
        <v>1</v>
      </c>
      <c r="K195">
        <v>18000</v>
      </c>
      <c r="L195">
        <v>18000</v>
      </c>
      <c r="M195">
        <v>18000</v>
      </c>
      <c r="N195" t="s">
        <v>19</v>
      </c>
    </row>
    <row r="196" spans="1:14" x14ac:dyDescent="0.25">
      <c r="A196" t="str">
        <f>Table3[[#This Row],[Company Name]] &amp; " - " &amp; Table3[[#This Row],[Store Name]] &amp; " - " &amp; Table3[[#This Row],[Store Branch / Address]]</f>
        <v>MELO S WESTGATE FINE DINING - MELOS - GENERIC</v>
      </c>
      <c r="B196" t="str">
        <f>Table3[[#This Row],[Client ID]] &amp; " - " &amp; Table3[[#This Row],[SO Number]]</f>
        <v>MELO S WESTGATE FINE DINING - MELOS - GENERIC - SO-020</v>
      </c>
      <c r="C196" t="s">
        <v>172</v>
      </c>
      <c r="D196" t="s">
        <v>173</v>
      </c>
      <c r="E196" t="s">
        <v>174</v>
      </c>
      <c r="F196" t="s">
        <v>15</v>
      </c>
      <c r="G196" t="s">
        <v>22</v>
      </c>
      <c r="H196" t="s">
        <v>175</v>
      </c>
      <c r="I196" t="s">
        <v>176</v>
      </c>
      <c r="J196">
        <v>1</v>
      </c>
      <c r="K196">
        <v>9500</v>
      </c>
      <c r="L196">
        <v>13250</v>
      </c>
      <c r="M196">
        <v>13250</v>
      </c>
      <c r="N196" t="s">
        <v>19</v>
      </c>
    </row>
    <row r="197" spans="1:14" x14ac:dyDescent="0.25">
      <c r="A197" t="str">
        <f>Table3[[#This Row],[Company Name]] &amp; " - " &amp; Table3[[#This Row],[Store Name]] &amp; " - " &amp; Table3[[#This Row],[Store Branch / Address]]</f>
        <v>MELO S WESTGATE FINE DINING - MELOS - GENERIC</v>
      </c>
      <c r="B197" t="str">
        <f>Table3[[#This Row],[Client ID]] &amp; " - " &amp; Table3[[#This Row],[SO Number]]</f>
        <v>MELO S WESTGATE FINE DINING - MELOS - GENERIC - SO-020</v>
      </c>
      <c r="C197" t="s">
        <v>172</v>
      </c>
      <c r="D197" t="s">
        <v>173</v>
      </c>
      <c r="E197" t="s">
        <v>174</v>
      </c>
      <c r="F197" t="s">
        <v>15</v>
      </c>
      <c r="G197" t="s">
        <v>22</v>
      </c>
      <c r="H197" t="s">
        <v>175</v>
      </c>
      <c r="I197" t="s">
        <v>177</v>
      </c>
      <c r="J197">
        <v>1</v>
      </c>
      <c r="K197">
        <v>9500</v>
      </c>
      <c r="L197">
        <v>13250</v>
      </c>
      <c r="M197">
        <v>13250</v>
      </c>
      <c r="N197" t="s">
        <v>19</v>
      </c>
    </row>
    <row r="198" spans="1:14" x14ac:dyDescent="0.25">
      <c r="A198" t="str">
        <f>Table3[[#This Row],[Company Name]] &amp; " - " &amp; Table3[[#This Row],[Store Name]] &amp; " - " &amp; Table3[[#This Row],[Store Branch / Address]]</f>
        <v>MELO S WESTGATE FINE DINING - MELOS - GENERIC</v>
      </c>
      <c r="B198" t="str">
        <f>Table3[[#This Row],[Client ID]] &amp; " - " &amp; Table3[[#This Row],[SO Number]]</f>
        <v>MELO S WESTGATE FINE DINING - MELOS - GENERIC - SO-020</v>
      </c>
      <c r="C198" t="s">
        <v>172</v>
      </c>
      <c r="D198" t="s">
        <v>173</v>
      </c>
      <c r="E198" t="s">
        <v>174</v>
      </c>
      <c r="F198" t="s">
        <v>15</v>
      </c>
      <c r="G198" t="s">
        <v>22</v>
      </c>
      <c r="H198" t="s">
        <v>175</v>
      </c>
      <c r="I198" t="s">
        <v>63</v>
      </c>
      <c r="J198">
        <v>1</v>
      </c>
      <c r="K198">
        <v>500</v>
      </c>
      <c r="L198">
        <v>500</v>
      </c>
      <c r="M198">
        <v>500</v>
      </c>
      <c r="N198" t="s">
        <v>19</v>
      </c>
    </row>
    <row r="199" spans="1:14" x14ac:dyDescent="0.25">
      <c r="A199" t="str">
        <f>Table3[[#This Row],[Company Name]] &amp; " - " &amp; Table3[[#This Row],[Store Name]] &amp; " - " &amp; Table3[[#This Row],[Store Branch / Address]]</f>
        <v>CHICKEN DELI - GONGCHA - GENERIC</v>
      </c>
      <c r="B199" t="str">
        <f>Table3[[#This Row],[Client ID]] &amp; " - " &amp; Table3[[#This Row],[SO Number]]</f>
        <v>CHICKEN DELI - GONGCHA - GENERIC - SO-024</v>
      </c>
      <c r="C199" t="s">
        <v>206</v>
      </c>
      <c r="D199" t="s">
        <v>20</v>
      </c>
      <c r="E199" t="s">
        <v>31</v>
      </c>
      <c r="F199" t="s">
        <v>15</v>
      </c>
      <c r="G199" t="s">
        <v>22</v>
      </c>
      <c r="H199" t="s">
        <v>175</v>
      </c>
      <c r="I199" t="s">
        <v>33</v>
      </c>
      <c r="J199">
        <v>1</v>
      </c>
      <c r="K199">
        <v>6500</v>
      </c>
      <c r="L199">
        <v>6500</v>
      </c>
      <c r="M199">
        <v>6500</v>
      </c>
      <c r="N199" t="s">
        <v>19</v>
      </c>
    </row>
    <row r="200" spans="1:14" x14ac:dyDescent="0.25">
      <c r="A200" t="str">
        <f>Table3[[#This Row],[Company Name]] &amp; " - " &amp; Table3[[#This Row],[Store Name]] &amp; " - " &amp; Table3[[#This Row],[Store Branch / Address]]</f>
        <v>CHICKEN DELI - GONGCHA - GENERIC</v>
      </c>
      <c r="B200" t="str">
        <f>Table3[[#This Row],[Client ID]] &amp; " - " &amp; Table3[[#This Row],[SO Number]]</f>
        <v>CHICKEN DELI - GONGCHA - GENERIC - SO-025</v>
      </c>
      <c r="C200" t="s">
        <v>208</v>
      </c>
      <c r="D200" t="s">
        <v>20</v>
      </c>
      <c r="E200" t="s">
        <v>31</v>
      </c>
      <c r="F200" t="s">
        <v>15</v>
      </c>
      <c r="G200" t="s">
        <v>22</v>
      </c>
      <c r="H200" t="s">
        <v>175</v>
      </c>
      <c r="I200" t="s">
        <v>33</v>
      </c>
      <c r="J200">
        <v>3</v>
      </c>
      <c r="K200">
        <v>6500</v>
      </c>
      <c r="L200">
        <v>6500</v>
      </c>
      <c r="M200">
        <v>19500</v>
      </c>
      <c r="N200" t="s">
        <v>19</v>
      </c>
    </row>
    <row r="201" spans="1:14" x14ac:dyDescent="0.25">
      <c r="A201" t="str">
        <f>Table3[[#This Row],[Company Name]] &amp; " - " &amp; Table3[[#This Row],[Store Name]] &amp; " - " &amp; Table3[[#This Row],[Store Branch / Address]]</f>
        <v>CHICKEN DELI - GONGCHA - GENERIC</v>
      </c>
      <c r="B201" t="str">
        <f>Table3[[#This Row],[Client ID]] &amp; " - " &amp; Table3[[#This Row],[SO Number]]</f>
        <v>CHICKEN DELI - GONGCHA - GENERIC - SO-026</v>
      </c>
      <c r="C201" t="s">
        <v>212</v>
      </c>
      <c r="D201" t="s">
        <v>20</v>
      </c>
      <c r="E201" t="s">
        <v>31</v>
      </c>
      <c r="F201" t="s">
        <v>15</v>
      </c>
      <c r="G201" t="s">
        <v>22</v>
      </c>
      <c r="H201" t="s">
        <v>175</v>
      </c>
      <c r="I201" t="s">
        <v>33</v>
      </c>
      <c r="J201">
        <v>2</v>
      </c>
      <c r="K201">
        <v>6500</v>
      </c>
      <c r="L201">
        <v>6500</v>
      </c>
      <c r="M201">
        <v>13000</v>
      </c>
      <c r="N201" t="s">
        <v>19</v>
      </c>
    </row>
    <row r="202" spans="1:14" x14ac:dyDescent="0.25">
      <c r="A202" t="str">
        <f>Table3[[#This Row],[Company Name]] &amp; " - " &amp; Table3[[#This Row],[Store Name]] &amp; " - " &amp; Table3[[#This Row],[Store Branch / Address]]</f>
        <v>CHICKEN DELI - GONGCHA - GENERIC</v>
      </c>
      <c r="B202" t="str">
        <f>Table3[[#This Row],[Client ID]] &amp; " - " &amp; Table3[[#This Row],[SO Number]]</f>
        <v>CHICKEN DELI - GONGCHA - GENERIC - SO-027</v>
      </c>
      <c r="C202" t="s">
        <v>215</v>
      </c>
      <c r="D202" t="s">
        <v>20</v>
      </c>
      <c r="E202" t="s">
        <v>31</v>
      </c>
      <c r="F202" t="s">
        <v>15</v>
      </c>
      <c r="G202" t="s">
        <v>22</v>
      </c>
      <c r="H202" t="s">
        <v>175</v>
      </c>
      <c r="I202" t="s">
        <v>33</v>
      </c>
      <c r="J202">
        <v>2</v>
      </c>
      <c r="K202">
        <v>6500</v>
      </c>
      <c r="L202">
        <v>6500</v>
      </c>
      <c r="M202">
        <v>13000</v>
      </c>
      <c r="N202" t="s">
        <v>19</v>
      </c>
    </row>
    <row r="203" spans="1:14" x14ac:dyDescent="0.25">
      <c r="A203" t="str">
        <f>Table3[[#This Row],[Company Name]] &amp; " - " &amp; Table3[[#This Row],[Store Name]] &amp; " - " &amp; Table3[[#This Row],[Store Branch / Address]]</f>
        <v>CHICKEN DELI - GONGCHA - GENERIC</v>
      </c>
      <c r="B203" t="str">
        <f>Table3[[#This Row],[Client ID]] &amp; " - " &amp; Table3[[#This Row],[SO Number]]</f>
        <v>CHICKEN DELI - GONGCHA - GENERIC - SO-028</v>
      </c>
      <c r="C203" t="s">
        <v>219</v>
      </c>
      <c r="D203" t="s">
        <v>20</v>
      </c>
      <c r="E203" t="s">
        <v>31</v>
      </c>
      <c r="F203" t="s">
        <v>15</v>
      </c>
      <c r="G203" t="s">
        <v>22</v>
      </c>
      <c r="H203" t="s">
        <v>175</v>
      </c>
      <c r="I203" t="s">
        <v>33</v>
      </c>
      <c r="J203">
        <v>1</v>
      </c>
      <c r="K203">
        <v>6500</v>
      </c>
      <c r="L203">
        <v>6500</v>
      </c>
      <c r="M203">
        <v>6500</v>
      </c>
      <c r="N203" t="s">
        <v>19</v>
      </c>
    </row>
    <row r="204" spans="1:14" x14ac:dyDescent="0.25">
      <c r="A204" t="str">
        <f>Table3[[#This Row],[Company Name]] &amp; " - " &amp; Table3[[#This Row],[Store Name]] &amp; " - " &amp; Table3[[#This Row],[Store Branch / Address]]</f>
        <v>BIG BRANDS CLOTHING OUTLET CORP - BIG BRANDS - GENERIC</v>
      </c>
      <c r="B204" t="str">
        <f>Table3[[#This Row],[Client ID]] &amp; " - " &amp; Table3[[#This Row],[SO Number]]</f>
        <v>BIG BRANDS CLOTHING OUTLET CORP - BIG BRANDS - GENERIC - SO-012</v>
      </c>
      <c r="C204" t="s">
        <v>100</v>
      </c>
      <c r="D204" t="s">
        <v>1041</v>
      </c>
      <c r="E204" t="s">
        <v>1042</v>
      </c>
      <c r="F204" t="s">
        <v>15</v>
      </c>
      <c r="G204" t="s">
        <v>1043</v>
      </c>
      <c r="H204" t="s">
        <v>1044</v>
      </c>
      <c r="I204" t="s">
        <v>33</v>
      </c>
      <c r="J204">
        <v>1</v>
      </c>
      <c r="K204">
        <v>15000</v>
      </c>
      <c r="L204">
        <v>15000</v>
      </c>
      <c r="M204">
        <v>15000</v>
      </c>
      <c r="N204" t="s">
        <v>19</v>
      </c>
    </row>
    <row r="205" spans="1:14" x14ac:dyDescent="0.25">
      <c r="A205" t="str">
        <f>Table3[[#This Row],[Company Name]] &amp; " - " &amp; Table3[[#This Row],[Store Name]] &amp; " - " &amp; Table3[[#This Row],[Store Branch / Address]]</f>
        <v>ELEVATED FOOD RECIPES INC - HEALTHY SHABU SHABU - GENERIC</v>
      </c>
      <c r="B205" t="str">
        <f>Table3[[#This Row],[Client ID]] &amp; " - " &amp; Table3[[#This Row],[SO Number]]</f>
        <v>ELEVATED FOOD RECIPES INC - HEALTHY SHABU SHABU - GENERIC - SO-021</v>
      </c>
      <c r="C205" t="s">
        <v>178</v>
      </c>
      <c r="D205" t="s">
        <v>179</v>
      </c>
      <c r="E205" t="s">
        <v>180</v>
      </c>
      <c r="F205" t="s">
        <v>15</v>
      </c>
      <c r="G205" t="s">
        <v>22</v>
      </c>
      <c r="H205" t="s">
        <v>181</v>
      </c>
      <c r="I205" t="s">
        <v>182</v>
      </c>
      <c r="J205">
        <v>5</v>
      </c>
      <c r="K205">
        <v>8000</v>
      </c>
      <c r="L205">
        <v>8000</v>
      </c>
      <c r="M205">
        <v>40000</v>
      </c>
      <c r="N205" t="s">
        <v>39</v>
      </c>
    </row>
    <row r="206" spans="1:14" x14ac:dyDescent="0.25">
      <c r="A206" t="str">
        <f>Table3[[#This Row],[Company Name]] &amp; " - " &amp; Table3[[#This Row],[Store Name]] &amp; " - " &amp; Table3[[#This Row],[Store Branch / Address]]</f>
        <v>ELEVATED FOOD RECIPES INC - HEALTHY SHABU SHABU - GENERIC</v>
      </c>
      <c r="B206" t="str">
        <f>Table3[[#This Row],[Client ID]] &amp; " - " &amp; Table3[[#This Row],[SO Number]]</f>
        <v>ELEVATED FOOD RECIPES INC - HEALTHY SHABU SHABU - GENERIC - SO-021</v>
      </c>
      <c r="C206" t="s">
        <v>178</v>
      </c>
      <c r="D206" t="s">
        <v>179</v>
      </c>
      <c r="E206" t="s">
        <v>180</v>
      </c>
      <c r="F206" t="s">
        <v>15</v>
      </c>
      <c r="G206" t="s">
        <v>22</v>
      </c>
      <c r="H206" t="s">
        <v>181</v>
      </c>
      <c r="I206" t="s">
        <v>183</v>
      </c>
      <c r="J206">
        <v>1</v>
      </c>
      <c r="K206">
        <v>4000</v>
      </c>
      <c r="L206">
        <v>4000</v>
      </c>
      <c r="M206">
        <v>4000</v>
      </c>
      <c r="N206" t="s">
        <v>39</v>
      </c>
    </row>
    <row r="207" spans="1:14" x14ac:dyDescent="0.25">
      <c r="A207" t="str">
        <f>Table3[[#This Row],[Company Name]] &amp; " - " &amp; Table3[[#This Row],[Store Name]] &amp; " - " &amp; Table3[[#This Row],[Store Branch / Address]]</f>
        <v>PAMANA AND TSOKOLATERIA CONCEPT FOOD CORP - PAMANA AND TSOKOLATERIA - GENERIC</v>
      </c>
      <c r="B207" t="str">
        <f>Table3[[#This Row],[Client ID]] &amp; " - " &amp; Table3[[#This Row],[SO Number]]</f>
        <v>PAMANA AND TSOKOLATERIA CONCEPT FOOD CORP - PAMANA AND TSOKOLATERIA - GENERIC - SO-022</v>
      </c>
      <c r="C207" t="s">
        <v>184</v>
      </c>
      <c r="D207" t="s">
        <v>185</v>
      </c>
      <c r="E207" t="s">
        <v>164</v>
      </c>
      <c r="F207" t="s">
        <v>15</v>
      </c>
      <c r="G207" t="s">
        <v>16</v>
      </c>
      <c r="H207" t="s">
        <v>186</v>
      </c>
      <c r="I207" t="s">
        <v>47</v>
      </c>
      <c r="J207">
        <v>1</v>
      </c>
      <c r="K207">
        <v>3675</v>
      </c>
      <c r="L207">
        <v>10500</v>
      </c>
      <c r="M207">
        <v>10500</v>
      </c>
      <c r="N207" t="s">
        <v>19</v>
      </c>
    </row>
    <row r="208" spans="1:14" x14ac:dyDescent="0.25">
      <c r="A208" t="str">
        <f>Table3[[#This Row],[Company Name]] &amp; " - " &amp; Table3[[#This Row],[Store Name]] &amp; " - " &amp; Table3[[#This Row],[Store Branch / Address]]</f>
        <v>PAMANA AND TSOKOLATERIA CONCEPT FOOD CORP - PAMANA AND TSOKOLATERIA - GENERIC</v>
      </c>
      <c r="B208" t="str">
        <f>Table3[[#This Row],[Client ID]] &amp; " - " &amp; Table3[[#This Row],[SO Number]]</f>
        <v>PAMANA AND TSOKOLATERIA CONCEPT FOOD CORP - PAMANA AND TSOKOLATERIA - GENERIC - SO-022</v>
      </c>
      <c r="C208" t="s">
        <v>184</v>
      </c>
      <c r="D208" t="s">
        <v>185</v>
      </c>
      <c r="E208" t="s">
        <v>164</v>
      </c>
      <c r="F208" t="s">
        <v>15</v>
      </c>
      <c r="G208" t="s">
        <v>16</v>
      </c>
      <c r="H208" t="s">
        <v>186</v>
      </c>
      <c r="I208" t="s">
        <v>48</v>
      </c>
      <c r="J208">
        <v>1</v>
      </c>
      <c r="K208">
        <v>3220</v>
      </c>
      <c r="L208">
        <v>9200</v>
      </c>
      <c r="M208">
        <v>9200</v>
      </c>
      <c r="N208" t="s">
        <v>19</v>
      </c>
    </row>
    <row r="209" spans="1:14" x14ac:dyDescent="0.25">
      <c r="A209" t="str">
        <f>Table3[[#This Row],[Company Name]] &amp; " - " &amp; Table3[[#This Row],[Store Name]] &amp; " - " &amp; Table3[[#This Row],[Store Branch / Address]]</f>
        <v>PAMANA AND TSOKOLATERIA CONCEPT FOOD CORP - PAMANA AND TSOKOLATERIA - GENERIC</v>
      </c>
      <c r="B209" t="str">
        <f>Table3[[#This Row],[Client ID]] &amp; " - " &amp; Table3[[#This Row],[SO Number]]</f>
        <v>PAMANA AND TSOKOLATERIA CONCEPT FOOD CORP - PAMANA AND TSOKOLATERIA - GENERIC - SO-022</v>
      </c>
      <c r="C209" t="s">
        <v>184</v>
      </c>
      <c r="D209" t="s">
        <v>185</v>
      </c>
      <c r="E209" t="s">
        <v>164</v>
      </c>
      <c r="F209" t="s">
        <v>15</v>
      </c>
      <c r="G209" t="s">
        <v>16</v>
      </c>
      <c r="H209" t="s">
        <v>186</v>
      </c>
      <c r="I209" t="s">
        <v>126</v>
      </c>
      <c r="J209">
        <v>1</v>
      </c>
      <c r="K209">
        <v>3220</v>
      </c>
      <c r="L209">
        <v>9200</v>
      </c>
      <c r="M209">
        <v>9200</v>
      </c>
      <c r="N209" t="s">
        <v>19</v>
      </c>
    </row>
    <row r="210" spans="1:14" x14ac:dyDescent="0.25">
      <c r="A210" t="str">
        <f>Table3[[#This Row],[Company Name]] &amp; " - " &amp; Table3[[#This Row],[Store Name]] &amp; " - " &amp; Table3[[#This Row],[Store Branch / Address]]</f>
        <v>PAMANA AND TSOKOLATERIA CONCEPT FOOD CORP - PAMANA AND TSOKOLATERIA - GENERIC</v>
      </c>
      <c r="B210" t="str">
        <f>Table3[[#This Row],[Client ID]] &amp; " - " &amp; Table3[[#This Row],[SO Number]]</f>
        <v>PAMANA AND TSOKOLATERIA CONCEPT FOOD CORP - PAMANA AND TSOKOLATERIA - GENERIC - SO-022</v>
      </c>
      <c r="C210" t="s">
        <v>184</v>
      </c>
      <c r="D210" t="s">
        <v>185</v>
      </c>
      <c r="E210" t="s">
        <v>164</v>
      </c>
      <c r="F210" t="s">
        <v>15</v>
      </c>
      <c r="G210" t="s">
        <v>16</v>
      </c>
      <c r="H210" t="s">
        <v>186</v>
      </c>
      <c r="I210" t="s">
        <v>50</v>
      </c>
      <c r="J210">
        <v>1</v>
      </c>
      <c r="K210">
        <v>500</v>
      </c>
      <c r="L210">
        <v>500</v>
      </c>
      <c r="M210">
        <v>500</v>
      </c>
      <c r="N210" t="s">
        <v>19</v>
      </c>
    </row>
    <row r="211" spans="1:14" x14ac:dyDescent="0.25">
      <c r="A211" t="str">
        <f>Table3[[#This Row],[Company Name]] &amp; " - " &amp; Table3[[#This Row],[Store Name]] &amp; " - " &amp; Table3[[#This Row],[Store Branch / Address]]</f>
        <v>PAMANA AND TSOKOLATERIA CONCEPT FOOD CORP - PAMANA AND TSOKOLATERIA - GENERIC</v>
      </c>
      <c r="B211" t="str">
        <f>Table3[[#This Row],[Client ID]] &amp; " - " &amp; Table3[[#This Row],[SO Number]]</f>
        <v>PAMANA AND TSOKOLATERIA CONCEPT FOOD CORP - PAMANA AND TSOKOLATERIA - GENERIC - SO-022</v>
      </c>
      <c r="C211" t="s">
        <v>184</v>
      </c>
      <c r="D211" t="s">
        <v>185</v>
      </c>
      <c r="E211" t="s">
        <v>164</v>
      </c>
      <c r="F211" t="s">
        <v>15</v>
      </c>
      <c r="G211" t="s">
        <v>16</v>
      </c>
      <c r="H211" t="s">
        <v>186</v>
      </c>
      <c r="I211" t="s">
        <v>161</v>
      </c>
      <c r="J211">
        <v>2</v>
      </c>
      <c r="K211">
        <v>8500</v>
      </c>
      <c r="L211">
        <v>10700</v>
      </c>
      <c r="M211">
        <v>21400</v>
      </c>
      <c r="N211" t="s">
        <v>19</v>
      </c>
    </row>
    <row r="212" spans="1:14" x14ac:dyDescent="0.25">
      <c r="A212" t="str">
        <f>Table3[[#This Row],[Company Name]] &amp; " - " &amp; Table3[[#This Row],[Store Name]] &amp; " - " &amp; Table3[[#This Row],[Store Branch / Address]]</f>
        <v>PAMANA AND TSOKOLATERIA CONCEPT FOOD CORP - PAMANA AND TSOKOLATERIA - GENERIC</v>
      </c>
      <c r="B212" t="str">
        <f>Table3[[#This Row],[Client ID]] &amp; " - " &amp; Table3[[#This Row],[SO Number]]</f>
        <v>PAMANA AND TSOKOLATERIA CONCEPT FOOD CORP - PAMANA AND TSOKOLATERIA - GENERIC - SO-022</v>
      </c>
      <c r="C212" t="s">
        <v>184</v>
      </c>
      <c r="D212" t="s">
        <v>185</v>
      </c>
      <c r="E212" t="s">
        <v>164</v>
      </c>
      <c r="F212" t="s">
        <v>15</v>
      </c>
      <c r="G212" t="s">
        <v>16</v>
      </c>
      <c r="H212" t="s">
        <v>186</v>
      </c>
      <c r="I212" t="s">
        <v>38</v>
      </c>
      <c r="J212">
        <v>1</v>
      </c>
      <c r="K212">
        <v>8500</v>
      </c>
      <c r="L212">
        <v>10700</v>
      </c>
      <c r="M212">
        <v>10700</v>
      </c>
      <c r="N212" t="s">
        <v>19</v>
      </c>
    </row>
    <row r="213" spans="1:14" x14ac:dyDescent="0.25">
      <c r="A213" t="str">
        <f>Table3[[#This Row],[Company Name]] &amp; " - " &amp; Table3[[#This Row],[Store Name]] &amp; " - " &amp; Table3[[#This Row],[Store Branch / Address]]</f>
        <v>PAMANA AND TSOKOLATERIA CONCEPT FOOD CORP - PAMANA AND TSOKOLATERIA - GENERIC</v>
      </c>
      <c r="B213" t="str">
        <f>Table3[[#This Row],[Client ID]] &amp; " - " &amp; Table3[[#This Row],[SO Number]]</f>
        <v>PAMANA AND TSOKOLATERIA CONCEPT FOOD CORP - PAMANA AND TSOKOLATERIA - GENERIC - SO-022</v>
      </c>
      <c r="C213" t="s">
        <v>184</v>
      </c>
      <c r="D213" t="s">
        <v>185</v>
      </c>
      <c r="E213" t="s">
        <v>164</v>
      </c>
      <c r="F213" t="s">
        <v>15</v>
      </c>
      <c r="G213" t="s">
        <v>16</v>
      </c>
      <c r="H213" t="s">
        <v>186</v>
      </c>
      <c r="I213" t="s">
        <v>116</v>
      </c>
      <c r="J213">
        <v>1</v>
      </c>
      <c r="K213">
        <v>2185</v>
      </c>
      <c r="L213">
        <v>3100</v>
      </c>
      <c r="M213">
        <v>3100</v>
      </c>
      <c r="N213" t="s">
        <v>19</v>
      </c>
    </row>
    <row r="214" spans="1:14" x14ac:dyDescent="0.25">
      <c r="A214" t="str">
        <f>Table3[[#This Row],[Company Name]] &amp; " - " &amp; Table3[[#This Row],[Store Name]] &amp; " - " &amp; Table3[[#This Row],[Store Branch / Address]]</f>
        <v>PAMANA AND TSOKOLATERIA CONCEPT FOOD CORP - PAMANA AND TSOKOLATERIA - GENERIC</v>
      </c>
      <c r="B214" t="str">
        <f>Table3[[#This Row],[Client ID]] &amp; " - " &amp; Table3[[#This Row],[SO Number]]</f>
        <v>PAMANA AND TSOKOLATERIA CONCEPT FOOD CORP - PAMANA AND TSOKOLATERIA - GENERIC - SO-022</v>
      </c>
      <c r="C214" t="s">
        <v>184</v>
      </c>
      <c r="D214" t="s">
        <v>185</v>
      </c>
      <c r="E214" t="s">
        <v>164</v>
      </c>
      <c r="F214" t="s">
        <v>15</v>
      </c>
      <c r="G214" t="s">
        <v>16</v>
      </c>
      <c r="H214" t="s">
        <v>186</v>
      </c>
      <c r="I214" t="s">
        <v>79</v>
      </c>
      <c r="J214">
        <v>1</v>
      </c>
      <c r="K214">
        <v>10750</v>
      </c>
      <c r="L214">
        <v>14700</v>
      </c>
      <c r="M214">
        <v>14700</v>
      </c>
      <c r="N214" t="s">
        <v>19</v>
      </c>
    </row>
    <row r="215" spans="1:14" x14ac:dyDescent="0.25">
      <c r="A215" t="str">
        <f>Table3[[#This Row],[Company Name]] &amp; " - " &amp; Table3[[#This Row],[Store Name]] &amp; " - " &amp; Table3[[#This Row],[Store Branch / Address]]</f>
        <v>PAMANA AND TSOKOLATERIA CONCEPT FOOD CORP - PAMANA AND TSOKOLATERIA - GENERIC</v>
      </c>
      <c r="B215" t="str">
        <f>Table3[[#This Row],[Client ID]] &amp; " - " &amp; Table3[[#This Row],[SO Number]]</f>
        <v>PAMANA AND TSOKOLATERIA CONCEPT FOOD CORP - PAMANA AND TSOKOLATERIA - GENERIC - SO-022</v>
      </c>
      <c r="C215" t="s">
        <v>184</v>
      </c>
      <c r="D215" t="s">
        <v>185</v>
      </c>
      <c r="E215" t="s">
        <v>164</v>
      </c>
      <c r="F215" t="s">
        <v>15</v>
      </c>
      <c r="G215" t="s">
        <v>16</v>
      </c>
      <c r="H215" t="s">
        <v>186</v>
      </c>
      <c r="I215" t="s">
        <v>137</v>
      </c>
      <c r="J215">
        <v>1</v>
      </c>
      <c r="K215">
        <v>2200</v>
      </c>
      <c r="L215">
        <v>3100</v>
      </c>
      <c r="M215">
        <v>3100</v>
      </c>
      <c r="N215" t="s">
        <v>19</v>
      </c>
    </row>
    <row r="216" spans="1:14" x14ac:dyDescent="0.25">
      <c r="A216" t="str">
        <f>Table3[[#This Row],[Company Name]] &amp; " - " &amp; Table3[[#This Row],[Store Name]] &amp; " - " &amp; Table3[[#This Row],[Store Branch / Address]]</f>
        <v>PAMANA AND TSOKOLATERIA CONCEPT FOOD CORP - PAMANA AND TSOKOLATERIA - GENERIC</v>
      </c>
      <c r="B216" t="str">
        <f>Table3[[#This Row],[Client ID]] &amp; " - " &amp; Table3[[#This Row],[SO Number]]</f>
        <v>PAMANA AND TSOKOLATERIA CONCEPT FOOD CORP - PAMANA AND TSOKOLATERIA - GENERIC - SO-022</v>
      </c>
      <c r="C216" t="s">
        <v>184</v>
      </c>
      <c r="D216" t="s">
        <v>185</v>
      </c>
      <c r="E216" t="s">
        <v>164</v>
      </c>
      <c r="F216" t="s">
        <v>15</v>
      </c>
      <c r="G216" t="s">
        <v>16</v>
      </c>
      <c r="H216" t="s">
        <v>186</v>
      </c>
      <c r="I216" t="s">
        <v>187</v>
      </c>
      <c r="J216">
        <v>1</v>
      </c>
      <c r="K216">
        <v>850</v>
      </c>
      <c r="L216">
        <v>890</v>
      </c>
      <c r="M216">
        <v>890</v>
      </c>
      <c r="N216" t="s">
        <v>19</v>
      </c>
    </row>
    <row r="217" spans="1:14" x14ac:dyDescent="0.25">
      <c r="A217" t="str">
        <f>Table3[[#This Row],[Company Name]] &amp; " - " &amp; Table3[[#This Row],[Store Name]] &amp; " - " &amp; Table3[[#This Row],[Store Branch / Address]]</f>
        <v>PAMANA AND TSOKOLATERIA CONCEPT FOOD CORP - PAMANA AND TSOKOLATERIA - GENERIC</v>
      </c>
      <c r="B217" t="str">
        <f>Table3[[#This Row],[Client ID]] &amp; " - " &amp; Table3[[#This Row],[SO Number]]</f>
        <v>PAMANA AND TSOKOLATERIA CONCEPT FOOD CORP - PAMANA AND TSOKOLATERIA - GENERIC - SO-022</v>
      </c>
      <c r="C217" t="s">
        <v>184</v>
      </c>
      <c r="D217" t="s">
        <v>185</v>
      </c>
      <c r="E217" t="s">
        <v>164</v>
      </c>
      <c r="F217" t="s">
        <v>15</v>
      </c>
      <c r="G217" t="s">
        <v>16</v>
      </c>
      <c r="H217" t="s">
        <v>186</v>
      </c>
      <c r="I217" t="s">
        <v>188</v>
      </c>
      <c r="J217">
        <v>1</v>
      </c>
      <c r="K217">
        <v>23450</v>
      </c>
      <c r="L217">
        <v>28900</v>
      </c>
      <c r="M217">
        <v>28900</v>
      </c>
      <c r="N217" t="s">
        <v>19</v>
      </c>
    </row>
    <row r="218" spans="1:14" x14ac:dyDescent="0.25">
      <c r="A218" t="str">
        <f>Table3[[#This Row],[Company Name]] &amp; " - " &amp; Table3[[#This Row],[Store Name]] &amp; " - " &amp; Table3[[#This Row],[Store Branch / Address]]</f>
        <v>PAMANA AND TSOKOLATERIA CONCEPT FOOD CORP - PAMANA AND TSOKOLATERIA - GENERIC</v>
      </c>
      <c r="B218" t="str">
        <f>Table3[[#This Row],[Client ID]] &amp; " - " &amp; Table3[[#This Row],[SO Number]]</f>
        <v>PAMANA AND TSOKOLATERIA CONCEPT FOOD CORP - PAMANA AND TSOKOLATERIA - GENERIC - SO-022</v>
      </c>
      <c r="C218" t="s">
        <v>184</v>
      </c>
      <c r="D218" t="s">
        <v>185</v>
      </c>
      <c r="E218" t="s">
        <v>164</v>
      </c>
      <c r="F218" t="s">
        <v>15</v>
      </c>
      <c r="G218" t="s">
        <v>16</v>
      </c>
      <c r="H218" t="s">
        <v>186</v>
      </c>
      <c r="I218" t="s">
        <v>189</v>
      </c>
      <c r="J218">
        <v>1</v>
      </c>
      <c r="K218">
        <v>500</v>
      </c>
      <c r="L218">
        <v>600</v>
      </c>
      <c r="M218">
        <v>600</v>
      </c>
      <c r="N218" t="s">
        <v>19</v>
      </c>
    </row>
    <row r="219" spans="1:14" x14ac:dyDescent="0.25">
      <c r="A219" t="str">
        <f>Table3[[#This Row],[Company Name]] &amp; " - " &amp; Table3[[#This Row],[Store Name]] &amp; " - " &amp; Table3[[#This Row],[Store Branch / Address]]</f>
        <v>PAMANA AND TSOKOLATERIA CONCEPT FOOD CORP - PAMANA AND TSOKOLATERIA - GENERIC</v>
      </c>
      <c r="B219" t="str">
        <f>Table3[[#This Row],[Client ID]] &amp; " - " &amp; Table3[[#This Row],[SO Number]]</f>
        <v>PAMANA AND TSOKOLATERIA CONCEPT FOOD CORP - PAMANA AND TSOKOLATERIA - GENERIC - SO-022</v>
      </c>
      <c r="C219" t="s">
        <v>184</v>
      </c>
      <c r="D219" t="s">
        <v>185</v>
      </c>
      <c r="E219" t="s">
        <v>164</v>
      </c>
      <c r="F219" t="s">
        <v>15</v>
      </c>
      <c r="G219" t="s">
        <v>16</v>
      </c>
      <c r="H219" t="s">
        <v>186</v>
      </c>
      <c r="I219" t="s">
        <v>190</v>
      </c>
      <c r="J219">
        <v>1</v>
      </c>
      <c r="K219">
        <v>350</v>
      </c>
      <c r="L219">
        <v>500</v>
      </c>
      <c r="M219">
        <v>500</v>
      </c>
      <c r="N219" t="s">
        <v>19</v>
      </c>
    </row>
    <row r="220" spans="1:14" x14ac:dyDescent="0.25">
      <c r="A220" t="str">
        <f>Table3[[#This Row],[Company Name]] &amp; " - " &amp; Table3[[#This Row],[Store Name]] &amp; " - " &amp; Table3[[#This Row],[Store Branch / Address]]</f>
        <v>PAMANA AND TSOKOLATERIA CONCEPT FOOD CORP - PAMANA AND TSOKOLATERIA - GENERIC</v>
      </c>
      <c r="B220" t="str">
        <f>Table3[[#This Row],[Client ID]] &amp; " - " &amp; Table3[[#This Row],[SO Number]]</f>
        <v>PAMANA AND TSOKOLATERIA CONCEPT FOOD CORP - PAMANA AND TSOKOLATERIA - GENERIC - SO-022</v>
      </c>
      <c r="C220" t="s">
        <v>184</v>
      </c>
      <c r="D220" t="s">
        <v>185</v>
      </c>
      <c r="E220" t="s">
        <v>164</v>
      </c>
      <c r="F220" t="s">
        <v>15</v>
      </c>
      <c r="G220" t="s">
        <v>16</v>
      </c>
      <c r="H220" t="s">
        <v>186</v>
      </c>
      <c r="I220" t="s">
        <v>151</v>
      </c>
      <c r="J220">
        <v>1</v>
      </c>
      <c r="K220">
        <v>2800</v>
      </c>
      <c r="L220">
        <v>3500</v>
      </c>
      <c r="M220">
        <v>3500</v>
      </c>
      <c r="N220" t="s">
        <v>19</v>
      </c>
    </row>
    <row r="221" spans="1:14" x14ac:dyDescent="0.25">
      <c r="A221" t="str">
        <f>Table3[[#This Row],[Company Name]] &amp; " - " &amp; Table3[[#This Row],[Store Name]] &amp; " - " &amp; Table3[[#This Row],[Store Branch / Address]]</f>
        <v>PAMANA AND TSOKOLATERIA CONCEPT FOOD CORP - PAMANA AND TSOKOLATERIA - GENERIC</v>
      </c>
      <c r="B221" t="str">
        <f>Table3[[#This Row],[Client ID]] &amp; " - " &amp; Table3[[#This Row],[SO Number]]</f>
        <v>PAMANA AND TSOKOLATERIA CONCEPT FOOD CORP - PAMANA AND TSOKOLATERIA - GENERIC - SO-022</v>
      </c>
      <c r="C221" t="s">
        <v>184</v>
      </c>
      <c r="D221" t="s">
        <v>185</v>
      </c>
      <c r="E221" t="s">
        <v>164</v>
      </c>
      <c r="F221" t="s">
        <v>15</v>
      </c>
      <c r="G221" t="s">
        <v>16</v>
      </c>
      <c r="H221" t="s">
        <v>186</v>
      </c>
      <c r="I221" t="s">
        <v>63</v>
      </c>
      <c r="J221">
        <v>1</v>
      </c>
      <c r="K221">
        <v>500</v>
      </c>
      <c r="L221">
        <v>600</v>
      </c>
      <c r="M221">
        <v>600</v>
      </c>
      <c r="N221" t="s">
        <v>19</v>
      </c>
    </row>
    <row r="222" spans="1:14" x14ac:dyDescent="0.25">
      <c r="A222" t="str">
        <f>Table3[[#This Row],[Company Name]] &amp; " - " &amp; Table3[[#This Row],[Store Name]] &amp; " - " &amp; Table3[[#This Row],[Store Branch / Address]]</f>
        <v>CHICKEN DELI - TILLO - GENERIC</v>
      </c>
      <c r="B222" t="str">
        <f>Table3[[#This Row],[Client ID]] &amp; " - " &amp; Table3[[#This Row],[SO Number]]</f>
        <v>CHICKEN DELI - TILLO - GENERIC - SO-029</v>
      </c>
      <c r="C222" t="s">
        <v>223</v>
      </c>
      <c r="D222" t="s">
        <v>20</v>
      </c>
      <c r="E222" t="s">
        <v>229</v>
      </c>
      <c r="F222" t="s">
        <v>15</v>
      </c>
      <c r="G222" t="s">
        <v>22</v>
      </c>
      <c r="H222" t="s">
        <v>230</v>
      </c>
      <c r="I222" t="s">
        <v>231</v>
      </c>
      <c r="J222">
        <v>1</v>
      </c>
      <c r="K222">
        <v>3675</v>
      </c>
      <c r="L222">
        <v>10500</v>
      </c>
      <c r="M222">
        <v>10500</v>
      </c>
      <c r="N222" t="s">
        <v>19</v>
      </c>
    </row>
    <row r="223" spans="1:14" x14ac:dyDescent="0.25">
      <c r="A223" t="str">
        <f>Table3[[#This Row],[Company Name]] &amp; " - " &amp; Table3[[#This Row],[Store Name]] &amp; " - " &amp; Table3[[#This Row],[Store Branch / Address]]</f>
        <v>CHICKEN DELI - TILLO - GENERIC</v>
      </c>
      <c r="B223" t="str">
        <f>Table3[[#This Row],[Client ID]] &amp; " - " &amp; Table3[[#This Row],[SO Number]]</f>
        <v>CHICKEN DELI - TILLO - GENERIC - SO-029</v>
      </c>
      <c r="C223" t="s">
        <v>223</v>
      </c>
      <c r="D223" t="s">
        <v>20</v>
      </c>
      <c r="E223" t="s">
        <v>229</v>
      </c>
      <c r="F223" t="s">
        <v>15</v>
      </c>
      <c r="G223" t="s">
        <v>22</v>
      </c>
      <c r="H223" t="s">
        <v>230</v>
      </c>
      <c r="I223" t="s">
        <v>232</v>
      </c>
      <c r="J223">
        <v>1</v>
      </c>
      <c r="K223">
        <v>13100</v>
      </c>
      <c r="L223">
        <v>13100</v>
      </c>
      <c r="M223">
        <v>13100</v>
      </c>
      <c r="N223" t="s">
        <v>19</v>
      </c>
    </row>
    <row r="224" spans="1:14" x14ac:dyDescent="0.25">
      <c r="A224" t="str">
        <f>Table3[[#This Row],[Company Name]] &amp; " - " &amp; Table3[[#This Row],[Store Name]] &amp; " - " &amp; Table3[[#This Row],[Store Branch / Address]]</f>
        <v>CHICKEN DELI - TILLO - GENERIC</v>
      </c>
      <c r="B224" t="str">
        <f>Table3[[#This Row],[Client ID]] &amp; " - " &amp; Table3[[#This Row],[SO Number]]</f>
        <v>CHICKEN DELI - TILLO - GENERIC - SO-029</v>
      </c>
      <c r="C224" t="s">
        <v>223</v>
      </c>
      <c r="D224" t="s">
        <v>20</v>
      </c>
      <c r="E224" t="s">
        <v>229</v>
      </c>
      <c r="F224" t="s">
        <v>15</v>
      </c>
      <c r="G224" t="s">
        <v>22</v>
      </c>
      <c r="H224" t="s">
        <v>230</v>
      </c>
      <c r="I224" t="s">
        <v>24</v>
      </c>
      <c r="J224">
        <v>1</v>
      </c>
      <c r="K224">
        <v>13100</v>
      </c>
      <c r="L224">
        <v>13100</v>
      </c>
      <c r="M224">
        <v>13100</v>
      </c>
      <c r="N224" t="s">
        <v>19</v>
      </c>
    </row>
    <row r="225" spans="1:14" x14ac:dyDescent="0.25">
      <c r="A225" t="str">
        <f>Table3[[#This Row],[Company Name]] &amp; " - " &amp; Table3[[#This Row],[Store Name]] &amp; " - " &amp; Table3[[#This Row],[Store Branch / Address]]</f>
        <v>CHICKEN DELI - TILLO - GENERIC</v>
      </c>
      <c r="B225" t="str">
        <f>Table3[[#This Row],[Client ID]] &amp; " - " &amp; Table3[[#This Row],[SO Number]]</f>
        <v>CHICKEN DELI - TILLO - GENERIC - SO-029</v>
      </c>
      <c r="C225" t="s">
        <v>223</v>
      </c>
      <c r="D225" t="s">
        <v>20</v>
      </c>
      <c r="E225" t="s">
        <v>229</v>
      </c>
      <c r="F225" t="s">
        <v>15</v>
      </c>
      <c r="G225" t="s">
        <v>22</v>
      </c>
      <c r="H225" t="s">
        <v>230</v>
      </c>
      <c r="I225" t="s">
        <v>26</v>
      </c>
      <c r="J225">
        <v>1</v>
      </c>
      <c r="K225">
        <v>500</v>
      </c>
      <c r="L225">
        <v>500</v>
      </c>
      <c r="M225">
        <v>500</v>
      </c>
      <c r="N225" t="s">
        <v>19</v>
      </c>
    </row>
    <row r="226" spans="1:14" x14ac:dyDescent="0.25">
      <c r="A226" t="str">
        <f>Table3[[#This Row],[Company Name]] &amp; " - " &amp; Table3[[#This Row],[Store Name]] &amp; " - " &amp; Table3[[#This Row],[Store Branch / Address]]</f>
        <v>CHICKEN DELI - TILLO - GENERIC</v>
      </c>
      <c r="B226" t="str">
        <f>Table3[[#This Row],[Client ID]] &amp; " - " &amp; Table3[[#This Row],[SO Number]]</f>
        <v>CHICKEN DELI - TILLO - GENERIC - SO-029</v>
      </c>
      <c r="C226" t="s">
        <v>223</v>
      </c>
      <c r="D226" t="s">
        <v>20</v>
      </c>
      <c r="E226" t="s">
        <v>229</v>
      </c>
      <c r="F226" t="s">
        <v>15</v>
      </c>
      <c r="G226" t="s">
        <v>22</v>
      </c>
      <c r="H226" t="s">
        <v>230</v>
      </c>
      <c r="I226" t="s">
        <v>233</v>
      </c>
      <c r="J226">
        <v>1</v>
      </c>
      <c r="K226">
        <v>8500</v>
      </c>
      <c r="L226">
        <v>12100</v>
      </c>
      <c r="M226">
        <v>12100</v>
      </c>
      <c r="N226" t="s">
        <v>19</v>
      </c>
    </row>
    <row r="227" spans="1:14" x14ac:dyDescent="0.25">
      <c r="A227" t="str">
        <f>Table3[[#This Row],[Company Name]] &amp; " - " &amp; Table3[[#This Row],[Store Name]] &amp; " - " &amp; Table3[[#This Row],[Store Branch / Address]]</f>
        <v>CHICKEN DELI - TILLO - GENERIC</v>
      </c>
      <c r="B227" t="str">
        <f>Table3[[#This Row],[Client ID]] &amp; " - " &amp; Table3[[#This Row],[SO Number]]</f>
        <v>CHICKEN DELI - TILLO - GENERIC - SO-029</v>
      </c>
      <c r="C227" t="s">
        <v>223</v>
      </c>
      <c r="D227" t="s">
        <v>20</v>
      </c>
      <c r="E227" t="s">
        <v>229</v>
      </c>
      <c r="F227" t="s">
        <v>15</v>
      </c>
      <c r="G227" t="s">
        <v>22</v>
      </c>
      <c r="H227" t="s">
        <v>230</v>
      </c>
      <c r="I227" t="s">
        <v>98</v>
      </c>
      <c r="J227">
        <v>1</v>
      </c>
      <c r="K227">
        <v>935</v>
      </c>
      <c r="L227">
        <v>1500</v>
      </c>
      <c r="M227">
        <v>1500</v>
      </c>
      <c r="N227" t="s">
        <v>19</v>
      </c>
    </row>
    <row r="228" spans="1:14" x14ac:dyDescent="0.25">
      <c r="A228" t="str">
        <f>Table3[[#This Row],[Company Name]] &amp; " - " &amp; Table3[[#This Row],[Store Name]] &amp; " - " &amp; Table3[[#This Row],[Store Branch / Address]]</f>
        <v>CHICKEN DELI - TILLO - GENERIC</v>
      </c>
      <c r="B228" t="str">
        <f>Table3[[#This Row],[Client ID]] &amp; " - " &amp; Table3[[#This Row],[SO Number]]</f>
        <v>CHICKEN DELI - TILLO - GENERIC - SO-029</v>
      </c>
      <c r="C228" t="s">
        <v>223</v>
      </c>
      <c r="D228" t="s">
        <v>20</v>
      </c>
      <c r="E228" t="s">
        <v>229</v>
      </c>
      <c r="F228" t="s">
        <v>15</v>
      </c>
      <c r="G228" t="s">
        <v>22</v>
      </c>
      <c r="H228" t="s">
        <v>230</v>
      </c>
      <c r="I228" t="s">
        <v>234</v>
      </c>
      <c r="J228">
        <v>1</v>
      </c>
      <c r="K228">
        <v>4800</v>
      </c>
      <c r="L228">
        <v>7000</v>
      </c>
      <c r="M228">
        <v>7000</v>
      </c>
      <c r="N228" t="s">
        <v>19</v>
      </c>
    </row>
    <row r="229" spans="1:14" x14ac:dyDescent="0.25">
      <c r="A229" t="str">
        <f>Table3[[#This Row],[Company Name]] &amp; " - " &amp; Table3[[#This Row],[Store Name]] &amp; " - " &amp; Table3[[#This Row],[Store Branch / Address]]</f>
        <v>CHICKEN DELI - TILLO - GENERIC</v>
      </c>
      <c r="B229" t="str">
        <f>Table3[[#This Row],[Client ID]] &amp; " - " &amp; Table3[[#This Row],[SO Number]]</f>
        <v>CHICKEN DELI - TILLO - GENERIC - SO-029</v>
      </c>
      <c r="C229" t="s">
        <v>223</v>
      </c>
      <c r="D229" t="s">
        <v>20</v>
      </c>
      <c r="E229" t="s">
        <v>229</v>
      </c>
      <c r="F229" t="s">
        <v>15</v>
      </c>
      <c r="G229" t="s">
        <v>22</v>
      </c>
      <c r="H229" t="s">
        <v>230</v>
      </c>
      <c r="I229" t="s">
        <v>235</v>
      </c>
      <c r="J229">
        <v>1</v>
      </c>
      <c r="K229">
        <v>1350</v>
      </c>
      <c r="L229">
        <v>2000</v>
      </c>
      <c r="M229">
        <v>2000</v>
      </c>
      <c r="N229" t="s">
        <v>19</v>
      </c>
    </row>
    <row r="230" spans="1:14" x14ac:dyDescent="0.25">
      <c r="A230" t="str">
        <f>Table3[[#This Row],[Company Name]] &amp; " - " &amp; Table3[[#This Row],[Store Name]] &amp; " - " &amp; Table3[[#This Row],[Store Branch / Address]]</f>
        <v>CHICKEN DELI - TILLO - GENERIC</v>
      </c>
      <c r="B230" t="str">
        <f>Table3[[#This Row],[Client ID]] &amp; " - " &amp; Table3[[#This Row],[SO Number]]</f>
        <v>CHICKEN DELI - TILLO - GENERIC - SO-029</v>
      </c>
      <c r="C230" t="s">
        <v>223</v>
      </c>
      <c r="D230" t="s">
        <v>20</v>
      </c>
      <c r="E230" t="s">
        <v>229</v>
      </c>
      <c r="F230" t="s">
        <v>15</v>
      </c>
      <c r="G230" t="s">
        <v>22</v>
      </c>
      <c r="H230" t="s">
        <v>230</v>
      </c>
      <c r="I230" t="s">
        <v>236</v>
      </c>
      <c r="J230">
        <v>1</v>
      </c>
      <c r="K230">
        <v>2100</v>
      </c>
      <c r="L230">
        <v>3100</v>
      </c>
      <c r="M230">
        <v>3100</v>
      </c>
      <c r="N230" t="s">
        <v>19</v>
      </c>
    </row>
    <row r="231" spans="1:14" x14ac:dyDescent="0.25">
      <c r="A231" t="str">
        <f>Table3[[#This Row],[Company Name]] &amp; " - " &amp; Table3[[#This Row],[Store Name]] &amp; " - " &amp; Table3[[#This Row],[Store Branch / Address]]</f>
        <v>CHICKEN DELI - TILLO - GENERIC</v>
      </c>
      <c r="B231" t="str">
        <f>Table3[[#This Row],[Client ID]] &amp; " - " &amp; Table3[[#This Row],[SO Number]]</f>
        <v>CHICKEN DELI - TILLO - GENERIC - SO-029</v>
      </c>
      <c r="C231" t="s">
        <v>223</v>
      </c>
      <c r="D231" t="s">
        <v>20</v>
      </c>
      <c r="E231" t="s">
        <v>229</v>
      </c>
      <c r="F231" t="s">
        <v>15</v>
      </c>
      <c r="G231" t="s">
        <v>22</v>
      </c>
      <c r="H231" t="s">
        <v>230</v>
      </c>
      <c r="I231" t="s">
        <v>76</v>
      </c>
      <c r="J231">
        <v>1</v>
      </c>
      <c r="K231">
        <v>500</v>
      </c>
      <c r="L231">
        <v>500</v>
      </c>
      <c r="M231">
        <v>500</v>
      </c>
      <c r="N231" t="s">
        <v>19</v>
      </c>
    </row>
    <row r="232" spans="1:14" x14ac:dyDescent="0.25">
      <c r="A232" t="str">
        <f>Table3[[#This Row],[Company Name]] &amp; " - " &amp; Table3[[#This Row],[Store Name]] &amp; " - " &amp; Table3[[#This Row],[Store Branch / Address]]</f>
        <v>CHICKEN DELI - GOOD MOLECULES - GENERIC</v>
      </c>
      <c r="B232" t="str">
        <f>Table3[[#This Row],[Client ID]] &amp; " - " &amp; Table3[[#This Row],[SO Number]]</f>
        <v>CHICKEN DELI - GOOD MOLECULES - GENERIC - SO-030</v>
      </c>
      <c r="C232" t="s">
        <v>243</v>
      </c>
      <c r="D232" t="s">
        <v>20</v>
      </c>
      <c r="E232" t="s">
        <v>244</v>
      </c>
      <c r="F232" t="s">
        <v>15</v>
      </c>
      <c r="G232" t="s">
        <v>22</v>
      </c>
      <c r="H232" t="s">
        <v>230</v>
      </c>
      <c r="I232" t="s">
        <v>231</v>
      </c>
      <c r="J232">
        <v>1</v>
      </c>
      <c r="K232">
        <v>3675</v>
      </c>
      <c r="L232">
        <v>10500</v>
      </c>
      <c r="M232">
        <v>10500</v>
      </c>
      <c r="N232" t="s">
        <v>19</v>
      </c>
    </row>
    <row r="233" spans="1:14" x14ac:dyDescent="0.25">
      <c r="A233" t="str">
        <f>Table3[[#This Row],[Company Name]] &amp; " - " &amp; Table3[[#This Row],[Store Name]] &amp; " - " &amp; Table3[[#This Row],[Store Branch / Address]]</f>
        <v>CHICKEN DELI - GOOD MOLECULES - GENERIC</v>
      </c>
      <c r="B233" t="str">
        <f>Table3[[#This Row],[Client ID]] &amp; " - " &amp; Table3[[#This Row],[SO Number]]</f>
        <v>CHICKEN DELI - GOOD MOLECULES - GENERIC - SO-030</v>
      </c>
      <c r="C233" t="s">
        <v>243</v>
      </c>
      <c r="D233" t="s">
        <v>20</v>
      </c>
      <c r="E233" t="s">
        <v>244</v>
      </c>
      <c r="F233" t="s">
        <v>15</v>
      </c>
      <c r="G233" t="s">
        <v>22</v>
      </c>
      <c r="H233" t="s">
        <v>230</v>
      </c>
      <c r="I233" t="s">
        <v>232</v>
      </c>
      <c r="J233">
        <v>1</v>
      </c>
      <c r="K233">
        <v>13100</v>
      </c>
      <c r="L233">
        <v>13100</v>
      </c>
      <c r="M233">
        <v>13100</v>
      </c>
      <c r="N233" t="s">
        <v>19</v>
      </c>
    </row>
    <row r="234" spans="1:14" x14ac:dyDescent="0.25">
      <c r="A234" t="str">
        <f>Table3[[#This Row],[Company Name]] &amp; " - " &amp; Table3[[#This Row],[Store Name]] &amp; " - " &amp; Table3[[#This Row],[Store Branch / Address]]</f>
        <v>CHICKEN DELI - GOOD MOLECULES - GENERIC</v>
      </c>
      <c r="B234" t="str">
        <f>Table3[[#This Row],[Client ID]] &amp; " - " &amp; Table3[[#This Row],[SO Number]]</f>
        <v>CHICKEN DELI - GOOD MOLECULES - GENERIC - SO-030</v>
      </c>
      <c r="C234" t="s">
        <v>243</v>
      </c>
      <c r="D234" t="s">
        <v>20</v>
      </c>
      <c r="E234" t="s">
        <v>244</v>
      </c>
      <c r="F234" t="s">
        <v>15</v>
      </c>
      <c r="G234" t="s">
        <v>22</v>
      </c>
      <c r="H234" t="s">
        <v>230</v>
      </c>
      <c r="I234" t="s">
        <v>24</v>
      </c>
      <c r="J234">
        <v>1</v>
      </c>
      <c r="K234">
        <v>13100</v>
      </c>
      <c r="L234">
        <v>13100</v>
      </c>
      <c r="M234">
        <v>13100</v>
      </c>
      <c r="N234" t="s">
        <v>19</v>
      </c>
    </row>
    <row r="235" spans="1:14" x14ac:dyDescent="0.25">
      <c r="A235" t="str">
        <f>Table3[[#This Row],[Company Name]] &amp; " - " &amp; Table3[[#This Row],[Store Name]] &amp; " - " &amp; Table3[[#This Row],[Store Branch / Address]]</f>
        <v>CHICKEN DELI - GOOD MOLECULES - GENERIC</v>
      </c>
      <c r="B235" t="str">
        <f>Table3[[#This Row],[Client ID]] &amp; " - " &amp; Table3[[#This Row],[SO Number]]</f>
        <v>CHICKEN DELI - GOOD MOLECULES - GENERIC - SO-030</v>
      </c>
      <c r="C235" t="s">
        <v>243</v>
      </c>
      <c r="D235" t="s">
        <v>20</v>
      </c>
      <c r="E235" t="s">
        <v>244</v>
      </c>
      <c r="F235" t="s">
        <v>15</v>
      </c>
      <c r="G235" t="s">
        <v>22</v>
      </c>
      <c r="H235" t="s">
        <v>230</v>
      </c>
      <c r="I235" t="s">
        <v>26</v>
      </c>
      <c r="J235">
        <v>1</v>
      </c>
      <c r="K235">
        <v>500</v>
      </c>
      <c r="L235">
        <v>500</v>
      </c>
      <c r="M235">
        <v>500</v>
      </c>
      <c r="N235" t="s">
        <v>19</v>
      </c>
    </row>
    <row r="236" spans="1:14" x14ac:dyDescent="0.25">
      <c r="A236" t="str">
        <f>Table3[[#This Row],[Company Name]] &amp; " - " &amp; Table3[[#This Row],[Store Name]] &amp; " - " &amp; Table3[[#This Row],[Store Branch / Address]]</f>
        <v>CHICKEN DELI - GOOD MOLECULES - GENERIC</v>
      </c>
      <c r="B236" t="str">
        <f>Table3[[#This Row],[Client ID]] &amp; " - " &amp; Table3[[#This Row],[SO Number]]</f>
        <v>CHICKEN DELI - GOOD MOLECULES - GENERIC - SO-030</v>
      </c>
      <c r="C236" t="s">
        <v>243</v>
      </c>
      <c r="D236" t="s">
        <v>20</v>
      </c>
      <c r="E236" t="s">
        <v>244</v>
      </c>
      <c r="F236" t="s">
        <v>15</v>
      </c>
      <c r="G236" t="s">
        <v>22</v>
      </c>
      <c r="H236" t="s">
        <v>230</v>
      </c>
      <c r="I236" t="s">
        <v>233</v>
      </c>
      <c r="J236">
        <v>1</v>
      </c>
      <c r="K236">
        <v>8500</v>
      </c>
      <c r="L236">
        <v>12100</v>
      </c>
      <c r="M236">
        <v>12100</v>
      </c>
      <c r="N236" t="s">
        <v>19</v>
      </c>
    </row>
    <row r="237" spans="1:14" x14ac:dyDescent="0.25">
      <c r="A237" t="str">
        <f>Table3[[#This Row],[Company Name]] &amp; " - " &amp; Table3[[#This Row],[Store Name]] &amp; " - " &amp; Table3[[#This Row],[Store Branch / Address]]</f>
        <v>CHICKEN DELI - GOOD MOLECULES - GENERIC</v>
      </c>
      <c r="B237" t="str">
        <f>Table3[[#This Row],[Client ID]] &amp; " - " &amp; Table3[[#This Row],[SO Number]]</f>
        <v>CHICKEN DELI - GOOD MOLECULES - GENERIC - SO-030</v>
      </c>
      <c r="C237" t="s">
        <v>243</v>
      </c>
      <c r="D237" t="s">
        <v>20</v>
      </c>
      <c r="E237" t="s">
        <v>244</v>
      </c>
      <c r="F237" t="s">
        <v>15</v>
      </c>
      <c r="G237" t="s">
        <v>22</v>
      </c>
      <c r="H237" t="s">
        <v>230</v>
      </c>
      <c r="I237" t="s">
        <v>98</v>
      </c>
      <c r="J237">
        <v>1</v>
      </c>
      <c r="K237">
        <v>935</v>
      </c>
      <c r="L237">
        <v>1500</v>
      </c>
      <c r="M237">
        <v>1500</v>
      </c>
      <c r="N237" t="s">
        <v>19</v>
      </c>
    </row>
    <row r="238" spans="1:14" x14ac:dyDescent="0.25">
      <c r="A238" t="str">
        <f>Table3[[#This Row],[Company Name]] &amp; " - " &amp; Table3[[#This Row],[Store Name]] &amp; " - " &amp; Table3[[#This Row],[Store Branch / Address]]</f>
        <v>CHICKEN DELI - GOOD MOLECULES - GENERIC</v>
      </c>
      <c r="B238" t="str">
        <f>Table3[[#This Row],[Client ID]] &amp; " - " &amp; Table3[[#This Row],[SO Number]]</f>
        <v>CHICKEN DELI - GOOD MOLECULES - GENERIC - SO-030</v>
      </c>
      <c r="C238" t="s">
        <v>243</v>
      </c>
      <c r="D238" t="s">
        <v>20</v>
      </c>
      <c r="E238" t="s">
        <v>244</v>
      </c>
      <c r="F238" t="s">
        <v>15</v>
      </c>
      <c r="G238" t="s">
        <v>22</v>
      </c>
      <c r="H238" t="s">
        <v>230</v>
      </c>
      <c r="I238" t="s">
        <v>234</v>
      </c>
      <c r="J238">
        <v>1</v>
      </c>
      <c r="K238">
        <v>4800</v>
      </c>
      <c r="L238">
        <v>7000</v>
      </c>
      <c r="M238">
        <v>7000</v>
      </c>
      <c r="N238" t="s">
        <v>19</v>
      </c>
    </row>
    <row r="239" spans="1:14" x14ac:dyDescent="0.25">
      <c r="A239" t="str">
        <f>Table3[[#This Row],[Company Name]] &amp; " - " &amp; Table3[[#This Row],[Store Name]] &amp; " - " &amp; Table3[[#This Row],[Store Branch / Address]]</f>
        <v>CHICKEN DELI - GOOD MOLECULES - GENERIC</v>
      </c>
      <c r="B239" t="str">
        <f>Table3[[#This Row],[Client ID]] &amp; " - " &amp; Table3[[#This Row],[SO Number]]</f>
        <v>CHICKEN DELI - GOOD MOLECULES - GENERIC - SO-030</v>
      </c>
      <c r="C239" t="s">
        <v>243</v>
      </c>
      <c r="D239" t="s">
        <v>20</v>
      </c>
      <c r="E239" t="s">
        <v>244</v>
      </c>
      <c r="F239" t="s">
        <v>15</v>
      </c>
      <c r="G239" t="s">
        <v>22</v>
      </c>
      <c r="H239" t="s">
        <v>230</v>
      </c>
      <c r="I239" t="s">
        <v>235</v>
      </c>
      <c r="J239">
        <v>1</v>
      </c>
      <c r="K239">
        <v>1350</v>
      </c>
      <c r="L239">
        <v>2000</v>
      </c>
      <c r="M239">
        <v>2000</v>
      </c>
      <c r="N239" t="s">
        <v>19</v>
      </c>
    </row>
    <row r="240" spans="1:14" x14ac:dyDescent="0.25">
      <c r="A240" t="str">
        <f>Table3[[#This Row],[Company Name]] &amp; " - " &amp; Table3[[#This Row],[Store Name]] &amp; " - " &amp; Table3[[#This Row],[Store Branch / Address]]</f>
        <v>CHICKEN DELI - GOOD MOLECULES - GENERIC</v>
      </c>
      <c r="B240" t="str">
        <f>Table3[[#This Row],[Client ID]] &amp; " - " &amp; Table3[[#This Row],[SO Number]]</f>
        <v>CHICKEN DELI - GOOD MOLECULES - GENERIC - SO-030</v>
      </c>
      <c r="C240" t="s">
        <v>243</v>
      </c>
      <c r="D240" t="s">
        <v>20</v>
      </c>
      <c r="E240" t="s">
        <v>244</v>
      </c>
      <c r="F240" t="s">
        <v>15</v>
      </c>
      <c r="G240" t="s">
        <v>22</v>
      </c>
      <c r="H240" t="s">
        <v>230</v>
      </c>
      <c r="I240" t="s">
        <v>236</v>
      </c>
      <c r="J240">
        <v>1</v>
      </c>
      <c r="K240">
        <v>2100</v>
      </c>
      <c r="L240">
        <v>3100</v>
      </c>
      <c r="M240">
        <v>3100</v>
      </c>
      <c r="N240" t="s">
        <v>19</v>
      </c>
    </row>
    <row r="241" spans="1:14" x14ac:dyDescent="0.25">
      <c r="A241" t="str">
        <f>Table3[[#This Row],[Company Name]] &amp; " - " &amp; Table3[[#This Row],[Store Name]] &amp; " - " &amp; Table3[[#This Row],[Store Branch / Address]]</f>
        <v>CHICKEN DELI - GOOD MOLECULES - GENERIC</v>
      </c>
      <c r="B241" t="str">
        <f>Table3[[#This Row],[Client ID]] &amp; " - " &amp; Table3[[#This Row],[SO Number]]</f>
        <v>CHICKEN DELI - GOOD MOLECULES - GENERIC - SO-030</v>
      </c>
      <c r="C241" t="s">
        <v>243</v>
      </c>
      <c r="D241" t="s">
        <v>20</v>
      </c>
      <c r="E241" t="s">
        <v>244</v>
      </c>
      <c r="F241" t="s">
        <v>15</v>
      </c>
      <c r="G241" t="s">
        <v>22</v>
      </c>
      <c r="H241" t="s">
        <v>230</v>
      </c>
      <c r="I241" t="s">
        <v>76</v>
      </c>
      <c r="J241">
        <v>1</v>
      </c>
      <c r="K241">
        <v>500</v>
      </c>
      <c r="L241">
        <v>500</v>
      </c>
      <c r="M241">
        <v>500</v>
      </c>
      <c r="N241" t="s">
        <v>19</v>
      </c>
    </row>
    <row r="242" spans="1:14" x14ac:dyDescent="0.25">
      <c r="A242" t="str">
        <f>Table3[[#This Row],[Company Name]] &amp; " - " &amp; Table3[[#This Row],[Store Name]] &amp; " - " &amp; Table3[[#This Row],[Store Branch / Address]]</f>
        <v>CHICKEN DELI - LUCKY BEAUTY  1 - GENERIC</v>
      </c>
      <c r="B242" t="str">
        <f>Table3[[#This Row],[Client ID]] &amp; " - " &amp; Table3[[#This Row],[SO Number]]</f>
        <v>CHICKEN DELI - LUCKY BEAUTY  1 - GENERIC - SO-031</v>
      </c>
      <c r="C242" t="s">
        <v>245</v>
      </c>
      <c r="D242" t="s">
        <v>20</v>
      </c>
      <c r="E242" t="s">
        <v>250</v>
      </c>
      <c r="F242" t="s">
        <v>15</v>
      </c>
      <c r="G242" t="s">
        <v>22</v>
      </c>
      <c r="H242" t="s">
        <v>230</v>
      </c>
      <c r="I242" t="s">
        <v>231</v>
      </c>
      <c r="J242">
        <v>1</v>
      </c>
      <c r="K242">
        <v>3675</v>
      </c>
      <c r="L242">
        <v>10500</v>
      </c>
      <c r="M242">
        <v>10500</v>
      </c>
      <c r="N242" t="s">
        <v>19</v>
      </c>
    </row>
    <row r="243" spans="1:14" x14ac:dyDescent="0.25">
      <c r="A243" t="str">
        <f>Table3[[#This Row],[Company Name]] &amp; " - " &amp; Table3[[#This Row],[Store Name]] &amp; " - " &amp; Table3[[#This Row],[Store Branch / Address]]</f>
        <v>CHICKEN DELI - LUCKY BEAUTY  1 - GENERIC</v>
      </c>
      <c r="B243" t="str">
        <f>Table3[[#This Row],[Client ID]] &amp; " - " &amp; Table3[[#This Row],[SO Number]]</f>
        <v>CHICKEN DELI - LUCKY BEAUTY  1 - GENERIC - SO-031</v>
      </c>
      <c r="C243" t="s">
        <v>245</v>
      </c>
      <c r="D243" t="s">
        <v>20</v>
      </c>
      <c r="E243" t="s">
        <v>250</v>
      </c>
      <c r="F243" t="s">
        <v>15</v>
      </c>
      <c r="G243" t="s">
        <v>22</v>
      </c>
      <c r="H243" t="s">
        <v>230</v>
      </c>
      <c r="I243" t="s">
        <v>232</v>
      </c>
      <c r="J243">
        <v>1</v>
      </c>
      <c r="K243">
        <v>13100</v>
      </c>
      <c r="L243">
        <v>13100</v>
      </c>
      <c r="M243">
        <v>13100</v>
      </c>
      <c r="N243" t="s">
        <v>19</v>
      </c>
    </row>
    <row r="244" spans="1:14" x14ac:dyDescent="0.25">
      <c r="A244" t="str">
        <f>Table3[[#This Row],[Company Name]] &amp; " - " &amp; Table3[[#This Row],[Store Name]] &amp; " - " &amp; Table3[[#This Row],[Store Branch / Address]]</f>
        <v>CHICKEN DELI - LUCKY BEAUTY  1 - GENERIC</v>
      </c>
      <c r="B244" t="str">
        <f>Table3[[#This Row],[Client ID]] &amp; " - " &amp; Table3[[#This Row],[SO Number]]</f>
        <v>CHICKEN DELI - LUCKY BEAUTY  1 - GENERIC - SO-031</v>
      </c>
      <c r="C244" t="s">
        <v>245</v>
      </c>
      <c r="D244" t="s">
        <v>20</v>
      </c>
      <c r="E244" t="s">
        <v>250</v>
      </c>
      <c r="F244" t="s">
        <v>15</v>
      </c>
      <c r="G244" t="s">
        <v>22</v>
      </c>
      <c r="H244" t="s">
        <v>230</v>
      </c>
      <c r="I244" t="s">
        <v>24</v>
      </c>
      <c r="J244">
        <v>1</v>
      </c>
      <c r="K244">
        <v>13100</v>
      </c>
      <c r="L244">
        <v>13100</v>
      </c>
      <c r="M244">
        <v>13100</v>
      </c>
      <c r="N244" t="s">
        <v>19</v>
      </c>
    </row>
    <row r="245" spans="1:14" x14ac:dyDescent="0.25">
      <c r="A245" t="str">
        <f>Table3[[#This Row],[Company Name]] &amp; " - " &amp; Table3[[#This Row],[Store Name]] &amp; " - " &amp; Table3[[#This Row],[Store Branch / Address]]</f>
        <v>CHICKEN DELI - LUCKY BEAUTY  1 - GENERIC</v>
      </c>
      <c r="B245" t="str">
        <f>Table3[[#This Row],[Client ID]] &amp; " - " &amp; Table3[[#This Row],[SO Number]]</f>
        <v>CHICKEN DELI - LUCKY BEAUTY  1 - GENERIC - SO-031</v>
      </c>
      <c r="C245" t="s">
        <v>245</v>
      </c>
      <c r="D245" t="s">
        <v>20</v>
      </c>
      <c r="E245" t="s">
        <v>250</v>
      </c>
      <c r="F245" t="s">
        <v>15</v>
      </c>
      <c r="G245" t="s">
        <v>22</v>
      </c>
      <c r="H245" t="s">
        <v>230</v>
      </c>
      <c r="I245" t="s">
        <v>26</v>
      </c>
      <c r="J245">
        <v>1</v>
      </c>
      <c r="K245">
        <v>500</v>
      </c>
      <c r="L245">
        <v>500</v>
      </c>
      <c r="M245">
        <v>500</v>
      </c>
      <c r="N245" t="s">
        <v>19</v>
      </c>
    </row>
    <row r="246" spans="1:14" x14ac:dyDescent="0.25">
      <c r="A246" t="str">
        <f>Table3[[#This Row],[Company Name]] &amp; " - " &amp; Table3[[#This Row],[Store Name]] &amp; " - " &amp; Table3[[#This Row],[Store Branch / Address]]</f>
        <v>CHICKEN DELI - LUCKY BEAUTY  1 - GENERIC</v>
      </c>
      <c r="B246" t="str">
        <f>Table3[[#This Row],[Client ID]] &amp; " - " &amp; Table3[[#This Row],[SO Number]]</f>
        <v>CHICKEN DELI - LUCKY BEAUTY  1 - GENERIC - SO-031</v>
      </c>
      <c r="C246" t="s">
        <v>245</v>
      </c>
      <c r="D246" t="s">
        <v>20</v>
      </c>
      <c r="E246" t="s">
        <v>250</v>
      </c>
      <c r="F246" t="s">
        <v>15</v>
      </c>
      <c r="G246" t="s">
        <v>22</v>
      </c>
      <c r="H246" t="s">
        <v>230</v>
      </c>
      <c r="I246" t="s">
        <v>233</v>
      </c>
      <c r="J246">
        <v>1</v>
      </c>
      <c r="K246">
        <v>8500</v>
      </c>
      <c r="L246">
        <v>12100</v>
      </c>
      <c r="M246">
        <v>12100</v>
      </c>
      <c r="N246" t="s">
        <v>19</v>
      </c>
    </row>
    <row r="247" spans="1:14" x14ac:dyDescent="0.25">
      <c r="A247" t="str">
        <f>Table3[[#This Row],[Company Name]] &amp; " - " &amp; Table3[[#This Row],[Store Name]] &amp; " - " &amp; Table3[[#This Row],[Store Branch / Address]]</f>
        <v>CHICKEN DELI - LUCKY BEAUTY  1 - GENERIC</v>
      </c>
      <c r="B247" t="str">
        <f>Table3[[#This Row],[Client ID]] &amp; " - " &amp; Table3[[#This Row],[SO Number]]</f>
        <v>CHICKEN DELI - LUCKY BEAUTY  1 - GENERIC - SO-031</v>
      </c>
      <c r="C247" t="s">
        <v>245</v>
      </c>
      <c r="D247" t="s">
        <v>20</v>
      </c>
      <c r="E247" t="s">
        <v>250</v>
      </c>
      <c r="F247" t="s">
        <v>15</v>
      </c>
      <c r="G247" t="s">
        <v>22</v>
      </c>
      <c r="H247" t="s">
        <v>230</v>
      </c>
      <c r="I247" t="s">
        <v>98</v>
      </c>
      <c r="J247">
        <v>1</v>
      </c>
      <c r="K247">
        <v>935</v>
      </c>
      <c r="L247">
        <v>1500</v>
      </c>
      <c r="M247">
        <v>1500</v>
      </c>
      <c r="N247" t="s">
        <v>19</v>
      </c>
    </row>
    <row r="248" spans="1:14" x14ac:dyDescent="0.25">
      <c r="A248" t="str">
        <f>Table3[[#This Row],[Company Name]] &amp; " - " &amp; Table3[[#This Row],[Store Name]] &amp; " - " &amp; Table3[[#This Row],[Store Branch / Address]]</f>
        <v>CHICKEN DELI - LUCKY BEAUTY  1 - GENERIC</v>
      </c>
      <c r="B248" t="str">
        <f>Table3[[#This Row],[Client ID]] &amp; " - " &amp; Table3[[#This Row],[SO Number]]</f>
        <v>CHICKEN DELI - LUCKY BEAUTY  1 - GENERIC - SO-031</v>
      </c>
      <c r="C248" t="s">
        <v>245</v>
      </c>
      <c r="D248" t="s">
        <v>20</v>
      </c>
      <c r="E248" t="s">
        <v>250</v>
      </c>
      <c r="F248" t="s">
        <v>15</v>
      </c>
      <c r="G248" t="s">
        <v>22</v>
      </c>
      <c r="H248" t="s">
        <v>230</v>
      </c>
      <c r="I248" t="s">
        <v>234</v>
      </c>
      <c r="J248">
        <v>1</v>
      </c>
      <c r="K248">
        <v>4800</v>
      </c>
      <c r="L248">
        <v>7000</v>
      </c>
      <c r="M248">
        <v>7000</v>
      </c>
      <c r="N248" t="s">
        <v>19</v>
      </c>
    </row>
    <row r="249" spans="1:14" x14ac:dyDescent="0.25">
      <c r="A249" t="str">
        <f>Table3[[#This Row],[Company Name]] &amp; " - " &amp; Table3[[#This Row],[Store Name]] &amp; " - " &amp; Table3[[#This Row],[Store Branch / Address]]</f>
        <v>CHICKEN DELI - LUCKY BEAUTY  1 - GENERIC</v>
      </c>
      <c r="B249" t="str">
        <f>Table3[[#This Row],[Client ID]] &amp; " - " &amp; Table3[[#This Row],[SO Number]]</f>
        <v>CHICKEN DELI - LUCKY BEAUTY  1 - GENERIC - SO-031</v>
      </c>
      <c r="C249" t="s">
        <v>245</v>
      </c>
      <c r="D249" t="s">
        <v>20</v>
      </c>
      <c r="E249" t="s">
        <v>250</v>
      </c>
      <c r="F249" t="s">
        <v>15</v>
      </c>
      <c r="G249" t="s">
        <v>22</v>
      </c>
      <c r="H249" t="s">
        <v>230</v>
      </c>
      <c r="I249" t="s">
        <v>235</v>
      </c>
      <c r="J249">
        <v>1</v>
      </c>
      <c r="K249">
        <v>1350</v>
      </c>
      <c r="L249">
        <v>2000</v>
      </c>
      <c r="M249">
        <v>2000</v>
      </c>
      <c r="N249" t="s">
        <v>19</v>
      </c>
    </row>
    <row r="250" spans="1:14" x14ac:dyDescent="0.25">
      <c r="A250" t="str">
        <f>Table3[[#This Row],[Company Name]] &amp; " - " &amp; Table3[[#This Row],[Store Name]] &amp; " - " &amp; Table3[[#This Row],[Store Branch / Address]]</f>
        <v>CHICKEN DELI - LUCKY BEAUTY  1 - GENERIC</v>
      </c>
      <c r="B250" t="str">
        <f>Table3[[#This Row],[Client ID]] &amp; " - " &amp; Table3[[#This Row],[SO Number]]</f>
        <v>CHICKEN DELI - LUCKY BEAUTY  1 - GENERIC - SO-031</v>
      </c>
      <c r="C250" t="s">
        <v>245</v>
      </c>
      <c r="D250" t="s">
        <v>20</v>
      </c>
      <c r="E250" t="s">
        <v>250</v>
      </c>
      <c r="F250" t="s">
        <v>15</v>
      </c>
      <c r="G250" t="s">
        <v>22</v>
      </c>
      <c r="H250" t="s">
        <v>230</v>
      </c>
      <c r="I250" t="s">
        <v>236</v>
      </c>
      <c r="J250">
        <v>1</v>
      </c>
      <c r="K250">
        <v>2100</v>
      </c>
      <c r="L250">
        <v>3100</v>
      </c>
      <c r="M250">
        <v>3100</v>
      </c>
      <c r="N250" t="s">
        <v>19</v>
      </c>
    </row>
    <row r="251" spans="1:14" x14ac:dyDescent="0.25">
      <c r="A251" t="str">
        <f>Table3[[#This Row],[Company Name]] &amp; " - " &amp; Table3[[#This Row],[Store Name]] &amp; " - " &amp; Table3[[#This Row],[Store Branch / Address]]</f>
        <v>CHICKEN DELI - LUCKY BEAUTY  1 - GENERIC</v>
      </c>
      <c r="B251" t="str">
        <f>Table3[[#This Row],[Client ID]] &amp; " - " &amp; Table3[[#This Row],[SO Number]]</f>
        <v>CHICKEN DELI - LUCKY BEAUTY  1 - GENERIC - SO-031</v>
      </c>
      <c r="C251" t="s">
        <v>245</v>
      </c>
      <c r="D251" t="s">
        <v>20</v>
      </c>
      <c r="E251" t="s">
        <v>250</v>
      </c>
      <c r="F251" t="s">
        <v>15</v>
      </c>
      <c r="G251" t="s">
        <v>22</v>
      </c>
      <c r="H251" t="s">
        <v>230</v>
      </c>
      <c r="I251" t="s">
        <v>76</v>
      </c>
      <c r="J251">
        <v>1</v>
      </c>
      <c r="K251">
        <v>500</v>
      </c>
      <c r="L251">
        <v>500</v>
      </c>
      <c r="M251">
        <v>500</v>
      </c>
      <c r="N251" t="s">
        <v>19</v>
      </c>
    </row>
    <row r="252" spans="1:14" x14ac:dyDescent="0.25">
      <c r="A252" t="str">
        <f>Table3[[#This Row],[Company Name]] &amp; " - " &amp; Table3[[#This Row],[Store Name]] &amp; " - " &amp; Table3[[#This Row],[Store Branch / Address]]</f>
        <v>CHICKEN DELI - LUCKY BEAUTY 2 - GENERIC</v>
      </c>
      <c r="B252" t="str">
        <f>Table3[[#This Row],[Client ID]] &amp; " - " &amp; Table3[[#This Row],[SO Number]]</f>
        <v>CHICKEN DELI - LUCKY BEAUTY 2 - GENERIC - SO-032</v>
      </c>
      <c r="C252" t="s">
        <v>251</v>
      </c>
      <c r="D252" t="s">
        <v>20</v>
      </c>
      <c r="E252" t="s">
        <v>252</v>
      </c>
      <c r="F252" t="s">
        <v>15</v>
      </c>
      <c r="G252" t="s">
        <v>22</v>
      </c>
      <c r="H252" t="s">
        <v>230</v>
      </c>
      <c r="I252" t="s">
        <v>231</v>
      </c>
      <c r="J252">
        <v>1</v>
      </c>
      <c r="K252">
        <v>3675</v>
      </c>
      <c r="L252">
        <v>10500</v>
      </c>
      <c r="M252">
        <v>10500</v>
      </c>
      <c r="N252" t="s">
        <v>19</v>
      </c>
    </row>
    <row r="253" spans="1:14" x14ac:dyDescent="0.25">
      <c r="A253" t="str">
        <f>Table3[[#This Row],[Company Name]] &amp; " - " &amp; Table3[[#This Row],[Store Name]] &amp; " - " &amp; Table3[[#This Row],[Store Branch / Address]]</f>
        <v>CHICKEN DELI - LUCKY BEAUTY 2 - GENERIC</v>
      </c>
      <c r="B253" t="str">
        <f>Table3[[#This Row],[Client ID]] &amp; " - " &amp; Table3[[#This Row],[SO Number]]</f>
        <v>CHICKEN DELI - LUCKY BEAUTY 2 - GENERIC - SO-032</v>
      </c>
      <c r="C253" t="s">
        <v>251</v>
      </c>
      <c r="D253" t="s">
        <v>20</v>
      </c>
      <c r="E253" t="s">
        <v>252</v>
      </c>
      <c r="F253" t="s">
        <v>15</v>
      </c>
      <c r="G253" t="s">
        <v>22</v>
      </c>
      <c r="H253" t="s">
        <v>230</v>
      </c>
      <c r="I253" t="s">
        <v>232</v>
      </c>
      <c r="J253">
        <v>1</v>
      </c>
      <c r="K253">
        <v>13100</v>
      </c>
      <c r="L253">
        <v>13100</v>
      </c>
      <c r="M253">
        <v>13100</v>
      </c>
      <c r="N253" t="s">
        <v>19</v>
      </c>
    </row>
    <row r="254" spans="1:14" x14ac:dyDescent="0.25">
      <c r="A254" t="str">
        <f>Table3[[#This Row],[Company Name]] &amp; " - " &amp; Table3[[#This Row],[Store Name]] &amp; " - " &amp; Table3[[#This Row],[Store Branch / Address]]</f>
        <v>CHICKEN DELI - LUCKY BEAUTY 2 - GENERIC</v>
      </c>
      <c r="B254" t="str">
        <f>Table3[[#This Row],[Client ID]] &amp; " - " &amp; Table3[[#This Row],[SO Number]]</f>
        <v>CHICKEN DELI - LUCKY BEAUTY 2 - GENERIC - SO-032</v>
      </c>
      <c r="C254" t="s">
        <v>251</v>
      </c>
      <c r="D254" t="s">
        <v>20</v>
      </c>
      <c r="E254" t="s">
        <v>252</v>
      </c>
      <c r="F254" t="s">
        <v>15</v>
      </c>
      <c r="G254" t="s">
        <v>22</v>
      </c>
      <c r="H254" t="s">
        <v>230</v>
      </c>
      <c r="I254" t="s">
        <v>24</v>
      </c>
      <c r="J254">
        <v>1</v>
      </c>
      <c r="K254">
        <v>13100</v>
      </c>
      <c r="L254">
        <v>13100</v>
      </c>
      <c r="M254">
        <v>13100</v>
      </c>
      <c r="N254" t="s">
        <v>19</v>
      </c>
    </row>
    <row r="255" spans="1:14" x14ac:dyDescent="0.25">
      <c r="A255" t="str">
        <f>Table3[[#This Row],[Company Name]] &amp; " - " &amp; Table3[[#This Row],[Store Name]] &amp; " - " &amp; Table3[[#This Row],[Store Branch / Address]]</f>
        <v>CHICKEN DELI - LUCKY BEAUTY 2 - GENERIC</v>
      </c>
      <c r="B255" t="str">
        <f>Table3[[#This Row],[Client ID]] &amp; " - " &amp; Table3[[#This Row],[SO Number]]</f>
        <v>CHICKEN DELI - LUCKY BEAUTY 2 - GENERIC - SO-032</v>
      </c>
      <c r="C255" t="s">
        <v>251</v>
      </c>
      <c r="D255" t="s">
        <v>20</v>
      </c>
      <c r="E255" t="s">
        <v>252</v>
      </c>
      <c r="F255" t="s">
        <v>15</v>
      </c>
      <c r="G255" t="s">
        <v>22</v>
      </c>
      <c r="H255" t="s">
        <v>230</v>
      </c>
      <c r="I255" t="s">
        <v>26</v>
      </c>
      <c r="J255">
        <v>1</v>
      </c>
      <c r="K255">
        <v>500</v>
      </c>
      <c r="L255">
        <v>500</v>
      </c>
      <c r="M255">
        <v>500</v>
      </c>
      <c r="N255" t="s">
        <v>19</v>
      </c>
    </row>
    <row r="256" spans="1:14" x14ac:dyDescent="0.25">
      <c r="A256" t="str">
        <f>Table3[[#This Row],[Company Name]] &amp; " - " &amp; Table3[[#This Row],[Store Name]] &amp; " - " &amp; Table3[[#This Row],[Store Branch / Address]]</f>
        <v>CHICKEN DELI - LUCKY BEAUTY 2 - GENERIC</v>
      </c>
      <c r="B256" t="str">
        <f>Table3[[#This Row],[Client ID]] &amp; " - " &amp; Table3[[#This Row],[SO Number]]</f>
        <v>CHICKEN DELI - LUCKY BEAUTY 2 - GENERIC - SO-032</v>
      </c>
      <c r="C256" t="s">
        <v>251</v>
      </c>
      <c r="D256" t="s">
        <v>20</v>
      </c>
      <c r="E256" t="s">
        <v>252</v>
      </c>
      <c r="F256" t="s">
        <v>15</v>
      </c>
      <c r="G256" t="s">
        <v>22</v>
      </c>
      <c r="H256" t="s">
        <v>230</v>
      </c>
      <c r="I256" t="s">
        <v>233</v>
      </c>
      <c r="J256">
        <v>1</v>
      </c>
      <c r="K256">
        <v>8500</v>
      </c>
      <c r="L256">
        <v>12100</v>
      </c>
      <c r="M256">
        <v>12100</v>
      </c>
      <c r="N256" t="s">
        <v>19</v>
      </c>
    </row>
    <row r="257" spans="1:14" x14ac:dyDescent="0.25">
      <c r="A257" t="str">
        <f>Table3[[#This Row],[Company Name]] &amp; " - " &amp; Table3[[#This Row],[Store Name]] &amp; " - " &amp; Table3[[#This Row],[Store Branch / Address]]</f>
        <v>CHICKEN DELI - LUCKY BEAUTY 2 - GENERIC</v>
      </c>
      <c r="B257" t="str">
        <f>Table3[[#This Row],[Client ID]] &amp; " - " &amp; Table3[[#This Row],[SO Number]]</f>
        <v>CHICKEN DELI - LUCKY BEAUTY 2 - GENERIC - SO-032</v>
      </c>
      <c r="C257" t="s">
        <v>251</v>
      </c>
      <c r="D257" t="s">
        <v>20</v>
      </c>
      <c r="E257" t="s">
        <v>252</v>
      </c>
      <c r="F257" t="s">
        <v>15</v>
      </c>
      <c r="G257" t="s">
        <v>22</v>
      </c>
      <c r="H257" t="s">
        <v>230</v>
      </c>
      <c r="I257" t="s">
        <v>98</v>
      </c>
      <c r="J257">
        <v>1</v>
      </c>
      <c r="K257">
        <v>935</v>
      </c>
      <c r="L257">
        <v>1500</v>
      </c>
      <c r="M257">
        <v>1500</v>
      </c>
      <c r="N257" t="s">
        <v>19</v>
      </c>
    </row>
    <row r="258" spans="1:14" x14ac:dyDescent="0.25">
      <c r="A258" t="str">
        <f>Table3[[#This Row],[Company Name]] &amp; " - " &amp; Table3[[#This Row],[Store Name]] &amp; " - " &amp; Table3[[#This Row],[Store Branch / Address]]</f>
        <v>CHICKEN DELI - LUCKY BEAUTY 2 - GENERIC</v>
      </c>
      <c r="B258" t="str">
        <f>Table3[[#This Row],[Client ID]] &amp; " - " &amp; Table3[[#This Row],[SO Number]]</f>
        <v>CHICKEN DELI - LUCKY BEAUTY 2 - GENERIC - SO-032</v>
      </c>
      <c r="C258" t="s">
        <v>251</v>
      </c>
      <c r="D258" t="s">
        <v>20</v>
      </c>
      <c r="E258" t="s">
        <v>252</v>
      </c>
      <c r="F258" t="s">
        <v>15</v>
      </c>
      <c r="G258" t="s">
        <v>22</v>
      </c>
      <c r="H258" t="s">
        <v>230</v>
      </c>
      <c r="I258" t="s">
        <v>234</v>
      </c>
      <c r="J258">
        <v>1</v>
      </c>
      <c r="K258">
        <v>4800</v>
      </c>
      <c r="L258">
        <v>7000</v>
      </c>
      <c r="M258">
        <v>7000</v>
      </c>
      <c r="N258" t="s">
        <v>19</v>
      </c>
    </row>
    <row r="259" spans="1:14" x14ac:dyDescent="0.25">
      <c r="A259" t="str">
        <f>Table3[[#This Row],[Company Name]] &amp; " - " &amp; Table3[[#This Row],[Store Name]] &amp; " - " &amp; Table3[[#This Row],[Store Branch / Address]]</f>
        <v>CHICKEN DELI - LUCKY BEAUTY 2 - GENERIC</v>
      </c>
      <c r="B259" t="str">
        <f>Table3[[#This Row],[Client ID]] &amp; " - " &amp; Table3[[#This Row],[SO Number]]</f>
        <v>CHICKEN DELI - LUCKY BEAUTY 2 - GENERIC - SO-032</v>
      </c>
      <c r="C259" t="s">
        <v>251</v>
      </c>
      <c r="D259" t="s">
        <v>20</v>
      </c>
      <c r="E259" t="s">
        <v>252</v>
      </c>
      <c r="F259" t="s">
        <v>15</v>
      </c>
      <c r="G259" t="s">
        <v>22</v>
      </c>
      <c r="H259" t="s">
        <v>230</v>
      </c>
      <c r="I259" t="s">
        <v>235</v>
      </c>
      <c r="J259">
        <v>1</v>
      </c>
      <c r="K259">
        <v>1350</v>
      </c>
      <c r="L259">
        <v>2000</v>
      </c>
      <c r="M259">
        <v>2000</v>
      </c>
      <c r="N259" t="s">
        <v>19</v>
      </c>
    </row>
    <row r="260" spans="1:14" x14ac:dyDescent="0.25">
      <c r="A260" t="str">
        <f>Table3[[#This Row],[Company Name]] &amp; " - " &amp; Table3[[#This Row],[Store Name]] &amp; " - " &amp; Table3[[#This Row],[Store Branch / Address]]</f>
        <v>CHICKEN DELI - LUCKY BEAUTY 2 - GENERIC</v>
      </c>
      <c r="B260" t="str">
        <f>Table3[[#This Row],[Client ID]] &amp; " - " &amp; Table3[[#This Row],[SO Number]]</f>
        <v>CHICKEN DELI - LUCKY BEAUTY 2 - GENERIC - SO-032</v>
      </c>
      <c r="C260" t="s">
        <v>251</v>
      </c>
      <c r="D260" t="s">
        <v>20</v>
      </c>
      <c r="E260" t="s">
        <v>252</v>
      </c>
      <c r="F260" t="s">
        <v>15</v>
      </c>
      <c r="G260" t="s">
        <v>22</v>
      </c>
      <c r="H260" t="s">
        <v>230</v>
      </c>
      <c r="I260" t="s">
        <v>236</v>
      </c>
      <c r="J260">
        <v>1</v>
      </c>
      <c r="K260">
        <v>2100</v>
      </c>
      <c r="L260">
        <v>3100</v>
      </c>
      <c r="M260">
        <v>3100</v>
      </c>
      <c r="N260" t="s">
        <v>19</v>
      </c>
    </row>
    <row r="261" spans="1:14" x14ac:dyDescent="0.25">
      <c r="A261" t="str">
        <f>Table3[[#This Row],[Company Name]] &amp; " - " &amp; Table3[[#This Row],[Store Name]] &amp; " - " &amp; Table3[[#This Row],[Store Branch / Address]]</f>
        <v>CHICKEN DELI - LUCKY BEAUTY 2 - GENERIC</v>
      </c>
      <c r="B261" t="str">
        <f>Table3[[#This Row],[Client ID]] &amp; " - " &amp; Table3[[#This Row],[SO Number]]</f>
        <v>CHICKEN DELI - LUCKY BEAUTY 2 - GENERIC - SO-032</v>
      </c>
      <c r="C261" t="s">
        <v>251</v>
      </c>
      <c r="D261" t="s">
        <v>20</v>
      </c>
      <c r="E261" t="s">
        <v>252</v>
      </c>
      <c r="F261" t="s">
        <v>15</v>
      </c>
      <c r="G261" t="s">
        <v>22</v>
      </c>
      <c r="H261" t="s">
        <v>230</v>
      </c>
      <c r="I261" t="s">
        <v>76</v>
      </c>
      <c r="J261">
        <v>1</v>
      </c>
      <c r="K261">
        <v>500</v>
      </c>
      <c r="L261">
        <v>500</v>
      </c>
      <c r="M261">
        <v>500</v>
      </c>
      <c r="N261" t="s">
        <v>19</v>
      </c>
    </row>
    <row r="262" spans="1:14" x14ac:dyDescent="0.25">
      <c r="A262" t="str">
        <f>Table3[[#This Row],[Company Name]] &amp; " - " &amp; Table3[[#This Row],[Store Name]] &amp; " - " &amp; Table3[[#This Row],[Store Branch / Address]]</f>
        <v>RBQ FOOD SPECIALISTS INC - REYES BARBECUE - SM MOA</v>
      </c>
      <c r="B262" t="str">
        <f>Table3[[#This Row],[Client ID]] &amp; " - " &amp; Table3[[#This Row],[SO Number]]</f>
        <v>RBQ FOOD SPECIALISTS INC - REYES BARBECUE - SM MOA - SO-023</v>
      </c>
      <c r="C262" t="s">
        <v>198</v>
      </c>
      <c r="D262" t="s">
        <v>199</v>
      </c>
      <c r="E262" t="s">
        <v>200</v>
      </c>
      <c r="F262" t="s">
        <v>201</v>
      </c>
      <c r="G262" t="s">
        <v>22</v>
      </c>
      <c r="H262" t="s">
        <v>202</v>
      </c>
      <c r="I262" t="s">
        <v>188</v>
      </c>
      <c r="J262">
        <v>1</v>
      </c>
      <c r="K262">
        <v>23450</v>
      </c>
      <c r="L262">
        <v>29900</v>
      </c>
      <c r="M262">
        <v>29900</v>
      </c>
      <c r="N262" t="s">
        <v>39</v>
      </c>
    </row>
    <row r="263" spans="1:14" x14ac:dyDescent="0.25">
      <c r="A263" t="str">
        <f>Table3[[#This Row],[Company Name]] &amp; " - " &amp; Table3[[#This Row],[Store Name]] &amp; " - " &amp; Table3[[#This Row],[Store Branch / Address]]</f>
        <v>RBQ FOOD SPECIALISTS INC - REYES BARBECUE - SM MOA</v>
      </c>
      <c r="B263" t="str">
        <f>Table3[[#This Row],[Client ID]] &amp; " - " &amp; Table3[[#This Row],[SO Number]]</f>
        <v>RBQ FOOD SPECIALISTS INC - REYES BARBECUE - SM MOA - SO-023</v>
      </c>
      <c r="C263" t="s">
        <v>198</v>
      </c>
      <c r="D263" t="s">
        <v>199</v>
      </c>
      <c r="E263" t="s">
        <v>200</v>
      </c>
      <c r="F263" t="s">
        <v>201</v>
      </c>
      <c r="G263" t="s">
        <v>22</v>
      </c>
      <c r="H263" t="s">
        <v>202</v>
      </c>
      <c r="I263" t="s">
        <v>189</v>
      </c>
      <c r="J263">
        <v>1</v>
      </c>
      <c r="K263">
        <v>500</v>
      </c>
      <c r="L263">
        <v>700</v>
      </c>
      <c r="M263">
        <v>700</v>
      </c>
      <c r="N263" t="s">
        <v>39</v>
      </c>
    </row>
    <row r="264" spans="1:14" x14ac:dyDescent="0.25">
      <c r="A264" t="str">
        <f>Table3[[#This Row],[Company Name]] &amp; " - " &amp; Table3[[#This Row],[Store Name]] &amp; " - " &amp; Table3[[#This Row],[Store Branch / Address]]</f>
        <v>RBQ FOOD SPECIALISTS INC - REYES BARBECUE - SM MOA</v>
      </c>
      <c r="B264" t="str">
        <f>Table3[[#This Row],[Client ID]] &amp; " - " &amp; Table3[[#This Row],[SO Number]]</f>
        <v>RBQ FOOD SPECIALISTS INC - REYES BARBECUE - SM MOA - SO-023</v>
      </c>
      <c r="C264" t="s">
        <v>198</v>
      </c>
      <c r="D264" t="s">
        <v>199</v>
      </c>
      <c r="E264" t="s">
        <v>200</v>
      </c>
      <c r="F264" t="s">
        <v>201</v>
      </c>
      <c r="G264" t="s">
        <v>22</v>
      </c>
      <c r="H264" t="s">
        <v>202</v>
      </c>
      <c r="I264" t="s">
        <v>203</v>
      </c>
      <c r="J264">
        <v>1</v>
      </c>
      <c r="K264">
        <v>350</v>
      </c>
      <c r="L264">
        <v>500</v>
      </c>
      <c r="M264">
        <v>500</v>
      </c>
      <c r="N264" t="s">
        <v>39</v>
      </c>
    </row>
    <row r="265" spans="1:14" x14ac:dyDescent="0.25">
      <c r="A265" t="str">
        <f>Table3[[#This Row],[Company Name]] &amp; " - " &amp; Table3[[#This Row],[Store Name]] &amp; " - " &amp; Table3[[#This Row],[Store Branch / Address]]</f>
        <v>MYL SKIN CARE - VMV MEGAMALL - GENERIC</v>
      </c>
      <c r="B265" t="str">
        <f>Table3[[#This Row],[Client ID]] &amp; " - " &amp; Table3[[#This Row],[SO Number]]</f>
        <v>MYL SKIN CARE - VMV MEGAMALL - GENERIC - SO-033</v>
      </c>
      <c r="C265" t="s">
        <v>255</v>
      </c>
      <c r="D265" t="s">
        <v>259</v>
      </c>
      <c r="E265" t="s">
        <v>260</v>
      </c>
      <c r="F265" t="s">
        <v>15</v>
      </c>
      <c r="G265" t="s">
        <v>22</v>
      </c>
      <c r="H265" t="s">
        <v>202</v>
      </c>
      <c r="I265" t="s">
        <v>261</v>
      </c>
      <c r="J265">
        <v>1</v>
      </c>
      <c r="K265">
        <v>4800</v>
      </c>
      <c r="L265">
        <v>8000</v>
      </c>
      <c r="M265">
        <v>8000</v>
      </c>
      <c r="N265" t="s">
        <v>19</v>
      </c>
    </row>
    <row r="266" spans="1:14" x14ac:dyDescent="0.25">
      <c r="A266" t="str">
        <f>Table3[[#This Row],[Company Name]] &amp; " - " &amp; Table3[[#This Row],[Store Name]] &amp; " - " &amp; Table3[[#This Row],[Store Branch / Address]]</f>
        <v>CHICKEN DELI - KARIMADON - GENERIC</v>
      </c>
      <c r="B266" t="str">
        <f>Table3[[#This Row],[Client ID]] &amp; " - " &amp; Table3[[#This Row],[SO Number]]</f>
        <v>CHICKEN DELI - KARIMADON - GENERIC - SO-034</v>
      </c>
      <c r="C266" t="s">
        <v>262</v>
      </c>
      <c r="D266" t="s">
        <v>20</v>
      </c>
      <c r="E266" t="s">
        <v>263</v>
      </c>
      <c r="F266" t="s">
        <v>15</v>
      </c>
      <c r="G266" t="s">
        <v>22</v>
      </c>
      <c r="H266" t="s">
        <v>202</v>
      </c>
      <c r="I266" t="s">
        <v>264</v>
      </c>
      <c r="J266">
        <v>1</v>
      </c>
      <c r="K266">
        <v>1200</v>
      </c>
      <c r="L266">
        <v>1700</v>
      </c>
      <c r="M266">
        <v>1700</v>
      </c>
      <c r="N266" t="s">
        <v>19</v>
      </c>
    </row>
    <row r="267" spans="1:14" x14ac:dyDescent="0.25">
      <c r="A267" t="str">
        <f>Table3[[#This Row],[Company Name]] &amp; " - " &amp; Table3[[#This Row],[Store Name]] &amp; " - " &amp; Table3[[#This Row],[Store Branch / Address]]</f>
        <v>HUZZAH - HUZZAH - GENERIC</v>
      </c>
      <c r="B267" t="str">
        <f>Table3[[#This Row],[Client ID]] &amp; " - " &amp; Table3[[#This Row],[SO Number]]</f>
        <v>HUZZAH - HUZZAH - GENERIC - SO-024</v>
      </c>
      <c r="C267" t="s">
        <v>206</v>
      </c>
      <c r="D267" t="s">
        <v>87</v>
      </c>
      <c r="E267" t="s">
        <v>87</v>
      </c>
      <c r="F267" t="s">
        <v>15</v>
      </c>
      <c r="G267" t="s">
        <v>37</v>
      </c>
      <c r="H267" t="s">
        <v>207</v>
      </c>
      <c r="I267" t="s">
        <v>89</v>
      </c>
      <c r="J267">
        <v>50</v>
      </c>
      <c r="K267">
        <v>32</v>
      </c>
      <c r="L267">
        <v>50</v>
      </c>
      <c r="M267">
        <v>2500</v>
      </c>
      <c r="N267" t="s">
        <v>39</v>
      </c>
    </row>
    <row r="268" spans="1:14" x14ac:dyDescent="0.25">
      <c r="A268" t="str">
        <f>Table3[[#This Row],[Company Name]] &amp; " - " &amp; Table3[[#This Row],[Store Name]] &amp; " - " &amp; Table3[[#This Row],[Store Branch / Address]]</f>
        <v>ELEVATED FOOD RECIPE INC - HEALTHY SHABUSHABU - GENERIC</v>
      </c>
      <c r="B268" t="str">
        <f>Table3[[#This Row],[Client ID]] &amp; " - " &amp; Table3[[#This Row],[SO Number]]</f>
        <v>ELEVATED FOOD RECIPE INC - HEALTHY SHABUSHABU - GENERIC - SO-025</v>
      </c>
      <c r="C268" t="s">
        <v>208</v>
      </c>
      <c r="D268" t="s">
        <v>34</v>
      </c>
      <c r="E268" t="s">
        <v>35</v>
      </c>
      <c r="F268" t="s">
        <v>15</v>
      </c>
      <c r="G268" t="s">
        <v>37</v>
      </c>
      <c r="H268" t="s">
        <v>207</v>
      </c>
      <c r="I268" t="s">
        <v>209</v>
      </c>
      <c r="J268">
        <v>1</v>
      </c>
      <c r="K268">
        <v>23450</v>
      </c>
      <c r="L268">
        <v>30400</v>
      </c>
      <c r="M268">
        <v>30400</v>
      </c>
      <c r="N268" t="s">
        <v>19</v>
      </c>
    </row>
    <row r="269" spans="1:14" x14ac:dyDescent="0.25">
      <c r="A269" t="str">
        <f>Table3[[#This Row],[Company Name]] &amp; " - " &amp; Table3[[#This Row],[Store Name]] &amp; " - " &amp; Table3[[#This Row],[Store Branch / Address]]</f>
        <v>ELEVATED FOOD RECIPE INC - HEALTHY SHABUSHABU - GENERIC</v>
      </c>
      <c r="B269" t="str">
        <f>Table3[[#This Row],[Client ID]] &amp; " - " &amp; Table3[[#This Row],[SO Number]]</f>
        <v>ELEVATED FOOD RECIPE INC - HEALTHY SHABUSHABU - GENERIC - SO-025</v>
      </c>
      <c r="C269" t="s">
        <v>208</v>
      </c>
      <c r="D269" t="s">
        <v>34</v>
      </c>
      <c r="E269" t="s">
        <v>35</v>
      </c>
      <c r="F269" t="s">
        <v>15</v>
      </c>
      <c r="G269" t="s">
        <v>37</v>
      </c>
      <c r="H269" t="s">
        <v>207</v>
      </c>
      <c r="I269" t="s">
        <v>151</v>
      </c>
      <c r="J269">
        <v>1</v>
      </c>
      <c r="K269">
        <v>2800</v>
      </c>
      <c r="L269">
        <v>4000</v>
      </c>
      <c r="M269">
        <v>4000</v>
      </c>
      <c r="N269" t="s">
        <v>19</v>
      </c>
    </row>
    <row r="270" spans="1:14" x14ac:dyDescent="0.25">
      <c r="A270" t="str">
        <f>Table3[[#This Row],[Company Name]] &amp; " - " &amp; Table3[[#This Row],[Store Name]] &amp; " - " &amp; Table3[[#This Row],[Store Branch / Address]]</f>
        <v>ELEVATED FOOD RECIPE INC - HEALTHY SHABUSHABU - GENERIC</v>
      </c>
      <c r="B270" t="str">
        <f>Table3[[#This Row],[Client ID]] &amp; " - " &amp; Table3[[#This Row],[SO Number]]</f>
        <v>ELEVATED FOOD RECIPE INC - HEALTHY SHABUSHABU - GENERIC - SO-025</v>
      </c>
      <c r="C270" t="s">
        <v>208</v>
      </c>
      <c r="D270" t="s">
        <v>34</v>
      </c>
      <c r="E270" t="s">
        <v>35</v>
      </c>
      <c r="F270" t="s">
        <v>15</v>
      </c>
      <c r="G270" t="s">
        <v>37</v>
      </c>
      <c r="H270" t="s">
        <v>207</v>
      </c>
      <c r="I270" t="s">
        <v>210</v>
      </c>
      <c r="J270">
        <v>1</v>
      </c>
      <c r="K270">
        <v>530</v>
      </c>
      <c r="L270">
        <v>700</v>
      </c>
      <c r="M270">
        <v>700</v>
      </c>
      <c r="N270" t="s">
        <v>19</v>
      </c>
    </row>
    <row r="271" spans="1:14" x14ac:dyDescent="0.25">
      <c r="A271" t="str">
        <f>Table3[[#This Row],[Company Name]] &amp; " - " &amp; Table3[[#This Row],[Store Name]] &amp; " - " &amp; Table3[[#This Row],[Store Branch / Address]]</f>
        <v>ELEVATED FOOD RECIPE INC - HEALTHY SHABUSHABU - GENERIC</v>
      </c>
      <c r="B271" t="str">
        <f>Table3[[#This Row],[Client ID]] &amp; " - " &amp; Table3[[#This Row],[SO Number]]</f>
        <v>ELEVATED FOOD RECIPE INC - HEALTHY SHABUSHABU - GENERIC - SO-025</v>
      </c>
      <c r="C271" t="s">
        <v>208</v>
      </c>
      <c r="D271" t="s">
        <v>34</v>
      </c>
      <c r="E271" t="s">
        <v>35</v>
      </c>
      <c r="F271" t="s">
        <v>15</v>
      </c>
      <c r="G271" t="s">
        <v>37</v>
      </c>
      <c r="H271" t="s">
        <v>207</v>
      </c>
      <c r="I271" t="s">
        <v>211</v>
      </c>
      <c r="J271">
        <v>1</v>
      </c>
      <c r="K271">
        <v>350</v>
      </c>
      <c r="L271">
        <v>500</v>
      </c>
      <c r="M271">
        <v>500</v>
      </c>
      <c r="N271" t="s">
        <v>19</v>
      </c>
    </row>
    <row r="272" spans="1:14" x14ac:dyDescent="0.25">
      <c r="A272" t="str">
        <f>Table3[[#This Row],[Company Name]] &amp; " - " &amp; Table3[[#This Row],[Store Name]] &amp; " - " &amp; Table3[[#This Row],[Store Branch / Address]]</f>
        <v>ELEVATED FOOD RECIPE INC - HEALTHY SHABUSHABU - GENERIC</v>
      </c>
      <c r="B272" t="str">
        <f>Table3[[#This Row],[Client ID]] &amp; " - " &amp; Table3[[#This Row],[SO Number]]</f>
        <v>ELEVATED FOOD RECIPE INC - HEALTHY SHABUSHABU - GENERIC - SO-025</v>
      </c>
      <c r="C272" t="s">
        <v>208</v>
      </c>
      <c r="D272" t="s">
        <v>34</v>
      </c>
      <c r="E272" t="s">
        <v>35</v>
      </c>
      <c r="F272" t="s">
        <v>15</v>
      </c>
      <c r="G272" t="s">
        <v>37</v>
      </c>
      <c r="H272" t="s">
        <v>207</v>
      </c>
      <c r="I272" t="s">
        <v>98</v>
      </c>
      <c r="J272">
        <v>1</v>
      </c>
      <c r="K272">
        <v>935</v>
      </c>
      <c r="L272">
        <v>1500</v>
      </c>
      <c r="M272">
        <v>1500</v>
      </c>
      <c r="N272" t="s">
        <v>19</v>
      </c>
    </row>
    <row r="273" spans="1:14" x14ac:dyDescent="0.25">
      <c r="A273" t="str">
        <f>Table3[[#This Row],[Company Name]] &amp; " - " &amp; Table3[[#This Row],[Store Name]] &amp; " - " &amp; Table3[[#This Row],[Store Branch / Address]]</f>
        <v>ELEVATED FOOD RECIPE INC - HEALTHY SHABUSHABU - GENERIC</v>
      </c>
      <c r="B273" t="str">
        <f>Table3[[#This Row],[Client ID]] &amp; " - " &amp; Table3[[#This Row],[SO Number]]</f>
        <v>ELEVATED FOOD RECIPE INC - HEALTHY SHABUSHABU - GENERIC - SO-025</v>
      </c>
      <c r="C273" t="s">
        <v>208</v>
      </c>
      <c r="D273" t="s">
        <v>34</v>
      </c>
      <c r="E273" t="s">
        <v>35</v>
      </c>
      <c r="F273" t="s">
        <v>15</v>
      </c>
      <c r="G273" t="s">
        <v>37</v>
      </c>
      <c r="H273" t="s">
        <v>207</v>
      </c>
      <c r="I273" t="s">
        <v>50</v>
      </c>
      <c r="J273">
        <v>1</v>
      </c>
      <c r="K273">
        <v>500</v>
      </c>
      <c r="L273">
        <v>500</v>
      </c>
      <c r="M273">
        <v>500</v>
      </c>
      <c r="N273" t="s">
        <v>19</v>
      </c>
    </row>
    <row r="274" spans="1:14" x14ac:dyDescent="0.25">
      <c r="A274" t="str">
        <f>Table3[[#This Row],[Company Name]] &amp; " - " &amp; Table3[[#This Row],[Store Name]] &amp; " - " &amp; Table3[[#This Row],[Store Branch / Address]]</f>
        <v>ELEVATED FOOD RECIPE INC - HEALTHY SHABUSHABU - GENERIC</v>
      </c>
      <c r="B274" t="str">
        <f>Table3[[#This Row],[Client ID]] &amp; " - " &amp; Table3[[#This Row],[SO Number]]</f>
        <v>ELEVATED FOOD RECIPE INC - HEALTHY SHABUSHABU - GENERIC - SO-025</v>
      </c>
      <c r="C274" t="s">
        <v>208</v>
      </c>
      <c r="D274" t="s">
        <v>34</v>
      </c>
      <c r="E274" t="s">
        <v>35</v>
      </c>
      <c r="F274" t="s">
        <v>15</v>
      </c>
      <c r="G274" t="s">
        <v>37</v>
      </c>
      <c r="H274" t="s">
        <v>207</v>
      </c>
      <c r="I274" t="s">
        <v>63</v>
      </c>
      <c r="J274">
        <v>1</v>
      </c>
      <c r="K274">
        <v>400</v>
      </c>
      <c r="L274">
        <v>400</v>
      </c>
      <c r="M274">
        <v>400</v>
      </c>
      <c r="N274" t="s">
        <v>19</v>
      </c>
    </row>
    <row r="275" spans="1:14" x14ac:dyDescent="0.25">
      <c r="A275" t="str">
        <f>Table3[[#This Row],[Company Name]] &amp; " - " &amp; Table3[[#This Row],[Store Name]] &amp; " - " &amp; Table3[[#This Row],[Store Branch / Address]]</f>
        <v>CHICKEN DELI - MN+LA APPAREL - GENERIC</v>
      </c>
      <c r="B275" t="str">
        <f>Table3[[#This Row],[Client ID]] &amp; " - " &amp; Table3[[#This Row],[SO Number]]</f>
        <v>CHICKEN DELI - MN+LA APPAREL - GENERIC - SO-029</v>
      </c>
      <c r="C275" t="s">
        <v>223</v>
      </c>
      <c r="D275" t="s">
        <v>20</v>
      </c>
      <c r="E275" t="s">
        <v>119</v>
      </c>
      <c r="F275" t="s">
        <v>15</v>
      </c>
      <c r="G275" t="s">
        <v>22</v>
      </c>
      <c r="H275" t="s">
        <v>1271</v>
      </c>
      <c r="I275" t="s">
        <v>121</v>
      </c>
      <c r="J275">
        <v>50</v>
      </c>
      <c r="K275">
        <v>32</v>
      </c>
      <c r="L275">
        <v>50</v>
      </c>
      <c r="M275">
        <v>2500</v>
      </c>
      <c r="N275" t="s">
        <v>19</v>
      </c>
    </row>
    <row r="276" spans="1:14" x14ac:dyDescent="0.25">
      <c r="A276" t="str">
        <f>Table3[[#This Row],[Company Name]] &amp; " - " &amp; Table3[[#This Row],[Store Name]] &amp; " - " &amp; Table3[[#This Row],[Store Branch / Address]]</f>
        <v>CHICKEN DELI - LUCKY BEAUTY 3 - GENERIC</v>
      </c>
      <c r="B276" t="str">
        <f>Table3[[#This Row],[Client ID]] &amp; " - " &amp; Table3[[#This Row],[SO Number]]</f>
        <v>CHICKEN DELI - LUCKY BEAUTY 3 - GENERIC - SO-035</v>
      </c>
      <c r="C276" t="s">
        <v>268</v>
      </c>
      <c r="D276" t="s">
        <v>20</v>
      </c>
      <c r="E276" t="s">
        <v>270</v>
      </c>
      <c r="F276" t="s">
        <v>15</v>
      </c>
      <c r="G276" t="s">
        <v>22</v>
      </c>
      <c r="H276" t="s">
        <v>271</v>
      </c>
      <c r="I276" t="s">
        <v>231</v>
      </c>
      <c r="J276">
        <v>1</v>
      </c>
      <c r="K276">
        <v>3675</v>
      </c>
      <c r="L276">
        <v>10500</v>
      </c>
      <c r="M276">
        <v>10500</v>
      </c>
      <c r="N276" t="s">
        <v>19</v>
      </c>
    </row>
    <row r="277" spans="1:14" x14ac:dyDescent="0.25">
      <c r="A277" t="str">
        <f>Table3[[#This Row],[Company Name]] &amp; " - " &amp; Table3[[#This Row],[Store Name]] &amp; " - " &amp; Table3[[#This Row],[Store Branch / Address]]</f>
        <v>CHICKEN DELI - LUCKY BEAUTY 3 - GENERIC</v>
      </c>
      <c r="B277" t="str">
        <f>Table3[[#This Row],[Client ID]] &amp; " - " &amp; Table3[[#This Row],[SO Number]]</f>
        <v>CHICKEN DELI - LUCKY BEAUTY 3 - GENERIC - SO-035</v>
      </c>
      <c r="C277" t="s">
        <v>268</v>
      </c>
      <c r="D277" t="s">
        <v>20</v>
      </c>
      <c r="E277" t="s">
        <v>270</v>
      </c>
      <c r="F277" t="s">
        <v>15</v>
      </c>
      <c r="G277" t="s">
        <v>22</v>
      </c>
      <c r="H277" t="s">
        <v>271</v>
      </c>
      <c r="I277" t="s">
        <v>232</v>
      </c>
      <c r="J277">
        <v>1</v>
      </c>
      <c r="K277">
        <v>13100</v>
      </c>
      <c r="L277">
        <v>13100</v>
      </c>
      <c r="M277">
        <v>13100</v>
      </c>
      <c r="N277" t="s">
        <v>19</v>
      </c>
    </row>
    <row r="278" spans="1:14" x14ac:dyDescent="0.25">
      <c r="A278" t="str">
        <f>Table3[[#This Row],[Company Name]] &amp; " - " &amp; Table3[[#This Row],[Store Name]] &amp; " - " &amp; Table3[[#This Row],[Store Branch / Address]]</f>
        <v>CHICKEN DELI - LUCKY BEAUTY 3 - GENERIC</v>
      </c>
      <c r="B278" t="str">
        <f>Table3[[#This Row],[Client ID]] &amp; " - " &amp; Table3[[#This Row],[SO Number]]</f>
        <v>CHICKEN DELI - LUCKY BEAUTY 3 - GENERIC - SO-035</v>
      </c>
      <c r="C278" t="s">
        <v>268</v>
      </c>
      <c r="D278" t="s">
        <v>20</v>
      </c>
      <c r="E278" t="s">
        <v>270</v>
      </c>
      <c r="F278" t="s">
        <v>15</v>
      </c>
      <c r="G278" t="s">
        <v>22</v>
      </c>
      <c r="H278" t="s">
        <v>271</v>
      </c>
      <c r="I278" t="s">
        <v>24</v>
      </c>
      <c r="J278">
        <v>1</v>
      </c>
      <c r="K278">
        <v>13100</v>
      </c>
      <c r="L278">
        <v>13100</v>
      </c>
      <c r="M278">
        <v>13100</v>
      </c>
      <c r="N278" t="s">
        <v>19</v>
      </c>
    </row>
    <row r="279" spans="1:14" x14ac:dyDescent="0.25">
      <c r="A279" t="str">
        <f>Table3[[#This Row],[Company Name]] &amp; " - " &amp; Table3[[#This Row],[Store Name]] &amp; " - " &amp; Table3[[#This Row],[Store Branch / Address]]</f>
        <v>CHICKEN DELI - LUCKY BEAUTY 3 - GENERIC</v>
      </c>
      <c r="B279" t="str">
        <f>Table3[[#This Row],[Client ID]] &amp; " - " &amp; Table3[[#This Row],[SO Number]]</f>
        <v>CHICKEN DELI - LUCKY BEAUTY 3 - GENERIC - SO-035</v>
      </c>
      <c r="C279" t="s">
        <v>268</v>
      </c>
      <c r="D279" t="s">
        <v>20</v>
      </c>
      <c r="E279" t="s">
        <v>270</v>
      </c>
      <c r="F279" t="s">
        <v>15</v>
      </c>
      <c r="G279" t="s">
        <v>22</v>
      </c>
      <c r="H279" t="s">
        <v>271</v>
      </c>
      <c r="I279" t="s">
        <v>26</v>
      </c>
      <c r="J279">
        <v>1</v>
      </c>
      <c r="K279">
        <v>500</v>
      </c>
      <c r="L279">
        <v>500</v>
      </c>
      <c r="M279">
        <v>500</v>
      </c>
      <c r="N279" t="s">
        <v>19</v>
      </c>
    </row>
    <row r="280" spans="1:14" x14ac:dyDescent="0.25">
      <c r="A280" t="str">
        <f>Table3[[#This Row],[Company Name]] &amp; " - " &amp; Table3[[#This Row],[Store Name]] &amp; " - " &amp; Table3[[#This Row],[Store Branch / Address]]</f>
        <v>CHICKEN DELI - LUCKY BEAUTY 3 - GENERIC</v>
      </c>
      <c r="B280" t="str">
        <f>Table3[[#This Row],[Client ID]] &amp; " - " &amp; Table3[[#This Row],[SO Number]]</f>
        <v>CHICKEN DELI - LUCKY BEAUTY 3 - GENERIC - SO-035</v>
      </c>
      <c r="C280" t="s">
        <v>268</v>
      </c>
      <c r="D280" t="s">
        <v>20</v>
      </c>
      <c r="E280" t="s">
        <v>270</v>
      </c>
      <c r="F280" t="s">
        <v>15</v>
      </c>
      <c r="G280" t="s">
        <v>22</v>
      </c>
      <c r="H280" t="s">
        <v>271</v>
      </c>
      <c r="I280" t="s">
        <v>233</v>
      </c>
      <c r="J280">
        <v>1</v>
      </c>
      <c r="K280">
        <v>8500</v>
      </c>
      <c r="L280">
        <v>12100</v>
      </c>
      <c r="M280">
        <v>12100</v>
      </c>
      <c r="N280" t="s">
        <v>19</v>
      </c>
    </row>
    <row r="281" spans="1:14" x14ac:dyDescent="0.25">
      <c r="A281" t="str">
        <f>Table3[[#This Row],[Company Name]] &amp; " - " &amp; Table3[[#This Row],[Store Name]] &amp; " - " &amp; Table3[[#This Row],[Store Branch / Address]]</f>
        <v>CHICKEN DELI - LUCKY BEAUTY 3 - GENERIC</v>
      </c>
      <c r="B281" t="str">
        <f>Table3[[#This Row],[Client ID]] &amp; " - " &amp; Table3[[#This Row],[SO Number]]</f>
        <v>CHICKEN DELI - LUCKY BEAUTY 3 - GENERIC - SO-035</v>
      </c>
      <c r="C281" t="s">
        <v>268</v>
      </c>
      <c r="D281" t="s">
        <v>20</v>
      </c>
      <c r="E281" t="s">
        <v>270</v>
      </c>
      <c r="F281" t="s">
        <v>15</v>
      </c>
      <c r="G281" t="s">
        <v>22</v>
      </c>
      <c r="H281" t="s">
        <v>271</v>
      </c>
      <c r="I281" t="s">
        <v>98</v>
      </c>
      <c r="J281">
        <v>1</v>
      </c>
      <c r="K281">
        <v>935</v>
      </c>
      <c r="L281">
        <v>1500</v>
      </c>
      <c r="M281">
        <v>1500</v>
      </c>
      <c r="N281" t="s">
        <v>19</v>
      </c>
    </row>
    <row r="282" spans="1:14" x14ac:dyDescent="0.25">
      <c r="A282" t="str">
        <f>Table3[[#This Row],[Company Name]] &amp; " - " &amp; Table3[[#This Row],[Store Name]] &amp; " - " &amp; Table3[[#This Row],[Store Branch / Address]]</f>
        <v>CHICKEN DELI - LUCKY BEAUTY 3 - GENERIC</v>
      </c>
      <c r="B282" t="str">
        <f>Table3[[#This Row],[Client ID]] &amp; " - " &amp; Table3[[#This Row],[SO Number]]</f>
        <v>CHICKEN DELI - LUCKY BEAUTY 3 - GENERIC - SO-035</v>
      </c>
      <c r="C282" t="s">
        <v>268</v>
      </c>
      <c r="D282" t="s">
        <v>20</v>
      </c>
      <c r="E282" t="s">
        <v>270</v>
      </c>
      <c r="F282" t="s">
        <v>15</v>
      </c>
      <c r="G282" t="s">
        <v>22</v>
      </c>
      <c r="H282" t="s">
        <v>271</v>
      </c>
      <c r="I282" t="s">
        <v>234</v>
      </c>
      <c r="J282">
        <v>1</v>
      </c>
      <c r="K282">
        <v>4800</v>
      </c>
      <c r="L282">
        <v>7000</v>
      </c>
      <c r="M282">
        <v>7000</v>
      </c>
      <c r="N282" t="s">
        <v>19</v>
      </c>
    </row>
    <row r="283" spans="1:14" x14ac:dyDescent="0.25">
      <c r="A283" t="str">
        <f>Table3[[#This Row],[Company Name]] &amp; " - " &amp; Table3[[#This Row],[Store Name]] &amp; " - " &amp; Table3[[#This Row],[Store Branch / Address]]</f>
        <v>CHICKEN DELI - LUCKY BEAUTY 3 - GENERIC</v>
      </c>
      <c r="B283" t="str">
        <f>Table3[[#This Row],[Client ID]] &amp; " - " &amp; Table3[[#This Row],[SO Number]]</f>
        <v>CHICKEN DELI - LUCKY BEAUTY 3 - GENERIC - SO-035</v>
      </c>
      <c r="C283" t="s">
        <v>268</v>
      </c>
      <c r="D283" t="s">
        <v>20</v>
      </c>
      <c r="E283" t="s">
        <v>270</v>
      </c>
      <c r="F283" t="s">
        <v>15</v>
      </c>
      <c r="G283" t="s">
        <v>22</v>
      </c>
      <c r="H283" t="s">
        <v>271</v>
      </c>
      <c r="I283" t="s">
        <v>235</v>
      </c>
      <c r="J283">
        <v>1</v>
      </c>
      <c r="K283">
        <v>1350</v>
      </c>
      <c r="L283">
        <v>2000</v>
      </c>
      <c r="M283">
        <v>2000</v>
      </c>
      <c r="N283" t="s">
        <v>19</v>
      </c>
    </row>
    <row r="284" spans="1:14" x14ac:dyDescent="0.25">
      <c r="A284" t="str">
        <f>Table3[[#This Row],[Company Name]] &amp; " - " &amp; Table3[[#This Row],[Store Name]] &amp; " - " &amp; Table3[[#This Row],[Store Branch / Address]]</f>
        <v>CHICKEN DELI - LUCKY BEAUTY 3 - GENERIC</v>
      </c>
      <c r="B284" t="str">
        <f>Table3[[#This Row],[Client ID]] &amp; " - " &amp; Table3[[#This Row],[SO Number]]</f>
        <v>CHICKEN DELI - LUCKY BEAUTY 3 - GENERIC - SO-035</v>
      </c>
      <c r="C284" t="s">
        <v>268</v>
      </c>
      <c r="D284" t="s">
        <v>20</v>
      </c>
      <c r="E284" t="s">
        <v>270</v>
      </c>
      <c r="F284" t="s">
        <v>15</v>
      </c>
      <c r="G284" t="s">
        <v>22</v>
      </c>
      <c r="H284" t="s">
        <v>271</v>
      </c>
      <c r="I284" t="s">
        <v>236</v>
      </c>
      <c r="J284">
        <v>1</v>
      </c>
      <c r="K284">
        <v>2100</v>
      </c>
      <c r="L284">
        <v>3100</v>
      </c>
      <c r="M284">
        <v>3100</v>
      </c>
      <c r="N284" t="s">
        <v>19</v>
      </c>
    </row>
    <row r="285" spans="1:14" x14ac:dyDescent="0.25">
      <c r="A285" t="str">
        <f>Table3[[#This Row],[Company Name]] &amp; " - " &amp; Table3[[#This Row],[Store Name]] &amp; " - " &amp; Table3[[#This Row],[Store Branch / Address]]</f>
        <v>CHICKEN DELI - LUCKY BEAUTY 3 - GENERIC</v>
      </c>
      <c r="B285" t="str">
        <f>Table3[[#This Row],[Client ID]] &amp; " - " &amp; Table3[[#This Row],[SO Number]]</f>
        <v>CHICKEN DELI - LUCKY BEAUTY 3 - GENERIC - SO-035</v>
      </c>
      <c r="C285" t="s">
        <v>268</v>
      </c>
      <c r="D285" t="s">
        <v>20</v>
      </c>
      <c r="E285" t="s">
        <v>270</v>
      </c>
      <c r="F285" t="s">
        <v>15</v>
      </c>
      <c r="G285" t="s">
        <v>22</v>
      </c>
      <c r="H285" t="s">
        <v>271</v>
      </c>
      <c r="I285" t="s">
        <v>76</v>
      </c>
      <c r="J285">
        <v>1</v>
      </c>
      <c r="K285">
        <v>500</v>
      </c>
      <c r="L285">
        <v>500</v>
      </c>
      <c r="M285">
        <v>500</v>
      </c>
      <c r="N285" t="s">
        <v>19</v>
      </c>
    </row>
    <row r="286" spans="1:14" x14ac:dyDescent="0.25">
      <c r="A286" t="str">
        <f>Table3[[#This Row],[Company Name]] &amp; " - " &amp; Table3[[#This Row],[Store Name]] &amp; " - " &amp; Table3[[#This Row],[Store Branch / Address]]</f>
        <v>CHICKEN DELI - WORLD CHIX - GENERIC</v>
      </c>
      <c r="B286" t="str">
        <f>Table3[[#This Row],[Client ID]] &amp; " - " &amp; Table3[[#This Row],[SO Number]]</f>
        <v>CHICKEN DELI - WORLD CHIX - GENERIC - SO-036</v>
      </c>
      <c r="C286" t="s">
        <v>272</v>
      </c>
      <c r="D286" t="s">
        <v>20</v>
      </c>
      <c r="E286" t="s">
        <v>273</v>
      </c>
      <c r="F286" t="s">
        <v>15</v>
      </c>
      <c r="G286" t="s">
        <v>22</v>
      </c>
      <c r="H286" t="s">
        <v>271</v>
      </c>
      <c r="I286" t="s">
        <v>93</v>
      </c>
      <c r="J286">
        <v>1</v>
      </c>
      <c r="K286">
        <v>10750</v>
      </c>
      <c r="L286">
        <v>16000</v>
      </c>
      <c r="M286">
        <v>16000</v>
      </c>
      <c r="N286" t="s">
        <v>19</v>
      </c>
    </row>
    <row r="287" spans="1:14" x14ac:dyDescent="0.25">
      <c r="A287" t="str">
        <f>Table3[[#This Row],[Company Name]] &amp; " - " &amp; Table3[[#This Row],[Store Name]] &amp; " - " &amp; Table3[[#This Row],[Store Branch / Address]]</f>
        <v>CHICKEN DELI - WORLD CHIX - GENERIC</v>
      </c>
      <c r="B287" t="str">
        <f>Table3[[#This Row],[Client ID]] &amp; " - " &amp; Table3[[#This Row],[SO Number]]</f>
        <v>CHICKEN DELI - WORLD CHIX - GENERIC - SO-036</v>
      </c>
      <c r="C287" t="s">
        <v>272</v>
      </c>
      <c r="D287" t="s">
        <v>20</v>
      </c>
      <c r="E287" t="s">
        <v>273</v>
      </c>
      <c r="F287" t="s">
        <v>15</v>
      </c>
      <c r="G287" t="s">
        <v>22</v>
      </c>
      <c r="H287" t="s">
        <v>271</v>
      </c>
      <c r="I287" t="s">
        <v>76</v>
      </c>
      <c r="J287">
        <v>1</v>
      </c>
      <c r="K287">
        <v>500</v>
      </c>
      <c r="L287">
        <v>500</v>
      </c>
      <c r="M287">
        <v>500</v>
      </c>
      <c r="N287" t="s">
        <v>19</v>
      </c>
    </row>
    <row r="288" spans="1:14" x14ac:dyDescent="0.25">
      <c r="A288" t="str">
        <f>Table3[[#This Row],[Company Name]] &amp; " - " &amp; Table3[[#This Row],[Store Name]] &amp; " - " &amp; Table3[[#This Row],[Store Branch / Address]]</f>
        <v>CHICKEN DELI - OJO EYEWEAR - GENERIC</v>
      </c>
      <c r="B288" t="str">
        <f>Table3[[#This Row],[Client ID]] &amp; " - " &amp; Table3[[#This Row],[SO Number]]</f>
        <v>CHICKEN DELI - OJO EYEWEAR - GENERIC - SO-037</v>
      </c>
      <c r="C288" t="s">
        <v>274</v>
      </c>
      <c r="D288" t="s">
        <v>20</v>
      </c>
      <c r="E288" t="s">
        <v>70</v>
      </c>
      <c r="F288" t="s">
        <v>15</v>
      </c>
      <c r="G288" t="s">
        <v>22</v>
      </c>
      <c r="H288" t="s">
        <v>271</v>
      </c>
      <c r="I288" t="s">
        <v>169</v>
      </c>
      <c r="J288">
        <v>1</v>
      </c>
      <c r="K288">
        <v>3675</v>
      </c>
      <c r="L288">
        <v>10500</v>
      </c>
      <c r="M288">
        <v>10500</v>
      </c>
      <c r="N288" t="s">
        <v>19</v>
      </c>
    </row>
    <row r="289" spans="1:14" x14ac:dyDescent="0.25">
      <c r="A289" t="str">
        <f>Table3[[#This Row],[Company Name]] &amp; " - " &amp; Table3[[#This Row],[Store Name]] &amp; " - " &amp; Table3[[#This Row],[Store Branch / Address]]</f>
        <v>CHICKEN DELI - OJO EYEWEAR - GENERIC</v>
      </c>
      <c r="B289" t="str">
        <f>Table3[[#This Row],[Client ID]] &amp; " - " &amp; Table3[[#This Row],[SO Number]]</f>
        <v>CHICKEN DELI - OJO EYEWEAR - GENERIC - SO-037</v>
      </c>
      <c r="C289" t="s">
        <v>274</v>
      </c>
      <c r="D289" t="s">
        <v>20</v>
      </c>
      <c r="E289" t="s">
        <v>70</v>
      </c>
      <c r="F289" t="s">
        <v>15</v>
      </c>
      <c r="G289" t="s">
        <v>22</v>
      </c>
      <c r="H289" t="s">
        <v>271</v>
      </c>
      <c r="I289" t="s">
        <v>170</v>
      </c>
      <c r="J289">
        <v>1</v>
      </c>
      <c r="K289">
        <v>3500</v>
      </c>
      <c r="L289">
        <v>3500</v>
      </c>
      <c r="M289">
        <v>3500</v>
      </c>
      <c r="N289" t="s">
        <v>19</v>
      </c>
    </row>
    <row r="290" spans="1:14" x14ac:dyDescent="0.25">
      <c r="A290" t="str">
        <f>Table3[[#This Row],[Company Name]] &amp; " - " &amp; Table3[[#This Row],[Store Name]] &amp; " - " &amp; Table3[[#This Row],[Store Branch / Address]]</f>
        <v>CHICKEN DELI - OJO EYEWEAR - GENERIC</v>
      </c>
      <c r="B290" t="str">
        <f>Table3[[#This Row],[Client ID]] &amp; " - " &amp; Table3[[#This Row],[SO Number]]</f>
        <v>CHICKEN DELI - OJO EYEWEAR - GENERIC - SO-037</v>
      </c>
      <c r="C290" t="s">
        <v>274</v>
      </c>
      <c r="D290" t="s">
        <v>20</v>
      </c>
      <c r="E290" t="s">
        <v>70</v>
      </c>
      <c r="F290" t="s">
        <v>15</v>
      </c>
      <c r="G290" t="s">
        <v>22</v>
      </c>
      <c r="H290" t="s">
        <v>271</v>
      </c>
      <c r="I290" t="s">
        <v>24</v>
      </c>
      <c r="J290">
        <v>1</v>
      </c>
      <c r="K290">
        <v>3500</v>
      </c>
      <c r="L290">
        <v>3500</v>
      </c>
      <c r="M290">
        <v>3500</v>
      </c>
      <c r="N290" t="s">
        <v>19</v>
      </c>
    </row>
    <row r="291" spans="1:14" x14ac:dyDescent="0.25">
      <c r="A291" t="str">
        <f>Table3[[#This Row],[Company Name]] &amp; " - " &amp; Table3[[#This Row],[Store Name]] &amp; " - " &amp; Table3[[#This Row],[Store Branch / Address]]</f>
        <v>CHICKEN DELI - OJO EYEWEAR - GENERIC</v>
      </c>
      <c r="B291" t="str">
        <f>Table3[[#This Row],[Client ID]] &amp; " - " &amp; Table3[[#This Row],[SO Number]]</f>
        <v>CHICKEN DELI - OJO EYEWEAR - GENERIC - SO-037</v>
      </c>
      <c r="C291" t="s">
        <v>274</v>
      </c>
      <c r="D291" t="s">
        <v>20</v>
      </c>
      <c r="E291" t="s">
        <v>70</v>
      </c>
      <c r="F291" t="s">
        <v>15</v>
      </c>
      <c r="G291" t="s">
        <v>22</v>
      </c>
      <c r="H291" t="s">
        <v>271</v>
      </c>
      <c r="I291" t="s">
        <v>26</v>
      </c>
      <c r="J291">
        <v>1</v>
      </c>
      <c r="K291">
        <v>500</v>
      </c>
      <c r="L291">
        <v>500</v>
      </c>
      <c r="M291">
        <v>500</v>
      </c>
      <c r="N291" t="s">
        <v>19</v>
      </c>
    </row>
    <row r="292" spans="1:14" x14ac:dyDescent="0.25">
      <c r="A292" t="str">
        <f>Table3[[#This Row],[Company Name]] &amp; " - " &amp; Table3[[#This Row],[Store Name]] &amp; " - " &amp; Table3[[#This Row],[Store Branch / Address]]</f>
        <v>CHICKEN DELI - OJO EYEWEAR - GENERIC</v>
      </c>
      <c r="B292" t="str">
        <f>Table3[[#This Row],[Client ID]] &amp; " - " &amp; Table3[[#This Row],[SO Number]]</f>
        <v>CHICKEN DELI - OJO EYEWEAR - GENERIC - SO-037</v>
      </c>
      <c r="C292" t="s">
        <v>274</v>
      </c>
      <c r="D292" t="s">
        <v>20</v>
      </c>
      <c r="E292" t="s">
        <v>70</v>
      </c>
      <c r="F292" t="s">
        <v>15</v>
      </c>
      <c r="G292" t="s">
        <v>22</v>
      </c>
      <c r="H292" t="s">
        <v>271</v>
      </c>
      <c r="I292" t="s">
        <v>275</v>
      </c>
      <c r="J292">
        <v>1</v>
      </c>
      <c r="K292">
        <v>2800</v>
      </c>
      <c r="L292">
        <v>4000</v>
      </c>
      <c r="M292">
        <v>4000</v>
      </c>
      <c r="N292" t="s">
        <v>19</v>
      </c>
    </row>
    <row r="293" spans="1:14" x14ac:dyDescent="0.25">
      <c r="A293" t="str">
        <f>Table3[[#This Row],[Company Name]] &amp; " - " &amp; Table3[[#This Row],[Store Name]] &amp; " - " &amp; Table3[[#This Row],[Store Branch / Address]]</f>
        <v>CHICKEN DELI - OJO EYEWEAR - GENERIC</v>
      </c>
      <c r="B293" t="str">
        <f>Table3[[#This Row],[Client ID]] &amp; " - " &amp; Table3[[#This Row],[SO Number]]</f>
        <v>CHICKEN DELI - OJO EYEWEAR - GENERIC - SO-038</v>
      </c>
      <c r="C293" t="s">
        <v>276</v>
      </c>
      <c r="D293" t="s">
        <v>20</v>
      </c>
      <c r="E293" t="s">
        <v>70</v>
      </c>
      <c r="F293" t="s">
        <v>15</v>
      </c>
      <c r="G293" t="s">
        <v>22</v>
      </c>
      <c r="H293" t="s">
        <v>271</v>
      </c>
      <c r="I293" t="s">
        <v>169</v>
      </c>
      <c r="J293">
        <v>1</v>
      </c>
      <c r="K293">
        <v>3675</v>
      </c>
      <c r="L293">
        <v>10500</v>
      </c>
      <c r="M293">
        <v>10500</v>
      </c>
      <c r="N293" t="s">
        <v>19</v>
      </c>
    </row>
    <row r="294" spans="1:14" x14ac:dyDescent="0.25">
      <c r="A294" t="str">
        <f>Table3[[#This Row],[Company Name]] &amp; " - " &amp; Table3[[#This Row],[Store Name]] &amp; " - " &amp; Table3[[#This Row],[Store Branch / Address]]</f>
        <v>CHICKEN DELI - OJO EYEWEAR - GENERIC</v>
      </c>
      <c r="B294" t="str">
        <f>Table3[[#This Row],[Client ID]] &amp; " - " &amp; Table3[[#This Row],[SO Number]]</f>
        <v>CHICKEN DELI - OJO EYEWEAR - GENERIC - SO-038</v>
      </c>
      <c r="C294" t="s">
        <v>276</v>
      </c>
      <c r="D294" t="s">
        <v>20</v>
      </c>
      <c r="E294" t="s">
        <v>70</v>
      </c>
      <c r="F294" t="s">
        <v>15</v>
      </c>
      <c r="G294" t="s">
        <v>22</v>
      </c>
      <c r="H294" t="s">
        <v>271</v>
      </c>
      <c r="I294" t="s">
        <v>170</v>
      </c>
      <c r="J294">
        <v>1</v>
      </c>
      <c r="K294">
        <v>3500</v>
      </c>
      <c r="L294">
        <v>3500</v>
      </c>
      <c r="M294">
        <v>3500</v>
      </c>
      <c r="N294" t="s">
        <v>19</v>
      </c>
    </row>
    <row r="295" spans="1:14" x14ac:dyDescent="0.25">
      <c r="A295" t="str">
        <f>Table3[[#This Row],[Company Name]] &amp; " - " &amp; Table3[[#This Row],[Store Name]] &amp; " - " &amp; Table3[[#This Row],[Store Branch / Address]]</f>
        <v>CHICKEN DELI - OJO EYEWEAR - GENERIC</v>
      </c>
      <c r="B295" t="str">
        <f>Table3[[#This Row],[Client ID]] &amp; " - " &amp; Table3[[#This Row],[SO Number]]</f>
        <v>CHICKEN DELI - OJO EYEWEAR - GENERIC - SO-038</v>
      </c>
      <c r="C295" t="s">
        <v>276</v>
      </c>
      <c r="D295" t="s">
        <v>20</v>
      </c>
      <c r="E295" t="s">
        <v>70</v>
      </c>
      <c r="F295" t="s">
        <v>15</v>
      </c>
      <c r="G295" t="s">
        <v>22</v>
      </c>
      <c r="H295" t="s">
        <v>271</v>
      </c>
      <c r="I295" t="s">
        <v>24</v>
      </c>
      <c r="J295">
        <v>1</v>
      </c>
      <c r="K295">
        <v>3500</v>
      </c>
      <c r="L295">
        <v>3500</v>
      </c>
      <c r="M295">
        <v>3500</v>
      </c>
      <c r="N295" t="s">
        <v>19</v>
      </c>
    </row>
    <row r="296" spans="1:14" x14ac:dyDescent="0.25">
      <c r="A296" t="str">
        <f>Table3[[#This Row],[Company Name]] &amp; " - " &amp; Table3[[#This Row],[Store Name]] &amp; " - " &amp; Table3[[#This Row],[Store Branch / Address]]</f>
        <v>CHICKEN DELI - OJO EYEWEAR - GENERIC</v>
      </c>
      <c r="B296" t="str">
        <f>Table3[[#This Row],[Client ID]] &amp; " - " &amp; Table3[[#This Row],[SO Number]]</f>
        <v>CHICKEN DELI - OJO EYEWEAR - GENERIC - SO-038</v>
      </c>
      <c r="C296" t="s">
        <v>276</v>
      </c>
      <c r="D296" t="s">
        <v>20</v>
      </c>
      <c r="E296" t="s">
        <v>70</v>
      </c>
      <c r="F296" t="s">
        <v>15</v>
      </c>
      <c r="G296" t="s">
        <v>22</v>
      </c>
      <c r="H296" t="s">
        <v>271</v>
      </c>
      <c r="I296" t="s">
        <v>26</v>
      </c>
      <c r="J296">
        <v>1</v>
      </c>
      <c r="K296">
        <v>500</v>
      </c>
      <c r="L296">
        <v>500</v>
      </c>
      <c r="M296">
        <v>500</v>
      </c>
      <c r="N296" t="s">
        <v>19</v>
      </c>
    </row>
    <row r="297" spans="1:14" x14ac:dyDescent="0.25">
      <c r="A297" t="str">
        <f>Table3[[#This Row],[Company Name]] &amp; " - " &amp; Table3[[#This Row],[Store Name]] &amp; " - " &amp; Table3[[#This Row],[Store Branch / Address]]</f>
        <v>CHICKEN DELI - OJO EYEWEAR - GENERIC</v>
      </c>
      <c r="B297" t="str">
        <f>Table3[[#This Row],[Client ID]] &amp; " - " &amp; Table3[[#This Row],[SO Number]]</f>
        <v>CHICKEN DELI - OJO EYEWEAR - GENERIC - SO-038</v>
      </c>
      <c r="C297" t="s">
        <v>276</v>
      </c>
      <c r="D297" t="s">
        <v>20</v>
      </c>
      <c r="E297" t="s">
        <v>70</v>
      </c>
      <c r="F297" t="s">
        <v>15</v>
      </c>
      <c r="G297" t="s">
        <v>22</v>
      </c>
      <c r="H297" t="s">
        <v>271</v>
      </c>
      <c r="I297" t="s">
        <v>275</v>
      </c>
      <c r="J297">
        <v>1</v>
      </c>
      <c r="K297">
        <v>2800</v>
      </c>
      <c r="L297">
        <v>4000</v>
      </c>
      <c r="M297">
        <v>4000</v>
      </c>
      <c r="N297" t="s">
        <v>19</v>
      </c>
    </row>
    <row r="298" spans="1:14" x14ac:dyDescent="0.25">
      <c r="A298" t="str">
        <f>Table3[[#This Row],[Company Name]] &amp; " - " &amp; Table3[[#This Row],[Store Name]] &amp; " - " &amp; Table3[[#This Row],[Store Branch / Address]]</f>
        <v>OUT OF NOWHERE KITCHEN INC - OON - GENERIC</v>
      </c>
      <c r="B298" t="str">
        <f>Table3[[#This Row],[Client ID]] &amp; " - " &amp; Table3[[#This Row],[SO Number]]</f>
        <v>OUT OF NOWHERE KITCHEN INC - OON - GENERIC - SO-026</v>
      </c>
      <c r="C298" t="s">
        <v>212</v>
      </c>
      <c r="D298" t="s">
        <v>213</v>
      </c>
      <c r="E298" t="s">
        <v>46</v>
      </c>
      <c r="F298" t="s">
        <v>15</v>
      </c>
      <c r="G298" t="s">
        <v>22</v>
      </c>
      <c r="H298" t="s">
        <v>214</v>
      </c>
      <c r="I298" t="s">
        <v>47</v>
      </c>
      <c r="J298">
        <v>1</v>
      </c>
      <c r="K298">
        <v>2275</v>
      </c>
      <c r="L298">
        <v>6500</v>
      </c>
      <c r="M298">
        <v>6500</v>
      </c>
      <c r="N298" t="s">
        <v>19</v>
      </c>
    </row>
    <row r="299" spans="1:14" x14ac:dyDescent="0.25">
      <c r="A299" t="str">
        <f>Table3[[#This Row],[Company Name]] &amp; " - " &amp; Table3[[#This Row],[Store Name]] &amp; " - " &amp; Table3[[#This Row],[Store Branch / Address]]</f>
        <v>OUT OF NOWHERE KITCHEN INC - OON - GENERIC</v>
      </c>
      <c r="B299" t="str">
        <f>Table3[[#This Row],[Client ID]] &amp; " - " &amp; Table3[[#This Row],[SO Number]]</f>
        <v>OUT OF NOWHERE KITCHEN INC - OON - GENERIC - SO-026</v>
      </c>
      <c r="C299" t="s">
        <v>212</v>
      </c>
      <c r="D299" t="s">
        <v>213</v>
      </c>
      <c r="E299" t="s">
        <v>46</v>
      </c>
      <c r="F299" t="s">
        <v>15</v>
      </c>
      <c r="G299" t="s">
        <v>22</v>
      </c>
      <c r="H299" t="s">
        <v>214</v>
      </c>
      <c r="I299" t="s">
        <v>48</v>
      </c>
      <c r="J299">
        <v>1</v>
      </c>
      <c r="K299">
        <v>2275</v>
      </c>
      <c r="L299">
        <v>6500</v>
      </c>
      <c r="M299">
        <v>6500</v>
      </c>
      <c r="N299" t="s">
        <v>19</v>
      </c>
    </row>
    <row r="300" spans="1:14" x14ac:dyDescent="0.25">
      <c r="A300" t="str">
        <f>Table3[[#This Row],[Company Name]] &amp; " - " &amp; Table3[[#This Row],[Store Name]] &amp; " - " &amp; Table3[[#This Row],[Store Branch / Address]]</f>
        <v>OUT OF NOWHERE KITCHEN INC - OON - GENERIC</v>
      </c>
      <c r="B300" t="str">
        <f>Table3[[#This Row],[Client ID]] &amp; " - " &amp; Table3[[#This Row],[SO Number]]</f>
        <v>OUT OF NOWHERE KITCHEN INC - OON - GENERIC - SO-026</v>
      </c>
      <c r="C300" t="s">
        <v>212</v>
      </c>
      <c r="D300" t="s">
        <v>213</v>
      </c>
      <c r="E300" t="s">
        <v>46</v>
      </c>
      <c r="F300" t="s">
        <v>15</v>
      </c>
      <c r="G300" t="s">
        <v>22</v>
      </c>
      <c r="H300" t="s">
        <v>214</v>
      </c>
      <c r="I300" t="s">
        <v>49</v>
      </c>
      <c r="J300">
        <v>1</v>
      </c>
      <c r="K300">
        <v>2275</v>
      </c>
      <c r="L300">
        <v>6500</v>
      </c>
      <c r="M300">
        <v>6500</v>
      </c>
      <c r="N300" t="s">
        <v>19</v>
      </c>
    </row>
    <row r="301" spans="1:14" x14ac:dyDescent="0.25">
      <c r="A301" t="str">
        <f>Table3[[#This Row],[Company Name]] &amp; " - " &amp; Table3[[#This Row],[Store Name]] &amp; " - " &amp; Table3[[#This Row],[Store Branch / Address]]</f>
        <v>OUT OF NOWHERE KITCHEN INC - OON - GENERIC</v>
      </c>
      <c r="B301" t="str">
        <f>Table3[[#This Row],[Client ID]] &amp; " - " &amp; Table3[[#This Row],[SO Number]]</f>
        <v>OUT OF NOWHERE KITCHEN INC - OON - GENERIC - SO-026</v>
      </c>
      <c r="C301" t="s">
        <v>212</v>
      </c>
      <c r="D301" t="s">
        <v>213</v>
      </c>
      <c r="E301" t="s">
        <v>46</v>
      </c>
      <c r="F301" t="s">
        <v>15</v>
      </c>
      <c r="G301" t="s">
        <v>22</v>
      </c>
      <c r="H301" t="s">
        <v>214</v>
      </c>
      <c r="I301" t="s">
        <v>50</v>
      </c>
      <c r="J301">
        <v>1</v>
      </c>
      <c r="K301">
        <v>500</v>
      </c>
      <c r="L301">
        <v>500</v>
      </c>
      <c r="M301">
        <v>500</v>
      </c>
      <c r="N301" t="s">
        <v>19</v>
      </c>
    </row>
    <row r="302" spans="1:14" x14ac:dyDescent="0.25">
      <c r="A302" t="str">
        <f>Table3[[#This Row],[Company Name]] &amp; " - " &amp; Table3[[#This Row],[Store Name]] &amp; " - " &amp; Table3[[#This Row],[Store Branch / Address]]</f>
        <v>CHICKEN DELI - SHISEIDO - GENERIC</v>
      </c>
      <c r="B302" t="str">
        <f>Table3[[#This Row],[Client ID]] &amp; " - " &amp; Table3[[#This Row],[SO Number]]</f>
        <v>CHICKEN DELI - SHISEIDO - GENERIC - SO-041</v>
      </c>
      <c r="C302" t="s">
        <v>285</v>
      </c>
      <c r="D302" t="s">
        <v>20</v>
      </c>
      <c r="E302" t="s">
        <v>286</v>
      </c>
      <c r="F302" t="s">
        <v>15</v>
      </c>
      <c r="G302" t="s">
        <v>22</v>
      </c>
      <c r="H302" t="s">
        <v>214</v>
      </c>
      <c r="I302" t="s">
        <v>287</v>
      </c>
      <c r="J302">
        <v>1</v>
      </c>
      <c r="K302">
        <v>3745</v>
      </c>
      <c r="L302">
        <v>10000</v>
      </c>
      <c r="M302">
        <v>10000</v>
      </c>
      <c r="N302" t="s">
        <v>19</v>
      </c>
    </row>
    <row r="303" spans="1:14" x14ac:dyDescent="0.25">
      <c r="A303" t="str">
        <f>Table3[[#This Row],[Company Name]] &amp; " - " &amp; Table3[[#This Row],[Store Name]] &amp; " - " &amp; Table3[[#This Row],[Store Branch / Address]]</f>
        <v>CHICKEN DELI - SHISEIDO - GENERIC</v>
      </c>
      <c r="B303" t="str">
        <f>Table3[[#This Row],[Client ID]] &amp; " - " &amp; Table3[[#This Row],[SO Number]]</f>
        <v>CHICKEN DELI - SHISEIDO - GENERIC - SO-041</v>
      </c>
      <c r="C303" t="s">
        <v>285</v>
      </c>
      <c r="D303" t="s">
        <v>20</v>
      </c>
      <c r="E303" t="s">
        <v>286</v>
      </c>
      <c r="F303" t="s">
        <v>15</v>
      </c>
      <c r="G303" t="s">
        <v>22</v>
      </c>
      <c r="H303" t="s">
        <v>214</v>
      </c>
      <c r="I303" t="s">
        <v>134</v>
      </c>
      <c r="J303">
        <v>1</v>
      </c>
      <c r="K303">
        <v>500</v>
      </c>
      <c r="L303">
        <v>500</v>
      </c>
      <c r="M303">
        <v>500</v>
      </c>
      <c r="N303" t="s">
        <v>19</v>
      </c>
    </row>
    <row r="304" spans="1:14" x14ac:dyDescent="0.25">
      <c r="A304" t="str">
        <f>Table3[[#This Row],[Company Name]] &amp; " - " &amp; Table3[[#This Row],[Store Name]] &amp; " - " &amp; Table3[[#This Row],[Store Branch / Address]]</f>
        <v>CHICKEN DELI - SHISEIDO - GENERIC</v>
      </c>
      <c r="B304" t="str">
        <f>Table3[[#This Row],[Client ID]] &amp; " - " &amp; Table3[[#This Row],[SO Number]]</f>
        <v>CHICKEN DELI - SHISEIDO - GENERIC - SO-041</v>
      </c>
      <c r="C304" t="s">
        <v>285</v>
      </c>
      <c r="D304" t="s">
        <v>20</v>
      </c>
      <c r="E304" t="s">
        <v>286</v>
      </c>
      <c r="F304" t="s">
        <v>15</v>
      </c>
      <c r="G304" t="s">
        <v>22</v>
      </c>
      <c r="H304" t="s">
        <v>214</v>
      </c>
      <c r="I304" t="s">
        <v>24</v>
      </c>
      <c r="J304">
        <v>1</v>
      </c>
      <c r="K304">
        <v>13000</v>
      </c>
      <c r="L304">
        <v>13000</v>
      </c>
      <c r="M304">
        <v>13000</v>
      </c>
      <c r="N304" t="s">
        <v>19</v>
      </c>
    </row>
    <row r="305" spans="1:14" x14ac:dyDescent="0.25">
      <c r="A305" t="str">
        <f>Table3[[#This Row],[Company Name]] &amp; " - " &amp; Table3[[#This Row],[Store Name]] &amp; " - " &amp; Table3[[#This Row],[Store Branch / Address]]</f>
        <v>CHICKEN DELI - SHISEIDO - GENERIC</v>
      </c>
      <c r="B305" t="str">
        <f>Table3[[#This Row],[Client ID]] &amp; " - " &amp; Table3[[#This Row],[SO Number]]</f>
        <v>CHICKEN DELI - SHISEIDO - GENERIC - SO-041</v>
      </c>
      <c r="C305" t="s">
        <v>285</v>
      </c>
      <c r="D305" t="s">
        <v>20</v>
      </c>
      <c r="E305" t="s">
        <v>286</v>
      </c>
      <c r="F305" t="s">
        <v>15</v>
      </c>
      <c r="G305" t="s">
        <v>22</v>
      </c>
      <c r="H305" t="s">
        <v>214</v>
      </c>
      <c r="I305" t="s">
        <v>288</v>
      </c>
      <c r="J305">
        <v>1</v>
      </c>
      <c r="K305">
        <v>13000</v>
      </c>
      <c r="L305">
        <v>13000</v>
      </c>
      <c r="M305">
        <v>13000</v>
      </c>
      <c r="N305" t="s">
        <v>19</v>
      </c>
    </row>
    <row r="306" spans="1:14" x14ac:dyDescent="0.25">
      <c r="A306" t="str">
        <f>Table3[[#This Row],[Company Name]] &amp; " - " &amp; Table3[[#This Row],[Store Name]] &amp; " - " &amp; Table3[[#This Row],[Store Branch / Address]]</f>
        <v>CHICKEN DELI - SHISEIDO - GENERIC</v>
      </c>
      <c r="B306" t="str">
        <f>Table3[[#This Row],[Client ID]] &amp; " - " &amp; Table3[[#This Row],[SO Number]]</f>
        <v>CHICKEN DELI - SHISEIDO - GENERIC - SO-041</v>
      </c>
      <c r="C306" t="s">
        <v>285</v>
      </c>
      <c r="D306" t="s">
        <v>20</v>
      </c>
      <c r="E306" t="s">
        <v>286</v>
      </c>
      <c r="F306" t="s">
        <v>15</v>
      </c>
      <c r="G306" t="s">
        <v>22</v>
      </c>
      <c r="H306" t="s">
        <v>214</v>
      </c>
      <c r="I306" t="s">
        <v>289</v>
      </c>
      <c r="J306">
        <v>1</v>
      </c>
      <c r="K306">
        <v>935</v>
      </c>
      <c r="L306">
        <v>1300</v>
      </c>
      <c r="M306">
        <v>1300</v>
      </c>
      <c r="N306" t="s">
        <v>19</v>
      </c>
    </row>
    <row r="307" spans="1:14" x14ac:dyDescent="0.25">
      <c r="A307" t="str">
        <f>Table3[[#This Row],[Company Name]] &amp; " - " &amp; Table3[[#This Row],[Store Name]] &amp; " - " &amp; Table3[[#This Row],[Store Branch / Address]]</f>
        <v>CHICKEN DELI - SHISEIDO - GENERIC</v>
      </c>
      <c r="B307" t="str">
        <f>Table3[[#This Row],[Client ID]] &amp; " - " &amp; Table3[[#This Row],[SO Number]]</f>
        <v>CHICKEN DELI - SHISEIDO - GENERIC - SO-041</v>
      </c>
      <c r="C307" t="s">
        <v>285</v>
      </c>
      <c r="D307" t="s">
        <v>20</v>
      </c>
      <c r="E307" t="s">
        <v>286</v>
      </c>
      <c r="F307" t="s">
        <v>15</v>
      </c>
      <c r="G307" t="s">
        <v>22</v>
      </c>
      <c r="H307" t="s">
        <v>214</v>
      </c>
      <c r="I307" t="s">
        <v>290</v>
      </c>
      <c r="J307">
        <v>1</v>
      </c>
      <c r="K307">
        <v>23450</v>
      </c>
      <c r="L307">
        <v>33500</v>
      </c>
      <c r="M307">
        <v>33500</v>
      </c>
      <c r="N307" t="s">
        <v>19</v>
      </c>
    </row>
    <row r="308" spans="1:14" x14ac:dyDescent="0.25">
      <c r="A308" t="str">
        <f>Table3[[#This Row],[Company Name]] &amp; " - " &amp; Table3[[#This Row],[Store Name]] &amp; " - " &amp; Table3[[#This Row],[Store Branch / Address]]</f>
        <v>CHICKEN DELI - SHISEIDO - GENERIC</v>
      </c>
      <c r="B308" t="str">
        <f>Table3[[#This Row],[Client ID]] &amp; " - " &amp; Table3[[#This Row],[SO Number]]</f>
        <v>CHICKEN DELI - SHISEIDO - GENERIC - SO-041</v>
      </c>
      <c r="C308" t="s">
        <v>285</v>
      </c>
      <c r="D308" t="s">
        <v>20</v>
      </c>
      <c r="E308" t="s">
        <v>286</v>
      </c>
      <c r="F308" t="s">
        <v>15</v>
      </c>
      <c r="G308" t="s">
        <v>22</v>
      </c>
      <c r="H308" t="s">
        <v>214</v>
      </c>
      <c r="I308" t="s">
        <v>291</v>
      </c>
      <c r="J308">
        <v>1</v>
      </c>
      <c r="K308">
        <v>880</v>
      </c>
      <c r="L308">
        <v>1300</v>
      </c>
      <c r="M308">
        <v>1300</v>
      </c>
      <c r="N308" t="s">
        <v>19</v>
      </c>
    </row>
    <row r="309" spans="1:14" x14ac:dyDescent="0.25">
      <c r="A309" t="str">
        <f>Table3[[#This Row],[Company Name]] &amp; " - " &amp; Table3[[#This Row],[Store Name]] &amp; " - " &amp; Table3[[#This Row],[Store Branch / Address]]</f>
        <v>CHICKEN DELI - SHISEIDO - GENERIC</v>
      </c>
      <c r="B309" t="str">
        <f>Table3[[#This Row],[Client ID]] &amp; " - " &amp; Table3[[#This Row],[SO Number]]</f>
        <v>CHICKEN DELI - SHISEIDO - GENERIC - SO-041</v>
      </c>
      <c r="C309" t="s">
        <v>285</v>
      </c>
      <c r="D309" t="s">
        <v>20</v>
      </c>
      <c r="E309" t="s">
        <v>286</v>
      </c>
      <c r="F309" t="s">
        <v>15</v>
      </c>
      <c r="G309" t="s">
        <v>22</v>
      </c>
      <c r="H309" t="s">
        <v>214</v>
      </c>
      <c r="I309" t="s">
        <v>275</v>
      </c>
      <c r="J309">
        <v>1</v>
      </c>
      <c r="K309">
        <v>2500</v>
      </c>
      <c r="L309">
        <v>4000</v>
      </c>
      <c r="M309">
        <v>4000</v>
      </c>
      <c r="N309" t="s">
        <v>19</v>
      </c>
    </row>
    <row r="310" spans="1:14" x14ac:dyDescent="0.25">
      <c r="A310" t="str">
        <f>Table3[[#This Row],[Company Name]] &amp; " - " &amp; Table3[[#This Row],[Store Name]] &amp; " - " &amp; Table3[[#This Row],[Store Branch / Address]]</f>
        <v>CHICKEN DELI - SHISEIDO - GENERIC</v>
      </c>
      <c r="B310" t="str">
        <f>Table3[[#This Row],[Client ID]] &amp; " - " &amp; Table3[[#This Row],[SO Number]]</f>
        <v>CHICKEN DELI - SHISEIDO - GENERIC - SO-041</v>
      </c>
      <c r="C310" t="s">
        <v>285</v>
      </c>
      <c r="D310" t="s">
        <v>20</v>
      </c>
      <c r="E310" t="s">
        <v>286</v>
      </c>
      <c r="F310" t="s">
        <v>15</v>
      </c>
      <c r="G310" t="s">
        <v>22</v>
      </c>
      <c r="H310" t="s">
        <v>214</v>
      </c>
      <c r="I310" t="s">
        <v>76</v>
      </c>
      <c r="J310">
        <v>1</v>
      </c>
      <c r="K310">
        <v>500</v>
      </c>
      <c r="L310">
        <v>500</v>
      </c>
      <c r="M310">
        <v>500</v>
      </c>
      <c r="N310" t="s">
        <v>19</v>
      </c>
    </row>
    <row r="311" spans="1:14" x14ac:dyDescent="0.25">
      <c r="A311" t="str">
        <f>Table3[[#This Row],[Company Name]] &amp; " - " &amp; Table3[[#This Row],[Store Name]] &amp; " - " &amp; Table3[[#This Row],[Store Branch / Address]]</f>
        <v>CHICKEN DELI - GONGCHA - GENERIC</v>
      </c>
      <c r="B311" t="str">
        <f>Table3[[#This Row],[Client ID]] &amp; " - " &amp; Table3[[#This Row],[SO Number]]</f>
        <v>CHICKEN DELI - GONGCHA - GENERIC - SO-042</v>
      </c>
      <c r="C311" t="s">
        <v>295</v>
      </c>
      <c r="D311" t="s">
        <v>20</v>
      </c>
      <c r="E311" t="s">
        <v>31</v>
      </c>
      <c r="F311" t="s">
        <v>15</v>
      </c>
      <c r="G311" t="s">
        <v>22</v>
      </c>
      <c r="H311" t="s">
        <v>214</v>
      </c>
      <c r="I311" t="s">
        <v>145</v>
      </c>
      <c r="J311">
        <v>1</v>
      </c>
      <c r="K311">
        <v>2975</v>
      </c>
      <c r="L311">
        <v>8500</v>
      </c>
      <c r="M311">
        <v>8500</v>
      </c>
      <c r="N311" t="s">
        <v>19</v>
      </c>
    </row>
    <row r="312" spans="1:14" x14ac:dyDescent="0.25">
      <c r="A312" t="str">
        <f>Table3[[#This Row],[Company Name]] &amp; " - " &amp; Table3[[#This Row],[Store Name]] &amp; " - " &amp; Table3[[#This Row],[Store Branch / Address]]</f>
        <v>CHICKEN DELI - GONGCHA - GENERIC</v>
      </c>
      <c r="B312" t="str">
        <f>Table3[[#This Row],[Client ID]] &amp; " - " &amp; Table3[[#This Row],[SO Number]]</f>
        <v>CHICKEN DELI - GONGCHA - GENERIC - SO-042</v>
      </c>
      <c r="C312" t="s">
        <v>295</v>
      </c>
      <c r="D312" t="s">
        <v>20</v>
      </c>
      <c r="E312" t="s">
        <v>31</v>
      </c>
      <c r="F312" t="s">
        <v>15</v>
      </c>
      <c r="G312" t="s">
        <v>22</v>
      </c>
      <c r="H312" t="s">
        <v>214</v>
      </c>
      <c r="I312" t="s">
        <v>299</v>
      </c>
      <c r="J312">
        <v>1</v>
      </c>
      <c r="K312">
        <v>8675</v>
      </c>
      <c r="L312">
        <v>8675</v>
      </c>
      <c r="M312">
        <v>8675</v>
      </c>
      <c r="N312" t="s">
        <v>19</v>
      </c>
    </row>
    <row r="313" spans="1:14" x14ac:dyDescent="0.25">
      <c r="A313" t="str">
        <f>Table3[[#This Row],[Company Name]] &amp; " - " &amp; Table3[[#This Row],[Store Name]] &amp; " - " &amp; Table3[[#This Row],[Store Branch / Address]]</f>
        <v>CHICKEN DELI - GONGCHA - GENERIC</v>
      </c>
      <c r="B313" t="str">
        <f>Table3[[#This Row],[Client ID]] &amp; " - " &amp; Table3[[#This Row],[SO Number]]</f>
        <v>CHICKEN DELI - GONGCHA - GENERIC - SO-042</v>
      </c>
      <c r="C313" t="s">
        <v>295</v>
      </c>
      <c r="D313" t="s">
        <v>20</v>
      </c>
      <c r="E313" t="s">
        <v>31</v>
      </c>
      <c r="F313" t="s">
        <v>15</v>
      </c>
      <c r="G313" t="s">
        <v>22</v>
      </c>
      <c r="H313" t="s">
        <v>214</v>
      </c>
      <c r="I313" t="s">
        <v>25</v>
      </c>
      <c r="J313">
        <v>1</v>
      </c>
      <c r="K313">
        <v>8675</v>
      </c>
      <c r="L313">
        <v>8675</v>
      </c>
      <c r="M313">
        <v>8675</v>
      </c>
      <c r="N313" t="s">
        <v>19</v>
      </c>
    </row>
    <row r="314" spans="1:14" x14ac:dyDescent="0.25">
      <c r="A314" t="str">
        <f>Table3[[#This Row],[Company Name]] &amp; " - " &amp; Table3[[#This Row],[Store Name]] &amp; " - " &amp; Table3[[#This Row],[Store Branch / Address]]</f>
        <v>CHICKEN DELI - GONGCHA - GENERIC</v>
      </c>
      <c r="B314" t="str">
        <f>Table3[[#This Row],[Client ID]] &amp; " - " &amp; Table3[[#This Row],[SO Number]]</f>
        <v>CHICKEN DELI - GONGCHA - GENERIC - SO-042</v>
      </c>
      <c r="C314" t="s">
        <v>295</v>
      </c>
      <c r="D314" t="s">
        <v>20</v>
      </c>
      <c r="E314" t="s">
        <v>31</v>
      </c>
      <c r="F314" t="s">
        <v>15</v>
      </c>
      <c r="G314" t="s">
        <v>22</v>
      </c>
      <c r="H314" t="s">
        <v>214</v>
      </c>
      <c r="I314" t="s">
        <v>134</v>
      </c>
      <c r="J314">
        <v>1</v>
      </c>
      <c r="K314">
        <v>500</v>
      </c>
      <c r="L314">
        <v>500</v>
      </c>
      <c r="M314">
        <v>500</v>
      </c>
      <c r="N314" t="s">
        <v>19</v>
      </c>
    </row>
    <row r="315" spans="1:14" x14ac:dyDescent="0.25">
      <c r="A315" t="str">
        <f>Table3[[#This Row],[Company Name]] &amp; " - " &amp; Table3[[#This Row],[Store Name]] &amp; " - " &amp; Table3[[#This Row],[Store Branch / Address]]</f>
        <v>CHICKEN DELI - GONGCHA - GENERIC</v>
      </c>
      <c r="B315" t="str">
        <f>Table3[[#This Row],[Client ID]] &amp; " - " &amp; Table3[[#This Row],[SO Number]]</f>
        <v>CHICKEN DELI - GONGCHA - GENERIC - SO-042</v>
      </c>
      <c r="C315" t="s">
        <v>295</v>
      </c>
      <c r="D315" t="s">
        <v>20</v>
      </c>
      <c r="E315" t="s">
        <v>31</v>
      </c>
      <c r="F315" t="s">
        <v>15</v>
      </c>
      <c r="G315" t="s">
        <v>22</v>
      </c>
      <c r="H315" t="s">
        <v>214</v>
      </c>
      <c r="I315" t="s">
        <v>300</v>
      </c>
      <c r="J315">
        <v>1</v>
      </c>
      <c r="K315">
        <v>5000</v>
      </c>
      <c r="L315">
        <v>14300</v>
      </c>
      <c r="M315">
        <v>14300</v>
      </c>
      <c r="N315" t="s">
        <v>19</v>
      </c>
    </row>
    <row r="316" spans="1:14" x14ac:dyDescent="0.25">
      <c r="A316" t="str">
        <f>Table3[[#This Row],[Company Name]] &amp; " - " &amp; Table3[[#This Row],[Store Name]] &amp; " - " &amp; Table3[[#This Row],[Store Branch / Address]]</f>
        <v>CHICKEN DELI - GONGCHA - GENERIC</v>
      </c>
      <c r="B316" t="str">
        <f>Table3[[#This Row],[Client ID]] &amp; " - " &amp; Table3[[#This Row],[SO Number]]</f>
        <v>CHICKEN DELI - GONGCHA - GENERIC - SO-042</v>
      </c>
      <c r="C316" t="s">
        <v>295</v>
      </c>
      <c r="D316" t="s">
        <v>20</v>
      </c>
      <c r="E316" t="s">
        <v>31</v>
      </c>
      <c r="F316" t="s">
        <v>15</v>
      </c>
      <c r="G316" t="s">
        <v>22</v>
      </c>
      <c r="H316" t="s">
        <v>214</v>
      </c>
      <c r="I316" t="s">
        <v>301</v>
      </c>
      <c r="J316">
        <v>1</v>
      </c>
      <c r="K316">
        <v>21500</v>
      </c>
      <c r="L316">
        <v>31000</v>
      </c>
      <c r="M316">
        <v>31000</v>
      </c>
      <c r="N316" t="s">
        <v>19</v>
      </c>
    </row>
    <row r="317" spans="1:14" x14ac:dyDescent="0.25">
      <c r="A317" t="str">
        <f>Table3[[#This Row],[Company Name]] &amp; " - " &amp; Table3[[#This Row],[Store Name]] &amp; " - " &amp; Table3[[#This Row],[Store Branch / Address]]</f>
        <v>CHICKEN DELI - GONGCHA - GENERIC</v>
      </c>
      <c r="B317" t="str">
        <f>Table3[[#This Row],[Client ID]] &amp; " - " &amp; Table3[[#This Row],[SO Number]]</f>
        <v>CHICKEN DELI - GONGCHA - GENERIC - SO-042</v>
      </c>
      <c r="C317" t="s">
        <v>295</v>
      </c>
      <c r="D317" t="s">
        <v>20</v>
      </c>
      <c r="E317" t="s">
        <v>31</v>
      </c>
      <c r="F317" t="s">
        <v>15</v>
      </c>
      <c r="G317" t="s">
        <v>22</v>
      </c>
      <c r="H317" t="s">
        <v>214</v>
      </c>
      <c r="I317" t="s">
        <v>302</v>
      </c>
      <c r="J317">
        <v>1</v>
      </c>
      <c r="K317">
        <v>3808</v>
      </c>
      <c r="L317">
        <v>5500</v>
      </c>
      <c r="M317">
        <v>5500</v>
      </c>
      <c r="N317" t="s">
        <v>19</v>
      </c>
    </row>
    <row r="318" spans="1:14" x14ac:dyDescent="0.25">
      <c r="A318" t="str">
        <f>Table3[[#This Row],[Company Name]] &amp; " - " &amp; Table3[[#This Row],[Store Name]] &amp; " - " &amp; Table3[[#This Row],[Store Branch / Address]]</f>
        <v>CHICKEN DELI - GONGCHA - GENERIC</v>
      </c>
      <c r="B318" t="str">
        <f>Table3[[#This Row],[Client ID]] &amp; " - " &amp; Table3[[#This Row],[SO Number]]</f>
        <v>CHICKEN DELI - GONGCHA - GENERIC - SO-042</v>
      </c>
      <c r="C318" t="s">
        <v>295</v>
      </c>
      <c r="D318" t="s">
        <v>20</v>
      </c>
      <c r="E318" t="s">
        <v>31</v>
      </c>
      <c r="F318" t="s">
        <v>15</v>
      </c>
      <c r="G318" t="s">
        <v>22</v>
      </c>
      <c r="H318" t="s">
        <v>214</v>
      </c>
      <c r="I318" t="s">
        <v>303</v>
      </c>
      <c r="J318">
        <v>1</v>
      </c>
      <c r="K318">
        <v>8500</v>
      </c>
      <c r="L318">
        <v>12100</v>
      </c>
      <c r="M318">
        <v>12100</v>
      </c>
      <c r="N318" t="s">
        <v>19</v>
      </c>
    </row>
    <row r="319" spans="1:14" x14ac:dyDescent="0.25">
      <c r="A319" t="str">
        <f>Table3[[#This Row],[Company Name]] &amp; " - " &amp; Table3[[#This Row],[Store Name]] &amp; " - " &amp; Table3[[#This Row],[Store Branch / Address]]</f>
        <v>CHICKEN DELI - GONGCHA - GENERIC</v>
      </c>
      <c r="B319" t="str">
        <f>Table3[[#This Row],[Client ID]] &amp; " - " &amp; Table3[[#This Row],[SO Number]]</f>
        <v>CHICKEN DELI - GONGCHA - GENERIC - SO-042</v>
      </c>
      <c r="C319" t="s">
        <v>295</v>
      </c>
      <c r="D319" t="s">
        <v>20</v>
      </c>
      <c r="E319" t="s">
        <v>31</v>
      </c>
      <c r="F319" t="s">
        <v>15</v>
      </c>
      <c r="G319" t="s">
        <v>22</v>
      </c>
      <c r="H319" t="s">
        <v>214</v>
      </c>
      <c r="I319" t="s">
        <v>96</v>
      </c>
      <c r="J319">
        <v>1</v>
      </c>
      <c r="K319">
        <v>1350</v>
      </c>
      <c r="L319">
        <v>2100</v>
      </c>
      <c r="M319">
        <v>2100</v>
      </c>
      <c r="N319" t="s">
        <v>19</v>
      </c>
    </row>
    <row r="320" spans="1:14" x14ac:dyDescent="0.25">
      <c r="A320" t="str">
        <f>Table3[[#This Row],[Company Name]] &amp; " - " &amp; Table3[[#This Row],[Store Name]] &amp; " - " &amp; Table3[[#This Row],[Store Branch / Address]]</f>
        <v>CHICKEN DELI - GONGCHA - GENERIC</v>
      </c>
      <c r="B320" t="str">
        <f>Table3[[#This Row],[Client ID]] &amp; " - " &amp; Table3[[#This Row],[SO Number]]</f>
        <v>CHICKEN DELI - GONGCHA - GENERIC - SO-042</v>
      </c>
      <c r="C320" t="s">
        <v>295</v>
      </c>
      <c r="D320" t="s">
        <v>20</v>
      </c>
      <c r="E320" t="s">
        <v>31</v>
      </c>
      <c r="F320" t="s">
        <v>15</v>
      </c>
      <c r="G320" t="s">
        <v>22</v>
      </c>
      <c r="H320" t="s">
        <v>214</v>
      </c>
      <c r="I320" t="s">
        <v>76</v>
      </c>
      <c r="J320">
        <v>1</v>
      </c>
      <c r="K320">
        <v>500</v>
      </c>
      <c r="L320">
        <v>500</v>
      </c>
      <c r="M320">
        <v>500</v>
      </c>
      <c r="N320" t="s">
        <v>19</v>
      </c>
    </row>
    <row r="321" spans="1:14" x14ac:dyDescent="0.25">
      <c r="A321" t="str">
        <f>Table3[[#This Row],[Company Name]] &amp; " - " &amp; Table3[[#This Row],[Store Name]] &amp; " - " &amp; Table3[[#This Row],[Store Branch / Address]]</f>
        <v>CHICKEN DELI - GONGCHA - GENERIC</v>
      </c>
      <c r="B321" t="str">
        <f>Table3[[#This Row],[Client ID]] &amp; " - " &amp; Table3[[#This Row],[SO Number]]</f>
        <v>CHICKEN DELI - GONGCHA - GENERIC - SO-043</v>
      </c>
      <c r="C321" t="s">
        <v>304</v>
      </c>
      <c r="D321" t="s">
        <v>20</v>
      </c>
      <c r="E321" t="s">
        <v>31</v>
      </c>
      <c r="F321" t="s">
        <v>15</v>
      </c>
      <c r="G321" t="s">
        <v>22</v>
      </c>
      <c r="H321" t="s">
        <v>214</v>
      </c>
      <c r="I321" t="s">
        <v>145</v>
      </c>
      <c r="J321">
        <v>1</v>
      </c>
      <c r="K321">
        <v>2975</v>
      </c>
      <c r="L321">
        <v>8500</v>
      </c>
      <c r="M321">
        <v>8500</v>
      </c>
      <c r="N321" t="s">
        <v>19</v>
      </c>
    </row>
    <row r="322" spans="1:14" x14ac:dyDescent="0.25">
      <c r="A322" t="str">
        <f>Table3[[#This Row],[Company Name]] &amp; " - " &amp; Table3[[#This Row],[Store Name]] &amp; " - " &amp; Table3[[#This Row],[Store Branch / Address]]</f>
        <v>CHICKEN DELI - GONGCHA - GENERIC</v>
      </c>
      <c r="B322" t="str">
        <f>Table3[[#This Row],[Client ID]] &amp; " - " &amp; Table3[[#This Row],[SO Number]]</f>
        <v>CHICKEN DELI - GONGCHA - GENERIC - SO-043</v>
      </c>
      <c r="C322" t="s">
        <v>304</v>
      </c>
      <c r="D322" t="s">
        <v>20</v>
      </c>
      <c r="E322" t="s">
        <v>31</v>
      </c>
      <c r="F322" t="s">
        <v>15</v>
      </c>
      <c r="G322" t="s">
        <v>22</v>
      </c>
      <c r="H322" t="s">
        <v>214</v>
      </c>
      <c r="I322" t="s">
        <v>299</v>
      </c>
      <c r="J322">
        <v>1</v>
      </c>
      <c r="K322">
        <v>8675</v>
      </c>
      <c r="L322">
        <v>8675</v>
      </c>
      <c r="M322">
        <v>8675</v>
      </c>
      <c r="N322" t="s">
        <v>19</v>
      </c>
    </row>
    <row r="323" spans="1:14" x14ac:dyDescent="0.25">
      <c r="A323" t="str">
        <f>Table3[[#This Row],[Company Name]] &amp; " - " &amp; Table3[[#This Row],[Store Name]] &amp; " - " &amp; Table3[[#This Row],[Store Branch / Address]]</f>
        <v>CHICKEN DELI - GONGCHA - GENERIC</v>
      </c>
      <c r="B323" t="str">
        <f>Table3[[#This Row],[Client ID]] &amp; " - " &amp; Table3[[#This Row],[SO Number]]</f>
        <v>CHICKEN DELI - GONGCHA - GENERIC - SO-043</v>
      </c>
      <c r="C323" t="s">
        <v>304</v>
      </c>
      <c r="D323" t="s">
        <v>20</v>
      </c>
      <c r="E323" t="s">
        <v>31</v>
      </c>
      <c r="F323" t="s">
        <v>15</v>
      </c>
      <c r="G323" t="s">
        <v>22</v>
      </c>
      <c r="H323" t="s">
        <v>214</v>
      </c>
      <c r="I323" t="s">
        <v>25</v>
      </c>
      <c r="J323">
        <v>1</v>
      </c>
      <c r="K323">
        <v>8675</v>
      </c>
      <c r="L323">
        <v>8675</v>
      </c>
      <c r="M323">
        <v>8675</v>
      </c>
      <c r="N323" t="s">
        <v>19</v>
      </c>
    </row>
    <row r="324" spans="1:14" x14ac:dyDescent="0.25">
      <c r="A324" t="str">
        <f>Table3[[#This Row],[Company Name]] &amp; " - " &amp; Table3[[#This Row],[Store Name]] &amp; " - " &amp; Table3[[#This Row],[Store Branch / Address]]</f>
        <v>CHICKEN DELI - GONGCHA - GENERIC</v>
      </c>
      <c r="B324" t="str">
        <f>Table3[[#This Row],[Client ID]] &amp; " - " &amp; Table3[[#This Row],[SO Number]]</f>
        <v>CHICKEN DELI - GONGCHA - GENERIC - SO-043</v>
      </c>
      <c r="C324" t="s">
        <v>304</v>
      </c>
      <c r="D324" t="s">
        <v>20</v>
      </c>
      <c r="E324" t="s">
        <v>31</v>
      </c>
      <c r="F324" t="s">
        <v>15</v>
      </c>
      <c r="G324" t="s">
        <v>22</v>
      </c>
      <c r="H324" t="s">
        <v>214</v>
      </c>
      <c r="I324" t="s">
        <v>134</v>
      </c>
      <c r="J324">
        <v>1</v>
      </c>
      <c r="K324">
        <v>500</v>
      </c>
      <c r="L324">
        <v>500</v>
      </c>
      <c r="M324">
        <v>500</v>
      </c>
      <c r="N324" t="s">
        <v>19</v>
      </c>
    </row>
    <row r="325" spans="1:14" x14ac:dyDescent="0.25">
      <c r="A325" t="str">
        <f>Table3[[#This Row],[Company Name]] &amp; " - " &amp; Table3[[#This Row],[Store Name]] &amp; " - " &amp; Table3[[#This Row],[Store Branch / Address]]</f>
        <v>CHICKEN DELI - GONGCHA - GENERIC</v>
      </c>
      <c r="B325" t="str">
        <f>Table3[[#This Row],[Client ID]] &amp; " - " &amp; Table3[[#This Row],[SO Number]]</f>
        <v>CHICKEN DELI - GONGCHA - GENERIC - SO-043</v>
      </c>
      <c r="C325" t="s">
        <v>304</v>
      </c>
      <c r="D325" t="s">
        <v>20</v>
      </c>
      <c r="E325" t="s">
        <v>31</v>
      </c>
      <c r="F325" t="s">
        <v>15</v>
      </c>
      <c r="G325" t="s">
        <v>22</v>
      </c>
      <c r="H325" t="s">
        <v>214</v>
      </c>
      <c r="I325" t="s">
        <v>300</v>
      </c>
      <c r="J325">
        <v>1</v>
      </c>
      <c r="K325">
        <v>5000</v>
      </c>
      <c r="L325">
        <v>14300</v>
      </c>
      <c r="M325">
        <v>14300</v>
      </c>
      <c r="N325" t="s">
        <v>19</v>
      </c>
    </row>
    <row r="326" spans="1:14" x14ac:dyDescent="0.25">
      <c r="A326" t="str">
        <f>Table3[[#This Row],[Company Name]] &amp; " - " &amp; Table3[[#This Row],[Store Name]] &amp; " - " &amp; Table3[[#This Row],[Store Branch / Address]]</f>
        <v>CHICKEN DELI - GONGCHA - GENERIC</v>
      </c>
      <c r="B326" t="str">
        <f>Table3[[#This Row],[Client ID]] &amp; " - " &amp; Table3[[#This Row],[SO Number]]</f>
        <v>CHICKEN DELI - GONGCHA - GENERIC - SO-043</v>
      </c>
      <c r="C326" t="s">
        <v>304</v>
      </c>
      <c r="D326" t="s">
        <v>20</v>
      </c>
      <c r="E326" t="s">
        <v>31</v>
      </c>
      <c r="F326" t="s">
        <v>15</v>
      </c>
      <c r="G326" t="s">
        <v>22</v>
      </c>
      <c r="H326" t="s">
        <v>214</v>
      </c>
      <c r="I326" t="s">
        <v>301</v>
      </c>
      <c r="J326">
        <v>1</v>
      </c>
      <c r="K326">
        <v>21500</v>
      </c>
      <c r="L326">
        <v>31000</v>
      </c>
      <c r="M326">
        <v>31000</v>
      </c>
      <c r="N326" t="s">
        <v>19</v>
      </c>
    </row>
    <row r="327" spans="1:14" x14ac:dyDescent="0.25">
      <c r="A327" t="str">
        <f>Table3[[#This Row],[Company Name]] &amp; " - " &amp; Table3[[#This Row],[Store Name]] &amp; " - " &amp; Table3[[#This Row],[Store Branch / Address]]</f>
        <v>CHICKEN DELI - GONGCHA - GENERIC</v>
      </c>
      <c r="B327" t="str">
        <f>Table3[[#This Row],[Client ID]] &amp; " - " &amp; Table3[[#This Row],[SO Number]]</f>
        <v>CHICKEN DELI - GONGCHA - GENERIC - SO-043</v>
      </c>
      <c r="C327" t="s">
        <v>304</v>
      </c>
      <c r="D327" t="s">
        <v>20</v>
      </c>
      <c r="E327" t="s">
        <v>31</v>
      </c>
      <c r="F327" t="s">
        <v>15</v>
      </c>
      <c r="G327" t="s">
        <v>22</v>
      </c>
      <c r="H327" t="s">
        <v>214</v>
      </c>
      <c r="I327" t="s">
        <v>302</v>
      </c>
      <c r="J327">
        <v>1</v>
      </c>
      <c r="K327">
        <v>3808</v>
      </c>
      <c r="L327">
        <v>5500</v>
      </c>
      <c r="M327">
        <v>5500</v>
      </c>
      <c r="N327" t="s">
        <v>19</v>
      </c>
    </row>
    <row r="328" spans="1:14" x14ac:dyDescent="0.25">
      <c r="A328" t="str">
        <f>Table3[[#This Row],[Company Name]] &amp; " - " &amp; Table3[[#This Row],[Store Name]] &amp; " - " &amp; Table3[[#This Row],[Store Branch / Address]]</f>
        <v>CHICKEN DELI - GONGCHA - GENERIC</v>
      </c>
      <c r="B328" t="str">
        <f>Table3[[#This Row],[Client ID]] &amp; " - " &amp; Table3[[#This Row],[SO Number]]</f>
        <v>CHICKEN DELI - GONGCHA - GENERIC - SO-043</v>
      </c>
      <c r="C328" t="s">
        <v>304</v>
      </c>
      <c r="D328" t="s">
        <v>20</v>
      </c>
      <c r="E328" t="s">
        <v>31</v>
      </c>
      <c r="F328" t="s">
        <v>15</v>
      </c>
      <c r="G328" t="s">
        <v>22</v>
      </c>
      <c r="H328" t="s">
        <v>214</v>
      </c>
      <c r="I328" t="s">
        <v>303</v>
      </c>
      <c r="J328">
        <v>1</v>
      </c>
      <c r="K328">
        <v>8500</v>
      </c>
      <c r="L328">
        <v>12100</v>
      </c>
      <c r="M328">
        <v>12100</v>
      </c>
      <c r="N328" t="s">
        <v>19</v>
      </c>
    </row>
    <row r="329" spans="1:14" x14ac:dyDescent="0.25">
      <c r="A329" t="str">
        <f>Table3[[#This Row],[Company Name]] &amp; " - " &amp; Table3[[#This Row],[Store Name]] &amp; " - " &amp; Table3[[#This Row],[Store Branch / Address]]</f>
        <v>CHICKEN DELI - GONGCHA - GENERIC</v>
      </c>
      <c r="B329" t="str">
        <f>Table3[[#This Row],[Client ID]] &amp; " - " &amp; Table3[[#This Row],[SO Number]]</f>
        <v>CHICKEN DELI - GONGCHA - GENERIC - SO-043</v>
      </c>
      <c r="C329" t="s">
        <v>304</v>
      </c>
      <c r="D329" t="s">
        <v>20</v>
      </c>
      <c r="E329" t="s">
        <v>31</v>
      </c>
      <c r="F329" t="s">
        <v>15</v>
      </c>
      <c r="G329" t="s">
        <v>22</v>
      </c>
      <c r="H329" t="s">
        <v>214</v>
      </c>
      <c r="I329" t="s">
        <v>96</v>
      </c>
      <c r="J329">
        <v>1</v>
      </c>
      <c r="K329">
        <v>1350</v>
      </c>
      <c r="L329">
        <v>2100</v>
      </c>
      <c r="M329">
        <v>2100</v>
      </c>
      <c r="N329" t="s">
        <v>19</v>
      </c>
    </row>
    <row r="330" spans="1:14" x14ac:dyDescent="0.25">
      <c r="A330" t="str">
        <f>Table3[[#This Row],[Company Name]] &amp; " - " &amp; Table3[[#This Row],[Store Name]] &amp; " - " &amp; Table3[[#This Row],[Store Branch / Address]]</f>
        <v>CHICKEN DELI - GONGCHA - GENERIC</v>
      </c>
      <c r="B330" t="str">
        <f>Table3[[#This Row],[Client ID]] &amp; " - " &amp; Table3[[#This Row],[SO Number]]</f>
        <v>CHICKEN DELI - GONGCHA - GENERIC - SO-043</v>
      </c>
      <c r="C330" t="s">
        <v>304</v>
      </c>
      <c r="D330" t="s">
        <v>20</v>
      </c>
      <c r="E330" t="s">
        <v>31</v>
      </c>
      <c r="F330" t="s">
        <v>15</v>
      </c>
      <c r="G330" t="s">
        <v>22</v>
      </c>
      <c r="H330" t="s">
        <v>214</v>
      </c>
      <c r="I330" t="s">
        <v>76</v>
      </c>
      <c r="J330">
        <v>1</v>
      </c>
      <c r="K330">
        <v>500</v>
      </c>
      <c r="L330">
        <v>500</v>
      </c>
      <c r="M330">
        <v>500</v>
      </c>
      <c r="N330" t="s">
        <v>19</v>
      </c>
    </row>
    <row r="331" spans="1:14" x14ac:dyDescent="0.25">
      <c r="A331" t="str">
        <f>Table3[[#This Row],[Company Name]] &amp; " - " &amp; Table3[[#This Row],[Store Name]] &amp; " - " &amp; Table3[[#This Row],[Store Branch / Address]]</f>
        <v>CHICKEN DELI - THE TEA HOUSE - GENERIC</v>
      </c>
      <c r="B331" t="str">
        <f>Table3[[#This Row],[Client ID]] &amp; " - " &amp; Table3[[#This Row],[SO Number]]</f>
        <v>CHICKEN DELI - THE TEA HOUSE - GENERIC - SO-044</v>
      </c>
      <c r="C331" t="s">
        <v>309</v>
      </c>
      <c r="D331" t="s">
        <v>20</v>
      </c>
      <c r="E331" t="s">
        <v>313</v>
      </c>
      <c r="F331" t="s">
        <v>15</v>
      </c>
      <c r="G331" t="s">
        <v>22</v>
      </c>
      <c r="H331" t="s">
        <v>314</v>
      </c>
      <c r="I331" t="s">
        <v>315</v>
      </c>
      <c r="J331">
        <v>2</v>
      </c>
      <c r="K331">
        <v>3675</v>
      </c>
      <c r="L331">
        <v>10500</v>
      </c>
      <c r="M331">
        <v>21000</v>
      </c>
      <c r="N331" t="s">
        <v>19</v>
      </c>
    </row>
    <row r="332" spans="1:14" x14ac:dyDescent="0.25">
      <c r="A332" t="str">
        <f>Table3[[#This Row],[Company Name]] &amp; " - " &amp; Table3[[#This Row],[Store Name]] &amp; " - " &amp; Table3[[#This Row],[Store Branch / Address]]</f>
        <v>CHICKEN DELI - THE TEA HOUSE - GENERIC</v>
      </c>
      <c r="B332" t="str">
        <f>Table3[[#This Row],[Client ID]] &amp; " - " &amp; Table3[[#This Row],[SO Number]]</f>
        <v>CHICKEN DELI - THE TEA HOUSE - GENERIC - SO-044</v>
      </c>
      <c r="C332" t="s">
        <v>309</v>
      </c>
      <c r="D332" t="s">
        <v>20</v>
      </c>
      <c r="E332" t="s">
        <v>313</v>
      </c>
      <c r="F332" t="s">
        <v>15</v>
      </c>
      <c r="G332" t="s">
        <v>22</v>
      </c>
      <c r="H332" t="s">
        <v>314</v>
      </c>
      <c r="I332" t="s">
        <v>170</v>
      </c>
      <c r="J332">
        <v>2</v>
      </c>
      <c r="K332">
        <v>2500</v>
      </c>
      <c r="L332">
        <v>2500</v>
      </c>
      <c r="M332">
        <v>5000</v>
      </c>
      <c r="N332" t="s">
        <v>19</v>
      </c>
    </row>
    <row r="333" spans="1:14" x14ac:dyDescent="0.25">
      <c r="A333" t="str">
        <f>Table3[[#This Row],[Company Name]] &amp; " - " &amp; Table3[[#This Row],[Store Name]] &amp; " - " &amp; Table3[[#This Row],[Store Branch / Address]]</f>
        <v>CHICKEN DELI - THE TEA HOUSE - GENERIC</v>
      </c>
      <c r="B333" t="str">
        <f>Table3[[#This Row],[Client ID]] &amp; " - " &amp; Table3[[#This Row],[SO Number]]</f>
        <v>CHICKEN DELI - THE TEA HOUSE - GENERIC - SO-044</v>
      </c>
      <c r="C333" t="s">
        <v>309</v>
      </c>
      <c r="D333" t="s">
        <v>20</v>
      </c>
      <c r="E333" t="s">
        <v>313</v>
      </c>
      <c r="F333" t="s">
        <v>15</v>
      </c>
      <c r="G333" t="s">
        <v>22</v>
      </c>
      <c r="H333" t="s">
        <v>314</v>
      </c>
      <c r="I333" t="s">
        <v>24</v>
      </c>
      <c r="J333">
        <v>2</v>
      </c>
      <c r="K333">
        <v>2500</v>
      </c>
      <c r="L333">
        <v>2500</v>
      </c>
      <c r="M333">
        <v>5000</v>
      </c>
      <c r="N333" t="s">
        <v>19</v>
      </c>
    </row>
    <row r="334" spans="1:14" x14ac:dyDescent="0.25">
      <c r="A334" t="str">
        <f>Table3[[#This Row],[Company Name]] &amp; " - " &amp; Table3[[#This Row],[Store Name]] &amp; " - " &amp; Table3[[#This Row],[Store Branch / Address]]</f>
        <v>CHICKEN DELI - THE TEA HOUSE - GENERIC</v>
      </c>
      <c r="B334" t="str">
        <f>Table3[[#This Row],[Client ID]] &amp; " - " &amp; Table3[[#This Row],[SO Number]]</f>
        <v>CHICKEN DELI - THE TEA HOUSE - GENERIC - SO-044</v>
      </c>
      <c r="C334" t="s">
        <v>309</v>
      </c>
      <c r="D334" t="s">
        <v>20</v>
      </c>
      <c r="E334" t="s">
        <v>313</v>
      </c>
      <c r="F334" t="s">
        <v>15</v>
      </c>
      <c r="G334" t="s">
        <v>22</v>
      </c>
      <c r="H334" t="s">
        <v>314</v>
      </c>
      <c r="I334" t="s">
        <v>316</v>
      </c>
      <c r="J334">
        <v>2</v>
      </c>
      <c r="K334">
        <v>500</v>
      </c>
      <c r="L334">
        <v>500</v>
      </c>
      <c r="M334">
        <v>1000</v>
      </c>
      <c r="N334" t="s">
        <v>19</v>
      </c>
    </row>
    <row r="335" spans="1:14" x14ac:dyDescent="0.25">
      <c r="A335" t="str">
        <f>Table3[[#This Row],[Company Name]] &amp; " - " &amp; Table3[[#This Row],[Store Name]] &amp; " - " &amp; Table3[[#This Row],[Store Branch / Address]]</f>
        <v>CHICKEN DELI - THE TEA HOUSE - GENERIC</v>
      </c>
      <c r="B335" t="str">
        <f>Table3[[#This Row],[Client ID]] &amp; " - " &amp; Table3[[#This Row],[SO Number]]</f>
        <v>CHICKEN DELI - THE TEA HOUSE - GENERIC - SO-044</v>
      </c>
      <c r="C335" t="s">
        <v>309</v>
      </c>
      <c r="D335" t="s">
        <v>20</v>
      </c>
      <c r="E335" t="s">
        <v>313</v>
      </c>
      <c r="F335" t="s">
        <v>15</v>
      </c>
      <c r="G335" t="s">
        <v>22</v>
      </c>
      <c r="H335" t="s">
        <v>314</v>
      </c>
      <c r="I335" t="s">
        <v>317</v>
      </c>
      <c r="J335">
        <v>1</v>
      </c>
      <c r="K335">
        <v>3675</v>
      </c>
      <c r="L335">
        <v>10500</v>
      </c>
      <c r="M335">
        <v>10500</v>
      </c>
      <c r="N335" t="s">
        <v>19</v>
      </c>
    </row>
    <row r="336" spans="1:14" x14ac:dyDescent="0.25">
      <c r="A336" t="str">
        <f>Table3[[#This Row],[Company Name]] &amp; " - " &amp; Table3[[#This Row],[Store Name]] &amp; " - " &amp; Table3[[#This Row],[Store Branch / Address]]</f>
        <v>CHICKEN DELI - THE TEA HOUSE - GENERIC</v>
      </c>
      <c r="B336" t="str">
        <f>Table3[[#This Row],[Client ID]] &amp; " - " &amp; Table3[[#This Row],[SO Number]]</f>
        <v>CHICKEN DELI - THE TEA HOUSE - GENERIC - SO-044</v>
      </c>
      <c r="C336" t="s">
        <v>309</v>
      </c>
      <c r="D336" t="s">
        <v>20</v>
      </c>
      <c r="E336" t="s">
        <v>313</v>
      </c>
      <c r="F336" t="s">
        <v>15</v>
      </c>
      <c r="G336" t="s">
        <v>22</v>
      </c>
      <c r="H336" t="s">
        <v>314</v>
      </c>
      <c r="I336" t="s">
        <v>170</v>
      </c>
      <c r="J336">
        <v>1</v>
      </c>
      <c r="K336">
        <v>3900</v>
      </c>
      <c r="L336">
        <v>3900</v>
      </c>
      <c r="M336">
        <v>3900</v>
      </c>
      <c r="N336" t="s">
        <v>19</v>
      </c>
    </row>
    <row r="337" spans="1:14" x14ac:dyDescent="0.25">
      <c r="A337" t="str">
        <f>Table3[[#This Row],[Company Name]] &amp; " - " &amp; Table3[[#This Row],[Store Name]] &amp; " - " &amp; Table3[[#This Row],[Store Branch / Address]]</f>
        <v>CHICKEN DELI - THE TEA HOUSE - GENERIC</v>
      </c>
      <c r="B337" t="str">
        <f>Table3[[#This Row],[Client ID]] &amp; " - " &amp; Table3[[#This Row],[SO Number]]</f>
        <v>CHICKEN DELI - THE TEA HOUSE - GENERIC - SO-044</v>
      </c>
      <c r="C337" t="s">
        <v>309</v>
      </c>
      <c r="D337" t="s">
        <v>20</v>
      </c>
      <c r="E337" t="s">
        <v>313</v>
      </c>
      <c r="F337" t="s">
        <v>15</v>
      </c>
      <c r="G337" t="s">
        <v>22</v>
      </c>
      <c r="H337" t="s">
        <v>314</v>
      </c>
      <c r="I337" t="s">
        <v>24</v>
      </c>
      <c r="J337">
        <v>1</v>
      </c>
      <c r="K337">
        <v>3900</v>
      </c>
      <c r="L337">
        <v>3900</v>
      </c>
      <c r="M337">
        <v>3900</v>
      </c>
      <c r="N337" t="s">
        <v>19</v>
      </c>
    </row>
    <row r="338" spans="1:14" x14ac:dyDescent="0.25">
      <c r="A338" t="str">
        <f>Table3[[#This Row],[Company Name]] &amp; " - " &amp; Table3[[#This Row],[Store Name]] &amp; " - " &amp; Table3[[#This Row],[Store Branch / Address]]</f>
        <v>CHICKEN DELI - THE TEA HOUSE - GENERIC</v>
      </c>
      <c r="B338" t="str">
        <f>Table3[[#This Row],[Client ID]] &amp; " - " &amp; Table3[[#This Row],[SO Number]]</f>
        <v>CHICKEN DELI - THE TEA HOUSE - GENERIC - SO-044</v>
      </c>
      <c r="C338" t="s">
        <v>309</v>
      </c>
      <c r="D338" t="s">
        <v>20</v>
      </c>
      <c r="E338" t="s">
        <v>313</v>
      </c>
      <c r="F338" t="s">
        <v>15</v>
      </c>
      <c r="G338" t="s">
        <v>22</v>
      </c>
      <c r="H338" t="s">
        <v>314</v>
      </c>
      <c r="I338" t="s">
        <v>318</v>
      </c>
      <c r="J338">
        <v>1</v>
      </c>
      <c r="K338">
        <v>10500</v>
      </c>
      <c r="L338">
        <v>30000</v>
      </c>
      <c r="M338">
        <v>30000</v>
      </c>
      <c r="N338" t="s">
        <v>19</v>
      </c>
    </row>
    <row r="339" spans="1:14" x14ac:dyDescent="0.25">
      <c r="A339" t="str">
        <f>Table3[[#This Row],[Company Name]] &amp; " - " &amp; Table3[[#This Row],[Store Name]] &amp; " - " &amp; Table3[[#This Row],[Store Branch / Address]]</f>
        <v>CHICKEN DELI - THE TEA HOUSE - GENERIC</v>
      </c>
      <c r="B339" t="str">
        <f>Table3[[#This Row],[Client ID]] &amp; " - " &amp; Table3[[#This Row],[SO Number]]</f>
        <v>CHICKEN DELI - THE TEA HOUSE - GENERIC - SO-044</v>
      </c>
      <c r="C339" t="s">
        <v>309</v>
      </c>
      <c r="D339" t="s">
        <v>20</v>
      </c>
      <c r="E339" t="s">
        <v>313</v>
      </c>
      <c r="F339" t="s">
        <v>15</v>
      </c>
      <c r="G339" t="s">
        <v>22</v>
      </c>
      <c r="H339" t="s">
        <v>314</v>
      </c>
      <c r="I339" t="s">
        <v>319</v>
      </c>
      <c r="J339">
        <v>5</v>
      </c>
      <c r="K339">
        <v>11000</v>
      </c>
      <c r="L339">
        <v>15700</v>
      </c>
      <c r="M339">
        <v>78500</v>
      </c>
      <c r="N339" t="s">
        <v>19</v>
      </c>
    </row>
    <row r="340" spans="1:14" x14ac:dyDescent="0.25">
      <c r="A340" t="str">
        <f>Table3[[#This Row],[Company Name]] &amp; " - " &amp; Table3[[#This Row],[Store Name]] &amp; " - " &amp; Table3[[#This Row],[Store Branch / Address]]</f>
        <v>CHICKEN DELI - HARVEST HOTEL - GENERIC</v>
      </c>
      <c r="B340" t="str">
        <f>Table3[[#This Row],[Client ID]] &amp; " - " &amp; Table3[[#This Row],[SO Number]]</f>
        <v>CHICKEN DELI - HARVEST HOTEL - GENERIC - SO-045</v>
      </c>
      <c r="C340" t="s">
        <v>320</v>
      </c>
      <c r="D340" t="s">
        <v>20</v>
      </c>
      <c r="E340" t="s">
        <v>321</v>
      </c>
      <c r="F340" t="s">
        <v>15</v>
      </c>
      <c r="G340" t="s">
        <v>22</v>
      </c>
      <c r="H340" t="s">
        <v>314</v>
      </c>
      <c r="I340" t="s">
        <v>322</v>
      </c>
      <c r="J340">
        <v>1</v>
      </c>
      <c r="K340">
        <v>3675</v>
      </c>
      <c r="L340">
        <v>10500</v>
      </c>
      <c r="M340">
        <v>10500</v>
      </c>
      <c r="N340" t="s">
        <v>19</v>
      </c>
    </row>
    <row r="341" spans="1:14" x14ac:dyDescent="0.25">
      <c r="A341" t="str">
        <f>Table3[[#This Row],[Company Name]] &amp; " - " &amp; Table3[[#This Row],[Store Name]] &amp; " - " &amp; Table3[[#This Row],[Store Branch / Address]]</f>
        <v>CHICKEN DELI - HARVEST HOTEL - GENERIC</v>
      </c>
      <c r="B341" t="str">
        <f>Table3[[#This Row],[Client ID]] &amp; " - " &amp; Table3[[#This Row],[SO Number]]</f>
        <v>CHICKEN DELI - HARVEST HOTEL - GENERIC - SO-045</v>
      </c>
      <c r="C341" t="s">
        <v>320</v>
      </c>
      <c r="D341" t="s">
        <v>20</v>
      </c>
      <c r="E341" t="s">
        <v>321</v>
      </c>
      <c r="F341" t="s">
        <v>15</v>
      </c>
      <c r="G341" t="s">
        <v>22</v>
      </c>
      <c r="H341" t="s">
        <v>314</v>
      </c>
      <c r="I341" t="s">
        <v>170</v>
      </c>
      <c r="J341">
        <v>1</v>
      </c>
      <c r="K341">
        <v>10000</v>
      </c>
      <c r="L341">
        <v>10000</v>
      </c>
      <c r="M341">
        <v>10000</v>
      </c>
      <c r="N341" t="s">
        <v>19</v>
      </c>
    </row>
    <row r="342" spans="1:14" x14ac:dyDescent="0.25">
      <c r="A342" t="str">
        <f>Table3[[#This Row],[Company Name]] &amp; " - " &amp; Table3[[#This Row],[Store Name]] &amp; " - " &amp; Table3[[#This Row],[Store Branch / Address]]</f>
        <v>CHICKEN DELI - HARVEST HOTEL - GENERIC</v>
      </c>
      <c r="B342" t="str">
        <f>Table3[[#This Row],[Client ID]] &amp; " - " &amp; Table3[[#This Row],[SO Number]]</f>
        <v>CHICKEN DELI - HARVEST HOTEL - GENERIC - SO-045</v>
      </c>
      <c r="C342" t="s">
        <v>320</v>
      </c>
      <c r="D342" t="s">
        <v>20</v>
      </c>
      <c r="E342" t="s">
        <v>321</v>
      </c>
      <c r="F342" t="s">
        <v>15</v>
      </c>
      <c r="G342" t="s">
        <v>22</v>
      </c>
      <c r="H342" t="s">
        <v>314</v>
      </c>
      <c r="I342" t="s">
        <v>24</v>
      </c>
      <c r="J342">
        <v>1</v>
      </c>
      <c r="K342">
        <v>10000</v>
      </c>
      <c r="L342">
        <v>10000</v>
      </c>
      <c r="M342">
        <v>10000</v>
      </c>
      <c r="N342" t="s">
        <v>19</v>
      </c>
    </row>
    <row r="343" spans="1:14" x14ac:dyDescent="0.25">
      <c r="A343" t="str">
        <f>Table3[[#This Row],[Company Name]] &amp; " - " &amp; Table3[[#This Row],[Store Name]] &amp; " - " &amp; Table3[[#This Row],[Store Branch / Address]]</f>
        <v>CHICKEN DELI - HARVEST HOTEL - GENERIC</v>
      </c>
      <c r="B343" t="str">
        <f>Table3[[#This Row],[Client ID]] &amp; " - " &amp; Table3[[#This Row],[SO Number]]</f>
        <v>CHICKEN DELI - HARVEST HOTEL - GENERIC - SO-045</v>
      </c>
      <c r="C343" t="s">
        <v>320</v>
      </c>
      <c r="D343" t="s">
        <v>20</v>
      </c>
      <c r="E343" t="s">
        <v>321</v>
      </c>
      <c r="F343" t="s">
        <v>15</v>
      </c>
      <c r="G343" t="s">
        <v>22</v>
      </c>
      <c r="H343" t="s">
        <v>314</v>
      </c>
      <c r="I343" t="s">
        <v>316</v>
      </c>
      <c r="J343">
        <v>1</v>
      </c>
      <c r="K343">
        <v>500</v>
      </c>
      <c r="L343">
        <v>500</v>
      </c>
      <c r="M343">
        <v>500</v>
      </c>
      <c r="N343" t="s">
        <v>19</v>
      </c>
    </row>
    <row r="344" spans="1:14" x14ac:dyDescent="0.25">
      <c r="A344" t="str">
        <f>Table3[[#This Row],[Company Name]] &amp; " - " &amp; Table3[[#This Row],[Store Name]] &amp; " - " &amp; Table3[[#This Row],[Store Branch / Address]]</f>
        <v>CHICKEN DELI - HARVEST HOTEL - GENERIC</v>
      </c>
      <c r="B344" t="str">
        <f>Table3[[#This Row],[Client ID]] &amp; " - " &amp; Table3[[#This Row],[SO Number]]</f>
        <v>CHICKEN DELI - HARVEST HOTEL - GENERIC - SO-045</v>
      </c>
      <c r="C344" t="s">
        <v>320</v>
      </c>
      <c r="D344" t="s">
        <v>20</v>
      </c>
      <c r="E344" t="s">
        <v>321</v>
      </c>
      <c r="F344" t="s">
        <v>15</v>
      </c>
      <c r="G344" t="s">
        <v>22</v>
      </c>
      <c r="H344" t="s">
        <v>314</v>
      </c>
      <c r="I344" t="s">
        <v>323</v>
      </c>
      <c r="J344">
        <v>1</v>
      </c>
      <c r="K344">
        <v>6055</v>
      </c>
      <c r="L344">
        <v>17300</v>
      </c>
      <c r="M344">
        <v>17300</v>
      </c>
      <c r="N344" t="s">
        <v>19</v>
      </c>
    </row>
    <row r="345" spans="1:14" x14ac:dyDescent="0.25">
      <c r="A345" t="str">
        <f>Table3[[#This Row],[Company Name]] &amp; " - " &amp; Table3[[#This Row],[Store Name]] &amp; " - " &amp; Table3[[#This Row],[Store Branch / Address]]</f>
        <v>CHICKEN DELI - HARVEST HOTEL - GENERIC</v>
      </c>
      <c r="B345" t="str">
        <f>Table3[[#This Row],[Client ID]] &amp; " - " &amp; Table3[[#This Row],[SO Number]]</f>
        <v>CHICKEN DELI - HARVEST HOTEL - GENERIC - SO-045</v>
      </c>
      <c r="C345" t="s">
        <v>320</v>
      </c>
      <c r="D345" t="s">
        <v>20</v>
      </c>
      <c r="E345" t="s">
        <v>321</v>
      </c>
      <c r="F345" t="s">
        <v>15</v>
      </c>
      <c r="G345" t="s">
        <v>22</v>
      </c>
      <c r="H345" t="s">
        <v>314</v>
      </c>
      <c r="I345" t="s">
        <v>324</v>
      </c>
      <c r="J345">
        <v>1</v>
      </c>
      <c r="K345">
        <v>28000</v>
      </c>
      <c r="L345">
        <v>80000</v>
      </c>
      <c r="M345">
        <v>80000</v>
      </c>
      <c r="N345" t="s">
        <v>19</v>
      </c>
    </row>
    <row r="346" spans="1:14" x14ac:dyDescent="0.25">
      <c r="A346" t="str">
        <f>Table3[[#This Row],[Company Name]] &amp; " - " &amp; Table3[[#This Row],[Store Name]] &amp; " - " &amp; Table3[[#This Row],[Store Branch / Address]]</f>
        <v>CHICKEN DELI - HARVEST HOTEL - GENERIC</v>
      </c>
      <c r="B346" t="str">
        <f>Table3[[#This Row],[Client ID]] &amp; " - " &amp; Table3[[#This Row],[SO Number]]</f>
        <v>CHICKEN DELI - HARVEST HOTEL - GENERIC - SO-045</v>
      </c>
      <c r="C346" t="s">
        <v>320</v>
      </c>
      <c r="D346" t="s">
        <v>20</v>
      </c>
      <c r="E346" t="s">
        <v>321</v>
      </c>
      <c r="F346" t="s">
        <v>15</v>
      </c>
      <c r="G346" t="s">
        <v>22</v>
      </c>
      <c r="H346" t="s">
        <v>314</v>
      </c>
      <c r="I346" t="s">
        <v>170</v>
      </c>
      <c r="J346">
        <v>1</v>
      </c>
      <c r="K346">
        <v>10000</v>
      </c>
      <c r="L346">
        <v>10000</v>
      </c>
      <c r="M346">
        <v>10000</v>
      </c>
      <c r="N346" t="s">
        <v>19</v>
      </c>
    </row>
    <row r="347" spans="1:14" x14ac:dyDescent="0.25">
      <c r="A347" t="str">
        <f>Table3[[#This Row],[Company Name]] &amp; " - " &amp; Table3[[#This Row],[Store Name]] &amp; " - " &amp; Table3[[#This Row],[Store Branch / Address]]</f>
        <v>CHICKEN DELI - HARVEST HOTEL - GENERIC</v>
      </c>
      <c r="B347" t="str">
        <f>Table3[[#This Row],[Client ID]] &amp; " - " &amp; Table3[[#This Row],[SO Number]]</f>
        <v>CHICKEN DELI - HARVEST HOTEL - GENERIC - SO-045</v>
      </c>
      <c r="C347" t="s">
        <v>320</v>
      </c>
      <c r="D347" t="s">
        <v>20</v>
      </c>
      <c r="E347" t="s">
        <v>321</v>
      </c>
      <c r="F347" t="s">
        <v>15</v>
      </c>
      <c r="G347" t="s">
        <v>22</v>
      </c>
      <c r="H347" t="s">
        <v>314</v>
      </c>
      <c r="I347" t="s">
        <v>24</v>
      </c>
      <c r="J347">
        <v>1</v>
      </c>
      <c r="K347">
        <v>10000</v>
      </c>
      <c r="L347">
        <v>10000</v>
      </c>
      <c r="M347">
        <v>10000</v>
      </c>
      <c r="N347" t="s">
        <v>19</v>
      </c>
    </row>
    <row r="348" spans="1:14" x14ac:dyDescent="0.25">
      <c r="A348" t="str">
        <f>Table3[[#This Row],[Company Name]] &amp; " - " &amp; Table3[[#This Row],[Store Name]] &amp; " - " &amp; Table3[[#This Row],[Store Branch / Address]]</f>
        <v>CHICKEN DELI - HARVEST HOTEL - GENERIC</v>
      </c>
      <c r="B348" t="str">
        <f>Table3[[#This Row],[Client ID]] &amp; " - " &amp; Table3[[#This Row],[SO Number]]</f>
        <v>CHICKEN DELI - HARVEST HOTEL - GENERIC - SO-045</v>
      </c>
      <c r="C348" t="s">
        <v>320</v>
      </c>
      <c r="D348" t="s">
        <v>20</v>
      </c>
      <c r="E348" t="s">
        <v>321</v>
      </c>
      <c r="F348" t="s">
        <v>15</v>
      </c>
      <c r="G348" t="s">
        <v>22</v>
      </c>
      <c r="H348" t="s">
        <v>314</v>
      </c>
      <c r="I348" t="s">
        <v>325</v>
      </c>
      <c r="J348">
        <v>1</v>
      </c>
      <c r="K348">
        <v>21500</v>
      </c>
      <c r="L348">
        <v>31000</v>
      </c>
      <c r="M348">
        <v>31000</v>
      </c>
      <c r="N348" t="s">
        <v>19</v>
      </c>
    </row>
    <row r="349" spans="1:14" x14ac:dyDescent="0.25">
      <c r="A349" t="str">
        <f>Table3[[#This Row],[Company Name]] &amp; " - " &amp; Table3[[#This Row],[Store Name]] &amp; " - " &amp; Table3[[#This Row],[Store Branch / Address]]</f>
        <v>CHICKEN DELI - HARVEST HOTEL - GENERIC</v>
      </c>
      <c r="B349" t="str">
        <f>Table3[[#This Row],[Client ID]] &amp; " - " &amp; Table3[[#This Row],[SO Number]]</f>
        <v>CHICKEN DELI - HARVEST HOTEL - GENERIC - SO-045</v>
      </c>
      <c r="C349" t="s">
        <v>320</v>
      </c>
      <c r="D349" t="s">
        <v>20</v>
      </c>
      <c r="E349" t="s">
        <v>321</v>
      </c>
      <c r="F349" t="s">
        <v>15</v>
      </c>
      <c r="G349" t="s">
        <v>22</v>
      </c>
      <c r="H349" t="s">
        <v>314</v>
      </c>
      <c r="I349" t="s">
        <v>326</v>
      </c>
      <c r="J349">
        <v>1</v>
      </c>
      <c r="K349">
        <v>27010</v>
      </c>
      <c r="L349">
        <v>38000</v>
      </c>
      <c r="M349">
        <v>38000</v>
      </c>
      <c r="N349" t="s">
        <v>19</v>
      </c>
    </row>
    <row r="350" spans="1:14" x14ac:dyDescent="0.25">
      <c r="A350" t="str">
        <f>Table3[[#This Row],[Company Name]] &amp; " - " &amp; Table3[[#This Row],[Store Name]] &amp; " - " &amp; Table3[[#This Row],[Store Branch / Address]]</f>
        <v>CHICKEN DELI - HARVEST HOTEL - GENERIC</v>
      </c>
      <c r="B350" t="str">
        <f>Table3[[#This Row],[Client ID]] &amp; " - " &amp; Table3[[#This Row],[SO Number]]</f>
        <v>CHICKEN DELI - HARVEST HOTEL - GENERIC - SO-045</v>
      </c>
      <c r="C350" t="s">
        <v>320</v>
      </c>
      <c r="D350" t="s">
        <v>20</v>
      </c>
      <c r="E350" t="s">
        <v>321</v>
      </c>
      <c r="F350" t="s">
        <v>15</v>
      </c>
      <c r="G350" t="s">
        <v>22</v>
      </c>
      <c r="H350" t="s">
        <v>314</v>
      </c>
      <c r="I350" t="s">
        <v>116</v>
      </c>
      <c r="J350">
        <v>1</v>
      </c>
      <c r="K350">
        <v>1350</v>
      </c>
      <c r="L350">
        <v>2000</v>
      </c>
      <c r="M350">
        <v>2000</v>
      </c>
      <c r="N350" t="s">
        <v>19</v>
      </c>
    </row>
    <row r="351" spans="1:14" x14ac:dyDescent="0.25">
      <c r="A351" t="str">
        <f>Table3[[#This Row],[Company Name]] &amp; " - " &amp; Table3[[#This Row],[Store Name]] &amp; " - " &amp; Table3[[#This Row],[Store Branch / Address]]</f>
        <v>CHICKEN DELI - HARVEST HOTEL - GENERIC</v>
      </c>
      <c r="B351" t="str">
        <f>Table3[[#This Row],[Client ID]] &amp; " - " &amp; Table3[[#This Row],[SO Number]]</f>
        <v>CHICKEN DELI - HARVEST HOTEL - GENERIC - SO-045</v>
      </c>
      <c r="C351" t="s">
        <v>320</v>
      </c>
      <c r="D351" t="s">
        <v>20</v>
      </c>
      <c r="E351" t="s">
        <v>321</v>
      </c>
      <c r="F351" t="s">
        <v>15</v>
      </c>
      <c r="G351" t="s">
        <v>22</v>
      </c>
      <c r="H351" t="s">
        <v>314</v>
      </c>
      <c r="I351" t="s">
        <v>327</v>
      </c>
      <c r="J351">
        <v>2</v>
      </c>
      <c r="K351">
        <v>11500</v>
      </c>
      <c r="L351">
        <v>16500</v>
      </c>
      <c r="M351">
        <v>33000</v>
      </c>
      <c r="N351" t="s">
        <v>19</v>
      </c>
    </row>
    <row r="352" spans="1:14" x14ac:dyDescent="0.25">
      <c r="A352" t="str">
        <f>Table3[[#This Row],[Company Name]] &amp; " - " &amp; Table3[[#This Row],[Store Name]] &amp; " - " &amp; Table3[[#This Row],[Store Branch / Address]]</f>
        <v>CHICKEN DELI - HARVEST HOTEL - GENERIC</v>
      </c>
      <c r="B352" t="str">
        <f>Table3[[#This Row],[Client ID]] &amp; " - " &amp; Table3[[#This Row],[SO Number]]</f>
        <v>CHICKEN DELI - HARVEST HOTEL - GENERIC - SO-045</v>
      </c>
      <c r="C352" t="s">
        <v>320</v>
      </c>
      <c r="D352" t="s">
        <v>20</v>
      </c>
      <c r="E352" t="s">
        <v>321</v>
      </c>
      <c r="F352" t="s">
        <v>15</v>
      </c>
      <c r="G352" t="s">
        <v>22</v>
      </c>
      <c r="H352" t="s">
        <v>314</v>
      </c>
      <c r="I352" t="s">
        <v>97</v>
      </c>
      <c r="J352">
        <v>3</v>
      </c>
      <c r="K352">
        <v>2200</v>
      </c>
      <c r="L352">
        <v>3100</v>
      </c>
      <c r="M352">
        <v>9300</v>
      </c>
      <c r="N352" t="s">
        <v>19</v>
      </c>
    </row>
    <row r="353" spans="1:14" x14ac:dyDescent="0.25">
      <c r="A353" t="str">
        <f>Table3[[#This Row],[Company Name]] &amp; " - " &amp; Table3[[#This Row],[Store Name]] &amp; " - " &amp; Table3[[#This Row],[Store Branch / Address]]</f>
        <v>CHICKEN DELI - HARVEST HOTEL - GENERIC</v>
      </c>
      <c r="B353" t="str">
        <f>Table3[[#This Row],[Client ID]] &amp; " - " &amp; Table3[[#This Row],[SO Number]]</f>
        <v>CHICKEN DELI - HARVEST HOTEL - GENERIC - SO-045</v>
      </c>
      <c r="C353" t="s">
        <v>320</v>
      </c>
      <c r="D353" t="s">
        <v>20</v>
      </c>
      <c r="E353" t="s">
        <v>321</v>
      </c>
      <c r="F353" t="s">
        <v>15</v>
      </c>
      <c r="G353" t="s">
        <v>22</v>
      </c>
      <c r="H353" t="s">
        <v>314</v>
      </c>
      <c r="I353" t="s">
        <v>328</v>
      </c>
      <c r="J353">
        <v>1</v>
      </c>
      <c r="K353">
        <v>24330</v>
      </c>
      <c r="L353">
        <v>34000</v>
      </c>
      <c r="M353">
        <v>34000</v>
      </c>
      <c r="N353" t="s">
        <v>19</v>
      </c>
    </row>
    <row r="354" spans="1:14" x14ac:dyDescent="0.25">
      <c r="A354" t="str">
        <f>Table3[[#This Row],[Company Name]] &amp; " - " &amp; Table3[[#This Row],[Store Name]] &amp; " - " &amp; Table3[[#This Row],[Store Branch / Address]]</f>
        <v>CHICKEN DELI - HARVEST HOTEL - GENERIC</v>
      </c>
      <c r="B354" t="str">
        <f>Table3[[#This Row],[Client ID]] &amp; " - " &amp; Table3[[#This Row],[SO Number]]</f>
        <v>CHICKEN DELI - HARVEST HOTEL - GENERIC - SO-045</v>
      </c>
      <c r="C354" t="s">
        <v>320</v>
      </c>
      <c r="D354" t="s">
        <v>20</v>
      </c>
      <c r="E354" t="s">
        <v>321</v>
      </c>
      <c r="F354" t="s">
        <v>15</v>
      </c>
      <c r="G354" t="s">
        <v>22</v>
      </c>
      <c r="H354" t="s">
        <v>314</v>
      </c>
      <c r="I354" t="s">
        <v>329</v>
      </c>
      <c r="J354">
        <v>1</v>
      </c>
      <c r="K354">
        <v>4250</v>
      </c>
      <c r="L354">
        <v>6000</v>
      </c>
      <c r="M354">
        <v>6000</v>
      </c>
      <c r="N354" t="s">
        <v>19</v>
      </c>
    </row>
    <row r="355" spans="1:14" x14ac:dyDescent="0.25">
      <c r="A355" t="str">
        <f>Table3[[#This Row],[Company Name]] &amp; " - " &amp; Table3[[#This Row],[Store Name]] &amp; " - " &amp; Table3[[#This Row],[Store Branch / Address]]</f>
        <v>CHICKEN DELI - HARVEST HOTEL - GENERIC</v>
      </c>
      <c r="B355" t="str">
        <f>Table3[[#This Row],[Client ID]] &amp; " - " &amp; Table3[[#This Row],[SO Number]]</f>
        <v>CHICKEN DELI - HARVEST HOTEL - GENERIC - SO-045</v>
      </c>
      <c r="C355" t="s">
        <v>320</v>
      </c>
      <c r="D355" t="s">
        <v>20</v>
      </c>
      <c r="E355" t="s">
        <v>321</v>
      </c>
      <c r="F355" t="s">
        <v>15</v>
      </c>
      <c r="G355" t="s">
        <v>22</v>
      </c>
      <c r="H355" t="s">
        <v>314</v>
      </c>
      <c r="I355" t="s">
        <v>330</v>
      </c>
      <c r="J355">
        <v>1</v>
      </c>
      <c r="K355">
        <v>6400</v>
      </c>
      <c r="L355">
        <v>6400</v>
      </c>
      <c r="M355">
        <v>6400</v>
      </c>
      <c r="N355" t="s">
        <v>19</v>
      </c>
    </row>
    <row r="356" spans="1:14" x14ac:dyDescent="0.25">
      <c r="A356" t="str">
        <f>Table3[[#This Row],[Company Name]] &amp; " - " &amp; Table3[[#This Row],[Store Name]] &amp; " - " &amp; Table3[[#This Row],[Store Branch / Address]]</f>
        <v>CHICKEN DELI - HARVEST HOTEL - GENERIC</v>
      </c>
      <c r="B356" t="str">
        <f>Table3[[#This Row],[Client ID]] &amp; " - " &amp; Table3[[#This Row],[SO Number]]</f>
        <v>CHICKEN DELI - HARVEST HOTEL - GENERIC - SO-045</v>
      </c>
      <c r="C356" t="s">
        <v>320</v>
      </c>
      <c r="D356" t="s">
        <v>20</v>
      </c>
      <c r="E356" t="s">
        <v>321</v>
      </c>
      <c r="F356" t="s">
        <v>15</v>
      </c>
      <c r="G356" t="s">
        <v>22</v>
      </c>
      <c r="H356" t="s">
        <v>314</v>
      </c>
      <c r="I356" t="s">
        <v>331</v>
      </c>
      <c r="J356">
        <v>1</v>
      </c>
      <c r="K356">
        <v>50000</v>
      </c>
      <c r="L356">
        <v>50000</v>
      </c>
      <c r="M356">
        <v>50000</v>
      </c>
      <c r="N356" t="s">
        <v>19</v>
      </c>
    </row>
    <row r="357" spans="1:14" x14ac:dyDescent="0.25">
      <c r="A357" t="str">
        <f>Table3[[#This Row],[Company Name]] &amp; " - " &amp; Table3[[#This Row],[Store Name]] &amp; " - " &amp; Table3[[#This Row],[Store Branch / Address]]</f>
        <v>HEXAGON LOUNGE INC - HEXAGON LOUNGE INC. - GENERIC</v>
      </c>
      <c r="B357" t="str">
        <f>Table3[[#This Row],[Client ID]] &amp; " - " &amp; Table3[[#This Row],[SO Number]]</f>
        <v>HEXAGON LOUNGE INC - HEXAGON LOUNGE INC. - GENERIC - SO-027</v>
      </c>
      <c r="C357" t="s">
        <v>215</v>
      </c>
      <c r="D357" t="s">
        <v>216</v>
      </c>
      <c r="E357" t="s">
        <v>217</v>
      </c>
      <c r="F357" t="s">
        <v>15</v>
      </c>
      <c r="G357" t="s">
        <v>37</v>
      </c>
      <c r="H357" t="s">
        <v>218</v>
      </c>
      <c r="I357" t="s">
        <v>89</v>
      </c>
      <c r="J357">
        <v>50</v>
      </c>
      <c r="K357">
        <v>32</v>
      </c>
      <c r="L357">
        <v>50</v>
      </c>
      <c r="M357">
        <v>2500</v>
      </c>
      <c r="N357" t="s">
        <v>39</v>
      </c>
    </row>
    <row r="358" spans="1:14" x14ac:dyDescent="0.25">
      <c r="A358" t="str">
        <f>Table3[[#This Row],[Company Name]] &amp; " - " &amp; Table3[[#This Row],[Store Name]] &amp; " - " &amp; Table3[[#This Row],[Store Branch / Address]]</f>
        <v>CHICKEN DELI - KITCHEN CITY - GENERIC</v>
      </c>
      <c r="B358" t="str">
        <f>Table3[[#This Row],[Client ID]] &amp; " - " &amp; Table3[[#This Row],[SO Number]]</f>
        <v>CHICKEN DELI - KITCHEN CITY - GENERIC - SO-046</v>
      </c>
      <c r="C358" t="s">
        <v>334</v>
      </c>
      <c r="D358" t="s">
        <v>20</v>
      </c>
      <c r="E358" t="s">
        <v>21</v>
      </c>
      <c r="F358" t="s">
        <v>15</v>
      </c>
      <c r="G358" t="s">
        <v>22</v>
      </c>
      <c r="H358" t="s">
        <v>218</v>
      </c>
      <c r="I358" t="s">
        <v>96</v>
      </c>
      <c r="J358">
        <v>1</v>
      </c>
      <c r="K358">
        <v>1350</v>
      </c>
      <c r="L358">
        <v>2000</v>
      </c>
      <c r="M358">
        <v>2000</v>
      </c>
      <c r="N358" t="s">
        <v>19</v>
      </c>
    </row>
    <row r="359" spans="1:14" x14ac:dyDescent="0.25">
      <c r="A359" t="str">
        <f>Table3[[#This Row],[Company Name]] &amp; " - " &amp; Table3[[#This Row],[Store Name]] &amp; " - " &amp; Table3[[#This Row],[Store Branch / Address]]</f>
        <v>CHICKEN DELI - KITCHEN CITY - GENERIC</v>
      </c>
      <c r="B359" t="str">
        <f>Table3[[#This Row],[Client ID]] &amp; " - " &amp; Table3[[#This Row],[SO Number]]</f>
        <v>CHICKEN DELI - KITCHEN CITY - GENERIC - SO-046</v>
      </c>
      <c r="C359" t="s">
        <v>334</v>
      </c>
      <c r="D359" t="s">
        <v>20</v>
      </c>
      <c r="E359" t="s">
        <v>21</v>
      </c>
      <c r="F359" t="s">
        <v>15</v>
      </c>
      <c r="G359" t="s">
        <v>22</v>
      </c>
      <c r="H359" t="s">
        <v>218</v>
      </c>
      <c r="I359" t="s">
        <v>97</v>
      </c>
      <c r="J359">
        <v>3</v>
      </c>
      <c r="K359">
        <v>2200</v>
      </c>
      <c r="L359">
        <v>3500</v>
      </c>
      <c r="M359">
        <v>10500</v>
      </c>
      <c r="N359" t="s">
        <v>19</v>
      </c>
    </row>
    <row r="360" spans="1:14" x14ac:dyDescent="0.25">
      <c r="A360" t="str">
        <f>Table3[[#This Row],[Company Name]] &amp; " - " &amp; Table3[[#This Row],[Store Name]] &amp; " - " &amp; Table3[[#This Row],[Store Branch / Address]]</f>
        <v>CHICKEN DELI - KITCHEN CITY - GENERIC</v>
      </c>
      <c r="B360" t="str">
        <f>Table3[[#This Row],[Client ID]] &amp; " - " &amp; Table3[[#This Row],[SO Number]]</f>
        <v>CHICKEN DELI - KITCHEN CITY - GENERIC - SO-046</v>
      </c>
      <c r="C360" t="s">
        <v>334</v>
      </c>
      <c r="D360" t="s">
        <v>20</v>
      </c>
      <c r="E360" t="s">
        <v>21</v>
      </c>
      <c r="F360" t="s">
        <v>15</v>
      </c>
      <c r="G360" t="s">
        <v>22</v>
      </c>
      <c r="H360" t="s">
        <v>218</v>
      </c>
      <c r="I360" t="s">
        <v>98</v>
      </c>
      <c r="J360">
        <v>3</v>
      </c>
      <c r="K360">
        <v>935</v>
      </c>
      <c r="L360">
        <v>1300</v>
      </c>
      <c r="M360">
        <v>3900</v>
      </c>
      <c r="N360" t="s">
        <v>19</v>
      </c>
    </row>
    <row r="361" spans="1:14" x14ac:dyDescent="0.25">
      <c r="A361" t="str">
        <f>Table3[[#This Row],[Company Name]] &amp; " - " &amp; Table3[[#This Row],[Store Name]] &amp; " - " &amp; Table3[[#This Row],[Store Branch / Address]]</f>
        <v>CHICKEN DELI - KITCHEN CITY - GENERIC</v>
      </c>
      <c r="B361" t="str">
        <f>Table3[[#This Row],[Client ID]] &amp; " - " &amp; Table3[[#This Row],[SO Number]]</f>
        <v>CHICKEN DELI - KITCHEN CITY - GENERIC - SO-046</v>
      </c>
      <c r="C361" t="s">
        <v>334</v>
      </c>
      <c r="D361" t="s">
        <v>20</v>
      </c>
      <c r="E361" t="s">
        <v>21</v>
      </c>
      <c r="F361" t="s">
        <v>15</v>
      </c>
      <c r="G361" t="s">
        <v>22</v>
      </c>
      <c r="H361" t="s">
        <v>218</v>
      </c>
      <c r="I361" t="s">
        <v>99</v>
      </c>
      <c r="J361">
        <v>3</v>
      </c>
      <c r="K361">
        <v>2800</v>
      </c>
      <c r="L361">
        <v>4000</v>
      </c>
      <c r="M361">
        <v>12000</v>
      </c>
      <c r="N361" t="s">
        <v>19</v>
      </c>
    </row>
    <row r="362" spans="1:14" x14ac:dyDescent="0.25">
      <c r="A362" t="str">
        <f>Table3[[#This Row],[Company Name]] &amp; " - " &amp; Table3[[#This Row],[Store Name]] &amp; " - " &amp; Table3[[#This Row],[Store Branch / Address]]</f>
        <v>CHICKEN DELI - KITCHEN CITY - GENERIC</v>
      </c>
      <c r="B362" t="str">
        <f>Table3[[#This Row],[Client ID]] &amp; " - " &amp; Table3[[#This Row],[SO Number]]</f>
        <v>CHICKEN DELI - KITCHEN CITY - GENERIC - SO-046</v>
      </c>
      <c r="C362" t="s">
        <v>334</v>
      </c>
      <c r="D362" t="s">
        <v>20</v>
      </c>
      <c r="E362" t="s">
        <v>21</v>
      </c>
      <c r="F362" t="s">
        <v>15</v>
      </c>
      <c r="G362" t="s">
        <v>22</v>
      </c>
      <c r="H362" t="s">
        <v>218</v>
      </c>
      <c r="I362" t="s">
        <v>76</v>
      </c>
      <c r="J362">
        <v>1</v>
      </c>
      <c r="K362">
        <v>600</v>
      </c>
      <c r="L362">
        <v>600</v>
      </c>
      <c r="M362">
        <v>600</v>
      </c>
      <c r="N362" t="s">
        <v>19</v>
      </c>
    </row>
    <row r="363" spans="1:14" x14ac:dyDescent="0.25">
      <c r="A363" t="str">
        <f>Table3[[#This Row],[Company Name]] &amp; " - " &amp; Table3[[#This Row],[Store Name]] &amp; " - " &amp; Table3[[#This Row],[Store Branch / Address]]</f>
        <v>SIMPLY GOURMET FOOD CORP NO COR YET - CHA TRA MUE - SM MOA</v>
      </c>
      <c r="B363" t="str">
        <f>Table3[[#This Row],[Client ID]] &amp; " - " &amp; Table3[[#This Row],[SO Number]]</f>
        <v>SIMPLY GOURMET FOOD CORP NO COR YET - CHA TRA MUE - SM MOA - SO-028</v>
      </c>
      <c r="C363" t="s">
        <v>219</v>
      </c>
      <c r="D363" t="s">
        <v>220</v>
      </c>
      <c r="E363" t="s">
        <v>221</v>
      </c>
      <c r="F363" t="s">
        <v>201</v>
      </c>
      <c r="G363" t="s">
        <v>16</v>
      </c>
      <c r="H363" t="s">
        <v>222</v>
      </c>
      <c r="I363" t="s">
        <v>114</v>
      </c>
      <c r="J363">
        <v>1</v>
      </c>
      <c r="K363">
        <v>3675</v>
      </c>
      <c r="L363">
        <v>10500</v>
      </c>
      <c r="M363">
        <v>10500</v>
      </c>
      <c r="N363" t="s">
        <v>39</v>
      </c>
    </row>
    <row r="364" spans="1:14" x14ac:dyDescent="0.25">
      <c r="A364" t="str">
        <f>Table3[[#This Row],[Company Name]] &amp; " - " &amp; Table3[[#This Row],[Store Name]] &amp; " - " &amp; Table3[[#This Row],[Store Branch / Address]]</f>
        <v>SIMPLY GOURMET FOOD CORP NO COR YET - CHA TRA MUE - SM MOA</v>
      </c>
      <c r="B364" t="str">
        <f>Table3[[#This Row],[Client ID]] &amp; " - " &amp; Table3[[#This Row],[SO Number]]</f>
        <v>SIMPLY GOURMET FOOD CORP NO COR YET - CHA TRA MUE - SM MOA - SO-028</v>
      </c>
      <c r="C364" t="s">
        <v>219</v>
      </c>
      <c r="D364" t="s">
        <v>220</v>
      </c>
      <c r="E364" t="s">
        <v>221</v>
      </c>
      <c r="F364" t="s">
        <v>201</v>
      </c>
      <c r="G364" t="s">
        <v>16</v>
      </c>
      <c r="H364" t="s">
        <v>222</v>
      </c>
      <c r="I364" t="s">
        <v>48</v>
      </c>
      <c r="J364">
        <v>1</v>
      </c>
      <c r="K364">
        <v>4095</v>
      </c>
      <c r="L364">
        <v>11700</v>
      </c>
      <c r="M364">
        <v>11700</v>
      </c>
      <c r="N364" t="s">
        <v>39</v>
      </c>
    </row>
    <row r="365" spans="1:14" x14ac:dyDescent="0.25">
      <c r="A365" t="str">
        <f>Table3[[#This Row],[Company Name]] &amp; " - " &amp; Table3[[#This Row],[Store Name]] &amp; " - " &amp; Table3[[#This Row],[Store Branch / Address]]</f>
        <v>SIMPLY GOURMET FOOD CORP NO COR YET - CHA TRA MUE - SM MOA</v>
      </c>
      <c r="B365" t="str">
        <f>Table3[[#This Row],[Client ID]] &amp; " - " &amp; Table3[[#This Row],[SO Number]]</f>
        <v>SIMPLY GOURMET FOOD CORP NO COR YET - CHA TRA MUE - SM MOA - SO-028</v>
      </c>
      <c r="C365" t="s">
        <v>219</v>
      </c>
      <c r="D365" t="s">
        <v>220</v>
      </c>
      <c r="E365" t="s">
        <v>221</v>
      </c>
      <c r="F365" t="s">
        <v>201</v>
      </c>
      <c r="G365" t="s">
        <v>16</v>
      </c>
      <c r="H365" t="s">
        <v>222</v>
      </c>
      <c r="I365" t="s">
        <v>126</v>
      </c>
      <c r="J365">
        <v>1</v>
      </c>
      <c r="K365">
        <v>4095</v>
      </c>
      <c r="L365">
        <v>11700</v>
      </c>
      <c r="M365">
        <v>11700</v>
      </c>
      <c r="N365" t="s">
        <v>39</v>
      </c>
    </row>
    <row r="366" spans="1:14" x14ac:dyDescent="0.25">
      <c r="A366" t="str">
        <f>Table3[[#This Row],[Company Name]] &amp; " - " &amp; Table3[[#This Row],[Store Name]] &amp; " - " &amp; Table3[[#This Row],[Store Branch / Address]]</f>
        <v>SIMPLY GOURMET FOOD CORP NO COR YET - CHA TRA MUE - SM MOA</v>
      </c>
      <c r="B366" t="str">
        <f>Table3[[#This Row],[Client ID]] &amp; " - " &amp; Table3[[#This Row],[SO Number]]</f>
        <v>SIMPLY GOURMET FOOD CORP NO COR YET - CHA TRA MUE - SM MOA - SO-028</v>
      </c>
      <c r="C366" t="s">
        <v>219</v>
      </c>
      <c r="D366" t="s">
        <v>220</v>
      </c>
      <c r="E366" t="s">
        <v>221</v>
      </c>
      <c r="F366" t="s">
        <v>201</v>
      </c>
      <c r="G366" t="s">
        <v>16</v>
      </c>
      <c r="H366" t="s">
        <v>222</v>
      </c>
      <c r="I366" t="s">
        <v>26</v>
      </c>
      <c r="J366">
        <v>1</v>
      </c>
      <c r="K366">
        <v>500</v>
      </c>
      <c r="L366">
        <v>500</v>
      </c>
      <c r="M366">
        <v>500</v>
      </c>
      <c r="N366" t="s">
        <v>39</v>
      </c>
    </row>
    <row r="367" spans="1:14" x14ac:dyDescent="0.25">
      <c r="A367" t="str">
        <f>Table3[[#This Row],[Company Name]] &amp; " - " &amp; Table3[[#This Row],[Store Name]] &amp; " - " &amp; Table3[[#This Row],[Store Branch / Address]]</f>
        <v>SIMPLY GOURMET FOOD CORP NO COR YET - CHA TRA MUE - SM MOA</v>
      </c>
      <c r="B367" t="str">
        <f>Table3[[#This Row],[Client ID]] &amp; " - " &amp; Table3[[#This Row],[SO Number]]</f>
        <v>SIMPLY GOURMET FOOD CORP NO COR YET - CHA TRA MUE - SM MOA - SO-028</v>
      </c>
      <c r="C367" t="s">
        <v>219</v>
      </c>
      <c r="D367" t="s">
        <v>220</v>
      </c>
      <c r="E367" t="s">
        <v>221</v>
      </c>
      <c r="F367" t="s">
        <v>201</v>
      </c>
      <c r="G367" t="s">
        <v>16</v>
      </c>
      <c r="H367" t="s">
        <v>222</v>
      </c>
      <c r="I367" t="s">
        <v>38</v>
      </c>
      <c r="J367">
        <v>1</v>
      </c>
      <c r="K367">
        <v>8500</v>
      </c>
      <c r="L367">
        <v>12500</v>
      </c>
      <c r="M367">
        <v>12500</v>
      </c>
      <c r="N367" t="s">
        <v>39</v>
      </c>
    </row>
    <row r="368" spans="1:14" x14ac:dyDescent="0.25">
      <c r="A368" t="str">
        <f>Table3[[#This Row],[Company Name]] &amp; " - " &amp; Table3[[#This Row],[Store Name]] &amp; " - " &amp; Table3[[#This Row],[Store Branch / Address]]</f>
        <v>SIMPLY GOURMET FOOD CORP NO COR YET - CHA TRA MUE - SM MOA</v>
      </c>
      <c r="B368" t="str">
        <f>Table3[[#This Row],[Client ID]] &amp; " - " &amp; Table3[[#This Row],[SO Number]]</f>
        <v>SIMPLY GOURMET FOOD CORP NO COR YET - CHA TRA MUE - SM MOA - SO-028</v>
      </c>
      <c r="C368" t="s">
        <v>219</v>
      </c>
      <c r="D368" t="s">
        <v>220</v>
      </c>
      <c r="E368" t="s">
        <v>221</v>
      </c>
      <c r="F368" t="s">
        <v>201</v>
      </c>
      <c r="G368" t="s">
        <v>16</v>
      </c>
      <c r="H368" t="s">
        <v>222</v>
      </c>
      <c r="I368" t="s">
        <v>97</v>
      </c>
      <c r="J368">
        <v>1</v>
      </c>
      <c r="K368">
        <v>2200</v>
      </c>
      <c r="L368">
        <v>3000</v>
      </c>
      <c r="M368">
        <v>3000</v>
      </c>
      <c r="N368" t="s">
        <v>39</v>
      </c>
    </row>
    <row r="369" spans="1:14" x14ac:dyDescent="0.25">
      <c r="A369" t="str">
        <f>Table3[[#This Row],[Company Name]] &amp; " - " &amp; Table3[[#This Row],[Store Name]] &amp; " - " &amp; Table3[[#This Row],[Store Branch / Address]]</f>
        <v>SIMPLY GOURMET FOOD CORP NO COR YET - CHA TRA MUE - SM MOA</v>
      </c>
      <c r="B369" t="str">
        <f>Table3[[#This Row],[Client ID]] &amp; " - " &amp; Table3[[#This Row],[SO Number]]</f>
        <v>SIMPLY GOURMET FOOD CORP NO COR YET - CHA TRA MUE - SM MOA - SO-028</v>
      </c>
      <c r="C369" t="s">
        <v>219</v>
      </c>
      <c r="D369" t="s">
        <v>220</v>
      </c>
      <c r="E369" t="s">
        <v>221</v>
      </c>
      <c r="F369" t="s">
        <v>201</v>
      </c>
      <c r="G369" t="s">
        <v>16</v>
      </c>
      <c r="H369" t="s">
        <v>222</v>
      </c>
      <c r="I369" t="s">
        <v>115</v>
      </c>
      <c r="J369">
        <v>1</v>
      </c>
      <c r="K369">
        <v>11000</v>
      </c>
      <c r="L369">
        <v>16000</v>
      </c>
      <c r="M369">
        <v>16000</v>
      </c>
      <c r="N369" t="s">
        <v>39</v>
      </c>
    </row>
    <row r="370" spans="1:14" x14ac:dyDescent="0.25">
      <c r="A370" t="str">
        <f>Table3[[#This Row],[Company Name]] &amp; " - " &amp; Table3[[#This Row],[Store Name]] &amp; " - " &amp; Table3[[#This Row],[Store Branch / Address]]</f>
        <v>SIMPLY GOURMET FOOD CORP NO COR YET - CHA TRA MUE - SM MOA</v>
      </c>
      <c r="B370" t="str">
        <f>Table3[[#This Row],[Client ID]] &amp; " - " &amp; Table3[[#This Row],[SO Number]]</f>
        <v>SIMPLY GOURMET FOOD CORP NO COR YET - CHA TRA MUE - SM MOA - SO-028</v>
      </c>
      <c r="C370" t="s">
        <v>219</v>
      </c>
      <c r="D370" t="s">
        <v>220</v>
      </c>
      <c r="E370" t="s">
        <v>221</v>
      </c>
      <c r="F370" t="s">
        <v>201</v>
      </c>
      <c r="G370" t="s">
        <v>16</v>
      </c>
      <c r="H370" t="s">
        <v>222</v>
      </c>
      <c r="I370" t="s">
        <v>116</v>
      </c>
      <c r="J370">
        <v>1</v>
      </c>
      <c r="K370">
        <v>2185</v>
      </c>
      <c r="L370">
        <v>3500</v>
      </c>
      <c r="M370">
        <v>3500</v>
      </c>
      <c r="N370" t="s">
        <v>39</v>
      </c>
    </row>
    <row r="371" spans="1:14" x14ac:dyDescent="0.25">
      <c r="A371" t="str">
        <f>Table3[[#This Row],[Company Name]] &amp; " - " &amp; Table3[[#This Row],[Store Name]] &amp; " - " &amp; Table3[[#This Row],[Store Branch / Address]]</f>
        <v>SIMPLY GOURMET FOOD CORP NO COR YET - CHA TRA MUE - SM MOA</v>
      </c>
      <c r="B371" t="str">
        <f>Table3[[#This Row],[Client ID]] &amp; " - " &amp; Table3[[#This Row],[SO Number]]</f>
        <v>SIMPLY GOURMET FOOD CORP NO COR YET - CHA TRA MUE - SM MOA - SO-028</v>
      </c>
      <c r="C371" t="s">
        <v>219</v>
      </c>
      <c r="D371" t="s">
        <v>220</v>
      </c>
      <c r="E371" t="s">
        <v>221</v>
      </c>
      <c r="F371" t="s">
        <v>201</v>
      </c>
      <c r="G371" t="s">
        <v>16</v>
      </c>
      <c r="H371" t="s">
        <v>222</v>
      </c>
      <c r="I371" t="s">
        <v>209</v>
      </c>
      <c r="J371">
        <v>1</v>
      </c>
      <c r="K371">
        <v>23450</v>
      </c>
      <c r="L371">
        <v>30300</v>
      </c>
      <c r="M371">
        <v>30300</v>
      </c>
      <c r="N371" t="s">
        <v>39</v>
      </c>
    </row>
    <row r="372" spans="1:14" x14ac:dyDescent="0.25">
      <c r="A372" t="str">
        <f>Table3[[#This Row],[Company Name]] &amp; " - " &amp; Table3[[#This Row],[Store Name]] &amp; " - " &amp; Table3[[#This Row],[Store Branch / Address]]</f>
        <v>SIMPLY GOURMET FOOD CORP NO COR YET - CHA TRA MUE - SM MOA</v>
      </c>
      <c r="B372" t="str">
        <f>Table3[[#This Row],[Client ID]] &amp; " - " &amp; Table3[[#This Row],[SO Number]]</f>
        <v>SIMPLY GOURMET FOOD CORP NO COR YET - CHA TRA MUE - SM MOA - SO-028</v>
      </c>
      <c r="C372" t="s">
        <v>219</v>
      </c>
      <c r="D372" t="s">
        <v>220</v>
      </c>
      <c r="E372" t="s">
        <v>221</v>
      </c>
      <c r="F372" t="s">
        <v>201</v>
      </c>
      <c r="G372" t="s">
        <v>16</v>
      </c>
      <c r="H372" t="s">
        <v>222</v>
      </c>
      <c r="I372" t="s">
        <v>151</v>
      </c>
      <c r="J372">
        <v>1</v>
      </c>
      <c r="K372">
        <v>2800</v>
      </c>
      <c r="L372">
        <v>4000</v>
      </c>
      <c r="M372">
        <v>4000</v>
      </c>
      <c r="N372" t="s">
        <v>39</v>
      </c>
    </row>
    <row r="373" spans="1:14" x14ac:dyDescent="0.25">
      <c r="A373" t="str">
        <f>Table3[[#This Row],[Company Name]] &amp; " - " &amp; Table3[[#This Row],[Store Name]] &amp; " - " &amp; Table3[[#This Row],[Store Branch / Address]]</f>
        <v>SIMPLY GOURMET FOOD CORP NO COR YET - CHA TRA MUE - SM MOA</v>
      </c>
      <c r="B373" t="str">
        <f>Table3[[#This Row],[Client ID]] &amp; " - " &amp; Table3[[#This Row],[SO Number]]</f>
        <v>SIMPLY GOURMET FOOD CORP NO COR YET - CHA TRA MUE - SM MOA - SO-028</v>
      </c>
      <c r="C373" t="s">
        <v>219</v>
      </c>
      <c r="D373" t="s">
        <v>220</v>
      </c>
      <c r="E373" t="s">
        <v>221</v>
      </c>
      <c r="F373" t="s">
        <v>201</v>
      </c>
      <c r="G373" t="s">
        <v>16</v>
      </c>
      <c r="H373" t="s">
        <v>222</v>
      </c>
      <c r="I373" t="s">
        <v>210</v>
      </c>
      <c r="J373">
        <v>1</v>
      </c>
      <c r="K373">
        <v>530</v>
      </c>
      <c r="L373">
        <v>700</v>
      </c>
      <c r="M373">
        <v>700</v>
      </c>
      <c r="N373" t="s">
        <v>39</v>
      </c>
    </row>
    <row r="374" spans="1:14" x14ac:dyDescent="0.25">
      <c r="A374" t="str">
        <f>Table3[[#This Row],[Company Name]] &amp; " - " &amp; Table3[[#This Row],[Store Name]] &amp; " - " &amp; Table3[[#This Row],[Store Branch / Address]]</f>
        <v>SIMPLY GOURMET FOOD CORP NO COR YET - CHA TRA MUE - SM MOA</v>
      </c>
      <c r="B374" t="str">
        <f>Table3[[#This Row],[Client ID]] &amp; " - " &amp; Table3[[#This Row],[SO Number]]</f>
        <v>SIMPLY GOURMET FOOD CORP NO COR YET - CHA TRA MUE - SM MOA - SO-028</v>
      </c>
      <c r="C374" t="s">
        <v>219</v>
      </c>
      <c r="D374" t="s">
        <v>220</v>
      </c>
      <c r="E374" t="s">
        <v>221</v>
      </c>
      <c r="F374" t="s">
        <v>201</v>
      </c>
      <c r="G374" t="s">
        <v>16</v>
      </c>
      <c r="H374" t="s">
        <v>222</v>
      </c>
      <c r="I374" t="s">
        <v>211</v>
      </c>
      <c r="J374">
        <v>1</v>
      </c>
      <c r="K374">
        <v>350</v>
      </c>
      <c r="L374">
        <v>500</v>
      </c>
      <c r="M374">
        <v>500</v>
      </c>
      <c r="N374" t="s">
        <v>39</v>
      </c>
    </row>
    <row r="375" spans="1:14" x14ac:dyDescent="0.25">
      <c r="A375" t="str">
        <f>Table3[[#This Row],[Company Name]] &amp; " - " &amp; Table3[[#This Row],[Store Name]] &amp; " - " &amp; Table3[[#This Row],[Store Branch / Address]]</f>
        <v>SIMPLY GOURMET FOOD CORP NO COR YET - CHA TRA MUE - SM MOA</v>
      </c>
      <c r="B375" t="str">
        <f>Table3[[#This Row],[Client ID]] &amp; " - " &amp; Table3[[#This Row],[SO Number]]</f>
        <v>SIMPLY GOURMET FOOD CORP NO COR YET - CHA TRA MUE - SM MOA - SO-028</v>
      </c>
      <c r="C375" t="s">
        <v>219</v>
      </c>
      <c r="D375" t="s">
        <v>220</v>
      </c>
      <c r="E375" t="s">
        <v>221</v>
      </c>
      <c r="F375" t="s">
        <v>201</v>
      </c>
      <c r="G375" t="s">
        <v>16</v>
      </c>
      <c r="H375" t="s">
        <v>222</v>
      </c>
      <c r="I375" t="s">
        <v>98</v>
      </c>
      <c r="J375">
        <v>1</v>
      </c>
      <c r="K375">
        <v>970</v>
      </c>
      <c r="L375">
        <v>1500</v>
      </c>
      <c r="M375">
        <v>1500</v>
      </c>
      <c r="N375" t="s">
        <v>39</v>
      </c>
    </row>
    <row r="376" spans="1:14" x14ac:dyDescent="0.25">
      <c r="A376" t="str">
        <f>Table3[[#This Row],[Company Name]] &amp; " - " &amp; Table3[[#This Row],[Store Name]] &amp; " - " &amp; Table3[[#This Row],[Store Branch / Address]]</f>
        <v>SIMPLY GOURMET FOOD CORP NO COR YET - CHA TRA MUE - SM MOA</v>
      </c>
      <c r="B376" t="str">
        <f>Table3[[#This Row],[Client ID]] &amp; " - " &amp; Table3[[#This Row],[SO Number]]</f>
        <v>SIMPLY GOURMET FOOD CORP NO COR YET - CHA TRA MUE - SM MOA - SO-028</v>
      </c>
      <c r="C376" t="s">
        <v>219</v>
      </c>
      <c r="D376" t="s">
        <v>220</v>
      </c>
      <c r="E376" t="s">
        <v>221</v>
      </c>
      <c r="F376" t="s">
        <v>201</v>
      </c>
      <c r="G376" t="s">
        <v>16</v>
      </c>
      <c r="H376" t="s">
        <v>222</v>
      </c>
      <c r="I376" t="s">
        <v>63</v>
      </c>
      <c r="J376">
        <v>1</v>
      </c>
      <c r="K376">
        <v>600</v>
      </c>
      <c r="L376">
        <v>600</v>
      </c>
      <c r="M376">
        <v>600</v>
      </c>
      <c r="N376" t="s">
        <v>39</v>
      </c>
    </row>
    <row r="377" spans="1:14" x14ac:dyDescent="0.25">
      <c r="A377" t="str">
        <f>Table3[[#This Row],[Company Name]] &amp; " - " &amp; Table3[[#This Row],[Store Name]] &amp; " - " &amp; Table3[[#This Row],[Store Branch / Address]]</f>
        <v>CHICKEN DELI - GONGCHA - GENERIC</v>
      </c>
      <c r="B377" t="str">
        <f>Table3[[#This Row],[Client ID]] &amp; " - " &amp; Table3[[#This Row],[SO Number]]</f>
        <v>CHICKEN DELI - GONGCHA - GENERIC - SO-047</v>
      </c>
      <c r="C377" t="s">
        <v>336</v>
      </c>
      <c r="D377" t="s">
        <v>20</v>
      </c>
      <c r="E377" t="s">
        <v>31</v>
      </c>
      <c r="F377" t="s">
        <v>15</v>
      </c>
      <c r="G377" t="s">
        <v>22</v>
      </c>
      <c r="H377" t="s">
        <v>222</v>
      </c>
      <c r="I377" t="s">
        <v>338</v>
      </c>
      <c r="J377">
        <v>1</v>
      </c>
      <c r="K377">
        <v>8500</v>
      </c>
      <c r="L377">
        <v>11500</v>
      </c>
      <c r="M377">
        <v>11500</v>
      </c>
      <c r="N377" t="s">
        <v>19</v>
      </c>
    </row>
    <row r="378" spans="1:14" x14ac:dyDescent="0.25">
      <c r="A378" t="str">
        <f>Table3[[#This Row],[Company Name]] &amp; " - " &amp; Table3[[#This Row],[Store Name]] &amp; " - " &amp; Table3[[#This Row],[Store Branch / Address]]</f>
        <v>CHICKEN DELI - GONGCHA - GENERIC</v>
      </c>
      <c r="B378" t="str">
        <f>Table3[[#This Row],[Client ID]] &amp; " - " &amp; Table3[[#This Row],[SO Number]]</f>
        <v>CHICKEN DELI - GONGCHA - GENERIC - SO-047</v>
      </c>
      <c r="C378" t="s">
        <v>336</v>
      </c>
      <c r="D378" t="s">
        <v>20</v>
      </c>
      <c r="E378" t="s">
        <v>31</v>
      </c>
      <c r="F378" t="s">
        <v>15</v>
      </c>
      <c r="G378" t="s">
        <v>22</v>
      </c>
      <c r="H378" t="s">
        <v>222</v>
      </c>
      <c r="I378" t="s">
        <v>76</v>
      </c>
      <c r="J378">
        <v>1</v>
      </c>
      <c r="K378">
        <v>500</v>
      </c>
      <c r="L378">
        <v>500</v>
      </c>
      <c r="M378">
        <v>500</v>
      </c>
      <c r="N378" t="s">
        <v>19</v>
      </c>
    </row>
    <row r="379" spans="1:14" x14ac:dyDescent="0.25">
      <c r="A379" t="str">
        <f>Table3[[#This Row],[Company Name]] &amp; " - " &amp; Table3[[#This Row],[Store Name]] &amp; " - " &amp; Table3[[#This Row],[Store Branch / Address]]</f>
        <v>CHICKEN DELI - GONGCHA - GENERIC</v>
      </c>
      <c r="B379" t="str">
        <f>Table3[[#This Row],[Client ID]] &amp; " - " &amp; Table3[[#This Row],[SO Number]]</f>
        <v>CHICKEN DELI - GONGCHA - GENERIC - SO-048</v>
      </c>
      <c r="C379" t="s">
        <v>344</v>
      </c>
      <c r="D379" t="s">
        <v>20</v>
      </c>
      <c r="E379" t="s">
        <v>31</v>
      </c>
      <c r="F379" t="s">
        <v>15</v>
      </c>
      <c r="G379" t="s">
        <v>22</v>
      </c>
      <c r="H379" t="s">
        <v>222</v>
      </c>
      <c r="I379" t="s">
        <v>338</v>
      </c>
      <c r="J379">
        <v>1</v>
      </c>
      <c r="K379">
        <v>8500</v>
      </c>
      <c r="L379">
        <v>11500</v>
      </c>
      <c r="M379">
        <v>11500</v>
      </c>
      <c r="N379" t="s">
        <v>19</v>
      </c>
    </row>
    <row r="380" spans="1:14" x14ac:dyDescent="0.25">
      <c r="A380" t="str">
        <f>Table3[[#This Row],[Company Name]] &amp; " - " &amp; Table3[[#This Row],[Store Name]] &amp; " - " &amp; Table3[[#This Row],[Store Branch / Address]]</f>
        <v>CHICKEN DELI - GONGCHA - GENERIC</v>
      </c>
      <c r="B380" t="str">
        <f>Table3[[#This Row],[Client ID]] &amp; " - " &amp; Table3[[#This Row],[SO Number]]</f>
        <v>CHICKEN DELI - GONGCHA - GENERIC - SO-048</v>
      </c>
      <c r="C380" t="s">
        <v>344</v>
      </c>
      <c r="D380" t="s">
        <v>20</v>
      </c>
      <c r="E380" t="s">
        <v>31</v>
      </c>
      <c r="F380" t="s">
        <v>15</v>
      </c>
      <c r="G380" t="s">
        <v>22</v>
      </c>
      <c r="H380" t="s">
        <v>222</v>
      </c>
      <c r="I380" t="s">
        <v>76</v>
      </c>
      <c r="J380">
        <v>1</v>
      </c>
      <c r="K380">
        <v>500</v>
      </c>
      <c r="L380">
        <v>500</v>
      </c>
      <c r="M380">
        <v>500</v>
      </c>
      <c r="N380" t="s">
        <v>19</v>
      </c>
    </row>
    <row r="381" spans="1:14" x14ac:dyDescent="0.25">
      <c r="A381" t="str">
        <f>Table3[[#This Row],[Company Name]] &amp; " - " &amp; Table3[[#This Row],[Store Name]] &amp; " - " &amp; Table3[[#This Row],[Store Branch / Address]]</f>
        <v>CHICKEN DELI - GONGCHA - GENERIC</v>
      </c>
      <c r="B381" t="str">
        <f>Table3[[#This Row],[Client ID]] &amp; " - " &amp; Table3[[#This Row],[SO Number]]</f>
        <v>CHICKEN DELI - GONGCHA - GENERIC - SO-049</v>
      </c>
      <c r="C381" t="s">
        <v>345</v>
      </c>
      <c r="D381" t="s">
        <v>20</v>
      </c>
      <c r="E381" t="s">
        <v>31</v>
      </c>
      <c r="F381" t="s">
        <v>15</v>
      </c>
      <c r="G381" t="s">
        <v>22</v>
      </c>
      <c r="H381" t="s">
        <v>222</v>
      </c>
      <c r="I381" t="s">
        <v>338</v>
      </c>
      <c r="J381">
        <v>1</v>
      </c>
      <c r="K381">
        <v>8500</v>
      </c>
      <c r="L381">
        <v>11500</v>
      </c>
      <c r="M381">
        <v>11500</v>
      </c>
      <c r="N381" t="s">
        <v>19</v>
      </c>
    </row>
    <row r="382" spans="1:14" x14ac:dyDescent="0.25">
      <c r="A382" t="str">
        <f>Table3[[#This Row],[Company Name]] &amp; " - " &amp; Table3[[#This Row],[Store Name]] &amp; " - " &amp; Table3[[#This Row],[Store Branch / Address]]</f>
        <v>CHICKEN DELI - GONGCHA - GENERIC</v>
      </c>
      <c r="B382" t="str">
        <f>Table3[[#This Row],[Client ID]] &amp; " - " &amp; Table3[[#This Row],[SO Number]]</f>
        <v>CHICKEN DELI - GONGCHA - GENERIC - SO-049</v>
      </c>
      <c r="C382" t="s">
        <v>345</v>
      </c>
      <c r="D382" t="s">
        <v>20</v>
      </c>
      <c r="E382" t="s">
        <v>31</v>
      </c>
      <c r="F382" t="s">
        <v>15</v>
      </c>
      <c r="G382" t="s">
        <v>22</v>
      </c>
      <c r="H382" t="s">
        <v>222</v>
      </c>
      <c r="I382" t="s">
        <v>76</v>
      </c>
      <c r="J382">
        <v>1</v>
      </c>
      <c r="K382">
        <v>500</v>
      </c>
      <c r="L382">
        <v>500</v>
      </c>
      <c r="M382">
        <v>500</v>
      </c>
      <c r="N382" t="s">
        <v>19</v>
      </c>
    </row>
    <row r="383" spans="1:14" x14ac:dyDescent="0.25">
      <c r="A383" t="str">
        <f>Table3[[#This Row],[Company Name]] &amp; " - " &amp; Table3[[#This Row],[Store Name]] &amp; " - " &amp; Table3[[#This Row],[Store Branch / Address]]</f>
        <v>CHICKEN DELI - LOBBY 385 - GENERIC</v>
      </c>
      <c r="B383" t="str">
        <f>Table3[[#This Row],[Client ID]] &amp; " - " &amp; Table3[[#This Row],[SO Number]]</f>
        <v>CHICKEN DELI - LOBBY 385 - GENERIC - SO-050</v>
      </c>
      <c r="C383" t="s">
        <v>346</v>
      </c>
      <c r="D383" t="s">
        <v>20</v>
      </c>
      <c r="E383" t="s">
        <v>348</v>
      </c>
      <c r="F383" t="s">
        <v>15</v>
      </c>
      <c r="G383" t="s">
        <v>22</v>
      </c>
      <c r="H383" t="s">
        <v>349</v>
      </c>
      <c r="I383" t="s">
        <v>350</v>
      </c>
      <c r="J383">
        <v>1</v>
      </c>
      <c r="K383">
        <v>9500</v>
      </c>
      <c r="L383">
        <v>13500</v>
      </c>
      <c r="M383">
        <v>13500</v>
      </c>
      <c r="N383" t="s">
        <v>19</v>
      </c>
    </row>
    <row r="384" spans="1:14" x14ac:dyDescent="0.25">
      <c r="A384" t="str">
        <f>Table3[[#This Row],[Company Name]] &amp; " - " &amp; Table3[[#This Row],[Store Name]] &amp; " - " &amp; Table3[[#This Row],[Store Branch / Address]]</f>
        <v>CHICKEN DELI - LOBBY 385 - GENERIC</v>
      </c>
      <c r="B384" t="str">
        <f>Table3[[#This Row],[Client ID]] &amp; " - " &amp; Table3[[#This Row],[SO Number]]</f>
        <v>CHICKEN DELI - LOBBY 385 - GENERIC - SO-050</v>
      </c>
      <c r="C384" t="s">
        <v>346</v>
      </c>
      <c r="D384" t="s">
        <v>20</v>
      </c>
      <c r="E384" t="s">
        <v>348</v>
      </c>
      <c r="F384" t="s">
        <v>15</v>
      </c>
      <c r="G384" t="s">
        <v>22</v>
      </c>
      <c r="H384" t="s">
        <v>349</v>
      </c>
      <c r="I384" t="s">
        <v>76</v>
      </c>
      <c r="J384">
        <v>1</v>
      </c>
      <c r="K384">
        <v>500</v>
      </c>
      <c r="L384">
        <v>500</v>
      </c>
      <c r="M384">
        <v>500</v>
      </c>
      <c r="N384" t="s">
        <v>19</v>
      </c>
    </row>
    <row r="385" spans="1:14" x14ac:dyDescent="0.25">
      <c r="A385" t="str">
        <f>Table3[[#This Row],[Company Name]] &amp; " - " &amp; Table3[[#This Row],[Store Name]] &amp; " - " &amp; Table3[[#This Row],[Store Branch / Address]]</f>
        <v>PARAW RESTAURANT INC - MOLAVE - EL NIDO PALAWAN</v>
      </c>
      <c r="B385" t="str">
        <f>Table3[[#This Row],[Client ID]] &amp; " - " &amp; Table3[[#This Row],[SO Number]]</f>
        <v>PARAW RESTAURANT INC - MOLAVE - EL NIDO PALAWAN - SO-029</v>
      </c>
      <c r="C385" t="s">
        <v>223</v>
      </c>
      <c r="D385" t="s">
        <v>224</v>
      </c>
      <c r="E385" t="s">
        <v>225</v>
      </c>
      <c r="F385" t="s">
        <v>226</v>
      </c>
      <c r="G385" t="s">
        <v>37</v>
      </c>
      <c r="H385" t="s">
        <v>227</v>
      </c>
      <c r="I385" t="s">
        <v>228</v>
      </c>
      <c r="J385">
        <v>2</v>
      </c>
      <c r="K385">
        <v>2350</v>
      </c>
      <c r="L385">
        <v>3750</v>
      </c>
      <c r="M385">
        <v>7500</v>
      </c>
      <c r="N385" t="s">
        <v>39</v>
      </c>
    </row>
    <row r="386" spans="1:14" x14ac:dyDescent="0.25">
      <c r="A386" t="str">
        <f>Table3[[#This Row],[Company Name]] &amp; " - " &amp; Table3[[#This Row],[Store Name]] &amp; " - " &amp; Table3[[#This Row],[Store Branch / Address]]</f>
        <v>DRAGONWELL TEA INC - SERENITEA - GENERIC</v>
      </c>
      <c r="B386" t="str">
        <f>Table3[[#This Row],[Client ID]] &amp; " - " &amp; Table3[[#This Row],[SO Number]]</f>
        <v>DRAGONWELL TEA INC - SERENITEA - GENERIC - SO-30</v>
      </c>
      <c r="C386" t="s">
        <v>237</v>
      </c>
      <c r="D386" t="s">
        <v>238</v>
      </c>
      <c r="E386" t="s">
        <v>239</v>
      </c>
      <c r="F386" t="s">
        <v>15</v>
      </c>
      <c r="G386" t="s">
        <v>16</v>
      </c>
      <c r="H386" t="s">
        <v>240</v>
      </c>
      <c r="I386" t="s">
        <v>241</v>
      </c>
      <c r="J386">
        <v>1</v>
      </c>
      <c r="K386">
        <v>8000</v>
      </c>
      <c r="L386">
        <v>11100</v>
      </c>
      <c r="M386">
        <v>11100</v>
      </c>
      <c r="N386" t="s">
        <v>19</v>
      </c>
    </row>
    <row r="387" spans="1:14" x14ac:dyDescent="0.25">
      <c r="A387" t="str">
        <f>Table3[[#This Row],[Company Name]] &amp; " - " &amp; Table3[[#This Row],[Store Name]] &amp; " - " &amp; Table3[[#This Row],[Store Branch / Address]]</f>
        <v>DRAGONWELL TEA INC - SERENITEA - GENERIC</v>
      </c>
      <c r="B387" t="str">
        <f>Table3[[#This Row],[Client ID]] &amp; " - " &amp; Table3[[#This Row],[SO Number]]</f>
        <v>DRAGONWELL TEA INC - SERENITEA - GENERIC - SO-30</v>
      </c>
      <c r="C387" t="s">
        <v>237</v>
      </c>
      <c r="D387" t="s">
        <v>238</v>
      </c>
      <c r="E387" t="s">
        <v>239</v>
      </c>
      <c r="F387" t="s">
        <v>15</v>
      </c>
      <c r="G387" t="s">
        <v>16</v>
      </c>
      <c r="H387" t="s">
        <v>240</v>
      </c>
      <c r="I387" t="s">
        <v>242</v>
      </c>
      <c r="J387">
        <v>3</v>
      </c>
      <c r="K387">
        <v>30</v>
      </c>
      <c r="L387">
        <v>45</v>
      </c>
      <c r="M387">
        <v>135</v>
      </c>
      <c r="N387" t="s">
        <v>19</v>
      </c>
    </row>
    <row r="388" spans="1:14" x14ac:dyDescent="0.25">
      <c r="A388" t="str">
        <f>Table3[[#This Row],[Company Name]] &amp; " - " &amp; Table3[[#This Row],[Store Name]] &amp; " - " &amp; Table3[[#This Row],[Store Branch / Address]]</f>
        <v>DRAGONWELL TEA INC - SERENITEA - GENERIC</v>
      </c>
      <c r="B388" t="str">
        <f>Table3[[#This Row],[Client ID]] &amp; " - " &amp; Table3[[#This Row],[SO Number]]</f>
        <v>DRAGONWELL TEA INC - SERENITEA - GENERIC - SO-30</v>
      </c>
      <c r="C388" t="s">
        <v>237</v>
      </c>
      <c r="D388" t="s">
        <v>238</v>
      </c>
      <c r="E388" t="s">
        <v>239</v>
      </c>
      <c r="F388" t="s">
        <v>15</v>
      </c>
      <c r="G388" t="s">
        <v>16</v>
      </c>
      <c r="H388" t="s">
        <v>240</v>
      </c>
      <c r="I388" t="s">
        <v>63</v>
      </c>
      <c r="J388">
        <v>1</v>
      </c>
      <c r="K388">
        <v>400</v>
      </c>
      <c r="L388">
        <v>400</v>
      </c>
      <c r="M388">
        <v>400</v>
      </c>
      <c r="N388" t="s">
        <v>19</v>
      </c>
    </row>
    <row r="389" spans="1:14" x14ac:dyDescent="0.25">
      <c r="A389" t="str">
        <f>Table3[[#This Row],[Company Name]] &amp; " - " &amp; Table3[[#This Row],[Store Name]] &amp; " - " &amp; Table3[[#This Row],[Store Branch / Address]]</f>
        <v>TATAY S GRILL INC - TATAY'S GRILL INC - GENERIC</v>
      </c>
      <c r="B389" t="str">
        <f>Table3[[#This Row],[Client ID]] &amp; " - " &amp; Table3[[#This Row],[SO Number]]</f>
        <v>TATAY S GRILL INC - TATAY'S GRILL INC - GENERIC - SO-031</v>
      </c>
      <c r="C389" t="s">
        <v>245</v>
      </c>
      <c r="D389" t="s">
        <v>246</v>
      </c>
      <c r="E389" t="s">
        <v>247</v>
      </c>
      <c r="F389" t="s">
        <v>15</v>
      </c>
      <c r="G389" t="s">
        <v>16</v>
      </c>
      <c r="H389" t="s">
        <v>240</v>
      </c>
      <c r="I389" t="s">
        <v>166</v>
      </c>
      <c r="J389">
        <v>1</v>
      </c>
      <c r="K389">
        <v>7000</v>
      </c>
      <c r="L389">
        <v>20000</v>
      </c>
      <c r="M389">
        <v>20000</v>
      </c>
      <c r="N389" t="s">
        <v>19</v>
      </c>
    </row>
    <row r="390" spans="1:14" x14ac:dyDescent="0.25">
      <c r="A390" t="str">
        <f>Table3[[#This Row],[Company Name]] &amp; " - " &amp; Table3[[#This Row],[Store Name]] &amp; " - " &amp; Table3[[#This Row],[Store Branch / Address]]</f>
        <v>TATAY S GRILL INC - TATAY'S GRILL INC - GENERIC</v>
      </c>
      <c r="B390" t="str">
        <f>Table3[[#This Row],[Client ID]] &amp; " - " &amp; Table3[[#This Row],[SO Number]]</f>
        <v>TATAY S GRILL INC - TATAY'S GRILL INC - GENERIC - SO-031</v>
      </c>
      <c r="C390" t="s">
        <v>245</v>
      </c>
      <c r="D390" t="s">
        <v>246</v>
      </c>
      <c r="E390" t="s">
        <v>247</v>
      </c>
      <c r="F390" t="s">
        <v>15</v>
      </c>
      <c r="G390" t="s">
        <v>16</v>
      </c>
      <c r="H390" t="s">
        <v>240</v>
      </c>
      <c r="I390" t="s">
        <v>248</v>
      </c>
      <c r="J390">
        <v>1</v>
      </c>
      <c r="K390">
        <v>8500</v>
      </c>
      <c r="L390">
        <v>12000</v>
      </c>
      <c r="M390">
        <v>12000</v>
      </c>
      <c r="N390" t="s">
        <v>19</v>
      </c>
    </row>
    <row r="391" spans="1:14" x14ac:dyDescent="0.25">
      <c r="A391" t="str">
        <f>Table3[[#This Row],[Company Name]] &amp; " - " &amp; Table3[[#This Row],[Store Name]] &amp; " - " &amp; Table3[[#This Row],[Store Branch / Address]]</f>
        <v>TATAY S GRILL INC - TATAY'S GRILL INC - GENERIC</v>
      </c>
      <c r="B391" t="str">
        <f>Table3[[#This Row],[Client ID]] &amp; " - " &amp; Table3[[#This Row],[SO Number]]</f>
        <v>TATAY S GRILL INC - TATAY'S GRILL INC - GENERIC - SO-031</v>
      </c>
      <c r="C391" t="s">
        <v>245</v>
      </c>
      <c r="D391" t="s">
        <v>246</v>
      </c>
      <c r="E391" t="s">
        <v>247</v>
      </c>
      <c r="F391" t="s">
        <v>15</v>
      </c>
      <c r="G391" t="s">
        <v>16</v>
      </c>
      <c r="H391" t="s">
        <v>240</v>
      </c>
      <c r="I391" t="s">
        <v>60</v>
      </c>
      <c r="J391">
        <v>1</v>
      </c>
      <c r="K391">
        <v>11000</v>
      </c>
      <c r="L391">
        <v>16000</v>
      </c>
      <c r="M391">
        <v>16000</v>
      </c>
      <c r="N391" t="s">
        <v>19</v>
      </c>
    </row>
    <row r="392" spans="1:14" x14ac:dyDescent="0.25">
      <c r="A392" t="str">
        <f>Table3[[#This Row],[Company Name]] &amp; " - " &amp; Table3[[#This Row],[Store Name]] &amp; " - " &amp; Table3[[#This Row],[Store Branch / Address]]</f>
        <v>TATAY S GRILL INC - TATAY'S GRILL INC - GENERIC</v>
      </c>
      <c r="B392" t="str">
        <f>Table3[[#This Row],[Client ID]] &amp; " - " &amp; Table3[[#This Row],[SO Number]]</f>
        <v>TATAY S GRILL INC - TATAY'S GRILL INC - GENERIC - SO-031</v>
      </c>
      <c r="C392" t="s">
        <v>245</v>
      </c>
      <c r="D392" t="s">
        <v>246</v>
      </c>
      <c r="E392" t="s">
        <v>247</v>
      </c>
      <c r="F392" t="s">
        <v>15</v>
      </c>
      <c r="G392" t="s">
        <v>16</v>
      </c>
      <c r="H392" t="s">
        <v>240</v>
      </c>
      <c r="I392" t="s">
        <v>97</v>
      </c>
      <c r="J392">
        <v>1</v>
      </c>
      <c r="K392">
        <v>2200</v>
      </c>
      <c r="L392">
        <v>3000</v>
      </c>
      <c r="M392">
        <v>3000</v>
      </c>
      <c r="N392" t="s">
        <v>19</v>
      </c>
    </row>
    <row r="393" spans="1:14" x14ac:dyDescent="0.25">
      <c r="A393" t="str">
        <f>Table3[[#This Row],[Company Name]] &amp; " - " &amp; Table3[[#This Row],[Store Name]] &amp; " - " &amp; Table3[[#This Row],[Store Branch / Address]]</f>
        <v>TATAY S GRILL INC - TATAY'S GRILL INC - GENERIC</v>
      </c>
      <c r="B393" t="str">
        <f>Table3[[#This Row],[Client ID]] &amp; " - " &amp; Table3[[#This Row],[SO Number]]</f>
        <v>TATAY S GRILL INC - TATAY'S GRILL INC - GENERIC - SO-031</v>
      </c>
      <c r="C393" t="s">
        <v>245</v>
      </c>
      <c r="D393" t="s">
        <v>246</v>
      </c>
      <c r="E393" t="s">
        <v>247</v>
      </c>
      <c r="F393" t="s">
        <v>15</v>
      </c>
      <c r="G393" t="s">
        <v>16</v>
      </c>
      <c r="H393" t="s">
        <v>240</v>
      </c>
      <c r="I393" t="s">
        <v>249</v>
      </c>
      <c r="J393">
        <v>1</v>
      </c>
      <c r="K393">
        <v>21500</v>
      </c>
      <c r="L393">
        <v>30000</v>
      </c>
      <c r="M393">
        <v>30000</v>
      </c>
      <c r="N393" t="s">
        <v>19</v>
      </c>
    </row>
    <row r="394" spans="1:14" x14ac:dyDescent="0.25">
      <c r="A394" t="str">
        <f>Table3[[#This Row],[Company Name]] &amp; " - " &amp; Table3[[#This Row],[Store Name]] &amp; " - " &amp; Table3[[#This Row],[Store Branch / Address]]</f>
        <v>JASMINE BLOOM TEA INC - SERENITEA - GENERIC</v>
      </c>
      <c r="B394" t="str">
        <f>Table3[[#This Row],[Client ID]] &amp; " - " &amp; Table3[[#This Row],[SO Number]]</f>
        <v>JASMINE BLOOM TEA INC - SERENITEA - GENERIC - SO-032</v>
      </c>
      <c r="C394" t="s">
        <v>251</v>
      </c>
      <c r="D394" t="s">
        <v>253</v>
      </c>
      <c r="E394" t="s">
        <v>239</v>
      </c>
      <c r="F394" t="s">
        <v>15</v>
      </c>
      <c r="G394" t="s">
        <v>16</v>
      </c>
      <c r="H394" t="s">
        <v>240</v>
      </c>
      <c r="I394" t="s">
        <v>33</v>
      </c>
      <c r="J394">
        <v>1</v>
      </c>
      <c r="K394">
        <v>20000</v>
      </c>
      <c r="L394">
        <v>20000</v>
      </c>
      <c r="M394">
        <v>20000</v>
      </c>
      <c r="N394" t="s">
        <v>19</v>
      </c>
    </row>
    <row r="395" spans="1:14" x14ac:dyDescent="0.25">
      <c r="A395" t="str">
        <f>Table3[[#This Row],[Company Name]] &amp; " - " &amp; Table3[[#This Row],[Store Name]] &amp; " - " &amp; Table3[[#This Row],[Store Branch / Address]]</f>
        <v>JASMINE BLOOM TEA INC - SERENITEA - GENERIC</v>
      </c>
      <c r="B395" t="str">
        <f>Table3[[#This Row],[Client ID]] &amp; " - " &amp; Table3[[#This Row],[SO Number]]</f>
        <v>JASMINE BLOOM TEA INC - SERENITEA - GENERIC - SO-032</v>
      </c>
      <c r="C395" t="s">
        <v>251</v>
      </c>
      <c r="D395" t="s">
        <v>253</v>
      </c>
      <c r="E395" t="s">
        <v>239</v>
      </c>
      <c r="F395" t="s">
        <v>15</v>
      </c>
      <c r="G395" t="s">
        <v>16</v>
      </c>
      <c r="H395" t="s">
        <v>240</v>
      </c>
      <c r="I395" t="s">
        <v>254</v>
      </c>
      <c r="J395">
        <v>1</v>
      </c>
      <c r="K395">
        <v>3000</v>
      </c>
      <c r="L395">
        <v>4500</v>
      </c>
      <c r="M395">
        <v>4500</v>
      </c>
      <c r="N395" t="s">
        <v>19</v>
      </c>
    </row>
    <row r="396" spans="1:14" x14ac:dyDescent="0.25">
      <c r="A396" t="str">
        <f>Table3[[#This Row],[Company Name]] &amp; " - " &amp; Table3[[#This Row],[Store Name]] &amp; " - " &amp; Table3[[#This Row],[Store Branch / Address]]</f>
        <v>JASMINE BLOOM TEA INC - SERENITEA - GENERIC</v>
      </c>
      <c r="B396" t="str">
        <f>Table3[[#This Row],[Client ID]] &amp; " - " &amp; Table3[[#This Row],[SO Number]]</f>
        <v>JASMINE BLOOM TEA INC - SERENITEA - GENERIC - SO-032</v>
      </c>
      <c r="C396" t="s">
        <v>251</v>
      </c>
      <c r="D396" t="s">
        <v>253</v>
      </c>
      <c r="E396" t="s">
        <v>239</v>
      </c>
      <c r="F396" t="s">
        <v>15</v>
      </c>
      <c r="G396" t="s">
        <v>16</v>
      </c>
      <c r="H396" t="s">
        <v>240</v>
      </c>
      <c r="I396" t="s">
        <v>38</v>
      </c>
      <c r="J396">
        <v>1</v>
      </c>
      <c r="K396">
        <v>8500</v>
      </c>
      <c r="L396">
        <v>12500</v>
      </c>
      <c r="M396">
        <v>12500</v>
      </c>
      <c r="N396" t="s">
        <v>19</v>
      </c>
    </row>
    <row r="397" spans="1:14" x14ac:dyDescent="0.25">
      <c r="A397" t="str">
        <f>Table3[[#This Row],[Company Name]] &amp; " - " &amp; Table3[[#This Row],[Store Name]] &amp; " - " &amp; Table3[[#This Row],[Store Branch / Address]]</f>
        <v>JASMINE BLOOM TEA INC - SERENITEA - GENERIC</v>
      </c>
      <c r="B397" t="str">
        <f>Table3[[#This Row],[Client ID]] &amp; " - " &amp; Table3[[#This Row],[SO Number]]</f>
        <v>JASMINE BLOOM TEA INC - SERENITEA - GENERIC - SO-032</v>
      </c>
      <c r="C397" t="s">
        <v>251</v>
      </c>
      <c r="D397" t="s">
        <v>253</v>
      </c>
      <c r="E397" t="s">
        <v>239</v>
      </c>
      <c r="F397" t="s">
        <v>15</v>
      </c>
      <c r="G397" t="s">
        <v>16</v>
      </c>
      <c r="H397" t="s">
        <v>240</v>
      </c>
      <c r="I397" t="s">
        <v>241</v>
      </c>
      <c r="J397">
        <v>1</v>
      </c>
      <c r="K397">
        <v>8000</v>
      </c>
      <c r="L397">
        <v>11100</v>
      </c>
      <c r="M397">
        <v>11100</v>
      </c>
      <c r="N397" t="s">
        <v>19</v>
      </c>
    </row>
    <row r="398" spans="1:14" x14ac:dyDescent="0.25">
      <c r="A398" t="str">
        <f>Table3[[#This Row],[Company Name]] &amp; " - " &amp; Table3[[#This Row],[Store Name]] &amp; " - " &amp; Table3[[#This Row],[Store Branch / Address]]</f>
        <v>JASMINE BLOOM TEA INC - SERENITEA - GENERIC</v>
      </c>
      <c r="B398" t="str">
        <f>Table3[[#This Row],[Client ID]] &amp; " - " &amp; Table3[[#This Row],[SO Number]]</f>
        <v>JASMINE BLOOM TEA INC - SERENITEA - GENERIC - SO-032</v>
      </c>
      <c r="C398" t="s">
        <v>251</v>
      </c>
      <c r="D398" t="s">
        <v>253</v>
      </c>
      <c r="E398" t="s">
        <v>239</v>
      </c>
      <c r="F398" t="s">
        <v>15</v>
      </c>
      <c r="G398" t="s">
        <v>16</v>
      </c>
      <c r="H398" t="s">
        <v>240</v>
      </c>
      <c r="I398" t="s">
        <v>242</v>
      </c>
      <c r="J398">
        <v>3</v>
      </c>
      <c r="K398">
        <v>30</v>
      </c>
      <c r="L398">
        <v>45</v>
      </c>
      <c r="M398">
        <v>135</v>
      </c>
      <c r="N398" t="s">
        <v>19</v>
      </c>
    </row>
    <row r="399" spans="1:14" x14ac:dyDescent="0.25">
      <c r="A399" t="str">
        <f>Table3[[#This Row],[Company Name]] &amp; " - " &amp; Table3[[#This Row],[Store Name]] &amp; " - " &amp; Table3[[#This Row],[Store Branch / Address]]</f>
        <v>JASMINE BLOOM TEA INC - SERENITEA - GENERIC</v>
      </c>
      <c r="B399" t="str">
        <f>Table3[[#This Row],[Client ID]] &amp; " - " &amp; Table3[[#This Row],[SO Number]]</f>
        <v>JASMINE BLOOM TEA INC - SERENITEA - GENERIC - SO-032</v>
      </c>
      <c r="C399" t="s">
        <v>251</v>
      </c>
      <c r="D399" t="s">
        <v>253</v>
      </c>
      <c r="E399" t="s">
        <v>239</v>
      </c>
      <c r="F399" t="s">
        <v>15</v>
      </c>
      <c r="G399" t="s">
        <v>16</v>
      </c>
      <c r="H399" t="s">
        <v>240</v>
      </c>
      <c r="I399" t="s">
        <v>189</v>
      </c>
      <c r="J399">
        <v>1</v>
      </c>
      <c r="K399">
        <v>500</v>
      </c>
      <c r="L399">
        <v>800</v>
      </c>
      <c r="M399">
        <v>800</v>
      </c>
      <c r="N399" t="s">
        <v>19</v>
      </c>
    </row>
    <row r="400" spans="1:14" x14ac:dyDescent="0.25">
      <c r="A400" t="str">
        <f>Table3[[#This Row],[Company Name]] &amp; " - " &amp; Table3[[#This Row],[Store Name]] &amp; " - " &amp; Table3[[#This Row],[Store Branch / Address]]</f>
        <v>JASMINE BLOOM TEA INC - SERENITEA - GENERIC</v>
      </c>
      <c r="B400" t="str">
        <f>Table3[[#This Row],[Client ID]] &amp; " - " &amp; Table3[[#This Row],[SO Number]]</f>
        <v>JASMINE BLOOM TEA INC - SERENITEA - GENERIC - SO-032</v>
      </c>
      <c r="C400" t="s">
        <v>251</v>
      </c>
      <c r="D400" t="s">
        <v>253</v>
      </c>
      <c r="E400" t="s">
        <v>239</v>
      </c>
      <c r="F400" t="s">
        <v>15</v>
      </c>
      <c r="G400" t="s">
        <v>16</v>
      </c>
      <c r="H400" t="s">
        <v>240</v>
      </c>
      <c r="I400" t="s">
        <v>63</v>
      </c>
      <c r="J400">
        <v>1</v>
      </c>
      <c r="K400">
        <v>400</v>
      </c>
      <c r="L400">
        <v>400</v>
      </c>
      <c r="M400">
        <v>400</v>
      </c>
      <c r="N400" t="s">
        <v>19</v>
      </c>
    </row>
    <row r="401" spans="1:14" x14ac:dyDescent="0.25">
      <c r="A401" t="str">
        <f>Table3[[#This Row],[Company Name]] &amp; " - " &amp; Table3[[#This Row],[Store Name]] &amp; " - " &amp; Table3[[#This Row],[Store Branch / Address]]</f>
        <v>CHICKEN DELI - GONGCHA - GENERIC</v>
      </c>
      <c r="B401" t="str">
        <f>Table3[[#This Row],[Client ID]] &amp; " - " &amp; Table3[[#This Row],[SO Number]]</f>
        <v>CHICKEN DELI - GONGCHA - GENERIC - SO-035</v>
      </c>
      <c r="C401" t="s">
        <v>268</v>
      </c>
      <c r="D401" t="s">
        <v>20</v>
      </c>
      <c r="E401" t="s">
        <v>31</v>
      </c>
      <c r="F401" t="s">
        <v>15</v>
      </c>
      <c r="G401" t="s">
        <v>22</v>
      </c>
      <c r="H401" t="s">
        <v>240</v>
      </c>
      <c r="I401" t="s">
        <v>33</v>
      </c>
      <c r="J401">
        <v>3</v>
      </c>
      <c r="K401">
        <v>6500</v>
      </c>
      <c r="L401">
        <v>6500</v>
      </c>
      <c r="M401">
        <v>19500</v>
      </c>
      <c r="N401" t="s">
        <v>19</v>
      </c>
    </row>
    <row r="402" spans="1:14" x14ac:dyDescent="0.25">
      <c r="A402" t="str">
        <f>Table3[[#This Row],[Company Name]] &amp; " - " &amp; Table3[[#This Row],[Store Name]] &amp; " - " &amp; Table3[[#This Row],[Store Branch / Address]]</f>
        <v>CHICKEN DELI - GONGCHA - GENERIC</v>
      </c>
      <c r="B402" t="str">
        <f>Table3[[#This Row],[Client ID]] &amp; " - " &amp; Table3[[#This Row],[SO Number]]</f>
        <v>CHICKEN DELI - GONGCHA - GENERIC - SO-036</v>
      </c>
      <c r="C402" t="s">
        <v>272</v>
      </c>
      <c r="D402" t="s">
        <v>20</v>
      </c>
      <c r="E402" t="s">
        <v>31</v>
      </c>
      <c r="F402" t="s">
        <v>15</v>
      </c>
      <c r="G402" t="s">
        <v>22</v>
      </c>
      <c r="H402" t="s">
        <v>240</v>
      </c>
      <c r="I402" t="s">
        <v>33</v>
      </c>
      <c r="J402">
        <v>2</v>
      </c>
      <c r="K402">
        <v>6500</v>
      </c>
      <c r="L402">
        <v>6500</v>
      </c>
      <c r="M402">
        <v>13000</v>
      </c>
      <c r="N402" t="s">
        <v>19</v>
      </c>
    </row>
    <row r="403" spans="1:14" x14ac:dyDescent="0.25">
      <c r="A403" t="str">
        <f>Table3[[#This Row],[Company Name]] &amp; " - " &amp; Table3[[#This Row],[Store Name]] &amp; " - " &amp; Table3[[#This Row],[Store Branch / Address]]</f>
        <v>CHICKEN DELI - GONGCHA - GENERIC</v>
      </c>
      <c r="B403" t="str">
        <f>Table3[[#This Row],[Client ID]] &amp; " - " &amp; Table3[[#This Row],[SO Number]]</f>
        <v>CHICKEN DELI - GONGCHA - GENERIC - SO-037</v>
      </c>
      <c r="C403" t="s">
        <v>274</v>
      </c>
      <c r="D403" t="s">
        <v>20</v>
      </c>
      <c r="E403" t="s">
        <v>31</v>
      </c>
      <c r="F403" t="s">
        <v>15</v>
      </c>
      <c r="G403" t="s">
        <v>22</v>
      </c>
      <c r="H403" t="s">
        <v>240</v>
      </c>
      <c r="I403" t="s">
        <v>33</v>
      </c>
      <c r="J403">
        <v>1</v>
      </c>
      <c r="K403">
        <v>6500</v>
      </c>
      <c r="L403">
        <v>6500</v>
      </c>
      <c r="M403">
        <v>6500</v>
      </c>
      <c r="N403" t="s">
        <v>19</v>
      </c>
    </row>
    <row r="404" spans="1:14" x14ac:dyDescent="0.25">
      <c r="A404" t="str">
        <f>Table3[[#This Row],[Company Name]] &amp; " - " &amp; Table3[[#This Row],[Store Name]] &amp; " - " &amp; Table3[[#This Row],[Store Branch / Address]]</f>
        <v>CHICKEN DELI - GONGCHA - GENERIC</v>
      </c>
      <c r="B404" t="str">
        <f>Table3[[#This Row],[Client ID]] &amp; " - " &amp; Table3[[#This Row],[SO Number]]</f>
        <v>CHICKEN DELI - GONGCHA - GENERIC - SO-038</v>
      </c>
      <c r="C404" t="s">
        <v>276</v>
      </c>
      <c r="D404" t="s">
        <v>20</v>
      </c>
      <c r="E404" t="s">
        <v>31</v>
      </c>
      <c r="F404" t="s">
        <v>15</v>
      </c>
      <c r="G404" t="s">
        <v>22</v>
      </c>
      <c r="H404" t="s">
        <v>240</v>
      </c>
      <c r="I404" t="s">
        <v>33</v>
      </c>
      <c r="J404">
        <v>4</v>
      </c>
      <c r="K404">
        <v>6500</v>
      </c>
      <c r="L404">
        <v>6500</v>
      </c>
      <c r="M404">
        <v>26000</v>
      </c>
      <c r="N404" t="s">
        <v>19</v>
      </c>
    </row>
    <row r="405" spans="1:14" x14ac:dyDescent="0.25">
      <c r="A405" t="str">
        <f>Table3[[#This Row],[Company Name]] &amp; " - " &amp; Table3[[#This Row],[Store Name]] &amp; " - " &amp; Table3[[#This Row],[Store Branch / Address]]</f>
        <v>CHICKEN DELI - GONGCHA - GENERIC</v>
      </c>
      <c r="B405" t="str">
        <f>Table3[[#This Row],[Client ID]] &amp; " - " &amp; Table3[[#This Row],[SO Number]]</f>
        <v>CHICKEN DELI - GONGCHA - GENERIC - SO-051</v>
      </c>
      <c r="C405" t="s">
        <v>351</v>
      </c>
      <c r="D405" t="s">
        <v>20</v>
      </c>
      <c r="E405" t="s">
        <v>31</v>
      </c>
      <c r="F405" t="s">
        <v>15</v>
      </c>
      <c r="G405" t="s">
        <v>22</v>
      </c>
      <c r="H405" t="s">
        <v>352</v>
      </c>
      <c r="I405" t="s">
        <v>33</v>
      </c>
      <c r="J405">
        <v>2</v>
      </c>
      <c r="K405">
        <v>6500</v>
      </c>
      <c r="L405">
        <v>6500</v>
      </c>
      <c r="M405">
        <v>13000</v>
      </c>
      <c r="N405" t="s">
        <v>19</v>
      </c>
    </row>
    <row r="406" spans="1:14" x14ac:dyDescent="0.25">
      <c r="A406" t="str">
        <f>Table3[[#This Row],[Company Name]] &amp; " - " &amp; Table3[[#This Row],[Store Name]] &amp; " - " &amp; Table3[[#This Row],[Store Branch / Address]]</f>
        <v>CHICKEN DELI - GONGCHA - GENERIC</v>
      </c>
      <c r="B406" t="str">
        <f>Table3[[#This Row],[Client ID]] &amp; " - " &amp; Table3[[#This Row],[SO Number]]</f>
        <v>CHICKEN DELI - GONGCHA - GENERIC - SO-052</v>
      </c>
      <c r="C406" t="s">
        <v>353</v>
      </c>
      <c r="D406" t="s">
        <v>20</v>
      </c>
      <c r="E406" t="s">
        <v>31</v>
      </c>
      <c r="F406" t="s">
        <v>15</v>
      </c>
      <c r="G406" t="s">
        <v>22</v>
      </c>
      <c r="H406" t="s">
        <v>352</v>
      </c>
      <c r="I406" t="s">
        <v>33</v>
      </c>
      <c r="J406">
        <v>3</v>
      </c>
      <c r="K406">
        <v>6500</v>
      </c>
      <c r="L406">
        <v>6500</v>
      </c>
      <c r="M406">
        <v>19500</v>
      </c>
      <c r="N406" t="s">
        <v>19</v>
      </c>
    </row>
    <row r="407" spans="1:14" x14ac:dyDescent="0.25">
      <c r="A407" t="str">
        <f>Table3[[#This Row],[Company Name]] &amp; " - " &amp; Table3[[#This Row],[Store Name]] &amp; " - " &amp; Table3[[#This Row],[Store Branch / Address]]</f>
        <v>CHICKEN DELI - GONGCHA - GENERIC</v>
      </c>
      <c r="B407" t="str">
        <f>Table3[[#This Row],[Client ID]] &amp; " - " &amp; Table3[[#This Row],[SO Number]]</f>
        <v>CHICKEN DELI - GONGCHA - GENERIC - SO-053</v>
      </c>
      <c r="C407" t="s">
        <v>356</v>
      </c>
      <c r="D407" t="s">
        <v>20</v>
      </c>
      <c r="E407" t="s">
        <v>31</v>
      </c>
      <c r="F407" t="s">
        <v>15</v>
      </c>
      <c r="G407" t="s">
        <v>22</v>
      </c>
      <c r="H407" t="s">
        <v>352</v>
      </c>
      <c r="I407" t="s">
        <v>33</v>
      </c>
      <c r="J407">
        <v>1</v>
      </c>
      <c r="K407">
        <v>6500</v>
      </c>
      <c r="L407">
        <v>6500</v>
      </c>
      <c r="M407">
        <v>6500</v>
      </c>
      <c r="N407" t="s">
        <v>19</v>
      </c>
    </row>
    <row r="408" spans="1:14" x14ac:dyDescent="0.25">
      <c r="A408" t="str">
        <f>Table3[[#This Row],[Company Name]] &amp; " - " &amp; Table3[[#This Row],[Store Name]] &amp; " - " &amp; Table3[[#This Row],[Store Branch / Address]]</f>
        <v>CHICKEN DELI - GONGCHA - GENERIC</v>
      </c>
      <c r="B408" t="str">
        <f>Table3[[#This Row],[Client ID]] &amp; " - " &amp; Table3[[#This Row],[SO Number]]</f>
        <v>CHICKEN DELI - GONGCHA - GENERIC - SO-054</v>
      </c>
      <c r="C408" t="s">
        <v>362</v>
      </c>
      <c r="D408" t="s">
        <v>20</v>
      </c>
      <c r="E408" t="s">
        <v>31</v>
      </c>
      <c r="F408" t="s">
        <v>15</v>
      </c>
      <c r="G408" t="s">
        <v>22</v>
      </c>
      <c r="H408" t="s">
        <v>352</v>
      </c>
      <c r="I408" t="s">
        <v>33</v>
      </c>
      <c r="J408">
        <v>1</v>
      </c>
      <c r="K408">
        <v>6500</v>
      </c>
      <c r="L408">
        <v>6500</v>
      </c>
      <c r="M408">
        <v>6500</v>
      </c>
      <c r="N408" t="s">
        <v>19</v>
      </c>
    </row>
    <row r="409" spans="1:14" x14ac:dyDescent="0.25">
      <c r="A409" t="str">
        <f>Table3[[#This Row],[Company Name]] &amp; " - " &amp; Table3[[#This Row],[Store Name]] &amp; " - " &amp; Table3[[#This Row],[Store Branch / Address]]</f>
        <v>CHICKEN DELI - GONGCHA - GENERIC</v>
      </c>
      <c r="B409" t="str">
        <f>Table3[[#This Row],[Client ID]] &amp; " - " &amp; Table3[[#This Row],[SO Number]]</f>
        <v>CHICKEN DELI - GONGCHA - GENERIC - SO-055</v>
      </c>
      <c r="C409" t="s">
        <v>368</v>
      </c>
      <c r="D409" t="s">
        <v>20</v>
      </c>
      <c r="E409" t="s">
        <v>31</v>
      </c>
      <c r="F409" t="s">
        <v>15</v>
      </c>
      <c r="G409" t="s">
        <v>22</v>
      </c>
      <c r="H409" t="s">
        <v>352</v>
      </c>
      <c r="I409" t="s">
        <v>33</v>
      </c>
      <c r="J409">
        <v>3</v>
      </c>
      <c r="K409">
        <v>6500</v>
      </c>
      <c r="L409">
        <v>6500</v>
      </c>
      <c r="M409">
        <v>19500</v>
      </c>
      <c r="N409" t="s">
        <v>19</v>
      </c>
    </row>
    <row r="410" spans="1:14" x14ac:dyDescent="0.25">
      <c r="A410" t="str">
        <f>Table3[[#This Row],[Company Name]] &amp; " - " &amp; Table3[[#This Row],[Store Name]] &amp; " - " &amp; Table3[[#This Row],[Store Branch / Address]]</f>
        <v>TIONG BAHRU PHILIPPINES INC - TIONG BAHRU - GENERIC</v>
      </c>
      <c r="B410" t="str">
        <f>Table3[[#This Row],[Client ID]] &amp; " - " &amp; Table3[[#This Row],[SO Number]]</f>
        <v>TIONG BAHRU PHILIPPINES INC - TIONG BAHRU - GENERIC - SO-014</v>
      </c>
      <c r="C410" t="s">
        <v>111</v>
      </c>
      <c r="D410" t="s">
        <v>1022</v>
      </c>
      <c r="E410" t="s">
        <v>1023</v>
      </c>
      <c r="F410" t="s">
        <v>15</v>
      </c>
      <c r="G410" t="s">
        <v>1024</v>
      </c>
      <c r="H410" t="s">
        <v>352</v>
      </c>
      <c r="I410" t="s">
        <v>47</v>
      </c>
      <c r="J410">
        <v>1</v>
      </c>
      <c r="K410">
        <v>3675</v>
      </c>
      <c r="L410">
        <v>10500</v>
      </c>
      <c r="M410">
        <v>10500</v>
      </c>
      <c r="N410" t="s">
        <v>19</v>
      </c>
    </row>
    <row r="411" spans="1:14" x14ac:dyDescent="0.25">
      <c r="A411" t="str">
        <f>Table3[[#This Row],[Company Name]] &amp; " - " &amp; Table3[[#This Row],[Store Name]] &amp; " - " &amp; Table3[[#This Row],[Store Branch / Address]]</f>
        <v>TIONG BAHRU PHILIPPINES INC - TIONG BAHRU - GENERIC</v>
      </c>
      <c r="B411" t="str">
        <f>Table3[[#This Row],[Client ID]] &amp; " - " &amp; Table3[[#This Row],[SO Number]]</f>
        <v>TIONG BAHRU PHILIPPINES INC - TIONG BAHRU - GENERIC - SO-014</v>
      </c>
      <c r="C411" t="s">
        <v>111</v>
      </c>
      <c r="D411" t="s">
        <v>1022</v>
      </c>
      <c r="E411" t="s">
        <v>1023</v>
      </c>
      <c r="F411" t="s">
        <v>15</v>
      </c>
      <c r="G411" t="s">
        <v>1024</v>
      </c>
      <c r="H411" t="s">
        <v>352</v>
      </c>
      <c r="I411" t="s">
        <v>25</v>
      </c>
      <c r="J411">
        <v>1</v>
      </c>
      <c r="K411">
        <v>3325</v>
      </c>
      <c r="L411">
        <v>9500</v>
      </c>
      <c r="M411">
        <v>9500</v>
      </c>
      <c r="N411" t="s">
        <v>19</v>
      </c>
    </row>
    <row r="412" spans="1:14" x14ac:dyDescent="0.25">
      <c r="A412" t="str">
        <f>Table3[[#This Row],[Company Name]] &amp; " - " &amp; Table3[[#This Row],[Store Name]] &amp; " - " &amp; Table3[[#This Row],[Store Branch / Address]]</f>
        <v>TIONG BAHRU PHILIPPINES INC - TIONG BAHRU - GENERIC</v>
      </c>
      <c r="B412" t="str">
        <f>Table3[[#This Row],[Client ID]] &amp; " - " &amp; Table3[[#This Row],[SO Number]]</f>
        <v>TIONG BAHRU PHILIPPINES INC - TIONG BAHRU - GENERIC - SO-014</v>
      </c>
      <c r="C412" t="s">
        <v>111</v>
      </c>
      <c r="D412" t="s">
        <v>1022</v>
      </c>
      <c r="E412" t="s">
        <v>1023</v>
      </c>
      <c r="F412" t="s">
        <v>15</v>
      </c>
      <c r="G412" t="s">
        <v>1024</v>
      </c>
      <c r="H412" t="s">
        <v>352</v>
      </c>
      <c r="I412" t="s">
        <v>24</v>
      </c>
      <c r="J412">
        <v>1</v>
      </c>
      <c r="K412">
        <v>3325</v>
      </c>
      <c r="L412">
        <v>9500</v>
      </c>
      <c r="M412">
        <v>9500</v>
      </c>
      <c r="N412" t="s">
        <v>19</v>
      </c>
    </row>
    <row r="413" spans="1:14" x14ac:dyDescent="0.25">
      <c r="A413" t="str">
        <f>Table3[[#This Row],[Company Name]] &amp; " - " &amp; Table3[[#This Row],[Store Name]] &amp; " - " &amp; Table3[[#This Row],[Store Branch / Address]]</f>
        <v>TIONG BAHRU PHILIPPINES INC - TIONG BAHRU - GENERIC</v>
      </c>
      <c r="B413" t="str">
        <f>Table3[[#This Row],[Client ID]] &amp; " - " &amp; Table3[[#This Row],[SO Number]]</f>
        <v>TIONG BAHRU PHILIPPINES INC - TIONG BAHRU - GENERIC - SO-014</v>
      </c>
      <c r="C413" t="s">
        <v>111</v>
      </c>
      <c r="D413" t="s">
        <v>1022</v>
      </c>
      <c r="E413" t="s">
        <v>1023</v>
      </c>
      <c r="F413" t="s">
        <v>15</v>
      </c>
      <c r="G413" t="s">
        <v>1024</v>
      </c>
      <c r="H413" t="s">
        <v>352</v>
      </c>
      <c r="I413" t="s">
        <v>26</v>
      </c>
      <c r="J413">
        <v>1</v>
      </c>
      <c r="K413">
        <v>500</v>
      </c>
      <c r="L413">
        <v>500</v>
      </c>
      <c r="M413">
        <v>500</v>
      </c>
      <c r="N413" t="s">
        <v>19</v>
      </c>
    </row>
    <row r="414" spans="1:14" x14ac:dyDescent="0.25">
      <c r="A414" t="str">
        <f>Table3[[#This Row],[Company Name]] &amp; " - " &amp; Table3[[#This Row],[Store Name]] &amp; " - " &amp; Table3[[#This Row],[Store Branch / Address]]</f>
        <v>TIONG BAHRU PHILIPPINES INC - TIONG BAHRU - GENERIC</v>
      </c>
      <c r="B414" t="str">
        <f>Table3[[#This Row],[Client ID]] &amp; " - " &amp; Table3[[#This Row],[SO Number]]</f>
        <v>TIONG BAHRU PHILIPPINES INC - TIONG BAHRU - GENERIC - SO-014</v>
      </c>
      <c r="C414" t="s">
        <v>111</v>
      </c>
      <c r="D414" t="s">
        <v>1022</v>
      </c>
      <c r="E414" t="s">
        <v>1023</v>
      </c>
      <c r="F414" t="s">
        <v>15</v>
      </c>
      <c r="G414" t="s">
        <v>1024</v>
      </c>
      <c r="H414" t="s">
        <v>352</v>
      </c>
      <c r="I414" t="s">
        <v>97</v>
      </c>
      <c r="J414">
        <v>1</v>
      </c>
      <c r="K414">
        <v>2200</v>
      </c>
      <c r="L414">
        <v>3000</v>
      </c>
      <c r="M414">
        <v>3000</v>
      </c>
      <c r="N414" t="s">
        <v>19</v>
      </c>
    </row>
    <row r="415" spans="1:14" x14ac:dyDescent="0.25">
      <c r="A415" t="str">
        <f>Table3[[#This Row],[Company Name]] &amp; " - " &amp; Table3[[#This Row],[Store Name]] &amp; " - " &amp; Table3[[#This Row],[Store Branch / Address]]</f>
        <v>TIONG BAHRU PHILIPPINES INC - TIONG BAHRU - GENERIC</v>
      </c>
      <c r="B415" t="str">
        <f>Table3[[#This Row],[Client ID]] &amp; " - " &amp; Table3[[#This Row],[SO Number]]</f>
        <v>TIONG BAHRU PHILIPPINES INC - TIONG BAHRU - GENERIC - SO-014</v>
      </c>
      <c r="C415" t="s">
        <v>111</v>
      </c>
      <c r="D415" t="s">
        <v>1022</v>
      </c>
      <c r="E415" t="s">
        <v>1023</v>
      </c>
      <c r="F415" t="s">
        <v>15</v>
      </c>
      <c r="G415" t="s">
        <v>1024</v>
      </c>
      <c r="H415" t="s">
        <v>352</v>
      </c>
      <c r="I415" t="s">
        <v>1045</v>
      </c>
      <c r="J415">
        <v>1</v>
      </c>
      <c r="K415">
        <v>1000</v>
      </c>
      <c r="L415">
        <v>15500</v>
      </c>
      <c r="M415">
        <v>15500</v>
      </c>
      <c r="N415" t="s">
        <v>19</v>
      </c>
    </row>
    <row r="416" spans="1:14" x14ac:dyDescent="0.25">
      <c r="A416" t="str">
        <f>Table3[[#This Row],[Company Name]] &amp; " - " &amp; Table3[[#This Row],[Store Name]] &amp; " - " &amp; Table3[[#This Row],[Store Branch / Address]]</f>
        <v>TIONG BAHRU PHILIPPINES INC - TIONG BAHRU - GENERIC</v>
      </c>
      <c r="B416" t="str">
        <f>Table3[[#This Row],[Client ID]] &amp; " - " &amp; Table3[[#This Row],[SO Number]]</f>
        <v>TIONG BAHRU PHILIPPINES INC - TIONG BAHRU - GENERIC - SO-014</v>
      </c>
      <c r="C416" t="s">
        <v>111</v>
      </c>
      <c r="D416" t="s">
        <v>1022</v>
      </c>
      <c r="E416" t="s">
        <v>1023</v>
      </c>
      <c r="F416" t="s">
        <v>15</v>
      </c>
      <c r="G416" t="s">
        <v>1024</v>
      </c>
      <c r="H416" t="s">
        <v>352</v>
      </c>
      <c r="I416" t="s">
        <v>63</v>
      </c>
      <c r="J416">
        <v>1</v>
      </c>
      <c r="K416">
        <v>500</v>
      </c>
      <c r="L416">
        <v>500</v>
      </c>
      <c r="M416">
        <v>500</v>
      </c>
      <c r="N416" t="s">
        <v>19</v>
      </c>
    </row>
    <row r="417" spans="1:14" x14ac:dyDescent="0.25">
      <c r="A417" t="str">
        <f>Table3[[#This Row],[Company Name]] &amp; " - " &amp; Table3[[#This Row],[Store Name]] &amp; " - " &amp; Table3[[#This Row],[Store Branch / Address]]</f>
        <v>TIONG BAHRU PHILIPPINES INC - TIONG BAHRU - GENERIC</v>
      </c>
      <c r="B417" t="str">
        <f>Table3[[#This Row],[Client ID]] &amp; " - " &amp; Table3[[#This Row],[SO Number]]</f>
        <v>TIONG BAHRU PHILIPPINES INC - TIONG BAHRU - GENERIC - SO-015</v>
      </c>
      <c r="C417" t="s">
        <v>122</v>
      </c>
      <c r="D417" t="s">
        <v>1022</v>
      </c>
      <c r="E417" t="s">
        <v>1023</v>
      </c>
      <c r="F417" t="s">
        <v>15</v>
      </c>
      <c r="G417" t="s">
        <v>1024</v>
      </c>
      <c r="H417" t="s">
        <v>352</v>
      </c>
      <c r="I417" t="s">
        <v>47</v>
      </c>
      <c r="J417">
        <v>1</v>
      </c>
      <c r="K417">
        <v>3675</v>
      </c>
      <c r="L417">
        <v>10500</v>
      </c>
      <c r="M417">
        <v>10500</v>
      </c>
      <c r="N417" t="s">
        <v>19</v>
      </c>
    </row>
    <row r="418" spans="1:14" x14ac:dyDescent="0.25">
      <c r="A418" t="str">
        <f>Table3[[#This Row],[Company Name]] &amp; " - " &amp; Table3[[#This Row],[Store Name]] &amp; " - " &amp; Table3[[#This Row],[Store Branch / Address]]</f>
        <v>TIONG BAHRU PHILIPPINES INC - TIONG BAHRU - GENERIC</v>
      </c>
      <c r="B418" t="str">
        <f>Table3[[#This Row],[Client ID]] &amp; " - " &amp; Table3[[#This Row],[SO Number]]</f>
        <v>TIONG BAHRU PHILIPPINES INC - TIONG BAHRU - GENERIC - SO-015</v>
      </c>
      <c r="C418" t="s">
        <v>122</v>
      </c>
      <c r="D418" t="s">
        <v>1022</v>
      </c>
      <c r="E418" t="s">
        <v>1023</v>
      </c>
      <c r="F418" t="s">
        <v>15</v>
      </c>
      <c r="G418" t="s">
        <v>1024</v>
      </c>
      <c r="H418" t="s">
        <v>352</v>
      </c>
      <c r="I418" t="s">
        <v>25</v>
      </c>
      <c r="J418">
        <v>1</v>
      </c>
      <c r="K418">
        <v>3325</v>
      </c>
      <c r="L418">
        <v>9500</v>
      </c>
      <c r="M418">
        <v>9500</v>
      </c>
      <c r="N418" t="s">
        <v>19</v>
      </c>
    </row>
    <row r="419" spans="1:14" x14ac:dyDescent="0.25">
      <c r="A419" t="str">
        <f>Table3[[#This Row],[Company Name]] &amp; " - " &amp; Table3[[#This Row],[Store Name]] &amp; " - " &amp; Table3[[#This Row],[Store Branch / Address]]</f>
        <v>TIONG BAHRU PHILIPPINES INC - TIONG BAHRU - GENERIC</v>
      </c>
      <c r="B419" t="str">
        <f>Table3[[#This Row],[Client ID]] &amp; " - " &amp; Table3[[#This Row],[SO Number]]</f>
        <v>TIONG BAHRU PHILIPPINES INC - TIONG BAHRU - GENERIC - SO-015</v>
      </c>
      <c r="C419" t="s">
        <v>122</v>
      </c>
      <c r="D419" t="s">
        <v>1022</v>
      </c>
      <c r="E419" t="s">
        <v>1023</v>
      </c>
      <c r="F419" t="s">
        <v>15</v>
      </c>
      <c r="G419" t="s">
        <v>1024</v>
      </c>
      <c r="H419" t="s">
        <v>352</v>
      </c>
      <c r="I419" t="s">
        <v>24</v>
      </c>
      <c r="J419">
        <v>1</v>
      </c>
      <c r="K419">
        <v>3325</v>
      </c>
      <c r="L419">
        <v>9500</v>
      </c>
      <c r="M419">
        <v>9500</v>
      </c>
      <c r="N419" t="s">
        <v>19</v>
      </c>
    </row>
    <row r="420" spans="1:14" x14ac:dyDescent="0.25">
      <c r="A420" t="str">
        <f>Table3[[#This Row],[Company Name]] &amp; " - " &amp; Table3[[#This Row],[Store Name]] &amp; " - " &amp; Table3[[#This Row],[Store Branch / Address]]</f>
        <v>TIONG BAHRU PHILIPPINES INC - TIONG BAHRU - GENERIC</v>
      </c>
      <c r="B420" t="str">
        <f>Table3[[#This Row],[Client ID]] &amp; " - " &amp; Table3[[#This Row],[SO Number]]</f>
        <v>TIONG BAHRU PHILIPPINES INC - TIONG BAHRU - GENERIC - SO-015</v>
      </c>
      <c r="C420" t="s">
        <v>122</v>
      </c>
      <c r="D420" t="s">
        <v>1022</v>
      </c>
      <c r="E420" t="s">
        <v>1023</v>
      </c>
      <c r="F420" t="s">
        <v>15</v>
      </c>
      <c r="G420" t="s">
        <v>1024</v>
      </c>
      <c r="H420" t="s">
        <v>352</v>
      </c>
      <c r="I420" t="s">
        <v>26</v>
      </c>
      <c r="J420">
        <v>1</v>
      </c>
      <c r="K420">
        <v>500</v>
      </c>
      <c r="L420">
        <v>500</v>
      </c>
      <c r="M420">
        <v>500</v>
      </c>
      <c r="N420" t="s">
        <v>19</v>
      </c>
    </row>
    <row r="421" spans="1:14" x14ac:dyDescent="0.25">
      <c r="A421" t="str">
        <f>Table3[[#This Row],[Company Name]] &amp; " - " &amp; Table3[[#This Row],[Store Name]] &amp; " - " &amp; Table3[[#This Row],[Store Branch / Address]]</f>
        <v>TIONG BAHRU PHILIPPINES INC - TIONG BAHRU - GENERIC</v>
      </c>
      <c r="B421" t="str">
        <f>Table3[[#This Row],[Client ID]] &amp; " - " &amp; Table3[[#This Row],[SO Number]]</f>
        <v>TIONG BAHRU PHILIPPINES INC - TIONG BAHRU - GENERIC - SO-015</v>
      </c>
      <c r="C421" t="s">
        <v>122</v>
      </c>
      <c r="D421" t="s">
        <v>1022</v>
      </c>
      <c r="E421" t="s">
        <v>1023</v>
      </c>
      <c r="F421" t="s">
        <v>15</v>
      </c>
      <c r="G421" t="s">
        <v>1024</v>
      </c>
      <c r="H421" t="s">
        <v>352</v>
      </c>
      <c r="I421" t="s">
        <v>97</v>
      </c>
      <c r="J421">
        <v>2</v>
      </c>
      <c r="K421">
        <v>2200</v>
      </c>
      <c r="L421">
        <v>3500</v>
      </c>
      <c r="M421">
        <v>7000</v>
      </c>
      <c r="N421" t="s">
        <v>19</v>
      </c>
    </row>
    <row r="422" spans="1:14" x14ac:dyDescent="0.25">
      <c r="A422" t="str">
        <f>Table3[[#This Row],[Company Name]] &amp; " - " &amp; Table3[[#This Row],[Store Name]] &amp; " - " &amp; Table3[[#This Row],[Store Branch / Address]]</f>
        <v>TIONG BAHRU PHILIPPINES INC - TIONG BAHRU - GENERIC</v>
      </c>
      <c r="B422" t="str">
        <f>Table3[[#This Row],[Client ID]] &amp; " - " &amp; Table3[[#This Row],[SO Number]]</f>
        <v>TIONG BAHRU PHILIPPINES INC - TIONG BAHRU - GENERIC - SO-015</v>
      </c>
      <c r="C422" t="s">
        <v>122</v>
      </c>
      <c r="D422" t="s">
        <v>1022</v>
      </c>
      <c r="E422" t="s">
        <v>1023</v>
      </c>
      <c r="F422" t="s">
        <v>15</v>
      </c>
      <c r="G422" t="s">
        <v>1024</v>
      </c>
      <c r="H422" t="s">
        <v>352</v>
      </c>
      <c r="I422" t="s">
        <v>127</v>
      </c>
      <c r="J422">
        <v>1</v>
      </c>
      <c r="K422">
        <v>6825</v>
      </c>
      <c r="L422">
        <v>19500</v>
      </c>
      <c r="M422">
        <v>19500</v>
      </c>
      <c r="N422" t="s">
        <v>19</v>
      </c>
    </row>
    <row r="423" spans="1:14" x14ac:dyDescent="0.25">
      <c r="A423" t="str">
        <f>Table3[[#This Row],[Company Name]] &amp; " - " &amp; Table3[[#This Row],[Store Name]] &amp; " - " &amp; Table3[[#This Row],[Store Branch / Address]]</f>
        <v>TIONG BAHRU PHILIPPINES INC - TIONG BAHRU - GENERIC</v>
      </c>
      <c r="B423" t="str">
        <f>Table3[[#This Row],[Client ID]] &amp; " - " &amp; Table3[[#This Row],[SO Number]]</f>
        <v>TIONG BAHRU PHILIPPINES INC - TIONG BAHRU - GENERIC - SO-015</v>
      </c>
      <c r="C423" t="s">
        <v>122</v>
      </c>
      <c r="D423" t="s">
        <v>1022</v>
      </c>
      <c r="E423" t="s">
        <v>1023</v>
      </c>
      <c r="F423" t="s">
        <v>15</v>
      </c>
      <c r="G423" t="s">
        <v>1024</v>
      </c>
      <c r="H423" t="s">
        <v>352</v>
      </c>
      <c r="I423" t="s">
        <v>63</v>
      </c>
      <c r="J423">
        <v>1</v>
      </c>
      <c r="K423">
        <v>500</v>
      </c>
      <c r="L423">
        <v>500</v>
      </c>
      <c r="M423">
        <v>500</v>
      </c>
      <c r="N423" t="s">
        <v>19</v>
      </c>
    </row>
    <row r="424" spans="1:14" x14ac:dyDescent="0.25">
      <c r="A424" t="str">
        <f>Table3[[#This Row],[Company Name]] &amp; " - " &amp; Table3[[#This Row],[Store Name]] &amp; " - " &amp; Table3[[#This Row],[Store Branch / Address]]</f>
        <v>TIONG BAHRU PHILIPPINES INC - TIONG BAHRU - GENERIC</v>
      </c>
      <c r="B424" t="str">
        <f>Table3[[#This Row],[Client ID]] &amp; " - " &amp; Table3[[#This Row],[SO Number]]</f>
        <v>TIONG BAHRU PHILIPPINES INC - TIONG BAHRU - GENERIC - SO-016</v>
      </c>
      <c r="C424" t="s">
        <v>140</v>
      </c>
      <c r="D424" t="s">
        <v>1022</v>
      </c>
      <c r="E424" t="s">
        <v>1023</v>
      </c>
      <c r="F424" t="s">
        <v>15</v>
      </c>
      <c r="G424" t="s">
        <v>1024</v>
      </c>
      <c r="H424" t="s">
        <v>352</v>
      </c>
      <c r="I424" t="s">
        <v>47</v>
      </c>
      <c r="J424">
        <v>1</v>
      </c>
      <c r="K424">
        <v>3675</v>
      </c>
      <c r="L424">
        <v>10500</v>
      </c>
      <c r="M424">
        <v>10500</v>
      </c>
      <c r="N424" t="s">
        <v>19</v>
      </c>
    </row>
    <row r="425" spans="1:14" x14ac:dyDescent="0.25">
      <c r="A425" t="str">
        <f>Table3[[#This Row],[Company Name]] &amp; " - " &amp; Table3[[#This Row],[Store Name]] &amp; " - " &amp; Table3[[#This Row],[Store Branch / Address]]</f>
        <v>TIONG BAHRU PHILIPPINES INC - TIONG BAHRU - GENERIC</v>
      </c>
      <c r="B425" t="str">
        <f>Table3[[#This Row],[Client ID]] &amp; " - " &amp; Table3[[#This Row],[SO Number]]</f>
        <v>TIONG BAHRU PHILIPPINES INC - TIONG BAHRU - GENERIC - SO-016</v>
      </c>
      <c r="C425" t="s">
        <v>140</v>
      </c>
      <c r="D425" t="s">
        <v>1022</v>
      </c>
      <c r="E425" t="s">
        <v>1023</v>
      </c>
      <c r="F425" t="s">
        <v>15</v>
      </c>
      <c r="G425" t="s">
        <v>1024</v>
      </c>
      <c r="H425" t="s">
        <v>352</v>
      </c>
      <c r="I425" t="s">
        <v>25</v>
      </c>
      <c r="J425">
        <v>1</v>
      </c>
      <c r="K425">
        <v>3325</v>
      </c>
      <c r="L425">
        <v>9500</v>
      </c>
      <c r="M425">
        <v>9500</v>
      </c>
      <c r="N425" t="s">
        <v>19</v>
      </c>
    </row>
    <row r="426" spans="1:14" x14ac:dyDescent="0.25">
      <c r="A426" t="str">
        <f>Table3[[#This Row],[Company Name]] &amp; " - " &amp; Table3[[#This Row],[Store Name]] &amp; " - " &amp; Table3[[#This Row],[Store Branch / Address]]</f>
        <v>TIONG BAHRU PHILIPPINES INC - TIONG BAHRU - GENERIC</v>
      </c>
      <c r="B426" t="str">
        <f>Table3[[#This Row],[Client ID]] &amp; " - " &amp; Table3[[#This Row],[SO Number]]</f>
        <v>TIONG BAHRU PHILIPPINES INC - TIONG BAHRU - GENERIC - SO-016</v>
      </c>
      <c r="C426" t="s">
        <v>140</v>
      </c>
      <c r="D426" t="s">
        <v>1022</v>
      </c>
      <c r="E426" t="s">
        <v>1023</v>
      </c>
      <c r="F426" t="s">
        <v>15</v>
      </c>
      <c r="G426" t="s">
        <v>1024</v>
      </c>
      <c r="H426" t="s">
        <v>352</v>
      </c>
      <c r="I426" t="s">
        <v>24</v>
      </c>
      <c r="J426">
        <v>1</v>
      </c>
      <c r="K426">
        <v>3325</v>
      </c>
      <c r="L426">
        <v>9500</v>
      </c>
      <c r="M426">
        <v>9500</v>
      </c>
      <c r="N426" t="s">
        <v>19</v>
      </c>
    </row>
    <row r="427" spans="1:14" x14ac:dyDescent="0.25">
      <c r="A427" t="str">
        <f>Table3[[#This Row],[Company Name]] &amp; " - " &amp; Table3[[#This Row],[Store Name]] &amp; " - " &amp; Table3[[#This Row],[Store Branch / Address]]</f>
        <v>TIONG BAHRU PHILIPPINES INC - TIONG BAHRU - GENERIC</v>
      </c>
      <c r="B427" t="str">
        <f>Table3[[#This Row],[Client ID]] &amp; " - " &amp; Table3[[#This Row],[SO Number]]</f>
        <v>TIONG BAHRU PHILIPPINES INC - TIONG BAHRU - GENERIC - SO-016</v>
      </c>
      <c r="C427" t="s">
        <v>140</v>
      </c>
      <c r="D427" t="s">
        <v>1022</v>
      </c>
      <c r="E427" t="s">
        <v>1023</v>
      </c>
      <c r="F427" t="s">
        <v>15</v>
      </c>
      <c r="G427" t="s">
        <v>1024</v>
      </c>
      <c r="H427" t="s">
        <v>352</v>
      </c>
      <c r="I427" t="s">
        <v>26</v>
      </c>
      <c r="J427">
        <v>1</v>
      </c>
      <c r="K427">
        <v>500</v>
      </c>
      <c r="L427">
        <v>500</v>
      </c>
      <c r="M427">
        <v>500</v>
      </c>
      <c r="N427" t="s">
        <v>19</v>
      </c>
    </row>
    <row r="428" spans="1:14" x14ac:dyDescent="0.25">
      <c r="A428" t="str">
        <f>Table3[[#This Row],[Company Name]] &amp; " - " &amp; Table3[[#This Row],[Store Name]] &amp; " - " &amp; Table3[[#This Row],[Store Branch / Address]]</f>
        <v>TIONG BAHRU PHILIPPINES INC - TIONG BAHRU - GENERIC</v>
      </c>
      <c r="B428" t="str">
        <f>Table3[[#This Row],[Client ID]] &amp; " - " &amp; Table3[[#This Row],[SO Number]]</f>
        <v>TIONG BAHRU PHILIPPINES INC - TIONG BAHRU - GENERIC - SO-016</v>
      </c>
      <c r="C428" t="s">
        <v>140</v>
      </c>
      <c r="D428" t="s">
        <v>1022</v>
      </c>
      <c r="E428" t="s">
        <v>1023</v>
      </c>
      <c r="F428" t="s">
        <v>15</v>
      </c>
      <c r="G428" t="s">
        <v>1024</v>
      </c>
      <c r="H428" t="s">
        <v>352</v>
      </c>
      <c r="I428" t="s">
        <v>97</v>
      </c>
      <c r="J428">
        <v>1</v>
      </c>
      <c r="K428">
        <v>2200</v>
      </c>
      <c r="L428">
        <v>3000</v>
      </c>
      <c r="M428">
        <v>3000</v>
      </c>
      <c r="N428" t="s">
        <v>19</v>
      </c>
    </row>
    <row r="429" spans="1:14" x14ac:dyDescent="0.25">
      <c r="A429" t="str">
        <f>Table3[[#This Row],[Company Name]] &amp; " - " &amp; Table3[[#This Row],[Store Name]] &amp; " - " &amp; Table3[[#This Row],[Store Branch / Address]]</f>
        <v>TIONG BAHRU PHILIPPINES INC - TIONG BAHRU - GENERIC</v>
      </c>
      <c r="B429" t="str">
        <f>Table3[[#This Row],[Client ID]] &amp; " - " &amp; Table3[[#This Row],[SO Number]]</f>
        <v>TIONG BAHRU PHILIPPINES INC - TIONG BAHRU - GENERIC - SO-016</v>
      </c>
      <c r="C429" t="s">
        <v>140</v>
      </c>
      <c r="D429" t="s">
        <v>1022</v>
      </c>
      <c r="E429" t="s">
        <v>1023</v>
      </c>
      <c r="F429" t="s">
        <v>15</v>
      </c>
      <c r="G429" t="s">
        <v>1024</v>
      </c>
      <c r="H429" t="s">
        <v>352</v>
      </c>
      <c r="I429" t="s">
        <v>1046</v>
      </c>
      <c r="J429">
        <v>1</v>
      </c>
      <c r="K429">
        <v>9500</v>
      </c>
      <c r="L429">
        <v>13500</v>
      </c>
      <c r="M429">
        <v>13500</v>
      </c>
      <c r="N429" t="s">
        <v>19</v>
      </c>
    </row>
    <row r="430" spans="1:14" x14ac:dyDescent="0.25">
      <c r="A430" t="str">
        <f>Table3[[#This Row],[Company Name]] &amp; " - " &amp; Table3[[#This Row],[Store Name]] &amp; " - " &amp; Table3[[#This Row],[Store Branch / Address]]</f>
        <v>TIONG BAHRU PHILIPPINES INC - TIONG BAHRU - GENERIC</v>
      </c>
      <c r="B430" t="str">
        <f>Table3[[#This Row],[Client ID]] &amp; " - " &amp; Table3[[#This Row],[SO Number]]</f>
        <v>TIONG BAHRU PHILIPPINES INC - TIONG BAHRU - GENERIC - SO-016</v>
      </c>
      <c r="C430" t="s">
        <v>140</v>
      </c>
      <c r="D430" t="s">
        <v>1022</v>
      </c>
      <c r="E430" t="s">
        <v>1023</v>
      </c>
      <c r="F430" t="s">
        <v>15</v>
      </c>
      <c r="G430" t="s">
        <v>1024</v>
      </c>
      <c r="H430" t="s">
        <v>352</v>
      </c>
      <c r="I430" t="s">
        <v>63</v>
      </c>
      <c r="J430">
        <v>1</v>
      </c>
      <c r="K430">
        <v>500</v>
      </c>
      <c r="L430">
        <v>500</v>
      </c>
      <c r="M430">
        <v>500</v>
      </c>
      <c r="N430" t="s">
        <v>19</v>
      </c>
    </row>
    <row r="431" spans="1:14" x14ac:dyDescent="0.25">
      <c r="A431" t="str">
        <f>Table3[[#This Row],[Company Name]] &amp; " - " &amp; Table3[[#This Row],[Store Name]] &amp; " - " &amp; Table3[[#This Row],[Store Branch / Address]]</f>
        <v>TIONG BAHRU PHILIPPINES INC - TIONG BAHRU - GENERIC</v>
      </c>
      <c r="B431" t="str">
        <f>Table3[[#This Row],[Client ID]] &amp; " - " &amp; Table3[[#This Row],[SO Number]]</f>
        <v>TIONG BAHRU PHILIPPINES INC - TIONG BAHRU - GENERIC - SO-017</v>
      </c>
      <c r="C431" t="s">
        <v>147</v>
      </c>
      <c r="D431" t="s">
        <v>1022</v>
      </c>
      <c r="E431" t="s">
        <v>1023</v>
      </c>
      <c r="F431" t="s">
        <v>15</v>
      </c>
      <c r="G431" t="s">
        <v>1024</v>
      </c>
      <c r="H431" t="s">
        <v>352</v>
      </c>
      <c r="I431" t="s">
        <v>47</v>
      </c>
      <c r="J431">
        <v>1</v>
      </c>
      <c r="K431">
        <v>3675</v>
      </c>
      <c r="L431">
        <v>10500</v>
      </c>
      <c r="M431">
        <v>10500</v>
      </c>
      <c r="N431" t="s">
        <v>19</v>
      </c>
    </row>
    <row r="432" spans="1:14" x14ac:dyDescent="0.25">
      <c r="A432" t="str">
        <f>Table3[[#This Row],[Company Name]] &amp; " - " &amp; Table3[[#This Row],[Store Name]] &amp; " - " &amp; Table3[[#This Row],[Store Branch / Address]]</f>
        <v>TIONG BAHRU PHILIPPINES INC - TIONG BAHRU - GENERIC</v>
      </c>
      <c r="B432" t="str">
        <f>Table3[[#This Row],[Client ID]] &amp; " - " &amp; Table3[[#This Row],[SO Number]]</f>
        <v>TIONG BAHRU PHILIPPINES INC - TIONG BAHRU - GENERIC - SO-017</v>
      </c>
      <c r="C432" t="s">
        <v>147</v>
      </c>
      <c r="D432" t="s">
        <v>1022</v>
      </c>
      <c r="E432" t="s">
        <v>1023</v>
      </c>
      <c r="F432" t="s">
        <v>15</v>
      </c>
      <c r="G432" t="s">
        <v>1024</v>
      </c>
      <c r="H432" t="s">
        <v>352</v>
      </c>
      <c r="I432" t="s">
        <v>25</v>
      </c>
      <c r="J432">
        <v>1</v>
      </c>
      <c r="K432">
        <v>3237.5</v>
      </c>
      <c r="L432">
        <v>9250</v>
      </c>
      <c r="M432">
        <v>9250</v>
      </c>
      <c r="N432" t="s">
        <v>19</v>
      </c>
    </row>
    <row r="433" spans="1:14" x14ac:dyDescent="0.25">
      <c r="A433" t="str">
        <f>Table3[[#This Row],[Company Name]] &amp; " - " &amp; Table3[[#This Row],[Store Name]] &amp; " - " &amp; Table3[[#This Row],[Store Branch / Address]]</f>
        <v>TIONG BAHRU PHILIPPINES INC - TIONG BAHRU - GENERIC</v>
      </c>
      <c r="B433" t="str">
        <f>Table3[[#This Row],[Client ID]] &amp; " - " &amp; Table3[[#This Row],[SO Number]]</f>
        <v>TIONG BAHRU PHILIPPINES INC - TIONG BAHRU - GENERIC - SO-017</v>
      </c>
      <c r="C433" t="s">
        <v>147</v>
      </c>
      <c r="D433" t="s">
        <v>1022</v>
      </c>
      <c r="E433" t="s">
        <v>1023</v>
      </c>
      <c r="F433" t="s">
        <v>15</v>
      </c>
      <c r="G433" t="s">
        <v>1024</v>
      </c>
      <c r="H433" t="s">
        <v>352</v>
      </c>
      <c r="I433" t="s">
        <v>24</v>
      </c>
      <c r="J433">
        <v>1</v>
      </c>
      <c r="K433">
        <v>3237.5</v>
      </c>
      <c r="L433">
        <v>9250</v>
      </c>
      <c r="M433">
        <v>9250</v>
      </c>
      <c r="N433" t="s">
        <v>19</v>
      </c>
    </row>
    <row r="434" spans="1:14" x14ac:dyDescent="0.25">
      <c r="A434" t="str">
        <f>Table3[[#This Row],[Company Name]] &amp; " - " &amp; Table3[[#This Row],[Store Name]] &amp; " - " &amp; Table3[[#This Row],[Store Branch / Address]]</f>
        <v>TIONG BAHRU PHILIPPINES INC - TIONG BAHRU - GENERIC</v>
      </c>
      <c r="B434" t="str">
        <f>Table3[[#This Row],[Client ID]] &amp; " - " &amp; Table3[[#This Row],[SO Number]]</f>
        <v>TIONG BAHRU PHILIPPINES INC - TIONG BAHRU - GENERIC - SO-017</v>
      </c>
      <c r="C434" t="s">
        <v>147</v>
      </c>
      <c r="D434" t="s">
        <v>1022</v>
      </c>
      <c r="E434" t="s">
        <v>1023</v>
      </c>
      <c r="F434" t="s">
        <v>15</v>
      </c>
      <c r="G434" t="s">
        <v>1024</v>
      </c>
      <c r="H434" t="s">
        <v>352</v>
      </c>
      <c r="I434" t="s">
        <v>26</v>
      </c>
      <c r="J434">
        <v>1</v>
      </c>
      <c r="K434">
        <v>500</v>
      </c>
      <c r="L434">
        <v>500</v>
      </c>
      <c r="M434">
        <v>500</v>
      </c>
      <c r="N434" t="s">
        <v>19</v>
      </c>
    </row>
    <row r="435" spans="1:14" x14ac:dyDescent="0.25">
      <c r="A435" t="str">
        <f>Table3[[#This Row],[Company Name]] &amp; " - " &amp; Table3[[#This Row],[Store Name]] &amp; " - " &amp; Table3[[#This Row],[Store Branch / Address]]</f>
        <v>TIONG BAHRU PHILIPPINES INC - TIONG BAHRU - GENERIC</v>
      </c>
      <c r="B435" t="str">
        <f>Table3[[#This Row],[Client ID]] &amp; " - " &amp; Table3[[#This Row],[SO Number]]</f>
        <v>TIONG BAHRU PHILIPPINES INC - TIONG BAHRU - GENERIC - SO-017</v>
      </c>
      <c r="C435" t="s">
        <v>147</v>
      </c>
      <c r="D435" t="s">
        <v>1022</v>
      </c>
      <c r="E435" t="s">
        <v>1023</v>
      </c>
      <c r="F435" t="s">
        <v>15</v>
      </c>
      <c r="G435" t="s">
        <v>1024</v>
      </c>
      <c r="H435" t="s">
        <v>352</v>
      </c>
      <c r="I435" t="s">
        <v>1047</v>
      </c>
      <c r="J435">
        <v>1</v>
      </c>
      <c r="K435">
        <v>21500</v>
      </c>
      <c r="L435">
        <v>31000</v>
      </c>
      <c r="M435">
        <v>31000</v>
      </c>
      <c r="N435" t="s">
        <v>19</v>
      </c>
    </row>
    <row r="436" spans="1:14" x14ac:dyDescent="0.25">
      <c r="A436" t="str">
        <f>Table3[[#This Row],[Company Name]] &amp; " - " &amp; Table3[[#This Row],[Store Name]] &amp; " - " &amp; Table3[[#This Row],[Store Branch / Address]]</f>
        <v>TIONG BAHRU PHILIPPINES INC - TIONG BAHRU - GENERIC</v>
      </c>
      <c r="B436" t="str">
        <f>Table3[[#This Row],[Client ID]] &amp; " - " &amp; Table3[[#This Row],[SO Number]]</f>
        <v>TIONG BAHRU PHILIPPINES INC - TIONG BAHRU - GENERIC - SO-017</v>
      </c>
      <c r="C436" t="s">
        <v>147</v>
      </c>
      <c r="D436" t="s">
        <v>1022</v>
      </c>
      <c r="E436" t="s">
        <v>1023</v>
      </c>
      <c r="F436" t="s">
        <v>15</v>
      </c>
      <c r="G436" t="s">
        <v>1024</v>
      </c>
      <c r="H436" t="s">
        <v>352</v>
      </c>
      <c r="I436" t="s">
        <v>1045</v>
      </c>
      <c r="J436">
        <v>1</v>
      </c>
      <c r="K436">
        <v>11000</v>
      </c>
      <c r="L436">
        <v>15500</v>
      </c>
      <c r="M436">
        <v>15500</v>
      </c>
      <c r="N436" t="s">
        <v>19</v>
      </c>
    </row>
    <row r="437" spans="1:14" x14ac:dyDescent="0.25">
      <c r="A437" t="str">
        <f>Table3[[#This Row],[Company Name]] &amp; " - " &amp; Table3[[#This Row],[Store Name]] &amp; " - " &amp; Table3[[#This Row],[Store Branch / Address]]</f>
        <v>TIONG BAHRU PHILIPPINES INC - TIONG BAHRU - GENERIC</v>
      </c>
      <c r="B437" t="str">
        <f>Table3[[#This Row],[Client ID]] &amp; " - " &amp; Table3[[#This Row],[SO Number]]</f>
        <v>TIONG BAHRU PHILIPPINES INC - TIONG BAHRU - GENERIC - SO-017</v>
      </c>
      <c r="C437" t="s">
        <v>147</v>
      </c>
      <c r="D437" t="s">
        <v>1022</v>
      </c>
      <c r="E437" t="s">
        <v>1023</v>
      </c>
      <c r="F437" t="s">
        <v>15</v>
      </c>
      <c r="G437" t="s">
        <v>1024</v>
      </c>
      <c r="H437" t="s">
        <v>352</v>
      </c>
      <c r="I437" t="s">
        <v>1021</v>
      </c>
      <c r="J437">
        <v>1</v>
      </c>
      <c r="K437">
        <v>2185</v>
      </c>
      <c r="L437">
        <v>3200</v>
      </c>
      <c r="M437">
        <v>3200</v>
      </c>
      <c r="N437" t="s">
        <v>19</v>
      </c>
    </row>
    <row r="438" spans="1:14" x14ac:dyDescent="0.25">
      <c r="A438" t="str">
        <f>Table3[[#This Row],[Company Name]] &amp; " - " &amp; Table3[[#This Row],[Store Name]] &amp; " - " &amp; Table3[[#This Row],[Store Branch / Address]]</f>
        <v>TIONG BAHRU PHILIPPINES INC - TIONG BAHRU - GENERIC</v>
      </c>
      <c r="B438" t="str">
        <f>Table3[[#This Row],[Client ID]] &amp; " - " &amp; Table3[[#This Row],[SO Number]]</f>
        <v>TIONG BAHRU PHILIPPINES INC - TIONG BAHRU - GENERIC - SO-017</v>
      </c>
      <c r="C438" t="s">
        <v>147</v>
      </c>
      <c r="D438" t="s">
        <v>1022</v>
      </c>
      <c r="E438" t="s">
        <v>1023</v>
      </c>
      <c r="F438" t="s">
        <v>15</v>
      </c>
      <c r="G438" t="s">
        <v>1024</v>
      </c>
      <c r="H438" t="s">
        <v>352</v>
      </c>
      <c r="I438" t="s">
        <v>1048</v>
      </c>
      <c r="J438">
        <v>1</v>
      </c>
      <c r="K438">
        <v>8500</v>
      </c>
      <c r="L438">
        <v>12000</v>
      </c>
      <c r="M438">
        <v>12000</v>
      </c>
      <c r="N438" t="s">
        <v>19</v>
      </c>
    </row>
    <row r="439" spans="1:14" x14ac:dyDescent="0.25">
      <c r="A439" t="str">
        <f>Table3[[#This Row],[Company Name]] &amp; " - " &amp; Table3[[#This Row],[Store Name]] &amp; " - " &amp; Table3[[#This Row],[Store Branch / Address]]</f>
        <v>TIONG BAHRU PHILIPPINES INC - TIONG BAHRU - GENERIC</v>
      </c>
      <c r="B439" t="str">
        <f>Table3[[#This Row],[Client ID]] &amp; " - " &amp; Table3[[#This Row],[SO Number]]</f>
        <v>TIONG BAHRU PHILIPPINES INC - TIONG BAHRU - GENERIC - SO-017</v>
      </c>
      <c r="C439" t="s">
        <v>147</v>
      </c>
      <c r="D439" t="s">
        <v>1022</v>
      </c>
      <c r="E439" t="s">
        <v>1023</v>
      </c>
      <c r="F439" t="s">
        <v>15</v>
      </c>
      <c r="G439" t="s">
        <v>1024</v>
      </c>
      <c r="H439" t="s">
        <v>352</v>
      </c>
      <c r="I439" t="s">
        <v>1049</v>
      </c>
      <c r="J439">
        <v>1</v>
      </c>
      <c r="K439">
        <v>9500</v>
      </c>
      <c r="L439">
        <v>12500</v>
      </c>
      <c r="M439">
        <v>12500</v>
      </c>
      <c r="N439" t="s">
        <v>19</v>
      </c>
    </row>
    <row r="440" spans="1:14" x14ac:dyDescent="0.25">
      <c r="A440" t="str">
        <f>Table3[[#This Row],[Company Name]] &amp; " - " &amp; Table3[[#This Row],[Store Name]] &amp; " - " &amp; Table3[[#This Row],[Store Branch / Address]]</f>
        <v>TIONG BAHRU PHILIPPINES INC - TIONG BAHRU - GENERIC</v>
      </c>
      <c r="B440" t="str">
        <f>Table3[[#This Row],[Client ID]] &amp; " - " &amp; Table3[[#This Row],[SO Number]]</f>
        <v>TIONG BAHRU PHILIPPINES INC - TIONG BAHRU - GENERIC - SO-017</v>
      </c>
      <c r="C440" t="s">
        <v>147</v>
      </c>
      <c r="D440" t="s">
        <v>1022</v>
      </c>
      <c r="E440" t="s">
        <v>1023</v>
      </c>
      <c r="F440" t="s">
        <v>15</v>
      </c>
      <c r="G440" t="s">
        <v>1024</v>
      </c>
      <c r="H440" t="s">
        <v>352</v>
      </c>
      <c r="I440" t="s">
        <v>97</v>
      </c>
      <c r="J440">
        <v>1</v>
      </c>
      <c r="K440">
        <v>2200</v>
      </c>
      <c r="L440">
        <v>3300</v>
      </c>
      <c r="M440">
        <v>3300</v>
      </c>
      <c r="N440" t="s">
        <v>19</v>
      </c>
    </row>
    <row r="441" spans="1:14" x14ac:dyDescent="0.25">
      <c r="A441" t="str">
        <f>Table3[[#This Row],[Company Name]] &amp; " - " &amp; Table3[[#This Row],[Store Name]] &amp; " - " &amp; Table3[[#This Row],[Store Branch / Address]]</f>
        <v>TIONG BAHRU PHILIPPINES INC - TIONG BAHRU - GENERIC</v>
      </c>
      <c r="B441" t="str">
        <f>Table3[[#This Row],[Client ID]] &amp; " - " &amp; Table3[[#This Row],[SO Number]]</f>
        <v>TIONG BAHRU PHILIPPINES INC - TIONG BAHRU - GENERIC - SO-017</v>
      </c>
      <c r="C441" t="s">
        <v>147</v>
      </c>
      <c r="D441" t="s">
        <v>1022</v>
      </c>
      <c r="E441" t="s">
        <v>1023</v>
      </c>
      <c r="F441" t="s">
        <v>15</v>
      </c>
      <c r="G441" t="s">
        <v>1024</v>
      </c>
      <c r="H441" t="s">
        <v>352</v>
      </c>
      <c r="I441" t="s">
        <v>1050</v>
      </c>
      <c r="J441">
        <v>1</v>
      </c>
      <c r="K441">
        <v>850</v>
      </c>
      <c r="L441">
        <v>1200</v>
      </c>
      <c r="M441">
        <v>1200</v>
      </c>
      <c r="N441" t="s">
        <v>19</v>
      </c>
    </row>
    <row r="442" spans="1:14" x14ac:dyDescent="0.25">
      <c r="A442" t="str">
        <f>Table3[[#This Row],[Company Name]] &amp; " - " &amp; Table3[[#This Row],[Store Name]] &amp; " - " &amp; Table3[[#This Row],[Store Branch / Address]]</f>
        <v>TIONG BAHRU PHILIPPINES INC - TIONG BAHRU - GENERIC</v>
      </c>
      <c r="B442" t="str">
        <f>Table3[[#This Row],[Client ID]] &amp; " - " &amp; Table3[[#This Row],[SO Number]]</f>
        <v>TIONG BAHRU PHILIPPINES INC - TIONG BAHRU - GENERIC - SO-017</v>
      </c>
      <c r="C442" t="s">
        <v>147</v>
      </c>
      <c r="D442" t="s">
        <v>1022</v>
      </c>
      <c r="E442" t="s">
        <v>1023</v>
      </c>
      <c r="F442" t="s">
        <v>15</v>
      </c>
      <c r="G442" t="s">
        <v>1024</v>
      </c>
      <c r="H442" t="s">
        <v>352</v>
      </c>
      <c r="I442" t="s">
        <v>151</v>
      </c>
      <c r="J442">
        <v>1</v>
      </c>
      <c r="K442">
        <v>2800</v>
      </c>
      <c r="L442">
        <v>4000</v>
      </c>
      <c r="M442">
        <v>4000</v>
      </c>
      <c r="N442" t="s">
        <v>19</v>
      </c>
    </row>
    <row r="443" spans="1:14" x14ac:dyDescent="0.25">
      <c r="A443" t="str">
        <f>Table3[[#This Row],[Company Name]] &amp; " - " &amp; Table3[[#This Row],[Store Name]] &amp; " - " &amp; Table3[[#This Row],[Store Branch / Address]]</f>
        <v>TIONG BAHRU PHILIPPINES INC - TIONG BAHRU - GENERIC</v>
      </c>
      <c r="B443" t="str">
        <f>Table3[[#This Row],[Client ID]] &amp; " - " &amp; Table3[[#This Row],[SO Number]]</f>
        <v>TIONG BAHRU PHILIPPINES INC - TIONG BAHRU - GENERIC - SO-017</v>
      </c>
      <c r="C443" t="s">
        <v>147</v>
      </c>
      <c r="D443" t="s">
        <v>1022</v>
      </c>
      <c r="E443" t="s">
        <v>1023</v>
      </c>
      <c r="F443" t="s">
        <v>15</v>
      </c>
      <c r="G443" t="s">
        <v>1024</v>
      </c>
      <c r="H443" t="s">
        <v>352</v>
      </c>
      <c r="I443" t="s">
        <v>1051</v>
      </c>
      <c r="J443">
        <v>1</v>
      </c>
      <c r="K443">
        <v>935</v>
      </c>
      <c r="L443">
        <v>1500</v>
      </c>
      <c r="M443">
        <v>1500</v>
      </c>
      <c r="N443" t="s">
        <v>19</v>
      </c>
    </row>
    <row r="444" spans="1:14" x14ac:dyDescent="0.25">
      <c r="A444" t="str">
        <f>Table3[[#This Row],[Company Name]] &amp; " - " &amp; Table3[[#This Row],[Store Name]] &amp; " - " &amp; Table3[[#This Row],[Store Branch / Address]]</f>
        <v>TIONG BAHRU PHILIPPINES INC - TIONG BAHRU - GENERIC</v>
      </c>
      <c r="B444" t="str">
        <f>Table3[[#This Row],[Client ID]] &amp; " - " &amp; Table3[[#This Row],[SO Number]]</f>
        <v>TIONG BAHRU PHILIPPINES INC - TIONG BAHRU - GENERIC - SO-017</v>
      </c>
      <c r="C444" t="s">
        <v>147</v>
      </c>
      <c r="D444" t="s">
        <v>1022</v>
      </c>
      <c r="E444" t="s">
        <v>1023</v>
      </c>
      <c r="F444" t="s">
        <v>15</v>
      </c>
      <c r="G444" t="s">
        <v>1024</v>
      </c>
      <c r="H444" t="s">
        <v>352</v>
      </c>
      <c r="I444" t="s">
        <v>63</v>
      </c>
      <c r="J444">
        <v>1</v>
      </c>
      <c r="K444">
        <v>500</v>
      </c>
      <c r="L444">
        <v>500</v>
      </c>
      <c r="M444">
        <v>500</v>
      </c>
      <c r="N444" t="s">
        <v>19</v>
      </c>
    </row>
    <row r="445" spans="1:14" x14ac:dyDescent="0.25">
      <c r="A445" t="str">
        <f>Table3[[#This Row],[Company Name]] &amp; " - " &amp; Table3[[#This Row],[Store Name]] &amp; " - " &amp; Table3[[#This Row],[Store Branch / Address]]</f>
        <v>TIONG BAHRU PHILIPPINES INC - TIONG BAHRU - GENERIC</v>
      </c>
      <c r="B445" t="str">
        <f>Table3[[#This Row],[Client ID]] &amp; " - " &amp; Table3[[#This Row],[SO Number]]</f>
        <v>TIONG BAHRU PHILIPPINES INC - TIONG BAHRU - GENERIC - SO-018</v>
      </c>
      <c r="C445" t="s">
        <v>155</v>
      </c>
      <c r="D445" t="s">
        <v>1022</v>
      </c>
      <c r="E445" t="s">
        <v>1023</v>
      </c>
      <c r="F445" t="s">
        <v>15</v>
      </c>
      <c r="G445" t="s">
        <v>1024</v>
      </c>
      <c r="H445" t="s">
        <v>352</v>
      </c>
      <c r="I445" t="s">
        <v>47</v>
      </c>
      <c r="J445">
        <v>1</v>
      </c>
      <c r="K445">
        <v>3675</v>
      </c>
      <c r="L445">
        <v>10500</v>
      </c>
      <c r="M445">
        <v>10500</v>
      </c>
      <c r="N445" t="s">
        <v>19</v>
      </c>
    </row>
    <row r="446" spans="1:14" x14ac:dyDescent="0.25">
      <c r="A446" t="str">
        <f>Table3[[#This Row],[Company Name]] &amp; " - " &amp; Table3[[#This Row],[Store Name]] &amp; " - " &amp; Table3[[#This Row],[Store Branch / Address]]</f>
        <v>TIONG BAHRU PHILIPPINES INC - TIONG BAHRU - GENERIC</v>
      </c>
      <c r="B446" t="str">
        <f>Table3[[#This Row],[Client ID]] &amp; " - " &amp; Table3[[#This Row],[SO Number]]</f>
        <v>TIONG BAHRU PHILIPPINES INC - TIONG BAHRU - GENERIC - SO-018</v>
      </c>
      <c r="C446" t="s">
        <v>155</v>
      </c>
      <c r="D446" t="s">
        <v>1022</v>
      </c>
      <c r="E446" t="s">
        <v>1023</v>
      </c>
      <c r="F446" t="s">
        <v>15</v>
      </c>
      <c r="G446" t="s">
        <v>1024</v>
      </c>
      <c r="H446" t="s">
        <v>352</v>
      </c>
      <c r="I446" t="s">
        <v>25</v>
      </c>
      <c r="J446">
        <v>1</v>
      </c>
      <c r="K446">
        <v>3325</v>
      </c>
      <c r="L446">
        <v>9500</v>
      </c>
      <c r="M446">
        <v>9500</v>
      </c>
      <c r="N446" t="s">
        <v>19</v>
      </c>
    </row>
    <row r="447" spans="1:14" x14ac:dyDescent="0.25">
      <c r="A447" t="str">
        <f>Table3[[#This Row],[Company Name]] &amp; " - " &amp; Table3[[#This Row],[Store Name]] &amp; " - " &amp; Table3[[#This Row],[Store Branch / Address]]</f>
        <v>TIONG BAHRU PHILIPPINES INC - TIONG BAHRU - GENERIC</v>
      </c>
      <c r="B447" t="str">
        <f>Table3[[#This Row],[Client ID]] &amp; " - " &amp; Table3[[#This Row],[SO Number]]</f>
        <v>TIONG BAHRU PHILIPPINES INC - TIONG BAHRU - GENERIC - SO-018</v>
      </c>
      <c r="C447" t="s">
        <v>155</v>
      </c>
      <c r="D447" t="s">
        <v>1022</v>
      </c>
      <c r="E447" t="s">
        <v>1023</v>
      </c>
      <c r="F447" t="s">
        <v>15</v>
      </c>
      <c r="G447" t="s">
        <v>1024</v>
      </c>
      <c r="H447" t="s">
        <v>352</v>
      </c>
      <c r="I447" t="s">
        <v>24</v>
      </c>
      <c r="J447">
        <v>1</v>
      </c>
      <c r="K447">
        <v>3325</v>
      </c>
      <c r="L447">
        <v>9500</v>
      </c>
      <c r="M447">
        <v>9500</v>
      </c>
      <c r="N447" t="s">
        <v>19</v>
      </c>
    </row>
    <row r="448" spans="1:14" x14ac:dyDescent="0.25">
      <c r="A448" t="str">
        <f>Table3[[#This Row],[Company Name]] &amp; " - " &amp; Table3[[#This Row],[Store Name]] &amp; " - " &amp; Table3[[#This Row],[Store Branch / Address]]</f>
        <v>TIONG BAHRU PHILIPPINES INC - TIONG BAHRU - GENERIC</v>
      </c>
      <c r="B448" t="str">
        <f>Table3[[#This Row],[Client ID]] &amp; " - " &amp; Table3[[#This Row],[SO Number]]</f>
        <v>TIONG BAHRU PHILIPPINES INC - TIONG BAHRU - GENERIC - SO-018</v>
      </c>
      <c r="C448" t="s">
        <v>155</v>
      </c>
      <c r="D448" t="s">
        <v>1022</v>
      </c>
      <c r="E448" t="s">
        <v>1023</v>
      </c>
      <c r="F448" t="s">
        <v>15</v>
      </c>
      <c r="G448" t="s">
        <v>1024</v>
      </c>
      <c r="H448" t="s">
        <v>352</v>
      </c>
      <c r="I448" t="s">
        <v>26</v>
      </c>
      <c r="J448">
        <v>1</v>
      </c>
      <c r="K448">
        <v>500</v>
      </c>
      <c r="L448">
        <v>500</v>
      </c>
      <c r="M448">
        <v>500</v>
      </c>
      <c r="N448" t="s">
        <v>19</v>
      </c>
    </row>
    <row r="449" spans="1:14" x14ac:dyDescent="0.25">
      <c r="A449" t="str">
        <f>Table3[[#This Row],[Company Name]] &amp; " - " &amp; Table3[[#This Row],[Store Name]] &amp; " - " &amp; Table3[[#This Row],[Store Branch / Address]]</f>
        <v>TIONG BAHRU PHILIPPINES INC - TIONG BAHRU - GENERIC</v>
      </c>
      <c r="B449" t="str">
        <f>Table3[[#This Row],[Client ID]] &amp; " - " &amp; Table3[[#This Row],[SO Number]]</f>
        <v>TIONG BAHRU PHILIPPINES INC - TIONG BAHRU - GENERIC - SO-018</v>
      </c>
      <c r="C449" t="s">
        <v>155</v>
      </c>
      <c r="D449" t="s">
        <v>1022</v>
      </c>
      <c r="E449" t="s">
        <v>1023</v>
      </c>
      <c r="F449" t="s">
        <v>15</v>
      </c>
      <c r="G449" t="s">
        <v>1024</v>
      </c>
      <c r="H449" t="s">
        <v>352</v>
      </c>
      <c r="I449" t="s">
        <v>97</v>
      </c>
      <c r="J449">
        <v>2</v>
      </c>
      <c r="K449">
        <v>2200</v>
      </c>
      <c r="L449">
        <v>3500</v>
      </c>
      <c r="M449">
        <v>7000</v>
      </c>
      <c r="N449" t="s">
        <v>19</v>
      </c>
    </row>
    <row r="450" spans="1:14" x14ac:dyDescent="0.25">
      <c r="A450" t="str">
        <f>Table3[[#This Row],[Company Name]] &amp; " - " &amp; Table3[[#This Row],[Store Name]] &amp; " - " &amp; Table3[[#This Row],[Store Branch / Address]]</f>
        <v>TIONG BAHRU PHILIPPINES INC - TIONG BAHRU - GENERIC</v>
      </c>
      <c r="B450" t="str">
        <f>Table3[[#This Row],[Client ID]] &amp; " - " &amp; Table3[[#This Row],[SO Number]]</f>
        <v>TIONG BAHRU PHILIPPINES INC - TIONG BAHRU - GENERIC - SO-018</v>
      </c>
      <c r="C450" t="s">
        <v>155</v>
      </c>
      <c r="D450" t="s">
        <v>1022</v>
      </c>
      <c r="E450" t="s">
        <v>1023</v>
      </c>
      <c r="F450" t="s">
        <v>15</v>
      </c>
      <c r="G450" t="s">
        <v>1024</v>
      </c>
      <c r="H450" t="s">
        <v>352</v>
      </c>
      <c r="I450" t="s">
        <v>1045</v>
      </c>
      <c r="J450">
        <v>1</v>
      </c>
      <c r="K450">
        <v>11000</v>
      </c>
      <c r="L450">
        <v>15500</v>
      </c>
      <c r="M450">
        <v>15500</v>
      </c>
      <c r="N450" t="s">
        <v>19</v>
      </c>
    </row>
    <row r="451" spans="1:14" x14ac:dyDescent="0.25">
      <c r="A451" t="str">
        <f>Table3[[#This Row],[Company Name]] &amp; " - " &amp; Table3[[#This Row],[Store Name]] &amp; " - " &amp; Table3[[#This Row],[Store Branch / Address]]</f>
        <v>TIONG BAHRU PHILIPPINES INC - TIONG BAHRU - GENERIC</v>
      </c>
      <c r="B451" t="str">
        <f>Table3[[#This Row],[Client ID]] &amp; " - " &amp; Table3[[#This Row],[SO Number]]</f>
        <v>TIONG BAHRU PHILIPPINES INC - TIONG BAHRU - GENERIC - SO-018</v>
      </c>
      <c r="C451" t="s">
        <v>155</v>
      </c>
      <c r="D451" t="s">
        <v>1022</v>
      </c>
      <c r="E451" t="s">
        <v>1023</v>
      </c>
      <c r="F451" t="s">
        <v>15</v>
      </c>
      <c r="G451" t="s">
        <v>1024</v>
      </c>
      <c r="H451" t="s">
        <v>352</v>
      </c>
      <c r="I451" t="s">
        <v>127</v>
      </c>
      <c r="J451">
        <v>1</v>
      </c>
      <c r="K451">
        <v>6825</v>
      </c>
      <c r="L451">
        <v>19500</v>
      </c>
      <c r="M451">
        <v>19500</v>
      </c>
      <c r="N451" t="s">
        <v>19</v>
      </c>
    </row>
    <row r="452" spans="1:14" x14ac:dyDescent="0.25">
      <c r="A452" t="str">
        <f>Table3[[#This Row],[Company Name]] &amp; " - " &amp; Table3[[#This Row],[Store Name]] &amp; " - " &amp; Table3[[#This Row],[Store Branch / Address]]</f>
        <v>TIONG BAHRU PHILIPPINES INC - TIONG BAHRU - GENERIC</v>
      </c>
      <c r="B452" t="str">
        <f>Table3[[#This Row],[Client ID]] &amp; " - " &amp; Table3[[#This Row],[SO Number]]</f>
        <v>TIONG BAHRU PHILIPPINES INC - TIONG BAHRU - GENERIC - SO-018</v>
      </c>
      <c r="C452" t="s">
        <v>155</v>
      </c>
      <c r="D452" t="s">
        <v>1022</v>
      </c>
      <c r="E452" t="s">
        <v>1023</v>
      </c>
      <c r="F452" t="s">
        <v>15</v>
      </c>
      <c r="G452" t="s">
        <v>1024</v>
      </c>
      <c r="H452" t="s">
        <v>352</v>
      </c>
      <c r="I452" t="s">
        <v>63</v>
      </c>
      <c r="J452">
        <v>1</v>
      </c>
      <c r="K452">
        <v>500</v>
      </c>
      <c r="L452">
        <v>500</v>
      </c>
      <c r="M452">
        <v>500</v>
      </c>
      <c r="N452" t="s">
        <v>19</v>
      </c>
    </row>
    <row r="453" spans="1:14" x14ac:dyDescent="0.25">
      <c r="A453" t="str">
        <f>Table3[[#This Row],[Company Name]] &amp; " - " &amp; Table3[[#This Row],[Store Name]] &amp; " - " &amp; Table3[[#This Row],[Store Branch / Address]]</f>
        <v>TIONG BAHRU PHILIPPINES INC - TIONG BAHRU - GENERIC</v>
      </c>
      <c r="B453" t="str">
        <f>Table3[[#This Row],[Client ID]] &amp; " - " &amp; Table3[[#This Row],[SO Number]]</f>
        <v>TIONG BAHRU PHILIPPINES INC - TIONG BAHRU - GENERIC - SO-019</v>
      </c>
      <c r="C453" t="s">
        <v>162</v>
      </c>
      <c r="D453" t="s">
        <v>1022</v>
      </c>
      <c r="E453" t="s">
        <v>1023</v>
      </c>
      <c r="F453" t="s">
        <v>15</v>
      </c>
      <c r="G453" t="s">
        <v>1024</v>
      </c>
      <c r="H453" t="s">
        <v>352</v>
      </c>
      <c r="I453" t="s">
        <v>47</v>
      </c>
      <c r="J453">
        <v>1</v>
      </c>
      <c r="K453">
        <v>3675</v>
      </c>
      <c r="L453">
        <v>10500</v>
      </c>
      <c r="M453">
        <v>10500</v>
      </c>
      <c r="N453" t="s">
        <v>19</v>
      </c>
    </row>
    <row r="454" spans="1:14" x14ac:dyDescent="0.25">
      <c r="A454" t="str">
        <f>Table3[[#This Row],[Company Name]] &amp; " - " &amp; Table3[[#This Row],[Store Name]] &amp; " - " &amp; Table3[[#This Row],[Store Branch / Address]]</f>
        <v>TIONG BAHRU PHILIPPINES INC - TIONG BAHRU - GENERIC</v>
      </c>
      <c r="B454" t="str">
        <f>Table3[[#This Row],[Client ID]] &amp; " - " &amp; Table3[[#This Row],[SO Number]]</f>
        <v>TIONG BAHRU PHILIPPINES INC - TIONG BAHRU - GENERIC - SO-019</v>
      </c>
      <c r="C454" t="s">
        <v>162</v>
      </c>
      <c r="D454" t="s">
        <v>1022</v>
      </c>
      <c r="E454" t="s">
        <v>1023</v>
      </c>
      <c r="F454" t="s">
        <v>15</v>
      </c>
      <c r="G454" t="s">
        <v>1024</v>
      </c>
      <c r="H454" t="s">
        <v>352</v>
      </c>
      <c r="I454" t="s">
        <v>25</v>
      </c>
      <c r="J454">
        <v>1</v>
      </c>
      <c r="K454">
        <v>3325</v>
      </c>
      <c r="L454">
        <v>9500</v>
      </c>
      <c r="M454">
        <v>9500</v>
      </c>
      <c r="N454" t="s">
        <v>19</v>
      </c>
    </row>
    <row r="455" spans="1:14" x14ac:dyDescent="0.25">
      <c r="A455" t="str">
        <f>Table3[[#This Row],[Company Name]] &amp; " - " &amp; Table3[[#This Row],[Store Name]] &amp; " - " &amp; Table3[[#This Row],[Store Branch / Address]]</f>
        <v>TIONG BAHRU PHILIPPINES INC - TIONG BAHRU - GENERIC</v>
      </c>
      <c r="B455" t="str">
        <f>Table3[[#This Row],[Client ID]] &amp; " - " &amp; Table3[[#This Row],[SO Number]]</f>
        <v>TIONG BAHRU PHILIPPINES INC - TIONG BAHRU - GENERIC - SO-019</v>
      </c>
      <c r="C455" t="s">
        <v>162</v>
      </c>
      <c r="D455" t="s">
        <v>1022</v>
      </c>
      <c r="E455" t="s">
        <v>1023</v>
      </c>
      <c r="F455" t="s">
        <v>15</v>
      </c>
      <c r="G455" t="s">
        <v>1024</v>
      </c>
      <c r="H455" t="s">
        <v>352</v>
      </c>
      <c r="I455" t="s">
        <v>24</v>
      </c>
      <c r="J455">
        <v>1</v>
      </c>
      <c r="K455">
        <v>3325</v>
      </c>
      <c r="L455">
        <v>9500</v>
      </c>
      <c r="M455">
        <v>9500</v>
      </c>
      <c r="N455" t="s">
        <v>19</v>
      </c>
    </row>
    <row r="456" spans="1:14" x14ac:dyDescent="0.25">
      <c r="A456" t="str">
        <f>Table3[[#This Row],[Company Name]] &amp; " - " &amp; Table3[[#This Row],[Store Name]] &amp; " - " &amp; Table3[[#This Row],[Store Branch / Address]]</f>
        <v>TIONG BAHRU PHILIPPINES INC - TIONG BAHRU - GENERIC</v>
      </c>
      <c r="B456" t="str">
        <f>Table3[[#This Row],[Client ID]] &amp; " - " &amp; Table3[[#This Row],[SO Number]]</f>
        <v>TIONG BAHRU PHILIPPINES INC - TIONG BAHRU - GENERIC - SO-019</v>
      </c>
      <c r="C456" t="s">
        <v>162</v>
      </c>
      <c r="D456" t="s">
        <v>1022</v>
      </c>
      <c r="E456" t="s">
        <v>1023</v>
      </c>
      <c r="F456" t="s">
        <v>15</v>
      </c>
      <c r="G456" t="s">
        <v>1024</v>
      </c>
      <c r="H456" t="s">
        <v>352</v>
      </c>
      <c r="I456" t="s">
        <v>26</v>
      </c>
      <c r="J456">
        <v>1</v>
      </c>
      <c r="K456">
        <v>500</v>
      </c>
      <c r="L456">
        <v>500</v>
      </c>
      <c r="M456">
        <v>500</v>
      </c>
      <c r="N456" t="s">
        <v>19</v>
      </c>
    </row>
    <row r="457" spans="1:14" x14ac:dyDescent="0.25">
      <c r="A457" t="str">
        <f>Table3[[#This Row],[Company Name]] &amp; " - " &amp; Table3[[#This Row],[Store Name]] &amp; " - " &amp; Table3[[#This Row],[Store Branch / Address]]</f>
        <v>TIONG BAHRU PHILIPPINES INC - TIONG BAHRU - GENERIC</v>
      </c>
      <c r="B457" t="str">
        <f>Table3[[#This Row],[Client ID]] &amp; " - " &amp; Table3[[#This Row],[SO Number]]</f>
        <v>TIONG BAHRU PHILIPPINES INC - TIONG BAHRU - GENERIC - SO-019</v>
      </c>
      <c r="C457" t="s">
        <v>162</v>
      </c>
      <c r="D457" t="s">
        <v>1022</v>
      </c>
      <c r="E457" t="s">
        <v>1023</v>
      </c>
      <c r="F457" t="s">
        <v>15</v>
      </c>
      <c r="G457" t="s">
        <v>1024</v>
      </c>
      <c r="H457" t="s">
        <v>352</v>
      </c>
      <c r="I457" t="s">
        <v>97</v>
      </c>
      <c r="J457">
        <v>1</v>
      </c>
      <c r="K457">
        <v>2200</v>
      </c>
      <c r="L457">
        <v>3000</v>
      </c>
      <c r="M457">
        <v>3000</v>
      </c>
      <c r="N457" t="s">
        <v>19</v>
      </c>
    </row>
    <row r="458" spans="1:14" x14ac:dyDescent="0.25">
      <c r="A458" t="str">
        <f>Table3[[#This Row],[Company Name]] &amp; " - " &amp; Table3[[#This Row],[Store Name]] &amp; " - " &amp; Table3[[#This Row],[Store Branch / Address]]</f>
        <v>TIONG BAHRU PHILIPPINES INC - TIONG BAHRU - GENERIC</v>
      </c>
      <c r="B458" t="str">
        <f>Table3[[#This Row],[Client ID]] &amp; " - " &amp; Table3[[#This Row],[SO Number]]</f>
        <v>TIONG BAHRU PHILIPPINES INC - TIONG BAHRU - GENERIC - SO-019</v>
      </c>
      <c r="C458" t="s">
        <v>162</v>
      </c>
      <c r="D458" t="s">
        <v>1022</v>
      </c>
      <c r="E458" t="s">
        <v>1023</v>
      </c>
      <c r="F458" t="s">
        <v>15</v>
      </c>
      <c r="G458" t="s">
        <v>1024</v>
      </c>
      <c r="H458" t="s">
        <v>352</v>
      </c>
      <c r="I458" t="s">
        <v>63</v>
      </c>
      <c r="J458">
        <v>1</v>
      </c>
      <c r="K458">
        <v>500</v>
      </c>
      <c r="L458">
        <v>500</v>
      </c>
      <c r="M458">
        <v>500</v>
      </c>
      <c r="N458" t="s">
        <v>19</v>
      </c>
    </row>
    <row r="459" spans="1:14" x14ac:dyDescent="0.25">
      <c r="A459" t="str">
        <f>Table3[[#This Row],[Company Name]] &amp; " - " &amp; Table3[[#This Row],[Store Name]] &amp; " - " &amp; Table3[[#This Row],[Store Branch / Address]]</f>
        <v>LEAL JESSICA JOYCE LAO - SHOP SAMAHAN - AYALA MALLS CAPITOL CENTRAL BACOLOD</v>
      </c>
      <c r="B459" t="str">
        <f>Table3[[#This Row],[Client ID]] &amp; " - " &amp; Table3[[#This Row],[SO Number]]</f>
        <v>LEAL JESSICA JOYCE LAO - SHOP SAMAHAN - AYALA MALLS CAPITOL CENTRAL BACOLOD - SO-020</v>
      </c>
      <c r="C459" t="s">
        <v>172</v>
      </c>
      <c r="D459" t="s">
        <v>1052</v>
      </c>
      <c r="E459" t="s">
        <v>1053</v>
      </c>
      <c r="F459" t="s">
        <v>1054</v>
      </c>
      <c r="G459" t="s">
        <v>1024</v>
      </c>
      <c r="H459" t="s">
        <v>352</v>
      </c>
      <c r="I459" t="s">
        <v>1009</v>
      </c>
      <c r="J459">
        <v>1</v>
      </c>
      <c r="K459">
        <v>3500</v>
      </c>
      <c r="L459">
        <v>10000</v>
      </c>
      <c r="M459">
        <v>10000</v>
      </c>
      <c r="N459" t="s">
        <v>1010</v>
      </c>
    </row>
    <row r="460" spans="1:14" x14ac:dyDescent="0.25">
      <c r="A460" t="str">
        <f>Table3[[#This Row],[Company Name]] &amp; " - " &amp; Table3[[#This Row],[Store Name]] &amp; " - " &amp; Table3[[#This Row],[Store Branch / Address]]</f>
        <v>LEAL JESSICA JOYCE LAO - SHOP SAMAHAN - AYALA MALLS CAPITOL CENTRAL BACOLOD</v>
      </c>
      <c r="B460" t="str">
        <f>Table3[[#This Row],[Client ID]] &amp; " - " &amp; Table3[[#This Row],[SO Number]]</f>
        <v>LEAL JESSICA JOYCE LAO - SHOP SAMAHAN - AYALA MALLS CAPITOL CENTRAL BACOLOD - SO-020</v>
      </c>
      <c r="C460" t="s">
        <v>172</v>
      </c>
      <c r="D460" t="s">
        <v>1052</v>
      </c>
      <c r="E460" t="s">
        <v>1053</v>
      </c>
      <c r="F460" t="s">
        <v>1054</v>
      </c>
      <c r="G460" t="s">
        <v>1024</v>
      </c>
      <c r="H460" t="s">
        <v>352</v>
      </c>
      <c r="I460" t="s">
        <v>1011</v>
      </c>
      <c r="J460">
        <v>1</v>
      </c>
      <c r="K460">
        <v>4200</v>
      </c>
      <c r="L460">
        <v>12000</v>
      </c>
      <c r="M460">
        <v>12000</v>
      </c>
      <c r="N460" t="s">
        <v>1010</v>
      </c>
    </row>
    <row r="461" spans="1:14" x14ac:dyDescent="0.25">
      <c r="A461" t="str">
        <f>Table3[[#This Row],[Company Name]] &amp; " - " &amp; Table3[[#This Row],[Store Name]] &amp; " - " &amp; Table3[[#This Row],[Store Branch / Address]]</f>
        <v>LEAL JESSICA JOYCE LAO - SHOP SAMAHAN - AYALA MALLS CAPITOL CENTRAL BACOLOD</v>
      </c>
      <c r="B461" t="str">
        <f>Table3[[#This Row],[Client ID]] &amp; " - " &amp; Table3[[#This Row],[SO Number]]</f>
        <v>LEAL JESSICA JOYCE LAO - SHOP SAMAHAN - AYALA MALLS CAPITOL CENTRAL BACOLOD - SO-020</v>
      </c>
      <c r="C461" t="s">
        <v>172</v>
      </c>
      <c r="D461" t="s">
        <v>1052</v>
      </c>
      <c r="E461" t="s">
        <v>1053</v>
      </c>
      <c r="F461" t="s">
        <v>1054</v>
      </c>
      <c r="G461" t="s">
        <v>1024</v>
      </c>
      <c r="H461" t="s">
        <v>352</v>
      </c>
      <c r="I461" t="s">
        <v>24</v>
      </c>
      <c r="J461">
        <v>1</v>
      </c>
      <c r="K461">
        <v>4200</v>
      </c>
      <c r="L461">
        <v>12000</v>
      </c>
      <c r="M461">
        <v>12000</v>
      </c>
      <c r="N461" t="s">
        <v>1010</v>
      </c>
    </row>
    <row r="462" spans="1:14" x14ac:dyDescent="0.25">
      <c r="A462" t="str">
        <f>Table3[[#This Row],[Company Name]] &amp; " - " &amp; Table3[[#This Row],[Store Name]] &amp; " - " &amp; Table3[[#This Row],[Store Branch / Address]]</f>
        <v>LEAL JESSICA JOYCE LAO - SHOP SAMAHAN - AYALA MALLS CAPITOL CENTRAL BACOLOD</v>
      </c>
      <c r="B462" t="str">
        <f>Table3[[#This Row],[Client ID]] &amp; " - " &amp; Table3[[#This Row],[SO Number]]</f>
        <v>LEAL JESSICA JOYCE LAO - SHOP SAMAHAN - AYALA MALLS CAPITOL CENTRAL BACOLOD - SO-020</v>
      </c>
      <c r="C462" t="s">
        <v>172</v>
      </c>
      <c r="D462" t="s">
        <v>1052</v>
      </c>
      <c r="E462" t="s">
        <v>1053</v>
      </c>
      <c r="F462" t="s">
        <v>1054</v>
      </c>
      <c r="G462" t="s">
        <v>1024</v>
      </c>
      <c r="H462" t="s">
        <v>352</v>
      </c>
      <c r="I462" t="s">
        <v>26</v>
      </c>
      <c r="J462">
        <v>1</v>
      </c>
      <c r="K462">
        <v>500</v>
      </c>
      <c r="L462">
        <v>1000</v>
      </c>
      <c r="M462">
        <v>1000</v>
      </c>
      <c r="N462" t="s">
        <v>1010</v>
      </c>
    </row>
    <row r="463" spans="1:14" x14ac:dyDescent="0.25">
      <c r="A463" t="str">
        <f>Table3[[#This Row],[Company Name]] &amp; " - " &amp; Table3[[#This Row],[Store Name]] &amp; " - " &amp; Table3[[#This Row],[Store Branch / Address]]</f>
        <v>LEAL JESSICA JOYCE LAO - SHOP SAMAHAN - AYALA MALLS CAPITOL CENTRAL BACOLOD</v>
      </c>
      <c r="B463" t="str">
        <f>Table3[[#This Row],[Client ID]] &amp; " - " &amp; Table3[[#This Row],[SO Number]]</f>
        <v>LEAL JESSICA JOYCE LAO - SHOP SAMAHAN - AYALA MALLS CAPITOL CENTRAL BACOLOD - SO-020</v>
      </c>
      <c r="C463" t="s">
        <v>172</v>
      </c>
      <c r="D463" t="s">
        <v>1052</v>
      </c>
      <c r="E463" t="s">
        <v>1053</v>
      </c>
      <c r="F463" t="s">
        <v>1054</v>
      </c>
      <c r="G463" t="s">
        <v>1024</v>
      </c>
      <c r="H463" t="s">
        <v>352</v>
      </c>
      <c r="I463" t="s">
        <v>331</v>
      </c>
      <c r="J463">
        <v>1</v>
      </c>
      <c r="K463">
        <v>3500</v>
      </c>
      <c r="L463">
        <v>5000</v>
      </c>
      <c r="M463">
        <v>5000</v>
      </c>
      <c r="N463" t="s">
        <v>1010</v>
      </c>
    </row>
    <row r="464" spans="1:14" x14ac:dyDescent="0.25">
      <c r="A464" t="str">
        <f>Table3[[#This Row],[Company Name]] &amp; " - " &amp; Table3[[#This Row],[Store Name]] &amp; " - " &amp; Table3[[#This Row],[Store Branch / Address]]</f>
        <v>ARTWORK INCORPORATED - ARTWORK INCORPORATED - GENERIC</v>
      </c>
      <c r="B464" t="str">
        <f>Table3[[#This Row],[Client ID]] &amp; " - " &amp; Table3[[#This Row],[SO Number]]</f>
        <v>ARTWORK INCORPORATED - ARTWORK INCORPORATED - GENERIC - SO-033</v>
      </c>
      <c r="C464" t="s">
        <v>255</v>
      </c>
      <c r="D464" t="s">
        <v>256</v>
      </c>
      <c r="E464" t="s">
        <v>256</v>
      </c>
      <c r="F464" t="s">
        <v>15</v>
      </c>
      <c r="G464" t="s">
        <v>22</v>
      </c>
      <c r="H464" t="s">
        <v>257</v>
      </c>
      <c r="I464" t="s">
        <v>258</v>
      </c>
      <c r="J464">
        <v>19</v>
      </c>
      <c r="K464">
        <v>8000</v>
      </c>
      <c r="L464">
        <v>8000</v>
      </c>
      <c r="M464">
        <v>152000</v>
      </c>
      <c r="N464" t="s">
        <v>39</v>
      </c>
    </row>
    <row r="465" spans="1:14" x14ac:dyDescent="0.25">
      <c r="A465" t="str">
        <f>Table3[[#This Row],[Company Name]] &amp; " - " &amp; Table3[[#This Row],[Store Name]] &amp; " - " &amp; Table3[[#This Row],[Store Branch / Address]]</f>
        <v>SERENITEA CO - SERENITEA - ES:</v>
      </c>
      <c r="B465" t="str">
        <f>Table3[[#This Row],[Client ID]] &amp; " - " &amp; Table3[[#This Row],[SO Number]]</f>
        <v>SERENITEA CO - SERENITEA - ES: - SO-034</v>
      </c>
      <c r="C465" t="s">
        <v>262</v>
      </c>
      <c r="D465" t="s">
        <v>265</v>
      </c>
      <c r="E465" t="s">
        <v>239</v>
      </c>
      <c r="F465" t="s">
        <v>266</v>
      </c>
      <c r="G465" t="s">
        <v>16</v>
      </c>
      <c r="H465" t="s">
        <v>257</v>
      </c>
      <c r="I465" t="s">
        <v>267</v>
      </c>
      <c r="J465">
        <v>2</v>
      </c>
      <c r="K465">
        <v>10000</v>
      </c>
      <c r="L465">
        <v>10000</v>
      </c>
      <c r="M465">
        <v>20000</v>
      </c>
      <c r="N465" t="s">
        <v>19</v>
      </c>
    </row>
    <row r="466" spans="1:14" x14ac:dyDescent="0.25">
      <c r="A466" t="str">
        <f>Table3[[#This Row],[Company Name]] &amp; " - " &amp; Table3[[#This Row],[Store Name]] &amp; " - " &amp; Table3[[#This Row],[Store Branch / Address]]</f>
        <v>ALI SHAN TEA CORP - SERENITEA - ES:</v>
      </c>
      <c r="B466" t="str">
        <f>Table3[[#This Row],[Client ID]] &amp; " - " &amp; Table3[[#This Row],[SO Number]]</f>
        <v>ALI SHAN TEA CORP - SERENITEA - ES: - SO-035</v>
      </c>
      <c r="C466" t="s">
        <v>268</v>
      </c>
      <c r="D466" t="s">
        <v>269</v>
      </c>
      <c r="E466" t="s">
        <v>239</v>
      </c>
      <c r="F466" t="s">
        <v>266</v>
      </c>
      <c r="G466" t="s">
        <v>16</v>
      </c>
      <c r="H466" t="s">
        <v>257</v>
      </c>
      <c r="I466" t="s">
        <v>267</v>
      </c>
      <c r="J466">
        <v>3</v>
      </c>
      <c r="K466">
        <v>10000</v>
      </c>
      <c r="L466">
        <v>10000</v>
      </c>
      <c r="M466">
        <v>30000</v>
      </c>
      <c r="N466" t="s">
        <v>19</v>
      </c>
    </row>
    <row r="467" spans="1:14" x14ac:dyDescent="0.25">
      <c r="A467" t="str">
        <f>Table3[[#This Row],[Company Name]] &amp; " - " &amp; Table3[[#This Row],[Store Name]] &amp; " - " &amp; Table3[[#This Row],[Store Branch / Address]]</f>
        <v>DRAGONWELL TEA INC - SERENITEA - ES:</v>
      </c>
      <c r="B467" t="str">
        <f>Table3[[#This Row],[Client ID]] &amp; " - " &amp; Table3[[#This Row],[SO Number]]</f>
        <v>DRAGONWELL TEA INC - SERENITEA - ES: - SO-036</v>
      </c>
      <c r="C467" t="s">
        <v>272</v>
      </c>
      <c r="D467" t="s">
        <v>238</v>
      </c>
      <c r="E467" t="s">
        <v>239</v>
      </c>
      <c r="F467" t="s">
        <v>266</v>
      </c>
      <c r="G467" t="s">
        <v>16</v>
      </c>
      <c r="H467" t="s">
        <v>257</v>
      </c>
      <c r="I467" t="s">
        <v>267</v>
      </c>
      <c r="J467">
        <v>3</v>
      </c>
      <c r="K467">
        <v>10000</v>
      </c>
      <c r="L467">
        <v>10000</v>
      </c>
      <c r="M467">
        <v>30000</v>
      </c>
      <c r="N467" t="s">
        <v>19</v>
      </c>
    </row>
    <row r="468" spans="1:14" x14ac:dyDescent="0.25">
      <c r="A468" t="str">
        <f>Table3[[#This Row],[Company Name]] &amp; " - " &amp; Table3[[#This Row],[Store Name]] &amp; " - " &amp; Table3[[#This Row],[Store Branch / Address]]</f>
        <v>JASMINE BLOOM TEA INC - SERENITEA - ES:</v>
      </c>
      <c r="B468" t="str">
        <f>Table3[[#This Row],[Client ID]] &amp; " - " &amp; Table3[[#This Row],[SO Number]]</f>
        <v>JASMINE BLOOM TEA INC - SERENITEA - ES: - SO-037</v>
      </c>
      <c r="C468" t="s">
        <v>274</v>
      </c>
      <c r="D468" t="s">
        <v>253</v>
      </c>
      <c r="E468" t="s">
        <v>239</v>
      </c>
      <c r="F468" t="s">
        <v>266</v>
      </c>
      <c r="G468" t="s">
        <v>16</v>
      </c>
      <c r="H468" t="s">
        <v>257</v>
      </c>
      <c r="I468" t="s">
        <v>267</v>
      </c>
      <c r="J468">
        <v>4</v>
      </c>
      <c r="K468">
        <v>10000</v>
      </c>
      <c r="L468">
        <v>10000</v>
      </c>
      <c r="M468">
        <v>40000</v>
      </c>
      <c r="N468" t="s">
        <v>19</v>
      </c>
    </row>
    <row r="469" spans="1:14" x14ac:dyDescent="0.25">
      <c r="A469" t="str">
        <f>Table3[[#This Row],[Company Name]] &amp; " - " &amp; Table3[[#This Row],[Store Name]] &amp; " - " &amp; Table3[[#This Row],[Store Branch / Address]]</f>
        <v>HUZZAH - HUZZAH - GENERIC</v>
      </c>
      <c r="B469" t="str">
        <f>Table3[[#This Row],[Client ID]] &amp; " - " &amp; Table3[[#This Row],[SO Number]]</f>
        <v>HUZZAH - HUZZAH - GENERIC - SO-038</v>
      </c>
      <c r="C469" t="s">
        <v>276</v>
      </c>
      <c r="D469" t="s">
        <v>87</v>
      </c>
      <c r="E469" t="s">
        <v>87</v>
      </c>
      <c r="F469" t="s">
        <v>15</v>
      </c>
      <c r="G469" t="s">
        <v>37</v>
      </c>
      <c r="H469" t="s">
        <v>257</v>
      </c>
      <c r="I469" t="s">
        <v>89</v>
      </c>
      <c r="J469">
        <v>50</v>
      </c>
      <c r="K469">
        <v>32</v>
      </c>
      <c r="L469">
        <v>50</v>
      </c>
      <c r="M469">
        <v>2500</v>
      </c>
      <c r="N469" t="s">
        <v>39</v>
      </c>
    </row>
    <row r="470" spans="1:14" x14ac:dyDescent="0.25">
      <c r="A470" t="str">
        <f>Table3[[#This Row],[Company Name]] &amp; " - " &amp; Table3[[#This Row],[Store Name]] &amp; " - " &amp; Table3[[#This Row],[Store Branch / Address]]</f>
        <v>FEDERAL PROTECTION SYSTEMS INC - INST.OF CULINARY MNGT.INC. - GENERIC</v>
      </c>
      <c r="B470" t="str">
        <f>Table3[[#This Row],[Client ID]] &amp; " - " &amp; Table3[[#This Row],[SO Number]]</f>
        <v>FEDERAL PROTECTION SYSTEMS INC - INST.OF CULINARY MNGT.INC. - GENERIC - SO-056</v>
      </c>
      <c r="C470" t="s">
        <v>369</v>
      </c>
      <c r="D470" t="s">
        <v>204</v>
      </c>
      <c r="E470" t="s">
        <v>205</v>
      </c>
      <c r="F470" t="s">
        <v>15</v>
      </c>
      <c r="G470" t="s">
        <v>22</v>
      </c>
      <c r="H470" t="s">
        <v>372</v>
      </c>
      <c r="I470" t="s">
        <v>373</v>
      </c>
      <c r="J470">
        <v>2</v>
      </c>
      <c r="K470">
        <v>10000</v>
      </c>
      <c r="L470">
        <v>10000</v>
      </c>
      <c r="M470">
        <v>20000</v>
      </c>
      <c r="N470" t="s">
        <v>19</v>
      </c>
    </row>
    <row r="471" spans="1:14" x14ac:dyDescent="0.25">
      <c r="A471" t="str">
        <f>Table3[[#This Row],[Company Name]] &amp; " - " &amp; Table3[[#This Row],[Store Name]] &amp; " - " &amp; Table3[[#This Row],[Store Branch / Address]]</f>
        <v>FEDERAL PROTECTION SYSTEMS INC - INST.OF CULINARY MNGT.INC. - GENERIC</v>
      </c>
      <c r="B471" t="str">
        <f>Table3[[#This Row],[Client ID]] &amp; " - " &amp; Table3[[#This Row],[SO Number]]</f>
        <v>FEDERAL PROTECTION SYSTEMS INC - INST.OF CULINARY MNGT.INC. - GENERIC - SO-056</v>
      </c>
      <c r="C471" t="s">
        <v>369</v>
      </c>
      <c r="D471" t="s">
        <v>204</v>
      </c>
      <c r="E471" t="s">
        <v>205</v>
      </c>
      <c r="F471" t="s">
        <v>15</v>
      </c>
      <c r="G471" t="s">
        <v>22</v>
      </c>
      <c r="H471" t="s">
        <v>372</v>
      </c>
      <c r="I471" t="s">
        <v>374</v>
      </c>
      <c r="J471">
        <v>1</v>
      </c>
      <c r="K471">
        <v>24330</v>
      </c>
      <c r="L471">
        <v>35800</v>
      </c>
      <c r="M471">
        <v>35800</v>
      </c>
      <c r="N471" t="s">
        <v>19</v>
      </c>
    </row>
    <row r="472" spans="1:14" x14ac:dyDescent="0.25">
      <c r="A472" t="str">
        <f>Table3[[#This Row],[Company Name]] &amp; " - " &amp; Table3[[#This Row],[Store Name]] &amp; " - " &amp; Table3[[#This Row],[Store Branch / Address]]</f>
        <v>FEDERAL PROTECTION SYSTEMS INC - INST.OF CULINARY MNGT.INC. - GENERIC</v>
      </c>
      <c r="B472" t="str">
        <f>Table3[[#This Row],[Client ID]] &amp; " - " &amp; Table3[[#This Row],[SO Number]]</f>
        <v>FEDERAL PROTECTION SYSTEMS INC - INST.OF CULINARY MNGT.INC. - GENERIC - SO-056</v>
      </c>
      <c r="C472" t="s">
        <v>369</v>
      </c>
      <c r="D472" t="s">
        <v>204</v>
      </c>
      <c r="E472" t="s">
        <v>205</v>
      </c>
      <c r="F472" t="s">
        <v>15</v>
      </c>
      <c r="G472" t="s">
        <v>22</v>
      </c>
      <c r="H472" t="s">
        <v>372</v>
      </c>
      <c r="I472" t="s">
        <v>375</v>
      </c>
      <c r="J472">
        <v>1</v>
      </c>
      <c r="K472">
        <v>22000</v>
      </c>
      <c r="L472">
        <v>32700</v>
      </c>
      <c r="M472">
        <v>32700</v>
      </c>
      <c r="N472" t="s">
        <v>19</v>
      </c>
    </row>
    <row r="473" spans="1:14" x14ac:dyDescent="0.25">
      <c r="A473" t="str">
        <f>Table3[[#This Row],[Company Name]] &amp; " - " &amp; Table3[[#This Row],[Store Name]] &amp; " - " &amp; Table3[[#This Row],[Store Branch / Address]]</f>
        <v>FEDERAL PROTECTION SYSTEMS INC - INST.OF CULINARY MNGT.INC. - GENERIC</v>
      </c>
      <c r="B473" t="str">
        <f>Table3[[#This Row],[Client ID]] &amp; " - " &amp; Table3[[#This Row],[SO Number]]</f>
        <v>FEDERAL PROTECTION SYSTEMS INC - INST.OF CULINARY MNGT.INC. - GENERIC - SO-056</v>
      </c>
      <c r="C473" t="s">
        <v>369</v>
      </c>
      <c r="D473" t="s">
        <v>204</v>
      </c>
      <c r="E473" t="s">
        <v>205</v>
      </c>
      <c r="F473" t="s">
        <v>15</v>
      </c>
      <c r="G473" t="s">
        <v>22</v>
      </c>
      <c r="H473" t="s">
        <v>372</v>
      </c>
      <c r="I473" t="s">
        <v>376</v>
      </c>
      <c r="J473">
        <v>1</v>
      </c>
      <c r="K473">
        <v>500</v>
      </c>
      <c r="L473">
        <v>500</v>
      </c>
      <c r="M473">
        <v>500</v>
      </c>
      <c r="N473" t="s">
        <v>19</v>
      </c>
    </row>
    <row r="474" spans="1:14" x14ac:dyDescent="0.25">
      <c r="A474" t="str">
        <f>Table3[[#This Row],[Company Name]] &amp; " - " &amp; Table3[[#This Row],[Store Name]] &amp; " - " &amp; Table3[[#This Row],[Store Branch / Address]]</f>
        <v>CHICKEN DELI - SM MASINAG - GENERIC</v>
      </c>
      <c r="B474" t="str">
        <f>Table3[[#This Row],[Client ID]] &amp; " - " &amp; Table3[[#This Row],[SO Number]]</f>
        <v>CHICKEN DELI - SM MASINAG - GENERIC - SO-057</v>
      </c>
      <c r="C474" t="s">
        <v>377</v>
      </c>
      <c r="D474" t="s">
        <v>20</v>
      </c>
      <c r="E474" t="s">
        <v>379</v>
      </c>
      <c r="F474" t="s">
        <v>15</v>
      </c>
      <c r="G474" t="s">
        <v>22</v>
      </c>
      <c r="H474" t="s">
        <v>380</v>
      </c>
      <c r="I474" t="s">
        <v>381</v>
      </c>
      <c r="J474">
        <v>1</v>
      </c>
      <c r="K474">
        <v>17</v>
      </c>
      <c r="L474">
        <v>1250</v>
      </c>
      <c r="M474">
        <v>1250</v>
      </c>
      <c r="N474" t="s">
        <v>19</v>
      </c>
    </row>
    <row r="475" spans="1:14" x14ac:dyDescent="0.25">
      <c r="A475" t="str">
        <f>Table3[[#This Row],[Company Name]] &amp; " - " &amp; Table3[[#This Row],[Store Name]] &amp; " - " &amp; Table3[[#This Row],[Store Branch / Address]]</f>
        <v>CHICKEN DELI - LUCKY BEAUTY 2 - GENERIC</v>
      </c>
      <c r="B475" t="str">
        <f>Table3[[#This Row],[Client ID]] &amp; " - " &amp; Table3[[#This Row],[SO Number]]</f>
        <v>CHICKEN DELI - LUCKY BEAUTY 2 - GENERIC - SO-058</v>
      </c>
      <c r="C475" t="s">
        <v>382</v>
      </c>
      <c r="D475" t="s">
        <v>20</v>
      </c>
      <c r="E475" t="s">
        <v>252</v>
      </c>
      <c r="F475" t="s">
        <v>15</v>
      </c>
      <c r="G475" t="s">
        <v>22</v>
      </c>
      <c r="H475" t="s">
        <v>380</v>
      </c>
      <c r="I475" t="s">
        <v>385</v>
      </c>
      <c r="J475">
        <v>30</v>
      </c>
      <c r="K475">
        <v>960</v>
      </c>
      <c r="L475">
        <v>1500</v>
      </c>
      <c r="M475">
        <v>45000</v>
      </c>
      <c r="N475" t="s">
        <v>19</v>
      </c>
    </row>
    <row r="476" spans="1:14" x14ac:dyDescent="0.25">
      <c r="A476" t="str">
        <f>Table3[[#This Row],[Company Name]] &amp; " - " &amp; Table3[[#This Row],[Store Name]] &amp; " - " &amp; Table3[[#This Row],[Store Branch / Address]]</f>
        <v>POL S MOM S PLACE INC - MAMOU - GENERIC</v>
      </c>
      <c r="B476" t="str">
        <f>Table3[[#This Row],[Client ID]] &amp; " - " &amp; Table3[[#This Row],[SO Number]]</f>
        <v>POL S MOM S PLACE INC - MAMOU - GENERIC - SO-039</v>
      </c>
      <c r="C476" t="s">
        <v>277</v>
      </c>
      <c r="D476" t="s">
        <v>57</v>
      </c>
      <c r="E476" t="s">
        <v>58</v>
      </c>
      <c r="F476" t="s">
        <v>15</v>
      </c>
      <c r="G476" t="s">
        <v>16</v>
      </c>
      <c r="H476" t="s">
        <v>278</v>
      </c>
      <c r="I476" t="s">
        <v>125</v>
      </c>
      <c r="J476">
        <v>1</v>
      </c>
      <c r="K476">
        <v>3675</v>
      </c>
      <c r="L476">
        <v>10500</v>
      </c>
      <c r="M476">
        <v>10500</v>
      </c>
      <c r="N476" t="s">
        <v>19</v>
      </c>
    </row>
    <row r="477" spans="1:14" x14ac:dyDescent="0.25">
      <c r="A477" t="str">
        <f>Table3[[#This Row],[Company Name]] &amp; " - " &amp; Table3[[#This Row],[Store Name]] &amp; " - " &amp; Table3[[#This Row],[Store Branch / Address]]</f>
        <v>POL S MOM S PLACE INC - MAMOU - GENERIC</v>
      </c>
      <c r="B477" t="str">
        <f>Table3[[#This Row],[Client ID]] &amp; " - " &amp; Table3[[#This Row],[SO Number]]</f>
        <v>POL S MOM S PLACE INC - MAMOU - GENERIC - SO-039</v>
      </c>
      <c r="C477" t="s">
        <v>277</v>
      </c>
      <c r="D477" t="s">
        <v>57</v>
      </c>
      <c r="E477" t="s">
        <v>58</v>
      </c>
      <c r="F477" t="s">
        <v>15</v>
      </c>
      <c r="G477" t="s">
        <v>16</v>
      </c>
      <c r="H477" t="s">
        <v>278</v>
      </c>
      <c r="I477" t="s">
        <v>48</v>
      </c>
      <c r="J477">
        <v>1</v>
      </c>
      <c r="K477">
        <v>4095</v>
      </c>
      <c r="L477">
        <v>13000</v>
      </c>
      <c r="M477">
        <v>13000</v>
      </c>
      <c r="N477" t="s">
        <v>19</v>
      </c>
    </row>
    <row r="478" spans="1:14" x14ac:dyDescent="0.25">
      <c r="A478" t="str">
        <f>Table3[[#This Row],[Company Name]] &amp; " - " &amp; Table3[[#This Row],[Store Name]] &amp; " - " &amp; Table3[[#This Row],[Store Branch / Address]]</f>
        <v>POL S MOM S PLACE INC - MAMOU - GENERIC</v>
      </c>
      <c r="B478" t="str">
        <f>Table3[[#This Row],[Client ID]] &amp; " - " &amp; Table3[[#This Row],[SO Number]]</f>
        <v>POL S MOM S PLACE INC - MAMOU - GENERIC - SO-039</v>
      </c>
      <c r="C478" t="s">
        <v>277</v>
      </c>
      <c r="D478" t="s">
        <v>57</v>
      </c>
      <c r="E478" t="s">
        <v>58</v>
      </c>
      <c r="F478" t="s">
        <v>15</v>
      </c>
      <c r="G478" t="s">
        <v>16</v>
      </c>
      <c r="H478" t="s">
        <v>278</v>
      </c>
      <c r="I478" t="s">
        <v>126</v>
      </c>
      <c r="J478">
        <v>1</v>
      </c>
      <c r="K478">
        <v>4095</v>
      </c>
      <c r="L478">
        <v>13000</v>
      </c>
      <c r="M478">
        <v>13000</v>
      </c>
      <c r="N478" t="s">
        <v>19</v>
      </c>
    </row>
    <row r="479" spans="1:14" x14ac:dyDescent="0.25">
      <c r="A479" t="str">
        <f>Table3[[#This Row],[Company Name]] &amp; " - " &amp; Table3[[#This Row],[Store Name]] &amp; " - " &amp; Table3[[#This Row],[Store Branch / Address]]</f>
        <v>POL S MOM S PLACE INC - MAMOU - GENERIC</v>
      </c>
      <c r="B479" t="str">
        <f>Table3[[#This Row],[Client ID]] &amp; " - " &amp; Table3[[#This Row],[SO Number]]</f>
        <v>POL S MOM S PLACE INC - MAMOU - GENERIC - SO-039</v>
      </c>
      <c r="C479" t="s">
        <v>277</v>
      </c>
      <c r="D479" t="s">
        <v>57</v>
      </c>
      <c r="E479" t="s">
        <v>58</v>
      </c>
      <c r="F479" t="s">
        <v>15</v>
      </c>
      <c r="G479" t="s">
        <v>16</v>
      </c>
      <c r="H479" t="s">
        <v>278</v>
      </c>
      <c r="I479" t="s">
        <v>50</v>
      </c>
      <c r="J479">
        <v>1</v>
      </c>
      <c r="K479">
        <v>500</v>
      </c>
      <c r="L479">
        <v>500</v>
      </c>
      <c r="M479">
        <v>500</v>
      </c>
      <c r="N479" t="s">
        <v>19</v>
      </c>
    </row>
    <row r="480" spans="1:14" x14ac:dyDescent="0.25">
      <c r="A480" t="str">
        <f>Table3[[#This Row],[Company Name]] &amp; " - " &amp; Table3[[#This Row],[Store Name]] &amp; " - " &amp; Table3[[#This Row],[Store Branch / Address]]</f>
        <v>POL S MOM S PLACE INC - MAMOU - GENERIC</v>
      </c>
      <c r="B480" t="str">
        <f>Table3[[#This Row],[Client ID]] &amp; " - " &amp; Table3[[#This Row],[SO Number]]</f>
        <v>POL S MOM S PLACE INC - MAMOU - GENERIC - SO-039</v>
      </c>
      <c r="C480" t="s">
        <v>277</v>
      </c>
      <c r="D480" t="s">
        <v>57</v>
      </c>
      <c r="E480" t="s">
        <v>58</v>
      </c>
      <c r="F480" t="s">
        <v>15</v>
      </c>
      <c r="G480" t="s">
        <v>16</v>
      </c>
      <c r="H480" t="s">
        <v>278</v>
      </c>
      <c r="I480" t="s">
        <v>60</v>
      </c>
      <c r="J480">
        <v>1</v>
      </c>
      <c r="K480">
        <v>10500</v>
      </c>
      <c r="L480">
        <v>16500</v>
      </c>
      <c r="M480">
        <v>16500</v>
      </c>
      <c r="N480" t="s">
        <v>19</v>
      </c>
    </row>
    <row r="481" spans="1:14" x14ac:dyDescent="0.25">
      <c r="A481" t="str">
        <f>Table3[[#This Row],[Company Name]] &amp; " - " &amp; Table3[[#This Row],[Store Name]] &amp; " - " &amp; Table3[[#This Row],[Store Branch / Address]]</f>
        <v>POL S MOM S PLACE INC - MAMOU - GENERIC</v>
      </c>
      <c r="B481" t="str">
        <f>Table3[[#This Row],[Client ID]] &amp; " - " &amp; Table3[[#This Row],[SO Number]]</f>
        <v>POL S MOM S PLACE INC - MAMOU - GENERIC - SO-039</v>
      </c>
      <c r="C481" t="s">
        <v>277</v>
      </c>
      <c r="D481" t="s">
        <v>57</v>
      </c>
      <c r="E481" t="s">
        <v>58</v>
      </c>
      <c r="F481" t="s">
        <v>15</v>
      </c>
      <c r="G481" t="s">
        <v>16</v>
      </c>
      <c r="H481" t="s">
        <v>278</v>
      </c>
      <c r="I481" t="s">
        <v>116</v>
      </c>
      <c r="J481">
        <v>1</v>
      </c>
      <c r="K481">
        <v>2185</v>
      </c>
      <c r="L481">
        <v>3500</v>
      </c>
      <c r="M481">
        <v>3500</v>
      </c>
      <c r="N481" t="s">
        <v>19</v>
      </c>
    </row>
    <row r="482" spans="1:14" x14ac:dyDescent="0.25">
      <c r="A482" t="str">
        <f>Table3[[#This Row],[Company Name]] &amp; " - " &amp; Table3[[#This Row],[Store Name]] &amp; " - " &amp; Table3[[#This Row],[Store Branch / Address]]</f>
        <v>POL S MOM S PLACE INC - MAMOU - GENERIC</v>
      </c>
      <c r="B482" t="str">
        <f>Table3[[#This Row],[Client ID]] &amp; " - " &amp; Table3[[#This Row],[SO Number]]</f>
        <v>POL S MOM S PLACE INC - MAMOU - GENERIC - SO-039</v>
      </c>
      <c r="C482" t="s">
        <v>277</v>
      </c>
      <c r="D482" t="s">
        <v>57</v>
      </c>
      <c r="E482" t="s">
        <v>58</v>
      </c>
      <c r="F482" t="s">
        <v>15</v>
      </c>
      <c r="G482" t="s">
        <v>16</v>
      </c>
      <c r="H482" t="s">
        <v>278</v>
      </c>
      <c r="I482" t="s">
        <v>279</v>
      </c>
      <c r="J482">
        <v>1</v>
      </c>
      <c r="K482">
        <v>8500</v>
      </c>
      <c r="L482">
        <v>12000</v>
      </c>
      <c r="M482">
        <v>12000</v>
      </c>
      <c r="N482" t="s">
        <v>19</v>
      </c>
    </row>
    <row r="483" spans="1:14" x14ac:dyDescent="0.25">
      <c r="A483" t="str">
        <f>Table3[[#This Row],[Company Name]] &amp; " - " &amp; Table3[[#This Row],[Store Name]] &amp; " - " &amp; Table3[[#This Row],[Store Branch / Address]]</f>
        <v>POL S MOM S PLACE INC - MAMOU - GENERIC</v>
      </c>
      <c r="B483" t="str">
        <f>Table3[[#This Row],[Client ID]] &amp; " - " &amp; Table3[[#This Row],[SO Number]]</f>
        <v>POL S MOM S PLACE INC - MAMOU - GENERIC - SO-039</v>
      </c>
      <c r="C483" t="s">
        <v>277</v>
      </c>
      <c r="D483" t="s">
        <v>57</v>
      </c>
      <c r="E483" t="s">
        <v>58</v>
      </c>
      <c r="F483" t="s">
        <v>15</v>
      </c>
      <c r="G483" t="s">
        <v>16</v>
      </c>
      <c r="H483" t="s">
        <v>278</v>
      </c>
      <c r="I483" t="s">
        <v>61</v>
      </c>
      <c r="J483">
        <v>1</v>
      </c>
      <c r="K483">
        <v>8500</v>
      </c>
      <c r="L483">
        <v>12000</v>
      </c>
      <c r="M483">
        <v>12000</v>
      </c>
      <c r="N483" t="s">
        <v>19</v>
      </c>
    </row>
    <row r="484" spans="1:14" x14ac:dyDescent="0.25">
      <c r="A484" t="str">
        <f>Table3[[#This Row],[Company Name]] &amp; " - " &amp; Table3[[#This Row],[Store Name]] &amp; " - " &amp; Table3[[#This Row],[Store Branch / Address]]</f>
        <v>POL S MOM S PLACE INC - MAMOU - GENERIC</v>
      </c>
      <c r="B484" t="str">
        <f>Table3[[#This Row],[Client ID]] &amp; " - " &amp; Table3[[#This Row],[SO Number]]</f>
        <v>POL S MOM S PLACE INC - MAMOU - GENERIC - SO-039</v>
      </c>
      <c r="C484" t="s">
        <v>277</v>
      </c>
      <c r="D484" t="s">
        <v>57</v>
      </c>
      <c r="E484" t="s">
        <v>58</v>
      </c>
      <c r="F484" t="s">
        <v>15</v>
      </c>
      <c r="G484" t="s">
        <v>16</v>
      </c>
      <c r="H484" t="s">
        <v>278</v>
      </c>
      <c r="I484" t="s">
        <v>62</v>
      </c>
      <c r="J484">
        <v>5</v>
      </c>
      <c r="K484">
        <v>47</v>
      </c>
      <c r="L484">
        <v>70</v>
      </c>
      <c r="M484">
        <v>350</v>
      </c>
      <c r="N484" t="s">
        <v>19</v>
      </c>
    </row>
    <row r="485" spans="1:14" x14ac:dyDescent="0.25">
      <c r="A485" t="str">
        <f>Table3[[#This Row],[Company Name]] &amp; " - " &amp; Table3[[#This Row],[Store Name]] &amp; " - " &amp; Table3[[#This Row],[Store Branch / Address]]</f>
        <v>POL S MOM S PLACE INC - MAMOU - GENERIC</v>
      </c>
      <c r="B485" t="str">
        <f>Table3[[#This Row],[Client ID]] &amp; " - " &amp; Table3[[#This Row],[SO Number]]</f>
        <v>POL S MOM S PLACE INC - MAMOU - GENERIC - SO-039</v>
      </c>
      <c r="C485" t="s">
        <v>277</v>
      </c>
      <c r="D485" t="s">
        <v>57</v>
      </c>
      <c r="E485" t="s">
        <v>58</v>
      </c>
      <c r="F485" t="s">
        <v>15</v>
      </c>
      <c r="G485" t="s">
        <v>16</v>
      </c>
      <c r="H485" t="s">
        <v>278</v>
      </c>
      <c r="I485" t="s">
        <v>280</v>
      </c>
      <c r="J485">
        <v>1</v>
      </c>
      <c r="K485">
        <v>850</v>
      </c>
      <c r="L485">
        <v>1200</v>
      </c>
      <c r="M485">
        <v>1200</v>
      </c>
      <c r="N485" t="s">
        <v>19</v>
      </c>
    </row>
    <row r="486" spans="1:14" x14ac:dyDescent="0.25">
      <c r="A486" t="str">
        <f>Table3[[#This Row],[Company Name]] &amp; " - " &amp; Table3[[#This Row],[Store Name]] &amp; " - " &amp; Table3[[#This Row],[Store Branch / Address]]</f>
        <v>POL S MOM S PLACE INC - MAMOU - GENERIC</v>
      </c>
      <c r="B486" t="str">
        <f>Table3[[#This Row],[Client ID]] &amp; " - " &amp; Table3[[#This Row],[SO Number]]</f>
        <v>POL S MOM S PLACE INC - MAMOU - GENERIC - SO-039</v>
      </c>
      <c r="C486" t="s">
        <v>277</v>
      </c>
      <c r="D486" t="s">
        <v>57</v>
      </c>
      <c r="E486" t="s">
        <v>58</v>
      </c>
      <c r="F486" t="s">
        <v>15</v>
      </c>
      <c r="G486" t="s">
        <v>16</v>
      </c>
      <c r="H486" t="s">
        <v>278</v>
      </c>
      <c r="I486" t="s">
        <v>97</v>
      </c>
      <c r="J486">
        <v>1</v>
      </c>
      <c r="K486">
        <v>2200</v>
      </c>
      <c r="L486">
        <v>3200</v>
      </c>
      <c r="M486">
        <v>3200</v>
      </c>
      <c r="N486" t="s">
        <v>19</v>
      </c>
    </row>
    <row r="487" spans="1:14" x14ac:dyDescent="0.25">
      <c r="A487" t="str">
        <f>Table3[[#This Row],[Company Name]] &amp; " - " &amp; Table3[[#This Row],[Store Name]] &amp; " - " &amp; Table3[[#This Row],[Store Branch / Address]]</f>
        <v>POL S MOM S PLACE INC - MAMOU - GENERIC</v>
      </c>
      <c r="B487" t="str">
        <f>Table3[[#This Row],[Client ID]] &amp; " - " &amp; Table3[[#This Row],[SO Number]]</f>
        <v>POL S MOM S PLACE INC - MAMOU - GENERIC - SO-039</v>
      </c>
      <c r="C487" t="s">
        <v>277</v>
      </c>
      <c r="D487" t="s">
        <v>57</v>
      </c>
      <c r="E487" t="s">
        <v>58</v>
      </c>
      <c r="F487" t="s">
        <v>15</v>
      </c>
      <c r="G487" t="s">
        <v>16</v>
      </c>
      <c r="H487" t="s">
        <v>278</v>
      </c>
      <c r="I487" t="s">
        <v>209</v>
      </c>
      <c r="J487">
        <v>1</v>
      </c>
      <c r="K487">
        <v>23450</v>
      </c>
      <c r="L487">
        <v>30550</v>
      </c>
      <c r="M487">
        <v>30550</v>
      </c>
      <c r="N487" t="s">
        <v>19</v>
      </c>
    </row>
    <row r="488" spans="1:14" x14ac:dyDescent="0.25">
      <c r="A488" t="str">
        <f>Table3[[#This Row],[Company Name]] &amp; " - " &amp; Table3[[#This Row],[Store Name]] &amp; " - " &amp; Table3[[#This Row],[Store Branch / Address]]</f>
        <v>POL S MOM S PLACE INC - MAMOU - GENERIC</v>
      </c>
      <c r="B488" t="str">
        <f>Table3[[#This Row],[Client ID]] &amp; " - " &amp; Table3[[#This Row],[SO Number]]</f>
        <v>POL S MOM S PLACE INC - MAMOU - GENERIC - SO-039</v>
      </c>
      <c r="C488" t="s">
        <v>277</v>
      </c>
      <c r="D488" t="s">
        <v>57</v>
      </c>
      <c r="E488" t="s">
        <v>58</v>
      </c>
      <c r="F488" t="s">
        <v>15</v>
      </c>
      <c r="G488" t="s">
        <v>16</v>
      </c>
      <c r="H488" t="s">
        <v>278</v>
      </c>
      <c r="I488" t="s">
        <v>151</v>
      </c>
      <c r="J488">
        <v>1</v>
      </c>
      <c r="K488">
        <v>2800</v>
      </c>
      <c r="L488">
        <v>4000</v>
      </c>
      <c r="M488">
        <v>4000</v>
      </c>
      <c r="N488" t="s">
        <v>19</v>
      </c>
    </row>
    <row r="489" spans="1:14" x14ac:dyDescent="0.25">
      <c r="A489" t="str">
        <f>Table3[[#This Row],[Company Name]] &amp; " - " &amp; Table3[[#This Row],[Store Name]] &amp; " - " &amp; Table3[[#This Row],[Store Branch / Address]]</f>
        <v>POL S MOM S PLACE INC - MAMOU - GENERIC</v>
      </c>
      <c r="B489" t="str">
        <f>Table3[[#This Row],[Client ID]] &amp; " - " &amp; Table3[[#This Row],[SO Number]]</f>
        <v>POL S MOM S PLACE INC - MAMOU - GENERIC - SO-039</v>
      </c>
      <c r="C489" t="s">
        <v>277</v>
      </c>
      <c r="D489" t="s">
        <v>57</v>
      </c>
      <c r="E489" t="s">
        <v>58</v>
      </c>
      <c r="F489" t="s">
        <v>15</v>
      </c>
      <c r="G489" t="s">
        <v>16</v>
      </c>
      <c r="H489" t="s">
        <v>278</v>
      </c>
      <c r="I489" t="s">
        <v>210</v>
      </c>
      <c r="J489">
        <v>1</v>
      </c>
      <c r="K489">
        <v>530</v>
      </c>
      <c r="L489">
        <v>700</v>
      </c>
      <c r="M489">
        <v>700</v>
      </c>
      <c r="N489" t="s">
        <v>19</v>
      </c>
    </row>
    <row r="490" spans="1:14" x14ac:dyDescent="0.25">
      <c r="A490" t="str">
        <f>Table3[[#This Row],[Company Name]] &amp; " - " &amp; Table3[[#This Row],[Store Name]] &amp; " - " &amp; Table3[[#This Row],[Store Branch / Address]]</f>
        <v>POL S MOM S PLACE INC - MAMOU - GENERIC</v>
      </c>
      <c r="B490" t="str">
        <f>Table3[[#This Row],[Client ID]] &amp; " - " &amp; Table3[[#This Row],[SO Number]]</f>
        <v>POL S MOM S PLACE INC - MAMOU - GENERIC - SO-039</v>
      </c>
      <c r="C490" t="s">
        <v>277</v>
      </c>
      <c r="D490" t="s">
        <v>57</v>
      </c>
      <c r="E490" t="s">
        <v>58</v>
      </c>
      <c r="F490" t="s">
        <v>15</v>
      </c>
      <c r="G490" t="s">
        <v>16</v>
      </c>
      <c r="H490" t="s">
        <v>278</v>
      </c>
      <c r="I490" t="s">
        <v>211</v>
      </c>
      <c r="J490">
        <v>1</v>
      </c>
      <c r="K490">
        <v>350</v>
      </c>
      <c r="L490">
        <v>500</v>
      </c>
      <c r="M490">
        <v>500</v>
      </c>
      <c r="N490" t="s">
        <v>19</v>
      </c>
    </row>
    <row r="491" spans="1:14" x14ac:dyDescent="0.25">
      <c r="A491" t="str">
        <f>Table3[[#This Row],[Company Name]] &amp; " - " &amp; Table3[[#This Row],[Store Name]] &amp; " - " &amp; Table3[[#This Row],[Store Branch / Address]]</f>
        <v>POL S MOM S PLACE INC - MAMOU - GENERIC</v>
      </c>
      <c r="B491" t="str">
        <f>Table3[[#This Row],[Client ID]] &amp; " - " &amp; Table3[[#This Row],[SO Number]]</f>
        <v>POL S MOM S PLACE INC - MAMOU - GENERIC - SO-039</v>
      </c>
      <c r="C491" t="s">
        <v>277</v>
      </c>
      <c r="D491" t="s">
        <v>57</v>
      </c>
      <c r="E491" t="s">
        <v>58</v>
      </c>
      <c r="F491" t="s">
        <v>15</v>
      </c>
      <c r="G491" t="s">
        <v>16</v>
      </c>
      <c r="H491" t="s">
        <v>278</v>
      </c>
      <c r="I491" t="s">
        <v>98</v>
      </c>
      <c r="J491">
        <v>1</v>
      </c>
      <c r="K491">
        <v>935</v>
      </c>
      <c r="L491">
        <v>1300</v>
      </c>
      <c r="M491">
        <v>1300</v>
      </c>
      <c r="N491" t="s">
        <v>19</v>
      </c>
    </row>
    <row r="492" spans="1:14" x14ac:dyDescent="0.25">
      <c r="A492" t="str">
        <f>Table3[[#This Row],[Company Name]] &amp; " - " &amp; Table3[[#This Row],[Store Name]] &amp; " - " &amp; Table3[[#This Row],[Store Branch / Address]]</f>
        <v>POL S MOM S PLACE INC - MAMOU - GENERIC</v>
      </c>
      <c r="B492" t="str">
        <f>Table3[[#This Row],[Client ID]] &amp; " - " &amp; Table3[[#This Row],[SO Number]]</f>
        <v>POL S MOM S PLACE INC - MAMOU - GENERIC - SO-039</v>
      </c>
      <c r="C492" t="s">
        <v>277</v>
      </c>
      <c r="D492" t="s">
        <v>57</v>
      </c>
      <c r="E492" t="s">
        <v>58</v>
      </c>
      <c r="F492" t="s">
        <v>15</v>
      </c>
      <c r="G492" t="s">
        <v>16</v>
      </c>
      <c r="H492" t="s">
        <v>278</v>
      </c>
      <c r="I492" t="s">
        <v>63</v>
      </c>
      <c r="J492">
        <v>1</v>
      </c>
      <c r="K492">
        <v>500</v>
      </c>
      <c r="L492">
        <v>500</v>
      </c>
      <c r="M492">
        <v>500</v>
      </c>
      <c r="N492" t="s">
        <v>19</v>
      </c>
    </row>
    <row r="493" spans="1:14" x14ac:dyDescent="0.25">
      <c r="A493" t="str">
        <f>Table3[[#This Row],[Company Name]] &amp; " - " &amp; Table3[[#This Row],[Store Name]] &amp; " - " &amp; Table3[[#This Row],[Store Branch / Address]]</f>
        <v>POL S MOM S PLACE INC - MAMOU - GENERIC</v>
      </c>
      <c r="B493" t="str">
        <f>Table3[[#This Row],[Client ID]] &amp; " - " &amp; Table3[[#This Row],[SO Number]]</f>
        <v>POL S MOM S PLACE INC - MAMOU - GENERIC - SO-040</v>
      </c>
      <c r="C493" t="s">
        <v>282</v>
      </c>
      <c r="D493" t="s">
        <v>57</v>
      </c>
      <c r="E493" t="s">
        <v>58</v>
      </c>
      <c r="F493" t="s">
        <v>15</v>
      </c>
      <c r="G493" t="s">
        <v>16</v>
      </c>
      <c r="H493" t="s">
        <v>278</v>
      </c>
      <c r="I493" t="s">
        <v>125</v>
      </c>
      <c r="J493">
        <v>1</v>
      </c>
      <c r="K493">
        <v>3675</v>
      </c>
      <c r="L493">
        <v>10500</v>
      </c>
      <c r="M493">
        <v>10500</v>
      </c>
      <c r="N493" t="s">
        <v>19</v>
      </c>
    </row>
    <row r="494" spans="1:14" x14ac:dyDescent="0.25">
      <c r="A494" t="str">
        <f>Table3[[#This Row],[Company Name]] &amp; " - " &amp; Table3[[#This Row],[Store Name]] &amp; " - " &amp; Table3[[#This Row],[Store Branch / Address]]</f>
        <v>POL S MOM S PLACE INC - MAMOU - GENERIC</v>
      </c>
      <c r="B494" t="str">
        <f>Table3[[#This Row],[Client ID]] &amp; " - " &amp; Table3[[#This Row],[SO Number]]</f>
        <v>POL S MOM S PLACE INC - MAMOU - GENERIC - SO-040</v>
      </c>
      <c r="C494" t="s">
        <v>282</v>
      </c>
      <c r="D494" t="s">
        <v>57</v>
      </c>
      <c r="E494" t="s">
        <v>58</v>
      </c>
      <c r="F494" t="s">
        <v>15</v>
      </c>
      <c r="G494" t="s">
        <v>16</v>
      </c>
      <c r="H494" t="s">
        <v>278</v>
      </c>
      <c r="I494" t="s">
        <v>48</v>
      </c>
      <c r="J494">
        <v>1</v>
      </c>
      <c r="K494">
        <v>4095</v>
      </c>
      <c r="L494">
        <v>11700</v>
      </c>
      <c r="M494">
        <v>11700</v>
      </c>
      <c r="N494" t="s">
        <v>19</v>
      </c>
    </row>
    <row r="495" spans="1:14" x14ac:dyDescent="0.25">
      <c r="A495" t="str">
        <f>Table3[[#This Row],[Company Name]] &amp; " - " &amp; Table3[[#This Row],[Store Name]] &amp; " - " &amp; Table3[[#This Row],[Store Branch / Address]]</f>
        <v>POL S MOM S PLACE INC - MAMOU - GENERIC</v>
      </c>
      <c r="B495" t="str">
        <f>Table3[[#This Row],[Client ID]] &amp; " - " &amp; Table3[[#This Row],[SO Number]]</f>
        <v>POL S MOM S PLACE INC - MAMOU - GENERIC - SO-040</v>
      </c>
      <c r="C495" t="s">
        <v>282</v>
      </c>
      <c r="D495" t="s">
        <v>57</v>
      </c>
      <c r="E495" t="s">
        <v>58</v>
      </c>
      <c r="F495" t="s">
        <v>15</v>
      </c>
      <c r="G495" t="s">
        <v>16</v>
      </c>
      <c r="H495" t="s">
        <v>278</v>
      </c>
      <c r="I495" t="s">
        <v>126</v>
      </c>
      <c r="J495">
        <v>1</v>
      </c>
      <c r="K495">
        <v>4095</v>
      </c>
      <c r="L495">
        <v>11700</v>
      </c>
      <c r="M495">
        <v>11700</v>
      </c>
      <c r="N495" t="s">
        <v>19</v>
      </c>
    </row>
    <row r="496" spans="1:14" x14ac:dyDescent="0.25">
      <c r="A496" t="str">
        <f>Table3[[#This Row],[Company Name]] &amp; " - " &amp; Table3[[#This Row],[Store Name]] &amp; " - " &amp; Table3[[#This Row],[Store Branch / Address]]</f>
        <v>POL S MOM S PLACE INC - MAMOU - GENERIC</v>
      </c>
      <c r="B496" t="str">
        <f>Table3[[#This Row],[Client ID]] &amp; " - " &amp; Table3[[#This Row],[SO Number]]</f>
        <v>POL S MOM S PLACE INC - MAMOU - GENERIC - SO-040</v>
      </c>
      <c r="C496" t="s">
        <v>282</v>
      </c>
      <c r="D496" t="s">
        <v>57</v>
      </c>
      <c r="E496" t="s">
        <v>58</v>
      </c>
      <c r="F496" t="s">
        <v>15</v>
      </c>
      <c r="G496" t="s">
        <v>16</v>
      </c>
      <c r="H496" t="s">
        <v>278</v>
      </c>
      <c r="I496" t="s">
        <v>50</v>
      </c>
      <c r="J496">
        <v>1</v>
      </c>
      <c r="K496">
        <v>500</v>
      </c>
      <c r="L496">
        <v>500</v>
      </c>
      <c r="M496">
        <v>500</v>
      </c>
      <c r="N496" t="s">
        <v>19</v>
      </c>
    </row>
    <row r="497" spans="1:14" x14ac:dyDescent="0.25">
      <c r="A497" t="str">
        <f>Table3[[#This Row],[Company Name]] &amp; " - " &amp; Table3[[#This Row],[Store Name]] &amp; " - " &amp; Table3[[#This Row],[Store Branch / Address]]</f>
        <v>POL S MOM S PLACE INC - MAMOU - GENERIC</v>
      </c>
      <c r="B497" t="str">
        <f>Table3[[#This Row],[Client ID]] &amp; " - " &amp; Table3[[#This Row],[SO Number]]</f>
        <v>POL S MOM S PLACE INC - MAMOU - GENERIC - SO-040</v>
      </c>
      <c r="C497" t="s">
        <v>282</v>
      </c>
      <c r="D497" t="s">
        <v>57</v>
      </c>
      <c r="E497" t="s">
        <v>58</v>
      </c>
      <c r="F497" t="s">
        <v>15</v>
      </c>
      <c r="G497" t="s">
        <v>16</v>
      </c>
      <c r="H497" t="s">
        <v>278</v>
      </c>
      <c r="I497" t="s">
        <v>283</v>
      </c>
      <c r="J497">
        <v>1</v>
      </c>
      <c r="K497">
        <v>7000</v>
      </c>
      <c r="L497">
        <v>20000</v>
      </c>
      <c r="M497">
        <v>20000</v>
      </c>
      <c r="N497" t="s">
        <v>19</v>
      </c>
    </row>
    <row r="498" spans="1:14" x14ac:dyDescent="0.25">
      <c r="A498" t="str">
        <f>Table3[[#This Row],[Company Name]] &amp; " - " &amp; Table3[[#This Row],[Store Name]] &amp; " - " &amp; Table3[[#This Row],[Store Branch / Address]]</f>
        <v>POL S MOM S PLACE INC - MAMOU - GENERIC</v>
      </c>
      <c r="B498" t="str">
        <f>Table3[[#This Row],[Client ID]] &amp; " - " &amp; Table3[[#This Row],[SO Number]]</f>
        <v>POL S MOM S PLACE INC - MAMOU - GENERIC - SO-040</v>
      </c>
      <c r="C498" t="s">
        <v>282</v>
      </c>
      <c r="D498" t="s">
        <v>57</v>
      </c>
      <c r="E498" t="s">
        <v>58</v>
      </c>
      <c r="F498" t="s">
        <v>15</v>
      </c>
      <c r="G498" t="s">
        <v>16</v>
      </c>
      <c r="H498" t="s">
        <v>278</v>
      </c>
      <c r="I498" t="s">
        <v>284</v>
      </c>
      <c r="J498">
        <v>1</v>
      </c>
      <c r="K498">
        <v>11000</v>
      </c>
      <c r="L498">
        <v>16500</v>
      </c>
      <c r="M498">
        <v>16500</v>
      </c>
      <c r="N498" t="s">
        <v>19</v>
      </c>
    </row>
    <row r="499" spans="1:14" x14ac:dyDescent="0.25">
      <c r="A499" t="str">
        <f>Table3[[#This Row],[Company Name]] &amp; " - " &amp; Table3[[#This Row],[Store Name]] &amp; " - " &amp; Table3[[#This Row],[Store Branch / Address]]</f>
        <v>POL S MOM S PLACE INC - MAMOU - GENERIC</v>
      </c>
      <c r="B499" t="str">
        <f>Table3[[#This Row],[Client ID]] &amp; " - " &amp; Table3[[#This Row],[SO Number]]</f>
        <v>POL S MOM S PLACE INC - MAMOU - GENERIC - SO-040</v>
      </c>
      <c r="C499" t="s">
        <v>282</v>
      </c>
      <c r="D499" t="s">
        <v>57</v>
      </c>
      <c r="E499" t="s">
        <v>58</v>
      </c>
      <c r="F499" t="s">
        <v>15</v>
      </c>
      <c r="G499" t="s">
        <v>16</v>
      </c>
      <c r="H499" t="s">
        <v>278</v>
      </c>
      <c r="I499" t="s">
        <v>116</v>
      </c>
      <c r="J499">
        <v>1</v>
      </c>
      <c r="K499">
        <v>2185</v>
      </c>
      <c r="L499">
        <v>3500</v>
      </c>
      <c r="M499">
        <v>3500</v>
      </c>
      <c r="N499" t="s">
        <v>19</v>
      </c>
    </row>
    <row r="500" spans="1:14" x14ac:dyDescent="0.25">
      <c r="A500" t="str">
        <f>Table3[[#This Row],[Company Name]] &amp; " - " &amp; Table3[[#This Row],[Store Name]] &amp; " - " &amp; Table3[[#This Row],[Store Branch / Address]]</f>
        <v>POL S MOM S PLACE INC - MAMOU - GENERIC</v>
      </c>
      <c r="B500" t="str">
        <f>Table3[[#This Row],[Client ID]] &amp; " - " &amp; Table3[[#This Row],[SO Number]]</f>
        <v>POL S MOM S PLACE INC - MAMOU - GENERIC - SO-040</v>
      </c>
      <c r="C500" t="s">
        <v>282</v>
      </c>
      <c r="D500" t="s">
        <v>57</v>
      </c>
      <c r="E500" t="s">
        <v>58</v>
      </c>
      <c r="F500" t="s">
        <v>15</v>
      </c>
      <c r="G500" t="s">
        <v>16</v>
      </c>
      <c r="H500" t="s">
        <v>278</v>
      </c>
      <c r="I500" t="s">
        <v>279</v>
      </c>
      <c r="J500">
        <v>3</v>
      </c>
      <c r="K500">
        <v>8500</v>
      </c>
      <c r="L500">
        <v>12000</v>
      </c>
      <c r="M500">
        <v>36000</v>
      </c>
      <c r="N500" t="s">
        <v>19</v>
      </c>
    </row>
    <row r="501" spans="1:14" x14ac:dyDescent="0.25">
      <c r="A501" t="str">
        <f>Table3[[#This Row],[Company Name]] &amp; " - " &amp; Table3[[#This Row],[Store Name]] &amp; " - " &amp; Table3[[#This Row],[Store Branch / Address]]</f>
        <v>POL S MOM S PLACE INC - MAMOU - GENERIC</v>
      </c>
      <c r="B501" t="str">
        <f>Table3[[#This Row],[Client ID]] &amp; " - " &amp; Table3[[#This Row],[SO Number]]</f>
        <v>POL S MOM S PLACE INC - MAMOU - GENERIC - SO-040</v>
      </c>
      <c r="C501" t="s">
        <v>282</v>
      </c>
      <c r="D501" t="s">
        <v>57</v>
      </c>
      <c r="E501" t="s">
        <v>58</v>
      </c>
      <c r="F501" t="s">
        <v>15</v>
      </c>
      <c r="G501" t="s">
        <v>16</v>
      </c>
      <c r="H501" t="s">
        <v>278</v>
      </c>
      <c r="I501" t="s">
        <v>61</v>
      </c>
      <c r="J501">
        <v>1</v>
      </c>
      <c r="K501">
        <v>8500</v>
      </c>
      <c r="L501">
        <v>12000</v>
      </c>
      <c r="M501">
        <v>12000</v>
      </c>
      <c r="N501" t="s">
        <v>19</v>
      </c>
    </row>
    <row r="502" spans="1:14" x14ac:dyDescent="0.25">
      <c r="A502" t="str">
        <f>Table3[[#This Row],[Company Name]] &amp; " - " &amp; Table3[[#This Row],[Store Name]] &amp; " - " &amp; Table3[[#This Row],[Store Branch / Address]]</f>
        <v>POL S MOM S PLACE INC - MAMOU - GENERIC</v>
      </c>
      <c r="B502" t="str">
        <f>Table3[[#This Row],[Client ID]] &amp; " - " &amp; Table3[[#This Row],[SO Number]]</f>
        <v>POL S MOM S PLACE INC - MAMOU - GENERIC - SO-040</v>
      </c>
      <c r="C502" t="s">
        <v>282</v>
      </c>
      <c r="D502" t="s">
        <v>57</v>
      </c>
      <c r="E502" t="s">
        <v>58</v>
      </c>
      <c r="F502" t="s">
        <v>15</v>
      </c>
      <c r="G502" t="s">
        <v>16</v>
      </c>
      <c r="H502" t="s">
        <v>278</v>
      </c>
      <c r="I502" t="s">
        <v>62</v>
      </c>
      <c r="J502">
        <v>10</v>
      </c>
      <c r="K502">
        <v>47</v>
      </c>
      <c r="L502">
        <v>70</v>
      </c>
      <c r="M502">
        <v>700</v>
      </c>
      <c r="N502" t="s">
        <v>19</v>
      </c>
    </row>
    <row r="503" spans="1:14" x14ac:dyDescent="0.25">
      <c r="A503" t="str">
        <f>Table3[[#This Row],[Company Name]] &amp; " - " &amp; Table3[[#This Row],[Store Name]] &amp; " - " &amp; Table3[[#This Row],[Store Branch / Address]]</f>
        <v>POL S MOM S PLACE INC - MAMOU - GENERIC</v>
      </c>
      <c r="B503" t="str">
        <f>Table3[[#This Row],[Client ID]] &amp; " - " &amp; Table3[[#This Row],[SO Number]]</f>
        <v>POL S MOM S PLACE INC - MAMOU - GENERIC - SO-040</v>
      </c>
      <c r="C503" t="s">
        <v>282</v>
      </c>
      <c r="D503" t="s">
        <v>57</v>
      </c>
      <c r="E503" t="s">
        <v>58</v>
      </c>
      <c r="F503" t="s">
        <v>15</v>
      </c>
      <c r="G503" t="s">
        <v>16</v>
      </c>
      <c r="H503" t="s">
        <v>278</v>
      </c>
      <c r="I503" t="s">
        <v>280</v>
      </c>
      <c r="J503">
        <v>1</v>
      </c>
      <c r="K503">
        <v>850</v>
      </c>
      <c r="L503">
        <v>1200</v>
      </c>
      <c r="M503">
        <v>1200</v>
      </c>
      <c r="N503" t="s">
        <v>19</v>
      </c>
    </row>
    <row r="504" spans="1:14" x14ac:dyDescent="0.25">
      <c r="A504" t="str">
        <f>Table3[[#This Row],[Company Name]] &amp; " - " &amp; Table3[[#This Row],[Store Name]] &amp; " - " &amp; Table3[[#This Row],[Store Branch / Address]]</f>
        <v>POL S MOM S PLACE INC - MAMOU - GENERIC</v>
      </c>
      <c r="B504" t="str">
        <f>Table3[[#This Row],[Client ID]] &amp; " - " &amp; Table3[[#This Row],[SO Number]]</f>
        <v>POL S MOM S PLACE INC - MAMOU - GENERIC - SO-040</v>
      </c>
      <c r="C504" t="s">
        <v>282</v>
      </c>
      <c r="D504" t="s">
        <v>57</v>
      </c>
      <c r="E504" t="s">
        <v>58</v>
      </c>
      <c r="F504" t="s">
        <v>15</v>
      </c>
      <c r="G504" t="s">
        <v>16</v>
      </c>
      <c r="H504" t="s">
        <v>278</v>
      </c>
      <c r="I504" t="s">
        <v>97</v>
      </c>
      <c r="J504">
        <v>1</v>
      </c>
      <c r="K504">
        <v>2200</v>
      </c>
      <c r="L504">
        <v>3500</v>
      </c>
      <c r="M504">
        <v>3500</v>
      </c>
      <c r="N504" t="s">
        <v>19</v>
      </c>
    </row>
    <row r="505" spans="1:14" x14ac:dyDescent="0.25">
      <c r="A505" t="str">
        <f>Table3[[#This Row],[Company Name]] &amp; " - " &amp; Table3[[#This Row],[Store Name]] &amp; " - " &amp; Table3[[#This Row],[Store Branch / Address]]</f>
        <v>POL S MOM S PLACE INC - MAMOU - GENERIC</v>
      </c>
      <c r="B505" t="str">
        <f>Table3[[#This Row],[Client ID]] &amp; " - " &amp; Table3[[#This Row],[SO Number]]</f>
        <v>POL S MOM S PLACE INC - MAMOU - GENERIC - SO-040</v>
      </c>
      <c r="C505" t="s">
        <v>282</v>
      </c>
      <c r="D505" t="s">
        <v>57</v>
      </c>
      <c r="E505" t="s">
        <v>58</v>
      </c>
      <c r="F505" t="s">
        <v>15</v>
      </c>
      <c r="G505" t="s">
        <v>16</v>
      </c>
      <c r="H505" t="s">
        <v>278</v>
      </c>
      <c r="I505" t="s">
        <v>249</v>
      </c>
      <c r="J505">
        <v>1</v>
      </c>
      <c r="K505">
        <v>23450</v>
      </c>
      <c r="L505">
        <v>31200</v>
      </c>
      <c r="M505">
        <v>31200</v>
      </c>
      <c r="N505" t="s">
        <v>19</v>
      </c>
    </row>
    <row r="506" spans="1:14" x14ac:dyDescent="0.25">
      <c r="A506" t="str">
        <f>Table3[[#This Row],[Company Name]] &amp; " - " &amp; Table3[[#This Row],[Store Name]] &amp; " - " &amp; Table3[[#This Row],[Store Branch / Address]]</f>
        <v>MYHAPPYHOME LIFESTYLE WARES TRADING - MY HAPPY HOME - GREENHILLS</v>
      </c>
      <c r="B506" t="str">
        <f>Table3[[#This Row],[Client ID]] &amp; " - " &amp; Table3[[#This Row],[SO Number]]</f>
        <v>MYHAPPYHOME LIFESTYLE WARES TRADING - MY HAPPY HOME - GREENHILLS - SO-041</v>
      </c>
      <c r="C506" t="s">
        <v>285</v>
      </c>
      <c r="D506" t="s">
        <v>292</v>
      </c>
      <c r="E506" t="s">
        <v>293</v>
      </c>
      <c r="F506" t="s">
        <v>294</v>
      </c>
      <c r="G506" t="s">
        <v>37</v>
      </c>
      <c r="H506" t="s">
        <v>278</v>
      </c>
      <c r="I506" t="s">
        <v>89</v>
      </c>
      <c r="J506">
        <v>20</v>
      </c>
      <c r="K506">
        <v>32</v>
      </c>
      <c r="L506">
        <v>50</v>
      </c>
      <c r="M506">
        <v>1000</v>
      </c>
      <c r="N506" t="s">
        <v>39</v>
      </c>
    </row>
    <row r="507" spans="1:14" x14ac:dyDescent="0.25">
      <c r="A507" t="str">
        <f>Table3[[#This Row],[Company Name]] &amp; " - " &amp; Table3[[#This Row],[Store Name]] &amp; " - " &amp; Table3[[#This Row],[Store Branch / Address]]</f>
        <v>W R I WELLNESS RETAIL INNOVATIONS INC - DR. KONG - GENERIC</v>
      </c>
      <c r="B507" t="str">
        <f>Table3[[#This Row],[Client ID]] &amp; " - " &amp; Table3[[#This Row],[SO Number]]</f>
        <v>W R I WELLNESS RETAIL INNOVATIONS INC - DR. KONG - GENERIC - SO-021</v>
      </c>
      <c r="C507" t="s">
        <v>178</v>
      </c>
      <c r="D507" t="s">
        <v>1055</v>
      </c>
      <c r="E507" t="s">
        <v>1056</v>
      </c>
      <c r="F507" t="s">
        <v>15</v>
      </c>
      <c r="G507" t="s">
        <v>37</v>
      </c>
      <c r="H507" t="s">
        <v>278</v>
      </c>
      <c r="I507" t="s">
        <v>38</v>
      </c>
      <c r="J507">
        <v>2</v>
      </c>
      <c r="K507">
        <v>8500</v>
      </c>
      <c r="L507">
        <v>12500</v>
      </c>
      <c r="M507">
        <v>25000</v>
      </c>
      <c r="N507" t="s">
        <v>1010</v>
      </c>
    </row>
    <row r="508" spans="1:14" x14ac:dyDescent="0.25">
      <c r="A508" t="str">
        <f>Table3[[#This Row],[Company Name]] &amp; " - " &amp; Table3[[#This Row],[Store Name]] &amp; " - " &amp; Table3[[#This Row],[Store Branch / Address]]</f>
        <v>W R I WELLNESS RETAIL INNOVATIONS INC - DR. KONG - GENERIC</v>
      </c>
      <c r="B508" t="str">
        <f>Table3[[#This Row],[Client ID]] &amp; " - " &amp; Table3[[#This Row],[SO Number]]</f>
        <v>W R I WELLNESS RETAIL INNOVATIONS INC - DR. KONG - GENERIC - SO-021</v>
      </c>
      <c r="C508" t="s">
        <v>178</v>
      </c>
      <c r="D508" t="s">
        <v>1055</v>
      </c>
      <c r="E508" t="s">
        <v>1056</v>
      </c>
      <c r="F508" t="s">
        <v>15</v>
      </c>
      <c r="G508" t="s">
        <v>37</v>
      </c>
      <c r="H508" t="s">
        <v>278</v>
      </c>
      <c r="I508" t="s">
        <v>137</v>
      </c>
      <c r="J508">
        <v>2</v>
      </c>
      <c r="K508">
        <v>2200</v>
      </c>
      <c r="L508">
        <v>3250</v>
      </c>
      <c r="M508">
        <v>6500</v>
      </c>
      <c r="N508" t="s">
        <v>1010</v>
      </c>
    </row>
    <row r="509" spans="1:14" x14ac:dyDescent="0.25">
      <c r="A509" t="str">
        <f>Table3[[#This Row],[Company Name]] &amp; " - " &amp; Table3[[#This Row],[Store Name]] &amp; " - " &amp; Table3[[#This Row],[Store Branch / Address]]</f>
        <v>W R I WELLNESS RETAIL INNOVATIONS INC - DR. KONG - GENERIC</v>
      </c>
      <c r="B509" t="str">
        <f>Table3[[#This Row],[Client ID]] &amp; " - " &amp; Table3[[#This Row],[SO Number]]</f>
        <v>W R I WELLNESS RETAIL INNOVATIONS INC - DR. KONG - GENERIC - SO-021</v>
      </c>
      <c r="C509" t="s">
        <v>178</v>
      </c>
      <c r="D509" t="s">
        <v>1055</v>
      </c>
      <c r="E509" t="s">
        <v>1056</v>
      </c>
      <c r="F509" t="s">
        <v>15</v>
      </c>
      <c r="G509" t="s">
        <v>37</v>
      </c>
      <c r="H509" t="s">
        <v>278</v>
      </c>
      <c r="I509" t="s">
        <v>1057</v>
      </c>
      <c r="J509">
        <v>2</v>
      </c>
      <c r="K509">
        <v>5400</v>
      </c>
      <c r="L509">
        <v>7000</v>
      </c>
      <c r="M509">
        <v>14000</v>
      </c>
      <c r="N509" t="s">
        <v>1010</v>
      </c>
    </row>
    <row r="510" spans="1:14" x14ac:dyDescent="0.25">
      <c r="A510" t="str">
        <f>Table3[[#This Row],[Company Name]] &amp; " - " &amp; Table3[[#This Row],[Store Name]] &amp; " - " &amp; Table3[[#This Row],[Store Branch / Address]]</f>
        <v>W R I WELLNESS RETAIL INNOVATIONS INC - DR. KONG - GENERIC</v>
      </c>
      <c r="B510" t="str">
        <f>Table3[[#This Row],[Client ID]] &amp; " - " &amp; Table3[[#This Row],[SO Number]]</f>
        <v>W R I WELLNESS RETAIL INNOVATIONS INC - DR. KONG - GENERIC - SO-021</v>
      </c>
      <c r="C510" t="s">
        <v>178</v>
      </c>
      <c r="D510" t="s">
        <v>1055</v>
      </c>
      <c r="E510" t="s">
        <v>1056</v>
      </c>
      <c r="F510" t="s">
        <v>15</v>
      </c>
      <c r="G510" t="s">
        <v>37</v>
      </c>
      <c r="H510" t="s">
        <v>278</v>
      </c>
      <c r="I510" t="s">
        <v>1021</v>
      </c>
      <c r="J510">
        <v>2</v>
      </c>
      <c r="K510">
        <v>2185</v>
      </c>
      <c r="L510">
        <v>3500</v>
      </c>
      <c r="M510">
        <v>7000</v>
      </c>
      <c r="N510" t="s">
        <v>1010</v>
      </c>
    </row>
    <row r="511" spans="1:14" x14ac:dyDescent="0.25">
      <c r="A511" t="str">
        <f>Table3[[#This Row],[Company Name]] &amp; " - " &amp; Table3[[#This Row],[Store Name]] &amp; " - " &amp; Table3[[#This Row],[Store Branch / Address]]</f>
        <v>W R I WELLNESS RETAIL INNOVATIONS INC - DR. KONG - GENERIC</v>
      </c>
      <c r="B511" t="str">
        <f>Table3[[#This Row],[Client ID]] &amp; " - " &amp; Table3[[#This Row],[SO Number]]</f>
        <v>W R I WELLNESS RETAIL INNOVATIONS INC - DR. KONG - GENERIC - SO-021</v>
      </c>
      <c r="C511" t="s">
        <v>178</v>
      </c>
      <c r="D511" t="s">
        <v>1055</v>
      </c>
      <c r="E511" t="s">
        <v>1056</v>
      </c>
      <c r="F511" t="s">
        <v>15</v>
      </c>
      <c r="G511" t="s">
        <v>37</v>
      </c>
      <c r="H511" t="s">
        <v>278</v>
      </c>
      <c r="I511" t="s">
        <v>63</v>
      </c>
      <c r="J511">
        <v>1</v>
      </c>
      <c r="K511">
        <v>500</v>
      </c>
      <c r="L511">
        <v>500</v>
      </c>
      <c r="M511">
        <v>500</v>
      </c>
      <c r="N511" t="s">
        <v>1010</v>
      </c>
    </row>
    <row r="512" spans="1:14" x14ac:dyDescent="0.25">
      <c r="A512" t="str">
        <f>Table3[[#This Row],[Company Name]] &amp; " - " &amp; Table3[[#This Row],[Store Name]] &amp; " - " &amp; Table3[[#This Row],[Store Branch / Address]]</f>
        <v>ROCKWELL LAND CORPORATION - ROCKWELL LAND CORPORATION - GENERIC</v>
      </c>
      <c r="B512" t="str">
        <f>Table3[[#This Row],[Client ID]] &amp; " - " &amp; Table3[[#This Row],[SO Number]]</f>
        <v>ROCKWELL LAND CORPORATION - ROCKWELL LAND CORPORATION - GENERIC - SO-042</v>
      </c>
      <c r="C512" t="s">
        <v>295</v>
      </c>
      <c r="D512" t="s">
        <v>296</v>
      </c>
      <c r="E512" t="s">
        <v>296</v>
      </c>
      <c r="F512" t="s">
        <v>15</v>
      </c>
      <c r="G512" t="s">
        <v>37</v>
      </c>
      <c r="H512" t="s">
        <v>297</v>
      </c>
      <c r="I512" t="s">
        <v>177</v>
      </c>
      <c r="J512">
        <v>3</v>
      </c>
      <c r="K512">
        <v>9500</v>
      </c>
      <c r="L512">
        <v>12800</v>
      </c>
      <c r="M512">
        <v>38400</v>
      </c>
      <c r="N512" t="s">
        <v>19</v>
      </c>
    </row>
    <row r="513" spans="1:14" x14ac:dyDescent="0.25">
      <c r="A513" t="str">
        <f>Table3[[#This Row],[Company Name]] &amp; " - " &amp; Table3[[#This Row],[Store Name]] &amp; " - " &amp; Table3[[#This Row],[Store Branch / Address]]</f>
        <v>ROCKWELL LAND CORPORATION - ROCKWELL LAND CORPORATION - GENERIC</v>
      </c>
      <c r="B513" t="str">
        <f>Table3[[#This Row],[Client ID]] &amp; " - " &amp; Table3[[#This Row],[SO Number]]</f>
        <v>ROCKWELL LAND CORPORATION - ROCKWELL LAND CORPORATION - GENERIC - SO-042</v>
      </c>
      <c r="C513" t="s">
        <v>295</v>
      </c>
      <c r="D513" t="s">
        <v>296</v>
      </c>
      <c r="E513" t="s">
        <v>296</v>
      </c>
      <c r="F513" t="s">
        <v>15</v>
      </c>
      <c r="G513" t="s">
        <v>37</v>
      </c>
      <c r="H513" t="s">
        <v>297</v>
      </c>
      <c r="I513" t="s">
        <v>298</v>
      </c>
      <c r="J513">
        <v>2</v>
      </c>
      <c r="K513">
        <v>11000</v>
      </c>
      <c r="L513">
        <v>15250</v>
      </c>
      <c r="M513">
        <v>30500</v>
      </c>
      <c r="N513" t="s">
        <v>19</v>
      </c>
    </row>
    <row r="514" spans="1:14" x14ac:dyDescent="0.25">
      <c r="A514" t="str">
        <f>Table3[[#This Row],[Company Name]] &amp; " - " &amp; Table3[[#This Row],[Store Name]] &amp; " - " &amp; Table3[[#This Row],[Store Branch / Address]]</f>
        <v>ROCKWELL LAND CORPORATION - ROCKWELL LAND CORPORATION - GENERIC</v>
      </c>
      <c r="B514" t="str">
        <f>Table3[[#This Row],[Client ID]] &amp; " - " &amp; Table3[[#This Row],[SO Number]]</f>
        <v>ROCKWELL LAND CORPORATION - ROCKWELL LAND CORPORATION - GENERIC - SO-042</v>
      </c>
      <c r="C514" t="s">
        <v>295</v>
      </c>
      <c r="D514" t="s">
        <v>296</v>
      </c>
      <c r="E514" t="s">
        <v>296</v>
      </c>
      <c r="F514" t="s">
        <v>15</v>
      </c>
      <c r="G514" t="s">
        <v>37</v>
      </c>
      <c r="H514" t="s">
        <v>297</v>
      </c>
      <c r="I514" t="s">
        <v>97</v>
      </c>
      <c r="J514">
        <v>8</v>
      </c>
      <c r="K514">
        <v>2200</v>
      </c>
      <c r="L514">
        <v>2800</v>
      </c>
      <c r="M514">
        <v>22400</v>
      </c>
      <c r="N514" t="s">
        <v>19</v>
      </c>
    </row>
    <row r="515" spans="1:14" x14ac:dyDescent="0.25">
      <c r="A515" t="str">
        <f>Table3[[#This Row],[Company Name]] &amp; " - " &amp; Table3[[#This Row],[Store Name]] &amp; " - " &amp; Table3[[#This Row],[Store Branch / Address]]</f>
        <v>ROCKWELL LAND CORPORATION - ROCKWELL LAND CORPORATION - GENERIC</v>
      </c>
      <c r="B515" t="str">
        <f>Table3[[#This Row],[Client ID]] &amp; " - " &amp; Table3[[#This Row],[SO Number]]</f>
        <v>ROCKWELL LAND CORPORATION - ROCKWELL LAND CORPORATION - GENERIC - SO-042</v>
      </c>
      <c r="C515" t="s">
        <v>295</v>
      </c>
      <c r="D515" t="s">
        <v>296</v>
      </c>
      <c r="E515" t="s">
        <v>296</v>
      </c>
      <c r="F515" t="s">
        <v>15</v>
      </c>
      <c r="G515" t="s">
        <v>37</v>
      </c>
      <c r="H515" t="s">
        <v>297</v>
      </c>
      <c r="I515" t="s">
        <v>76</v>
      </c>
      <c r="J515">
        <v>1</v>
      </c>
      <c r="K515">
        <v>500</v>
      </c>
      <c r="L515">
        <v>500</v>
      </c>
      <c r="M515">
        <v>500</v>
      </c>
      <c r="N515" t="s">
        <v>19</v>
      </c>
    </row>
    <row r="516" spans="1:14" x14ac:dyDescent="0.25">
      <c r="A516" t="str">
        <f>Table3[[#This Row],[Company Name]] &amp; " - " &amp; Table3[[#This Row],[Store Name]] &amp; " - " &amp; Table3[[#This Row],[Store Branch / Address]]</f>
        <v>CHICKEN DELI - ISSY &amp;CO. - GENERIC</v>
      </c>
      <c r="B516" t="str">
        <f>Table3[[#This Row],[Client ID]] &amp; " - " &amp; Table3[[#This Row],[SO Number]]</f>
        <v>CHICKEN DELI - ISSY &amp;CO. - GENERIC - SO-059</v>
      </c>
      <c r="C516" t="s">
        <v>386</v>
      </c>
      <c r="D516" t="s">
        <v>20</v>
      </c>
      <c r="E516" t="s">
        <v>132</v>
      </c>
      <c r="F516" t="s">
        <v>15</v>
      </c>
      <c r="G516" t="s">
        <v>22</v>
      </c>
      <c r="H516" t="s">
        <v>388</v>
      </c>
      <c r="I516" t="s">
        <v>133</v>
      </c>
      <c r="J516">
        <v>1</v>
      </c>
      <c r="K516">
        <v>3675</v>
      </c>
      <c r="L516">
        <v>10500</v>
      </c>
      <c r="M516">
        <v>10500</v>
      </c>
      <c r="N516" t="s">
        <v>19</v>
      </c>
    </row>
    <row r="517" spans="1:14" x14ac:dyDescent="0.25">
      <c r="A517" t="str">
        <f>Table3[[#This Row],[Company Name]] &amp; " - " &amp; Table3[[#This Row],[Store Name]] &amp; " - " &amp; Table3[[#This Row],[Store Branch / Address]]</f>
        <v>CHICKEN DELI - ISSY &amp;CO. - GENERIC</v>
      </c>
      <c r="B517" t="str">
        <f>Table3[[#This Row],[Client ID]] &amp; " - " &amp; Table3[[#This Row],[SO Number]]</f>
        <v>CHICKEN DELI - ISSY &amp;CO. - GENERIC - SO-059</v>
      </c>
      <c r="C517" t="s">
        <v>386</v>
      </c>
      <c r="D517" t="s">
        <v>20</v>
      </c>
      <c r="E517" t="s">
        <v>132</v>
      </c>
      <c r="F517" t="s">
        <v>15</v>
      </c>
      <c r="G517" t="s">
        <v>22</v>
      </c>
      <c r="H517" t="s">
        <v>388</v>
      </c>
      <c r="I517" t="s">
        <v>25</v>
      </c>
      <c r="J517">
        <v>1</v>
      </c>
      <c r="K517">
        <v>12800</v>
      </c>
      <c r="L517">
        <v>12800</v>
      </c>
      <c r="M517">
        <v>12800</v>
      </c>
      <c r="N517" t="s">
        <v>19</v>
      </c>
    </row>
    <row r="518" spans="1:14" x14ac:dyDescent="0.25">
      <c r="A518" t="str">
        <f>Table3[[#This Row],[Company Name]] &amp; " - " &amp; Table3[[#This Row],[Store Name]] &amp; " - " &amp; Table3[[#This Row],[Store Branch / Address]]</f>
        <v>CHICKEN DELI - ISSY &amp;CO. - GENERIC</v>
      </c>
      <c r="B518" t="str">
        <f>Table3[[#This Row],[Client ID]] &amp; " - " &amp; Table3[[#This Row],[SO Number]]</f>
        <v>CHICKEN DELI - ISSY &amp;CO. - GENERIC - SO-059</v>
      </c>
      <c r="C518" t="s">
        <v>386</v>
      </c>
      <c r="D518" t="s">
        <v>20</v>
      </c>
      <c r="E518" t="s">
        <v>132</v>
      </c>
      <c r="F518" t="s">
        <v>15</v>
      </c>
      <c r="G518" t="s">
        <v>22</v>
      </c>
      <c r="H518" t="s">
        <v>388</v>
      </c>
      <c r="I518" t="s">
        <v>24</v>
      </c>
      <c r="J518">
        <v>1</v>
      </c>
      <c r="K518">
        <v>12800</v>
      </c>
      <c r="L518">
        <v>12800</v>
      </c>
      <c r="M518">
        <v>12800</v>
      </c>
      <c r="N518" t="s">
        <v>19</v>
      </c>
    </row>
    <row r="519" spans="1:14" x14ac:dyDescent="0.25">
      <c r="A519" t="str">
        <f>Table3[[#This Row],[Company Name]] &amp; " - " &amp; Table3[[#This Row],[Store Name]] &amp; " - " &amp; Table3[[#This Row],[Store Branch / Address]]</f>
        <v>CHICKEN DELI - ISSY &amp;CO. - GENERIC</v>
      </c>
      <c r="B519" t="str">
        <f>Table3[[#This Row],[Client ID]] &amp; " - " &amp; Table3[[#This Row],[SO Number]]</f>
        <v>CHICKEN DELI - ISSY &amp;CO. - GENERIC - SO-059</v>
      </c>
      <c r="C519" t="s">
        <v>386</v>
      </c>
      <c r="D519" t="s">
        <v>20</v>
      </c>
      <c r="E519" t="s">
        <v>132</v>
      </c>
      <c r="F519" t="s">
        <v>15</v>
      </c>
      <c r="G519" t="s">
        <v>22</v>
      </c>
      <c r="H519" t="s">
        <v>388</v>
      </c>
      <c r="I519" t="s">
        <v>134</v>
      </c>
      <c r="J519">
        <v>1</v>
      </c>
      <c r="K519">
        <v>500</v>
      </c>
      <c r="L519">
        <v>500</v>
      </c>
      <c r="M519">
        <v>500</v>
      </c>
      <c r="N519" t="s">
        <v>19</v>
      </c>
    </row>
    <row r="520" spans="1:14" x14ac:dyDescent="0.25">
      <c r="A520" t="str">
        <f>Table3[[#This Row],[Company Name]] &amp; " - " &amp; Table3[[#This Row],[Store Name]] &amp; " - " &amp; Table3[[#This Row],[Store Branch / Address]]</f>
        <v>CHICKEN DELI - ISSY &amp;CO. - GENERIC</v>
      </c>
      <c r="B520" t="str">
        <f>Table3[[#This Row],[Client ID]] &amp; " - " &amp; Table3[[#This Row],[SO Number]]</f>
        <v>CHICKEN DELI - ISSY &amp;CO. - GENERIC - SO-059</v>
      </c>
      <c r="C520" t="s">
        <v>386</v>
      </c>
      <c r="D520" t="s">
        <v>20</v>
      </c>
      <c r="E520" t="s">
        <v>132</v>
      </c>
      <c r="F520" t="s">
        <v>15</v>
      </c>
      <c r="G520" t="s">
        <v>22</v>
      </c>
      <c r="H520" t="s">
        <v>388</v>
      </c>
      <c r="I520" t="s">
        <v>135</v>
      </c>
      <c r="J520">
        <v>1</v>
      </c>
      <c r="K520">
        <v>4550</v>
      </c>
      <c r="L520">
        <v>6500</v>
      </c>
      <c r="M520">
        <v>6500</v>
      </c>
      <c r="N520" t="s">
        <v>19</v>
      </c>
    </row>
    <row r="521" spans="1:14" x14ac:dyDescent="0.25">
      <c r="A521" t="str">
        <f>Table3[[#This Row],[Company Name]] &amp; " - " &amp; Table3[[#This Row],[Store Name]] &amp; " - " &amp; Table3[[#This Row],[Store Branch / Address]]</f>
        <v>CHICKEN DELI - ISSY &amp;CO. - GENERIC</v>
      </c>
      <c r="B521" t="str">
        <f>Table3[[#This Row],[Client ID]] &amp; " - " &amp; Table3[[#This Row],[SO Number]]</f>
        <v>CHICKEN DELI - ISSY &amp;CO. - GENERIC - SO-059</v>
      </c>
      <c r="C521" t="s">
        <v>386</v>
      </c>
      <c r="D521" t="s">
        <v>20</v>
      </c>
      <c r="E521" t="s">
        <v>132</v>
      </c>
      <c r="F521" t="s">
        <v>15</v>
      </c>
      <c r="G521" t="s">
        <v>22</v>
      </c>
      <c r="H521" t="s">
        <v>388</v>
      </c>
      <c r="I521" t="s">
        <v>136</v>
      </c>
      <c r="J521">
        <v>1</v>
      </c>
      <c r="K521">
        <v>8500</v>
      </c>
      <c r="L521">
        <v>12000</v>
      </c>
      <c r="M521">
        <v>12000</v>
      </c>
      <c r="N521" t="s">
        <v>19</v>
      </c>
    </row>
    <row r="522" spans="1:14" x14ac:dyDescent="0.25">
      <c r="A522" t="str">
        <f>Table3[[#This Row],[Company Name]] &amp; " - " &amp; Table3[[#This Row],[Store Name]] &amp; " - " &amp; Table3[[#This Row],[Store Branch / Address]]</f>
        <v>CHICKEN DELI - ISSY &amp;CO. - GENERIC</v>
      </c>
      <c r="B522" t="str">
        <f>Table3[[#This Row],[Client ID]] &amp; " - " &amp; Table3[[#This Row],[SO Number]]</f>
        <v>CHICKEN DELI - ISSY &amp;CO. - GENERIC - SO-059</v>
      </c>
      <c r="C522" t="s">
        <v>386</v>
      </c>
      <c r="D522" t="s">
        <v>20</v>
      </c>
      <c r="E522" t="s">
        <v>132</v>
      </c>
      <c r="F522" t="s">
        <v>15</v>
      </c>
      <c r="G522" t="s">
        <v>22</v>
      </c>
      <c r="H522" t="s">
        <v>388</v>
      </c>
      <c r="I522" t="s">
        <v>98</v>
      </c>
      <c r="J522">
        <v>1</v>
      </c>
      <c r="K522">
        <v>935</v>
      </c>
      <c r="L522">
        <v>1300</v>
      </c>
      <c r="M522">
        <v>1300</v>
      </c>
      <c r="N522" t="s">
        <v>19</v>
      </c>
    </row>
    <row r="523" spans="1:14" x14ac:dyDescent="0.25">
      <c r="A523" t="str">
        <f>Table3[[#This Row],[Company Name]] &amp; " - " &amp; Table3[[#This Row],[Store Name]] &amp; " - " &amp; Table3[[#This Row],[Store Branch / Address]]</f>
        <v>CHICKEN DELI - ISSY &amp;CO. - GENERIC</v>
      </c>
      <c r="B523" t="str">
        <f>Table3[[#This Row],[Client ID]] &amp; " - " &amp; Table3[[#This Row],[SO Number]]</f>
        <v>CHICKEN DELI - ISSY &amp;CO. - GENERIC - SO-059</v>
      </c>
      <c r="C523" t="s">
        <v>386</v>
      </c>
      <c r="D523" t="s">
        <v>20</v>
      </c>
      <c r="E523" t="s">
        <v>132</v>
      </c>
      <c r="F523" t="s">
        <v>15</v>
      </c>
      <c r="G523" t="s">
        <v>22</v>
      </c>
      <c r="H523" t="s">
        <v>388</v>
      </c>
      <c r="I523" t="s">
        <v>116</v>
      </c>
      <c r="J523">
        <v>1</v>
      </c>
      <c r="K523">
        <v>2185</v>
      </c>
      <c r="L523">
        <v>3500</v>
      </c>
      <c r="M523">
        <v>3500</v>
      </c>
      <c r="N523" t="s">
        <v>19</v>
      </c>
    </row>
    <row r="524" spans="1:14" x14ac:dyDescent="0.25">
      <c r="A524" t="str">
        <f>Table3[[#This Row],[Company Name]] &amp; " - " &amp; Table3[[#This Row],[Store Name]] &amp; " - " &amp; Table3[[#This Row],[Store Branch / Address]]</f>
        <v>CHICKEN DELI - ISSY &amp;CO. - GENERIC</v>
      </c>
      <c r="B524" t="str">
        <f>Table3[[#This Row],[Client ID]] &amp; " - " &amp; Table3[[#This Row],[SO Number]]</f>
        <v>CHICKEN DELI - ISSY &amp;CO. - GENERIC - SO-059</v>
      </c>
      <c r="C524" t="s">
        <v>386</v>
      </c>
      <c r="D524" t="s">
        <v>20</v>
      </c>
      <c r="E524" t="s">
        <v>132</v>
      </c>
      <c r="F524" t="s">
        <v>15</v>
      </c>
      <c r="G524" t="s">
        <v>22</v>
      </c>
      <c r="H524" t="s">
        <v>388</v>
      </c>
      <c r="I524" t="s">
        <v>137</v>
      </c>
      <c r="J524">
        <v>1</v>
      </c>
      <c r="K524">
        <v>2200</v>
      </c>
      <c r="L524">
        <v>3100</v>
      </c>
      <c r="M524">
        <v>3100</v>
      </c>
      <c r="N524" t="s">
        <v>19</v>
      </c>
    </row>
    <row r="525" spans="1:14" x14ac:dyDescent="0.25">
      <c r="A525" t="str">
        <f>Table3[[#This Row],[Company Name]] &amp; " - " &amp; Table3[[#This Row],[Store Name]] &amp; " - " &amp; Table3[[#This Row],[Store Branch / Address]]</f>
        <v>CHICKEN DELI - ISSY &amp;CO. - GENERIC</v>
      </c>
      <c r="B525" t="str">
        <f>Table3[[#This Row],[Client ID]] &amp; " - " &amp; Table3[[#This Row],[SO Number]]</f>
        <v>CHICKEN DELI - ISSY &amp;CO. - GENERIC - SO-059</v>
      </c>
      <c r="C525" t="s">
        <v>386</v>
      </c>
      <c r="D525" t="s">
        <v>20</v>
      </c>
      <c r="E525" t="s">
        <v>132</v>
      </c>
      <c r="F525" t="s">
        <v>15</v>
      </c>
      <c r="G525" t="s">
        <v>22</v>
      </c>
      <c r="H525" t="s">
        <v>388</v>
      </c>
      <c r="I525" t="s">
        <v>138</v>
      </c>
      <c r="J525">
        <v>1</v>
      </c>
      <c r="K525">
        <v>18700</v>
      </c>
      <c r="L525">
        <v>27000</v>
      </c>
      <c r="M525">
        <v>27000</v>
      </c>
      <c r="N525" t="s">
        <v>19</v>
      </c>
    </row>
    <row r="526" spans="1:14" x14ac:dyDescent="0.25">
      <c r="A526" t="str">
        <f>Table3[[#This Row],[Company Name]] &amp; " - " &amp; Table3[[#This Row],[Store Name]] &amp; " - " &amp; Table3[[#This Row],[Store Branch / Address]]</f>
        <v>CHICKEN DELI - ISSY &amp;CO. - GENERIC</v>
      </c>
      <c r="B526" t="str">
        <f>Table3[[#This Row],[Client ID]] &amp; " - " &amp; Table3[[#This Row],[SO Number]]</f>
        <v>CHICKEN DELI - ISSY &amp;CO. - GENERIC - SO-059</v>
      </c>
      <c r="C526" t="s">
        <v>386</v>
      </c>
      <c r="D526" t="s">
        <v>20</v>
      </c>
      <c r="E526" t="s">
        <v>132</v>
      </c>
      <c r="F526" t="s">
        <v>15</v>
      </c>
      <c r="G526" t="s">
        <v>22</v>
      </c>
      <c r="H526" t="s">
        <v>388</v>
      </c>
      <c r="I526" t="s">
        <v>139</v>
      </c>
      <c r="J526">
        <v>1</v>
      </c>
      <c r="K526">
        <v>2800</v>
      </c>
      <c r="L526">
        <v>4000</v>
      </c>
      <c r="M526">
        <v>4000</v>
      </c>
      <c r="N526" t="s">
        <v>19</v>
      </c>
    </row>
    <row r="527" spans="1:14" x14ac:dyDescent="0.25">
      <c r="A527" t="str">
        <f>Table3[[#This Row],[Company Name]] &amp; " - " &amp; Table3[[#This Row],[Store Name]] &amp; " - " &amp; Table3[[#This Row],[Store Branch / Address]]</f>
        <v>CHICKEN DELI - ISSY &amp;CO. - GENERIC</v>
      </c>
      <c r="B527" t="str">
        <f>Table3[[#This Row],[Client ID]] &amp; " - " &amp; Table3[[#This Row],[SO Number]]</f>
        <v>CHICKEN DELI - ISSY &amp;CO. - GENERIC - SO-059</v>
      </c>
      <c r="C527" t="s">
        <v>386</v>
      </c>
      <c r="D527" t="s">
        <v>20</v>
      </c>
      <c r="E527" t="s">
        <v>132</v>
      </c>
      <c r="F527" t="s">
        <v>15</v>
      </c>
      <c r="G527" t="s">
        <v>22</v>
      </c>
      <c r="H527" t="s">
        <v>388</v>
      </c>
      <c r="I527" t="s">
        <v>99</v>
      </c>
      <c r="J527">
        <v>1</v>
      </c>
      <c r="K527">
        <v>2800</v>
      </c>
      <c r="L527">
        <v>4000</v>
      </c>
      <c r="M527">
        <v>4000</v>
      </c>
      <c r="N527" t="s">
        <v>19</v>
      </c>
    </row>
    <row r="528" spans="1:14" x14ac:dyDescent="0.25">
      <c r="A528" t="str">
        <f>Table3[[#This Row],[Company Name]] &amp; " - " &amp; Table3[[#This Row],[Store Name]] &amp; " - " &amp; Table3[[#This Row],[Store Branch / Address]]</f>
        <v>CHICKEN DELI - ISSY &amp;CO. - GENERIC</v>
      </c>
      <c r="B528" t="str">
        <f>Table3[[#This Row],[Client ID]] &amp; " - " &amp; Table3[[#This Row],[SO Number]]</f>
        <v>CHICKEN DELI - ISSY &amp;CO. - GENERIC - SO-059</v>
      </c>
      <c r="C528" t="s">
        <v>386</v>
      </c>
      <c r="D528" t="s">
        <v>20</v>
      </c>
      <c r="E528" t="s">
        <v>132</v>
      </c>
      <c r="F528" t="s">
        <v>15</v>
      </c>
      <c r="G528" t="s">
        <v>22</v>
      </c>
      <c r="H528" t="s">
        <v>388</v>
      </c>
      <c r="I528" t="s">
        <v>76</v>
      </c>
      <c r="J528">
        <v>1</v>
      </c>
      <c r="K528">
        <v>500</v>
      </c>
      <c r="L528">
        <v>500</v>
      </c>
      <c r="M528">
        <v>500</v>
      </c>
      <c r="N528" t="s">
        <v>19</v>
      </c>
    </row>
    <row r="529" spans="1:14" x14ac:dyDescent="0.25">
      <c r="A529" t="str">
        <f>Table3[[#This Row],[Company Name]] &amp; " - " &amp; Table3[[#This Row],[Store Name]] &amp; " - " &amp; Table3[[#This Row],[Store Branch / Address]]</f>
        <v>CHICKEN DELI - MN+LA APPAREL - GENERIC</v>
      </c>
      <c r="B529" t="str">
        <f>Table3[[#This Row],[Client ID]] &amp; " - " &amp; Table3[[#This Row],[SO Number]]</f>
        <v>CHICKEN DELI - MN+LA APPAREL - GENERIC - SO-049</v>
      </c>
      <c r="C529" t="s">
        <v>345</v>
      </c>
      <c r="D529" t="s">
        <v>20</v>
      </c>
      <c r="E529" t="s">
        <v>119</v>
      </c>
      <c r="F529" t="s">
        <v>15</v>
      </c>
      <c r="G529" t="s">
        <v>22</v>
      </c>
      <c r="H529" t="s">
        <v>1347</v>
      </c>
      <c r="I529" t="s">
        <v>154</v>
      </c>
      <c r="J529">
        <v>1</v>
      </c>
      <c r="K529">
        <v>1100</v>
      </c>
      <c r="L529">
        <v>1600</v>
      </c>
      <c r="M529">
        <v>1600</v>
      </c>
      <c r="N529" t="s">
        <v>19</v>
      </c>
    </row>
    <row r="530" spans="1:14" x14ac:dyDescent="0.25">
      <c r="A530" t="str">
        <f>Table3[[#This Row],[Company Name]] &amp; " - " &amp; Table3[[#This Row],[Store Name]] &amp; " - " &amp; Table3[[#This Row],[Store Branch / Address]]</f>
        <v>CHICKEN DELI - MN+LA APPAREL - GENERIC</v>
      </c>
      <c r="B530" t="str">
        <f>Table3[[#This Row],[Client ID]] &amp; " - " &amp; Table3[[#This Row],[SO Number]]</f>
        <v>CHICKEN DELI - MN+LA APPAREL - GENERIC - SO-049</v>
      </c>
      <c r="C530" t="s">
        <v>345</v>
      </c>
      <c r="D530" t="s">
        <v>20</v>
      </c>
      <c r="E530" t="s">
        <v>119</v>
      </c>
      <c r="F530" t="s">
        <v>15</v>
      </c>
      <c r="G530" t="s">
        <v>22</v>
      </c>
      <c r="H530" t="s">
        <v>1347</v>
      </c>
      <c r="I530" t="s">
        <v>1079</v>
      </c>
      <c r="J530">
        <v>1</v>
      </c>
      <c r="K530">
        <v>80</v>
      </c>
      <c r="L530">
        <v>200</v>
      </c>
      <c r="M530">
        <v>200</v>
      </c>
      <c r="N530" t="s">
        <v>19</v>
      </c>
    </row>
    <row r="531" spans="1:14" x14ac:dyDescent="0.25">
      <c r="A531" t="str">
        <f>Table3[[#This Row],[Company Name]] &amp; " - " &amp; Table3[[#This Row],[Store Name]] &amp; " - " &amp; Table3[[#This Row],[Store Branch / Address]]</f>
        <v>CHICKEN DELI - MN+LA APPAREL - GENERIC</v>
      </c>
      <c r="B531" t="str">
        <f>Table3[[#This Row],[Client ID]] &amp; " - " &amp; Table3[[#This Row],[SO Number]]</f>
        <v>CHICKEN DELI - MN+LA APPAREL - GENERIC - SO-049</v>
      </c>
      <c r="C531" t="s">
        <v>345</v>
      </c>
      <c r="D531" t="s">
        <v>20</v>
      </c>
      <c r="E531" t="s">
        <v>119</v>
      </c>
      <c r="F531" t="s">
        <v>15</v>
      </c>
      <c r="G531" t="s">
        <v>22</v>
      </c>
      <c r="H531" t="s">
        <v>1347</v>
      </c>
      <c r="I531" t="s">
        <v>1078</v>
      </c>
      <c r="J531">
        <v>1</v>
      </c>
      <c r="K531">
        <v>30</v>
      </c>
      <c r="L531">
        <v>200</v>
      </c>
      <c r="M531">
        <v>200</v>
      </c>
      <c r="N531" t="s">
        <v>19</v>
      </c>
    </row>
    <row r="532" spans="1:14" x14ac:dyDescent="0.25">
      <c r="A532" t="str">
        <f>Table3[[#This Row],[Company Name]] &amp; " - " &amp; Table3[[#This Row],[Store Name]] &amp; " - " &amp; Table3[[#This Row],[Store Branch / Address]]</f>
        <v>CHICKEN DELI - OJO EYEWEAR - GENERIC</v>
      </c>
      <c r="B532" t="str">
        <f>Table3[[#This Row],[Client ID]] &amp; " - " &amp; Table3[[#This Row],[SO Number]]</f>
        <v>CHICKEN DELI - OJO EYEWEAR - GENERIC - SO-061</v>
      </c>
      <c r="C532" t="s">
        <v>398</v>
      </c>
      <c r="D532" t="s">
        <v>20</v>
      </c>
      <c r="E532" t="s">
        <v>70</v>
      </c>
      <c r="F532" t="s">
        <v>15</v>
      </c>
      <c r="G532" t="s">
        <v>22</v>
      </c>
      <c r="H532" t="s">
        <v>399</v>
      </c>
      <c r="I532" t="s">
        <v>400</v>
      </c>
      <c r="J532">
        <v>100</v>
      </c>
      <c r="K532">
        <v>17</v>
      </c>
      <c r="L532">
        <v>25</v>
      </c>
      <c r="M532">
        <v>2500</v>
      </c>
      <c r="N532" t="s">
        <v>19</v>
      </c>
    </row>
    <row r="533" spans="1:14" x14ac:dyDescent="0.25">
      <c r="A533" t="str">
        <f>Table3[[#This Row],[Company Name]] &amp; " - " &amp; Table3[[#This Row],[Store Name]] &amp; " - " &amp; Table3[[#This Row],[Store Branch / Address]]</f>
        <v>CHICKEN DELI - OJO EYEWEAR - GENERIC</v>
      </c>
      <c r="B533" t="str">
        <f>Table3[[#This Row],[Client ID]] &amp; " - " &amp; Table3[[#This Row],[SO Number]]</f>
        <v>CHICKEN DELI - OJO EYEWEAR - GENERIC - SO-061</v>
      </c>
      <c r="C533" t="s">
        <v>398</v>
      </c>
      <c r="D533" t="s">
        <v>20</v>
      </c>
      <c r="E533" t="s">
        <v>70</v>
      </c>
      <c r="F533" t="s">
        <v>15</v>
      </c>
      <c r="G533" t="s">
        <v>22</v>
      </c>
      <c r="H533" t="s">
        <v>399</v>
      </c>
      <c r="I533" t="s">
        <v>401</v>
      </c>
      <c r="J533">
        <v>100</v>
      </c>
      <c r="K533">
        <v>47</v>
      </c>
      <c r="L533">
        <v>80</v>
      </c>
      <c r="M533">
        <v>8000</v>
      </c>
      <c r="N533" t="s">
        <v>19</v>
      </c>
    </row>
    <row r="534" spans="1:14" x14ac:dyDescent="0.25">
      <c r="A534" t="str">
        <f>Table3[[#This Row],[Company Name]] &amp; " - " &amp; Table3[[#This Row],[Store Name]] &amp; " - " &amp; Table3[[#This Row],[Store Branch / Address]]</f>
        <v>BERNABE PAOLO CAJILI - BACOLOD CHICKEN - GENERIC</v>
      </c>
      <c r="B534" t="str">
        <f>Table3[[#This Row],[Client ID]] &amp; " - " &amp; Table3[[#This Row],[SO Number]]</f>
        <v>BERNABE PAOLO CAJILI - BACOLOD CHICKEN - GENERIC - SO-044</v>
      </c>
      <c r="C534" t="s">
        <v>309</v>
      </c>
      <c r="D534" t="s">
        <v>310</v>
      </c>
      <c r="E534" t="s">
        <v>311</v>
      </c>
      <c r="F534" t="s">
        <v>15</v>
      </c>
      <c r="G534" t="s">
        <v>22</v>
      </c>
      <c r="H534" t="s">
        <v>312</v>
      </c>
      <c r="I534" t="s">
        <v>114</v>
      </c>
      <c r="J534">
        <v>1</v>
      </c>
      <c r="K534">
        <v>3675</v>
      </c>
      <c r="L534">
        <v>10500</v>
      </c>
      <c r="M534">
        <v>10500</v>
      </c>
      <c r="N534" t="s">
        <v>19</v>
      </c>
    </row>
    <row r="535" spans="1:14" x14ac:dyDescent="0.25">
      <c r="A535" t="str">
        <f>Table3[[#This Row],[Company Name]] &amp; " - " &amp; Table3[[#This Row],[Store Name]] &amp; " - " &amp; Table3[[#This Row],[Store Branch / Address]]</f>
        <v>BERNABE PAOLO CAJILI - BACOLOD CHICKEN - GENERIC</v>
      </c>
      <c r="B535" t="str">
        <f>Table3[[#This Row],[Client ID]] &amp; " - " &amp; Table3[[#This Row],[SO Number]]</f>
        <v>BERNABE PAOLO CAJILI - BACOLOD CHICKEN - GENERIC - SO-044</v>
      </c>
      <c r="C535" t="s">
        <v>309</v>
      </c>
      <c r="D535" t="s">
        <v>310</v>
      </c>
      <c r="E535" t="s">
        <v>311</v>
      </c>
      <c r="F535" t="s">
        <v>15</v>
      </c>
      <c r="G535" t="s">
        <v>22</v>
      </c>
      <c r="H535" t="s">
        <v>312</v>
      </c>
      <c r="I535" t="s">
        <v>48</v>
      </c>
      <c r="J535">
        <v>1</v>
      </c>
      <c r="K535">
        <v>4970</v>
      </c>
      <c r="L535">
        <v>14200</v>
      </c>
      <c r="M535">
        <v>14200</v>
      </c>
      <c r="N535" t="s">
        <v>19</v>
      </c>
    </row>
    <row r="536" spans="1:14" x14ac:dyDescent="0.25">
      <c r="A536" t="str">
        <f>Table3[[#This Row],[Company Name]] &amp; " - " &amp; Table3[[#This Row],[Store Name]] &amp; " - " &amp; Table3[[#This Row],[Store Branch / Address]]</f>
        <v>BERNABE PAOLO CAJILI - BACOLOD CHICKEN - GENERIC</v>
      </c>
      <c r="B536" t="str">
        <f>Table3[[#This Row],[Client ID]] &amp; " - " &amp; Table3[[#This Row],[SO Number]]</f>
        <v>BERNABE PAOLO CAJILI - BACOLOD CHICKEN - GENERIC - SO-044</v>
      </c>
      <c r="C536" t="s">
        <v>309</v>
      </c>
      <c r="D536" t="s">
        <v>310</v>
      </c>
      <c r="E536" t="s">
        <v>311</v>
      </c>
      <c r="F536" t="s">
        <v>15</v>
      </c>
      <c r="G536" t="s">
        <v>22</v>
      </c>
      <c r="H536" t="s">
        <v>312</v>
      </c>
      <c r="I536" t="s">
        <v>24</v>
      </c>
      <c r="J536">
        <v>1</v>
      </c>
      <c r="K536">
        <v>4970</v>
      </c>
      <c r="L536">
        <v>14200</v>
      </c>
      <c r="M536">
        <v>14200</v>
      </c>
      <c r="N536" t="s">
        <v>19</v>
      </c>
    </row>
    <row r="537" spans="1:14" x14ac:dyDescent="0.25">
      <c r="A537" t="str">
        <f>Table3[[#This Row],[Company Name]] &amp; " - " &amp; Table3[[#This Row],[Store Name]] &amp; " - " &amp; Table3[[#This Row],[Store Branch / Address]]</f>
        <v>BERNABE PAOLO CAJILI - BACOLOD CHICKEN - GENERIC</v>
      </c>
      <c r="B537" t="str">
        <f>Table3[[#This Row],[Client ID]] &amp; " - " &amp; Table3[[#This Row],[SO Number]]</f>
        <v>BERNABE PAOLO CAJILI - BACOLOD CHICKEN - GENERIC - SO-044</v>
      </c>
      <c r="C537" t="s">
        <v>309</v>
      </c>
      <c r="D537" t="s">
        <v>310</v>
      </c>
      <c r="E537" t="s">
        <v>311</v>
      </c>
      <c r="F537" t="s">
        <v>15</v>
      </c>
      <c r="G537" t="s">
        <v>22</v>
      </c>
      <c r="H537" t="s">
        <v>312</v>
      </c>
      <c r="I537" t="s">
        <v>26</v>
      </c>
      <c r="J537">
        <v>1</v>
      </c>
      <c r="K537">
        <v>500</v>
      </c>
      <c r="L537">
        <v>500</v>
      </c>
      <c r="M537">
        <v>500</v>
      </c>
      <c r="N537" t="s">
        <v>19</v>
      </c>
    </row>
    <row r="538" spans="1:14" x14ac:dyDescent="0.25">
      <c r="A538" t="str">
        <f>Table3[[#This Row],[Company Name]] &amp; " - " &amp; Table3[[#This Row],[Store Name]] &amp; " - " &amp; Table3[[#This Row],[Store Branch / Address]]</f>
        <v>BERNABE PAOLO CAJILI - BACOLOD CHICKEN - GENERIC</v>
      </c>
      <c r="B538" t="str">
        <f>Table3[[#This Row],[Client ID]] &amp; " - " &amp; Table3[[#This Row],[SO Number]]</f>
        <v>BERNABE PAOLO CAJILI - BACOLOD CHICKEN - GENERIC - SO-044</v>
      </c>
      <c r="C538" t="s">
        <v>309</v>
      </c>
      <c r="D538" t="s">
        <v>310</v>
      </c>
      <c r="E538" t="s">
        <v>311</v>
      </c>
      <c r="F538" t="s">
        <v>15</v>
      </c>
      <c r="G538" t="s">
        <v>22</v>
      </c>
      <c r="H538" t="s">
        <v>312</v>
      </c>
      <c r="I538" t="s">
        <v>97</v>
      </c>
      <c r="J538">
        <v>1</v>
      </c>
      <c r="K538">
        <v>2200</v>
      </c>
      <c r="L538">
        <v>3500</v>
      </c>
      <c r="M538">
        <v>3500</v>
      </c>
      <c r="N538" t="s">
        <v>19</v>
      </c>
    </row>
    <row r="539" spans="1:14" x14ac:dyDescent="0.25">
      <c r="A539" t="str">
        <f>Table3[[#This Row],[Company Name]] &amp; " - " &amp; Table3[[#This Row],[Store Name]] &amp; " - " &amp; Table3[[#This Row],[Store Branch / Address]]</f>
        <v>BERNABE PAOLO CAJILI - BACOLOD CHICKEN - GENERIC</v>
      </c>
      <c r="B539" t="str">
        <f>Table3[[#This Row],[Client ID]] &amp; " - " &amp; Table3[[#This Row],[SO Number]]</f>
        <v>BERNABE PAOLO CAJILI - BACOLOD CHICKEN - GENERIC - SO-044</v>
      </c>
      <c r="C539" t="s">
        <v>309</v>
      </c>
      <c r="D539" t="s">
        <v>310</v>
      </c>
      <c r="E539" t="s">
        <v>311</v>
      </c>
      <c r="F539" t="s">
        <v>15</v>
      </c>
      <c r="G539" t="s">
        <v>22</v>
      </c>
      <c r="H539" t="s">
        <v>312</v>
      </c>
      <c r="I539" t="s">
        <v>38</v>
      </c>
      <c r="J539">
        <v>1</v>
      </c>
      <c r="K539">
        <v>8500</v>
      </c>
      <c r="L539">
        <v>12500</v>
      </c>
      <c r="M539">
        <v>12500</v>
      </c>
      <c r="N539" t="s">
        <v>19</v>
      </c>
    </row>
    <row r="540" spans="1:14" x14ac:dyDescent="0.25">
      <c r="A540" t="str">
        <f>Table3[[#This Row],[Company Name]] &amp; " - " &amp; Table3[[#This Row],[Store Name]] &amp; " - " &amp; Table3[[#This Row],[Store Branch / Address]]</f>
        <v>BERNABE PAOLO CAJILI - BACOLOD CHICKEN - GENERIC</v>
      </c>
      <c r="B540" t="str">
        <f>Table3[[#This Row],[Client ID]] &amp; " - " &amp; Table3[[#This Row],[SO Number]]</f>
        <v>BERNABE PAOLO CAJILI - BACOLOD CHICKEN - GENERIC - SO-044</v>
      </c>
      <c r="C540" t="s">
        <v>309</v>
      </c>
      <c r="D540" t="s">
        <v>310</v>
      </c>
      <c r="E540" t="s">
        <v>311</v>
      </c>
      <c r="F540" t="s">
        <v>15</v>
      </c>
      <c r="G540" t="s">
        <v>22</v>
      </c>
      <c r="H540" t="s">
        <v>312</v>
      </c>
      <c r="I540" t="s">
        <v>161</v>
      </c>
      <c r="J540">
        <v>1</v>
      </c>
      <c r="K540">
        <v>8500</v>
      </c>
      <c r="L540">
        <v>12500</v>
      </c>
      <c r="M540">
        <v>12500</v>
      </c>
      <c r="N540" t="s">
        <v>19</v>
      </c>
    </row>
    <row r="541" spans="1:14" x14ac:dyDescent="0.25">
      <c r="A541" t="str">
        <f>Table3[[#This Row],[Company Name]] &amp; " - " &amp; Table3[[#This Row],[Store Name]] &amp; " - " &amp; Table3[[#This Row],[Store Branch / Address]]</f>
        <v>BERNABE PAOLO CAJILI - BACOLOD CHICKEN - GENERIC</v>
      </c>
      <c r="B541" t="str">
        <f>Table3[[#This Row],[Client ID]] &amp; " - " &amp; Table3[[#This Row],[SO Number]]</f>
        <v>BERNABE PAOLO CAJILI - BACOLOD CHICKEN - GENERIC - SO-044</v>
      </c>
      <c r="C541" t="s">
        <v>309</v>
      </c>
      <c r="D541" t="s">
        <v>310</v>
      </c>
      <c r="E541" t="s">
        <v>311</v>
      </c>
      <c r="F541" t="s">
        <v>15</v>
      </c>
      <c r="G541" t="s">
        <v>22</v>
      </c>
      <c r="H541" t="s">
        <v>312</v>
      </c>
      <c r="I541" t="s">
        <v>280</v>
      </c>
      <c r="J541">
        <v>1</v>
      </c>
      <c r="K541">
        <v>850</v>
      </c>
      <c r="L541">
        <v>1500</v>
      </c>
      <c r="M541">
        <v>1500</v>
      </c>
      <c r="N541" t="s">
        <v>19</v>
      </c>
    </row>
    <row r="542" spans="1:14" x14ac:dyDescent="0.25">
      <c r="A542" t="str">
        <f>Table3[[#This Row],[Company Name]] &amp; " - " &amp; Table3[[#This Row],[Store Name]] &amp; " - " &amp; Table3[[#This Row],[Store Branch / Address]]</f>
        <v>BERNABE PAOLO CAJILI - BACOLOD CHICKEN - GENERIC</v>
      </c>
      <c r="B542" t="str">
        <f>Table3[[#This Row],[Client ID]] &amp; " - " &amp; Table3[[#This Row],[SO Number]]</f>
        <v>BERNABE PAOLO CAJILI - BACOLOD CHICKEN - GENERIC - SO-044</v>
      </c>
      <c r="C542" t="s">
        <v>309</v>
      </c>
      <c r="D542" t="s">
        <v>310</v>
      </c>
      <c r="E542" t="s">
        <v>311</v>
      </c>
      <c r="F542" t="s">
        <v>15</v>
      </c>
      <c r="G542" t="s">
        <v>22</v>
      </c>
      <c r="H542" t="s">
        <v>312</v>
      </c>
      <c r="I542" t="s">
        <v>115</v>
      </c>
      <c r="J542">
        <v>1</v>
      </c>
      <c r="K542">
        <v>11000</v>
      </c>
      <c r="L542">
        <v>16500</v>
      </c>
      <c r="M542">
        <v>16500</v>
      </c>
      <c r="N542" t="s">
        <v>19</v>
      </c>
    </row>
    <row r="543" spans="1:14" x14ac:dyDescent="0.25">
      <c r="A543" t="str">
        <f>Table3[[#This Row],[Company Name]] &amp; " - " &amp; Table3[[#This Row],[Store Name]] &amp; " - " &amp; Table3[[#This Row],[Store Branch / Address]]</f>
        <v>BERNABE PAOLO CAJILI - BACOLOD CHICKEN - GENERIC</v>
      </c>
      <c r="B543" t="str">
        <f>Table3[[#This Row],[Client ID]] &amp; " - " &amp; Table3[[#This Row],[SO Number]]</f>
        <v>BERNABE PAOLO CAJILI - BACOLOD CHICKEN - GENERIC - SO-044</v>
      </c>
      <c r="C543" t="s">
        <v>309</v>
      </c>
      <c r="D543" t="s">
        <v>310</v>
      </c>
      <c r="E543" t="s">
        <v>311</v>
      </c>
      <c r="F543" t="s">
        <v>15</v>
      </c>
      <c r="G543" t="s">
        <v>22</v>
      </c>
      <c r="H543" t="s">
        <v>312</v>
      </c>
      <c r="I543" t="s">
        <v>116</v>
      </c>
      <c r="J543">
        <v>1</v>
      </c>
      <c r="K543">
        <v>2185</v>
      </c>
      <c r="L543">
        <v>3500</v>
      </c>
      <c r="M543">
        <v>3500</v>
      </c>
      <c r="N543" t="s">
        <v>19</v>
      </c>
    </row>
    <row r="544" spans="1:14" x14ac:dyDescent="0.25">
      <c r="A544" t="str">
        <f>Table3[[#This Row],[Company Name]] &amp; " - " &amp; Table3[[#This Row],[Store Name]] &amp; " - " &amp; Table3[[#This Row],[Store Branch / Address]]</f>
        <v>BERNABE PAOLO CAJILI - BACOLOD CHICKEN - GENERIC</v>
      </c>
      <c r="B544" t="str">
        <f>Table3[[#This Row],[Client ID]] &amp; " - " &amp; Table3[[#This Row],[SO Number]]</f>
        <v>BERNABE PAOLO CAJILI - BACOLOD CHICKEN - GENERIC - SO-044</v>
      </c>
      <c r="C544" t="s">
        <v>309</v>
      </c>
      <c r="D544" t="s">
        <v>310</v>
      </c>
      <c r="E544" t="s">
        <v>311</v>
      </c>
      <c r="F544" t="s">
        <v>15</v>
      </c>
      <c r="G544" t="s">
        <v>22</v>
      </c>
      <c r="H544" t="s">
        <v>312</v>
      </c>
      <c r="I544" t="s">
        <v>254</v>
      </c>
      <c r="J544">
        <v>1</v>
      </c>
      <c r="K544">
        <v>3300</v>
      </c>
      <c r="L544">
        <v>4500</v>
      </c>
      <c r="M544">
        <v>4500</v>
      </c>
      <c r="N544" t="s">
        <v>19</v>
      </c>
    </row>
    <row r="545" spans="1:14" x14ac:dyDescent="0.25">
      <c r="A545" t="str">
        <f>Table3[[#This Row],[Company Name]] &amp; " - " &amp; Table3[[#This Row],[Store Name]] &amp; " - " &amp; Table3[[#This Row],[Store Branch / Address]]</f>
        <v>BERNABE PAOLO CAJILI - BACOLOD CHICKEN - GENERIC</v>
      </c>
      <c r="B545" t="str">
        <f>Table3[[#This Row],[Client ID]] &amp; " - " &amp; Table3[[#This Row],[SO Number]]</f>
        <v>BERNABE PAOLO CAJILI - BACOLOD CHICKEN - GENERIC - SO-044</v>
      </c>
      <c r="C545" t="s">
        <v>309</v>
      </c>
      <c r="D545" t="s">
        <v>310</v>
      </c>
      <c r="E545" t="s">
        <v>311</v>
      </c>
      <c r="F545" t="s">
        <v>15</v>
      </c>
      <c r="G545" t="s">
        <v>22</v>
      </c>
      <c r="H545" t="s">
        <v>312</v>
      </c>
      <c r="I545" t="s">
        <v>249</v>
      </c>
      <c r="J545">
        <v>1</v>
      </c>
      <c r="K545">
        <v>21500</v>
      </c>
      <c r="L545">
        <v>32500</v>
      </c>
      <c r="M545">
        <v>32500</v>
      </c>
      <c r="N545" t="s">
        <v>19</v>
      </c>
    </row>
    <row r="546" spans="1:14" x14ac:dyDescent="0.25">
      <c r="A546" t="str">
        <f>Table3[[#This Row],[Company Name]] &amp; " - " &amp; Table3[[#This Row],[Store Name]] &amp; " - " &amp; Table3[[#This Row],[Store Branch / Address]]</f>
        <v>M W TOWNSTORE - M &amp; W - GENERIC</v>
      </c>
      <c r="B546" t="str">
        <f>Table3[[#This Row],[Client ID]] &amp; " - " &amp; Table3[[#This Row],[SO Number]]</f>
        <v>M W TOWNSTORE - M &amp; W - GENERIC - SO-060</v>
      </c>
      <c r="C546" t="s">
        <v>391</v>
      </c>
      <c r="D546" t="s">
        <v>191</v>
      </c>
      <c r="E546" t="s">
        <v>192</v>
      </c>
      <c r="F546" t="s">
        <v>15</v>
      </c>
      <c r="G546" t="s">
        <v>22</v>
      </c>
      <c r="H546" t="s">
        <v>312</v>
      </c>
      <c r="I546" t="s">
        <v>392</v>
      </c>
      <c r="J546">
        <v>2</v>
      </c>
      <c r="K546">
        <v>3360</v>
      </c>
      <c r="L546">
        <v>5300</v>
      </c>
      <c r="M546">
        <v>10600</v>
      </c>
      <c r="N546" t="s">
        <v>19</v>
      </c>
    </row>
    <row r="547" spans="1:14" x14ac:dyDescent="0.25">
      <c r="A547" t="str">
        <f>Table3[[#This Row],[Company Name]] &amp; " - " &amp; Table3[[#This Row],[Store Name]] &amp; " - " &amp; Table3[[#This Row],[Store Branch / Address]]</f>
        <v>M W TOWNSTORE - M &amp; W - GENERIC</v>
      </c>
      <c r="B547" t="str">
        <f>Table3[[#This Row],[Client ID]] &amp; " - " &amp; Table3[[#This Row],[SO Number]]</f>
        <v>M W TOWNSTORE - M &amp; W - GENERIC - SO-060</v>
      </c>
      <c r="C547" t="s">
        <v>391</v>
      </c>
      <c r="D547" t="s">
        <v>191</v>
      </c>
      <c r="E547" t="s">
        <v>192</v>
      </c>
      <c r="F547" t="s">
        <v>15</v>
      </c>
      <c r="G547" t="s">
        <v>22</v>
      </c>
      <c r="H547" t="s">
        <v>312</v>
      </c>
      <c r="I547" t="s">
        <v>393</v>
      </c>
      <c r="J547">
        <v>1</v>
      </c>
      <c r="K547">
        <v>1000</v>
      </c>
      <c r="L547">
        <v>1000</v>
      </c>
      <c r="M547">
        <v>1000</v>
      </c>
      <c r="N547" t="s">
        <v>19</v>
      </c>
    </row>
    <row r="548" spans="1:14" x14ac:dyDescent="0.25">
      <c r="A548" t="str">
        <f>Table3[[#This Row],[Company Name]] &amp; " - " &amp; Table3[[#This Row],[Store Name]] &amp; " - " &amp; Table3[[#This Row],[Store Branch / Address]]</f>
        <v>SERENITEA - SERENITEA - GENERIC</v>
      </c>
      <c r="B548" t="str">
        <f>Table3[[#This Row],[Client ID]] &amp; " - " &amp; Table3[[#This Row],[SO Number]]</f>
        <v>SERENITEA - SERENITEA - GENERIC - SO-045</v>
      </c>
      <c r="C548" t="s">
        <v>320</v>
      </c>
      <c r="D548" t="s">
        <v>239</v>
      </c>
      <c r="E548" t="s">
        <v>239</v>
      </c>
      <c r="F548" t="s">
        <v>15</v>
      </c>
      <c r="G548" t="s">
        <v>37</v>
      </c>
      <c r="H548" t="s">
        <v>332</v>
      </c>
      <c r="I548" t="s">
        <v>154</v>
      </c>
      <c r="J548">
        <v>3</v>
      </c>
      <c r="K548">
        <v>965</v>
      </c>
      <c r="L548">
        <v>1300</v>
      </c>
      <c r="M548">
        <v>3900</v>
      </c>
      <c r="N548" t="s">
        <v>19</v>
      </c>
    </row>
    <row r="549" spans="1:14" x14ac:dyDescent="0.25">
      <c r="A549" t="str">
        <f>Table3[[#This Row],[Company Name]] &amp; " - " &amp; Table3[[#This Row],[Store Name]] &amp; " - " &amp; Table3[[#This Row],[Store Branch / Address]]</f>
        <v>SERENITEA - SERENITEA - GENERIC</v>
      </c>
      <c r="B549" t="str">
        <f>Table3[[#This Row],[Client ID]] &amp; " - " &amp; Table3[[#This Row],[SO Number]]</f>
        <v>SERENITEA - SERENITEA - GENERIC - SO-045</v>
      </c>
      <c r="C549" t="s">
        <v>320</v>
      </c>
      <c r="D549" t="s">
        <v>239</v>
      </c>
      <c r="E549" t="s">
        <v>239</v>
      </c>
      <c r="F549" t="s">
        <v>15</v>
      </c>
      <c r="G549" t="s">
        <v>37</v>
      </c>
      <c r="H549" t="s">
        <v>332</v>
      </c>
      <c r="I549" t="s">
        <v>333</v>
      </c>
      <c r="J549">
        <v>3</v>
      </c>
      <c r="K549">
        <v>20</v>
      </c>
      <c r="L549">
        <v>100</v>
      </c>
      <c r="M549">
        <v>300</v>
      </c>
      <c r="N549" t="s">
        <v>19</v>
      </c>
    </row>
    <row r="550" spans="1:14" x14ac:dyDescent="0.25">
      <c r="A550" t="str">
        <f>Table3[[#This Row],[Company Name]] &amp; " - " &amp; Table3[[#This Row],[Store Name]] &amp; " - " &amp; Table3[[#This Row],[Store Branch / Address]]</f>
        <v>AAJ IT SOLUTIONS INC - AAJ IT SOLUTIONS INC - GENERIC</v>
      </c>
      <c r="B550" t="str">
        <f>Table3[[#This Row],[Client ID]] &amp; " - " &amp; Table3[[#This Row],[SO Number]]</f>
        <v>AAJ IT SOLUTIONS INC - AAJ IT SOLUTIONS INC - GENERIC - SO-046</v>
      </c>
      <c r="C550" t="s">
        <v>334</v>
      </c>
      <c r="D550" t="s">
        <v>335</v>
      </c>
      <c r="E550" t="s">
        <v>335</v>
      </c>
      <c r="F550" t="s">
        <v>15</v>
      </c>
      <c r="G550" t="s">
        <v>37</v>
      </c>
      <c r="H550" t="s">
        <v>332</v>
      </c>
      <c r="I550" t="s">
        <v>298</v>
      </c>
      <c r="J550">
        <v>3</v>
      </c>
      <c r="K550">
        <v>11000</v>
      </c>
      <c r="L550">
        <v>16500</v>
      </c>
      <c r="M550">
        <v>49500</v>
      </c>
      <c r="N550" t="s">
        <v>19</v>
      </c>
    </row>
    <row r="551" spans="1:14" x14ac:dyDescent="0.25">
      <c r="A551" t="str">
        <f>Table3[[#This Row],[Company Name]] &amp; " - " &amp; Table3[[#This Row],[Store Name]] &amp; " - " &amp; Table3[[#This Row],[Store Branch / Address]]</f>
        <v>CALEDIAN INC - CALEDIAN INC - GENERIC</v>
      </c>
      <c r="B551" t="str">
        <f>Table3[[#This Row],[Client ID]] &amp; " - " &amp; Table3[[#This Row],[SO Number]]</f>
        <v>CALEDIAN INC - CALEDIAN INC - GENERIC - SO-047</v>
      </c>
      <c r="C551" t="s">
        <v>336</v>
      </c>
      <c r="D551" t="s">
        <v>337</v>
      </c>
      <c r="E551" t="s">
        <v>337</v>
      </c>
      <c r="F551" t="s">
        <v>15</v>
      </c>
      <c r="G551" t="s">
        <v>16</v>
      </c>
      <c r="H551" t="s">
        <v>332</v>
      </c>
      <c r="I551" t="s">
        <v>33</v>
      </c>
      <c r="J551">
        <v>1</v>
      </c>
      <c r="K551">
        <v>20000</v>
      </c>
      <c r="L551">
        <v>20000</v>
      </c>
      <c r="M551">
        <v>20000</v>
      </c>
      <c r="N551" t="s">
        <v>19</v>
      </c>
    </row>
    <row r="552" spans="1:14" x14ac:dyDescent="0.25">
      <c r="A552" t="str">
        <f>Table3[[#This Row],[Company Name]] &amp; " - " &amp; Table3[[#This Row],[Store Name]] &amp; " - " &amp; Table3[[#This Row],[Store Branch / Address]]</f>
        <v>CALEDIAN INC - CALEDIAN INC - GENERIC</v>
      </c>
      <c r="B552" t="str">
        <f>Table3[[#This Row],[Client ID]] &amp; " - " &amp; Table3[[#This Row],[SO Number]]</f>
        <v>CALEDIAN INC - CALEDIAN INC - GENERIC - SO-047</v>
      </c>
      <c r="C552" t="s">
        <v>336</v>
      </c>
      <c r="D552" t="s">
        <v>337</v>
      </c>
      <c r="E552" t="s">
        <v>337</v>
      </c>
      <c r="F552" t="s">
        <v>15</v>
      </c>
      <c r="G552" t="s">
        <v>16</v>
      </c>
      <c r="H552" t="s">
        <v>332</v>
      </c>
      <c r="I552" t="s">
        <v>151</v>
      </c>
      <c r="J552">
        <v>1</v>
      </c>
      <c r="K552">
        <v>2800</v>
      </c>
      <c r="L552">
        <v>4000</v>
      </c>
      <c r="M552">
        <v>4000</v>
      </c>
      <c r="N552" t="s">
        <v>19</v>
      </c>
    </row>
    <row r="553" spans="1:14" x14ac:dyDescent="0.25">
      <c r="A553" t="str">
        <f>Table3[[#This Row],[Company Name]] &amp; " - " &amp; Table3[[#This Row],[Store Name]] &amp; " - " &amp; Table3[[#This Row],[Store Branch / Address]]</f>
        <v>SJ SHAW FOOD CORP - FAMOUS AMOS - SM STA ROSA</v>
      </c>
      <c r="B553" t="str">
        <f>Table3[[#This Row],[Client ID]] &amp; " - " &amp; Table3[[#This Row],[SO Number]]</f>
        <v>SJ SHAW FOOD CORP - FAMOUS AMOS - SM STA ROSA - SO-48</v>
      </c>
      <c r="C553" t="s">
        <v>339</v>
      </c>
      <c r="D553" t="s">
        <v>340</v>
      </c>
      <c r="E553" t="s">
        <v>341</v>
      </c>
      <c r="F553" t="s">
        <v>342</v>
      </c>
      <c r="G553" t="s">
        <v>37</v>
      </c>
      <c r="H553" t="s">
        <v>343</v>
      </c>
      <c r="I553" t="s">
        <v>143</v>
      </c>
      <c r="J553">
        <v>1</v>
      </c>
      <c r="K553">
        <v>2975</v>
      </c>
      <c r="L553">
        <v>8500</v>
      </c>
      <c r="M553">
        <v>8500</v>
      </c>
      <c r="N553" t="s">
        <v>39</v>
      </c>
    </row>
    <row r="554" spans="1:14" x14ac:dyDescent="0.25">
      <c r="A554" t="str">
        <f>Table3[[#This Row],[Company Name]] &amp; " - " &amp; Table3[[#This Row],[Store Name]] &amp; " - " &amp; Table3[[#This Row],[Store Branch / Address]]</f>
        <v>SJ SHAW FOOD CORP - FAMOUS AMOS - SM STA ROSA</v>
      </c>
      <c r="B554" t="str">
        <f>Table3[[#This Row],[Client ID]] &amp; " - " &amp; Table3[[#This Row],[SO Number]]</f>
        <v>SJ SHAW FOOD CORP - FAMOUS AMOS - SM STA ROSA - SO-48</v>
      </c>
      <c r="C554" t="s">
        <v>339</v>
      </c>
      <c r="D554" t="s">
        <v>340</v>
      </c>
      <c r="E554" t="s">
        <v>341</v>
      </c>
      <c r="F554" t="s">
        <v>342</v>
      </c>
      <c r="G554" t="s">
        <v>37</v>
      </c>
      <c r="H554" t="s">
        <v>343</v>
      </c>
      <c r="I554" t="s">
        <v>48</v>
      </c>
      <c r="J554">
        <v>1</v>
      </c>
      <c r="K554">
        <v>1645</v>
      </c>
      <c r="L554">
        <v>4700</v>
      </c>
      <c r="M554">
        <v>4700</v>
      </c>
      <c r="N554" t="s">
        <v>39</v>
      </c>
    </row>
    <row r="555" spans="1:14" x14ac:dyDescent="0.25">
      <c r="A555" t="str">
        <f>Table3[[#This Row],[Company Name]] &amp; " - " &amp; Table3[[#This Row],[Store Name]] &amp; " - " &amp; Table3[[#This Row],[Store Branch / Address]]</f>
        <v>SJ SHAW FOOD CORP - FAMOUS AMOS - SM STA ROSA</v>
      </c>
      <c r="B555" t="str">
        <f>Table3[[#This Row],[Client ID]] &amp; " - " &amp; Table3[[#This Row],[SO Number]]</f>
        <v>SJ SHAW FOOD CORP - FAMOUS AMOS - SM STA ROSA - SO-48</v>
      </c>
      <c r="C555" t="s">
        <v>339</v>
      </c>
      <c r="D555" t="s">
        <v>340</v>
      </c>
      <c r="E555" t="s">
        <v>341</v>
      </c>
      <c r="F555" t="s">
        <v>342</v>
      </c>
      <c r="G555" t="s">
        <v>37</v>
      </c>
      <c r="H555" t="s">
        <v>343</v>
      </c>
      <c r="I555" t="s">
        <v>24</v>
      </c>
      <c r="J555">
        <v>1</v>
      </c>
      <c r="K555">
        <v>1680</v>
      </c>
      <c r="L555">
        <v>4800</v>
      </c>
      <c r="M555">
        <v>4800</v>
      </c>
      <c r="N555" t="s">
        <v>39</v>
      </c>
    </row>
    <row r="556" spans="1:14" x14ac:dyDescent="0.25">
      <c r="A556" t="str">
        <f>Table3[[#This Row],[Company Name]] &amp; " - " &amp; Table3[[#This Row],[Store Name]] &amp; " - " &amp; Table3[[#This Row],[Store Branch / Address]]</f>
        <v>SJ SHAW FOOD CORP - FAMOUS AMOS - SM STA ROSA</v>
      </c>
      <c r="B556" t="str">
        <f>Table3[[#This Row],[Client ID]] &amp; " - " &amp; Table3[[#This Row],[SO Number]]</f>
        <v>SJ SHAW FOOD CORP - FAMOUS AMOS - SM STA ROSA - SO-48</v>
      </c>
      <c r="C556" t="s">
        <v>339</v>
      </c>
      <c r="D556" t="s">
        <v>340</v>
      </c>
      <c r="E556" t="s">
        <v>341</v>
      </c>
      <c r="F556" t="s">
        <v>342</v>
      </c>
      <c r="G556" t="s">
        <v>37</v>
      </c>
      <c r="H556" t="s">
        <v>343</v>
      </c>
      <c r="I556" t="s">
        <v>26</v>
      </c>
      <c r="J556">
        <v>1</v>
      </c>
      <c r="K556">
        <v>500</v>
      </c>
      <c r="L556">
        <v>500</v>
      </c>
      <c r="M556">
        <v>500</v>
      </c>
      <c r="N556" t="s">
        <v>39</v>
      </c>
    </row>
    <row r="557" spans="1:14" x14ac:dyDescent="0.25">
      <c r="A557" t="str">
        <f>Table3[[#This Row],[Company Name]] &amp; " - " &amp; Table3[[#This Row],[Store Name]] &amp; " - " &amp; Table3[[#This Row],[Store Branch / Address]]</f>
        <v>BERNABE PAOLO CAJILI - BACOLOD CHICKEN - GENERIC</v>
      </c>
      <c r="B557" t="str">
        <f>Table3[[#This Row],[Client ID]] &amp; " - " &amp; Table3[[#This Row],[SO Number]]</f>
        <v>BERNABE PAOLO CAJILI - BACOLOD CHICKEN - GENERIC - SO-049</v>
      </c>
      <c r="C557" t="s">
        <v>345</v>
      </c>
      <c r="D557" t="s">
        <v>310</v>
      </c>
      <c r="E557" t="s">
        <v>311</v>
      </c>
      <c r="F557" t="s">
        <v>15</v>
      </c>
      <c r="G557" t="s">
        <v>22</v>
      </c>
      <c r="H557" t="s">
        <v>343</v>
      </c>
      <c r="I557" t="s">
        <v>116</v>
      </c>
      <c r="J557">
        <v>1</v>
      </c>
      <c r="K557">
        <v>2185</v>
      </c>
      <c r="L557">
        <v>3500</v>
      </c>
      <c r="M557">
        <v>3500</v>
      </c>
      <c r="N557" t="s">
        <v>19</v>
      </c>
    </row>
    <row r="558" spans="1:14" x14ac:dyDescent="0.25">
      <c r="A558" t="str">
        <f>Table3[[#This Row],[Company Name]] &amp; " - " &amp; Table3[[#This Row],[Store Name]] &amp; " - " &amp; Table3[[#This Row],[Store Branch / Address]]</f>
        <v>CHICKEN DELI - ISSY &amp;CO. - GENERIC</v>
      </c>
      <c r="B558" t="str">
        <f>Table3[[#This Row],[Client ID]] &amp; " - " &amp; Table3[[#This Row],[SO Number]]</f>
        <v>CHICKEN DELI - ISSY &amp;CO. - GENERIC - SO-087</v>
      </c>
      <c r="C558" t="s">
        <v>502</v>
      </c>
      <c r="D558" t="s">
        <v>20</v>
      </c>
      <c r="E558" t="s">
        <v>132</v>
      </c>
      <c r="F558" t="s">
        <v>15</v>
      </c>
      <c r="G558" t="s">
        <v>22</v>
      </c>
      <c r="H558" t="s">
        <v>507</v>
      </c>
      <c r="I558" t="s">
        <v>508</v>
      </c>
      <c r="J558">
        <v>1</v>
      </c>
      <c r="K558">
        <v>6000</v>
      </c>
      <c r="L558">
        <v>6000</v>
      </c>
      <c r="M558">
        <v>6000</v>
      </c>
      <c r="N558" t="s">
        <v>19</v>
      </c>
    </row>
    <row r="559" spans="1:14" x14ac:dyDescent="0.25">
      <c r="A559" t="str">
        <f>Table3[[#This Row],[Company Name]] &amp; " - " &amp; Table3[[#This Row],[Store Name]] &amp; " - " &amp; Table3[[#This Row],[Store Branch / Address]]</f>
        <v>GINTONG PATATAS ENTERPRISES INC - POTATO GIANT - GENERIC</v>
      </c>
      <c r="B559" t="str">
        <f>Table3[[#This Row],[Client ID]] &amp; " - " &amp; Table3[[#This Row],[SO Number]]</f>
        <v>GINTONG PATATAS ENTERPRISES INC - POTATO GIANT - GENERIC - SO-050</v>
      </c>
      <c r="C559" t="s">
        <v>346</v>
      </c>
      <c r="D559" t="s">
        <v>305</v>
      </c>
      <c r="E559" t="s">
        <v>306</v>
      </c>
      <c r="F559" t="s">
        <v>15</v>
      </c>
      <c r="G559" t="s">
        <v>37</v>
      </c>
      <c r="H559" t="s">
        <v>347</v>
      </c>
      <c r="I559" t="s">
        <v>38</v>
      </c>
      <c r="J559">
        <v>1</v>
      </c>
      <c r="K559">
        <v>8500</v>
      </c>
      <c r="L559">
        <v>12000</v>
      </c>
      <c r="M559">
        <v>12000</v>
      </c>
      <c r="N559" t="s">
        <v>19</v>
      </c>
    </row>
    <row r="560" spans="1:14" x14ac:dyDescent="0.25">
      <c r="A560" t="str">
        <f>Table3[[#This Row],[Company Name]] &amp; " - " &amp; Table3[[#This Row],[Store Name]] &amp; " - " &amp; Table3[[#This Row],[Store Branch / Address]]</f>
        <v>GINTONG PATATAS ENTERPRISES INC - POTATO GIANT - GENERIC</v>
      </c>
      <c r="B560" t="str">
        <f>Table3[[#This Row],[Client ID]] &amp; " - " &amp; Table3[[#This Row],[SO Number]]</f>
        <v>GINTONG PATATAS ENTERPRISES INC - POTATO GIANT - GENERIC - SO-050</v>
      </c>
      <c r="C560" t="s">
        <v>346</v>
      </c>
      <c r="D560" t="s">
        <v>305</v>
      </c>
      <c r="E560" t="s">
        <v>306</v>
      </c>
      <c r="F560" t="s">
        <v>15</v>
      </c>
      <c r="G560" t="s">
        <v>37</v>
      </c>
      <c r="H560" t="s">
        <v>347</v>
      </c>
      <c r="I560" t="s">
        <v>76</v>
      </c>
      <c r="J560">
        <v>1</v>
      </c>
      <c r="K560">
        <v>500</v>
      </c>
      <c r="L560">
        <v>500</v>
      </c>
      <c r="M560">
        <v>500</v>
      </c>
      <c r="N560" t="s">
        <v>19</v>
      </c>
    </row>
    <row r="561" spans="1:14" x14ac:dyDescent="0.25">
      <c r="A561" t="str">
        <f>Table3[[#This Row],[Company Name]] &amp; " - " &amp; Table3[[#This Row],[Store Name]] &amp; " - " &amp; Table3[[#This Row],[Store Branch / Address]]</f>
        <v>HUZZAH - HUZZAH - GENERIC</v>
      </c>
      <c r="B561" t="str">
        <f>Table3[[#This Row],[Client ID]] &amp; " - " &amp; Table3[[#This Row],[SO Number]]</f>
        <v>HUZZAH - HUZZAH - GENERIC - SO-051</v>
      </c>
      <c r="C561" t="s">
        <v>351</v>
      </c>
      <c r="D561" t="s">
        <v>87</v>
      </c>
      <c r="E561" t="s">
        <v>87</v>
      </c>
      <c r="F561" t="s">
        <v>15</v>
      </c>
      <c r="G561" t="s">
        <v>37</v>
      </c>
      <c r="H561" t="s">
        <v>347</v>
      </c>
      <c r="I561" t="s">
        <v>89</v>
      </c>
      <c r="J561">
        <v>50</v>
      </c>
      <c r="K561">
        <v>32</v>
      </c>
      <c r="L561">
        <v>50</v>
      </c>
      <c r="M561">
        <v>2500</v>
      </c>
      <c r="N561" t="s">
        <v>39</v>
      </c>
    </row>
    <row r="562" spans="1:14" x14ac:dyDescent="0.25">
      <c r="A562" t="str">
        <f>Table3[[#This Row],[Company Name]] &amp; " - " &amp; Table3[[#This Row],[Store Name]] &amp; " - " &amp; Table3[[#This Row],[Store Branch / Address]]</f>
        <v>SERENITEA CHA KITCHEN INC - SERENITEA - GENERIC</v>
      </c>
      <c r="B562" t="str">
        <f>Table3[[#This Row],[Client ID]] &amp; " - " &amp; Table3[[#This Row],[SO Number]]</f>
        <v>SERENITEA CHA KITCHEN INC - SERENITEA - GENERIC - SO-052</v>
      </c>
      <c r="C562" t="s">
        <v>353</v>
      </c>
      <c r="D562" t="s">
        <v>354</v>
      </c>
      <c r="E562" t="s">
        <v>239</v>
      </c>
      <c r="F562" t="s">
        <v>15</v>
      </c>
      <c r="G562" t="s">
        <v>37</v>
      </c>
      <c r="H562" t="s">
        <v>355</v>
      </c>
      <c r="I562" t="s">
        <v>38</v>
      </c>
      <c r="J562">
        <v>1</v>
      </c>
      <c r="K562">
        <v>8500</v>
      </c>
      <c r="L562">
        <v>12000</v>
      </c>
      <c r="M562">
        <v>12000</v>
      </c>
      <c r="N562" t="s">
        <v>19</v>
      </c>
    </row>
    <row r="563" spans="1:14" x14ac:dyDescent="0.25">
      <c r="A563" t="str">
        <f>Table3[[#This Row],[Company Name]] &amp; " - " &amp; Table3[[#This Row],[Store Name]] &amp; " - " &amp; Table3[[#This Row],[Store Branch / Address]]</f>
        <v>SERENITEA CHA KITCHEN INC - SERENITEA - GENERIC</v>
      </c>
      <c r="B563" t="str">
        <f>Table3[[#This Row],[Client ID]] &amp; " - " &amp; Table3[[#This Row],[SO Number]]</f>
        <v>SERENITEA CHA KITCHEN INC - SERENITEA - GENERIC - SO-052</v>
      </c>
      <c r="C563" t="s">
        <v>353</v>
      </c>
      <c r="D563" t="s">
        <v>354</v>
      </c>
      <c r="E563" t="s">
        <v>239</v>
      </c>
      <c r="F563" t="s">
        <v>15</v>
      </c>
      <c r="G563" t="s">
        <v>37</v>
      </c>
      <c r="H563" t="s">
        <v>355</v>
      </c>
      <c r="I563" t="s">
        <v>76</v>
      </c>
      <c r="J563">
        <v>1</v>
      </c>
      <c r="K563">
        <v>500</v>
      </c>
      <c r="L563">
        <v>500</v>
      </c>
      <c r="M563">
        <v>500</v>
      </c>
      <c r="N563" t="s">
        <v>19</v>
      </c>
    </row>
    <row r="564" spans="1:14" x14ac:dyDescent="0.25">
      <c r="A564" t="str">
        <f>Table3[[#This Row],[Company Name]] &amp; " - " &amp; Table3[[#This Row],[Store Name]] &amp; " - " &amp; Table3[[#This Row],[Store Branch / Address]]</f>
        <v>TIONG BAHRU PHILIPPINES INC - TIONG BAHRU - ATC</v>
      </c>
      <c r="B564" t="str">
        <f>Table3[[#This Row],[Client ID]] &amp; " - " &amp; Table3[[#This Row],[SO Number]]</f>
        <v>TIONG BAHRU PHILIPPINES INC - TIONG BAHRU - ATC - SO-022</v>
      </c>
      <c r="C564" t="s">
        <v>184</v>
      </c>
      <c r="D564" t="s">
        <v>1022</v>
      </c>
      <c r="E564" t="s">
        <v>1023</v>
      </c>
      <c r="F564" t="s">
        <v>1058</v>
      </c>
      <c r="G564" t="s">
        <v>1059</v>
      </c>
      <c r="H564" t="s">
        <v>355</v>
      </c>
      <c r="I564" t="s">
        <v>1060</v>
      </c>
      <c r="J564">
        <v>1</v>
      </c>
      <c r="K564">
        <v>9500</v>
      </c>
      <c r="L564">
        <v>13500</v>
      </c>
      <c r="M564">
        <v>13500</v>
      </c>
      <c r="N564" t="s">
        <v>1010</v>
      </c>
    </row>
    <row r="565" spans="1:14" x14ac:dyDescent="0.25">
      <c r="A565" t="str">
        <f>Table3[[#This Row],[Company Name]] &amp; " - " &amp; Table3[[#This Row],[Store Name]] &amp; " - " &amp; Table3[[#This Row],[Store Branch / Address]]</f>
        <v>TIONG BAHRU PHILIPPINES INC - TIONG BAHRU - ATC</v>
      </c>
      <c r="B565" t="str">
        <f>Table3[[#This Row],[Client ID]] &amp; " - " &amp; Table3[[#This Row],[SO Number]]</f>
        <v>TIONG BAHRU PHILIPPINES INC - TIONG BAHRU - ATC - SO-022</v>
      </c>
      <c r="C565" t="s">
        <v>184</v>
      </c>
      <c r="D565" t="s">
        <v>1022</v>
      </c>
      <c r="E565" t="s">
        <v>1023</v>
      </c>
      <c r="F565" t="s">
        <v>1058</v>
      </c>
      <c r="G565" t="s">
        <v>1059</v>
      </c>
      <c r="H565" t="s">
        <v>355</v>
      </c>
      <c r="I565" t="s">
        <v>1049</v>
      </c>
      <c r="J565">
        <v>1</v>
      </c>
      <c r="K565">
        <v>9500</v>
      </c>
      <c r="L565">
        <v>13500</v>
      </c>
      <c r="M565">
        <v>13500</v>
      </c>
      <c r="N565" t="s">
        <v>1010</v>
      </c>
    </row>
    <row r="566" spans="1:14" x14ac:dyDescent="0.25">
      <c r="A566" t="str">
        <f>Table3[[#This Row],[Company Name]] &amp; " - " &amp; Table3[[#This Row],[Store Name]] &amp; " - " &amp; Table3[[#This Row],[Store Branch / Address]]</f>
        <v>TIONG BAHRU PHILIPPINES INC - TIONG BAHRU - ATC</v>
      </c>
      <c r="B566" t="str">
        <f>Table3[[#This Row],[Client ID]] &amp; " - " &amp; Table3[[#This Row],[SO Number]]</f>
        <v>TIONG BAHRU PHILIPPINES INC - TIONG BAHRU - ATC - SO-022</v>
      </c>
      <c r="C566" t="s">
        <v>184</v>
      </c>
      <c r="D566" t="s">
        <v>1022</v>
      </c>
      <c r="E566" t="s">
        <v>1023</v>
      </c>
      <c r="F566" t="s">
        <v>1058</v>
      </c>
      <c r="G566" t="s">
        <v>1059</v>
      </c>
      <c r="H566" t="s">
        <v>355</v>
      </c>
      <c r="I566" t="s">
        <v>63</v>
      </c>
      <c r="J566">
        <v>1</v>
      </c>
      <c r="K566">
        <v>500</v>
      </c>
      <c r="L566">
        <v>500</v>
      </c>
      <c r="M566">
        <v>500</v>
      </c>
      <c r="N566" t="s">
        <v>1010</v>
      </c>
    </row>
    <row r="567" spans="1:14" x14ac:dyDescent="0.25">
      <c r="A567" t="str">
        <f>Table3[[#This Row],[Company Name]] &amp; " - " &amp; Table3[[#This Row],[Store Name]] &amp; " - " &amp; Table3[[#This Row],[Store Branch / Address]]</f>
        <v>TIONG BAHRU PHILIPPINES INC - TIONG BAHRU - ESTANCIA</v>
      </c>
      <c r="B567" t="str">
        <f>Table3[[#This Row],[Client ID]] &amp; " - " &amp; Table3[[#This Row],[SO Number]]</f>
        <v>TIONG BAHRU PHILIPPINES INC - TIONG BAHRU - ESTANCIA - SO-022</v>
      </c>
      <c r="C567" t="s">
        <v>184</v>
      </c>
      <c r="D567" t="s">
        <v>1022</v>
      </c>
      <c r="E567" t="s">
        <v>1023</v>
      </c>
      <c r="F567" t="s">
        <v>1061</v>
      </c>
      <c r="G567" t="s">
        <v>1059</v>
      </c>
      <c r="H567" t="s">
        <v>355</v>
      </c>
      <c r="I567" t="s">
        <v>1060</v>
      </c>
      <c r="J567">
        <v>1</v>
      </c>
      <c r="K567">
        <v>9500</v>
      </c>
      <c r="L567">
        <v>13500</v>
      </c>
      <c r="M567">
        <v>13500</v>
      </c>
      <c r="N567" t="s">
        <v>1010</v>
      </c>
    </row>
    <row r="568" spans="1:14" x14ac:dyDescent="0.25">
      <c r="A568" t="str">
        <f>Table3[[#This Row],[Company Name]] &amp; " - " &amp; Table3[[#This Row],[Store Name]] &amp; " - " &amp; Table3[[#This Row],[Store Branch / Address]]</f>
        <v>TIONG BAHRU PHILIPPINES INC - TIONG BAHRU - ESTANCIA</v>
      </c>
      <c r="B568" t="str">
        <f>Table3[[#This Row],[Client ID]] &amp; " - " &amp; Table3[[#This Row],[SO Number]]</f>
        <v>TIONG BAHRU PHILIPPINES INC - TIONG BAHRU - ESTANCIA - SO-022</v>
      </c>
      <c r="C568" t="s">
        <v>184</v>
      </c>
      <c r="D568" t="s">
        <v>1022</v>
      </c>
      <c r="E568" t="s">
        <v>1023</v>
      </c>
      <c r="F568" t="s">
        <v>1061</v>
      </c>
      <c r="G568" t="s">
        <v>1059</v>
      </c>
      <c r="H568" t="s">
        <v>355</v>
      </c>
      <c r="I568" t="s">
        <v>1049</v>
      </c>
      <c r="J568">
        <v>1</v>
      </c>
      <c r="K568">
        <v>9500</v>
      </c>
      <c r="L568">
        <v>13500</v>
      </c>
      <c r="M568">
        <v>13500</v>
      </c>
      <c r="N568" t="s">
        <v>1010</v>
      </c>
    </row>
    <row r="569" spans="1:14" x14ac:dyDescent="0.25">
      <c r="A569" t="str">
        <f>Table3[[#This Row],[Company Name]] &amp; " - " &amp; Table3[[#This Row],[Store Name]] &amp; " - " &amp; Table3[[#This Row],[Store Branch / Address]]</f>
        <v>TIONG BAHRU PHILIPPINES INC - TIONG BAHRU - ESTANCIA</v>
      </c>
      <c r="B569" t="str">
        <f>Table3[[#This Row],[Client ID]] &amp; " - " &amp; Table3[[#This Row],[SO Number]]</f>
        <v>TIONG BAHRU PHILIPPINES INC - TIONG BAHRU - ESTANCIA - SO-022</v>
      </c>
      <c r="C569" t="s">
        <v>184</v>
      </c>
      <c r="D569" t="s">
        <v>1022</v>
      </c>
      <c r="E569" t="s">
        <v>1023</v>
      </c>
      <c r="F569" t="s">
        <v>1061</v>
      </c>
      <c r="G569" t="s">
        <v>1059</v>
      </c>
      <c r="H569" t="s">
        <v>355</v>
      </c>
      <c r="I569" t="s">
        <v>63</v>
      </c>
      <c r="J569">
        <v>1</v>
      </c>
      <c r="K569">
        <v>500</v>
      </c>
      <c r="L569">
        <v>500</v>
      </c>
      <c r="M569">
        <v>500</v>
      </c>
      <c r="N569" t="s">
        <v>1010</v>
      </c>
    </row>
    <row r="570" spans="1:14" x14ac:dyDescent="0.25">
      <c r="A570" t="str">
        <f>Table3[[#This Row],[Company Name]] &amp; " - " &amp; Table3[[#This Row],[Store Name]] &amp; " - " &amp; Table3[[#This Row],[Store Branch / Address]]</f>
        <v>SAN BROS PHARMACY CORP - TGP FRANCHISE - GENERIC</v>
      </c>
      <c r="B570" t="str">
        <f>Table3[[#This Row],[Client ID]] &amp; " - " &amp; Table3[[#This Row],[SO Number]]</f>
        <v>SAN BROS PHARMACY CORP - TGP FRANCHISE - GENERIC - SO-053</v>
      </c>
      <c r="C570" t="s">
        <v>356</v>
      </c>
      <c r="D570" t="s">
        <v>357</v>
      </c>
      <c r="E570" t="s">
        <v>358</v>
      </c>
      <c r="F570" t="s">
        <v>15</v>
      </c>
      <c r="G570" t="s">
        <v>37</v>
      </c>
      <c r="H570" t="s">
        <v>359</v>
      </c>
      <c r="I570" t="s">
        <v>360</v>
      </c>
      <c r="J570">
        <v>1</v>
      </c>
      <c r="K570">
        <v>3675</v>
      </c>
      <c r="L570">
        <v>10500</v>
      </c>
      <c r="M570">
        <v>10500</v>
      </c>
      <c r="N570" t="s">
        <v>19</v>
      </c>
    </row>
    <row r="571" spans="1:14" x14ac:dyDescent="0.25">
      <c r="A571" t="str">
        <f>Table3[[#This Row],[Company Name]] &amp; " - " &amp; Table3[[#This Row],[Store Name]] &amp; " - " &amp; Table3[[#This Row],[Store Branch / Address]]</f>
        <v>SAN BROS PHARMACY CORP - TGP FRANCHISE - GENERIC</v>
      </c>
      <c r="B571" t="str">
        <f>Table3[[#This Row],[Client ID]] &amp; " - " &amp; Table3[[#This Row],[SO Number]]</f>
        <v>SAN BROS PHARMACY CORP - TGP FRANCHISE - GENERIC - SO-053</v>
      </c>
      <c r="C571" t="s">
        <v>356</v>
      </c>
      <c r="D571" t="s">
        <v>357</v>
      </c>
      <c r="E571" t="s">
        <v>358</v>
      </c>
      <c r="F571" t="s">
        <v>15</v>
      </c>
      <c r="G571" t="s">
        <v>37</v>
      </c>
      <c r="H571" t="s">
        <v>359</v>
      </c>
      <c r="I571" t="s">
        <v>48</v>
      </c>
      <c r="J571">
        <v>1</v>
      </c>
      <c r="K571">
        <v>4620</v>
      </c>
      <c r="L571">
        <v>13200</v>
      </c>
      <c r="M571">
        <v>13200</v>
      </c>
      <c r="N571" t="s">
        <v>19</v>
      </c>
    </row>
    <row r="572" spans="1:14" x14ac:dyDescent="0.25">
      <c r="A572" t="str">
        <f>Table3[[#This Row],[Company Name]] &amp; " - " &amp; Table3[[#This Row],[Store Name]] &amp; " - " &amp; Table3[[#This Row],[Store Branch / Address]]</f>
        <v>SAN BROS PHARMACY CORP - TGP FRANCHISE - GENERIC</v>
      </c>
      <c r="B572" t="str">
        <f>Table3[[#This Row],[Client ID]] &amp; " - " &amp; Table3[[#This Row],[SO Number]]</f>
        <v>SAN BROS PHARMACY CORP - TGP FRANCHISE - GENERIC - SO-053</v>
      </c>
      <c r="C572" t="s">
        <v>356</v>
      </c>
      <c r="D572" t="s">
        <v>357</v>
      </c>
      <c r="E572" t="s">
        <v>358</v>
      </c>
      <c r="F572" t="s">
        <v>15</v>
      </c>
      <c r="G572" t="s">
        <v>37</v>
      </c>
      <c r="H572" t="s">
        <v>359</v>
      </c>
      <c r="I572" t="s">
        <v>126</v>
      </c>
      <c r="J572">
        <v>1</v>
      </c>
      <c r="K572">
        <v>4620</v>
      </c>
      <c r="L572">
        <v>13200</v>
      </c>
      <c r="M572">
        <v>13200</v>
      </c>
      <c r="N572" t="s">
        <v>19</v>
      </c>
    </row>
    <row r="573" spans="1:14" x14ac:dyDescent="0.25">
      <c r="A573" t="str">
        <f>Table3[[#This Row],[Company Name]] &amp; " - " &amp; Table3[[#This Row],[Store Name]] &amp; " - " &amp; Table3[[#This Row],[Store Branch / Address]]</f>
        <v>SAN BROS PHARMACY CORP - TGP FRANCHISE - GENERIC</v>
      </c>
      <c r="B573" t="str">
        <f>Table3[[#This Row],[Client ID]] &amp; " - " &amp; Table3[[#This Row],[SO Number]]</f>
        <v>SAN BROS PHARMACY CORP - TGP FRANCHISE - GENERIC - SO-053</v>
      </c>
      <c r="C573" t="s">
        <v>356</v>
      </c>
      <c r="D573" t="s">
        <v>357</v>
      </c>
      <c r="E573" t="s">
        <v>358</v>
      </c>
      <c r="F573" t="s">
        <v>15</v>
      </c>
      <c r="G573" t="s">
        <v>37</v>
      </c>
      <c r="H573" t="s">
        <v>359</v>
      </c>
      <c r="I573" t="s">
        <v>50</v>
      </c>
      <c r="J573">
        <v>1</v>
      </c>
      <c r="K573">
        <v>500</v>
      </c>
      <c r="L573">
        <v>500</v>
      </c>
      <c r="M573">
        <v>500</v>
      </c>
      <c r="N573" t="s">
        <v>19</v>
      </c>
    </row>
    <row r="574" spans="1:14" x14ac:dyDescent="0.25">
      <c r="A574" t="str">
        <f>Table3[[#This Row],[Company Name]] &amp; " - " &amp; Table3[[#This Row],[Store Name]] &amp; " - " &amp; Table3[[#This Row],[Store Branch / Address]]</f>
        <v>SAN BROS PHARMACY CORP - TGP FRANCHISE - GENERIC</v>
      </c>
      <c r="B574" t="str">
        <f>Table3[[#This Row],[Client ID]] &amp; " - " &amp; Table3[[#This Row],[SO Number]]</f>
        <v>SAN BROS PHARMACY CORP - TGP FRANCHISE - GENERIC - SO-053</v>
      </c>
      <c r="C574" t="s">
        <v>356</v>
      </c>
      <c r="D574" t="s">
        <v>357</v>
      </c>
      <c r="E574" t="s">
        <v>358</v>
      </c>
      <c r="F574" t="s">
        <v>15</v>
      </c>
      <c r="G574" t="s">
        <v>37</v>
      </c>
      <c r="H574" t="s">
        <v>359</v>
      </c>
      <c r="I574" t="s">
        <v>116</v>
      </c>
      <c r="J574">
        <v>1</v>
      </c>
      <c r="K574">
        <v>2185</v>
      </c>
      <c r="L574">
        <v>3500</v>
      </c>
      <c r="M574">
        <v>3500</v>
      </c>
      <c r="N574" t="s">
        <v>19</v>
      </c>
    </row>
    <row r="575" spans="1:14" x14ac:dyDescent="0.25">
      <c r="A575" t="str">
        <f>Table3[[#This Row],[Company Name]] &amp; " - " &amp; Table3[[#This Row],[Store Name]] &amp; " - " &amp; Table3[[#This Row],[Store Branch / Address]]</f>
        <v>SAN BROS PHARMACY CORP - TGP FRANCHISE - GENERIC</v>
      </c>
      <c r="B575" t="str">
        <f>Table3[[#This Row],[Client ID]] &amp; " - " &amp; Table3[[#This Row],[SO Number]]</f>
        <v>SAN BROS PHARMACY CORP - TGP FRANCHISE - GENERIC - SO-053</v>
      </c>
      <c r="C575" t="s">
        <v>356</v>
      </c>
      <c r="D575" t="s">
        <v>357</v>
      </c>
      <c r="E575" t="s">
        <v>358</v>
      </c>
      <c r="F575" t="s">
        <v>15</v>
      </c>
      <c r="G575" t="s">
        <v>37</v>
      </c>
      <c r="H575" t="s">
        <v>359</v>
      </c>
      <c r="I575" t="s">
        <v>361</v>
      </c>
      <c r="J575">
        <v>1</v>
      </c>
      <c r="K575">
        <v>8500</v>
      </c>
      <c r="L575">
        <v>12500</v>
      </c>
      <c r="M575">
        <v>12500</v>
      </c>
      <c r="N575" t="s">
        <v>19</v>
      </c>
    </row>
    <row r="576" spans="1:14" x14ac:dyDescent="0.25">
      <c r="A576" t="str">
        <f>Table3[[#This Row],[Company Name]] &amp; " - " &amp; Table3[[#This Row],[Store Name]] &amp; " - " &amp; Table3[[#This Row],[Store Branch / Address]]</f>
        <v>SAN BROS PHARMACY CORP - TGP FRANCHISE - GENERIC</v>
      </c>
      <c r="B576" t="str">
        <f>Table3[[#This Row],[Client ID]] &amp; " - " &amp; Table3[[#This Row],[SO Number]]</f>
        <v>SAN BROS PHARMACY CORP - TGP FRANCHISE - GENERIC - SO-053</v>
      </c>
      <c r="C576" t="s">
        <v>356</v>
      </c>
      <c r="D576" t="s">
        <v>357</v>
      </c>
      <c r="E576" t="s">
        <v>358</v>
      </c>
      <c r="F576" t="s">
        <v>15</v>
      </c>
      <c r="G576" t="s">
        <v>37</v>
      </c>
      <c r="H576" t="s">
        <v>359</v>
      </c>
      <c r="I576" t="s">
        <v>63</v>
      </c>
      <c r="J576">
        <v>1</v>
      </c>
      <c r="K576">
        <v>600</v>
      </c>
      <c r="L576">
        <v>600</v>
      </c>
      <c r="M576">
        <v>600</v>
      </c>
      <c r="N576" t="s">
        <v>19</v>
      </c>
    </row>
    <row r="577" spans="1:14" x14ac:dyDescent="0.25">
      <c r="A577" t="str">
        <f>Table3[[#This Row],[Company Name]] &amp; " - " &amp; Table3[[#This Row],[Store Name]] &amp; " - " &amp; Table3[[#This Row],[Store Branch / Address]]</f>
        <v>CHICKEN DELI - GONGCHA - GENERIC</v>
      </c>
      <c r="B577" t="str">
        <f>Table3[[#This Row],[Client ID]] &amp; " - " &amp; Table3[[#This Row],[SO Number]]</f>
        <v>CHICKEN DELI - GONGCHA - GENERIC - SO-062</v>
      </c>
      <c r="C577" t="s">
        <v>402</v>
      </c>
      <c r="D577" t="s">
        <v>20</v>
      </c>
      <c r="E577" t="s">
        <v>31</v>
      </c>
      <c r="F577" t="s">
        <v>15</v>
      </c>
      <c r="G577" t="s">
        <v>22</v>
      </c>
      <c r="H577" t="s">
        <v>359</v>
      </c>
      <c r="I577" t="s">
        <v>33</v>
      </c>
      <c r="J577">
        <v>3</v>
      </c>
      <c r="K577">
        <v>6500</v>
      </c>
      <c r="L577">
        <v>6500</v>
      </c>
      <c r="M577">
        <v>19500</v>
      </c>
      <c r="N577" t="s">
        <v>19</v>
      </c>
    </row>
    <row r="578" spans="1:14" x14ac:dyDescent="0.25">
      <c r="A578" t="str">
        <f>Table3[[#This Row],[Company Name]] &amp; " - " &amp; Table3[[#This Row],[Store Name]] &amp; " - " &amp; Table3[[#This Row],[Store Branch / Address]]</f>
        <v>CHICKEN DELI - GONGCHA - GENERIC</v>
      </c>
      <c r="B578" t="str">
        <f>Table3[[#This Row],[Client ID]] &amp; " - " &amp; Table3[[#This Row],[SO Number]]</f>
        <v>CHICKEN DELI - GONGCHA - GENERIC - SO-063</v>
      </c>
      <c r="C578" t="s">
        <v>405</v>
      </c>
      <c r="D578" t="s">
        <v>20</v>
      </c>
      <c r="E578" t="s">
        <v>31</v>
      </c>
      <c r="F578" t="s">
        <v>15</v>
      </c>
      <c r="G578" t="s">
        <v>22</v>
      </c>
      <c r="H578" t="s">
        <v>359</v>
      </c>
      <c r="I578" t="s">
        <v>33</v>
      </c>
      <c r="J578">
        <v>1</v>
      </c>
      <c r="K578">
        <v>6500</v>
      </c>
      <c r="L578">
        <v>6500</v>
      </c>
      <c r="M578">
        <v>6500</v>
      </c>
      <c r="N578" t="s">
        <v>19</v>
      </c>
    </row>
    <row r="579" spans="1:14" x14ac:dyDescent="0.25">
      <c r="A579" t="str">
        <f>Table3[[#This Row],[Company Name]] &amp; " - " &amp; Table3[[#This Row],[Store Name]] &amp; " - " &amp; Table3[[#This Row],[Store Branch / Address]]</f>
        <v>CHICKEN DELI - GONGCHA - GENERIC</v>
      </c>
      <c r="B579" t="str">
        <f>Table3[[#This Row],[Client ID]] &amp; " - " &amp; Table3[[#This Row],[SO Number]]</f>
        <v>CHICKEN DELI - GONGCHA - GENERIC - SO-064</v>
      </c>
      <c r="C579" t="s">
        <v>409</v>
      </c>
      <c r="D579" t="s">
        <v>20</v>
      </c>
      <c r="E579" t="s">
        <v>31</v>
      </c>
      <c r="F579" t="s">
        <v>15</v>
      </c>
      <c r="G579" t="s">
        <v>22</v>
      </c>
      <c r="H579" t="s">
        <v>359</v>
      </c>
      <c r="I579" t="s">
        <v>33</v>
      </c>
      <c r="J579">
        <v>1</v>
      </c>
      <c r="K579">
        <v>6500</v>
      </c>
      <c r="L579">
        <v>6500</v>
      </c>
      <c r="M579">
        <v>6500</v>
      </c>
      <c r="N579" t="s">
        <v>19</v>
      </c>
    </row>
    <row r="580" spans="1:14" x14ac:dyDescent="0.25">
      <c r="A580" t="str">
        <f>Table3[[#This Row],[Company Name]] &amp; " - " &amp; Table3[[#This Row],[Store Name]] &amp; " - " &amp; Table3[[#This Row],[Store Branch / Address]]</f>
        <v>CHICKEN DELI - GONGCHA - GENERIC</v>
      </c>
      <c r="B580" t="str">
        <f>Table3[[#This Row],[Client ID]] &amp; " - " &amp; Table3[[#This Row],[SO Number]]</f>
        <v>CHICKEN DELI - GONGCHA - GENERIC - SO-065</v>
      </c>
      <c r="C580" t="s">
        <v>410</v>
      </c>
      <c r="D580" t="s">
        <v>20</v>
      </c>
      <c r="E580" t="s">
        <v>31</v>
      </c>
      <c r="F580" t="s">
        <v>15</v>
      </c>
      <c r="G580" t="s">
        <v>22</v>
      </c>
      <c r="H580" t="s">
        <v>359</v>
      </c>
      <c r="I580" t="s">
        <v>33</v>
      </c>
      <c r="J580">
        <v>5</v>
      </c>
      <c r="K580">
        <v>6500</v>
      </c>
      <c r="L580">
        <v>6500</v>
      </c>
      <c r="M580">
        <v>32500</v>
      </c>
      <c r="N580" t="s">
        <v>19</v>
      </c>
    </row>
    <row r="581" spans="1:14" x14ac:dyDescent="0.25">
      <c r="A581" t="str">
        <f>Table3[[#This Row],[Company Name]] &amp; " - " &amp; Table3[[#This Row],[Store Name]] &amp; " - " &amp; Table3[[#This Row],[Store Branch / Address]]</f>
        <v>CHICKEN DELI - GONGCHA - GENERIC</v>
      </c>
      <c r="B581" t="str">
        <f>Table3[[#This Row],[Client ID]] &amp; " - " &amp; Table3[[#This Row],[SO Number]]</f>
        <v>CHICKEN DELI - GONGCHA - GENERIC - SO-066</v>
      </c>
      <c r="C581" t="s">
        <v>413</v>
      </c>
      <c r="D581" t="s">
        <v>20</v>
      </c>
      <c r="E581" t="s">
        <v>31</v>
      </c>
      <c r="F581" t="s">
        <v>15</v>
      </c>
      <c r="G581" t="s">
        <v>22</v>
      </c>
      <c r="H581" t="s">
        <v>359</v>
      </c>
      <c r="I581" t="s">
        <v>33</v>
      </c>
      <c r="J581">
        <v>2</v>
      </c>
      <c r="K581">
        <v>6500</v>
      </c>
      <c r="L581">
        <v>6500</v>
      </c>
      <c r="M581">
        <v>13000</v>
      </c>
      <c r="N581" t="s">
        <v>19</v>
      </c>
    </row>
    <row r="582" spans="1:14" x14ac:dyDescent="0.25">
      <c r="A582" t="str">
        <f>Table3[[#This Row],[Company Name]] &amp; " - " &amp; Table3[[#This Row],[Store Name]] &amp; " - " &amp; Table3[[#This Row],[Store Branch / Address]]</f>
        <v>CHICKEN DELI - GONGCHA - GENERIC</v>
      </c>
      <c r="B582" t="str">
        <f>Table3[[#This Row],[Client ID]] &amp; " - " &amp; Table3[[#This Row],[SO Number]]</f>
        <v>CHICKEN DELI - GONGCHA - GENERIC - SO-067</v>
      </c>
      <c r="C582" t="s">
        <v>424</v>
      </c>
      <c r="D582" t="s">
        <v>20</v>
      </c>
      <c r="E582" t="s">
        <v>31</v>
      </c>
      <c r="F582" t="s">
        <v>15</v>
      </c>
      <c r="G582" t="s">
        <v>22</v>
      </c>
      <c r="H582" t="s">
        <v>359</v>
      </c>
      <c r="I582" t="s">
        <v>33</v>
      </c>
      <c r="J582">
        <v>1</v>
      </c>
      <c r="K582">
        <v>6500</v>
      </c>
      <c r="L582">
        <v>6500</v>
      </c>
      <c r="M582">
        <v>6500</v>
      </c>
      <c r="N582" t="s">
        <v>19</v>
      </c>
    </row>
    <row r="583" spans="1:14" x14ac:dyDescent="0.25">
      <c r="A583" t="str">
        <f>Table3[[#This Row],[Company Name]] &amp; " - " &amp; Table3[[#This Row],[Store Name]] &amp; " - " &amp; Table3[[#This Row],[Store Branch / Address]]</f>
        <v>CHICKEN DELI - MN+LA APPAREL - GENERIC</v>
      </c>
      <c r="B583" t="str">
        <f>Table3[[#This Row],[Client ID]] &amp; " - " &amp; Table3[[#This Row],[SO Number]]</f>
        <v>CHICKEN DELI - MN+LA APPAREL - GENERIC - SO-068</v>
      </c>
      <c r="C583" t="s">
        <v>429</v>
      </c>
      <c r="D583" t="s">
        <v>20</v>
      </c>
      <c r="E583" t="s">
        <v>119</v>
      </c>
      <c r="F583" t="s">
        <v>15</v>
      </c>
      <c r="G583" t="s">
        <v>22</v>
      </c>
      <c r="H583" t="s">
        <v>359</v>
      </c>
      <c r="I583" t="s">
        <v>121</v>
      </c>
      <c r="J583">
        <v>50</v>
      </c>
      <c r="K583">
        <v>32</v>
      </c>
      <c r="L583">
        <v>50</v>
      </c>
      <c r="M583">
        <v>2500</v>
      </c>
      <c r="N583" t="s">
        <v>19</v>
      </c>
    </row>
    <row r="584" spans="1:14" x14ac:dyDescent="0.25">
      <c r="A584" t="str">
        <f>Table3[[#This Row],[Company Name]] &amp; " - " &amp; Table3[[#This Row],[Store Name]] &amp; " - " &amp; Table3[[#This Row],[Store Branch / Address]]</f>
        <v>CHICKEN DELI - PROSHOP - GENERIC</v>
      </c>
      <c r="B584" t="str">
        <f>Table3[[#This Row],[Client ID]] &amp; " - " &amp; Table3[[#This Row],[SO Number]]</f>
        <v>CHICKEN DELI - PROSHOP - GENERIC - SO-069</v>
      </c>
      <c r="C584" t="s">
        <v>433</v>
      </c>
      <c r="D584" t="s">
        <v>20</v>
      </c>
      <c r="E584" t="s">
        <v>434</v>
      </c>
      <c r="F584" t="s">
        <v>15</v>
      </c>
      <c r="G584" t="s">
        <v>22</v>
      </c>
      <c r="H584" t="s">
        <v>359</v>
      </c>
      <c r="I584" t="s">
        <v>145</v>
      </c>
      <c r="J584">
        <v>1</v>
      </c>
      <c r="K584">
        <v>2975</v>
      </c>
      <c r="L584">
        <v>8500</v>
      </c>
      <c r="M584">
        <v>8500</v>
      </c>
      <c r="N584" t="s">
        <v>19</v>
      </c>
    </row>
    <row r="585" spans="1:14" x14ac:dyDescent="0.25">
      <c r="A585" t="str">
        <f>Table3[[#This Row],[Company Name]] &amp; " - " &amp; Table3[[#This Row],[Store Name]] &amp; " - " &amp; Table3[[#This Row],[Store Branch / Address]]</f>
        <v>CHICKEN DELI - PROSHOP - GENERIC</v>
      </c>
      <c r="B585" t="str">
        <f>Table3[[#This Row],[Client ID]] &amp; " - " &amp; Table3[[#This Row],[SO Number]]</f>
        <v>CHICKEN DELI - PROSHOP - GENERIC - SO-069</v>
      </c>
      <c r="C585" t="s">
        <v>433</v>
      </c>
      <c r="D585" t="s">
        <v>20</v>
      </c>
      <c r="E585" t="s">
        <v>434</v>
      </c>
      <c r="F585" t="s">
        <v>15</v>
      </c>
      <c r="G585" t="s">
        <v>22</v>
      </c>
      <c r="H585" t="s">
        <v>359</v>
      </c>
      <c r="I585" t="s">
        <v>25</v>
      </c>
      <c r="J585">
        <v>1</v>
      </c>
      <c r="K585">
        <v>8000</v>
      </c>
      <c r="L585">
        <v>8000</v>
      </c>
      <c r="M585">
        <v>8000</v>
      </c>
      <c r="N585" t="s">
        <v>19</v>
      </c>
    </row>
    <row r="586" spans="1:14" x14ac:dyDescent="0.25">
      <c r="A586" t="str">
        <f>Table3[[#This Row],[Company Name]] &amp; " - " &amp; Table3[[#This Row],[Store Name]] &amp; " - " &amp; Table3[[#This Row],[Store Branch / Address]]</f>
        <v>CHICKEN DELI - PROSHOP - GENERIC</v>
      </c>
      <c r="B586" t="str">
        <f>Table3[[#This Row],[Client ID]] &amp; " - " &amp; Table3[[#This Row],[SO Number]]</f>
        <v>CHICKEN DELI - PROSHOP - GENERIC - SO-069</v>
      </c>
      <c r="C586" t="s">
        <v>433</v>
      </c>
      <c r="D586" t="s">
        <v>20</v>
      </c>
      <c r="E586" t="s">
        <v>434</v>
      </c>
      <c r="F586" t="s">
        <v>15</v>
      </c>
      <c r="G586" t="s">
        <v>22</v>
      </c>
      <c r="H586" t="s">
        <v>359</v>
      </c>
      <c r="I586" t="s">
        <v>24</v>
      </c>
      <c r="J586">
        <v>1</v>
      </c>
      <c r="K586">
        <v>8000</v>
      </c>
      <c r="L586">
        <v>8000</v>
      </c>
      <c r="M586">
        <v>8000</v>
      </c>
      <c r="N586" t="s">
        <v>19</v>
      </c>
    </row>
    <row r="587" spans="1:14" x14ac:dyDescent="0.25">
      <c r="A587" t="str">
        <f>Table3[[#This Row],[Company Name]] &amp; " - " &amp; Table3[[#This Row],[Store Name]] &amp; " - " &amp; Table3[[#This Row],[Store Branch / Address]]</f>
        <v>CHICKEN DELI - PROSHOP - GENERIC</v>
      </c>
      <c r="B587" t="str">
        <f>Table3[[#This Row],[Client ID]] &amp; " - " &amp; Table3[[#This Row],[SO Number]]</f>
        <v>CHICKEN DELI - PROSHOP - GENERIC - SO-069</v>
      </c>
      <c r="C587" t="s">
        <v>433</v>
      </c>
      <c r="D587" t="s">
        <v>20</v>
      </c>
      <c r="E587" t="s">
        <v>434</v>
      </c>
      <c r="F587" t="s">
        <v>15</v>
      </c>
      <c r="G587" t="s">
        <v>22</v>
      </c>
      <c r="H587" t="s">
        <v>359</v>
      </c>
      <c r="I587" t="s">
        <v>134</v>
      </c>
      <c r="J587">
        <v>1</v>
      </c>
      <c r="K587">
        <v>500</v>
      </c>
      <c r="L587">
        <v>500</v>
      </c>
      <c r="M587">
        <v>500</v>
      </c>
      <c r="N587" t="s">
        <v>19</v>
      </c>
    </row>
    <row r="588" spans="1:14" x14ac:dyDescent="0.25">
      <c r="A588" t="str">
        <f>Table3[[#This Row],[Company Name]] &amp; " - " &amp; Table3[[#This Row],[Store Name]] &amp; " - " &amp; Table3[[#This Row],[Store Branch / Address]]</f>
        <v>CHICKEN DELI - GONGCHA - GENERIC</v>
      </c>
      <c r="B588" t="str">
        <f>Table3[[#This Row],[Client ID]] &amp; " - " &amp; Table3[[#This Row],[SO Number]]</f>
        <v>CHICKEN DELI - GONGCHA - GENERIC - SO-070</v>
      </c>
      <c r="C588" t="s">
        <v>438</v>
      </c>
      <c r="D588" t="s">
        <v>20</v>
      </c>
      <c r="E588" t="s">
        <v>31</v>
      </c>
      <c r="F588" t="s">
        <v>15</v>
      </c>
      <c r="G588" t="s">
        <v>22</v>
      </c>
      <c r="H588" t="s">
        <v>359</v>
      </c>
      <c r="I588" t="s">
        <v>154</v>
      </c>
      <c r="J588">
        <v>5</v>
      </c>
      <c r="K588">
        <v>1100</v>
      </c>
      <c r="L588">
        <v>1700</v>
      </c>
      <c r="M588">
        <v>8500</v>
      </c>
      <c r="N588" t="s">
        <v>19</v>
      </c>
    </row>
    <row r="589" spans="1:14" x14ac:dyDescent="0.25">
      <c r="A589" t="str">
        <f>Table3[[#This Row],[Company Name]] &amp; " - " &amp; Table3[[#This Row],[Store Name]] &amp; " - " &amp; Table3[[#This Row],[Store Branch / Address]]</f>
        <v>M W TOWNSTORE - M &amp; W - GENERIC</v>
      </c>
      <c r="B589" t="str">
        <f>Table3[[#This Row],[Client ID]] &amp; " - " &amp; Table3[[#This Row],[SO Number]]</f>
        <v>M W TOWNSTORE - M &amp; W - GENERIC - SO-071</v>
      </c>
      <c r="C589" t="s">
        <v>439</v>
      </c>
      <c r="D589" t="s">
        <v>191</v>
      </c>
      <c r="E589" t="s">
        <v>192</v>
      </c>
      <c r="F589" t="s">
        <v>15</v>
      </c>
      <c r="G589" t="s">
        <v>22</v>
      </c>
      <c r="H589" t="s">
        <v>359</v>
      </c>
      <c r="I589" t="s">
        <v>440</v>
      </c>
      <c r="J589">
        <v>3</v>
      </c>
      <c r="K589">
        <v>9500</v>
      </c>
      <c r="L589">
        <v>13500</v>
      </c>
      <c r="M589">
        <v>40500</v>
      </c>
      <c r="N589" t="s">
        <v>19</v>
      </c>
    </row>
    <row r="590" spans="1:14" x14ac:dyDescent="0.25">
      <c r="A590" t="str">
        <f>Table3[[#This Row],[Company Name]] &amp; " - " &amp; Table3[[#This Row],[Store Name]] &amp; " - " &amp; Table3[[#This Row],[Store Branch / Address]]</f>
        <v>STAR 360 PHILIPPINES INC - YANKEE CANDLES - SM NORTH EDSA</v>
      </c>
      <c r="B590" t="str">
        <f>Table3[[#This Row],[Client ID]] &amp; " - " &amp; Table3[[#This Row],[SO Number]]</f>
        <v>STAR 360 PHILIPPINES INC - YANKEE CANDLES - SM NORTH EDSA - SO-024</v>
      </c>
      <c r="C590" t="s">
        <v>206</v>
      </c>
      <c r="D590" t="s">
        <v>1062</v>
      </c>
      <c r="E590" t="s">
        <v>1063</v>
      </c>
      <c r="F590" t="s">
        <v>1064</v>
      </c>
      <c r="G590" t="s">
        <v>1031</v>
      </c>
      <c r="H590" t="s">
        <v>1065</v>
      </c>
      <c r="I590" t="s">
        <v>1009</v>
      </c>
      <c r="J590">
        <v>1</v>
      </c>
      <c r="K590">
        <v>3675</v>
      </c>
      <c r="L590">
        <v>10500</v>
      </c>
      <c r="M590">
        <v>10500</v>
      </c>
      <c r="N590" t="s">
        <v>1010</v>
      </c>
    </row>
    <row r="591" spans="1:14" x14ac:dyDescent="0.25">
      <c r="A591" t="str">
        <f>Table3[[#This Row],[Company Name]] &amp; " - " &amp; Table3[[#This Row],[Store Name]] &amp; " - " &amp; Table3[[#This Row],[Store Branch / Address]]</f>
        <v>STAR 360 PHILIPPINES INC - YANKEE CANDLES - SM NORTH EDSA</v>
      </c>
      <c r="B591" t="str">
        <f>Table3[[#This Row],[Client ID]] &amp; " - " &amp; Table3[[#This Row],[SO Number]]</f>
        <v>STAR 360 PHILIPPINES INC - YANKEE CANDLES - SM NORTH EDSA - SO-024</v>
      </c>
      <c r="C591" t="s">
        <v>206</v>
      </c>
      <c r="D591" t="s">
        <v>1062</v>
      </c>
      <c r="E591" t="s">
        <v>1063</v>
      </c>
      <c r="F591" t="s">
        <v>1064</v>
      </c>
      <c r="G591" t="s">
        <v>1031</v>
      </c>
      <c r="H591" t="s">
        <v>1065</v>
      </c>
      <c r="I591" t="s">
        <v>1011</v>
      </c>
      <c r="J591">
        <v>1</v>
      </c>
      <c r="K591">
        <v>3500</v>
      </c>
      <c r="L591">
        <v>11500</v>
      </c>
      <c r="M591">
        <v>11500</v>
      </c>
      <c r="N591" t="s">
        <v>1010</v>
      </c>
    </row>
    <row r="592" spans="1:14" x14ac:dyDescent="0.25">
      <c r="A592" t="str">
        <f>Table3[[#This Row],[Company Name]] &amp; " - " &amp; Table3[[#This Row],[Store Name]] &amp; " - " &amp; Table3[[#This Row],[Store Branch / Address]]</f>
        <v>STAR 360 PHILIPPINES INC - YANKEE CANDLES - SM NORTH EDSA</v>
      </c>
      <c r="B592" t="str">
        <f>Table3[[#This Row],[Client ID]] &amp; " - " &amp; Table3[[#This Row],[SO Number]]</f>
        <v>STAR 360 PHILIPPINES INC - YANKEE CANDLES - SM NORTH EDSA - SO-024</v>
      </c>
      <c r="C592" t="s">
        <v>206</v>
      </c>
      <c r="D592" t="s">
        <v>1062</v>
      </c>
      <c r="E592" t="s">
        <v>1063</v>
      </c>
      <c r="F592" t="s">
        <v>1064</v>
      </c>
      <c r="G592" t="s">
        <v>1031</v>
      </c>
      <c r="H592" t="s">
        <v>1065</v>
      </c>
      <c r="I592" t="s">
        <v>24</v>
      </c>
      <c r="J592">
        <v>1</v>
      </c>
      <c r="K592">
        <v>3500</v>
      </c>
      <c r="L592">
        <v>11500</v>
      </c>
      <c r="M592">
        <v>11500</v>
      </c>
      <c r="N592" t="s">
        <v>1010</v>
      </c>
    </row>
    <row r="593" spans="1:14" x14ac:dyDescent="0.25">
      <c r="A593" t="str">
        <f>Table3[[#This Row],[Company Name]] &amp; " - " &amp; Table3[[#This Row],[Store Name]] &amp; " - " &amp; Table3[[#This Row],[Store Branch / Address]]</f>
        <v>STAR 360 PHILIPPINES INC - YANKEE CANDLES - SM NORTH EDSA</v>
      </c>
      <c r="B593" t="str">
        <f>Table3[[#This Row],[Client ID]] &amp; " - " &amp; Table3[[#This Row],[SO Number]]</f>
        <v>STAR 360 PHILIPPINES INC - YANKEE CANDLES - SM NORTH EDSA - SO-024</v>
      </c>
      <c r="C593" t="s">
        <v>206</v>
      </c>
      <c r="D593" t="s">
        <v>1062</v>
      </c>
      <c r="E593" t="s">
        <v>1063</v>
      </c>
      <c r="F593" t="s">
        <v>1064</v>
      </c>
      <c r="G593" t="s">
        <v>1031</v>
      </c>
      <c r="H593" t="s">
        <v>1065</v>
      </c>
      <c r="I593" t="s">
        <v>26</v>
      </c>
      <c r="J593">
        <v>1</v>
      </c>
      <c r="K593">
        <v>500</v>
      </c>
      <c r="L593">
        <v>500</v>
      </c>
      <c r="M593">
        <v>500</v>
      </c>
      <c r="N593" t="s">
        <v>1010</v>
      </c>
    </row>
    <row r="594" spans="1:14" x14ac:dyDescent="0.25">
      <c r="A594" t="str">
        <f>Table3[[#This Row],[Company Name]] &amp; " - " &amp; Table3[[#This Row],[Store Name]] &amp; " - " &amp; Table3[[#This Row],[Store Branch / Address]]</f>
        <v>STAR 360 PHILIPPINES INC - YANKEE CANDLES - SM NORTH EDSA</v>
      </c>
      <c r="B594" t="str">
        <f>Table3[[#This Row],[Client ID]] &amp; " - " &amp; Table3[[#This Row],[SO Number]]</f>
        <v>STAR 360 PHILIPPINES INC - YANKEE CANDLES - SM NORTH EDSA - SO-024</v>
      </c>
      <c r="C594" t="s">
        <v>206</v>
      </c>
      <c r="D594" t="s">
        <v>1062</v>
      </c>
      <c r="E594" t="s">
        <v>1063</v>
      </c>
      <c r="F594" t="s">
        <v>1064</v>
      </c>
      <c r="G594" t="s">
        <v>1031</v>
      </c>
      <c r="H594" t="s">
        <v>1065</v>
      </c>
      <c r="I594" t="s">
        <v>1066</v>
      </c>
      <c r="J594">
        <v>1</v>
      </c>
      <c r="K594">
        <v>23450</v>
      </c>
      <c r="L594">
        <v>30300</v>
      </c>
      <c r="M594">
        <v>30300</v>
      </c>
      <c r="N594" t="s">
        <v>1010</v>
      </c>
    </row>
    <row r="595" spans="1:14" x14ac:dyDescent="0.25">
      <c r="A595" t="str">
        <f>Table3[[#This Row],[Company Name]] &amp; " - " &amp; Table3[[#This Row],[Store Name]] &amp; " - " &amp; Table3[[#This Row],[Store Branch / Address]]</f>
        <v>STAR 360 PHILIPPINES INC - YANKEE CANDLES - SM NORTH EDSA</v>
      </c>
      <c r="B595" t="str">
        <f>Table3[[#This Row],[Client ID]] &amp; " - " &amp; Table3[[#This Row],[SO Number]]</f>
        <v>STAR 360 PHILIPPINES INC - YANKEE CANDLES - SM NORTH EDSA - SO-024</v>
      </c>
      <c r="C595" t="s">
        <v>206</v>
      </c>
      <c r="D595" t="s">
        <v>1062</v>
      </c>
      <c r="E595" t="s">
        <v>1063</v>
      </c>
      <c r="F595" t="s">
        <v>1064</v>
      </c>
      <c r="G595" t="s">
        <v>1031</v>
      </c>
      <c r="H595" t="s">
        <v>1065</v>
      </c>
      <c r="I595" t="s">
        <v>151</v>
      </c>
      <c r="J595">
        <v>1</v>
      </c>
      <c r="K595">
        <v>2800</v>
      </c>
      <c r="L595">
        <v>4000</v>
      </c>
      <c r="M595">
        <v>4000</v>
      </c>
      <c r="N595" t="s">
        <v>1010</v>
      </c>
    </row>
    <row r="596" spans="1:14" x14ac:dyDescent="0.25">
      <c r="A596" t="str">
        <f>Table3[[#This Row],[Company Name]] &amp; " - " &amp; Table3[[#This Row],[Store Name]] &amp; " - " &amp; Table3[[#This Row],[Store Branch / Address]]</f>
        <v>STAR 360 PHILIPPINES INC - YANKEE CANDLES - SM NORTH EDSA</v>
      </c>
      <c r="B596" t="str">
        <f>Table3[[#This Row],[Client ID]] &amp; " - " &amp; Table3[[#This Row],[SO Number]]</f>
        <v>STAR 360 PHILIPPINES INC - YANKEE CANDLES - SM NORTH EDSA - SO-024</v>
      </c>
      <c r="C596" t="s">
        <v>206</v>
      </c>
      <c r="D596" t="s">
        <v>1062</v>
      </c>
      <c r="E596" t="s">
        <v>1063</v>
      </c>
      <c r="F596" t="s">
        <v>1064</v>
      </c>
      <c r="G596" t="s">
        <v>1031</v>
      </c>
      <c r="H596" t="s">
        <v>1065</v>
      </c>
      <c r="I596" t="s">
        <v>189</v>
      </c>
      <c r="J596">
        <v>1</v>
      </c>
      <c r="K596">
        <v>500</v>
      </c>
      <c r="L596">
        <v>700</v>
      </c>
      <c r="M596">
        <v>700</v>
      </c>
      <c r="N596" t="s">
        <v>1010</v>
      </c>
    </row>
    <row r="597" spans="1:14" x14ac:dyDescent="0.25">
      <c r="A597" t="str">
        <f>Table3[[#This Row],[Company Name]] &amp; " - " &amp; Table3[[#This Row],[Store Name]] &amp; " - " &amp; Table3[[#This Row],[Store Branch / Address]]</f>
        <v>STAR 360 PHILIPPINES INC - YANKEE CANDLES - SM NORTH EDSA</v>
      </c>
      <c r="B597" t="str">
        <f>Table3[[#This Row],[Client ID]] &amp; " - " &amp; Table3[[#This Row],[SO Number]]</f>
        <v>STAR 360 PHILIPPINES INC - YANKEE CANDLES - SM NORTH EDSA - SO-024</v>
      </c>
      <c r="C597" t="s">
        <v>206</v>
      </c>
      <c r="D597" t="s">
        <v>1062</v>
      </c>
      <c r="E597" t="s">
        <v>1063</v>
      </c>
      <c r="F597" t="s">
        <v>1064</v>
      </c>
      <c r="G597" t="s">
        <v>1031</v>
      </c>
      <c r="H597" t="s">
        <v>1065</v>
      </c>
      <c r="I597" t="s">
        <v>1033</v>
      </c>
      <c r="J597">
        <v>1</v>
      </c>
      <c r="K597">
        <v>350</v>
      </c>
      <c r="L597">
        <v>500</v>
      </c>
      <c r="M597">
        <v>500</v>
      </c>
      <c r="N597" t="s">
        <v>1010</v>
      </c>
    </row>
    <row r="598" spans="1:14" x14ac:dyDescent="0.25">
      <c r="A598" t="str">
        <f>Table3[[#This Row],[Company Name]] &amp; " - " &amp; Table3[[#This Row],[Store Name]] &amp; " - " &amp; Table3[[#This Row],[Store Branch / Address]]</f>
        <v>STAR 360 PHILIPPINES INC - YANKEE CANDLES - SM NORTH EDSA</v>
      </c>
      <c r="B598" t="str">
        <f>Table3[[#This Row],[Client ID]] &amp; " - " &amp; Table3[[#This Row],[SO Number]]</f>
        <v>STAR 360 PHILIPPINES INC - YANKEE CANDLES - SM NORTH EDSA - SO-024</v>
      </c>
      <c r="C598" t="s">
        <v>206</v>
      </c>
      <c r="D598" t="s">
        <v>1062</v>
      </c>
      <c r="E598" t="s">
        <v>1063</v>
      </c>
      <c r="F598" t="s">
        <v>1064</v>
      </c>
      <c r="G598" t="s">
        <v>1031</v>
      </c>
      <c r="H598" t="s">
        <v>1065</v>
      </c>
      <c r="I598" t="s">
        <v>1014</v>
      </c>
      <c r="J598">
        <v>1</v>
      </c>
      <c r="K598">
        <v>935</v>
      </c>
      <c r="L598">
        <v>1500</v>
      </c>
      <c r="M598">
        <v>1500</v>
      </c>
      <c r="N598" t="s">
        <v>1010</v>
      </c>
    </row>
    <row r="599" spans="1:14" x14ac:dyDescent="0.25">
      <c r="A599" t="str">
        <f>Table3[[#This Row],[Company Name]] &amp; " - " &amp; Table3[[#This Row],[Store Name]] &amp; " - " &amp; Table3[[#This Row],[Store Branch / Address]]</f>
        <v>STAR 360 PHILIPPINES INC - YANKEE CANDLES - SM NORTH EDSA</v>
      </c>
      <c r="B599" t="str">
        <f>Table3[[#This Row],[Client ID]] &amp; " - " &amp; Table3[[#This Row],[SO Number]]</f>
        <v>STAR 360 PHILIPPINES INC - YANKEE CANDLES - SM NORTH EDSA - SO-024</v>
      </c>
      <c r="C599" t="s">
        <v>206</v>
      </c>
      <c r="D599" t="s">
        <v>1062</v>
      </c>
      <c r="E599" t="s">
        <v>1063</v>
      </c>
      <c r="F599" t="s">
        <v>1064</v>
      </c>
      <c r="G599" t="s">
        <v>1031</v>
      </c>
      <c r="H599" t="s">
        <v>1065</v>
      </c>
      <c r="I599" t="s">
        <v>1067</v>
      </c>
      <c r="J599">
        <v>1</v>
      </c>
      <c r="K599">
        <v>4250</v>
      </c>
      <c r="L599">
        <v>6500</v>
      </c>
      <c r="M599">
        <v>6500</v>
      </c>
      <c r="N599" t="s">
        <v>1010</v>
      </c>
    </row>
    <row r="600" spans="1:14" x14ac:dyDescent="0.25">
      <c r="A600" t="str">
        <f>Table3[[#This Row],[Company Name]] &amp; " - " &amp; Table3[[#This Row],[Store Name]] &amp; " - " &amp; Table3[[#This Row],[Store Branch / Address]]</f>
        <v>STAR 360 PHILIPPINES INC - YANKEE CANDLES - SM NORTH EDSA</v>
      </c>
      <c r="B600" t="str">
        <f>Table3[[#This Row],[Client ID]] &amp; " - " &amp; Table3[[#This Row],[SO Number]]</f>
        <v>STAR 360 PHILIPPINES INC - YANKEE CANDLES - SM NORTH EDSA - SO-024</v>
      </c>
      <c r="C600" t="s">
        <v>206</v>
      </c>
      <c r="D600" t="s">
        <v>1062</v>
      </c>
      <c r="E600" t="s">
        <v>1063</v>
      </c>
      <c r="F600" t="s">
        <v>1064</v>
      </c>
      <c r="G600" t="s">
        <v>1031</v>
      </c>
      <c r="H600" t="s">
        <v>1065</v>
      </c>
      <c r="I600" t="s">
        <v>85</v>
      </c>
      <c r="J600">
        <v>1</v>
      </c>
      <c r="K600">
        <v>1350</v>
      </c>
      <c r="L600">
        <v>2000</v>
      </c>
      <c r="M600">
        <v>2000</v>
      </c>
      <c r="N600" t="s">
        <v>1010</v>
      </c>
    </row>
    <row r="601" spans="1:14" x14ac:dyDescent="0.25">
      <c r="A601" t="str">
        <f>Table3[[#This Row],[Company Name]] &amp; " - " &amp; Table3[[#This Row],[Store Name]] &amp; " - " &amp; Table3[[#This Row],[Store Branch / Address]]</f>
        <v>STAR 360 PHILIPPINES INC - YANKEE CANDLES - SM NORTH EDSA</v>
      </c>
      <c r="B601" t="str">
        <f>Table3[[#This Row],[Client ID]] &amp; " - " &amp; Table3[[#This Row],[SO Number]]</f>
        <v>STAR 360 PHILIPPINES INC - YANKEE CANDLES - SM NORTH EDSA - SO-024</v>
      </c>
      <c r="C601" t="s">
        <v>206</v>
      </c>
      <c r="D601" t="s">
        <v>1062</v>
      </c>
      <c r="E601" t="s">
        <v>1063</v>
      </c>
      <c r="F601" t="s">
        <v>1064</v>
      </c>
      <c r="G601" t="s">
        <v>1031</v>
      </c>
      <c r="H601" t="s">
        <v>1065</v>
      </c>
      <c r="I601" t="s">
        <v>97</v>
      </c>
      <c r="J601">
        <v>1</v>
      </c>
      <c r="K601">
        <v>2200</v>
      </c>
      <c r="L601">
        <v>3500</v>
      </c>
      <c r="M601">
        <v>3500</v>
      </c>
      <c r="N601" t="s">
        <v>1010</v>
      </c>
    </row>
    <row r="602" spans="1:14" x14ac:dyDescent="0.25">
      <c r="A602" t="str">
        <f>Table3[[#This Row],[Company Name]] &amp; " - " &amp; Table3[[#This Row],[Store Name]] &amp; " - " &amp; Table3[[#This Row],[Store Branch / Address]]</f>
        <v>STAR 360 PHILIPPINES INC - YANKEE CANDLES - SM NORTH EDSA</v>
      </c>
      <c r="B602" t="str">
        <f>Table3[[#This Row],[Client ID]] &amp; " - " &amp; Table3[[#This Row],[SO Number]]</f>
        <v>STAR 360 PHILIPPINES INC - YANKEE CANDLES - SM NORTH EDSA - SO-024</v>
      </c>
      <c r="C602" t="s">
        <v>206</v>
      </c>
      <c r="D602" t="s">
        <v>1062</v>
      </c>
      <c r="E602" t="s">
        <v>1063</v>
      </c>
      <c r="F602" t="s">
        <v>1064</v>
      </c>
      <c r="G602" t="s">
        <v>1031</v>
      </c>
      <c r="H602" t="s">
        <v>1065</v>
      </c>
      <c r="I602" t="s">
        <v>63</v>
      </c>
      <c r="J602">
        <v>1</v>
      </c>
      <c r="K602">
        <v>500</v>
      </c>
      <c r="L602">
        <v>500</v>
      </c>
      <c r="M602">
        <v>500</v>
      </c>
      <c r="N602" t="s">
        <v>1010</v>
      </c>
    </row>
    <row r="603" spans="1:14" x14ac:dyDescent="0.25">
      <c r="A603" t="str">
        <f>Table3[[#This Row],[Company Name]] &amp; " - " &amp; Table3[[#This Row],[Store Name]] &amp; " - " &amp; Table3[[#This Row],[Store Branch / Address]]</f>
        <v>CANELLE FOOD CORPORATION - CINNABON - GENERIC</v>
      </c>
      <c r="B603" t="str">
        <f>Table3[[#This Row],[Client ID]] &amp; " - " &amp; Table3[[#This Row],[SO Number]]</f>
        <v>CANELLE FOOD CORPORATION - CINNABON - GENERIC - SO-054</v>
      </c>
      <c r="C603" t="s">
        <v>362</v>
      </c>
      <c r="D603" t="s">
        <v>363</v>
      </c>
      <c r="E603" t="s">
        <v>364</v>
      </c>
      <c r="F603" t="s">
        <v>15</v>
      </c>
      <c r="G603" t="s">
        <v>22</v>
      </c>
      <c r="H603" t="s">
        <v>365</v>
      </c>
      <c r="I603" t="s">
        <v>154</v>
      </c>
      <c r="J603">
        <v>10</v>
      </c>
      <c r="K603">
        <v>1100</v>
      </c>
      <c r="L603">
        <v>1325</v>
      </c>
      <c r="M603">
        <v>13250</v>
      </c>
      <c r="N603" t="s">
        <v>19</v>
      </c>
    </row>
    <row r="604" spans="1:14" x14ac:dyDescent="0.25">
      <c r="A604" t="str">
        <f>Table3[[#This Row],[Company Name]] &amp; " - " &amp; Table3[[#This Row],[Store Name]] &amp; " - " &amp; Table3[[#This Row],[Store Branch / Address]]</f>
        <v>CANELLE FOOD CORPORATION - CINNABON - GENERIC</v>
      </c>
      <c r="B604" t="str">
        <f>Table3[[#This Row],[Client ID]] &amp; " - " &amp; Table3[[#This Row],[SO Number]]</f>
        <v>CANELLE FOOD CORPORATION - CINNABON - GENERIC - SO-054</v>
      </c>
      <c r="C604" t="s">
        <v>362</v>
      </c>
      <c r="D604" t="s">
        <v>363</v>
      </c>
      <c r="E604" t="s">
        <v>364</v>
      </c>
      <c r="F604" t="s">
        <v>15</v>
      </c>
      <c r="G604" t="s">
        <v>22</v>
      </c>
      <c r="H604" t="s">
        <v>365</v>
      </c>
      <c r="I604" t="s">
        <v>366</v>
      </c>
      <c r="J604">
        <v>5</v>
      </c>
      <c r="K604">
        <v>65</v>
      </c>
      <c r="L604">
        <v>100</v>
      </c>
      <c r="M604">
        <v>500</v>
      </c>
      <c r="N604" t="s">
        <v>19</v>
      </c>
    </row>
    <row r="605" spans="1:14" x14ac:dyDescent="0.25">
      <c r="A605" t="str">
        <f>Table3[[#This Row],[Company Name]] &amp; " - " &amp; Table3[[#This Row],[Store Name]] &amp; " - " &amp; Table3[[#This Row],[Store Branch / Address]]</f>
        <v>JASMINE BLOOM TEA INC - SERENITEA - GENERIC</v>
      </c>
      <c r="B605" t="str">
        <f>Table3[[#This Row],[Client ID]] &amp; " - " &amp; Table3[[#This Row],[SO Number]]</f>
        <v>JASMINE BLOOM TEA INC - SERENITEA - GENERIC - SO-55</v>
      </c>
      <c r="C605" t="s">
        <v>367</v>
      </c>
      <c r="D605" t="s">
        <v>253</v>
      </c>
      <c r="E605" t="s">
        <v>239</v>
      </c>
      <c r="F605" t="s">
        <v>15</v>
      </c>
      <c r="G605" t="s">
        <v>37</v>
      </c>
      <c r="H605" t="s">
        <v>365</v>
      </c>
      <c r="I605" t="s">
        <v>151</v>
      </c>
      <c r="J605">
        <v>1</v>
      </c>
      <c r="K605">
        <v>2800</v>
      </c>
      <c r="L605">
        <v>4000</v>
      </c>
      <c r="M605">
        <v>4000</v>
      </c>
      <c r="N605" t="s">
        <v>19</v>
      </c>
    </row>
    <row r="606" spans="1:14" x14ac:dyDescent="0.25">
      <c r="A606" t="str">
        <f>Table3[[#This Row],[Company Name]] &amp; " - " &amp; Table3[[#This Row],[Store Name]] &amp; " - " &amp; Table3[[#This Row],[Store Branch / Address]]</f>
        <v>RAJO - RAJO - ROCKWELL &amp; SHNAG</v>
      </c>
      <c r="B606" t="str">
        <f>Table3[[#This Row],[Client ID]] &amp; " - " &amp; Table3[[#This Row],[SO Number]]</f>
        <v>RAJO - RAJO - ROCKWELL &amp; SHNAG - SO-025</v>
      </c>
      <c r="C606" t="s">
        <v>208</v>
      </c>
      <c r="D606" t="s">
        <v>1068</v>
      </c>
      <c r="E606" t="s">
        <v>1068</v>
      </c>
      <c r="F606" t="s">
        <v>1069</v>
      </c>
      <c r="G606" t="s">
        <v>37</v>
      </c>
      <c r="H606" t="s">
        <v>365</v>
      </c>
      <c r="I606" t="s">
        <v>1051</v>
      </c>
      <c r="J606">
        <v>2</v>
      </c>
      <c r="K606">
        <v>970</v>
      </c>
      <c r="L606">
        <v>1500</v>
      </c>
      <c r="M606">
        <v>3000</v>
      </c>
      <c r="N606" t="s">
        <v>1010</v>
      </c>
    </row>
    <row r="607" spans="1:14" x14ac:dyDescent="0.25">
      <c r="A607" t="str">
        <f>Table3[[#This Row],[Company Name]] &amp; " - " &amp; Table3[[#This Row],[Store Name]] &amp; " - " &amp; Table3[[#This Row],[Store Branch / Address]]</f>
        <v>LIPA GRILLE RESTAURANT CO - LIPA GRILLE - GENERIC</v>
      </c>
      <c r="B607" t="str">
        <f>Table3[[#This Row],[Client ID]] &amp; " - " &amp; Table3[[#This Row],[SO Number]]</f>
        <v>LIPA GRILLE RESTAURANT CO - LIPA GRILLE - GENERIC - SO-056</v>
      </c>
      <c r="C607" t="s">
        <v>369</v>
      </c>
      <c r="D607" t="s">
        <v>123</v>
      </c>
      <c r="E607" t="s">
        <v>124</v>
      </c>
      <c r="F607" t="s">
        <v>15</v>
      </c>
      <c r="G607" t="s">
        <v>37</v>
      </c>
      <c r="H607" t="s">
        <v>370</v>
      </c>
      <c r="I607" t="s">
        <v>371</v>
      </c>
      <c r="J607">
        <v>1000</v>
      </c>
      <c r="K607">
        <v>32</v>
      </c>
      <c r="L607">
        <v>50</v>
      </c>
      <c r="M607">
        <v>50000</v>
      </c>
      <c r="N607" t="s">
        <v>19</v>
      </c>
    </row>
    <row r="608" spans="1:14" x14ac:dyDescent="0.25">
      <c r="A608" t="str">
        <f>Table3[[#This Row],[Company Name]] &amp; " - " &amp; Table3[[#This Row],[Store Name]] &amp; " - " &amp; Table3[[#This Row],[Store Branch / Address]]</f>
        <v>TATAY S GRILL INC - TATAY'S GRILL INC - GENERIC</v>
      </c>
      <c r="B608" t="str">
        <f>Table3[[#This Row],[Client ID]] &amp; " - " &amp; Table3[[#This Row],[SO Number]]</f>
        <v>TATAY S GRILL INC - TATAY'S GRILL INC - GENERIC - SO-057</v>
      </c>
      <c r="C608" t="s">
        <v>377</v>
      </c>
      <c r="D608" t="s">
        <v>246</v>
      </c>
      <c r="E608" t="s">
        <v>247</v>
      </c>
      <c r="F608" t="s">
        <v>15</v>
      </c>
      <c r="G608" t="s">
        <v>378</v>
      </c>
      <c r="H608" t="s">
        <v>370</v>
      </c>
      <c r="I608" t="s">
        <v>371</v>
      </c>
      <c r="J608">
        <v>250</v>
      </c>
      <c r="K608">
        <v>32</v>
      </c>
      <c r="L608">
        <v>50</v>
      </c>
      <c r="M608">
        <v>12500</v>
      </c>
      <c r="N608" t="s">
        <v>19</v>
      </c>
    </row>
    <row r="609" spans="1:14" x14ac:dyDescent="0.25">
      <c r="A609" t="str">
        <f>Table3[[#This Row],[Company Name]] &amp; " - " &amp; Table3[[#This Row],[Store Name]] &amp; " - " &amp; Table3[[#This Row],[Store Branch / Address]]</f>
        <v>LIPA GRILLE RESTAURANT CO - LIPA GRILLE - GENERIC</v>
      </c>
      <c r="B609" t="str">
        <f>Table3[[#This Row],[Client ID]] &amp; " - " &amp; Table3[[#This Row],[SO Number]]</f>
        <v>LIPA GRILLE RESTAURANT CO - LIPA GRILLE - GENERIC - SO-058</v>
      </c>
      <c r="C609" t="s">
        <v>382</v>
      </c>
      <c r="D609" t="s">
        <v>123</v>
      </c>
      <c r="E609" t="s">
        <v>124</v>
      </c>
      <c r="F609" t="s">
        <v>15</v>
      </c>
      <c r="G609" t="s">
        <v>16</v>
      </c>
      <c r="H609" t="s">
        <v>370</v>
      </c>
      <c r="I609" t="s">
        <v>125</v>
      </c>
      <c r="J609">
        <v>2</v>
      </c>
      <c r="K609">
        <v>7350</v>
      </c>
      <c r="L609">
        <v>10500</v>
      </c>
      <c r="M609">
        <v>21000</v>
      </c>
      <c r="N609" t="s">
        <v>19</v>
      </c>
    </row>
    <row r="610" spans="1:14" x14ac:dyDescent="0.25">
      <c r="A610" t="str">
        <f>Table3[[#This Row],[Company Name]] &amp; " - " &amp; Table3[[#This Row],[Store Name]] &amp; " - " &amp; Table3[[#This Row],[Store Branch / Address]]</f>
        <v>LIPA GRILLE RESTAURANT CO - LIPA GRILLE - GENERIC</v>
      </c>
      <c r="B610" t="str">
        <f>Table3[[#This Row],[Client ID]] &amp; " - " &amp; Table3[[#This Row],[SO Number]]</f>
        <v>LIPA GRILLE RESTAURANT CO - LIPA GRILLE - GENERIC - SO-058</v>
      </c>
      <c r="C610" t="s">
        <v>382</v>
      </c>
      <c r="D610" t="s">
        <v>123</v>
      </c>
      <c r="E610" t="s">
        <v>124</v>
      </c>
      <c r="F610" t="s">
        <v>15</v>
      </c>
      <c r="G610" t="s">
        <v>16</v>
      </c>
      <c r="H610" t="s">
        <v>370</v>
      </c>
      <c r="I610" t="s">
        <v>48</v>
      </c>
      <c r="J610">
        <v>2</v>
      </c>
      <c r="K610">
        <v>11900</v>
      </c>
      <c r="L610">
        <v>17000</v>
      </c>
      <c r="M610">
        <v>34000</v>
      </c>
      <c r="N610" t="s">
        <v>19</v>
      </c>
    </row>
    <row r="611" spans="1:14" x14ac:dyDescent="0.25">
      <c r="A611" t="str">
        <f>Table3[[#This Row],[Company Name]] &amp; " - " &amp; Table3[[#This Row],[Store Name]] &amp; " - " &amp; Table3[[#This Row],[Store Branch / Address]]</f>
        <v>LIPA GRILLE RESTAURANT CO - LIPA GRILLE - GENERIC</v>
      </c>
      <c r="B611" t="str">
        <f>Table3[[#This Row],[Client ID]] &amp; " - " &amp; Table3[[#This Row],[SO Number]]</f>
        <v>LIPA GRILLE RESTAURANT CO - LIPA GRILLE - GENERIC - SO-058</v>
      </c>
      <c r="C611" t="s">
        <v>382</v>
      </c>
      <c r="D611" t="s">
        <v>123</v>
      </c>
      <c r="E611" t="s">
        <v>124</v>
      </c>
      <c r="F611" t="s">
        <v>15</v>
      </c>
      <c r="G611" t="s">
        <v>16</v>
      </c>
      <c r="H611" t="s">
        <v>370</v>
      </c>
      <c r="I611" t="s">
        <v>126</v>
      </c>
      <c r="J611">
        <v>2</v>
      </c>
      <c r="K611">
        <v>11900</v>
      </c>
      <c r="L611">
        <v>17000</v>
      </c>
      <c r="M611">
        <v>34000</v>
      </c>
      <c r="N611" t="s">
        <v>19</v>
      </c>
    </row>
    <row r="612" spans="1:14" x14ac:dyDescent="0.25">
      <c r="A612" t="str">
        <f>Table3[[#This Row],[Company Name]] &amp; " - " &amp; Table3[[#This Row],[Store Name]] &amp; " - " &amp; Table3[[#This Row],[Store Branch / Address]]</f>
        <v>LIPA GRILLE RESTAURANT CO - LIPA GRILLE - GENERIC</v>
      </c>
      <c r="B612" t="str">
        <f>Table3[[#This Row],[Client ID]] &amp; " - " &amp; Table3[[#This Row],[SO Number]]</f>
        <v>LIPA GRILLE RESTAURANT CO - LIPA GRILLE - GENERIC - SO-058</v>
      </c>
      <c r="C612" t="s">
        <v>382</v>
      </c>
      <c r="D612" t="s">
        <v>123</v>
      </c>
      <c r="E612" t="s">
        <v>124</v>
      </c>
      <c r="F612" t="s">
        <v>15</v>
      </c>
      <c r="G612" t="s">
        <v>16</v>
      </c>
      <c r="H612" t="s">
        <v>370</v>
      </c>
      <c r="I612" t="s">
        <v>50</v>
      </c>
      <c r="J612">
        <v>2</v>
      </c>
      <c r="K612">
        <v>500</v>
      </c>
      <c r="L612">
        <v>500</v>
      </c>
      <c r="M612">
        <v>1000</v>
      </c>
      <c r="N612" t="s">
        <v>19</v>
      </c>
    </row>
    <row r="613" spans="1:14" x14ac:dyDescent="0.25">
      <c r="A613" t="str">
        <f>Table3[[#This Row],[Company Name]] &amp; " - " &amp; Table3[[#This Row],[Store Name]] &amp; " - " &amp; Table3[[#This Row],[Store Branch / Address]]</f>
        <v>LIPA GRILLE RESTAURANT CO - LIPA GRILLE - GENERIC</v>
      </c>
      <c r="B613" t="str">
        <f>Table3[[#This Row],[Client ID]] &amp; " - " &amp; Table3[[#This Row],[SO Number]]</f>
        <v>LIPA GRILLE RESTAURANT CO - LIPA GRILLE - GENERIC - SO-058</v>
      </c>
      <c r="C613" t="s">
        <v>382</v>
      </c>
      <c r="D613" t="s">
        <v>123</v>
      </c>
      <c r="E613" t="s">
        <v>124</v>
      </c>
      <c r="F613" t="s">
        <v>15</v>
      </c>
      <c r="G613" t="s">
        <v>16</v>
      </c>
      <c r="H613" t="s">
        <v>370</v>
      </c>
      <c r="I613" t="s">
        <v>127</v>
      </c>
      <c r="J613">
        <v>1</v>
      </c>
      <c r="K613">
        <v>3500</v>
      </c>
      <c r="L613">
        <v>10000</v>
      </c>
      <c r="M613">
        <v>10000</v>
      </c>
      <c r="N613" t="s">
        <v>19</v>
      </c>
    </row>
    <row r="614" spans="1:14" x14ac:dyDescent="0.25">
      <c r="A614" t="str">
        <f>Table3[[#This Row],[Company Name]] &amp; " - " &amp; Table3[[#This Row],[Store Name]] &amp; " - " &amp; Table3[[#This Row],[Store Branch / Address]]</f>
        <v>LIPA GRILLE RESTAURANT CO - LIPA GRILLE - GENERIC</v>
      </c>
      <c r="B614" t="str">
        <f>Table3[[#This Row],[Client ID]] &amp; " - " &amp; Table3[[#This Row],[SO Number]]</f>
        <v>LIPA GRILLE RESTAURANT CO - LIPA GRILLE - GENERIC - SO-058</v>
      </c>
      <c r="C614" t="s">
        <v>382</v>
      </c>
      <c r="D614" t="s">
        <v>123</v>
      </c>
      <c r="E614" t="s">
        <v>124</v>
      </c>
      <c r="F614" t="s">
        <v>15</v>
      </c>
      <c r="G614" t="s">
        <v>16</v>
      </c>
      <c r="H614" t="s">
        <v>370</v>
      </c>
      <c r="I614" t="s">
        <v>60</v>
      </c>
      <c r="J614">
        <v>3</v>
      </c>
      <c r="K614">
        <v>11000</v>
      </c>
      <c r="L614">
        <v>16500</v>
      </c>
      <c r="M614">
        <v>49500</v>
      </c>
      <c r="N614" t="s">
        <v>19</v>
      </c>
    </row>
    <row r="615" spans="1:14" x14ac:dyDescent="0.25">
      <c r="A615" t="str">
        <f>Table3[[#This Row],[Company Name]] &amp; " - " &amp; Table3[[#This Row],[Store Name]] &amp; " - " &amp; Table3[[#This Row],[Store Branch / Address]]</f>
        <v>LIPA GRILLE RESTAURANT CO - LIPA GRILLE - GENERIC</v>
      </c>
      <c r="B615" t="str">
        <f>Table3[[#This Row],[Client ID]] &amp; " - " &amp; Table3[[#This Row],[SO Number]]</f>
        <v>LIPA GRILLE RESTAURANT CO - LIPA GRILLE - GENERIC - SO-058</v>
      </c>
      <c r="C615" t="s">
        <v>382</v>
      </c>
      <c r="D615" t="s">
        <v>123</v>
      </c>
      <c r="E615" t="s">
        <v>124</v>
      </c>
      <c r="F615" t="s">
        <v>15</v>
      </c>
      <c r="G615" t="s">
        <v>16</v>
      </c>
      <c r="H615" t="s">
        <v>370</v>
      </c>
      <c r="I615" t="s">
        <v>383</v>
      </c>
      <c r="J615">
        <v>1</v>
      </c>
      <c r="K615">
        <v>4250</v>
      </c>
      <c r="L615">
        <v>6000</v>
      </c>
      <c r="M615">
        <v>6000</v>
      </c>
      <c r="N615" t="s">
        <v>19</v>
      </c>
    </row>
    <row r="616" spans="1:14" x14ac:dyDescent="0.25">
      <c r="A616" t="str">
        <f>Table3[[#This Row],[Company Name]] &amp; " - " &amp; Table3[[#This Row],[Store Name]] &amp; " - " &amp; Table3[[#This Row],[Store Branch / Address]]</f>
        <v>LIPA GRILLE RESTAURANT CO - LIPA GRILLE - GENERIC</v>
      </c>
      <c r="B616" t="str">
        <f>Table3[[#This Row],[Client ID]] &amp; " - " &amp; Table3[[#This Row],[SO Number]]</f>
        <v>LIPA GRILLE RESTAURANT CO - LIPA GRILLE - GENERIC - SO-058</v>
      </c>
      <c r="C616" t="s">
        <v>382</v>
      </c>
      <c r="D616" t="s">
        <v>123</v>
      </c>
      <c r="E616" t="s">
        <v>124</v>
      </c>
      <c r="F616" t="s">
        <v>15</v>
      </c>
      <c r="G616" t="s">
        <v>16</v>
      </c>
      <c r="H616" t="s">
        <v>370</v>
      </c>
      <c r="I616" t="s">
        <v>116</v>
      </c>
      <c r="J616">
        <v>2</v>
      </c>
      <c r="K616">
        <v>2185</v>
      </c>
      <c r="L616">
        <v>3000</v>
      </c>
      <c r="M616">
        <v>6000</v>
      </c>
      <c r="N616" t="s">
        <v>19</v>
      </c>
    </row>
    <row r="617" spans="1:14" x14ac:dyDescent="0.25">
      <c r="A617" t="str">
        <f>Table3[[#This Row],[Company Name]] &amp; " - " &amp; Table3[[#This Row],[Store Name]] &amp; " - " &amp; Table3[[#This Row],[Store Branch / Address]]</f>
        <v>LIPA GRILLE RESTAURANT CO - LIPA GRILLE - GENERIC</v>
      </c>
      <c r="B617" t="str">
        <f>Table3[[#This Row],[Client ID]] &amp; " - " &amp; Table3[[#This Row],[SO Number]]</f>
        <v>LIPA GRILLE RESTAURANT CO - LIPA GRILLE - GENERIC - SO-058</v>
      </c>
      <c r="C617" t="s">
        <v>382</v>
      </c>
      <c r="D617" t="s">
        <v>123</v>
      </c>
      <c r="E617" t="s">
        <v>124</v>
      </c>
      <c r="F617" t="s">
        <v>15</v>
      </c>
      <c r="G617" t="s">
        <v>16</v>
      </c>
      <c r="H617" t="s">
        <v>370</v>
      </c>
      <c r="I617" t="s">
        <v>97</v>
      </c>
      <c r="J617">
        <v>4</v>
      </c>
      <c r="K617">
        <v>2200</v>
      </c>
      <c r="L617">
        <v>3500</v>
      </c>
      <c r="M617">
        <v>14000</v>
      </c>
      <c r="N617" t="s">
        <v>19</v>
      </c>
    </row>
    <row r="618" spans="1:14" x14ac:dyDescent="0.25">
      <c r="A618" t="str">
        <f>Table3[[#This Row],[Company Name]] &amp; " - " &amp; Table3[[#This Row],[Store Name]] &amp; " - " &amp; Table3[[#This Row],[Store Branch / Address]]</f>
        <v>LIPA GRILLE RESTAURANT CO - LIPA GRILLE - GENERIC</v>
      </c>
      <c r="B618" t="str">
        <f>Table3[[#This Row],[Client ID]] &amp; " - " &amp; Table3[[#This Row],[SO Number]]</f>
        <v>LIPA GRILLE RESTAURANT CO - LIPA GRILLE - GENERIC - SO-058</v>
      </c>
      <c r="C618" t="s">
        <v>382</v>
      </c>
      <c r="D618" t="s">
        <v>123</v>
      </c>
      <c r="E618" t="s">
        <v>124</v>
      </c>
      <c r="F618" t="s">
        <v>15</v>
      </c>
      <c r="G618" t="s">
        <v>16</v>
      </c>
      <c r="H618" t="s">
        <v>370</v>
      </c>
      <c r="I618" t="s">
        <v>129</v>
      </c>
      <c r="J618">
        <v>2</v>
      </c>
      <c r="K618">
        <v>5740.5</v>
      </c>
      <c r="L618">
        <v>8000</v>
      </c>
      <c r="M618">
        <v>16000</v>
      </c>
      <c r="N618" t="s">
        <v>19</v>
      </c>
    </row>
    <row r="619" spans="1:14" x14ac:dyDescent="0.25">
      <c r="A619" t="str">
        <f>Table3[[#This Row],[Company Name]] &amp; " - " &amp; Table3[[#This Row],[Store Name]] &amp; " - " &amp; Table3[[#This Row],[Store Branch / Address]]</f>
        <v>LIPA GRILLE RESTAURANT CO - LIPA GRILLE - GENERIC</v>
      </c>
      <c r="B619" t="str">
        <f>Table3[[#This Row],[Client ID]] &amp; " - " &amp; Table3[[#This Row],[SO Number]]</f>
        <v>LIPA GRILLE RESTAURANT CO - LIPA GRILLE - GENERIC - SO-058</v>
      </c>
      <c r="C619" t="s">
        <v>382</v>
      </c>
      <c r="D619" t="s">
        <v>123</v>
      </c>
      <c r="E619" t="s">
        <v>124</v>
      </c>
      <c r="F619" t="s">
        <v>15</v>
      </c>
      <c r="G619" t="s">
        <v>16</v>
      </c>
      <c r="H619" t="s">
        <v>370</v>
      </c>
      <c r="I619" t="s">
        <v>248</v>
      </c>
      <c r="J619">
        <v>2</v>
      </c>
      <c r="K619">
        <v>8500</v>
      </c>
      <c r="L619">
        <v>13000</v>
      </c>
      <c r="M619">
        <v>26000</v>
      </c>
      <c r="N619" t="s">
        <v>19</v>
      </c>
    </row>
    <row r="620" spans="1:14" x14ac:dyDescent="0.25">
      <c r="A620" t="str">
        <f>Table3[[#This Row],[Company Name]] &amp; " - " &amp; Table3[[#This Row],[Store Name]] &amp; " - " &amp; Table3[[#This Row],[Store Branch / Address]]</f>
        <v>LIPA GRILLE RESTAURANT CO - LIPA GRILLE - GENERIC</v>
      </c>
      <c r="B620" t="str">
        <f>Table3[[#This Row],[Client ID]] &amp; " - " &amp; Table3[[#This Row],[SO Number]]</f>
        <v>LIPA GRILLE RESTAURANT CO - LIPA GRILLE - GENERIC - SO-058</v>
      </c>
      <c r="C620" t="s">
        <v>382</v>
      </c>
      <c r="D620" t="s">
        <v>123</v>
      </c>
      <c r="E620" t="s">
        <v>124</v>
      </c>
      <c r="F620" t="s">
        <v>15</v>
      </c>
      <c r="G620" t="s">
        <v>16</v>
      </c>
      <c r="H620" t="s">
        <v>370</v>
      </c>
      <c r="I620" t="s">
        <v>384</v>
      </c>
      <c r="J620">
        <v>1</v>
      </c>
      <c r="K620">
        <v>8500</v>
      </c>
      <c r="L620">
        <v>13000</v>
      </c>
      <c r="M620">
        <v>13000</v>
      </c>
      <c r="N620" t="s">
        <v>19</v>
      </c>
    </row>
    <row r="621" spans="1:14" x14ac:dyDescent="0.25">
      <c r="A621" t="str">
        <f>Table3[[#This Row],[Company Name]] &amp; " - " &amp; Table3[[#This Row],[Store Name]] &amp; " - " &amp; Table3[[#This Row],[Store Branch / Address]]</f>
        <v>LIPA GRILLE RESTAURANT CO - LIPA GRILLE - GENERIC</v>
      </c>
      <c r="B621" t="str">
        <f>Table3[[#This Row],[Client ID]] &amp; " - " &amp; Table3[[#This Row],[SO Number]]</f>
        <v>LIPA GRILLE RESTAURANT CO - LIPA GRILLE - GENERIC - SO-058</v>
      </c>
      <c r="C621" t="s">
        <v>382</v>
      </c>
      <c r="D621" t="s">
        <v>123</v>
      </c>
      <c r="E621" t="s">
        <v>124</v>
      </c>
      <c r="F621" t="s">
        <v>15</v>
      </c>
      <c r="G621" t="s">
        <v>16</v>
      </c>
      <c r="H621" t="s">
        <v>370</v>
      </c>
      <c r="I621" t="s">
        <v>249</v>
      </c>
      <c r="J621">
        <v>4</v>
      </c>
      <c r="K621">
        <v>21500</v>
      </c>
      <c r="L621">
        <v>31075</v>
      </c>
      <c r="M621">
        <v>124300</v>
      </c>
      <c r="N621" t="s">
        <v>19</v>
      </c>
    </row>
    <row r="622" spans="1:14" x14ac:dyDescent="0.25">
      <c r="A622" t="str">
        <f>Table3[[#This Row],[Company Name]] &amp; " - " &amp; Table3[[#This Row],[Store Name]] &amp; " - " &amp; Table3[[#This Row],[Store Branch / Address]]</f>
        <v>CHICKEN DELI - MAGOOS - GENERIC</v>
      </c>
      <c r="B622" t="str">
        <f>Table3[[#This Row],[Client ID]] &amp; " - " &amp; Table3[[#This Row],[SO Number]]</f>
        <v>CHICKEN DELI - MAGOOS - GENERIC - SO-073</v>
      </c>
      <c r="C622" t="s">
        <v>448</v>
      </c>
      <c r="D622" t="s">
        <v>20</v>
      </c>
      <c r="E622" t="s">
        <v>73</v>
      </c>
      <c r="F622" t="s">
        <v>15</v>
      </c>
      <c r="G622" t="s">
        <v>22</v>
      </c>
      <c r="H622" t="s">
        <v>370</v>
      </c>
      <c r="I622" t="s">
        <v>235</v>
      </c>
      <c r="J622">
        <v>1</v>
      </c>
      <c r="K622">
        <v>1350</v>
      </c>
      <c r="L622">
        <v>2600</v>
      </c>
      <c r="M622">
        <v>2600</v>
      </c>
      <c r="N622" t="s">
        <v>19</v>
      </c>
    </row>
    <row r="623" spans="1:14" x14ac:dyDescent="0.25">
      <c r="A623" t="str">
        <f>Table3[[#This Row],[Company Name]] &amp; " - " &amp; Table3[[#This Row],[Store Name]] &amp; " - " &amp; Table3[[#This Row],[Store Branch / Address]]</f>
        <v>CHICKEN DELI - MAGOOS - GENERIC</v>
      </c>
      <c r="B623" t="str">
        <f>Table3[[#This Row],[Client ID]] &amp; " - " &amp; Table3[[#This Row],[SO Number]]</f>
        <v>CHICKEN DELI - MAGOOS - GENERIC - SO-073</v>
      </c>
      <c r="C623" t="s">
        <v>448</v>
      </c>
      <c r="D623" t="s">
        <v>20</v>
      </c>
      <c r="E623" t="s">
        <v>73</v>
      </c>
      <c r="F623" t="s">
        <v>15</v>
      </c>
      <c r="G623" t="s">
        <v>22</v>
      </c>
      <c r="H623" t="s">
        <v>370</v>
      </c>
      <c r="I623" t="s">
        <v>76</v>
      </c>
      <c r="J623">
        <v>1</v>
      </c>
      <c r="K623">
        <v>500</v>
      </c>
      <c r="L623">
        <v>500</v>
      </c>
      <c r="M623">
        <v>500</v>
      </c>
      <c r="N623" t="s">
        <v>19</v>
      </c>
    </row>
    <row r="624" spans="1:14" x14ac:dyDescent="0.25">
      <c r="A624" t="str">
        <f>Table3[[#This Row],[Company Name]] &amp; " - " &amp; Table3[[#This Row],[Store Name]] &amp; " - " &amp; Table3[[#This Row],[Store Branch / Address]]</f>
        <v>CHICKEN DELI - GENERIC - GENERIC</v>
      </c>
      <c r="B624" t="str">
        <f>Table3[[#This Row],[Client ID]] &amp; " - " &amp; Table3[[#This Row],[SO Number]]</f>
        <v>CHICKEN DELI - GENERIC - GENERIC - SO-074</v>
      </c>
      <c r="C624" t="s">
        <v>450</v>
      </c>
      <c r="D624" t="s">
        <v>20</v>
      </c>
      <c r="E624" t="s">
        <v>15</v>
      </c>
      <c r="F624" t="s">
        <v>15</v>
      </c>
      <c r="G624" t="s">
        <v>22</v>
      </c>
      <c r="H624" t="s">
        <v>454</v>
      </c>
      <c r="I624" t="s">
        <v>455</v>
      </c>
      <c r="J624">
        <v>10</v>
      </c>
      <c r="K624">
        <v>5075</v>
      </c>
      <c r="L624">
        <v>14500</v>
      </c>
      <c r="M624">
        <v>145000</v>
      </c>
      <c r="N624" t="s">
        <v>19</v>
      </c>
    </row>
    <row r="625" spans="1:14" x14ac:dyDescent="0.25">
      <c r="A625" t="str">
        <f>Table3[[#This Row],[Company Name]] &amp; " - " &amp; Table3[[#This Row],[Store Name]] &amp; " - " &amp; Table3[[#This Row],[Store Branch / Address]]</f>
        <v>CHICKEN DELI - GENERIC - GENERIC</v>
      </c>
      <c r="B625" t="str">
        <f>Table3[[#This Row],[Client ID]] &amp; " - " &amp; Table3[[#This Row],[SO Number]]</f>
        <v>CHICKEN DELI - GENERIC - GENERIC - SO-074</v>
      </c>
      <c r="C625" t="s">
        <v>450</v>
      </c>
      <c r="D625" t="s">
        <v>20</v>
      </c>
      <c r="E625" t="s">
        <v>15</v>
      </c>
      <c r="F625" t="s">
        <v>15</v>
      </c>
      <c r="G625" t="s">
        <v>22</v>
      </c>
      <c r="H625" t="s">
        <v>454</v>
      </c>
      <c r="I625" t="s">
        <v>456</v>
      </c>
      <c r="J625">
        <v>1</v>
      </c>
      <c r="K625">
        <v>7000</v>
      </c>
      <c r="L625">
        <v>20000</v>
      </c>
      <c r="M625">
        <v>20000</v>
      </c>
      <c r="N625" t="s">
        <v>19</v>
      </c>
    </row>
    <row r="626" spans="1:14" x14ac:dyDescent="0.25">
      <c r="A626" t="str">
        <f>Table3[[#This Row],[Company Name]] &amp; " - " &amp; Table3[[#This Row],[Store Name]] &amp; " - " &amp; Table3[[#This Row],[Store Branch / Address]]</f>
        <v>CHICKEN DELI - GENERIC - GENERIC</v>
      </c>
      <c r="B626" t="str">
        <f>Table3[[#This Row],[Client ID]] &amp; " - " &amp; Table3[[#This Row],[SO Number]]</f>
        <v>CHICKEN DELI - GENERIC - GENERIC - SO-074</v>
      </c>
      <c r="C626" t="s">
        <v>450</v>
      </c>
      <c r="D626" t="s">
        <v>20</v>
      </c>
      <c r="E626" t="s">
        <v>15</v>
      </c>
      <c r="F626" t="s">
        <v>15</v>
      </c>
      <c r="G626" t="s">
        <v>22</v>
      </c>
      <c r="H626" t="s">
        <v>454</v>
      </c>
      <c r="I626" t="s">
        <v>26</v>
      </c>
      <c r="J626">
        <v>10</v>
      </c>
      <c r="K626">
        <v>5000</v>
      </c>
      <c r="L626">
        <v>5000</v>
      </c>
      <c r="M626">
        <v>50000</v>
      </c>
      <c r="N626" t="s">
        <v>19</v>
      </c>
    </row>
    <row r="627" spans="1:14" x14ac:dyDescent="0.25">
      <c r="A627" t="str">
        <f>Table3[[#This Row],[Company Name]] &amp; " - " &amp; Table3[[#This Row],[Store Name]] &amp; " - " &amp; Table3[[#This Row],[Store Branch / Address]]</f>
        <v>CHICKEN DELI - GONGCHA - GENERIC</v>
      </c>
      <c r="B627" t="str">
        <f>Table3[[#This Row],[Client ID]] &amp; " - " &amp; Table3[[#This Row],[SO Number]]</f>
        <v>CHICKEN DELI - GONGCHA - GENERIC - SO-075</v>
      </c>
      <c r="C627" t="s">
        <v>457</v>
      </c>
      <c r="D627" t="s">
        <v>20</v>
      </c>
      <c r="E627" t="s">
        <v>31</v>
      </c>
      <c r="F627" t="s">
        <v>15</v>
      </c>
      <c r="G627" t="s">
        <v>22</v>
      </c>
      <c r="H627" t="s">
        <v>454</v>
      </c>
      <c r="I627" t="s">
        <v>145</v>
      </c>
      <c r="J627">
        <v>1</v>
      </c>
      <c r="K627">
        <v>3675</v>
      </c>
      <c r="L627">
        <v>10500</v>
      </c>
      <c r="M627">
        <v>10500</v>
      </c>
      <c r="N627" t="s">
        <v>19</v>
      </c>
    </row>
    <row r="628" spans="1:14" x14ac:dyDescent="0.25">
      <c r="A628" t="str">
        <f>Table3[[#This Row],[Company Name]] &amp; " - " &amp; Table3[[#This Row],[Store Name]] &amp; " - " &amp; Table3[[#This Row],[Store Branch / Address]]</f>
        <v>CHICKEN DELI - GONGCHA - GENERIC</v>
      </c>
      <c r="B628" t="str">
        <f>Table3[[#This Row],[Client ID]] &amp; " - " &amp; Table3[[#This Row],[SO Number]]</f>
        <v>CHICKEN DELI - GONGCHA - GENERIC - SO-075</v>
      </c>
      <c r="C628" t="s">
        <v>457</v>
      </c>
      <c r="D628" t="s">
        <v>20</v>
      </c>
      <c r="E628" t="s">
        <v>31</v>
      </c>
      <c r="F628" t="s">
        <v>15</v>
      </c>
      <c r="G628" t="s">
        <v>22</v>
      </c>
      <c r="H628" t="s">
        <v>454</v>
      </c>
      <c r="I628" t="s">
        <v>299</v>
      </c>
      <c r="J628">
        <v>1</v>
      </c>
      <c r="K628">
        <v>9500</v>
      </c>
      <c r="L628">
        <v>9500</v>
      </c>
      <c r="M628">
        <v>9500</v>
      </c>
      <c r="N628" t="s">
        <v>19</v>
      </c>
    </row>
    <row r="629" spans="1:14" x14ac:dyDescent="0.25">
      <c r="A629" t="str">
        <f>Table3[[#This Row],[Company Name]] &amp; " - " &amp; Table3[[#This Row],[Store Name]] &amp; " - " &amp; Table3[[#This Row],[Store Branch / Address]]</f>
        <v>CHICKEN DELI - GONGCHA - GENERIC</v>
      </c>
      <c r="B629" t="str">
        <f>Table3[[#This Row],[Client ID]] &amp; " - " &amp; Table3[[#This Row],[SO Number]]</f>
        <v>CHICKEN DELI - GONGCHA - GENERIC - SO-075</v>
      </c>
      <c r="C629" t="s">
        <v>457</v>
      </c>
      <c r="D629" t="s">
        <v>20</v>
      </c>
      <c r="E629" t="s">
        <v>31</v>
      </c>
      <c r="F629" t="s">
        <v>15</v>
      </c>
      <c r="G629" t="s">
        <v>22</v>
      </c>
      <c r="H629" t="s">
        <v>454</v>
      </c>
      <c r="I629" t="s">
        <v>25</v>
      </c>
      <c r="J629">
        <v>1</v>
      </c>
      <c r="K629">
        <v>9500</v>
      </c>
      <c r="L629">
        <v>9500</v>
      </c>
      <c r="M629">
        <v>9500</v>
      </c>
      <c r="N629" t="s">
        <v>19</v>
      </c>
    </row>
    <row r="630" spans="1:14" x14ac:dyDescent="0.25">
      <c r="A630" t="str">
        <f>Table3[[#This Row],[Company Name]] &amp; " - " &amp; Table3[[#This Row],[Store Name]] &amp; " - " &amp; Table3[[#This Row],[Store Branch / Address]]</f>
        <v>CHICKEN DELI - GONGCHA - GENERIC</v>
      </c>
      <c r="B630" t="str">
        <f>Table3[[#This Row],[Client ID]] &amp; " - " &amp; Table3[[#This Row],[SO Number]]</f>
        <v>CHICKEN DELI - GONGCHA - GENERIC - SO-075</v>
      </c>
      <c r="C630" t="s">
        <v>457</v>
      </c>
      <c r="D630" t="s">
        <v>20</v>
      </c>
      <c r="E630" t="s">
        <v>31</v>
      </c>
      <c r="F630" t="s">
        <v>15</v>
      </c>
      <c r="G630" t="s">
        <v>22</v>
      </c>
      <c r="H630" t="s">
        <v>454</v>
      </c>
      <c r="I630" t="s">
        <v>134</v>
      </c>
      <c r="J630">
        <v>1</v>
      </c>
      <c r="K630">
        <v>500</v>
      </c>
      <c r="L630">
        <v>500</v>
      </c>
      <c r="M630">
        <v>500</v>
      </c>
      <c r="N630" t="s">
        <v>19</v>
      </c>
    </row>
    <row r="631" spans="1:14" x14ac:dyDescent="0.25">
      <c r="A631" t="str">
        <f>Table3[[#This Row],[Company Name]] &amp; " - " &amp; Table3[[#This Row],[Store Name]] &amp; " - " &amp; Table3[[#This Row],[Store Branch / Address]]</f>
        <v>CANELLE FOOD CORPORATION - CINNABON - GENERIC</v>
      </c>
      <c r="B631" t="str">
        <f>Table3[[#This Row],[Client ID]] &amp; " - " &amp; Table3[[#This Row],[SO Number]]</f>
        <v>CANELLE FOOD CORPORATION - CINNABON - GENERIC - SO-059</v>
      </c>
      <c r="C631" t="s">
        <v>386</v>
      </c>
      <c r="D631" t="s">
        <v>363</v>
      </c>
      <c r="E631" t="s">
        <v>364</v>
      </c>
      <c r="F631" t="s">
        <v>15</v>
      </c>
      <c r="G631" t="s">
        <v>22</v>
      </c>
      <c r="H631" t="s">
        <v>387</v>
      </c>
      <c r="I631" t="s">
        <v>151</v>
      </c>
      <c r="J631">
        <v>3</v>
      </c>
      <c r="K631">
        <v>2800</v>
      </c>
      <c r="L631">
        <v>4268</v>
      </c>
      <c r="M631">
        <v>12804</v>
      </c>
      <c r="N631" t="s">
        <v>19</v>
      </c>
    </row>
    <row r="632" spans="1:14" x14ac:dyDescent="0.25">
      <c r="A632" t="str">
        <f>Table3[[#This Row],[Company Name]] &amp; " - " &amp; Table3[[#This Row],[Store Name]] &amp; " - " &amp; Table3[[#This Row],[Store Branch / Address]]</f>
        <v>DRAGONWELL TEA INC - SERENITEA - GENERIC</v>
      </c>
      <c r="B632" t="str">
        <f>Table3[[#This Row],[Client ID]] &amp; " - " &amp; Table3[[#This Row],[SO Number]]</f>
        <v>DRAGONWELL TEA INC - SERENITEA - GENERIC - SO-60</v>
      </c>
      <c r="C632" t="s">
        <v>389</v>
      </c>
      <c r="D632" t="s">
        <v>238</v>
      </c>
      <c r="E632" t="s">
        <v>239</v>
      </c>
      <c r="F632" t="s">
        <v>15</v>
      </c>
      <c r="G632" t="s">
        <v>37</v>
      </c>
      <c r="H632" t="s">
        <v>390</v>
      </c>
      <c r="I632" t="s">
        <v>209</v>
      </c>
      <c r="J632">
        <v>1</v>
      </c>
      <c r="K632">
        <v>23450</v>
      </c>
      <c r="L632">
        <v>31100</v>
      </c>
      <c r="M632">
        <v>31100</v>
      </c>
      <c r="N632" t="s">
        <v>19</v>
      </c>
    </row>
    <row r="633" spans="1:14" x14ac:dyDescent="0.25">
      <c r="A633" t="str">
        <f>Table3[[#This Row],[Company Name]] &amp; " - " &amp; Table3[[#This Row],[Store Name]] &amp; " - " &amp; Table3[[#This Row],[Store Branch / Address]]</f>
        <v>DRAGONWELL TEA INC - SERENITEA - GENERIC</v>
      </c>
      <c r="B633" t="str">
        <f>Table3[[#This Row],[Client ID]] &amp; " - " &amp; Table3[[#This Row],[SO Number]]</f>
        <v>DRAGONWELL TEA INC - SERENITEA - GENERIC - SO-60</v>
      </c>
      <c r="C633" t="s">
        <v>389</v>
      </c>
      <c r="D633" t="s">
        <v>238</v>
      </c>
      <c r="E633" t="s">
        <v>239</v>
      </c>
      <c r="F633" t="s">
        <v>15</v>
      </c>
      <c r="G633" t="s">
        <v>37</v>
      </c>
      <c r="H633" t="s">
        <v>390</v>
      </c>
      <c r="I633" t="s">
        <v>151</v>
      </c>
      <c r="J633">
        <v>1</v>
      </c>
      <c r="K633">
        <v>2800</v>
      </c>
      <c r="L633">
        <v>4000</v>
      </c>
      <c r="M633">
        <v>4000</v>
      </c>
      <c r="N633" t="s">
        <v>19</v>
      </c>
    </row>
    <row r="634" spans="1:14" x14ac:dyDescent="0.25">
      <c r="A634" t="str">
        <f>Table3[[#This Row],[Company Name]] &amp; " - " &amp; Table3[[#This Row],[Store Name]] &amp; " - " &amp; Table3[[#This Row],[Store Branch / Address]]</f>
        <v>DRAGONWELL TEA INC - SERENITEA - GENERIC</v>
      </c>
      <c r="B634" t="str">
        <f>Table3[[#This Row],[Client ID]] &amp; " - " &amp; Table3[[#This Row],[SO Number]]</f>
        <v>DRAGONWELL TEA INC - SERENITEA - GENERIC - SO-60</v>
      </c>
      <c r="C634" t="s">
        <v>389</v>
      </c>
      <c r="D634" t="s">
        <v>238</v>
      </c>
      <c r="E634" t="s">
        <v>239</v>
      </c>
      <c r="F634" t="s">
        <v>15</v>
      </c>
      <c r="G634" t="s">
        <v>37</v>
      </c>
      <c r="H634" t="s">
        <v>390</v>
      </c>
      <c r="I634" t="s">
        <v>210</v>
      </c>
      <c r="J634">
        <v>1</v>
      </c>
      <c r="K634">
        <v>530</v>
      </c>
      <c r="L634">
        <v>700</v>
      </c>
      <c r="M634">
        <v>700</v>
      </c>
      <c r="N634" t="s">
        <v>19</v>
      </c>
    </row>
    <row r="635" spans="1:14" x14ac:dyDescent="0.25">
      <c r="A635" t="str">
        <f>Table3[[#This Row],[Company Name]] &amp; " - " &amp; Table3[[#This Row],[Store Name]] &amp; " - " &amp; Table3[[#This Row],[Store Branch / Address]]</f>
        <v>DRAGONWELL TEA INC - SERENITEA - GENERIC</v>
      </c>
      <c r="B635" t="str">
        <f>Table3[[#This Row],[Client ID]] &amp; " - " &amp; Table3[[#This Row],[SO Number]]</f>
        <v>DRAGONWELL TEA INC - SERENITEA - GENERIC - SO-60</v>
      </c>
      <c r="C635" t="s">
        <v>389</v>
      </c>
      <c r="D635" t="s">
        <v>238</v>
      </c>
      <c r="E635" t="s">
        <v>239</v>
      </c>
      <c r="F635" t="s">
        <v>15</v>
      </c>
      <c r="G635" t="s">
        <v>37</v>
      </c>
      <c r="H635" t="s">
        <v>390</v>
      </c>
      <c r="I635" t="s">
        <v>211</v>
      </c>
      <c r="J635">
        <v>1</v>
      </c>
      <c r="K635">
        <v>350</v>
      </c>
      <c r="L635">
        <v>500</v>
      </c>
      <c r="M635">
        <v>500</v>
      </c>
      <c r="N635" t="s">
        <v>19</v>
      </c>
    </row>
    <row r="636" spans="1:14" x14ac:dyDescent="0.25">
      <c r="A636" t="str">
        <f>Table3[[#This Row],[Company Name]] &amp; " - " &amp; Table3[[#This Row],[Store Name]] &amp; " - " &amp; Table3[[#This Row],[Store Branch / Address]]</f>
        <v>DRAGONWELL TEA INC - SERENITEA - GENERIC</v>
      </c>
      <c r="B636" t="str">
        <f>Table3[[#This Row],[Client ID]] &amp; " - " &amp; Table3[[#This Row],[SO Number]]</f>
        <v>DRAGONWELL TEA INC - SERENITEA - GENERIC - SO-60</v>
      </c>
      <c r="C636" t="s">
        <v>389</v>
      </c>
      <c r="D636" t="s">
        <v>238</v>
      </c>
      <c r="E636" t="s">
        <v>239</v>
      </c>
      <c r="F636" t="s">
        <v>15</v>
      </c>
      <c r="G636" t="s">
        <v>37</v>
      </c>
      <c r="H636" t="s">
        <v>390</v>
      </c>
      <c r="I636" t="s">
        <v>298</v>
      </c>
      <c r="J636">
        <v>1</v>
      </c>
      <c r="K636">
        <v>11000</v>
      </c>
      <c r="L636">
        <v>16000</v>
      </c>
      <c r="M636">
        <v>16000</v>
      </c>
      <c r="N636" t="s">
        <v>19</v>
      </c>
    </row>
    <row r="637" spans="1:14" x14ac:dyDescent="0.25">
      <c r="A637" t="str">
        <f>Table3[[#This Row],[Company Name]] &amp; " - " &amp; Table3[[#This Row],[Store Name]] &amp; " - " &amp; Table3[[#This Row],[Store Branch / Address]]</f>
        <v>DRAGONWELL TEA INC - SERENITEA - GENERIC</v>
      </c>
      <c r="B637" t="str">
        <f>Table3[[#This Row],[Client ID]] &amp; " - " &amp; Table3[[#This Row],[SO Number]]</f>
        <v>DRAGONWELL TEA INC - SERENITEA - GENERIC - SO-60</v>
      </c>
      <c r="C637" t="s">
        <v>389</v>
      </c>
      <c r="D637" t="s">
        <v>238</v>
      </c>
      <c r="E637" t="s">
        <v>239</v>
      </c>
      <c r="F637" t="s">
        <v>15</v>
      </c>
      <c r="G637" t="s">
        <v>37</v>
      </c>
      <c r="H637" t="s">
        <v>390</v>
      </c>
      <c r="I637" t="s">
        <v>50</v>
      </c>
      <c r="J637">
        <v>1</v>
      </c>
      <c r="K637">
        <v>500</v>
      </c>
      <c r="L637">
        <v>500</v>
      </c>
      <c r="M637">
        <v>500</v>
      </c>
      <c r="N637" t="s">
        <v>19</v>
      </c>
    </row>
    <row r="638" spans="1:14" x14ac:dyDescent="0.25">
      <c r="A638" t="str">
        <f>Table3[[#This Row],[Company Name]] &amp; " - " &amp; Table3[[#This Row],[Store Name]] &amp; " - " &amp; Table3[[#This Row],[Store Branch / Address]]</f>
        <v>DRAGONWELL TEA INC - SERENITEA - GENERIC</v>
      </c>
      <c r="B638" t="str">
        <f>Table3[[#This Row],[Client ID]] &amp; " - " &amp; Table3[[#This Row],[SO Number]]</f>
        <v>DRAGONWELL TEA INC - SERENITEA - GENERIC - SO-60</v>
      </c>
      <c r="C638" t="s">
        <v>389</v>
      </c>
      <c r="D638" t="s">
        <v>238</v>
      </c>
      <c r="E638" t="s">
        <v>239</v>
      </c>
      <c r="F638" t="s">
        <v>15</v>
      </c>
      <c r="G638" t="s">
        <v>37</v>
      </c>
      <c r="H638" t="s">
        <v>390</v>
      </c>
      <c r="I638" t="s">
        <v>63</v>
      </c>
      <c r="J638">
        <v>1</v>
      </c>
      <c r="K638">
        <v>700</v>
      </c>
      <c r="L638">
        <v>700</v>
      </c>
      <c r="M638">
        <v>700</v>
      </c>
      <c r="N638" t="s">
        <v>19</v>
      </c>
    </row>
    <row r="639" spans="1:14" x14ac:dyDescent="0.25">
      <c r="A639" t="str">
        <f>Table3[[#This Row],[Company Name]] &amp; " - " &amp; Table3[[#This Row],[Store Name]] &amp; " - " &amp; Table3[[#This Row],[Store Branch / Address]]</f>
        <v>CHICKEN DELI - APT8 - GENERIC</v>
      </c>
      <c r="B639" t="str">
        <f>Table3[[#This Row],[Client ID]] &amp; " - " &amp; Table3[[#This Row],[SO Number]]</f>
        <v>CHICKEN DELI - APT8 - GENERIC - SO-076</v>
      </c>
      <c r="C639" t="s">
        <v>459</v>
      </c>
      <c r="D639" t="s">
        <v>20</v>
      </c>
      <c r="E639" t="s">
        <v>168</v>
      </c>
      <c r="F639" t="s">
        <v>15</v>
      </c>
      <c r="G639" t="s">
        <v>22</v>
      </c>
      <c r="H639" t="s">
        <v>390</v>
      </c>
      <c r="I639" t="s">
        <v>169</v>
      </c>
      <c r="J639">
        <v>1</v>
      </c>
      <c r="K639">
        <v>3675</v>
      </c>
      <c r="L639">
        <v>10500</v>
      </c>
      <c r="M639">
        <v>10500</v>
      </c>
      <c r="N639" t="s">
        <v>19</v>
      </c>
    </row>
    <row r="640" spans="1:14" x14ac:dyDescent="0.25">
      <c r="A640" t="str">
        <f>Table3[[#This Row],[Company Name]] &amp; " - " &amp; Table3[[#This Row],[Store Name]] &amp; " - " &amp; Table3[[#This Row],[Store Branch / Address]]</f>
        <v>CHICKEN DELI - APT8 - GENERIC</v>
      </c>
      <c r="B640" t="str">
        <f>Table3[[#This Row],[Client ID]] &amp; " - " &amp; Table3[[#This Row],[SO Number]]</f>
        <v>CHICKEN DELI - APT8 - GENERIC - SO-076</v>
      </c>
      <c r="C640" t="s">
        <v>459</v>
      </c>
      <c r="D640" t="s">
        <v>20</v>
      </c>
      <c r="E640" t="s">
        <v>168</v>
      </c>
      <c r="F640" t="s">
        <v>15</v>
      </c>
      <c r="G640" t="s">
        <v>22</v>
      </c>
      <c r="H640" t="s">
        <v>390</v>
      </c>
      <c r="I640" t="s">
        <v>170</v>
      </c>
      <c r="J640">
        <v>1</v>
      </c>
      <c r="K640">
        <v>4000</v>
      </c>
      <c r="L640">
        <v>4000</v>
      </c>
      <c r="M640">
        <v>4000</v>
      </c>
      <c r="N640" t="s">
        <v>19</v>
      </c>
    </row>
    <row r="641" spans="1:14" x14ac:dyDescent="0.25">
      <c r="A641" t="str">
        <f>Table3[[#This Row],[Company Name]] &amp; " - " &amp; Table3[[#This Row],[Store Name]] &amp; " - " &amp; Table3[[#This Row],[Store Branch / Address]]</f>
        <v>CHICKEN DELI - APT8 - GENERIC</v>
      </c>
      <c r="B641" t="str">
        <f>Table3[[#This Row],[Client ID]] &amp; " - " &amp; Table3[[#This Row],[SO Number]]</f>
        <v>CHICKEN DELI - APT8 - GENERIC - SO-076</v>
      </c>
      <c r="C641" t="s">
        <v>459</v>
      </c>
      <c r="D641" t="s">
        <v>20</v>
      </c>
      <c r="E641" t="s">
        <v>168</v>
      </c>
      <c r="F641" t="s">
        <v>15</v>
      </c>
      <c r="G641" t="s">
        <v>22</v>
      </c>
      <c r="H641" t="s">
        <v>390</v>
      </c>
      <c r="I641" t="s">
        <v>24</v>
      </c>
      <c r="J641">
        <v>1</v>
      </c>
      <c r="K641">
        <v>4000</v>
      </c>
      <c r="L641">
        <v>4000</v>
      </c>
      <c r="M641">
        <v>4000</v>
      </c>
      <c r="N641" t="s">
        <v>19</v>
      </c>
    </row>
    <row r="642" spans="1:14" x14ac:dyDescent="0.25">
      <c r="A642" t="str">
        <f>Table3[[#This Row],[Company Name]] &amp; " - " &amp; Table3[[#This Row],[Store Name]] &amp; " - " &amp; Table3[[#This Row],[Store Branch / Address]]</f>
        <v>CHICKEN DELI - APT8 - GENERIC</v>
      </c>
      <c r="B642" t="str">
        <f>Table3[[#This Row],[Client ID]] &amp; " - " &amp; Table3[[#This Row],[SO Number]]</f>
        <v>CHICKEN DELI - APT8 - GENERIC - SO-076</v>
      </c>
      <c r="C642" t="s">
        <v>459</v>
      </c>
      <c r="D642" t="s">
        <v>20</v>
      </c>
      <c r="E642" t="s">
        <v>168</v>
      </c>
      <c r="F642" t="s">
        <v>15</v>
      </c>
      <c r="G642" t="s">
        <v>22</v>
      </c>
      <c r="H642" t="s">
        <v>390</v>
      </c>
      <c r="I642" t="s">
        <v>171</v>
      </c>
      <c r="J642">
        <v>1</v>
      </c>
      <c r="K642">
        <v>500</v>
      </c>
      <c r="L642">
        <v>500</v>
      </c>
      <c r="M642">
        <v>500</v>
      </c>
      <c r="N642" t="s">
        <v>19</v>
      </c>
    </row>
    <row r="643" spans="1:14" x14ac:dyDescent="0.25">
      <c r="A643" t="str">
        <f>Table3[[#This Row],[Company Name]] &amp; " - " &amp; Table3[[#This Row],[Store Name]] &amp; " - " &amp; Table3[[#This Row],[Store Branch / Address]]</f>
        <v>CHICKEN DELI - APT8 - GENERIC</v>
      </c>
      <c r="B643" t="str">
        <f>Table3[[#This Row],[Client ID]] &amp; " - " &amp; Table3[[#This Row],[SO Number]]</f>
        <v>CHICKEN DELI - APT8 - GENERIC - SO-077</v>
      </c>
      <c r="C643" t="s">
        <v>466</v>
      </c>
      <c r="D643" t="s">
        <v>20</v>
      </c>
      <c r="E643" t="s">
        <v>168</v>
      </c>
      <c r="F643" t="s">
        <v>15</v>
      </c>
      <c r="G643" t="s">
        <v>22</v>
      </c>
      <c r="H643" t="s">
        <v>390</v>
      </c>
      <c r="I643" t="s">
        <v>169</v>
      </c>
      <c r="J643">
        <v>1</v>
      </c>
      <c r="K643">
        <v>3675</v>
      </c>
      <c r="L643">
        <v>10500</v>
      </c>
      <c r="M643">
        <v>10500</v>
      </c>
      <c r="N643" t="s">
        <v>19</v>
      </c>
    </row>
    <row r="644" spans="1:14" x14ac:dyDescent="0.25">
      <c r="A644" t="str">
        <f>Table3[[#This Row],[Company Name]] &amp; " - " &amp; Table3[[#This Row],[Store Name]] &amp; " - " &amp; Table3[[#This Row],[Store Branch / Address]]</f>
        <v>CHICKEN DELI - APT8 - GENERIC</v>
      </c>
      <c r="B644" t="str">
        <f>Table3[[#This Row],[Client ID]] &amp; " - " &amp; Table3[[#This Row],[SO Number]]</f>
        <v>CHICKEN DELI - APT8 - GENERIC - SO-077</v>
      </c>
      <c r="C644" t="s">
        <v>466</v>
      </c>
      <c r="D644" t="s">
        <v>20</v>
      </c>
      <c r="E644" t="s">
        <v>168</v>
      </c>
      <c r="F644" t="s">
        <v>15</v>
      </c>
      <c r="G644" t="s">
        <v>22</v>
      </c>
      <c r="H644" t="s">
        <v>390</v>
      </c>
      <c r="I644" t="s">
        <v>170</v>
      </c>
      <c r="J644">
        <v>1</v>
      </c>
      <c r="K644">
        <v>4000</v>
      </c>
      <c r="L644">
        <v>4000</v>
      </c>
      <c r="M644">
        <v>4000</v>
      </c>
      <c r="N644" t="s">
        <v>19</v>
      </c>
    </row>
    <row r="645" spans="1:14" x14ac:dyDescent="0.25">
      <c r="A645" t="str">
        <f>Table3[[#This Row],[Company Name]] &amp; " - " &amp; Table3[[#This Row],[Store Name]] &amp; " - " &amp; Table3[[#This Row],[Store Branch / Address]]</f>
        <v>CHICKEN DELI - APT8 - GENERIC</v>
      </c>
      <c r="B645" t="str">
        <f>Table3[[#This Row],[Client ID]] &amp; " - " &amp; Table3[[#This Row],[SO Number]]</f>
        <v>CHICKEN DELI - APT8 - GENERIC - SO-077</v>
      </c>
      <c r="C645" t="s">
        <v>466</v>
      </c>
      <c r="D645" t="s">
        <v>20</v>
      </c>
      <c r="E645" t="s">
        <v>168</v>
      </c>
      <c r="F645" t="s">
        <v>15</v>
      </c>
      <c r="G645" t="s">
        <v>22</v>
      </c>
      <c r="H645" t="s">
        <v>390</v>
      </c>
      <c r="I645" t="s">
        <v>24</v>
      </c>
      <c r="J645">
        <v>1</v>
      </c>
      <c r="K645">
        <v>4000</v>
      </c>
      <c r="L645">
        <v>4000</v>
      </c>
      <c r="M645">
        <v>4000</v>
      </c>
      <c r="N645" t="s">
        <v>19</v>
      </c>
    </row>
    <row r="646" spans="1:14" x14ac:dyDescent="0.25">
      <c r="A646" t="str">
        <f>Table3[[#This Row],[Company Name]] &amp; " - " &amp; Table3[[#This Row],[Store Name]] &amp; " - " &amp; Table3[[#This Row],[Store Branch / Address]]</f>
        <v>CHICKEN DELI - APT8 - GENERIC</v>
      </c>
      <c r="B646" t="str">
        <f>Table3[[#This Row],[Client ID]] &amp; " - " &amp; Table3[[#This Row],[SO Number]]</f>
        <v>CHICKEN DELI - APT8 - GENERIC - SO-077</v>
      </c>
      <c r="C646" t="s">
        <v>466</v>
      </c>
      <c r="D646" t="s">
        <v>20</v>
      </c>
      <c r="E646" t="s">
        <v>168</v>
      </c>
      <c r="F646" t="s">
        <v>15</v>
      </c>
      <c r="G646" t="s">
        <v>22</v>
      </c>
      <c r="H646" t="s">
        <v>390</v>
      </c>
      <c r="I646" t="s">
        <v>171</v>
      </c>
      <c r="J646">
        <v>1</v>
      </c>
      <c r="K646">
        <v>500</v>
      </c>
      <c r="L646">
        <v>500</v>
      </c>
      <c r="M646">
        <v>500</v>
      </c>
      <c r="N646" t="s">
        <v>19</v>
      </c>
    </row>
    <row r="647" spans="1:14" x14ac:dyDescent="0.25">
      <c r="A647" t="str">
        <f>Table3[[#This Row],[Company Name]] &amp; " - " &amp; Table3[[#This Row],[Store Name]] &amp; " - " &amp; Table3[[#This Row],[Store Branch / Address]]</f>
        <v>CHICKEN DELI - APT8 - GENERIC</v>
      </c>
      <c r="B647" t="str">
        <f>Table3[[#This Row],[Client ID]] &amp; " - " &amp; Table3[[#This Row],[SO Number]]</f>
        <v>CHICKEN DELI - APT8 - GENERIC - SO-078</v>
      </c>
      <c r="C647" t="s">
        <v>470</v>
      </c>
      <c r="D647" t="s">
        <v>20</v>
      </c>
      <c r="E647" t="s">
        <v>168</v>
      </c>
      <c r="F647" t="s">
        <v>15</v>
      </c>
      <c r="G647" t="s">
        <v>22</v>
      </c>
      <c r="H647" t="s">
        <v>390</v>
      </c>
      <c r="I647" t="s">
        <v>169</v>
      </c>
      <c r="J647">
        <v>1</v>
      </c>
      <c r="K647">
        <v>3675</v>
      </c>
      <c r="L647">
        <v>10500</v>
      </c>
      <c r="M647">
        <v>10500</v>
      </c>
      <c r="N647" t="s">
        <v>19</v>
      </c>
    </row>
    <row r="648" spans="1:14" x14ac:dyDescent="0.25">
      <c r="A648" t="str">
        <f>Table3[[#This Row],[Company Name]] &amp; " - " &amp; Table3[[#This Row],[Store Name]] &amp; " - " &amp; Table3[[#This Row],[Store Branch / Address]]</f>
        <v>CHICKEN DELI - APT8 - GENERIC</v>
      </c>
      <c r="B648" t="str">
        <f>Table3[[#This Row],[Client ID]] &amp; " - " &amp; Table3[[#This Row],[SO Number]]</f>
        <v>CHICKEN DELI - APT8 - GENERIC - SO-078</v>
      </c>
      <c r="C648" t="s">
        <v>470</v>
      </c>
      <c r="D648" t="s">
        <v>20</v>
      </c>
      <c r="E648" t="s">
        <v>168</v>
      </c>
      <c r="F648" t="s">
        <v>15</v>
      </c>
      <c r="G648" t="s">
        <v>22</v>
      </c>
      <c r="H648" t="s">
        <v>390</v>
      </c>
      <c r="I648" t="s">
        <v>170</v>
      </c>
      <c r="J648">
        <v>1</v>
      </c>
      <c r="K648">
        <v>4000</v>
      </c>
      <c r="L648">
        <v>4000</v>
      </c>
      <c r="M648">
        <v>4000</v>
      </c>
      <c r="N648" t="s">
        <v>19</v>
      </c>
    </row>
    <row r="649" spans="1:14" x14ac:dyDescent="0.25">
      <c r="A649" t="str">
        <f>Table3[[#This Row],[Company Name]] &amp; " - " &amp; Table3[[#This Row],[Store Name]] &amp; " - " &amp; Table3[[#This Row],[Store Branch / Address]]</f>
        <v>CHICKEN DELI - APT8 - GENERIC</v>
      </c>
      <c r="B649" t="str">
        <f>Table3[[#This Row],[Client ID]] &amp; " - " &amp; Table3[[#This Row],[SO Number]]</f>
        <v>CHICKEN DELI - APT8 - GENERIC - SO-078</v>
      </c>
      <c r="C649" t="s">
        <v>470</v>
      </c>
      <c r="D649" t="s">
        <v>20</v>
      </c>
      <c r="E649" t="s">
        <v>168</v>
      </c>
      <c r="F649" t="s">
        <v>15</v>
      </c>
      <c r="G649" t="s">
        <v>22</v>
      </c>
      <c r="H649" t="s">
        <v>390</v>
      </c>
      <c r="I649" t="s">
        <v>24</v>
      </c>
      <c r="J649">
        <v>1</v>
      </c>
      <c r="K649">
        <v>4000</v>
      </c>
      <c r="L649">
        <v>4000</v>
      </c>
      <c r="M649">
        <v>4000</v>
      </c>
      <c r="N649" t="s">
        <v>19</v>
      </c>
    </row>
    <row r="650" spans="1:14" x14ac:dyDescent="0.25">
      <c r="A650" t="str">
        <f>Table3[[#This Row],[Company Name]] &amp; " - " &amp; Table3[[#This Row],[Store Name]] &amp; " - " &amp; Table3[[#This Row],[Store Branch / Address]]</f>
        <v>CHICKEN DELI - APT8 - GENERIC</v>
      </c>
      <c r="B650" t="str">
        <f>Table3[[#This Row],[Client ID]] &amp; " - " &amp; Table3[[#This Row],[SO Number]]</f>
        <v>CHICKEN DELI - APT8 - GENERIC - SO-078</v>
      </c>
      <c r="C650" t="s">
        <v>470</v>
      </c>
      <c r="D650" t="s">
        <v>20</v>
      </c>
      <c r="E650" t="s">
        <v>168</v>
      </c>
      <c r="F650" t="s">
        <v>15</v>
      </c>
      <c r="G650" t="s">
        <v>22</v>
      </c>
      <c r="H650" t="s">
        <v>390</v>
      </c>
      <c r="I650" t="s">
        <v>171</v>
      </c>
      <c r="J650">
        <v>1</v>
      </c>
      <c r="K650">
        <v>500</v>
      </c>
      <c r="L650">
        <v>500</v>
      </c>
      <c r="M650">
        <v>500</v>
      </c>
      <c r="N650" t="s">
        <v>19</v>
      </c>
    </row>
    <row r="651" spans="1:14" x14ac:dyDescent="0.25">
      <c r="A651" t="str">
        <f>Table3[[#This Row],[Company Name]] &amp; " - " &amp; Table3[[#This Row],[Store Name]] &amp; " - " &amp; Table3[[#This Row],[Store Branch / Address]]</f>
        <v>CHICKEN DELI - APT8 - GENERIC</v>
      </c>
      <c r="B651" t="str">
        <f>Table3[[#This Row],[Client ID]] &amp; " - " &amp; Table3[[#This Row],[SO Number]]</f>
        <v>CHICKEN DELI - APT8 - GENERIC - SO-079</v>
      </c>
      <c r="C651" t="s">
        <v>474</v>
      </c>
      <c r="D651" t="s">
        <v>20</v>
      </c>
      <c r="E651" t="s">
        <v>168</v>
      </c>
      <c r="F651" t="s">
        <v>15</v>
      </c>
      <c r="G651" t="s">
        <v>22</v>
      </c>
      <c r="H651" t="s">
        <v>390</v>
      </c>
      <c r="I651" t="s">
        <v>169</v>
      </c>
      <c r="J651">
        <v>1</v>
      </c>
      <c r="K651">
        <v>3675</v>
      </c>
      <c r="L651">
        <v>10500</v>
      </c>
      <c r="M651">
        <v>10500</v>
      </c>
      <c r="N651" t="s">
        <v>19</v>
      </c>
    </row>
    <row r="652" spans="1:14" x14ac:dyDescent="0.25">
      <c r="A652" t="str">
        <f>Table3[[#This Row],[Company Name]] &amp; " - " &amp; Table3[[#This Row],[Store Name]] &amp; " - " &amp; Table3[[#This Row],[Store Branch / Address]]</f>
        <v>CHICKEN DELI - APT8 - GENERIC</v>
      </c>
      <c r="B652" t="str">
        <f>Table3[[#This Row],[Client ID]] &amp; " - " &amp; Table3[[#This Row],[SO Number]]</f>
        <v>CHICKEN DELI - APT8 - GENERIC - SO-079</v>
      </c>
      <c r="C652" t="s">
        <v>474</v>
      </c>
      <c r="D652" t="s">
        <v>20</v>
      </c>
      <c r="E652" t="s">
        <v>168</v>
      </c>
      <c r="F652" t="s">
        <v>15</v>
      </c>
      <c r="G652" t="s">
        <v>22</v>
      </c>
      <c r="H652" t="s">
        <v>390</v>
      </c>
      <c r="I652" t="s">
        <v>170</v>
      </c>
      <c r="J652">
        <v>1</v>
      </c>
      <c r="K652">
        <v>4000</v>
      </c>
      <c r="L652">
        <v>4000</v>
      </c>
      <c r="M652">
        <v>4000</v>
      </c>
      <c r="N652" t="s">
        <v>19</v>
      </c>
    </row>
    <row r="653" spans="1:14" x14ac:dyDescent="0.25">
      <c r="A653" t="str">
        <f>Table3[[#This Row],[Company Name]] &amp; " - " &amp; Table3[[#This Row],[Store Name]] &amp; " - " &amp; Table3[[#This Row],[Store Branch / Address]]</f>
        <v>CHICKEN DELI - APT8 - GENERIC</v>
      </c>
      <c r="B653" t="str">
        <f>Table3[[#This Row],[Client ID]] &amp; " - " &amp; Table3[[#This Row],[SO Number]]</f>
        <v>CHICKEN DELI - APT8 - GENERIC - SO-079</v>
      </c>
      <c r="C653" t="s">
        <v>474</v>
      </c>
      <c r="D653" t="s">
        <v>20</v>
      </c>
      <c r="E653" t="s">
        <v>168</v>
      </c>
      <c r="F653" t="s">
        <v>15</v>
      </c>
      <c r="G653" t="s">
        <v>22</v>
      </c>
      <c r="H653" t="s">
        <v>390</v>
      </c>
      <c r="I653" t="s">
        <v>24</v>
      </c>
      <c r="J653">
        <v>1</v>
      </c>
      <c r="K653">
        <v>4000</v>
      </c>
      <c r="L653">
        <v>4000</v>
      </c>
      <c r="M653">
        <v>4000</v>
      </c>
      <c r="N653" t="s">
        <v>19</v>
      </c>
    </row>
    <row r="654" spans="1:14" x14ac:dyDescent="0.25">
      <c r="A654" t="str">
        <f>Table3[[#This Row],[Company Name]] &amp; " - " &amp; Table3[[#This Row],[Store Name]] &amp; " - " &amp; Table3[[#This Row],[Store Branch / Address]]</f>
        <v>CHICKEN DELI - APT8 - GENERIC</v>
      </c>
      <c r="B654" t="str">
        <f>Table3[[#This Row],[Client ID]] &amp; " - " &amp; Table3[[#This Row],[SO Number]]</f>
        <v>CHICKEN DELI - APT8 - GENERIC - SO-079</v>
      </c>
      <c r="C654" t="s">
        <v>474</v>
      </c>
      <c r="D654" t="s">
        <v>20</v>
      </c>
      <c r="E654" t="s">
        <v>168</v>
      </c>
      <c r="F654" t="s">
        <v>15</v>
      </c>
      <c r="G654" t="s">
        <v>22</v>
      </c>
      <c r="H654" t="s">
        <v>390</v>
      </c>
      <c r="I654" t="s">
        <v>171</v>
      </c>
      <c r="J654">
        <v>1</v>
      </c>
      <c r="K654">
        <v>500</v>
      </c>
      <c r="L654">
        <v>500</v>
      </c>
      <c r="M654">
        <v>500</v>
      </c>
      <c r="N654" t="s">
        <v>19</v>
      </c>
    </row>
    <row r="655" spans="1:14" x14ac:dyDescent="0.25">
      <c r="A655" t="str">
        <f>Table3[[#This Row],[Company Name]] &amp; " - " &amp; Table3[[#This Row],[Store Name]] &amp; " - " &amp; Table3[[#This Row],[Store Branch / Address]]</f>
        <v>CHICKEN DELI - APT8 - GENERIC</v>
      </c>
      <c r="B655" t="str">
        <f>Table3[[#This Row],[Client ID]] &amp; " - " &amp; Table3[[#This Row],[SO Number]]</f>
        <v>CHICKEN DELI - APT8 - GENERIC - SO-080</v>
      </c>
      <c r="C655" t="s">
        <v>477</v>
      </c>
      <c r="D655" t="s">
        <v>20</v>
      </c>
      <c r="E655" t="s">
        <v>168</v>
      </c>
      <c r="F655" t="s">
        <v>15</v>
      </c>
      <c r="G655" t="s">
        <v>22</v>
      </c>
      <c r="H655" t="s">
        <v>390</v>
      </c>
      <c r="I655" t="s">
        <v>169</v>
      </c>
      <c r="J655">
        <v>1</v>
      </c>
      <c r="K655">
        <v>3675</v>
      </c>
      <c r="L655">
        <v>10500</v>
      </c>
      <c r="M655">
        <v>10500</v>
      </c>
      <c r="N655" t="s">
        <v>19</v>
      </c>
    </row>
    <row r="656" spans="1:14" x14ac:dyDescent="0.25">
      <c r="A656" t="str">
        <f>Table3[[#This Row],[Company Name]] &amp; " - " &amp; Table3[[#This Row],[Store Name]] &amp; " - " &amp; Table3[[#This Row],[Store Branch / Address]]</f>
        <v>CHICKEN DELI - APT8 - GENERIC</v>
      </c>
      <c r="B656" t="str">
        <f>Table3[[#This Row],[Client ID]] &amp; " - " &amp; Table3[[#This Row],[SO Number]]</f>
        <v>CHICKEN DELI - APT8 - GENERIC - SO-080</v>
      </c>
      <c r="C656" t="s">
        <v>477</v>
      </c>
      <c r="D656" t="s">
        <v>20</v>
      </c>
      <c r="E656" t="s">
        <v>168</v>
      </c>
      <c r="F656" t="s">
        <v>15</v>
      </c>
      <c r="G656" t="s">
        <v>22</v>
      </c>
      <c r="H656" t="s">
        <v>390</v>
      </c>
      <c r="I656" t="s">
        <v>170</v>
      </c>
      <c r="J656">
        <v>1</v>
      </c>
      <c r="K656">
        <v>4000</v>
      </c>
      <c r="L656">
        <v>4000</v>
      </c>
      <c r="M656">
        <v>4000</v>
      </c>
      <c r="N656" t="s">
        <v>19</v>
      </c>
    </row>
    <row r="657" spans="1:14" x14ac:dyDescent="0.25">
      <c r="A657" t="str">
        <f>Table3[[#This Row],[Company Name]] &amp; " - " &amp; Table3[[#This Row],[Store Name]] &amp; " - " &amp; Table3[[#This Row],[Store Branch / Address]]</f>
        <v>CHICKEN DELI - APT8 - GENERIC</v>
      </c>
      <c r="B657" t="str">
        <f>Table3[[#This Row],[Client ID]] &amp; " - " &amp; Table3[[#This Row],[SO Number]]</f>
        <v>CHICKEN DELI - APT8 - GENERIC - SO-080</v>
      </c>
      <c r="C657" t="s">
        <v>477</v>
      </c>
      <c r="D657" t="s">
        <v>20</v>
      </c>
      <c r="E657" t="s">
        <v>168</v>
      </c>
      <c r="F657" t="s">
        <v>15</v>
      </c>
      <c r="G657" t="s">
        <v>22</v>
      </c>
      <c r="H657" t="s">
        <v>390</v>
      </c>
      <c r="I657" t="s">
        <v>24</v>
      </c>
      <c r="J657">
        <v>1</v>
      </c>
      <c r="K657">
        <v>4000</v>
      </c>
      <c r="L657">
        <v>4000</v>
      </c>
      <c r="M657">
        <v>4000</v>
      </c>
      <c r="N657" t="s">
        <v>19</v>
      </c>
    </row>
    <row r="658" spans="1:14" x14ac:dyDescent="0.25">
      <c r="A658" t="str">
        <f>Table3[[#This Row],[Company Name]] &amp; " - " &amp; Table3[[#This Row],[Store Name]] &amp; " - " &amp; Table3[[#This Row],[Store Branch / Address]]</f>
        <v>CHICKEN DELI - APT8 - GENERIC</v>
      </c>
      <c r="B658" t="str">
        <f>Table3[[#This Row],[Client ID]] &amp; " - " &amp; Table3[[#This Row],[SO Number]]</f>
        <v>CHICKEN DELI - APT8 - GENERIC - SO-080</v>
      </c>
      <c r="C658" t="s">
        <v>477</v>
      </c>
      <c r="D658" t="s">
        <v>20</v>
      </c>
      <c r="E658" t="s">
        <v>168</v>
      </c>
      <c r="F658" t="s">
        <v>15</v>
      </c>
      <c r="G658" t="s">
        <v>22</v>
      </c>
      <c r="H658" t="s">
        <v>390</v>
      </c>
      <c r="I658" t="s">
        <v>171</v>
      </c>
      <c r="J658">
        <v>1</v>
      </c>
      <c r="K658">
        <v>500</v>
      </c>
      <c r="L658">
        <v>500</v>
      </c>
      <c r="M658">
        <v>500</v>
      </c>
      <c r="N658" t="s">
        <v>19</v>
      </c>
    </row>
    <row r="659" spans="1:14" x14ac:dyDescent="0.25">
      <c r="A659" t="str">
        <f>Table3[[#This Row],[Company Name]] &amp; " - " &amp; Table3[[#This Row],[Store Name]] &amp; " - " &amp; Table3[[#This Row],[Store Branch / Address]]</f>
        <v>CHICKEN DELI - APT8 - GENERIC</v>
      </c>
      <c r="B659" t="str">
        <f>Table3[[#This Row],[Client ID]] &amp; " - " &amp; Table3[[#This Row],[SO Number]]</f>
        <v>CHICKEN DELI - APT8 - GENERIC - SO-081</v>
      </c>
      <c r="C659" t="s">
        <v>481</v>
      </c>
      <c r="D659" t="s">
        <v>20</v>
      </c>
      <c r="E659" t="s">
        <v>168</v>
      </c>
      <c r="F659" t="s">
        <v>15</v>
      </c>
      <c r="G659" t="s">
        <v>22</v>
      </c>
      <c r="H659" t="s">
        <v>390</v>
      </c>
      <c r="I659" t="s">
        <v>169</v>
      </c>
      <c r="J659">
        <v>1</v>
      </c>
      <c r="K659">
        <v>3675</v>
      </c>
      <c r="L659">
        <v>10500</v>
      </c>
      <c r="M659">
        <v>10500</v>
      </c>
      <c r="N659" t="s">
        <v>19</v>
      </c>
    </row>
    <row r="660" spans="1:14" x14ac:dyDescent="0.25">
      <c r="A660" t="str">
        <f>Table3[[#This Row],[Company Name]] &amp; " - " &amp; Table3[[#This Row],[Store Name]] &amp; " - " &amp; Table3[[#This Row],[Store Branch / Address]]</f>
        <v>CHICKEN DELI - APT8 - GENERIC</v>
      </c>
      <c r="B660" t="str">
        <f>Table3[[#This Row],[Client ID]] &amp; " - " &amp; Table3[[#This Row],[SO Number]]</f>
        <v>CHICKEN DELI - APT8 - GENERIC - SO-081</v>
      </c>
      <c r="C660" t="s">
        <v>481</v>
      </c>
      <c r="D660" t="s">
        <v>20</v>
      </c>
      <c r="E660" t="s">
        <v>168</v>
      </c>
      <c r="F660" t="s">
        <v>15</v>
      </c>
      <c r="G660" t="s">
        <v>22</v>
      </c>
      <c r="H660" t="s">
        <v>390</v>
      </c>
      <c r="I660" t="s">
        <v>170</v>
      </c>
      <c r="J660">
        <v>1</v>
      </c>
      <c r="K660">
        <v>4000</v>
      </c>
      <c r="L660">
        <v>4000</v>
      </c>
      <c r="M660">
        <v>4000</v>
      </c>
      <c r="N660" t="s">
        <v>19</v>
      </c>
    </row>
    <row r="661" spans="1:14" x14ac:dyDescent="0.25">
      <c r="A661" t="str">
        <f>Table3[[#This Row],[Company Name]] &amp; " - " &amp; Table3[[#This Row],[Store Name]] &amp; " - " &amp; Table3[[#This Row],[Store Branch / Address]]</f>
        <v>CHICKEN DELI - APT8 - GENERIC</v>
      </c>
      <c r="B661" t="str">
        <f>Table3[[#This Row],[Client ID]] &amp; " - " &amp; Table3[[#This Row],[SO Number]]</f>
        <v>CHICKEN DELI - APT8 - GENERIC - SO-081</v>
      </c>
      <c r="C661" t="s">
        <v>481</v>
      </c>
      <c r="D661" t="s">
        <v>20</v>
      </c>
      <c r="E661" t="s">
        <v>168</v>
      </c>
      <c r="F661" t="s">
        <v>15</v>
      </c>
      <c r="G661" t="s">
        <v>22</v>
      </c>
      <c r="H661" t="s">
        <v>390</v>
      </c>
      <c r="I661" t="s">
        <v>24</v>
      </c>
      <c r="J661">
        <v>1</v>
      </c>
      <c r="K661">
        <v>4000</v>
      </c>
      <c r="L661">
        <v>4000</v>
      </c>
      <c r="M661">
        <v>4000</v>
      </c>
      <c r="N661" t="s">
        <v>19</v>
      </c>
    </row>
    <row r="662" spans="1:14" x14ac:dyDescent="0.25">
      <c r="A662" t="str">
        <f>Table3[[#This Row],[Company Name]] &amp; " - " &amp; Table3[[#This Row],[Store Name]] &amp; " - " &amp; Table3[[#This Row],[Store Branch / Address]]</f>
        <v>CHICKEN DELI - APT8 - GENERIC</v>
      </c>
      <c r="B662" t="str">
        <f>Table3[[#This Row],[Client ID]] &amp; " - " &amp; Table3[[#This Row],[SO Number]]</f>
        <v>CHICKEN DELI - APT8 - GENERIC - SO-081</v>
      </c>
      <c r="C662" t="s">
        <v>481</v>
      </c>
      <c r="D662" t="s">
        <v>20</v>
      </c>
      <c r="E662" t="s">
        <v>168</v>
      </c>
      <c r="F662" t="s">
        <v>15</v>
      </c>
      <c r="G662" t="s">
        <v>22</v>
      </c>
      <c r="H662" t="s">
        <v>390</v>
      </c>
      <c r="I662" t="s">
        <v>171</v>
      </c>
      <c r="J662">
        <v>1</v>
      </c>
      <c r="K662">
        <v>500</v>
      </c>
      <c r="L662">
        <v>500</v>
      </c>
      <c r="M662">
        <v>500</v>
      </c>
      <c r="N662" t="s">
        <v>19</v>
      </c>
    </row>
    <row r="663" spans="1:14" x14ac:dyDescent="0.25">
      <c r="A663" t="str">
        <f>Table3[[#This Row],[Company Name]] &amp; " - " &amp; Table3[[#This Row],[Store Name]] &amp; " - " &amp; Table3[[#This Row],[Store Branch / Address]]</f>
        <v>MANDARIN SKY EXPRESS INC - MANDARIN SKY EXPRESS INC. - GENERIC</v>
      </c>
      <c r="B663" t="str">
        <f>Table3[[#This Row],[Client ID]] &amp; " - " &amp; Table3[[#This Row],[SO Number]]</f>
        <v>MANDARIN SKY EXPRESS INC - MANDARIN SKY EXPRESS INC. - GENERIC - SO-61</v>
      </c>
      <c r="C663" t="s">
        <v>394</v>
      </c>
      <c r="D663" t="s">
        <v>395</v>
      </c>
      <c r="E663" t="s">
        <v>396</v>
      </c>
      <c r="F663" t="s">
        <v>15</v>
      </c>
      <c r="G663" t="s">
        <v>37</v>
      </c>
      <c r="H663" t="s">
        <v>397</v>
      </c>
      <c r="I663" t="s">
        <v>97</v>
      </c>
      <c r="J663">
        <v>1</v>
      </c>
      <c r="K663">
        <v>2200</v>
      </c>
      <c r="L663">
        <v>3500</v>
      </c>
      <c r="M663">
        <v>3500</v>
      </c>
      <c r="N663" t="s">
        <v>19</v>
      </c>
    </row>
    <row r="664" spans="1:14" x14ac:dyDescent="0.25">
      <c r="A664" t="str">
        <f>Table3[[#This Row],[Company Name]] &amp; " - " &amp; Table3[[#This Row],[Store Name]] &amp; " - " &amp; Table3[[#This Row],[Store Branch / Address]]</f>
        <v>CHICKEN DELI - GONGCHA - GENERIC</v>
      </c>
      <c r="B664" t="str">
        <f>Table3[[#This Row],[Client ID]] &amp; " - " &amp; Table3[[#This Row],[SO Number]]</f>
        <v>CHICKEN DELI - GONGCHA - GENERIC - SO-082</v>
      </c>
      <c r="C664" t="s">
        <v>486</v>
      </c>
      <c r="D664" t="s">
        <v>20</v>
      </c>
      <c r="E664" t="s">
        <v>31</v>
      </c>
      <c r="F664" t="s">
        <v>15</v>
      </c>
      <c r="G664" t="s">
        <v>22</v>
      </c>
      <c r="H664" t="s">
        <v>397</v>
      </c>
      <c r="I664" t="s">
        <v>33</v>
      </c>
      <c r="J664">
        <v>2</v>
      </c>
      <c r="K664">
        <v>6500</v>
      </c>
      <c r="L664">
        <v>6500</v>
      </c>
      <c r="M664">
        <v>13000</v>
      </c>
      <c r="N664" t="s">
        <v>19</v>
      </c>
    </row>
    <row r="665" spans="1:14" x14ac:dyDescent="0.25">
      <c r="A665" t="str">
        <f>Table3[[#This Row],[Company Name]] &amp; " - " &amp; Table3[[#This Row],[Store Name]] &amp; " - " &amp; Table3[[#This Row],[Store Branch / Address]]</f>
        <v>CHICKEN DELI - GONGCHA - GENERIC</v>
      </c>
      <c r="B665" t="str">
        <f>Table3[[#This Row],[Client ID]] &amp; " - " &amp; Table3[[#This Row],[SO Number]]</f>
        <v>CHICKEN DELI - GONGCHA - GENERIC - SO-083</v>
      </c>
      <c r="C665" t="s">
        <v>487</v>
      </c>
      <c r="D665" t="s">
        <v>20</v>
      </c>
      <c r="E665" t="s">
        <v>31</v>
      </c>
      <c r="F665" t="s">
        <v>15</v>
      </c>
      <c r="G665" t="s">
        <v>22</v>
      </c>
      <c r="H665" t="s">
        <v>397</v>
      </c>
      <c r="I665" t="s">
        <v>33</v>
      </c>
      <c r="J665">
        <v>1</v>
      </c>
      <c r="K665">
        <v>6500</v>
      </c>
      <c r="L665">
        <v>6500</v>
      </c>
      <c r="M665">
        <v>6500</v>
      </c>
      <c r="N665" t="s">
        <v>19</v>
      </c>
    </row>
    <row r="666" spans="1:14" x14ac:dyDescent="0.25">
      <c r="A666" t="str">
        <f>Table3[[#This Row],[Company Name]] &amp; " - " &amp; Table3[[#This Row],[Store Name]] &amp; " - " &amp; Table3[[#This Row],[Store Branch / Address]]</f>
        <v>CHICKEN DELI - GONGCHA - GENERIC</v>
      </c>
      <c r="B666" t="str">
        <f>Table3[[#This Row],[Client ID]] &amp; " - " &amp; Table3[[#This Row],[SO Number]]</f>
        <v>CHICKEN DELI - GONGCHA - GENERIC - SO-084</v>
      </c>
      <c r="C666" t="s">
        <v>492</v>
      </c>
      <c r="D666" t="s">
        <v>20</v>
      </c>
      <c r="E666" t="s">
        <v>31</v>
      </c>
      <c r="F666" t="s">
        <v>15</v>
      </c>
      <c r="G666" t="s">
        <v>22</v>
      </c>
      <c r="H666" t="s">
        <v>397</v>
      </c>
      <c r="I666" t="s">
        <v>33</v>
      </c>
      <c r="J666">
        <v>1</v>
      </c>
      <c r="K666">
        <v>6500</v>
      </c>
      <c r="L666">
        <v>6500</v>
      </c>
      <c r="M666">
        <v>6500</v>
      </c>
      <c r="N666" t="s">
        <v>19</v>
      </c>
    </row>
    <row r="667" spans="1:14" x14ac:dyDescent="0.25">
      <c r="A667" t="str">
        <f>Table3[[#This Row],[Company Name]] &amp; " - " &amp; Table3[[#This Row],[Store Name]] &amp; " - " &amp; Table3[[#This Row],[Store Branch / Address]]</f>
        <v>CHICKEN DELI - GONGCHA - GENERIC</v>
      </c>
      <c r="B667" t="str">
        <f>Table3[[#This Row],[Client ID]] &amp; " - " &amp; Table3[[#This Row],[SO Number]]</f>
        <v>CHICKEN DELI - GONGCHA - GENERIC - SO-085</v>
      </c>
      <c r="C667" t="s">
        <v>495</v>
      </c>
      <c r="D667" t="s">
        <v>20</v>
      </c>
      <c r="E667" t="s">
        <v>31</v>
      </c>
      <c r="F667" t="s">
        <v>15</v>
      </c>
      <c r="G667" t="s">
        <v>22</v>
      </c>
      <c r="H667" t="s">
        <v>397</v>
      </c>
      <c r="I667" t="s">
        <v>33</v>
      </c>
      <c r="J667">
        <v>1</v>
      </c>
      <c r="K667">
        <v>6500</v>
      </c>
      <c r="L667">
        <v>6500</v>
      </c>
      <c r="M667">
        <v>6500</v>
      </c>
      <c r="N667" t="s">
        <v>19</v>
      </c>
    </row>
    <row r="668" spans="1:14" x14ac:dyDescent="0.25">
      <c r="A668" t="str">
        <f>Table3[[#This Row],[Company Name]] &amp; " - " &amp; Table3[[#This Row],[Store Name]] &amp; " - " &amp; Table3[[#This Row],[Store Branch / Address]]</f>
        <v>HET STROOPWAFEL HUIS - STOOP &amp; ZO - GENERIC</v>
      </c>
      <c r="B668" t="str">
        <f>Table3[[#This Row],[Client ID]] &amp; " - " &amp; Table3[[#This Row],[SO Number]]</f>
        <v>HET STROOPWAFEL HUIS - STOOP &amp; ZO - GENERIC - SO-026</v>
      </c>
      <c r="C668" t="s">
        <v>212</v>
      </c>
      <c r="D668" t="s">
        <v>1070</v>
      </c>
      <c r="E668" t="s">
        <v>1071</v>
      </c>
      <c r="F668" t="s">
        <v>15</v>
      </c>
      <c r="G668" t="s">
        <v>1072</v>
      </c>
      <c r="H668" t="s">
        <v>1073</v>
      </c>
      <c r="I668" t="s">
        <v>114</v>
      </c>
      <c r="J668">
        <v>1</v>
      </c>
      <c r="K668">
        <v>3675</v>
      </c>
      <c r="L668">
        <v>10500</v>
      </c>
      <c r="M668">
        <v>10500</v>
      </c>
      <c r="N668" t="s">
        <v>19</v>
      </c>
    </row>
    <row r="669" spans="1:14" x14ac:dyDescent="0.25">
      <c r="A669" t="str">
        <f>Table3[[#This Row],[Company Name]] &amp; " - " &amp; Table3[[#This Row],[Store Name]] &amp; " - " &amp; Table3[[#This Row],[Store Branch / Address]]</f>
        <v>HET STROOPWAFEL HUIS - STOOP &amp; ZO - GENERIC</v>
      </c>
      <c r="B669" t="str">
        <f>Table3[[#This Row],[Client ID]] &amp; " - " &amp; Table3[[#This Row],[SO Number]]</f>
        <v>HET STROOPWAFEL HUIS - STOOP &amp; ZO - GENERIC - SO-026</v>
      </c>
      <c r="C669" t="s">
        <v>212</v>
      </c>
      <c r="D669" t="s">
        <v>1070</v>
      </c>
      <c r="E669" t="s">
        <v>1071</v>
      </c>
      <c r="F669" t="s">
        <v>15</v>
      </c>
      <c r="G669" t="s">
        <v>1072</v>
      </c>
      <c r="H669" t="s">
        <v>1073</v>
      </c>
      <c r="I669" t="s">
        <v>25</v>
      </c>
      <c r="J669">
        <v>1</v>
      </c>
      <c r="K669">
        <v>4025</v>
      </c>
      <c r="L669">
        <v>11500</v>
      </c>
      <c r="M669">
        <v>11500</v>
      </c>
      <c r="N669" t="s">
        <v>19</v>
      </c>
    </row>
    <row r="670" spans="1:14" x14ac:dyDescent="0.25">
      <c r="A670" t="str">
        <f>Table3[[#This Row],[Company Name]] &amp; " - " &amp; Table3[[#This Row],[Store Name]] &amp; " - " &amp; Table3[[#This Row],[Store Branch / Address]]</f>
        <v>HET STROOPWAFEL HUIS - STOOP &amp; ZO - GENERIC</v>
      </c>
      <c r="B670" t="str">
        <f>Table3[[#This Row],[Client ID]] &amp; " - " &amp; Table3[[#This Row],[SO Number]]</f>
        <v>HET STROOPWAFEL HUIS - STOOP &amp; ZO - GENERIC - SO-026</v>
      </c>
      <c r="C670" t="s">
        <v>212</v>
      </c>
      <c r="D670" t="s">
        <v>1070</v>
      </c>
      <c r="E670" t="s">
        <v>1071</v>
      </c>
      <c r="F670" t="s">
        <v>15</v>
      </c>
      <c r="G670" t="s">
        <v>1072</v>
      </c>
      <c r="H670" t="s">
        <v>1073</v>
      </c>
      <c r="I670" t="s">
        <v>24</v>
      </c>
      <c r="J670">
        <v>1</v>
      </c>
      <c r="K670">
        <v>4025</v>
      </c>
      <c r="L670">
        <v>11500</v>
      </c>
      <c r="M670">
        <v>11500</v>
      </c>
      <c r="N670" t="s">
        <v>19</v>
      </c>
    </row>
    <row r="671" spans="1:14" x14ac:dyDescent="0.25">
      <c r="A671" t="str">
        <f>Table3[[#This Row],[Company Name]] &amp; " - " &amp; Table3[[#This Row],[Store Name]] &amp; " - " &amp; Table3[[#This Row],[Store Branch / Address]]</f>
        <v>HET STROOPWAFEL HUIS - STOOP &amp; ZO - GENERIC</v>
      </c>
      <c r="B671" t="str">
        <f>Table3[[#This Row],[Client ID]] &amp; " - " &amp; Table3[[#This Row],[SO Number]]</f>
        <v>HET STROOPWAFEL HUIS - STOOP &amp; ZO - GENERIC - SO-026</v>
      </c>
      <c r="C671" t="s">
        <v>212</v>
      </c>
      <c r="D671" t="s">
        <v>1070</v>
      </c>
      <c r="E671" t="s">
        <v>1071</v>
      </c>
      <c r="F671" t="s">
        <v>15</v>
      </c>
      <c r="G671" t="s">
        <v>1072</v>
      </c>
      <c r="H671" t="s">
        <v>1073</v>
      </c>
      <c r="I671" t="s">
        <v>26</v>
      </c>
      <c r="J671">
        <v>1</v>
      </c>
      <c r="K671">
        <v>500</v>
      </c>
      <c r="L671">
        <v>500</v>
      </c>
      <c r="M671">
        <v>500</v>
      </c>
      <c r="N671" t="s">
        <v>19</v>
      </c>
    </row>
    <row r="672" spans="1:14" x14ac:dyDescent="0.25">
      <c r="A672" t="str">
        <f>Table3[[#This Row],[Company Name]] &amp; " - " &amp; Table3[[#This Row],[Store Name]] &amp; " - " &amp; Table3[[#This Row],[Store Branch / Address]]</f>
        <v>HET STROOPWAFEL HUIS - STOOP &amp; ZO - GENERIC</v>
      </c>
      <c r="B672" t="str">
        <f>Table3[[#This Row],[Client ID]] &amp; " - " &amp; Table3[[#This Row],[SO Number]]</f>
        <v>HET STROOPWAFEL HUIS - STOOP &amp; ZO - GENERIC - SO-026</v>
      </c>
      <c r="C672" t="s">
        <v>212</v>
      </c>
      <c r="D672" t="s">
        <v>1070</v>
      </c>
      <c r="E672" t="s">
        <v>1071</v>
      </c>
      <c r="F672" t="s">
        <v>15</v>
      </c>
      <c r="G672" t="s">
        <v>1072</v>
      </c>
      <c r="H672" t="s">
        <v>1073</v>
      </c>
      <c r="I672" t="s">
        <v>1032</v>
      </c>
      <c r="J672">
        <v>1</v>
      </c>
      <c r="K672">
        <v>23450</v>
      </c>
      <c r="L672">
        <v>32300</v>
      </c>
      <c r="M672">
        <v>32300</v>
      </c>
      <c r="N672" t="s">
        <v>19</v>
      </c>
    </row>
    <row r="673" spans="1:14" x14ac:dyDescent="0.25">
      <c r="A673" t="str">
        <f>Table3[[#This Row],[Company Name]] &amp; " - " &amp; Table3[[#This Row],[Store Name]] &amp; " - " &amp; Table3[[#This Row],[Store Branch / Address]]</f>
        <v>HET STROOPWAFEL HUIS - STOOP &amp; ZO - GENERIC</v>
      </c>
      <c r="B673" t="str">
        <f>Table3[[#This Row],[Client ID]] &amp; " - " &amp; Table3[[#This Row],[SO Number]]</f>
        <v>HET STROOPWAFEL HUIS - STOOP &amp; ZO - GENERIC - SO-026</v>
      </c>
      <c r="C673" t="s">
        <v>212</v>
      </c>
      <c r="D673" t="s">
        <v>1070</v>
      </c>
      <c r="E673" t="s">
        <v>1071</v>
      </c>
      <c r="F673" t="s">
        <v>15</v>
      </c>
      <c r="G673" t="s">
        <v>1072</v>
      </c>
      <c r="H673" t="s">
        <v>1073</v>
      </c>
      <c r="I673" t="s">
        <v>1045</v>
      </c>
      <c r="J673">
        <v>1</v>
      </c>
      <c r="K673">
        <v>11000</v>
      </c>
      <c r="L673">
        <v>16500</v>
      </c>
      <c r="M673">
        <v>16500</v>
      </c>
      <c r="N673" t="s">
        <v>19</v>
      </c>
    </row>
    <row r="674" spans="1:14" x14ac:dyDescent="0.25">
      <c r="A674" t="str">
        <f>Table3[[#This Row],[Company Name]] &amp; " - " &amp; Table3[[#This Row],[Store Name]] &amp; " - " &amp; Table3[[#This Row],[Store Branch / Address]]</f>
        <v>HET STROOPWAFEL HUIS - STOOP &amp; ZO - GENERIC</v>
      </c>
      <c r="B674" t="str">
        <f>Table3[[#This Row],[Client ID]] &amp; " - " &amp; Table3[[#This Row],[SO Number]]</f>
        <v>HET STROOPWAFEL HUIS - STOOP &amp; ZO - GENERIC - SO-026</v>
      </c>
      <c r="C674" t="s">
        <v>212</v>
      </c>
      <c r="D674" t="s">
        <v>1070</v>
      </c>
      <c r="E674" t="s">
        <v>1071</v>
      </c>
      <c r="F674" t="s">
        <v>15</v>
      </c>
      <c r="G674" t="s">
        <v>1072</v>
      </c>
      <c r="H674" t="s">
        <v>1073</v>
      </c>
      <c r="I674" t="s">
        <v>85</v>
      </c>
      <c r="J674">
        <v>1</v>
      </c>
      <c r="K674">
        <v>2185</v>
      </c>
      <c r="L674">
        <v>2000</v>
      </c>
      <c r="M674">
        <v>2000</v>
      </c>
      <c r="N674" t="s">
        <v>19</v>
      </c>
    </row>
    <row r="675" spans="1:14" x14ac:dyDescent="0.25">
      <c r="A675" t="str">
        <f>Table3[[#This Row],[Company Name]] &amp; " - " &amp; Table3[[#This Row],[Store Name]] &amp; " - " &amp; Table3[[#This Row],[Store Branch / Address]]</f>
        <v>HET STROOPWAFEL HUIS - STOOP &amp; ZO - GENERIC</v>
      </c>
      <c r="B675" t="str">
        <f>Table3[[#This Row],[Client ID]] &amp; " - " &amp; Table3[[#This Row],[SO Number]]</f>
        <v>HET STROOPWAFEL HUIS - STOOP &amp; ZO - GENERIC - SO-026</v>
      </c>
      <c r="C675" t="s">
        <v>212</v>
      </c>
      <c r="D675" t="s">
        <v>1070</v>
      </c>
      <c r="E675" t="s">
        <v>1071</v>
      </c>
      <c r="F675" t="s">
        <v>15</v>
      </c>
      <c r="G675" t="s">
        <v>1072</v>
      </c>
      <c r="H675" t="s">
        <v>1073</v>
      </c>
      <c r="I675" t="s">
        <v>1048</v>
      </c>
      <c r="J675">
        <v>1</v>
      </c>
      <c r="K675">
        <v>8500</v>
      </c>
      <c r="L675">
        <v>12500</v>
      </c>
      <c r="M675">
        <v>12500</v>
      </c>
      <c r="N675" t="s">
        <v>19</v>
      </c>
    </row>
    <row r="676" spans="1:14" x14ac:dyDescent="0.25">
      <c r="A676" t="str">
        <f>Table3[[#This Row],[Company Name]] &amp; " - " &amp; Table3[[#This Row],[Store Name]] &amp; " - " &amp; Table3[[#This Row],[Store Branch / Address]]</f>
        <v>HET STROOPWAFEL HUIS - STOOP &amp; ZO - GENERIC</v>
      </c>
      <c r="B676" t="str">
        <f>Table3[[#This Row],[Client ID]] &amp; " - " &amp; Table3[[#This Row],[SO Number]]</f>
        <v>HET STROOPWAFEL HUIS - STOOP &amp; ZO - GENERIC - SO-026</v>
      </c>
      <c r="C676" t="s">
        <v>212</v>
      </c>
      <c r="D676" t="s">
        <v>1070</v>
      </c>
      <c r="E676" t="s">
        <v>1071</v>
      </c>
      <c r="F676" t="s">
        <v>15</v>
      </c>
      <c r="G676" t="s">
        <v>1072</v>
      </c>
      <c r="H676" t="s">
        <v>1073</v>
      </c>
      <c r="I676" t="s">
        <v>97</v>
      </c>
      <c r="J676">
        <v>1</v>
      </c>
      <c r="K676">
        <v>2200</v>
      </c>
      <c r="L676">
        <v>3000</v>
      </c>
      <c r="M676">
        <v>3000</v>
      </c>
      <c r="N676" t="s">
        <v>19</v>
      </c>
    </row>
    <row r="677" spans="1:14" x14ac:dyDescent="0.25">
      <c r="A677" t="str">
        <f>Table3[[#This Row],[Company Name]] &amp; " - " &amp; Table3[[#This Row],[Store Name]] &amp; " - " &amp; Table3[[#This Row],[Store Branch / Address]]</f>
        <v>HET STROOPWAFEL HUIS - STOOP &amp; ZO - GENERIC</v>
      </c>
      <c r="B677" t="str">
        <f>Table3[[#This Row],[Client ID]] &amp; " - " &amp; Table3[[#This Row],[SO Number]]</f>
        <v>HET STROOPWAFEL HUIS - STOOP &amp; ZO - GENERIC - SO-026</v>
      </c>
      <c r="C677" t="s">
        <v>212</v>
      </c>
      <c r="D677" t="s">
        <v>1070</v>
      </c>
      <c r="E677" t="s">
        <v>1071</v>
      </c>
      <c r="F677" t="s">
        <v>15</v>
      </c>
      <c r="G677" t="s">
        <v>1072</v>
      </c>
      <c r="H677" t="s">
        <v>1073</v>
      </c>
      <c r="I677" t="s">
        <v>151</v>
      </c>
      <c r="J677">
        <v>1</v>
      </c>
      <c r="K677">
        <v>2800</v>
      </c>
      <c r="L677">
        <v>4000</v>
      </c>
      <c r="M677">
        <v>4000</v>
      </c>
      <c r="N677" t="s">
        <v>19</v>
      </c>
    </row>
    <row r="678" spans="1:14" x14ac:dyDescent="0.25">
      <c r="A678" t="str">
        <f>Table3[[#This Row],[Company Name]] &amp; " - " &amp; Table3[[#This Row],[Store Name]] &amp; " - " &amp; Table3[[#This Row],[Store Branch / Address]]</f>
        <v>HET STROOPWAFEL HUIS - STOOP &amp; ZO - GENERIC</v>
      </c>
      <c r="B678" t="str">
        <f>Table3[[#This Row],[Client ID]] &amp; " - " &amp; Table3[[#This Row],[SO Number]]</f>
        <v>HET STROOPWAFEL HUIS - STOOP &amp; ZO - GENERIC - SO-026</v>
      </c>
      <c r="C678" t="s">
        <v>212</v>
      </c>
      <c r="D678" t="s">
        <v>1070</v>
      </c>
      <c r="E678" t="s">
        <v>1071</v>
      </c>
      <c r="F678" t="s">
        <v>15</v>
      </c>
      <c r="G678" t="s">
        <v>1072</v>
      </c>
      <c r="H678" t="s">
        <v>1073</v>
      </c>
      <c r="I678" t="s">
        <v>1051</v>
      </c>
      <c r="J678">
        <v>1</v>
      </c>
      <c r="K678">
        <v>935</v>
      </c>
      <c r="L678">
        <v>1500</v>
      </c>
      <c r="M678">
        <v>1500</v>
      </c>
      <c r="N678" t="s">
        <v>19</v>
      </c>
    </row>
    <row r="679" spans="1:14" x14ac:dyDescent="0.25">
      <c r="A679" t="str">
        <f>Table3[[#This Row],[Company Name]] &amp; " - " &amp; Table3[[#This Row],[Store Name]] &amp; " - " &amp; Table3[[#This Row],[Store Branch / Address]]</f>
        <v>HET STROOPWAFEL HUIS - STOOP &amp; ZO - GENERIC</v>
      </c>
      <c r="B679" t="str">
        <f>Table3[[#This Row],[Client ID]] &amp; " - " &amp; Table3[[#This Row],[SO Number]]</f>
        <v>HET STROOPWAFEL HUIS - STOOP &amp; ZO - GENERIC - SO-026</v>
      </c>
      <c r="C679" t="s">
        <v>212</v>
      </c>
      <c r="D679" t="s">
        <v>1070</v>
      </c>
      <c r="E679" t="s">
        <v>1071</v>
      </c>
      <c r="F679" t="s">
        <v>15</v>
      </c>
      <c r="G679" t="s">
        <v>1072</v>
      </c>
      <c r="H679" t="s">
        <v>1073</v>
      </c>
      <c r="I679" t="s">
        <v>63</v>
      </c>
      <c r="J679">
        <v>1</v>
      </c>
      <c r="K679">
        <v>1000</v>
      </c>
      <c r="L679">
        <v>1000</v>
      </c>
      <c r="M679">
        <v>1000</v>
      </c>
      <c r="N679" t="s">
        <v>19</v>
      </c>
    </row>
    <row r="680" spans="1:14" x14ac:dyDescent="0.25">
      <c r="A680" t="str">
        <f>Table3[[#This Row],[Company Name]] &amp; " - " &amp; Table3[[#This Row],[Store Name]] &amp; " - " &amp; Table3[[#This Row],[Store Branch / Address]]</f>
        <v>HET STROOPWAFEL HUIS - STOOP &amp; ZO - GENERIC</v>
      </c>
      <c r="B680" t="str">
        <f>Table3[[#This Row],[Client ID]] &amp; " - " &amp; Table3[[#This Row],[SO Number]]</f>
        <v>HET STROOPWAFEL HUIS - STOOP &amp; ZO - GENERIC - SO-026</v>
      </c>
      <c r="C680" t="s">
        <v>212</v>
      </c>
      <c r="D680" t="s">
        <v>1070</v>
      </c>
      <c r="E680" t="s">
        <v>1071</v>
      </c>
      <c r="F680" t="s">
        <v>15</v>
      </c>
      <c r="G680" t="s">
        <v>1072</v>
      </c>
      <c r="H680" t="s">
        <v>1073</v>
      </c>
      <c r="I680" t="s">
        <v>189</v>
      </c>
      <c r="J680">
        <v>1</v>
      </c>
      <c r="K680">
        <v>500</v>
      </c>
      <c r="L680">
        <v>700</v>
      </c>
      <c r="M680">
        <v>700</v>
      </c>
      <c r="N680" t="s">
        <v>19</v>
      </c>
    </row>
    <row r="681" spans="1:14" x14ac:dyDescent="0.25">
      <c r="A681" t="str">
        <f>Table3[[#This Row],[Company Name]] &amp; " - " &amp; Table3[[#This Row],[Store Name]] &amp; " - " &amp; Table3[[#This Row],[Store Branch / Address]]</f>
        <v>HET STROOPWAFEL HUIS - STOOP &amp; ZO - GENERIC</v>
      </c>
      <c r="B681" t="str">
        <f>Table3[[#This Row],[Client ID]] &amp; " - " &amp; Table3[[#This Row],[SO Number]]</f>
        <v>HET STROOPWAFEL HUIS - STOOP &amp; ZO - GENERIC - SO-026</v>
      </c>
      <c r="C681" t="s">
        <v>212</v>
      </c>
      <c r="D681" t="s">
        <v>1070</v>
      </c>
      <c r="E681" t="s">
        <v>1071</v>
      </c>
      <c r="F681" t="s">
        <v>15</v>
      </c>
      <c r="G681" t="s">
        <v>1072</v>
      </c>
      <c r="H681" t="s">
        <v>1073</v>
      </c>
      <c r="I681" t="s">
        <v>1033</v>
      </c>
      <c r="J681">
        <v>1</v>
      </c>
      <c r="K681">
        <v>350</v>
      </c>
      <c r="L681">
        <v>500</v>
      </c>
      <c r="M681">
        <v>500</v>
      </c>
      <c r="N681" t="s">
        <v>19</v>
      </c>
    </row>
    <row r="682" spans="1:14" x14ac:dyDescent="0.25">
      <c r="A682" t="str">
        <f>Table3[[#This Row],[Company Name]] &amp; " - " &amp; Table3[[#This Row],[Store Name]] &amp; " - " &amp; Table3[[#This Row],[Store Branch / Address]]</f>
        <v>CHICKEN DELI - MN+LA APPAREL - GENERIC</v>
      </c>
      <c r="B682" t="str">
        <f>Table3[[#This Row],[Client ID]] &amp; " - " &amp; Table3[[#This Row],[SO Number]]</f>
        <v>CHICKEN DELI - MN+LA APPAREL - GENERIC - SO-086</v>
      </c>
      <c r="C682" t="s">
        <v>496</v>
      </c>
      <c r="D682" t="s">
        <v>20</v>
      </c>
      <c r="E682" t="s">
        <v>119</v>
      </c>
      <c r="F682" t="s">
        <v>15</v>
      </c>
      <c r="G682" t="s">
        <v>22</v>
      </c>
      <c r="H682" t="s">
        <v>500</v>
      </c>
      <c r="I682" t="s">
        <v>501</v>
      </c>
      <c r="J682">
        <v>10</v>
      </c>
      <c r="K682">
        <v>67</v>
      </c>
      <c r="L682">
        <v>250</v>
      </c>
      <c r="M682">
        <v>2500</v>
      </c>
      <c r="N682" t="s">
        <v>19</v>
      </c>
    </row>
    <row r="683" spans="1:14" x14ac:dyDescent="0.25">
      <c r="A683" t="str">
        <f>Table3[[#This Row],[Company Name]] &amp; " - " &amp; Table3[[#This Row],[Store Name]] &amp; " - " &amp; Table3[[#This Row],[Store Branch / Address]]</f>
        <v>KANEFIL GLOBE ENTERPRISES CORPORATION - KANEBO - GENERIC</v>
      </c>
      <c r="B683" t="str">
        <f>Table3[[#This Row],[Client ID]] &amp; " - " &amp; Table3[[#This Row],[SO Number]]</f>
        <v>KANEFIL GLOBE ENTERPRISES CORPORATION - KANEBO - GENERIC - SO-027</v>
      </c>
      <c r="C683" t="s">
        <v>215</v>
      </c>
      <c r="D683" t="s">
        <v>1074</v>
      </c>
      <c r="E683" t="s">
        <v>1075</v>
      </c>
      <c r="F683" t="s">
        <v>15</v>
      </c>
      <c r="G683" t="s">
        <v>37</v>
      </c>
      <c r="H683" t="s">
        <v>500</v>
      </c>
      <c r="I683" t="s">
        <v>33</v>
      </c>
      <c r="J683">
        <v>1</v>
      </c>
      <c r="K683">
        <v>15000</v>
      </c>
      <c r="L683">
        <v>15000</v>
      </c>
      <c r="M683">
        <v>15000</v>
      </c>
      <c r="N683" t="s">
        <v>19</v>
      </c>
    </row>
    <row r="684" spans="1:14" x14ac:dyDescent="0.25">
      <c r="A684" t="str">
        <f>Table3[[#This Row],[Company Name]] &amp; " - " &amp; Table3[[#This Row],[Store Name]] &amp; " - " &amp; Table3[[#This Row],[Store Branch / Address]]</f>
        <v>B R I M M I N G ENTERPRISES INC - REYES BARBECUE - GENERIC</v>
      </c>
      <c r="B684" t="str">
        <f>Table3[[#This Row],[Client ID]] &amp; " - " &amp; Table3[[#This Row],[SO Number]]</f>
        <v>B R I M M I N G ENTERPRISES INC - REYES BARBECUE - GENERIC - SO-062</v>
      </c>
      <c r="C684" t="s">
        <v>402</v>
      </c>
      <c r="D684" t="s">
        <v>403</v>
      </c>
      <c r="E684" t="s">
        <v>200</v>
      </c>
      <c r="F684" t="s">
        <v>15</v>
      </c>
      <c r="G684" t="s">
        <v>22</v>
      </c>
      <c r="H684" t="s">
        <v>404</v>
      </c>
      <c r="I684" t="s">
        <v>154</v>
      </c>
      <c r="J684">
        <v>1</v>
      </c>
      <c r="K684">
        <v>1100</v>
      </c>
      <c r="L684">
        <v>1600</v>
      </c>
      <c r="M684">
        <v>1600</v>
      </c>
      <c r="N684" t="s">
        <v>19</v>
      </c>
    </row>
    <row r="685" spans="1:14" x14ac:dyDescent="0.25">
      <c r="A685" t="str">
        <f>Table3[[#This Row],[Company Name]] &amp; " - " &amp; Table3[[#This Row],[Store Name]] &amp; " - " &amp; Table3[[#This Row],[Store Branch / Address]]</f>
        <v>B R I M M I N G ENTERPRISES INC - REYES BARBECUE - GENERIC</v>
      </c>
      <c r="B685" t="str">
        <f>Table3[[#This Row],[Client ID]] &amp; " - " &amp; Table3[[#This Row],[SO Number]]</f>
        <v>B R I M M I N G ENTERPRISES INC - REYES BARBECUE - GENERIC - SO-062</v>
      </c>
      <c r="C685" t="s">
        <v>402</v>
      </c>
      <c r="D685" t="s">
        <v>403</v>
      </c>
      <c r="E685" t="s">
        <v>200</v>
      </c>
      <c r="F685" t="s">
        <v>15</v>
      </c>
      <c r="G685" t="s">
        <v>22</v>
      </c>
      <c r="H685" t="s">
        <v>404</v>
      </c>
      <c r="I685" t="s">
        <v>333</v>
      </c>
      <c r="J685">
        <v>1</v>
      </c>
      <c r="K685">
        <v>20</v>
      </c>
      <c r="L685">
        <v>100</v>
      </c>
      <c r="M685">
        <v>100</v>
      </c>
      <c r="N685" t="s">
        <v>19</v>
      </c>
    </row>
    <row r="686" spans="1:14" x14ac:dyDescent="0.25">
      <c r="A686" t="str">
        <f>Table3[[#This Row],[Company Name]] &amp; " - " &amp; Table3[[#This Row],[Store Name]] &amp; " - " &amp; Table3[[#This Row],[Store Branch / Address]]</f>
        <v>TIONG BAHRU PHILIPPINES INC - TIONG BAHRU - GREENHILLS</v>
      </c>
      <c r="B686" t="str">
        <f>Table3[[#This Row],[Client ID]] &amp; " - " &amp; Table3[[#This Row],[SO Number]]</f>
        <v>TIONG BAHRU PHILIPPINES INC - TIONG BAHRU - GREENHILLS - SO-028</v>
      </c>
      <c r="C686" t="s">
        <v>219</v>
      </c>
      <c r="D686" t="s">
        <v>1022</v>
      </c>
      <c r="E686" t="s">
        <v>1023</v>
      </c>
      <c r="F686" t="s">
        <v>294</v>
      </c>
      <c r="G686" t="s">
        <v>1076</v>
      </c>
      <c r="H686" t="s">
        <v>404</v>
      </c>
      <c r="I686" t="s">
        <v>1060</v>
      </c>
      <c r="J686">
        <v>1</v>
      </c>
      <c r="K686">
        <v>9500</v>
      </c>
      <c r="L686">
        <v>13500</v>
      </c>
      <c r="M686">
        <v>13500</v>
      </c>
      <c r="N686" t="s">
        <v>1010</v>
      </c>
    </row>
    <row r="687" spans="1:14" x14ac:dyDescent="0.25">
      <c r="A687" t="str">
        <f>Table3[[#This Row],[Company Name]] &amp; " - " &amp; Table3[[#This Row],[Store Name]] &amp; " - " &amp; Table3[[#This Row],[Store Branch / Address]]</f>
        <v>HUZZAH - HUZZAH - GENERIC</v>
      </c>
      <c r="B687" t="str">
        <f>Table3[[#This Row],[Client ID]] &amp; " - " &amp; Table3[[#This Row],[SO Number]]</f>
        <v>HUZZAH - HUZZAH - GENERIC - SO-063</v>
      </c>
      <c r="C687" t="s">
        <v>405</v>
      </c>
      <c r="D687" t="s">
        <v>87</v>
      </c>
      <c r="E687" t="s">
        <v>87</v>
      </c>
      <c r="F687" t="s">
        <v>15</v>
      </c>
      <c r="G687" t="s">
        <v>37</v>
      </c>
      <c r="H687" t="s">
        <v>406</v>
      </c>
      <c r="I687" t="s">
        <v>89</v>
      </c>
      <c r="J687">
        <v>50</v>
      </c>
      <c r="K687">
        <v>32</v>
      </c>
      <c r="L687">
        <v>50</v>
      </c>
      <c r="M687">
        <v>2500</v>
      </c>
      <c r="N687" t="s">
        <v>39</v>
      </c>
    </row>
    <row r="688" spans="1:14" x14ac:dyDescent="0.25">
      <c r="A688" t="str">
        <f>Table3[[#This Row],[Company Name]] &amp; " - " &amp; Table3[[#This Row],[Store Name]] &amp; " - " &amp; Table3[[#This Row],[Store Branch / Address]]</f>
        <v>BIG BRANDS CLOTHING OUTLET CORP - BIG BRANDS - ROBINSONS IMUS</v>
      </c>
      <c r="B688" t="str">
        <f>Table3[[#This Row],[Client ID]] &amp; " - " &amp; Table3[[#This Row],[SO Number]]</f>
        <v>BIG BRANDS CLOTHING OUTLET CORP - BIG BRANDS - ROBINSONS IMUS - SO-029</v>
      </c>
      <c r="C688" t="s">
        <v>223</v>
      </c>
      <c r="D688" t="s">
        <v>1041</v>
      </c>
      <c r="E688" t="s">
        <v>1042</v>
      </c>
      <c r="F688" t="s">
        <v>1077</v>
      </c>
      <c r="G688" t="s">
        <v>1043</v>
      </c>
      <c r="H688" t="s">
        <v>406</v>
      </c>
      <c r="I688" t="s">
        <v>154</v>
      </c>
      <c r="J688">
        <v>1</v>
      </c>
      <c r="K688">
        <v>1100</v>
      </c>
      <c r="L688">
        <v>1600</v>
      </c>
      <c r="M688">
        <v>1600</v>
      </c>
      <c r="N688" t="s">
        <v>1010</v>
      </c>
    </row>
    <row r="689" spans="1:14" x14ac:dyDescent="0.25">
      <c r="A689" t="str">
        <f>Table3[[#This Row],[Company Name]] &amp; " - " &amp; Table3[[#This Row],[Store Name]] &amp; " - " &amp; Table3[[#This Row],[Store Branch / Address]]</f>
        <v>BIG BRANDS CLOTHING OUTLET CORP - BIG BRANDS - ROBINSONS IMUS</v>
      </c>
      <c r="B689" t="str">
        <f>Table3[[#This Row],[Client ID]] &amp; " - " &amp; Table3[[#This Row],[SO Number]]</f>
        <v>BIG BRANDS CLOTHING OUTLET CORP - BIG BRANDS - ROBINSONS IMUS - SO-029</v>
      </c>
      <c r="C689" t="s">
        <v>223</v>
      </c>
      <c r="D689" t="s">
        <v>1041</v>
      </c>
      <c r="E689" t="s">
        <v>1042</v>
      </c>
      <c r="F689" t="s">
        <v>1077</v>
      </c>
      <c r="G689" t="s">
        <v>1043</v>
      </c>
      <c r="H689" t="s">
        <v>406</v>
      </c>
      <c r="I689" t="s">
        <v>1078</v>
      </c>
      <c r="J689">
        <v>1</v>
      </c>
      <c r="K689">
        <v>20</v>
      </c>
      <c r="L689">
        <v>200</v>
      </c>
      <c r="M689">
        <v>200</v>
      </c>
      <c r="N689" t="s">
        <v>1010</v>
      </c>
    </row>
    <row r="690" spans="1:14" x14ac:dyDescent="0.25">
      <c r="A690" t="str">
        <f>Table3[[#This Row],[Company Name]] &amp; " - " &amp; Table3[[#This Row],[Store Name]] &amp; " - " &amp; Table3[[#This Row],[Store Branch / Address]]</f>
        <v>BIG BRANDS CLOTHING OUTLET CORP - BIG BRANDS - ROBINSONS IMUS</v>
      </c>
      <c r="B690" t="str">
        <f>Table3[[#This Row],[Client ID]] &amp; " - " &amp; Table3[[#This Row],[SO Number]]</f>
        <v>BIG BRANDS CLOTHING OUTLET CORP - BIG BRANDS - ROBINSONS IMUS - SO-029</v>
      </c>
      <c r="C690" t="s">
        <v>223</v>
      </c>
      <c r="D690" t="s">
        <v>1041</v>
      </c>
      <c r="E690" t="s">
        <v>1042</v>
      </c>
      <c r="F690" t="s">
        <v>1077</v>
      </c>
      <c r="G690" t="s">
        <v>1043</v>
      </c>
      <c r="H690" t="s">
        <v>406</v>
      </c>
      <c r="I690" t="s">
        <v>1079</v>
      </c>
      <c r="J690">
        <v>1</v>
      </c>
      <c r="K690">
        <v>65</v>
      </c>
      <c r="L690">
        <v>200</v>
      </c>
      <c r="M690">
        <v>200</v>
      </c>
      <c r="N690" t="s">
        <v>1010</v>
      </c>
    </row>
    <row r="691" spans="1:14" x14ac:dyDescent="0.25">
      <c r="A691" t="str">
        <f>Table3[[#This Row],[Company Name]] &amp; " - " &amp; Table3[[#This Row],[Store Name]] &amp; " - " &amp; Table3[[#This Row],[Store Branch / Address]]</f>
        <v>CHICKEN DELI - KITCHEN CITY - GENERIC</v>
      </c>
      <c r="B691" t="str">
        <f>Table3[[#This Row],[Client ID]] &amp; " - " &amp; Table3[[#This Row],[SO Number]]</f>
        <v>CHICKEN DELI - KITCHEN CITY - GENERIC - SO-088</v>
      </c>
      <c r="C691" t="s">
        <v>509</v>
      </c>
      <c r="D691" t="s">
        <v>20</v>
      </c>
      <c r="E691" t="s">
        <v>21</v>
      </c>
      <c r="F691" t="s">
        <v>15</v>
      </c>
      <c r="G691" t="s">
        <v>22</v>
      </c>
      <c r="H691" t="s">
        <v>513</v>
      </c>
      <c r="I691" t="s">
        <v>23</v>
      </c>
      <c r="J691">
        <v>1</v>
      </c>
      <c r="K691">
        <v>3675</v>
      </c>
      <c r="L691">
        <v>10500</v>
      </c>
      <c r="M691">
        <v>10500</v>
      </c>
      <c r="N691" t="s">
        <v>19</v>
      </c>
    </row>
    <row r="692" spans="1:14" x14ac:dyDescent="0.25">
      <c r="A692" t="str">
        <f>Table3[[#This Row],[Company Name]] &amp; " - " &amp; Table3[[#This Row],[Store Name]] &amp; " - " &amp; Table3[[#This Row],[Store Branch / Address]]</f>
        <v>CHICKEN DELI - KITCHEN CITY - GENERIC</v>
      </c>
      <c r="B692" t="str">
        <f>Table3[[#This Row],[Client ID]] &amp; " - " &amp; Table3[[#This Row],[SO Number]]</f>
        <v>CHICKEN DELI - KITCHEN CITY - GENERIC - SO-088</v>
      </c>
      <c r="C692" t="s">
        <v>509</v>
      </c>
      <c r="D692" t="s">
        <v>20</v>
      </c>
      <c r="E692" t="s">
        <v>21</v>
      </c>
      <c r="F692" t="s">
        <v>15</v>
      </c>
      <c r="G692" t="s">
        <v>22</v>
      </c>
      <c r="H692" t="s">
        <v>513</v>
      </c>
      <c r="I692" t="s">
        <v>24</v>
      </c>
      <c r="J692">
        <v>1</v>
      </c>
      <c r="K692">
        <v>10400</v>
      </c>
      <c r="L692">
        <v>10400</v>
      </c>
      <c r="M692">
        <v>10400</v>
      </c>
      <c r="N692" t="s">
        <v>19</v>
      </c>
    </row>
    <row r="693" spans="1:14" x14ac:dyDescent="0.25">
      <c r="A693" t="str">
        <f>Table3[[#This Row],[Company Name]] &amp; " - " &amp; Table3[[#This Row],[Store Name]] &amp; " - " &amp; Table3[[#This Row],[Store Branch / Address]]</f>
        <v>CHICKEN DELI - KITCHEN CITY - GENERIC</v>
      </c>
      <c r="B693" t="str">
        <f>Table3[[#This Row],[Client ID]] &amp; " - " &amp; Table3[[#This Row],[SO Number]]</f>
        <v>CHICKEN DELI - KITCHEN CITY - GENERIC - SO-088</v>
      </c>
      <c r="C693" t="s">
        <v>509</v>
      </c>
      <c r="D693" t="s">
        <v>20</v>
      </c>
      <c r="E693" t="s">
        <v>21</v>
      </c>
      <c r="F693" t="s">
        <v>15</v>
      </c>
      <c r="G693" t="s">
        <v>22</v>
      </c>
      <c r="H693" t="s">
        <v>513</v>
      </c>
      <c r="I693" t="s">
        <v>25</v>
      </c>
      <c r="J693">
        <v>1</v>
      </c>
      <c r="K693">
        <v>10400</v>
      </c>
      <c r="L693">
        <v>10400</v>
      </c>
      <c r="M693">
        <v>10400</v>
      </c>
      <c r="N693" t="s">
        <v>19</v>
      </c>
    </row>
    <row r="694" spans="1:14" x14ac:dyDescent="0.25">
      <c r="A694" t="str">
        <f>Table3[[#This Row],[Company Name]] &amp; " - " &amp; Table3[[#This Row],[Store Name]] &amp; " - " &amp; Table3[[#This Row],[Store Branch / Address]]</f>
        <v>CHICKEN DELI - KITCHEN CITY - GENERIC</v>
      </c>
      <c r="B694" t="str">
        <f>Table3[[#This Row],[Client ID]] &amp; " - " &amp; Table3[[#This Row],[SO Number]]</f>
        <v>CHICKEN DELI - KITCHEN CITY - GENERIC - SO-088</v>
      </c>
      <c r="C694" t="s">
        <v>509</v>
      </c>
      <c r="D694" t="s">
        <v>20</v>
      </c>
      <c r="E694" t="s">
        <v>21</v>
      </c>
      <c r="F694" t="s">
        <v>15</v>
      </c>
      <c r="G694" t="s">
        <v>22</v>
      </c>
      <c r="H694" t="s">
        <v>513</v>
      </c>
      <c r="I694" t="s">
        <v>26</v>
      </c>
      <c r="J694">
        <v>1</v>
      </c>
      <c r="K694">
        <v>500</v>
      </c>
      <c r="L694">
        <v>0</v>
      </c>
      <c r="M694">
        <v>0</v>
      </c>
      <c r="N694" t="s">
        <v>19</v>
      </c>
    </row>
    <row r="695" spans="1:14" x14ac:dyDescent="0.25">
      <c r="A695" t="str">
        <f>Table3[[#This Row],[Company Name]] &amp; " - " &amp; Table3[[#This Row],[Store Name]] &amp; " - " &amp; Table3[[#This Row],[Store Branch / Address]]</f>
        <v>CHICKEN DELI - KITCHEN CITY - GENERIC</v>
      </c>
      <c r="B695" t="str">
        <f>Table3[[#This Row],[Client ID]] &amp; " - " &amp; Table3[[#This Row],[SO Number]]</f>
        <v>CHICKEN DELI - KITCHEN CITY - GENERIC - SO-088</v>
      </c>
      <c r="C695" t="s">
        <v>509</v>
      </c>
      <c r="D695" t="s">
        <v>20</v>
      </c>
      <c r="E695" t="s">
        <v>21</v>
      </c>
      <c r="F695" t="s">
        <v>15</v>
      </c>
      <c r="G695" t="s">
        <v>22</v>
      </c>
      <c r="H695" t="s">
        <v>513</v>
      </c>
      <c r="I695" t="s">
        <v>514</v>
      </c>
      <c r="J695">
        <v>1</v>
      </c>
      <c r="K695">
        <v>11000</v>
      </c>
      <c r="L695">
        <v>0</v>
      </c>
      <c r="M695">
        <v>0</v>
      </c>
      <c r="N695" t="s">
        <v>19</v>
      </c>
    </row>
    <row r="696" spans="1:14" x14ac:dyDescent="0.25">
      <c r="A696" t="str">
        <f>Table3[[#This Row],[Company Name]] &amp; " - " &amp; Table3[[#This Row],[Store Name]] &amp; " - " &amp; Table3[[#This Row],[Store Branch / Address]]</f>
        <v>CHICKEN DELI - KITCHEN CITY - GENERIC</v>
      </c>
      <c r="B696" t="str">
        <f>Table3[[#This Row],[Client ID]] &amp; " - " &amp; Table3[[#This Row],[SO Number]]</f>
        <v>CHICKEN DELI - KITCHEN CITY - GENERIC - SO-088</v>
      </c>
      <c r="C696" t="s">
        <v>509</v>
      </c>
      <c r="D696" t="s">
        <v>20</v>
      </c>
      <c r="E696" t="s">
        <v>21</v>
      </c>
      <c r="F696" t="s">
        <v>15</v>
      </c>
      <c r="G696" t="s">
        <v>22</v>
      </c>
      <c r="H696" t="s">
        <v>513</v>
      </c>
      <c r="I696" t="s">
        <v>233</v>
      </c>
      <c r="J696">
        <v>1</v>
      </c>
      <c r="K696">
        <v>8500</v>
      </c>
      <c r="L696">
        <v>12100</v>
      </c>
      <c r="M696">
        <v>12100</v>
      </c>
      <c r="N696" t="s">
        <v>19</v>
      </c>
    </row>
    <row r="697" spans="1:14" x14ac:dyDescent="0.25">
      <c r="A697" t="str">
        <f>Table3[[#This Row],[Company Name]] &amp; " - " &amp; Table3[[#This Row],[Store Name]] &amp; " - " &amp; Table3[[#This Row],[Store Branch / Address]]</f>
        <v>CHICKEN DELI - KITCHEN CITY - GENERIC</v>
      </c>
      <c r="B697" t="str">
        <f>Table3[[#This Row],[Client ID]] &amp; " - " &amp; Table3[[#This Row],[SO Number]]</f>
        <v>CHICKEN DELI - KITCHEN CITY - GENERIC - SO-088</v>
      </c>
      <c r="C697" t="s">
        <v>509</v>
      </c>
      <c r="D697" t="s">
        <v>20</v>
      </c>
      <c r="E697" t="s">
        <v>21</v>
      </c>
      <c r="F697" t="s">
        <v>15</v>
      </c>
      <c r="G697" t="s">
        <v>22</v>
      </c>
      <c r="H697" t="s">
        <v>513</v>
      </c>
      <c r="I697" t="s">
        <v>236</v>
      </c>
      <c r="J697">
        <v>1</v>
      </c>
      <c r="K697">
        <v>2200</v>
      </c>
      <c r="L697">
        <v>0</v>
      </c>
      <c r="M697">
        <v>0</v>
      </c>
      <c r="N697" t="s">
        <v>19</v>
      </c>
    </row>
    <row r="698" spans="1:14" x14ac:dyDescent="0.25">
      <c r="A698" t="str">
        <f>Table3[[#This Row],[Company Name]] &amp; " - " &amp; Table3[[#This Row],[Store Name]] &amp; " - " &amp; Table3[[#This Row],[Store Branch / Address]]</f>
        <v>CHICKEN DELI - KITCHEN CITY - GENERIC</v>
      </c>
      <c r="B698" t="str">
        <f>Table3[[#This Row],[Client ID]] &amp; " - " &amp; Table3[[#This Row],[SO Number]]</f>
        <v>CHICKEN DELI - KITCHEN CITY - GENERIC - SO-088</v>
      </c>
      <c r="C698" t="s">
        <v>509</v>
      </c>
      <c r="D698" t="s">
        <v>20</v>
      </c>
      <c r="E698" t="s">
        <v>21</v>
      </c>
      <c r="F698" t="s">
        <v>15</v>
      </c>
      <c r="G698" t="s">
        <v>22</v>
      </c>
      <c r="H698" t="s">
        <v>513</v>
      </c>
      <c r="I698" t="s">
        <v>289</v>
      </c>
      <c r="J698">
        <v>1</v>
      </c>
      <c r="K698">
        <v>900</v>
      </c>
      <c r="L698">
        <v>0</v>
      </c>
      <c r="M698">
        <v>0</v>
      </c>
      <c r="N698" t="s">
        <v>19</v>
      </c>
    </row>
    <row r="699" spans="1:14" x14ac:dyDescent="0.25">
      <c r="A699" t="str">
        <f>Table3[[#This Row],[Company Name]] &amp; " - " &amp; Table3[[#This Row],[Store Name]] &amp; " - " &amp; Table3[[#This Row],[Store Branch / Address]]</f>
        <v>CHICKEN DELI - KITCHEN CITY - GENERIC</v>
      </c>
      <c r="B699" t="str">
        <f>Table3[[#This Row],[Client ID]] &amp; " - " &amp; Table3[[#This Row],[SO Number]]</f>
        <v>CHICKEN DELI - KITCHEN CITY - GENERIC - SO-088</v>
      </c>
      <c r="C699" t="s">
        <v>509</v>
      </c>
      <c r="D699" t="s">
        <v>20</v>
      </c>
      <c r="E699" t="s">
        <v>21</v>
      </c>
      <c r="F699" t="s">
        <v>15</v>
      </c>
      <c r="G699" t="s">
        <v>22</v>
      </c>
      <c r="H699" t="s">
        <v>513</v>
      </c>
      <c r="I699" t="s">
        <v>76</v>
      </c>
      <c r="J699">
        <v>1</v>
      </c>
      <c r="K699">
        <v>500</v>
      </c>
      <c r="L699">
        <v>500</v>
      </c>
      <c r="M699">
        <v>500</v>
      </c>
      <c r="N699" t="s">
        <v>19</v>
      </c>
    </row>
    <row r="700" spans="1:14" x14ac:dyDescent="0.25">
      <c r="A700" t="str">
        <f>Table3[[#This Row],[Company Name]] &amp; " - " &amp; Table3[[#This Row],[Store Name]] &amp; " - " &amp; Table3[[#This Row],[Store Branch / Address]]</f>
        <v>CHICKEN DELI - APT8 - GENERIC</v>
      </c>
      <c r="B700" t="str">
        <f>Table3[[#This Row],[Client ID]] &amp; " - " &amp; Table3[[#This Row],[SO Number]]</f>
        <v>CHICKEN DELI - APT8 - GENERIC - SO-089</v>
      </c>
      <c r="C700" t="s">
        <v>515</v>
      </c>
      <c r="D700" t="s">
        <v>20</v>
      </c>
      <c r="E700" t="s">
        <v>168</v>
      </c>
      <c r="F700" t="s">
        <v>15</v>
      </c>
      <c r="G700" t="s">
        <v>22</v>
      </c>
      <c r="H700" t="s">
        <v>516</v>
      </c>
      <c r="I700" t="s">
        <v>169</v>
      </c>
      <c r="J700">
        <v>1</v>
      </c>
      <c r="K700">
        <v>3675</v>
      </c>
      <c r="L700">
        <v>10500</v>
      </c>
      <c r="M700">
        <v>10500</v>
      </c>
      <c r="N700" t="s">
        <v>19</v>
      </c>
    </row>
    <row r="701" spans="1:14" x14ac:dyDescent="0.25">
      <c r="A701" t="str">
        <f>Table3[[#This Row],[Company Name]] &amp; " - " &amp; Table3[[#This Row],[Store Name]] &amp; " - " &amp; Table3[[#This Row],[Store Branch / Address]]</f>
        <v>CHICKEN DELI - APT8 - GENERIC</v>
      </c>
      <c r="B701" t="str">
        <f>Table3[[#This Row],[Client ID]] &amp; " - " &amp; Table3[[#This Row],[SO Number]]</f>
        <v>CHICKEN DELI - APT8 - GENERIC - SO-089</v>
      </c>
      <c r="C701" t="s">
        <v>515</v>
      </c>
      <c r="D701" t="s">
        <v>20</v>
      </c>
      <c r="E701" t="s">
        <v>168</v>
      </c>
      <c r="F701" t="s">
        <v>15</v>
      </c>
      <c r="G701" t="s">
        <v>22</v>
      </c>
      <c r="H701" t="s">
        <v>516</v>
      </c>
      <c r="I701" t="s">
        <v>170</v>
      </c>
      <c r="J701">
        <v>1</v>
      </c>
      <c r="K701">
        <v>4000</v>
      </c>
      <c r="L701">
        <v>4000</v>
      </c>
      <c r="M701">
        <v>4000</v>
      </c>
      <c r="N701" t="s">
        <v>19</v>
      </c>
    </row>
    <row r="702" spans="1:14" x14ac:dyDescent="0.25">
      <c r="A702" t="str">
        <f>Table3[[#This Row],[Company Name]] &amp; " - " &amp; Table3[[#This Row],[Store Name]] &amp; " - " &amp; Table3[[#This Row],[Store Branch / Address]]</f>
        <v>CHICKEN DELI - APT8 - GENERIC</v>
      </c>
      <c r="B702" t="str">
        <f>Table3[[#This Row],[Client ID]] &amp; " - " &amp; Table3[[#This Row],[SO Number]]</f>
        <v>CHICKEN DELI - APT8 - GENERIC - SO-089</v>
      </c>
      <c r="C702" t="s">
        <v>515</v>
      </c>
      <c r="D702" t="s">
        <v>20</v>
      </c>
      <c r="E702" t="s">
        <v>168</v>
      </c>
      <c r="F702" t="s">
        <v>15</v>
      </c>
      <c r="G702" t="s">
        <v>22</v>
      </c>
      <c r="H702" t="s">
        <v>516</v>
      </c>
      <c r="I702" t="s">
        <v>24</v>
      </c>
      <c r="J702">
        <v>1</v>
      </c>
      <c r="K702">
        <v>4000</v>
      </c>
      <c r="L702">
        <v>4000</v>
      </c>
      <c r="M702">
        <v>4000</v>
      </c>
      <c r="N702" t="s">
        <v>19</v>
      </c>
    </row>
    <row r="703" spans="1:14" x14ac:dyDescent="0.25">
      <c r="A703" t="str">
        <f>Table3[[#This Row],[Company Name]] &amp; " - " &amp; Table3[[#This Row],[Store Name]] &amp; " - " &amp; Table3[[#This Row],[Store Branch / Address]]</f>
        <v>CHICKEN DELI - APT8 - GENERIC</v>
      </c>
      <c r="B703" t="str">
        <f>Table3[[#This Row],[Client ID]] &amp; " - " &amp; Table3[[#This Row],[SO Number]]</f>
        <v>CHICKEN DELI - APT8 - GENERIC - SO-089</v>
      </c>
      <c r="C703" t="s">
        <v>515</v>
      </c>
      <c r="D703" t="s">
        <v>20</v>
      </c>
      <c r="E703" t="s">
        <v>168</v>
      </c>
      <c r="F703" t="s">
        <v>15</v>
      </c>
      <c r="G703" t="s">
        <v>22</v>
      </c>
      <c r="H703" t="s">
        <v>516</v>
      </c>
      <c r="I703" t="s">
        <v>171</v>
      </c>
      <c r="J703">
        <v>1</v>
      </c>
      <c r="K703">
        <v>500</v>
      </c>
      <c r="L703">
        <v>500</v>
      </c>
      <c r="M703">
        <v>500</v>
      </c>
      <c r="N703" t="s">
        <v>19</v>
      </c>
    </row>
    <row r="704" spans="1:14" x14ac:dyDescent="0.25">
      <c r="A704" t="str">
        <f>Table3[[#This Row],[Company Name]] &amp; " - " &amp; Table3[[#This Row],[Store Name]] &amp; " - " &amp; Table3[[#This Row],[Store Branch / Address]]</f>
        <v>CHICKEN DELI - APT8 - GENERIC</v>
      </c>
      <c r="B704" t="str">
        <f>Table3[[#This Row],[Client ID]] &amp; " - " &amp; Table3[[#This Row],[SO Number]]</f>
        <v>CHICKEN DELI - APT8 - GENERIC - SO-090</v>
      </c>
      <c r="C704" t="s">
        <v>517</v>
      </c>
      <c r="D704" t="s">
        <v>20</v>
      </c>
      <c r="E704" t="s">
        <v>168</v>
      </c>
      <c r="F704" t="s">
        <v>15</v>
      </c>
      <c r="G704" t="s">
        <v>22</v>
      </c>
      <c r="H704" t="s">
        <v>516</v>
      </c>
      <c r="I704" t="s">
        <v>169</v>
      </c>
      <c r="J704">
        <v>1</v>
      </c>
      <c r="K704">
        <v>3675</v>
      </c>
      <c r="L704">
        <v>10500</v>
      </c>
      <c r="M704">
        <v>10500</v>
      </c>
      <c r="N704" t="s">
        <v>19</v>
      </c>
    </row>
    <row r="705" spans="1:14" x14ac:dyDescent="0.25">
      <c r="A705" t="str">
        <f>Table3[[#This Row],[Company Name]] &amp; " - " &amp; Table3[[#This Row],[Store Name]] &amp; " - " &amp; Table3[[#This Row],[Store Branch / Address]]</f>
        <v>CHICKEN DELI - APT8 - GENERIC</v>
      </c>
      <c r="B705" t="str">
        <f>Table3[[#This Row],[Client ID]] &amp; " - " &amp; Table3[[#This Row],[SO Number]]</f>
        <v>CHICKEN DELI - APT8 - GENERIC - SO-090</v>
      </c>
      <c r="C705" t="s">
        <v>517</v>
      </c>
      <c r="D705" t="s">
        <v>20</v>
      </c>
      <c r="E705" t="s">
        <v>168</v>
      </c>
      <c r="F705" t="s">
        <v>15</v>
      </c>
      <c r="G705" t="s">
        <v>22</v>
      </c>
      <c r="H705" t="s">
        <v>516</v>
      </c>
      <c r="I705" t="s">
        <v>170</v>
      </c>
      <c r="J705">
        <v>1</v>
      </c>
      <c r="K705">
        <v>4000</v>
      </c>
      <c r="L705">
        <v>4000</v>
      </c>
      <c r="M705">
        <v>4000</v>
      </c>
      <c r="N705" t="s">
        <v>19</v>
      </c>
    </row>
    <row r="706" spans="1:14" x14ac:dyDescent="0.25">
      <c r="A706" t="str">
        <f>Table3[[#This Row],[Company Name]] &amp; " - " &amp; Table3[[#This Row],[Store Name]] &amp; " - " &amp; Table3[[#This Row],[Store Branch / Address]]</f>
        <v>CHICKEN DELI - APT8 - GENERIC</v>
      </c>
      <c r="B706" t="str">
        <f>Table3[[#This Row],[Client ID]] &amp; " - " &amp; Table3[[#This Row],[SO Number]]</f>
        <v>CHICKEN DELI - APT8 - GENERIC - SO-090</v>
      </c>
      <c r="C706" t="s">
        <v>517</v>
      </c>
      <c r="D706" t="s">
        <v>20</v>
      </c>
      <c r="E706" t="s">
        <v>168</v>
      </c>
      <c r="F706" t="s">
        <v>15</v>
      </c>
      <c r="G706" t="s">
        <v>22</v>
      </c>
      <c r="H706" t="s">
        <v>516</v>
      </c>
      <c r="I706" t="s">
        <v>24</v>
      </c>
      <c r="J706">
        <v>1</v>
      </c>
      <c r="K706">
        <v>4000</v>
      </c>
      <c r="L706">
        <v>4000</v>
      </c>
      <c r="M706">
        <v>4000</v>
      </c>
      <c r="N706" t="s">
        <v>19</v>
      </c>
    </row>
    <row r="707" spans="1:14" x14ac:dyDescent="0.25">
      <c r="A707" t="str">
        <f>Table3[[#This Row],[Company Name]] &amp; " - " &amp; Table3[[#This Row],[Store Name]] &amp; " - " &amp; Table3[[#This Row],[Store Branch / Address]]</f>
        <v>CHICKEN DELI - APT8 - GENERIC</v>
      </c>
      <c r="B707" t="str">
        <f>Table3[[#This Row],[Client ID]] &amp; " - " &amp; Table3[[#This Row],[SO Number]]</f>
        <v>CHICKEN DELI - APT8 - GENERIC - SO-090</v>
      </c>
      <c r="C707" t="s">
        <v>517</v>
      </c>
      <c r="D707" t="s">
        <v>20</v>
      </c>
      <c r="E707" t="s">
        <v>168</v>
      </c>
      <c r="F707" t="s">
        <v>15</v>
      </c>
      <c r="G707" t="s">
        <v>22</v>
      </c>
      <c r="H707" t="s">
        <v>516</v>
      </c>
      <c r="I707" t="s">
        <v>171</v>
      </c>
      <c r="J707">
        <v>1</v>
      </c>
      <c r="K707">
        <v>500</v>
      </c>
      <c r="L707">
        <v>500</v>
      </c>
      <c r="M707">
        <v>500</v>
      </c>
      <c r="N707" t="s">
        <v>19</v>
      </c>
    </row>
    <row r="708" spans="1:14" x14ac:dyDescent="0.25">
      <c r="A708" t="str">
        <f>Table3[[#This Row],[Company Name]] &amp; " - " &amp; Table3[[#This Row],[Store Name]] &amp; " - " &amp; Table3[[#This Row],[Store Branch / Address]]</f>
        <v>DRAGONWELL TEA INC - SERENITEA - GENERIC</v>
      </c>
      <c r="B708" t="str">
        <f>Table3[[#This Row],[Client ID]] &amp; " - " &amp; Table3[[#This Row],[SO Number]]</f>
        <v>DRAGONWELL TEA INC - SERENITEA - GENERIC - SO-64</v>
      </c>
      <c r="C708" t="s">
        <v>407</v>
      </c>
      <c r="D708" t="s">
        <v>238</v>
      </c>
      <c r="E708" t="s">
        <v>239</v>
      </c>
      <c r="F708" t="s">
        <v>15</v>
      </c>
      <c r="G708" t="s">
        <v>37</v>
      </c>
      <c r="H708" t="s">
        <v>408</v>
      </c>
      <c r="I708" t="s">
        <v>38</v>
      </c>
      <c r="J708">
        <v>1</v>
      </c>
      <c r="K708">
        <v>8500</v>
      </c>
      <c r="L708">
        <v>12500</v>
      </c>
      <c r="M708">
        <v>12500</v>
      </c>
      <c r="N708" t="s">
        <v>19</v>
      </c>
    </row>
    <row r="709" spans="1:14" x14ac:dyDescent="0.25">
      <c r="A709" t="str">
        <f>Table3[[#This Row],[Company Name]] &amp; " - " &amp; Table3[[#This Row],[Store Name]] &amp; " - " &amp; Table3[[#This Row],[Store Branch / Address]]</f>
        <v>CHICKEN DELI - OJO EYEWEAR - GENERIC</v>
      </c>
      <c r="B709" t="str">
        <f>Table3[[#This Row],[Client ID]] &amp; " - " &amp; Table3[[#This Row],[SO Number]]</f>
        <v>CHICKEN DELI - OJO EYEWEAR - GENERIC - SO-091</v>
      </c>
      <c r="C709" t="s">
        <v>519</v>
      </c>
      <c r="D709" t="s">
        <v>20</v>
      </c>
      <c r="E709" t="s">
        <v>70</v>
      </c>
      <c r="F709" t="s">
        <v>15</v>
      </c>
      <c r="G709" t="s">
        <v>22</v>
      </c>
      <c r="H709" t="s">
        <v>521</v>
      </c>
      <c r="I709" t="s">
        <v>275</v>
      </c>
      <c r="J709">
        <v>2</v>
      </c>
      <c r="K709">
        <v>2500</v>
      </c>
      <c r="L709">
        <v>4000</v>
      </c>
      <c r="M709">
        <v>8000</v>
      </c>
      <c r="N709" t="s">
        <v>19</v>
      </c>
    </row>
    <row r="710" spans="1:14" x14ac:dyDescent="0.25">
      <c r="A710" t="str">
        <f>Table3[[#This Row],[Company Name]] &amp; " - " &amp; Table3[[#This Row],[Store Name]] &amp; " - " &amp; Table3[[#This Row],[Store Branch / Address]]</f>
        <v>CHICKEN DELI - GONGCHA - GENERIC</v>
      </c>
      <c r="B710" t="str">
        <f>Table3[[#This Row],[Client ID]] &amp; " - " &amp; Table3[[#This Row],[SO Number]]</f>
        <v>CHICKEN DELI - GONGCHA - GENERIC - SO-092</v>
      </c>
      <c r="C710" t="s">
        <v>522</v>
      </c>
      <c r="D710" t="s">
        <v>20</v>
      </c>
      <c r="E710" t="s">
        <v>31</v>
      </c>
      <c r="F710" t="s">
        <v>15</v>
      </c>
      <c r="G710" t="s">
        <v>22</v>
      </c>
      <c r="H710" t="s">
        <v>521</v>
      </c>
      <c r="I710" t="s">
        <v>145</v>
      </c>
      <c r="J710">
        <v>1</v>
      </c>
      <c r="K710">
        <v>2975</v>
      </c>
      <c r="L710">
        <v>8500</v>
      </c>
      <c r="M710">
        <v>8500</v>
      </c>
      <c r="N710" t="s">
        <v>19</v>
      </c>
    </row>
    <row r="711" spans="1:14" x14ac:dyDescent="0.25">
      <c r="A711" t="str">
        <f>Table3[[#This Row],[Company Name]] &amp; " - " &amp; Table3[[#This Row],[Store Name]] &amp; " - " &amp; Table3[[#This Row],[Store Branch / Address]]</f>
        <v>CHICKEN DELI - GONGCHA - GENERIC</v>
      </c>
      <c r="B711" t="str">
        <f>Table3[[#This Row],[Client ID]] &amp; " - " &amp; Table3[[#This Row],[SO Number]]</f>
        <v>CHICKEN DELI - GONGCHA - GENERIC - SO-092</v>
      </c>
      <c r="C711" t="s">
        <v>522</v>
      </c>
      <c r="D711" t="s">
        <v>20</v>
      </c>
      <c r="E711" t="s">
        <v>31</v>
      </c>
      <c r="F711" t="s">
        <v>15</v>
      </c>
      <c r="G711" t="s">
        <v>22</v>
      </c>
      <c r="H711" t="s">
        <v>521</v>
      </c>
      <c r="I711" t="s">
        <v>299</v>
      </c>
      <c r="J711">
        <v>1</v>
      </c>
      <c r="K711">
        <v>10500</v>
      </c>
      <c r="L711">
        <v>10500</v>
      </c>
      <c r="M711">
        <v>10500</v>
      </c>
      <c r="N711" t="s">
        <v>19</v>
      </c>
    </row>
    <row r="712" spans="1:14" x14ac:dyDescent="0.25">
      <c r="A712" t="str">
        <f>Table3[[#This Row],[Company Name]] &amp; " - " &amp; Table3[[#This Row],[Store Name]] &amp; " - " &amp; Table3[[#This Row],[Store Branch / Address]]</f>
        <v>CHICKEN DELI - GONGCHA - GENERIC</v>
      </c>
      <c r="B712" t="str">
        <f>Table3[[#This Row],[Client ID]] &amp; " - " &amp; Table3[[#This Row],[SO Number]]</f>
        <v>CHICKEN DELI - GONGCHA - GENERIC - SO-092</v>
      </c>
      <c r="C712" t="s">
        <v>522</v>
      </c>
      <c r="D712" t="s">
        <v>20</v>
      </c>
      <c r="E712" t="s">
        <v>31</v>
      </c>
      <c r="F712" t="s">
        <v>15</v>
      </c>
      <c r="G712" t="s">
        <v>22</v>
      </c>
      <c r="H712" t="s">
        <v>521</v>
      </c>
      <c r="I712" t="s">
        <v>25</v>
      </c>
      <c r="J712">
        <v>1</v>
      </c>
      <c r="K712">
        <v>10500</v>
      </c>
      <c r="L712">
        <v>10500</v>
      </c>
      <c r="M712">
        <v>10500</v>
      </c>
      <c r="N712" t="s">
        <v>19</v>
      </c>
    </row>
    <row r="713" spans="1:14" x14ac:dyDescent="0.25">
      <c r="A713" t="str">
        <f>Table3[[#This Row],[Company Name]] &amp; " - " &amp; Table3[[#This Row],[Store Name]] &amp; " - " &amp; Table3[[#This Row],[Store Branch / Address]]</f>
        <v>CHICKEN DELI - GONGCHA - GENERIC</v>
      </c>
      <c r="B713" t="str">
        <f>Table3[[#This Row],[Client ID]] &amp; " - " &amp; Table3[[#This Row],[SO Number]]</f>
        <v>CHICKEN DELI - GONGCHA - GENERIC - SO-092</v>
      </c>
      <c r="C713" t="s">
        <v>522</v>
      </c>
      <c r="D713" t="s">
        <v>20</v>
      </c>
      <c r="E713" t="s">
        <v>31</v>
      </c>
      <c r="F713" t="s">
        <v>15</v>
      </c>
      <c r="G713" t="s">
        <v>22</v>
      </c>
      <c r="H713" t="s">
        <v>521</v>
      </c>
      <c r="I713" t="s">
        <v>134</v>
      </c>
      <c r="J713">
        <v>1</v>
      </c>
      <c r="K713">
        <v>500</v>
      </c>
      <c r="L713">
        <v>500</v>
      </c>
      <c r="M713">
        <v>500</v>
      </c>
      <c r="N713" t="s">
        <v>19</v>
      </c>
    </row>
    <row r="714" spans="1:14" x14ac:dyDescent="0.25">
      <c r="A714" t="str">
        <f>Table3[[#This Row],[Company Name]] &amp; " - " &amp; Table3[[#This Row],[Store Name]] &amp; " - " &amp; Table3[[#This Row],[Store Branch / Address]]</f>
        <v>HET STROOPWAFEL HUIS - STOOP &amp; ZO - GENERIC</v>
      </c>
      <c r="B714" t="str">
        <f>Table3[[#This Row],[Client ID]] &amp; " - " &amp; Table3[[#This Row],[SO Number]]</f>
        <v>HET STROOPWAFEL HUIS - STOOP &amp; ZO - GENERIC - SO-030</v>
      </c>
      <c r="C714" t="s">
        <v>243</v>
      </c>
      <c r="D714" t="s">
        <v>1070</v>
      </c>
      <c r="E714" t="s">
        <v>1071</v>
      </c>
      <c r="F714" t="s">
        <v>15</v>
      </c>
      <c r="G714" t="s">
        <v>37</v>
      </c>
      <c r="H714" t="s">
        <v>521</v>
      </c>
      <c r="I714" t="s">
        <v>1080</v>
      </c>
      <c r="J714">
        <v>100</v>
      </c>
      <c r="K714">
        <v>32</v>
      </c>
      <c r="L714">
        <v>50</v>
      </c>
      <c r="M714">
        <v>5000</v>
      </c>
      <c r="N714" t="s">
        <v>19</v>
      </c>
    </row>
    <row r="715" spans="1:14" x14ac:dyDescent="0.25">
      <c r="A715" t="str">
        <f>Table3[[#This Row],[Company Name]] &amp; " - " &amp; Table3[[#This Row],[Store Name]] &amp; " - " &amp; Table3[[#This Row],[Store Branch / Address]]</f>
        <v>VA BENE PASTA DELI - VA BENE PASTA DELI - GENERIC</v>
      </c>
      <c r="B715" t="str">
        <f>Table3[[#This Row],[Client ID]] &amp; " - " &amp; Table3[[#This Row],[SO Number]]</f>
        <v>VA BENE PASTA DELI - VA BENE PASTA DELI - GENERIC - SO-065</v>
      </c>
      <c r="C715" t="s">
        <v>410</v>
      </c>
      <c r="D715" t="s">
        <v>411</v>
      </c>
      <c r="E715" t="s">
        <v>411</v>
      </c>
      <c r="F715" t="s">
        <v>15</v>
      </c>
      <c r="G715" t="s">
        <v>22</v>
      </c>
      <c r="H715" t="s">
        <v>412</v>
      </c>
      <c r="I715" t="s">
        <v>154</v>
      </c>
      <c r="J715">
        <v>1</v>
      </c>
      <c r="K715">
        <v>1100</v>
      </c>
      <c r="L715">
        <v>1600</v>
      </c>
      <c r="M715">
        <v>1600</v>
      </c>
      <c r="N715" t="s">
        <v>19</v>
      </c>
    </row>
    <row r="716" spans="1:14" x14ac:dyDescent="0.25">
      <c r="A716" t="str">
        <f>Table3[[#This Row],[Company Name]] &amp; " - " &amp; Table3[[#This Row],[Store Name]] &amp; " - " &amp; Table3[[#This Row],[Store Branch / Address]]</f>
        <v>VA BENE PASTA DELI - VA BENE PASTA DELI - GENERIC</v>
      </c>
      <c r="B716" t="str">
        <f>Table3[[#This Row],[Client ID]] &amp; " - " &amp; Table3[[#This Row],[SO Number]]</f>
        <v>VA BENE PASTA DELI - VA BENE PASTA DELI - GENERIC - SO-065</v>
      </c>
      <c r="C716" t="s">
        <v>410</v>
      </c>
      <c r="D716" t="s">
        <v>411</v>
      </c>
      <c r="E716" t="s">
        <v>411</v>
      </c>
      <c r="F716" t="s">
        <v>15</v>
      </c>
      <c r="G716" t="s">
        <v>22</v>
      </c>
      <c r="H716" t="s">
        <v>412</v>
      </c>
      <c r="I716" t="s">
        <v>333</v>
      </c>
      <c r="J716">
        <v>1</v>
      </c>
      <c r="K716">
        <v>20</v>
      </c>
      <c r="L716">
        <v>100</v>
      </c>
      <c r="M716">
        <v>100</v>
      </c>
      <c r="N716" t="s">
        <v>19</v>
      </c>
    </row>
    <row r="717" spans="1:14" x14ac:dyDescent="0.25">
      <c r="A717" t="str">
        <f>Table3[[#This Row],[Company Name]] &amp; " - " &amp; Table3[[#This Row],[Store Name]] &amp; " - " &amp; Table3[[#This Row],[Store Branch / Address]]</f>
        <v>W R I WELLNESS RETAIL INNOVATIONS INC - DR. KONG - TRINOMA</v>
      </c>
      <c r="B717" t="str">
        <f>Table3[[#This Row],[Client ID]] &amp; " - " &amp; Table3[[#This Row],[SO Number]]</f>
        <v>W R I WELLNESS RETAIL INNOVATIONS INC - DR. KONG - TRINOMA - SO-032</v>
      </c>
      <c r="C717" t="s">
        <v>251</v>
      </c>
      <c r="D717" t="s">
        <v>1055</v>
      </c>
      <c r="E717" t="s">
        <v>1056</v>
      </c>
      <c r="F717" t="s">
        <v>883</v>
      </c>
      <c r="G717" t="s">
        <v>37</v>
      </c>
      <c r="H717" t="s">
        <v>412</v>
      </c>
      <c r="I717" t="s">
        <v>38</v>
      </c>
      <c r="J717">
        <v>1</v>
      </c>
      <c r="K717">
        <v>8500</v>
      </c>
      <c r="L717">
        <v>12500</v>
      </c>
      <c r="M717">
        <v>12500</v>
      </c>
      <c r="N717" t="s">
        <v>1010</v>
      </c>
    </row>
    <row r="718" spans="1:14" x14ac:dyDescent="0.25">
      <c r="A718" t="str">
        <f>Table3[[#This Row],[Company Name]] &amp; " - " &amp; Table3[[#This Row],[Store Name]] &amp; " - " &amp; Table3[[#This Row],[Store Branch / Address]]</f>
        <v>W R I WELLNESS RETAIL INNOVATIONS INC - DR. KONG - TRINOMA</v>
      </c>
      <c r="B718" t="str">
        <f>Table3[[#This Row],[Client ID]] &amp; " - " &amp; Table3[[#This Row],[SO Number]]</f>
        <v>W R I WELLNESS RETAIL INNOVATIONS INC - DR. KONG - TRINOMA - SO-032</v>
      </c>
      <c r="C718" t="s">
        <v>251</v>
      </c>
      <c r="D718" t="s">
        <v>1055</v>
      </c>
      <c r="E718" t="s">
        <v>1056</v>
      </c>
      <c r="F718" t="s">
        <v>883</v>
      </c>
      <c r="G718" t="s">
        <v>37</v>
      </c>
      <c r="H718" t="s">
        <v>412</v>
      </c>
      <c r="I718" t="s">
        <v>137</v>
      </c>
      <c r="J718">
        <v>1</v>
      </c>
      <c r="K718">
        <v>2200</v>
      </c>
      <c r="L718">
        <v>3250</v>
      </c>
      <c r="M718">
        <v>3250</v>
      </c>
      <c r="N718" t="s">
        <v>1010</v>
      </c>
    </row>
    <row r="719" spans="1:14" x14ac:dyDescent="0.25">
      <c r="A719" t="str">
        <f>Table3[[#This Row],[Company Name]] &amp; " - " &amp; Table3[[#This Row],[Store Name]] &amp; " - " &amp; Table3[[#This Row],[Store Branch / Address]]</f>
        <v>W R I WELLNESS RETAIL INNOVATIONS INC - DR. KONG - TRINOMA</v>
      </c>
      <c r="B719" t="str">
        <f>Table3[[#This Row],[Client ID]] &amp; " - " &amp; Table3[[#This Row],[SO Number]]</f>
        <v>W R I WELLNESS RETAIL INNOVATIONS INC - DR. KONG - TRINOMA - SO-032</v>
      </c>
      <c r="C719" t="s">
        <v>251</v>
      </c>
      <c r="D719" t="s">
        <v>1055</v>
      </c>
      <c r="E719" t="s">
        <v>1056</v>
      </c>
      <c r="F719" t="s">
        <v>883</v>
      </c>
      <c r="G719" t="s">
        <v>37</v>
      </c>
      <c r="H719" t="s">
        <v>412</v>
      </c>
      <c r="I719" t="s">
        <v>1057</v>
      </c>
      <c r="J719">
        <v>1</v>
      </c>
      <c r="K719">
        <v>5400</v>
      </c>
      <c r="L719">
        <v>7000</v>
      </c>
      <c r="M719">
        <v>7000</v>
      </c>
      <c r="N719" t="s">
        <v>1010</v>
      </c>
    </row>
    <row r="720" spans="1:14" x14ac:dyDescent="0.25">
      <c r="A720" t="str">
        <f>Table3[[#This Row],[Company Name]] &amp; " - " &amp; Table3[[#This Row],[Store Name]] &amp; " - " &amp; Table3[[#This Row],[Store Branch / Address]]</f>
        <v>W R I WELLNESS RETAIL INNOVATIONS INC - DR. KONG - TRINOMA</v>
      </c>
      <c r="B720" t="str">
        <f>Table3[[#This Row],[Client ID]] &amp; " - " &amp; Table3[[#This Row],[SO Number]]</f>
        <v>W R I WELLNESS RETAIL INNOVATIONS INC - DR. KONG - TRINOMA - SO-032</v>
      </c>
      <c r="C720" t="s">
        <v>251</v>
      </c>
      <c r="D720" t="s">
        <v>1055</v>
      </c>
      <c r="E720" t="s">
        <v>1056</v>
      </c>
      <c r="F720" t="s">
        <v>883</v>
      </c>
      <c r="G720" t="s">
        <v>37</v>
      </c>
      <c r="H720" t="s">
        <v>412</v>
      </c>
      <c r="I720" t="s">
        <v>1021</v>
      </c>
      <c r="J720">
        <v>1</v>
      </c>
      <c r="K720">
        <v>2185</v>
      </c>
      <c r="L720">
        <v>3500</v>
      </c>
      <c r="M720">
        <v>3500</v>
      </c>
      <c r="N720" t="s">
        <v>1010</v>
      </c>
    </row>
    <row r="721" spans="1:14" x14ac:dyDescent="0.25">
      <c r="A721" t="str">
        <f>Table3[[#This Row],[Company Name]] &amp; " - " &amp; Table3[[#This Row],[Store Name]] &amp; " - " &amp; Table3[[#This Row],[Store Branch / Address]]</f>
        <v>W R I WELLNESS RETAIL INNOVATIONS INC - DR. KONG - TRINOMA</v>
      </c>
      <c r="B721" t="str">
        <f>Table3[[#This Row],[Client ID]] &amp; " - " &amp; Table3[[#This Row],[SO Number]]</f>
        <v>W R I WELLNESS RETAIL INNOVATIONS INC - DR. KONG - TRINOMA - SO-032</v>
      </c>
      <c r="C721" t="s">
        <v>251</v>
      </c>
      <c r="D721" t="s">
        <v>1055</v>
      </c>
      <c r="E721" t="s">
        <v>1056</v>
      </c>
      <c r="F721" t="s">
        <v>883</v>
      </c>
      <c r="G721" t="s">
        <v>37</v>
      </c>
      <c r="H721" t="s">
        <v>412</v>
      </c>
      <c r="I721" t="s">
        <v>63</v>
      </c>
      <c r="J721">
        <v>1</v>
      </c>
      <c r="K721">
        <v>500</v>
      </c>
      <c r="L721">
        <v>500</v>
      </c>
      <c r="M721">
        <v>500</v>
      </c>
      <c r="N721" t="s">
        <v>1010</v>
      </c>
    </row>
    <row r="722" spans="1:14" x14ac:dyDescent="0.25">
      <c r="A722" t="str">
        <f>Table3[[#This Row],[Company Name]] &amp; " - " &amp; Table3[[#This Row],[Store Name]] &amp; " - " &amp; Table3[[#This Row],[Store Branch / Address]]</f>
        <v>HARRY S CAF - HARRY'S CAFÉ - GENERIC</v>
      </c>
      <c r="B722" t="str">
        <f>Table3[[#This Row],[Client ID]] &amp; " - " &amp; Table3[[#This Row],[SO Number]]</f>
        <v>HARRY S CAF - HARRY'S CAFÉ - GENERIC - SO-066</v>
      </c>
      <c r="C722" t="s">
        <v>413</v>
      </c>
      <c r="D722" t="s">
        <v>414</v>
      </c>
      <c r="E722" t="s">
        <v>415</v>
      </c>
      <c r="F722" t="s">
        <v>15</v>
      </c>
      <c r="G722" t="s">
        <v>22</v>
      </c>
      <c r="H722" t="s">
        <v>416</v>
      </c>
      <c r="I722" t="s">
        <v>154</v>
      </c>
      <c r="J722">
        <v>1</v>
      </c>
      <c r="K722">
        <v>1100</v>
      </c>
      <c r="L722">
        <v>1600</v>
      </c>
      <c r="M722">
        <v>1600</v>
      </c>
      <c r="N722" t="s">
        <v>19</v>
      </c>
    </row>
    <row r="723" spans="1:14" x14ac:dyDescent="0.25">
      <c r="A723" t="str">
        <f>Table3[[#This Row],[Company Name]] &amp; " - " &amp; Table3[[#This Row],[Store Name]] &amp; " - " &amp; Table3[[#This Row],[Store Branch / Address]]</f>
        <v>HARRY S CAF - HARRY'S CAFÉ - GENERIC</v>
      </c>
      <c r="B723" t="str">
        <f>Table3[[#This Row],[Client ID]] &amp; " - " &amp; Table3[[#This Row],[SO Number]]</f>
        <v>HARRY S CAF - HARRY'S CAFÉ - GENERIC - SO-066</v>
      </c>
      <c r="C723" t="s">
        <v>413</v>
      </c>
      <c r="D723" t="s">
        <v>414</v>
      </c>
      <c r="E723" t="s">
        <v>415</v>
      </c>
      <c r="F723" t="s">
        <v>15</v>
      </c>
      <c r="G723" t="s">
        <v>22</v>
      </c>
      <c r="H723" t="s">
        <v>416</v>
      </c>
      <c r="I723" t="s">
        <v>333</v>
      </c>
      <c r="J723">
        <v>1</v>
      </c>
      <c r="K723">
        <v>20</v>
      </c>
      <c r="L723">
        <v>100</v>
      </c>
      <c r="M723">
        <v>100</v>
      </c>
      <c r="N723" t="s">
        <v>19</v>
      </c>
    </row>
    <row r="724" spans="1:14" x14ac:dyDescent="0.25">
      <c r="A724" t="str">
        <f>Table3[[#This Row],[Company Name]] &amp; " - " &amp; Table3[[#This Row],[Store Name]] &amp; " - " &amp; Table3[[#This Row],[Store Branch / Address]]</f>
        <v>UPWARD IDEAS APPAREL CORP - KLEAN KANTEEN - SM MEGAMALL</v>
      </c>
      <c r="B724" t="str">
        <f>Table3[[#This Row],[Client ID]] &amp; " - " &amp; Table3[[#This Row],[SO Number]]</f>
        <v>UPWARD IDEAS APPAREL CORP - KLEAN KANTEEN - SM MEGAMALL - SO-67</v>
      </c>
      <c r="C724" t="s">
        <v>417</v>
      </c>
      <c r="D724" t="s">
        <v>418</v>
      </c>
      <c r="E724" t="s">
        <v>419</v>
      </c>
      <c r="F724" t="s">
        <v>420</v>
      </c>
      <c r="G724" t="s">
        <v>37</v>
      </c>
      <c r="H724" t="s">
        <v>421</v>
      </c>
      <c r="I724" t="s">
        <v>422</v>
      </c>
      <c r="J724">
        <v>1</v>
      </c>
      <c r="K724">
        <v>3675</v>
      </c>
      <c r="L724">
        <v>10500</v>
      </c>
      <c r="M724">
        <v>10500</v>
      </c>
      <c r="N724" t="s">
        <v>39</v>
      </c>
    </row>
    <row r="725" spans="1:14" x14ac:dyDescent="0.25">
      <c r="A725" t="str">
        <f>Table3[[#This Row],[Company Name]] &amp; " - " &amp; Table3[[#This Row],[Store Name]] &amp; " - " &amp; Table3[[#This Row],[Store Branch / Address]]</f>
        <v>UPWARD IDEAS APPAREL CORP - KLEAN KANTEEN - SM MEGAMALL</v>
      </c>
      <c r="B725" t="str">
        <f>Table3[[#This Row],[Client ID]] &amp; " - " &amp; Table3[[#This Row],[SO Number]]</f>
        <v>UPWARD IDEAS APPAREL CORP - KLEAN KANTEEN - SM MEGAMALL - SO-67</v>
      </c>
      <c r="C725" t="s">
        <v>417</v>
      </c>
      <c r="D725" t="s">
        <v>418</v>
      </c>
      <c r="E725" t="s">
        <v>419</v>
      </c>
      <c r="F725" t="s">
        <v>420</v>
      </c>
      <c r="G725" t="s">
        <v>37</v>
      </c>
      <c r="H725" t="s">
        <v>421</v>
      </c>
      <c r="I725" t="s">
        <v>48</v>
      </c>
      <c r="J725">
        <v>1</v>
      </c>
      <c r="K725">
        <v>4095</v>
      </c>
      <c r="L725">
        <v>11700</v>
      </c>
      <c r="M725">
        <v>11700</v>
      </c>
      <c r="N725" t="s">
        <v>39</v>
      </c>
    </row>
    <row r="726" spans="1:14" x14ac:dyDescent="0.25">
      <c r="A726" t="str">
        <f>Table3[[#This Row],[Company Name]] &amp; " - " &amp; Table3[[#This Row],[Store Name]] &amp; " - " &amp; Table3[[#This Row],[Store Branch / Address]]</f>
        <v>UPWARD IDEAS APPAREL CORP - KLEAN KANTEEN - SM MEGAMALL</v>
      </c>
      <c r="B726" t="str">
        <f>Table3[[#This Row],[Client ID]] &amp; " - " &amp; Table3[[#This Row],[SO Number]]</f>
        <v>UPWARD IDEAS APPAREL CORP - KLEAN KANTEEN - SM MEGAMALL - SO-67</v>
      </c>
      <c r="C726" t="s">
        <v>417</v>
      </c>
      <c r="D726" t="s">
        <v>418</v>
      </c>
      <c r="E726" t="s">
        <v>419</v>
      </c>
      <c r="F726" t="s">
        <v>420</v>
      </c>
      <c r="G726" t="s">
        <v>37</v>
      </c>
      <c r="H726" t="s">
        <v>421</v>
      </c>
      <c r="I726" t="s">
        <v>126</v>
      </c>
      <c r="J726">
        <v>1</v>
      </c>
      <c r="K726">
        <v>4095</v>
      </c>
      <c r="L726">
        <v>11700</v>
      </c>
      <c r="M726">
        <v>11700</v>
      </c>
      <c r="N726" t="s">
        <v>39</v>
      </c>
    </row>
    <row r="727" spans="1:14" x14ac:dyDescent="0.25">
      <c r="A727" t="str">
        <f>Table3[[#This Row],[Company Name]] &amp; " - " &amp; Table3[[#This Row],[Store Name]] &amp; " - " &amp; Table3[[#This Row],[Store Branch / Address]]</f>
        <v>UPWARD IDEAS APPAREL CORP - KLEAN KANTEEN - SM MEGAMALL</v>
      </c>
      <c r="B727" t="str">
        <f>Table3[[#This Row],[Client ID]] &amp; " - " &amp; Table3[[#This Row],[SO Number]]</f>
        <v>UPWARD IDEAS APPAREL CORP - KLEAN KANTEEN - SM MEGAMALL - SO-67</v>
      </c>
      <c r="C727" t="s">
        <v>417</v>
      </c>
      <c r="D727" t="s">
        <v>418</v>
      </c>
      <c r="E727" t="s">
        <v>419</v>
      </c>
      <c r="F727" t="s">
        <v>420</v>
      </c>
      <c r="G727" t="s">
        <v>37</v>
      </c>
      <c r="H727" t="s">
        <v>421</v>
      </c>
      <c r="I727" t="s">
        <v>50</v>
      </c>
      <c r="J727">
        <v>1</v>
      </c>
      <c r="K727">
        <v>600</v>
      </c>
      <c r="L727">
        <v>600</v>
      </c>
      <c r="M727">
        <v>600</v>
      </c>
      <c r="N727" t="s">
        <v>39</v>
      </c>
    </row>
    <row r="728" spans="1:14" x14ac:dyDescent="0.25">
      <c r="A728" t="str">
        <f>Table3[[#This Row],[Company Name]] &amp; " - " &amp; Table3[[#This Row],[Store Name]] &amp; " - " &amp; Table3[[#This Row],[Store Branch / Address]]</f>
        <v>UPWARD IDEAS APPAREL CORP - KLEAN KANTEEN - SM MEGAMALL</v>
      </c>
      <c r="B728" t="str">
        <f>Table3[[#This Row],[Client ID]] &amp; " - " &amp; Table3[[#This Row],[SO Number]]</f>
        <v>UPWARD IDEAS APPAREL CORP - KLEAN KANTEEN - SM MEGAMALL - SO-67</v>
      </c>
      <c r="C728" t="s">
        <v>417</v>
      </c>
      <c r="D728" t="s">
        <v>418</v>
      </c>
      <c r="E728" t="s">
        <v>419</v>
      </c>
      <c r="F728" t="s">
        <v>420</v>
      </c>
      <c r="G728" t="s">
        <v>37</v>
      </c>
      <c r="H728" t="s">
        <v>421</v>
      </c>
      <c r="I728" t="s">
        <v>423</v>
      </c>
      <c r="J728">
        <v>1</v>
      </c>
      <c r="K728">
        <v>23450</v>
      </c>
      <c r="L728">
        <v>31300</v>
      </c>
      <c r="M728">
        <v>31300</v>
      </c>
      <c r="N728" t="s">
        <v>39</v>
      </c>
    </row>
    <row r="729" spans="1:14" x14ac:dyDescent="0.25">
      <c r="A729" t="str">
        <f>Table3[[#This Row],[Company Name]] &amp; " - " &amp; Table3[[#This Row],[Store Name]] &amp; " - " &amp; Table3[[#This Row],[Store Branch / Address]]</f>
        <v>UPWARD IDEAS APPAREL CORP - KLEAN KANTEEN - SM MEGAMALL</v>
      </c>
      <c r="B729" t="str">
        <f>Table3[[#This Row],[Client ID]] &amp; " - " &amp; Table3[[#This Row],[SO Number]]</f>
        <v>UPWARD IDEAS APPAREL CORP - KLEAN KANTEEN - SM MEGAMALL - SO-67</v>
      </c>
      <c r="C729" t="s">
        <v>417</v>
      </c>
      <c r="D729" t="s">
        <v>418</v>
      </c>
      <c r="E729" t="s">
        <v>419</v>
      </c>
      <c r="F729" t="s">
        <v>420</v>
      </c>
      <c r="G729" t="s">
        <v>37</v>
      </c>
      <c r="H729" t="s">
        <v>421</v>
      </c>
      <c r="I729" t="s">
        <v>151</v>
      </c>
      <c r="J729">
        <v>1</v>
      </c>
      <c r="K729">
        <v>2800</v>
      </c>
      <c r="L729">
        <v>4000</v>
      </c>
      <c r="M729">
        <v>4000</v>
      </c>
      <c r="N729" t="s">
        <v>39</v>
      </c>
    </row>
    <row r="730" spans="1:14" x14ac:dyDescent="0.25">
      <c r="A730" t="str">
        <f>Table3[[#This Row],[Company Name]] &amp; " - " &amp; Table3[[#This Row],[Store Name]] &amp; " - " &amp; Table3[[#This Row],[Store Branch / Address]]</f>
        <v>UPWARD IDEAS APPAREL CORP - KLEAN KANTEEN - SM MEGAMALL</v>
      </c>
      <c r="B730" t="str">
        <f>Table3[[#This Row],[Client ID]] &amp; " - " &amp; Table3[[#This Row],[SO Number]]</f>
        <v>UPWARD IDEAS APPAREL CORP - KLEAN KANTEEN - SM MEGAMALL - SO-67</v>
      </c>
      <c r="C730" t="s">
        <v>417</v>
      </c>
      <c r="D730" t="s">
        <v>418</v>
      </c>
      <c r="E730" t="s">
        <v>419</v>
      </c>
      <c r="F730" t="s">
        <v>420</v>
      </c>
      <c r="G730" t="s">
        <v>37</v>
      </c>
      <c r="H730" t="s">
        <v>421</v>
      </c>
      <c r="I730" t="s">
        <v>210</v>
      </c>
      <c r="J730">
        <v>1</v>
      </c>
      <c r="K730">
        <v>530</v>
      </c>
      <c r="L730">
        <v>700</v>
      </c>
      <c r="M730">
        <v>700</v>
      </c>
      <c r="N730" t="s">
        <v>39</v>
      </c>
    </row>
    <row r="731" spans="1:14" x14ac:dyDescent="0.25">
      <c r="A731" t="str">
        <f>Table3[[#This Row],[Company Name]] &amp; " - " &amp; Table3[[#This Row],[Store Name]] &amp; " - " &amp; Table3[[#This Row],[Store Branch / Address]]</f>
        <v>UPWARD IDEAS APPAREL CORP - KLEAN KANTEEN - SM MEGAMALL</v>
      </c>
      <c r="B731" t="str">
        <f>Table3[[#This Row],[Client ID]] &amp; " - " &amp; Table3[[#This Row],[SO Number]]</f>
        <v>UPWARD IDEAS APPAREL CORP - KLEAN KANTEEN - SM MEGAMALL - SO-67</v>
      </c>
      <c r="C731" t="s">
        <v>417</v>
      </c>
      <c r="D731" t="s">
        <v>418</v>
      </c>
      <c r="E731" t="s">
        <v>419</v>
      </c>
      <c r="F731" t="s">
        <v>420</v>
      </c>
      <c r="G731" t="s">
        <v>37</v>
      </c>
      <c r="H731" t="s">
        <v>421</v>
      </c>
      <c r="I731" t="s">
        <v>211</v>
      </c>
      <c r="J731">
        <v>1</v>
      </c>
      <c r="K731">
        <v>350</v>
      </c>
      <c r="L731">
        <v>500</v>
      </c>
      <c r="M731">
        <v>500</v>
      </c>
      <c r="N731" t="s">
        <v>39</v>
      </c>
    </row>
    <row r="732" spans="1:14" x14ac:dyDescent="0.25">
      <c r="A732" t="str">
        <f>Table3[[#This Row],[Company Name]] &amp; " - " &amp; Table3[[#This Row],[Store Name]] &amp; " - " &amp; Table3[[#This Row],[Store Branch / Address]]</f>
        <v>UPWARD IDEAS APPAREL CORP - KLEAN KANTEEN - SM MEGAMALL</v>
      </c>
      <c r="B732" t="str">
        <f>Table3[[#This Row],[Client ID]] &amp; " - " &amp; Table3[[#This Row],[SO Number]]</f>
        <v>UPWARD IDEAS APPAREL CORP - KLEAN KANTEEN - SM MEGAMALL - SO-67</v>
      </c>
      <c r="C732" t="s">
        <v>417</v>
      </c>
      <c r="D732" t="s">
        <v>418</v>
      </c>
      <c r="E732" t="s">
        <v>419</v>
      </c>
      <c r="F732" t="s">
        <v>420</v>
      </c>
      <c r="G732" t="s">
        <v>37</v>
      </c>
      <c r="H732" t="s">
        <v>421</v>
      </c>
      <c r="I732" t="s">
        <v>63</v>
      </c>
      <c r="J732">
        <v>1</v>
      </c>
      <c r="K732">
        <v>500</v>
      </c>
      <c r="L732">
        <v>500</v>
      </c>
      <c r="M732">
        <v>500</v>
      </c>
      <c r="N732" t="s">
        <v>39</v>
      </c>
    </row>
    <row r="733" spans="1:14" x14ac:dyDescent="0.25">
      <c r="A733" t="str">
        <f>Table3[[#This Row],[Company Name]] &amp; " - " &amp; Table3[[#This Row],[Store Name]] &amp; " - " &amp; Table3[[#This Row],[Store Branch / Address]]</f>
        <v>CHICKEN DELI - SHISEIDO - GENERIC</v>
      </c>
      <c r="B733" t="str">
        <f>Table3[[#This Row],[Client ID]] &amp; " - " &amp; Table3[[#This Row],[SO Number]]</f>
        <v>CHICKEN DELI - SHISEIDO - GENERIC - SO-093</v>
      </c>
      <c r="C733" t="s">
        <v>524</v>
      </c>
      <c r="D733" t="s">
        <v>20</v>
      </c>
      <c r="E733" t="s">
        <v>286</v>
      </c>
      <c r="F733" t="s">
        <v>15</v>
      </c>
      <c r="G733" t="s">
        <v>22</v>
      </c>
      <c r="H733" t="s">
        <v>421</v>
      </c>
      <c r="I733" t="s">
        <v>525</v>
      </c>
      <c r="J733">
        <v>1</v>
      </c>
      <c r="K733">
        <v>12000</v>
      </c>
      <c r="L733">
        <v>12000</v>
      </c>
      <c r="M733">
        <v>12000</v>
      </c>
      <c r="N733" t="s">
        <v>19</v>
      </c>
    </row>
    <row r="734" spans="1:14" x14ac:dyDescent="0.25">
      <c r="A734" t="str">
        <f>Table3[[#This Row],[Company Name]] &amp; " - " &amp; Table3[[#This Row],[Store Name]] &amp; " - " &amp; Table3[[#This Row],[Store Branch / Address]]</f>
        <v>CHICKEN DELI - SHISEIDO - GENERIC</v>
      </c>
      <c r="B734" t="str">
        <f>Table3[[#This Row],[Client ID]] &amp; " - " &amp; Table3[[#This Row],[SO Number]]</f>
        <v>CHICKEN DELI - SHISEIDO - GENERIC - SO-093</v>
      </c>
      <c r="C734" t="s">
        <v>524</v>
      </c>
      <c r="D734" t="s">
        <v>20</v>
      </c>
      <c r="E734" t="s">
        <v>286</v>
      </c>
      <c r="F734" t="s">
        <v>15</v>
      </c>
      <c r="G734" t="s">
        <v>22</v>
      </c>
      <c r="H734" t="s">
        <v>421</v>
      </c>
      <c r="I734" t="s">
        <v>526</v>
      </c>
      <c r="J734">
        <v>1</v>
      </c>
      <c r="K734">
        <v>12000</v>
      </c>
      <c r="L734">
        <v>12000</v>
      </c>
      <c r="M734">
        <v>12000</v>
      </c>
      <c r="N734" t="s">
        <v>19</v>
      </c>
    </row>
    <row r="735" spans="1:14" x14ac:dyDescent="0.25">
      <c r="A735" t="str">
        <f>Table3[[#This Row],[Company Name]] &amp; " - " &amp; Table3[[#This Row],[Store Name]] &amp; " - " &amp; Table3[[#This Row],[Store Branch / Address]]</f>
        <v>CHICKEN DELI - SHISEIDO - GENERIC</v>
      </c>
      <c r="B735" t="str">
        <f>Table3[[#This Row],[Client ID]] &amp; " - " &amp; Table3[[#This Row],[SO Number]]</f>
        <v>CHICKEN DELI - SHISEIDO - GENERIC - SO-093</v>
      </c>
      <c r="C735" t="s">
        <v>524</v>
      </c>
      <c r="D735" t="s">
        <v>20</v>
      </c>
      <c r="E735" t="s">
        <v>286</v>
      </c>
      <c r="F735" t="s">
        <v>15</v>
      </c>
      <c r="G735" t="s">
        <v>22</v>
      </c>
      <c r="H735" t="s">
        <v>421</v>
      </c>
      <c r="I735" t="s">
        <v>527</v>
      </c>
      <c r="J735">
        <v>1</v>
      </c>
      <c r="K735">
        <v>12000</v>
      </c>
      <c r="L735">
        <v>12000</v>
      </c>
      <c r="M735">
        <v>12000</v>
      </c>
      <c r="N735" t="s">
        <v>19</v>
      </c>
    </row>
    <row r="736" spans="1:14" x14ac:dyDescent="0.25">
      <c r="A736" t="str">
        <f>Table3[[#This Row],[Company Name]] &amp; " - " &amp; Table3[[#This Row],[Store Name]] &amp; " - " &amp; Table3[[#This Row],[Store Branch / Address]]</f>
        <v>CHICKEN DELI - SHISEIDO - GENERIC</v>
      </c>
      <c r="B736" t="str">
        <f>Table3[[#This Row],[Client ID]] &amp; " - " &amp; Table3[[#This Row],[SO Number]]</f>
        <v>CHICKEN DELI - SHISEIDO - GENERIC - SO-093</v>
      </c>
      <c r="C736" t="s">
        <v>524</v>
      </c>
      <c r="D736" t="s">
        <v>20</v>
      </c>
      <c r="E736" t="s">
        <v>286</v>
      </c>
      <c r="F736" t="s">
        <v>15</v>
      </c>
      <c r="G736" t="s">
        <v>22</v>
      </c>
      <c r="H736" t="s">
        <v>421</v>
      </c>
      <c r="I736" t="s">
        <v>528</v>
      </c>
      <c r="J736">
        <v>1</v>
      </c>
      <c r="K736">
        <v>12000</v>
      </c>
      <c r="L736">
        <v>12000</v>
      </c>
      <c r="M736">
        <v>12000</v>
      </c>
      <c r="N736" t="s">
        <v>19</v>
      </c>
    </row>
    <row r="737" spans="1:14" x14ac:dyDescent="0.25">
      <c r="A737" t="str">
        <f>Table3[[#This Row],[Company Name]] &amp; " - " &amp; Table3[[#This Row],[Store Name]] &amp; " - " &amp; Table3[[#This Row],[Store Branch / Address]]</f>
        <v>CHICKEN DELI - SHISEIDO - GENERIC</v>
      </c>
      <c r="B737" t="str">
        <f>Table3[[#This Row],[Client ID]] &amp; " - " &amp; Table3[[#This Row],[SO Number]]</f>
        <v>CHICKEN DELI - SHISEIDO - GENERIC - SO-093</v>
      </c>
      <c r="C737" t="s">
        <v>524</v>
      </c>
      <c r="D737" t="s">
        <v>20</v>
      </c>
      <c r="E737" t="s">
        <v>286</v>
      </c>
      <c r="F737" t="s">
        <v>15</v>
      </c>
      <c r="G737" t="s">
        <v>22</v>
      </c>
      <c r="H737" t="s">
        <v>421</v>
      </c>
      <c r="I737" t="s">
        <v>529</v>
      </c>
      <c r="J737">
        <v>1</v>
      </c>
      <c r="K737">
        <v>12000</v>
      </c>
      <c r="L737">
        <v>12000</v>
      </c>
      <c r="M737">
        <v>12000</v>
      </c>
      <c r="N737" t="s">
        <v>19</v>
      </c>
    </row>
    <row r="738" spans="1:14" x14ac:dyDescent="0.25">
      <c r="A738" t="str">
        <f>Table3[[#This Row],[Company Name]] &amp; " - " &amp; Table3[[#This Row],[Store Name]] &amp; " - " &amp; Table3[[#This Row],[Store Branch / Address]]</f>
        <v>CHICKEN DELI - SHISEIDO - GENERIC</v>
      </c>
      <c r="B738" t="str">
        <f>Table3[[#This Row],[Client ID]] &amp; " - " &amp; Table3[[#This Row],[SO Number]]</f>
        <v>CHICKEN DELI - SHISEIDO - GENERIC - SO-093</v>
      </c>
      <c r="C738" t="s">
        <v>524</v>
      </c>
      <c r="D738" t="s">
        <v>20</v>
      </c>
      <c r="E738" t="s">
        <v>286</v>
      </c>
      <c r="F738" t="s">
        <v>15</v>
      </c>
      <c r="G738" t="s">
        <v>22</v>
      </c>
      <c r="H738" t="s">
        <v>421</v>
      </c>
      <c r="I738" t="s">
        <v>530</v>
      </c>
      <c r="J738">
        <v>1</v>
      </c>
      <c r="K738">
        <v>12000</v>
      </c>
      <c r="L738">
        <v>12000</v>
      </c>
      <c r="M738">
        <v>12000</v>
      </c>
      <c r="N738" t="s">
        <v>19</v>
      </c>
    </row>
    <row r="739" spans="1:14" x14ac:dyDescent="0.25">
      <c r="A739" t="str">
        <f>Table3[[#This Row],[Company Name]] &amp; " - " &amp; Table3[[#This Row],[Store Name]] &amp; " - " &amp; Table3[[#This Row],[Store Branch / Address]]</f>
        <v>HEXAGON LOUNGE INC - HEXAGON - GENERIC</v>
      </c>
      <c r="B739" t="str">
        <f>Table3[[#This Row],[Client ID]] &amp; " - " &amp; Table3[[#This Row],[SO Number]]</f>
        <v>HEXAGON LOUNGE INC - HEXAGON - GENERIC - SO-68</v>
      </c>
      <c r="C739" t="s">
        <v>425</v>
      </c>
      <c r="D739" t="s">
        <v>216</v>
      </c>
      <c r="E739" t="s">
        <v>426</v>
      </c>
      <c r="F739" t="s">
        <v>15</v>
      </c>
      <c r="G739" t="s">
        <v>37</v>
      </c>
      <c r="H739" t="s">
        <v>427</v>
      </c>
      <c r="I739" t="s">
        <v>177</v>
      </c>
      <c r="J739">
        <v>1</v>
      </c>
      <c r="K739">
        <v>9500</v>
      </c>
      <c r="L739">
        <v>13500</v>
      </c>
      <c r="M739">
        <v>13500</v>
      </c>
      <c r="N739" t="s">
        <v>19</v>
      </c>
    </row>
    <row r="740" spans="1:14" x14ac:dyDescent="0.25">
      <c r="A740" t="str">
        <f>Table3[[#This Row],[Company Name]] &amp; " - " &amp; Table3[[#This Row],[Store Name]] &amp; " - " &amp; Table3[[#This Row],[Store Branch / Address]]</f>
        <v>HEXAGON LOUNGE INC - HEXAGON - GENERIC</v>
      </c>
      <c r="B740" t="str">
        <f>Table3[[#This Row],[Client ID]] &amp; " - " &amp; Table3[[#This Row],[SO Number]]</f>
        <v>HEXAGON LOUNGE INC - HEXAGON - GENERIC - SO-68</v>
      </c>
      <c r="C740" t="s">
        <v>425</v>
      </c>
      <c r="D740" t="s">
        <v>216</v>
      </c>
      <c r="E740" t="s">
        <v>426</v>
      </c>
      <c r="F740" t="s">
        <v>15</v>
      </c>
      <c r="G740" t="s">
        <v>37</v>
      </c>
      <c r="H740" t="s">
        <v>427</v>
      </c>
      <c r="I740" t="s">
        <v>428</v>
      </c>
      <c r="J740">
        <v>1</v>
      </c>
      <c r="K740">
        <v>70</v>
      </c>
      <c r="L740">
        <v>300</v>
      </c>
      <c r="M740">
        <v>300</v>
      </c>
      <c r="N740" t="s">
        <v>19</v>
      </c>
    </row>
    <row r="741" spans="1:14" x14ac:dyDescent="0.25">
      <c r="A741" t="str">
        <f>Table3[[#This Row],[Company Name]] &amp; " - " &amp; Table3[[#This Row],[Store Name]] &amp; " - " &amp; Table3[[#This Row],[Store Branch / Address]]</f>
        <v>MY GOLDEN TEA LEAF INC - SERENITEA - PETRON DON-ANTONIO</v>
      </c>
      <c r="B741" t="str">
        <f>Table3[[#This Row],[Client ID]] &amp; " - " &amp; Table3[[#This Row],[SO Number]]</f>
        <v>MY GOLDEN TEA LEAF INC - SERENITEA - PETRON DON-ANTONIO - SO-69</v>
      </c>
      <c r="C741" t="s">
        <v>430</v>
      </c>
      <c r="D741" t="s">
        <v>431</v>
      </c>
      <c r="E741" t="s">
        <v>239</v>
      </c>
      <c r="F741" t="s">
        <v>432</v>
      </c>
      <c r="G741" t="s">
        <v>37</v>
      </c>
      <c r="H741" t="s">
        <v>427</v>
      </c>
      <c r="I741" t="s">
        <v>38</v>
      </c>
      <c r="J741">
        <v>1</v>
      </c>
      <c r="K741">
        <v>8500</v>
      </c>
      <c r="L741">
        <v>12300</v>
      </c>
      <c r="M741">
        <v>12300</v>
      </c>
      <c r="N741" t="s">
        <v>39</v>
      </c>
    </row>
    <row r="742" spans="1:14" x14ac:dyDescent="0.25">
      <c r="A742" t="str">
        <f>Table3[[#This Row],[Company Name]] &amp; " - " &amp; Table3[[#This Row],[Store Name]] &amp; " - " &amp; Table3[[#This Row],[Store Branch / Address]]</f>
        <v>MY GOLDEN TEA LEAF INC - SERENITEA - PETRON DON-ANTONIO</v>
      </c>
      <c r="B742" t="str">
        <f>Table3[[#This Row],[Client ID]] &amp; " - " &amp; Table3[[#This Row],[SO Number]]</f>
        <v>MY GOLDEN TEA LEAF INC - SERENITEA - PETRON DON-ANTONIO - SO-69</v>
      </c>
      <c r="C742" t="s">
        <v>430</v>
      </c>
      <c r="D742" t="s">
        <v>431</v>
      </c>
      <c r="E742" t="s">
        <v>239</v>
      </c>
      <c r="F742" t="s">
        <v>432</v>
      </c>
      <c r="G742" t="s">
        <v>37</v>
      </c>
      <c r="H742" t="s">
        <v>427</v>
      </c>
      <c r="I742" t="s">
        <v>241</v>
      </c>
      <c r="J742">
        <v>1</v>
      </c>
      <c r="K742">
        <v>8000</v>
      </c>
      <c r="L742">
        <v>11165</v>
      </c>
      <c r="M742">
        <v>11165</v>
      </c>
      <c r="N742" t="s">
        <v>39</v>
      </c>
    </row>
    <row r="743" spans="1:14" x14ac:dyDescent="0.25">
      <c r="A743" t="str">
        <f>Table3[[#This Row],[Company Name]] &amp; " - " &amp; Table3[[#This Row],[Store Name]] &amp; " - " &amp; Table3[[#This Row],[Store Branch / Address]]</f>
        <v>MY GOLDEN TEA LEAF INC - SERENITEA - PETRON DON-ANTONIO</v>
      </c>
      <c r="B743" t="str">
        <f>Table3[[#This Row],[Client ID]] &amp; " - " &amp; Table3[[#This Row],[SO Number]]</f>
        <v>MY GOLDEN TEA LEAF INC - SERENITEA - PETRON DON-ANTONIO - SO-69</v>
      </c>
      <c r="C743" t="s">
        <v>430</v>
      </c>
      <c r="D743" t="s">
        <v>431</v>
      </c>
      <c r="E743" t="s">
        <v>239</v>
      </c>
      <c r="F743" t="s">
        <v>432</v>
      </c>
      <c r="G743" t="s">
        <v>37</v>
      </c>
      <c r="H743" t="s">
        <v>427</v>
      </c>
      <c r="I743" t="s">
        <v>242</v>
      </c>
      <c r="J743">
        <v>3</v>
      </c>
      <c r="K743">
        <v>30</v>
      </c>
      <c r="L743">
        <v>45</v>
      </c>
      <c r="M743">
        <v>135</v>
      </c>
      <c r="N743" t="s">
        <v>39</v>
      </c>
    </row>
    <row r="744" spans="1:14" x14ac:dyDescent="0.25">
      <c r="A744" t="str">
        <f>Table3[[#This Row],[Company Name]] &amp; " - " &amp; Table3[[#This Row],[Store Name]] &amp; " - " &amp; Table3[[#This Row],[Store Branch / Address]]</f>
        <v>MY GOLDEN TEA LEAF INC - SERENITEA - PETRON DON-ANTONIO</v>
      </c>
      <c r="B744" t="str">
        <f>Table3[[#This Row],[Client ID]] &amp; " - " &amp; Table3[[#This Row],[SO Number]]</f>
        <v>MY GOLDEN TEA LEAF INC - SERENITEA - PETRON DON-ANTONIO - SO-69</v>
      </c>
      <c r="C744" t="s">
        <v>430</v>
      </c>
      <c r="D744" t="s">
        <v>431</v>
      </c>
      <c r="E744" t="s">
        <v>239</v>
      </c>
      <c r="F744" t="s">
        <v>432</v>
      </c>
      <c r="G744" t="s">
        <v>37</v>
      </c>
      <c r="H744" t="s">
        <v>427</v>
      </c>
      <c r="I744" t="s">
        <v>63</v>
      </c>
      <c r="J744">
        <v>1</v>
      </c>
      <c r="K744">
        <v>400</v>
      </c>
      <c r="L744">
        <v>400</v>
      </c>
      <c r="M744">
        <v>400</v>
      </c>
      <c r="N744" t="s">
        <v>39</v>
      </c>
    </row>
    <row r="745" spans="1:14" x14ac:dyDescent="0.25">
      <c r="A745" t="str">
        <f>Table3[[#This Row],[Company Name]] &amp; " - " &amp; Table3[[#This Row],[Store Name]] &amp; " - " &amp; Table3[[#This Row],[Store Branch / Address]]</f>
        <v>BOOKSALE CEBU INC - BOOKSALE - ES:</v>
      </c>
      <c r="B745" t="str">
        <f>Table3[[#This Row],[Client ID]] &amp; " - " &amp; Table3[[#This Row],[SO Number]]</f>
        <v>BOOKSALE CEBU INC - BOOKSALE - ES: - SO-70</v>
      </c>
      <c r="C745" t="s">
        <v>435</v>
      </c>
      <c r="D745" t="s">
        <v>436</v>
      </c>
      <c r="E745" t="s">
        <v>437</v>
      </c>
      <c r="F745" t="s">
        <v>266</v>
      </c>
      <c r="G745" t="s">
        <v>22</v>
      </c>
      <c r="H745" t="s">
        <v>427</v>
      </c>
      <c r="I745" t="s">
        <v>33</v>
      </c>
      <c r="J745">
        <v>4</v>
      </c>
      <c r="K745">
        <v>7500</v>
      </c>
      <c r="L745">
        <v>7500</v>
      </c>
      <c r="M745">
        <v>30000</v>
      </c>
      <c r="N745" t="s">
        <v>19</v>
      </c>
    </row>
    <row r="746" spans="1:14" x14ac:dyDescent="0.25">
      <c r="A746" t="str">
        <f>Table3[[#This Row],[Company Name]] &amp; " - " &amp; Table3[[#This Row],[Store Name]] &amp; " - " &amp; Table3[[#This Row],[Store Branch / Address]]</f>
        <v>VISUAL MIX INC - BOOKSALE - GENERIC</v>
      </c>
      <c r="B746" t="str">
        <f>Table3[[#This Row],[Client ID]] &amp; " - " &amp; Table3[[#This Row],[SO Number]]</f>
        <v>VISUAL MIX INC - BOOKSALE - GENERIC - SO-071</v>
      </c>
      <c r="C746" t="s">
        <v>439</v>
      </c>
      <c r="D746" t="s">
        <v>148</v>
      </c>
      <c r="E746" t="s">
        <v>437</v>
      </c>
      <c r="F746" t="s">
        <v>15</v>
      </c>
      <c r="G746" t="s">
        <v>16</v>
      </c>
      <c r="H746" t="s">
        <v>427</v>
      </c>
      <c r="I746" t="s">
        <v>441</v>
      </c>
      <c r="J746">
        <v>7</v>
      </c>
      <c r="K746">
        <v>7500</v>
      </c>
      <c r="L746">
        <v>7500</v>
      </c>
      <c r="M746">
        <v>52500</v>
      </c>
      <c r="N746" t="s">
        <v>39</v>
      </c>
    </row>
    <row r="747" spans="1:14" x14ac:dyDescent="0.25">
      <c r="A747" t="str">
        <f>Table3[[#This Row],[Company Name]] &amp; " - " &amp; Table3[[#This Row],[Store Name]] &amp; " - " &amp; Table3[[#This Row],[Store Branch / Address]]</f>
        <v>VISUAL MIX INC - BOOKSALE - GENERIC</v>
      </c>
      <c r="B747" t="str">
        <f>Table3[[#This Row],[Client ID]] &amp; " - " &amp; Table3[[#This Row],[SO Number]]</f>
        <v>VISUAL MIX INC - BOOKSALE - GENERIC - SO-071</v>
      </c>
      <c r="C747" t="s">
        <v>439</v>
      </c>
      <c r="D747" t="s">
        <v>148</v>
      </c>
      <c r="E747" t="s">
        <v>437</v>
      </c>
      <c r="F747" t="s">
        <v>15</v>
      </c>
      <c r="G747" t="s">
        <v>16</v>
      </c>
      <c r="H747" t="s">
        <v>427</v>
      </c>
      <c r="I747" t="s">
        <v>442</v>
      </c>
      <c r="J747">
        <v>1</v>
      </c>
      <c r="K747">
        <v>3750</v>
      </c>
      <c r="L747">
        <v>3750</v>
      </c>
      <c r="M747">
        <v>3750</v>
      </c>
      <c r="N747" t="s">
        <v>39</v>
      </c>
    </row>
    <row r="748" spans="1:14" x14ac:dyDescent="0.25">
      <c r="A748" t="str">
        <f>Table3[[#This Row],[Company Name]] &amp; " - " &amp; Table3[[#This Row],[Store Name]] &amp; " - " &amp; Table3[[#This Row],[Store Branch / Address]]</f>
        <v>PAMIS ELSA CAPUNO - ELS TREN DS APPAREL STORE - GENERIC</v>
      </c>
      <c r="B748" t="str">
        <f>Table3[[#This Row],[Client ID]] &amp; " - " &amp; Table3[[#This Row],[SO Number]]</f>
        <v>PAMIS ELSA CAPUNO - ELS TREN DS APPAREL STORE - GENERIC - SO-072</v>
      </c>
      <c r="C748" t="s">
        <v>443</v>
      </c>
      <c r="D748" t="s">
        <v>444</v>
      </c>
      <c r="E748" t="s">
        <v>445</v>
      </c>
      <c r="F748" t="s">
        <v>15</v>
      </c>
      <c r="G748" t="s">
        <v>37</v>
      </c>
      <c r="H748" t="s">
        <v>446</v>
      </c>
      <c r="I748" t="s">
        <v>447</v>
      </c>
      <c r="J748">
        <v>1</v>
      </c>
      <c r="K748">
        <v>18000</v>
      </c>
      <c r="L748">
        <v>18000</v>
      </c>
      <c r="M748">
        <v>18000</v>
      </c>
      <c r="N748" t="s">
        <v>39</v>
      </c>
    </row>
    <row r="749" spans="1:14" x14ac:dyDescent="0.25">
      <c r="A749" t="str">
        <f>Table3[[#This Row],[Company Name]] &amp; " - " &amp; Table3[[#This Row],[Store Name]] &amp; " - " &amp; Table3[[#This Row],[Store Branch / Address]]</f>
        <v>PAMIS ELSA CAPUNO - ELS TREN DS APPAREL STORE - GENERIC</v>
      </c>
      <c r="B749" t="str">
        <f>Table3[[#This Row],[Client ID]] &amp; " - " &amp; Table3[[#This Row],[SO Number]]</f>
        <v>PAMIS ELSA CAPUNO - ELS TREN DS APPAREL STORE - GENERIC - SO-072</v>
      </c>
      <c r="C749" t="s">
        <v>443</v>
      </c>
      <c r="D749" t="s">
        <v>444</v>
      </c>
      <c r="E749" t="s">
        <v>445</v>
      </c>
      <c r="F749" t="s">
        <v>15</v>
      </c>
      <c r="G749" t="s">
        <v>37</v>
      </c>
      <c r="H749" t="s">
        <v>446</v>
      </c>
      <c r="I749" t="s">
        <v>26</v>
      </c>
      <c r="J749">
        <v>1</v>
      </c>
      <c r="K749">
        <v>500</v>
      </c>
      <c r="L749">
        <v>500</v>
      </c>
      <c r="M749">
        <v>500</v>
      </c>
      <c r="N749" t="s">
        <v>39</v>
      </c>
    </row>
    <row r="750" spans="1:14" x14ac:dyDescent="0.25">
      <c r="A750" t="str">
        <f>Table3[[#This Row],[Company Name]] &amp; " - " &amp; Table3[[#This Row],[Store Name]] &amp; " - " &amp; Table3[[#This Row],[Store Branch / Address]]</f>
        <v>CHICKEN DELI - OJO EYEWEAR - GENERIC</v>
      </c>
      <c r="B750" t="str">
        <f>Table3[[#This Row],[Client ID]] &amp; " - " &amp; Table3[[#This Row],[SO Number]]</f>
        <v>CHICKEN DELI - OJO EYEWEAR - GENERIC - SO-094</v>
      </c>
      <c r="C750" t="s">
        <v>535</v>
      </c>
      <c r="D750" t="s">
        <v>20</v>
      </c>
      <c r="E750" t="s">
        <v>70</v>
      </c>
      <c r="F750" t="s">
        <v>15</v>
      </c>
      <c r="G750" t="s">
        <v>22</v>
      </c>
      <c r="H750" t="s">
        <v>446</v>
      </c>
      <c r="I750" t="s">
        <v>231</v>
      </c>
      <c r="J750">
        <v>1</v>
      </c>
      <c r="K750">
        <v>3675</v>
      </c>
      <c r="L750">
        <v>10500</v>
      </c>
      <c r="M750">
        <v>10500</v>
      </c>
      <c r="N750" t="s">
        <v>19</v>
      </c>
    </row>
    <row r="751" spans="1:14" x14ac:dyDescent="0.25">
      <c r="A751" t="str">
        <f>Table3[[#This Row],[Company Name]] &amp; " - " &amp; Table3[[#This Row],[Store Name]] &amp; " - " &amp; Table3[[#This Row],[Store Branch / Address]]</f>
        <v>CHICKEN DELI - OJO EYEWEAR - GENERIC</v>
      </c>
      <c r="B751" t="str">
        <f>Table3[[#This Row],[Client ID]] &amp; " - " &amp; Table3[[#This Row],[SO Number]]</f>
        <v>CHICKEN DELI - OJO EYEWEAR - GENERIC - SO-094</v>
      </c>
      <c r="C751" t="s">
        <v>535</v>
      </c>
      <c r="D751" t="s">
        <v>20</v>
      </c>
      <c r="E751" t="s">
        <v>70</v>
      </c>
      <c r="F751" t="s">
        <v>15</v>
      </c>
      <c r="G751" t="s">
        <v>22</v>
      </c>
      <c r="H751" t="s">
        <v>446</v>
      </c>
      <c r="I751" t="s">
        <v>537</v>
      </c>
      <c r="J751">
        <v>1</v>
      </c>
      <c r="K751">
        <v>9750</v>
      </c>
      <c r="L751">
        <v>9750</v>
      </c>
      <c r="M751">
        <v>9750</v>
      </c>
      <c r="N751" t="s">
        <v>19</v>
      </c>
    </row>
    <row r="752" spans="1:14" x14ac:dyDescent="0.25">
      <c r="A752" t="str">
        <f>Table3[[#This Row],[Company Name]] &amp; " - " &amp; Table3[[#This Row],[Store Name]] &amp; " - " &amp; Table3[[#This Row],[Store Branch / Address]]</f>
        <v>CHICKEN DELI - OJO EYEWEAR - GENERIC</v>
      </c>
      <c r="B752" t="str">
        <f>Table3[[#This Row],[Client ID]] &amp; " - " &amp; Table3[[#This Row],[SO Number]]</f>
        <v>CHICKEN DELI - OJO EYEWEAR - GENERIC - SO-094</v>
      </c>
      <c r="C752" t="s">
        <v>535</v>
      </c>
      <c r="D752" t="s">
        <v>20</v>
      </c>
      <c r="E752" t="s">
        <v>70</v>
      </c>
      <c r="F752" t="s">
        <v>15</v>
      </c>
      <c r="G752" t="s">
        <v>22</v>
      </c>
      <c r="H752" t="s">
        <v>446</v>
      </c>
      <c r="I752" t="s">
        <v>24</v>
      </c>
      <c r="J752">
        <v>1</v>
      </c>
      <c r="K752">
        <v>9750</v>
      </c>
      <c r="L752">
        <v>9750</v>
      </c>
      <c r="M752">
        <v>9750</v>
      </c>
      <c r="N752" t="s">
        <v>19</v>
      </c>
    </row>
    <row r="753" spans="1:14" x14ac:dyDescent="0.25">
      <c r="A753" t="str">
        <f>Table3[[#This Row],[Company Name]] &amp; " - " &amp; Table3[[#This Row],[Store Name]] &amp; " - " &amp; Table3[[#This Row],[Store Branch / Address]]</f>
        <v>CHICKEN DELI - OJO EYEWEAR - GENERIC</v>
      </c>
      <c r="B753" t="str">
        <f>Table3[[#This Row],[Client ID]] &amp; " - " &amp; Table3[[#This Row],[SO Number]]</f>
        <v>CHICKEN DELI - OJO EYEWEAR - GENERIC - SO-094</v>
      </c>
      <c r="C753" t="s">
        <v>535</v>
      </c>
      <c r="D753" t="s">
        <v>20</v>
      </c>
      <c r="E753" t="s">
        <v>70</v>
      </c>
      <c r="F753" t="s">
        <v>15</v>
      </c>
      <c r="G753" t="s">
        <v>22</v>
      </c>
      <c r="H753" t="s">
        <v>446</v>
      </c>
      <c r="I753" t="s">
        <v>538</v>
      </c>
      <c r="J753">
        <v>1</v>
      </c>
      <c r="K753">
        <v>18700</v>
      </c>
      <c r="L753">
        <v>27500</v>
      </c>
      <c r="M753">
        <v>27500</v>
      </c>
      <c r="N753" t="s">
        <v>19</v>
      </c>
    </row>
    <row r="754" spans="1:14" x14ac:dyDescent="0.25">
      <c r="A754" t="str">
        <f>Table3[[#This Row],[Company Name]] &amp; " - " &amp; Table3[[#This Row],[Store Name]] &amp; " - " &amp; Table3[[#This Row],[Store Branch / Address]]</f>
        <v>CHICKEN DELI - OJO EYEWEAR - GENERIC</v>
      </c>
      <c r="B754" t="str">
        <f>Table3[[#This Row],[Client ID]] &amp; " - " &amp; Table3[[#This Row],[SO Number]]</f>
        <v>CHICKEN DELI - OJO EYEWEAR - GENERIC - SO-094</v>
      </c>
      <c r="C754" t="s">
        <v>535</v>
      </c>
      <c r="D754" t="s">
        <v>20</v>
      </c>
      <c r="E754" t="s">
        <v>70</v>
      </c>
      <c r="F754" t="s">
        <v>15</v>
      </c>
      <c r="G754" t="s">
        <v>22</v>
      </c>
      <c r="H754" t="s">
        <v>446</v>
      </c>
      <c r="I754" t="s">
        <v>539</v>
      </c>
      <c r="J754">
        <v>1</v>
      </c>
      <c r="K754">
        <v>2800</v>
      </c>
      <c r="L754">
        <v>4000</v>
      </c>
      <c r="M754">
        <v>4000</v>
      </c>
      <c r="N754" t="s">
        <v>19</v>
      </c>
    </row>
    <row r="755" spans="1:14" x14ac:dyDescent="0.25">
      <c r="A755" t="str">
        <f>Table3[[#This Row],[Company Name]] &amp; " - " &amp; Table3[[#This Row],[Store Name]] &amp; " - " &amp; Table3[[#This Row],[Store Branch / Address]]</f>
        <v>CHICKEN DELI - OJO EYEWEAR - GENERIC</v>
      </c>
      <c r="B755" t="str">
        <f>Table3[[#This Row],[Client ID]] &amp; " - " &amp; Table3[[#This Row],[SO Number]]</f>
        <v>CHICKEN DELI - OJO EYEWEAR - GENERIC - SO-094</v>
      </c>
      <c r="C755" t="s">
        <v>535</v>
      </c>
      <c r="D755" t="s">
        <v>20</v>
      </c>
      <c r="E755" t="s">
        <v>70</v>
      </c>
      <c r="F755" t="s">
        <v>15</v>
      </c>
      <c r="G755" t="s">
        <v>22</v>
      </c>
      <c r="H755" t="s">
        <v>446</v>
      </c>
      <c r="I755" t="s">
        <v>134</v>
      </c>
      <c r="J755">
        <v>1</v>
      </c>
      <c r="K755">
        <v>500</v>
      </c>
      <c r="L755">
        <v>500</v>
      </c>
      <c r="M755">
        <v>500</v>
      </c>
      <c r="N755" t="s">
        <v>19</v>
      </c>
    </row>
    <row r="756" spans="1:14" x14ac:dyDescent="0.25">
      <c r="A756" t="str">
        <f>Table3[[#This Row],[Company Name]] &amp; " - " &amp; Table3[[#This Row],[Store Name]] &amp; " - " &amp; Table3[[#This Row],[Store Branch / Address]]</f>
        <v>CHICKEN DELI - OJO EYEWEAR - GENERIC</v>
      </c>
      <c r="B756" t="str">
        <f>Table3[[#This Row],[Client ID]] &amp; " - " &amp; Table3[[#This Row],[SO Number]]</f>
        <v>CHICKEN DELI - OJO EYEWEAR - GENERIC - SO-094</v>
      </c>
      <c r="C756" t="s">
        <v>535</v>
      </c>
      <c r="D756" t="s">
        <v>20</v>
      </c>
      <c r="E756" t="s">
        <v>70</v>
      </c>
      <c r="F756" t="s">
        <v>15</v>
      </c>
      <c r="G756" t="s">
        <v>22</v>
      </c>
      <c r="H756" t="s">
        <v>446</v>
      </c>
      <c r="I756" t="s">
        <v>135</v>
      </c>
      <c r="J756">
        <v>1</v>
      </c>
      <c r="K756">
        <v>4250</v>
      </c>
      <c r="L756">
        <v>6500</v>
      </c>
      <c r="M756">
        <v>6500</v>
      </c>
      <c r="N756" t="s">
        <v>19</v>
      </c>
    </row>
    <row r="757" spans="1:14" x14ac:dyDescent="0.25">
      <c r="A757" t="str">
        <f>Table3[[#This Row],[Company Name]] &amp; " - " &amp; Table3[[#This Row],[Store Name]] &amp; " - " &amp; Table3[[#This Row],[Store Branch / Address]]</f>
        <v>CHICKEN DELI - OJO EYEWEAR - GENERIC</v>
      </c>
      <c r="B757" t="str">
        <f>Table3[[#This Row],[Client ID]] &amp; " - " &amp; Table3[[#This Row],[SO Number]]</f>
        <v>CHICKEN DELI - OJO EYEWEAR - GENERIC - SO-094</v>
      </c>
      <c r="C757" t="s">
        <v>535</v>
      </c>
      <c r="D757" t="s">
        <v>20</v>
      </c>
      <c r="E757" t="s">
        <v>70</v>
      </c>
      <c r="F757" t="s">
        <v>15</v>
      </c>
      <c r="G757" t="s">
        <v>22</v>
      </c>
      <c r="H757" t="s">
        <v>446</v>
      </c>
      <c r="I757" t="s">
        <v>233</v>
      </c>
      <c r="J757">
        <v>1</v>
      </c>
      <c r="K757">
        <v>8500</v>
      </c>
      <c r="L757">
        <v>12100</v>
      </c>
      <c r="M757">
        <v>12100</v>
      </c>
      <c r="N757" t="s">
        <v>19</v>
      </c>
    </row>
    <row r="758" spans="1:14" x14ac:dyDescent="0.25">
      <c r="A758" t="str">
        <f>Table3[[#This Row],[Company Name]] &amp; " - " &amp; Table3[[#This Row],[Store Name]] &amp; " - " &amp; Table3[[#This Row],[Store Branch / Address]]</f>
        <v>CHICKEN DELI - OJO EYEWEAR - GENERIC</v>
      </c>
      <c r="B758" t="str">
        <f>Table3[[#This Row],[Client ID]] &amp; " - " &amp; Table3[[#This Row],[SO Number]]</f>
        <v>CHICKEN DELI - OJO EYEWEAR - GENERIC - SO-094</v>
      </c>
      <c r="C758" t="s">
        <v>535</v>
      </c>
      <c r="D758" t="s">
        <v>20</v>
      </c>
      <c r="E758" t="s">
        <v>70</v>
      </c>
      <c r="F758" t="s">
        <v>15</v>
      </c>
      <c r="G758" t="s">
        <v>22</v>
      </c>
      <c r="H758" t="s">
        <v>446</v>
      </c>
      <c r="I758" t="s">
        <v>99</v>
      </c>
      <c r="J758">
        <v>1</v>
      </c>
      <c r="K758">
        <v>2800</v>
      </c>
      <c r="L758">
        <v>4000</v>
      </c>
      <c r="M758">
        <v>4000</v>
      </c>
      <c r="N758" t="s">
        <v>19</v>
      </c>
    </row>
    <row r="759" spans="1:14" x14ac:dyDescent="0.25">
      <c r="A759" t="str">
        <f>Table3[[#This Row],[Company Name]] &amp; " - " &amp; Table3[[#This Row],[Store Name]] &amp; " - " &amp; Table3[[#This Row],[Store Branch / Address]]</f>
        <v>CHICKEN DELI - OJO EYEWEAR - GENERIC</v>
      </c>
      <c r="B759" t="str">
        <f>Table3[[#This Row],[Client ID]] &amp; " - " &amp; Table3[[#This Row],[SO Number]]</f>
        <v>CHICKEN DELI - OJO EYEWEAR - GENERIC - SO-094</v>
      </c>
      <c r="C759" t="s">
        <v>535</v>
      </c>
      <c r="D759" t="s">
        <v>20</v>
      </c>
      <c r="E759" t="s">
        <v>70</v>
      </c>
      <c r="F759" t="s">
        <v>15</v>
      </c>
      <c r="G759" t="s">
        <v>22</v>
      </c>
      <c r="H759" t="s">
        <v>446</v>
      </c>
      <c r="I759" t="s">
        <v>76</v>
      </c>
      <c r="J759">
        <v>1</v>
      </c>
      <c r="K759">
        <v>500</v>
      </c>
      <c r="L759">
        <v>500</v>
      </c>
      <c r="M759">
        <v>500</v>
      </c>
      <c r="N759" t="s">
        <v>19</v>
      </c>
    </row>
    <row r="760" spans="1:14" x14ac:dyDescent="0.25">
      <c r="A760" t="str">
        <f>Table3[[#This Row],[Company Name]] &amp; " - " &amp; Table3[[#This Row],[Store Name]] &amp; " - " &amp; Table3[[#This Row],[Store Branch / Address]]</f>
        <v>CHICKEN DELI - OJO EYEWEAR - GENERIC</v>
      </c>
      <c r="B760" t="str">
        <f>Table3[[#This Row],[Client ID]] &amp; " - " &amp; Table3[[#This Row],[SO Number]]</f>
        <v>CHICKEN DELI - OJO EYEWEAR - GENERIC - SO-095</v>
      </c>
      <c r="C760" t="s">
        <v>540</v>
      </c>
      <c r="D760" t="s">
        <v>20</v>
      </c>
      <c r="E760" t="s">
        <v>70</v>
      </c>
      <c r="F760" t="s">
        <v>15</v>
      </c>
      <c r="G760" t="s">
        <v>22</v>
      </c>
      <c r="H760" t="s">
        <v>446</v>
      </c>
      <c r="I760" t="s">
        <v>231</v>
      </c>
      <c r="J760">
        <v>1</v>
      </c>
      <c r="K760">
        <v>3675</v>
      </c>
      <c r="L760">
        <v>10500</v>
      </c>
      <c r="M760">
        <v>10500</v>
      </c>
      <c r="N760" t="s">
        <v>19</v>
      </c>
    </row>
    <row r="761" spans="1:14" x14ac:dyDescent="0.25">
      <c r="A761" t="str">
        <f>Table3[[#This Row],[Company Name]] &amp; " - " &amp; Table3[[#This Row],[Store Name]] &amp; " - " &amp; Table3[[#This Row],[Store Branch / Address]]</f>
        <v>CHICKEN DELI - OJO EYEWEAR - GENERIC</v>
      </c>
      <c r="B761" t="str">
        <f>Table3[[#This Row],[Client ID]] &amp; " - " &amp; Table3[[#This Row],[SO Number]]</f>
        <v>CHICKEN DELI - OJO EYEWEAR - GENERIC - SO-095</v>
      </c>
      <c r="C761" t="s">
        <v>540</v>
      </c>
      <c r="D761" t="s">
        <v>20</v>
      </c>
      <c r="E761" t="s">
        <v>70</v>
      </c>
      <c r="F761" t="s">
        <v>15</v>
      </c>
      <c r="G761" t="s">
        <v>22</v>
      </c>
      <c r="H761" t="s">
        <v>446</v>
      </c>
      <c r="I761" t="s">
        <v>537</v>
      </c>
      <c r="J761">
        <v>1</v>
      </c>
      <c r="K761">
        <v>9750</v>
      </c>
      <c r="L761">
        <v>9750</v>
      </c>
      <c r="M761">
        <v>9750</v>
      </c>
      <c r="N761" t="s">
        <v>19</v>
      </c>
    </row>
    <row r="762" spans="1:14" x14ac:dyDescent="0.25">
      <c r="A762" t="str">
        <f>Table3[[#This Row],[Company Name]] &amp; " - " &amp; Table3[[#This Row],[Store Name]] &amp; " - " &amp; Table3[[#This Row],[Store Branch / Address]]</f>
        <v>CHICKEN DELI - OJO EYEWEAR - GENERIC</v>
      </c>
      <c r="B762" t="str">
        <f>Table3[[#This Row],[Client ID]] &amp; " - " &amp; Table3[[#This Row],[SO Number]]</f>
        <v>CHICKEN DELI - OJO EYEWEAR - GENERIC - SO-095</v>
      </c>
      <c r="C762" t="s">
        <v>540</v>
      </c>
      <c r="D762" t="s">
        <v>20</v>
      </c>
      <c r="E762" t="s">
        <v>70</v>
      </c>
      <c r="F762" t="s">
        <v>15</v>
      </c>
      <c r="G762" t="s">
        <v>22</v>
      </c>
      <c r="H762" t="s">
        <v>446</v>
      </c>
      <c r="I762" t="s">
        <v>24</v>
      </c>
      <c r="J762">
        <v>1</v>
      </c>
      <c r="K762">
        <v>9750</v>
      </c>
      <c r="L762">
        <v>9750</v>
      </c>
      <c r="M762">
        <v>9750</v>
      </c>
      <c r="N762" t="s">
        <v>19</v>
      </c>
    </row>
    <row r="763" spans="1:14" x14ac:dyDescent="0.25">
      <c r="A763" t="str">
        <f>Table3[[#This Row],[Company Name]] &amp; " - " &amp; Table3[[#This Row],[Store Name]] &amp; " - " &amp; Table3[[#This Row],[Store Branch / Address]]</f>
        <v>CHICKEN DELI - OJO EYEWEAR - GENERIC</v>
      </c>
      <c r="B763" t="str">
        <f>Table3[[#This Row],[Client ID]] &amp; " - " &amp; Table3[[#This Row],[SO Number]]</f>
        <v>CHICKEN DELI - OJO EYEWEAR - GENERIC - SO-095</v>
      </c>
      <c r="C763" t="s">
        <v>540</v>
      </c>
      <c r="D763" t="s">
        <v>20</v>
      </c>
      <c r="E763" t="s">
        <v>70</v>
      </c>
      <c r="F763" t="s">
        <v>15</v>
      </c>
      <c r="G763" t="s">
        <v>22</v>
      </c>
      <c r="H763" t="s">
        <v>446</v>
      </c>
      <c r="I763" t="s">
        <v>538</v>
      </c>
      <c r="J763">
        <v>1</v>
      </c>
      <c r="K763">
        <v>18700</v>
      </c>
      <c r="L763">
        <v>27500</v>
      </c>
      <c r="M763">
        <v>27500</v>
      </c>
      <c r="N763" t="s">
        <v>19</v>
      </c>
    </row>
    <row r="764" spans="1:14" x14ac:dyDescent="0.25">
      <c r="A764" t="str">
        <f>Table3[[#This Row],[Company Name]] &amp; " - " &amp; Table3[[#This Row],[Store Name]] &amp; " - " &amp; Table3[[#This Row],[Store Branch / Address]]</f>
        <v>CHICKEN DELI - OJO EYEWEAR - GENERIC</v>
      </c>
      <c r="B764" t="str">
        <f>Table3[[#This Row],[Client ID]] &amp; " - " &amp; Table3[[#This Row],[SO Number]]</f>
        <v>CHICKEN DELI - OJO EYEWEAR - GENERIC - SO-095</v>
      </c>
      <c r="C764" t="s">
        <v>540</v>
      </c>
      <c r="D764" t="s">
        <v>20</v>
      </c>
      <c r="E764" t="s">
        <v>70</v>
      </c>
      <c r="F764" t="s">
        <v>15</v>
      </c>
      <c r="G764" t="s">
        <v>22</v>
      </c>
      <c r="H764" t="s">
        <v>446</v>
      </c>
      <c r="I764" t="s">
        <v>539</v>
      </c>
      <c r="J764">
        <v>1</v>
      </c>
      <c r="K764">
        <v>2800</v>
      </c>
      <c r="L764">
        <v>4000</v>
      </c>
      <c r="M764">
        <v>4000</v>
      </c>
      <c r="N764" t="s">
        <v>19</v>
      </c>
    </row>
    <row r="765" spans="1:14" x14ac:dyDescent="0.25">
      <c r="A765" t="str">
        <f>Table3[[#This Row],[Company Name]] &amp; " - " &amp; Table3[[#This Row],[Store Name]] &amp; " - " &amp; Table3[[#This Row],[Store Branch / Address]]</f>
        <v>CHICKEN DELI - OJO EYEWEAR - GENERIC</v>
      </c>
      <c r="B765" t="str">
        <f>Table3[[#This Row],[Client ID]] &amp; " - " &amp; Table3[[#This Row],[SO Number]]</f>
        <v>CHICKEN DELI - OJO EYEWEAR - GENERIC - SO-095</v>
      </c>
      <c r="C765" t="s">
        <v>540</v>
      </c>
      <c r="D765" t="s">
        <v>20</v>
      </c>
      <c r="E765" t="s">
        <v>70</v>
      </c>
      <c r="F765" t="s">
        <v>15</v>
      </c>
      <c r="G765" t="s">
        <v>22</v>
      </c>
      <c r="H765" t="s">
        <v>446</v>
      </c>
      <c r="I765" t="s">
        <v>134</v>
      </c>
      <c r="J765">
        <v>1</v>
      </c>
      <c r="K765">
        <v>500</v>
      </c>
      <c r="L765">
        <v>500</v>
      </c>
      <c r="M765">
        <v>500</v>
      </c>
      <c r="N765" t="s">
        <v>19</v>
      </c>
    </row>
    <row r="766" spans="1:14" x14ac:dyDescent="0.25">
      <c r="A766" t="str">
        <f>Table3[[#This Row],[Company Name]] &amp; " - " &amp; Table3[[#This Row],[Store Name]] &amp; " - " &amp; Table3[[#This Row],[Store Branch / Address]]</f>
        <v>CHICKEN DELI - OJO EYEWEAR - GENERIC</v>
      </c>
      <c r="B766" t="str">
        <f>Table3[[#This Row],[Client ID]] &amp; " - " &amp; Table3[[#This Row],[SO Number]]</f>
        <v>CHICKEN DELI - OJO EYEWEAR - GENERIC - SO-095</v>
      </c>
      <c r="C766" t="s">
        <v>540</v>
      </c>
      <c r="D766" t="s">
        <v>20</v>
      </c>
      <c r="E766" t="s">
        <v>70</v>
      </c>
      <c r="F766" t="s">
        <v>15</v>
      </c>
      <c r="G766" t="s">
        <v>22</v>
      </c>
      <c r="H766" t="s">
        <v>446</v>
      </c>
      <c r="I766" t="s">
        <v>135</v>
      </c>
      <c r="J766">
        <v>1</v>
      </c>
      <c r="K766">
        <v>4250</v>
      </c>
      <c r="L766">
        <v>6500</v>
      </c>
      <c r="M766">
        <v>6500</v>
      </c>
      <c r="N766" t="s">
        <v>19</v>
      </c>
    </row>
    <row r="767" spans="1:14" x14ac:dyDescent="0.25">
      <c r="A767" t="str">
        <f>Table3[[#This Row],[Company Name]] &amp; " - " &amp; Table3[[#This Row],[Store Name]] &amp; " - " &amp; Table3[[#This Row],[Store Branch / Address]]</f>
        <v>CHICKEN DELI - OJO EYEWEAR - GENERIC</v>
      </c>
      <c r="B767" t="str">
        <f>Table3[[#This Row],[Client ID]] &amp; " - " &amp; Table3[[#This Row],[SO Number]]</f>
        <v>CHICKEN DELI - OJO EYEWEAR - GENERIC - SO-095</v>
      </c>
      <c r="C767" t="s">
        <v>540</v>
      </c>
      <c r="D767" t="s">
        <v>20</v>
      </c>
      <c r="E767" t="s">
        <v>70</v>
      </c>
      <c r="F767" t="s">
        <v>15</v>
      </c>
      <c r="G767" t="s">
        <v>22</v>
      </c>
      <c r="H767" t="s">
        <v>446</v>
      </c>
      <c r="I767" t="s">
        <v>233</v>
      </c>
      <c r="J767">
        <v>1</v>
      </c>
      <c r="K767">
        <v>8500</v>
      </c>
      <c r="L767">
        <v>12100</v>
      </c>
      <c r="M767">
        <v>12100</v>
      </c>
      <c r="N767" t="s">
        <v>19</v>
      </c>
    </row>
    <row r="768" spans="1:14" x14ac:dyDescent="0.25">
      <c r="A768" t="str">
        <f>Table3[[#This Row],[Company Name]] &amp; " - " &amp; Table3[[#This Row],[Store Name]] &amp; " - " &amp; Table3[[#This Row],[Store Branch / Address]]</f>
        <v>CHICKEN DELI - OJO EYEWEAR - GENERIC</v>
      </c>
      <c r="B768" t="str">
        <f>Table3[[#This Row],[Client ID]] &amp; " - " &amp; Table3[[#This Row],[SO Number]]</f>
        <v>CHICKEN DELI - OJO EYEWEAR - GENERIC - SO-095</v>
      </c>
      <c r="C768" t="s">
        <v>540</v>
      </c>
      <c r="D768" t="s">
        <v>20</v>
      </c>
      <c r="E768" t="s">
        <v>70</v>
      </c>
      <c r="F768" t="s">
        <v>15</v>
      </c>
      <c r="G768" t="s">
        <v>22</v>
      </c>
      <c r="H768" t="s">
        <v>446</v>
      </c>
      <c r="I768" t="s">
        <v>99</v>
      </c>
      <c r="J768">
        <v>1</v>
      </c>
      <c r="K768">
        <v>2800</v>
      </c>
      <c r="L768">
        <v>4000</v>
      </c>
      <c r="M768">
        <v>4000</v>
      </c>
      <c r="N768" t="s">
        <v>19</v>
      </c>
    </row>
    <row r="769" spans="1:14" x14ac:dyDescent="0.25">
      <c r="A769" t="str">
        <f>Table3[[#This Row],[Company Name]] &amp; " - " &amp; Table3[[#This Row],[Store Name]] &amp; " - " &amp; Table3[[#This Row],[Store Branch / Address]]</f>
        <v>CHICKEN DELI - OJO EYEWEAR - GENERIC</v>
      </c>
      <c r="B769" t="str">
        <f>Table3[[#This Row],[Client ID]] &amp; " - " &amp; Table3[[#This Row],[SO Number]]</f>
        <v>CHICKEN DELI - OJO EYEWEAR - GENERIC - SO-095</v>
      </c>
      <c r="C769" t="s">
        <v>540</v>
      </c>
      <c r="D769" t="s">
        <v>20</v>
      </c>
      <c r="E769" t="s">
        <v>70</v>
      </c>
      <c r="F769" t="s">
        <v>15</v>
      </c>
      <c r="G769" t="s">
        <v>22</v>
      </c>
      <c r="H769" t="s">
        <v>446</v>
      </c>
      <c r="I769" t="s">
        <v>76</v>
      </c>
      <c r="J769">
        <v>1</v>
      </c>
      <c r="K769">
        <v>500</v>
      </c>
      <c r="L769">
        <v>500</v>
      </c>
      <c r="M769">
        <v>500</v>
      </c>
      <c r="N769" t="s">
        <v>19</v>
      </c>
    </row>
    <row r="770" spans="1:14" x14ac:dyDescent="0.25">
      <c r="A770" t="str">
        <f>Table3[[#This Row],[Company Name]] &amp; " - " &amp; Table3[[#This Row],[Store Name]] &amp; " - " &amp; Table3[[#This Row],[Store Branch / Address]]</f>
        <v>METROCLE ALLIANCE CORP - SIGNET - GENERIC</v>
      </c>
      <c r="B770" t="str">
        <f>Table3[[#This Row],[Client ID]] &amp; " - " &amp; Table3[[#This Row],[SO Number]]</f>
        <v>METROCLE ALLIANCE CORP - SIGNET - GENERIC - SO-033</v>
      </c>
      <c r="C770" t="s">
        <v>255</v>
      </c>
      <c r="D770" t="s">
        <v>1083</v>
      </c>
      <c r="E770" t="s">
        <v>1084</v>
      </c>
      <c r="F770" t="s">
        <v>15</v>
      </c>
      <c r="G770" t="s">
        <v>37</v>
      </c>
      <c r="H770" t="s">
        <v>446</v>
      </c>
      <c r="I770" t="s">
        <v>33</v>
      </c>
      <c r="J770">
        <v>1</v>
      </c>
      <c r="K770">
        <v>15000</v>
      </c>
      <c r="L770">
        <v>15000</v>
      </c>
      <c r="M770">
        <v>15000</v>
      </c>
      <c r="N770" t="s">
        <v>19</v>
      </c>
    </row>
    <row r="771" spans="1:14" x14ac:dyDescent="0.25">
      <c r="A771" t="str">
        <f>Table3[[#This Row],[Company Name]] &amp; " - " &amp; Table3[[#This Row],[Store Name]] &amp; " - " &amp; Table3[[#This Row],[Store Branch / Address]]</f>
        <v>POL S MOM S PLACE INC - MAMOU - GENERIC</v>
      </c>
      <c r="B771" t="str">
        <f>Table3[[#This Row],[Client ID]] &amp; " - " &amp; Table3[[#This Row],[SO Number]]</f>
        <v>POL S MOM S PLACE INC - MAMOU - GENERIC - SO-073</v>
      </c>
      <c r="C771" t="s">
        <v>448</v>
      </c>
      <c r="D771" t="s">
        <v>57</v>
      </c>
      <c r="E771" t="s">
        <v>58</v>
      </c>
      <c r="F771" t="s">
        <v>15</v>
      </c>
      <c r="G771" t="s">
        <v>37</v>
      </c>
      <c r="H771" t="s">
        <v>449</v>
      </c>
      <c r="I771" t="s">
        <v>284</v>
      </c>
      <c r="J771">
        <v>1</v>
      </c>
      <c r="K771">
        <v>11000</v>
      </c>
      <c r="L771">
        <v>16500</v>
      </c>
      <c r="M771">
        <v>16500</v>
      </c>
      <c r="N771" t="s">
        <v>19</v>
      </c>
    </row>
    <row r="772" spans="1:14" x14ac:dyDescent="0.25">
      <c r="A772" t="str">
        <f>Table3[[#This Row],[Company Name]] &amp; " - " &amp; Table3[[#This Row],[Store Name]] &amp; " - " &amp; Table3[[#This Row],[Store Branch / Address]]</f>
        <v>VILLSIBS INC - POTATO CORNER - GENERIC</v>
      </c>
      <c r="B772" t="str">
        <f>Table3[[#This Row],[Client ID]] &amp; " - " &amp; Table3[[#This Row],[SO Number]]</f>
        <v>VILLSIBS INC - POTATO CORNER - GENERIC - SO-074</v>
      </c>
      <c r="C772" t="s">
        <v>450</v>
      </c>
      <c r="D772" t="s">
        <v>451</v>
      </c>
      <c r="E772" t="s">
        <v>452</v>
      </c>
      <c r="F772" t="s">
        <v>15</v>
      </c>
      <c r="G772" t="s">
        <v>37</v>
      </c>
      <c r="H772" t="s">
        <v>449</v>
      </c>
      <c r="I772" t="s">
        <v>453</v>
      </c>
      <c r="J772">
        <v>50</v>
      </c>
      <c r="K772">
        <v>17</v>
      </c>
      <c r="L772">
        <v>25</v>
      </c>
      <c r="M772">
        <v>1250</v>
      </c>
      <c r="N772" t="s">
        <v>19</v>
      </c>
    </row>
    <row r="773" spans="1:14" x14ac:dyDescent="0.25">
      <c r="A773" t="str">
        <f>Table3[[#This Row],[Company Name]] &amp; " - " &amp; Table3[[#This Row],[Store Name]] &amp; " - " &amp; Table3[[#This Row],[Store Branch / Address]]</f>
        <v>CANELLE FOOD CORPORATION - CINNABON - GENERIC</v>
      </c>
      <c r="B773" t="str">
        <f>Table3[[#This Row],[Client ID]] &amp; " - " &amp; Table3[[#This Row],[SO Number]]</f>
        <v>CANELLE FOOD CORPORATION - CINNABON - GENERIC - SO-075</v>
      </c>
      <c r="C773" t="s">
        <v>457</v>
      </c>
      <c r="D773" t="s">
        <v>363</v>
      </c>
      <c r="E773" t="s">
        <v>364</v>
      </c>
      <c r="F773" t="s">
        <v>15</v>
      </c>
      <c r="G773" t="s">
        <v>22</v>
      </c>
      <c r="H773" t="s">
        <v>458</v>
      </c>
      <c r="I773" t="s">
        <v>151</v>
      </c>
      <c r="J773">
        <v>2</v>
      </c>
      <c r="K773">
        <v>2800</v>
      </c>
      <c r="L773">
        <v>4268</v>
      </c>
      <c r="M773">
        <v>8536</v>
      </c>
      <c r="N773" t="s">
        <v>19</v>
      </c>
    </row>
    <row r="774" spans="1:14" x14ac:dyDescent="0.25">
      <c r="A774" t="str">
        <f>Table3[[#This Row],[Company Name]] &amp; " - " &amp; Table3[[#This Row],[Store Name]] &amp; " - " &amp; Table3[[#This Row],[Store Branch / Address]]</f>
        <v>WK PRIME SUPREME HOLDINGS INC - PRETZEL MAKER - ZAMBOANGA</v>
      </c>
      <c r="B774" t="str">
        <f>Table3[[#This Row],[Client ID]] &amp; " - " &amp; Table3[[#This Row],[SO Number]]</f>
        <v>WK PRIME SUPREME HOLDINGS INC - PRETZEL MAKER - ZAMBOANGA - SO-076</v>
      </c>
      <c r="C774" t="s">
        <v>459</v>
      </c>
      <c r="D774" t="s">
        <v>460</v>
      </c>
      <c r="E774" t="s">
        <v>461</v>
      </c>
      <c r="F774" t="s">
        <v>462</v>
      </c>
      <c r="G774" t="s">
        <v>37</v>
      </c>
      <c r="H774" t="s">
        <v>458</v>
      </c>
      <c r="I774" t="s">
        <v>463</v>
      </c>
      <c r="J774">
        <v>1</v>
      </c>
      <c r="K774">
        <v>1200</v>
      </c>
      <c r="L774">
        <v>2500</v>
      </c>
      <c r="M774">
        <v>2500</v>
      </c>
      <c r="N774" t="s">
        <v>39</v>
      </c>
    </row>
    <row r="775" spans="1:14" x14ac:dyDescent="0.25">
      <c r="A775" t="str">
        <f>Table3[[#This Row],[Company Name]] &amp; " - " &amp; Table3[[#This Row],[Store Name]] &amp; " - " &amp; Table3[[#This Row],[Store Branch / Address]]</f>
        <v>SERENITEA CHA KITCHEN INC - SERENITEA - GENERIC</v>
      </c>
      <c r="B775" t="str">
        <f>Table3[[#This Row],[Client ID]] &amp; " - " &amp; Table3[[#This Row],[SO Number]]</f>
        <v>SERENITEA CHA KITCHEN INC - SERENITEA - GENERIC - SO-77</v>
      </c>
      <c r="C775" t="s">
        <v>464</v>
      </c>
      <c r="D775" t="s">
        <v>354</v>
      </c>
      <c r="E775" t="s">
        <v>239</v>
      </c>
      <c r="F775" t="s">
        <v>15</v>
      </c>
      <c r="G775" t="s">
        <v>37</v>
      </c>
      <c r="H775" t="s">
        <v>458</v>
      </c>
      <c r="I775" t="s">
        <v>465</v>
      </c>
      <c r="J775">
        <v>1</v>
      </c>
      <c r="K775">
        <v>8000</v>
      </c>
      <c r="L775">
        <v>8000</v>
      </c>
      <c r="M775">
        <v>8000</v>
      </c>
      <c r="N775" t="s">
        <v>39</v>
      </c>
    </row>
    <row r="776" spans="1:14" x14ac:dyDescent="0.25">
      <c r="A776" t="str">
        <f>Table3[[#This Row],[Company Name]] &amp; " - " &amp; Table3[[#This Row],[Store Name]] &amp; " - " &amp; Table3[[#This Row],[Store Branch / Address]]</f>
        <v>ASSAM TEA CORPORATION - SERENITEA - GENERIC</v>
      </c>
      <c r="B776" t="str">
        <f>Table3[[#This Row],[Client ID]] &amp; " - " &amp; Table3[[#This Row],[SO Number]]</f>
        <v>ASSAM TEA CORPORATION - SERENITEA - GENERIC - SO-78</v>
      </c>
      <c r="C776" t="s">
        <v>467</v>
      </c>
      <c r="D776" t="s">
        <v>468</v>
      </c>
      <c r="E776" t="s">
        <v>239</v>
      </c>
      <c r="F776" t="s">
        <v>15</v>
      </c>
      <c r="G776" t="s">
        <v>37</v>
      </c>
      <c r="H776" t="s">
        <v>458</v>
      </c>
      <c r="I776" t="s">
        <v>469</v>
      </c>
      <c r="J776">
        <v>4</v>
      </c>
      <c r="K776">
        <v>8000</v>
      </c>
      <c r="L776">
        <v>8000</v>
      </c>
      <c r="M776">
        <v>32000</v>
      </c>
      <c r="N776" t="s">
        <v>39</v>
      </c>
    </row>
    <row r="777" spans="1:14" x14ac:dyDescent="0.25">
      <c r="A777" t="str">
        <f>Table3[[#This Row],[Company Name]] &amp; " - " &amp; Table3[[#This Row],[Store Name]] &amp; " - " &amp; Table3[[#This Row],[Store Branch / Address]]</f>
        <v>OSMANTHUS TEA CORPORATION - SERENITEA - GENERIC</v>
      </c>
      <c r="B777" t="str">
        <f>Table3[[#This Row],[Client ID]] &amp; " - " &amp; Table3[[#This Row],[SO Number]]</f>
        <v>OSMANTHUS TEA CORPORATION - SERENITEA - GENERIC - SO-79</v>
      </c>
      <c r="C777" t="s">
        <v>471</v>
      </c>
      <c r="D777" t="s">
        <v>472</v>
      </c>
      <c r="E777" t="s">
        <v>239</v>
      </c>
      <c r="F777" t="s">
        <v>15</v>
      </c>
      <c r="G777" t="s">
        <v>37</v>
      </c>
      <c r="H777" t="s">
        <v>458</v>
      </c>
      <c r="I777" t="s">
        <v>473</v>
      </c>
      <c r="J777">
        <v>3</v>
      </c>
      <c r="K777">
        <v>8000</v>
      </c>
      <c r="L777">
        <v>8000</v>
      </c>
      <c r="M777">
        <v>24000</v>
      </c>
      <c r="N777" t="s">
        <v>39</v>
      </c>
    </row>
    <row r="778" spans="1:14" x14ac:dyDescent="0.25">
      <c r="A778" t="str">
        <f>Table3[[#This Row],[Company Name]] &amp; " - " &amp; Table3[[#This Row],[Store Name]] &amp; " - " &amp; Table3[[#This Row],[Store Branch / Address]]</f>
        <v>MY GOLDEN TEA LEAF INC - SERENITEA - GENERIC</v>
      </c>
      <c r="B778" t="str">
        <f>Table3[[#This Row],[Client ID]] &amp; " - " &amp; Table3[[#This Row],[SO Number]]</f>
        <v>MY GOLDEN TEA LEAF INC - SERENITEA - GENERIC - SO-80</v>
      </c>
      <c r="C778" t="s">
        <v>475</v>
      </c>
      <c r="D778" t="s">
        <v>431</v>
      </c>
      <c r="E778" t="s">
        <v>239</v>
      </c>
      <c r="F778" t="s">
        <v>15</v>
      </c>
      <c r="G778" t="s">
        <v>37</v>
      </c>
      <c r="H778" t="s">
        <v>458</v>
      </c>
      <c r="I778" t="s">
        <v>476</v>
      </c>
      <c r="J778">
        <v>8</v>
      </c>
      <c r="K778">
        <v>8000</v>
      </c>
      <c r="L778">
        <v>8000</v>
      </c>
      <c r="M778">
        <v>64000</v>
      </c>
      <c r="N778" t="s">
        <v>39</v>
      </c>
    </row>
    <row r="779" spans="1:14" x14ac:dyDescent="0.25">
      <c r="A779" t="str">
        <f>Table3[[#This Row],[Company Name]] &amp; " - " &amp; Table3[[#This Row],[Store Name]] &amp; " - " &amp; Table3[[#This Row],[Store Branch / Address]]</f>
        <v>DARJEELING TEA CORPORATION - SERENITEA - GENERIC</v>
      </c>
      <c r="B779" t="str">
        <f>Table3[[#This Row],[Client ID]] &amp; " - " &amp; Table3[[#This Row],[SO Number]]</f>
        <v>DARJEELING TEA CORPORATION - SERENITEA - GENERIC - SO-81</v>
      </c>
      <c r="C779" t="s">
        <v>478</v>
      </c>
      <c r="D779" t="s">
        <v>479</v>
      </c>
      <c r="E779" t="s">
        <v>239</v>
      </c>
      <c r="F779" t="s">
        <v>15</v>
      </c>
      <c r="G779" t="s">
        <v>37</v>
      </c>
      <c r="H779" t="s">
        <v>458</v>
      </c>
      <c r="I779" t="s">
        <v>480</v>
      </c>
      <c r="J779">
        <v>2</v>
      </c>
      <c r="K779">
        <v>8000</v>
      </c>
      <c r="L779">
        <v>8000</v>
      </c>
      <c r="M779">
        <v>16000</v>
      </c>
      <c r="N779" t="s">
        <v>39</v>
      </c>
    </row>
    <row r="780" spans="1:14" x14ac:dyDescent="0.25">
      <c r="A780" t="str">
        <f>Table3[[#This Row],[Company Name]] &amp; " - " &amp; Table3[[#This Row],[Store Name]] &amp; " - " &amp; Table3[[#This Row],[Store Branch / Address]]</f>
        <v>GENMAICHA TEA CORPORATION - SERENITEA - GENERIC</v>
      </c>
      <c r="B780" t="str">
        <f>Table3[[#This Row],[Client ID]] &amp; " - " &amp; Table3[[#This Row],[SO Number]]</f>
        <v>GENMAICHA TEA CORPORATION - SERENITEA - GENERIC - SO-82</v>
      </c>
      <c r="C780" t="s">
        <v>482</v>
      </c>
      <c r="D780" t="s">
        <v>483</v>
      </c>
      <c r="E780" t="s">
        <v>239</v>
      </c>
      <c r="F780" t="s">
        <v>15</v>
      </c>
      <c r="G780" t="s">
        <v>37</v>
      </c>
      <c r="H780" t="s">
        <v>458</v>
      </c>
      <c r="I780" t="s">
        <v>484</v>
      </c>
      <c r="J780">
        <v>6</v>
      </c>
      <c r="K780">
        <v>8000</v>
      </c>
      <c r="L780">
        <v>8000</v>
      </c>
      <c r="M780">
        <v>48000</v>
      </c>
      <c r="N780" t="s">
        <v>39</v>
      </c>
    </row>
    <row r="781" spans="1:14" x14ac:dyDescent="0.25">
      <c r="A781" t="str">
        <f>Table3[[#This Row],[Company Name]] &amp; " - " &amp; Table3[[#This Row],[Store Name]] &amp; " - " &amp; Table3[[#This Row],[Store Branch / Address]]</f>
        <v>GENMAICHA TEA CORPORATION - SERENITEA - GENERIC</v>
      </c>
      <c r="B781" t="str">
        <f>Table3[[#This Row],[Client ID]] &amp; " - " &amp; Table3[[#This Row],[SO Number]]</f>
        <v>GENMAICHA TEA CORPORATION - SERENITEA - GENERIC - SO-82</v>
      </c>
      <c r="C781" t="s">
        <v>482</v>
      </c>
      <c r="D781" t="s">
        <v>483</v>
      </c>
      <c r="E781" t="s">
        <v>239</v>
      </c>
      <c r="F781" t="s">
        <v>15</v>
      </c>
      <c r="G781" t="s">
        <v>37</v>
      </c>
      <c r="H781" t="s">
        <v>458</v>
      </c>
      <c r="I781" t="s">
        <v>485</v>
      </c>
      <c r="J781">
        <v>1</v>
      </c>
      <c r="K781">
        <v>6600</v>
      </c>
      <c r="L781">
        <v>6600</v>
      </c>
      <c r="M781">
        <v>6600</v>
      </c>
      <c r="N781" t="s">
        <v>39</v>
      </c>
    </row>
    <row r="782" spans="1:14" x14ac:dyDescent="0.25">
      <c r="A782" t="str">
        <f>Table3[[#This Row],[Company Name]] &amp; " - " &amp; Table3[[#This Row],[Store Name]] &amp; " - " &amp; Table3[[#This Row],[Store Branch / Address]]</f>
        <v>CHICKEN DELI - GONGCHA - GENERIC</v>
      </c>
      <c r="B782" t="str">
        <f>Table3[[#This Row],[Client ID]] &amp; " - " &amp; Table3[[#This Row],[SO Number]]</f>
        <v>CHICKEN DELI - GONGCHA - GENERIC - SO-096</v>
      </c>
      <c r="C782" t="s">
        <v>542</v>
      </c>
      <c r="D782" t="s">
        <v>20</v>
      </c>
      <c r="E782" t="s">
        <v>31</v>
      </c>
      <c r="F782" t="s">
        <v>15</v>
      </c>
      <c r="G782" t="s">
        <v>22</v>
      </c>
      <c r="H782" t="s">
        <v>543</v>
      </c>
      <c r="I782" t="s">
        <v>33</v>
      </c>
      <c r="J782">
        <v>1</v>
      </c>
      <c r="K782">
        <v>6500</v>
      </c>
      <c r="L782">
        <v>6500</v>
      </c>
      <c r="M782">
        <v>6500</v>
      </c>
      <c r="N782" t="s">
        <v>19</v>
      </c>
    </row>
    <row r="783" spans="1:14" x14ac:dyDescent="0.25">
      <c r="A783" t="str">
        <f>Table3[[#This Row],[Company Name]] &amp; " - " &amp; Table3[[#This Row],[Store Name]] &amp; " - " &amp; Table3[[#This Row],[Store Branch / Address]]</f>
        <v>CHICKEN DELI - GONGCHA - GENERIC</v>
      </c>
      <c r="B783" t="str">
        <f>Table3[[#This Row],[Client ID]] &amp; " - " &amp; Table3[[#This Row],[SO Number]]</f>
        <v>CHICKEN DELI - GONGCHA - GENERIC - SO-097</v>
      </c>
      <c r="C783" t="s">
        <v>546</v>
      </c>
      <c r="D783" t="s">
        <v>20</v>
      </c>
      <c r="E783" t="s">
        <v>31</v>
      </c>
      <c r="F783" t="s">
        <v>15</v>
      </c>
      <c r="G783" t="s">
        <v>22</v>
      </c>
      <c r="H783" t="s">
        <v>543</v>
      </c>
      <c r="I783" t="s">
        <v>33</v>
      </c>
      <c r="J783">
        <v>2</v>
      </c>
      <c r="K783">
        <v>6500</v>
      </c>
      <c r="L783">
        <v>6500</v>
      </c>
      <c r="M783">
        <v>13000</v>
      </c>
      <c r="N783" t="s">
        <v>19</v>
      </c>
    </row>
    <row r="784" spans="1:14" x14ac:dyDescent="0.25">
      <c r="A784" t="str">
        <f>Table3[[#This Row],[Company Name]] &amp; " - " &amp; Table3[[#This Row],[Store Name]] &amp; " - " &amp; Table3[[#This Row],[Store Branch / Address]]</f>
        <v>CHICKEN DELI - GONGCHA - GENERIC</v>
      </c>
      <c r="B784" t="str">
        <f>Table3[[#This Row],[Client ID]] &amp; " - " &amp; Table3[[#This Row],[SO Number]]</f>
        <v>CHICKEN DELI - GONGCHA - GENERIC - SO-098</v>
      </c>
      <c r="C784" t="s">
        <v>549</v>
      </c>
      <c r="D784" t="s">
        <v>20</v>
      </c>
      <c r="E784" t="s">
        <v>31</v>
      </c>
      <c r="F784" t="s">
        <v>15</v>
      </c>
      <c r="G784" t="s">
        <v>22</v>
      </c>
      <c r="H784" t="s">
        <v>543</v>
      </c>
      <c r="I784" t="s">
        <v>33</v>
      </c>
      <c r="J784">
        <v>4</v>
      </c>
      <c r="K784">
        <v>6500</v>
      </c>
      <c r="L784">
        <v>6500</v>
      </c>
      <c r="M784">
        <v>26000</v>
      </c>
      <c r="N784" t="s">
        <v>19</v>
      </c>
    </row>
    <row r="785" spans="1:14" x14ac:dyDescent="0.25">
      <c r="A785" t="str">
        <f>Table3[[#This Row],[Company Name]] &amp; " - " &amp; Table3[[#This Row],[Store Name]] &amp; " - " &amp; Table3[[#This Row],[Store Branch / Address]]</f>
        <v>CHICKEN DELI - GONGCHA - GENERIC</v>
      </c>
      <c r="B785" t="str">
        <f>Table3[[#This Row],[Client ID]] &amp; " - " &amp; Table3[[#This Row],[SO Number]]</f>
        <v>CHICKEN DELI - GONGCHA - GENERIC - SO-099</v>
      </c>
      <c r="C785" t="s">
        <v>550</v>
      </c>
      <c r="D785" t="s">
        <v>20</v>
      </c>
      <c r="E785" t="s">
        <v>31</v>
      </c>
      <c r="F785" t="s">
        <v>15</v>
      </c>
      <c r="G785" t="s">
        <v>22</v>
      </c>
      <c r="H785" t="s">
        <v>543</v>
      </c>
      <c r="I785" t="s">
        <v>33</v>
      </c>
      <c r="J785">
        <v>3</v>
      </c>
      <c r="K785">
        <v>6500</v>
      </c>
      <c r="L785">
        <v>6500</v>
      </c>
      <c r="M785">
        <v>19500</v>
      </c>
      <c r="N785" t="s">
        <v>19</v>
      </c>
    </row>
    <row r="786" spans="1:14" x14ac:dyDescent="0.25">
      <c r="A786" t="str">
        <f>Table3[[#This Row],[Company Name]] &amp; " - " &amp; Table3[[#This Row],[Store Name]] &amp; " - " &amp; Table3[[#This Row],[Store Branch / Address]]</f>
        <v>CHICKEN DELI - GONGCHA - GENERIC</v>
      </c>
      <c r="B786" t="str">
        <f>Table3[[#This Row],[Client ID]] &amp; " - " &amp; Table3[[#This Row],[SO Number]]</f>
        <v>CHICKEN DELI - GONGCHA - GENERIC - SO-100</v>
      </c>
      <c r="C786" t="s">
        <v>553</v>
      </c>
      <c r="D786" t="s">
        <v>20</v>
      </c>
      <c r="E786" t="s">
        <v>31</v>
      </c>
      <c r="F786" t="s">
        <v>15</v>
      </c>
      <c r="G786" t="s">
        <v>22</v>
      </c>
      <c r="H786" t="s">
        <v>543</v>
      </c>
      <c r="I786" t="s">
        <v>33</v>
      </c>
      <c r="J786">
        <v>1</v>
      </c>
      <c r="K786">
        <v>6500</v>
      </c>
      <c r="L786">
        <v>6500</v>
      </c>
      <c r="M786">
        <v>6500</v>
      </c>
      <c r="N786" t="s">
        <v>19</v>
      </c>
    </row>
    <row r="787" spans="1:14" x14ac:dyDescent="0.25">
      <c r="A787" t="str">
        <f>Table3[[#This Row],[Company Name]] &amp; " - " &amp; Table3[[#This Row],[Store Name]] &amp; " - " &amp; Table3[[#This Row],[Store Branch / Address]]</f>
        <v>CHICKEN DELI - GONGCHA - GENERIC</v>
      </c>
      <c r="B787" t="str">
        <f>Table3[[#This Row],[Client ID]] &amp; " - " &amp; Table3[[#This Row],[SO Number]]</f>
        <v>CHICKEN DELI - GONGCHA - GENERIC - SO-101</v>
      </c>
      <c r="C787" t="s">
        <v>554</v>
      </c>
      <c r="D787" t="s">
        <v>20</v>
      </c>
      <c r="E787" t="s">
        <v>31</v>
      </c>
      <c r="F787" t="s">
        <v>15</v>
      </c>
      <c r="G787" t="s">
        <v>22</v>
      </c>
      <c r="H787" t="s">
        <v>543</v>
      </c>
      <c r="I787" t="s">
        <v>33</v>
      </c>
      <c r="J787">
        <v>1</v>
      </c>
      <c r="K787">
        <v>6500</v>
      </c>
      <c r="L787">
        <v>6500</v>
      </c>
      <c r="M787">
        <v>6500</v>
      </c>
      <c r="N787" t="s">
        <v>19</v>
      </c>
    </row>
    <row r="788" spans="1:14" x14ac:dyDescent="0.25">
      <c r="A788" t="str">
        <f>Table3[[#This Row],[Company Name]] &amp; " - " &amp; Table3[[#This Row],[Store Name]] &amp; " - " &amp; Table3[[#This Row],[Store Branch / Address]]</f>
        <v>DAGDAGAN MICHAEL ENRICO SY - KALBROS BAR AND RESTAURANT - GENERIC</v>
      </c>
      <c r="B788" t="str">
        <f>Table3[[#This Row],[Client ID]] &amp; " - " &amp; Table3[[#This Row],[SO Number]]</f>
        <v>DAGDAGAN MICHAEL ENRICO SY - KALBROS BAR AND RESTAURANT - GENERIC - SO-083</v>
      </c>
      <c r="C788" t="s">
        <v>487</v>
      </c>
      <c r="D788" t="s">
        <v>488</v>
      </c>
      <c r="E788" t="s">
        <v>489</v>
      </c>
      <c r="F788" t="s">
        <v>15</v>
      </c>
      <c r="G788" t="s">
        <v>490</v>
      </c>
      <c r="H788" t="s">
        <v>491</v>
      </c>
      <c r="I788" t="s">
        <v>125</v>
      </c>
      <c r="J788">
        <v>1</v>
      </c>
      <c r="K788">
        <v>3675</v>
      </c>
      <c r="L788">
        <v>10500</v>
      </c>
      <c r="M788">
        <v>10500</v>
      </c>
      <c r="N788" t="s">
        <v>19</v>
      </c>
    </row>
    <row r="789" spans="1:14" x14ac:dyDescent="0.25">
      <c r="A789" t="str">
        <f>Table3[[#This Row],[Company Name]] &amp; " - " &amp; Table3[[#This Row],[Store Name]] &amp; " - " &amp; Table3[[#This Row],[Store Branch / Address]]</f>
        <v>DAGDAGAN MICHAEL ENRICO SY - KALBROS BAR AND RESTAURANT - GENERIC</v>
      </c>
      <c r="B789" t="str">
        <f>Table3[[#This Row],[Client ID]] &amp; " - " &amp; Table3[[#This Row],[SO Number]]</f>
        <v>DAGDAGAN MICHAEL ENRICO SY - KALBROS BAR AND RESTAURANT - GENERIC - SO-083</v>
      </c>
      <c r="C789" t="s">
        <v>487</v>
      </c>
      <c r="D789" t="s">
        <v>488</v>
      </c>
      <c r="E789" t="s">
        <v>489</v>
      </c>
      <c r="F789" t="s">
        <v>15</v>
      </c>
      <c r="G789" t="s">
        <v>490</v>
      </c>
      <c r="H789" t="s">
        <v>491</v>
      </c>
      <c r="I789" t="s">
        <v>48</v>
      </c>
      <c r="J789">
        <v>1</v>
      </c>
      <c r="K789">
        <v>4935</v>
      </c>
      <c r="L789">
        <v>14100</v>
      </c>
      <c r="M789">
        <v>14100</v>
      </c>
      <c r="N789" t="s">
        <v>19</v>
      </c>
    </row>
    <row r="790" spans="1:14" x14ac:dyDescent="0.25">
      <c r="A790" t="str">
        <f>Table3[[#This Row],[Company Name]] &amp; " - " &amp; Table3[[#This Row],[Store Name]] &amp; " - " &amp; Table3[[#This Row],[Store Branch / Address]]</f>
        <v>DAGDAGAN MICHAEL ENRICO SY - KALBROS BAR AND RESTAURANT - GENERIC</v>
      </c>
      <c r="B790" t="str">
        <f>Table3[[#This Row],[Client ID]] &amp; " - " &amp; Table3[[#This Row],[SO Number]]</f>
        <v>DAGDAGAN MICHAEL ENRICO SY - KALBROS BAR AND RESTAURANT - GENERIC - SO-083</v>
      </c>
      <c r="C790" t="s">
        <v>487</v>
      </c>
      <c r="D790" t="s">
        <v>488</v>
      </c>
      <c r="E790" t="s">
        <v>489</v>
      </c>
      <c r="F790" t="s">
        <v>15</v>
      </c>
      <c r="G790" t="s">
        <v>490</v>
      </c>
      <c r="H790" t="s">
        <v>491</v>
      </c>
      <c r="I790" t="s">
        <v>126</v>
      </c>
      <c r="J790">
        <v>1</v>
      </c>
      <c r="K790">
        <v>4935</v>
      </c>
      <c r="L790">
        <v>14100</v>
      </c>
      <c r="M790">
        <v>14100</v>
      </c>
      <c r="N790" t="s">
        <v>19</v>
      </c>
    </row>
    <row r="791" spans="1:14" x14ac:dyDescent="0.25">
      <c r="A791" t="str">
        <f>Table3[[#This Row],[Company Name]] &amp; " - " &amp; Table3[[#This Row],[Store Name]] &amp; " - " &amp; Table3[[#This Row],[Store Branch / Address]]</f>
        <v>DAGDAGAN MICHAEL ENRICO SY - KALBROS BAR AND RESTAURANT - GENERIC</v>
      </c>
      <c r="B791" t="str">
        <f>Table3[[#This Row],[Client ID]] &amp; " - " &amp; Table3[[#This Row],[SO Number]]</f>
        <v>DAGDAGAN MICHAEL ENRICO SY - KALBROS BAR AND RESTAURANT - GENERIC - SO-083</v>
      </c>
      <c r="C791" t="s">
        <v>487</v>
      </c>
      <c r="D791" t="s">
        <v>488</v>
      </c>
      <c r="E791" t="s">
        <v>489</v>
      </c>
      <c r="F791" t="s">
        <v>15</v>
      </c>
      <c r="G791" t="s">
        <v>490</v>
      </c>
      <c r="H791" t="s">
        <v>491</v>
      </c>
      <c r="I791" t="s">
        <v>50</v>
      </c>
      <c r="J791">
        <v>1</v>
      </c>
      <c r="K791">
        <v>500</v>
      </c>
      <c r="L791">
        <v>500</v>
      </c>
      <c r="M791">
        <v>500</v>
      </c>
      <c r="N791" t="s">
        <v>19</v>
      </c>
    </row>
    <row r="792" spans="1:14" x14ac:dyDescent="0.25">
      <c r="A792" t="str">
        <f>Table3[[#This Row],[Company Name]] &amp; " - " &amp; Table3[[#This Row],[Store Name]] &amp; " - " &amp; Table3[[#This Row],[Store Branch / Address]]</f>
        <v>DAGDAGAN MICHAEL ENRICO SY - KALBROS BAR AND RESTAURANT - GENERIC</v>
      </c>
      <c r="B792" t="str">
        <f>Table3[[#This Row],[Client ID]] &amp; " - " &amp; Table3[[#This Row],[SO Number]]</f>
        <v>DAGDAGAN MICHAEL ENRICO SY - KALBROS BAR AND RESTAURANT - GENERIC - SO-083</v>
      </c>
      <c r="C792" t="s">
        <v>487</v>
      </c>
      <c r="D792" t="s">
        <v>488</v>
      </c>
      <c r="E792" t="s">
        <v>489</v>
      </c>
      <c r="F792" t="s">
        <v>15</v>
      </c>
      <c r="G792" t="s">
        <v>490</v>
      </c>
      <c r="H792" t="s">
        <v>491</v>
      </c>
      <c r="I792" t="s">
        <v>284</v>
      </c>
      <c r="J792">
        <v>1</v>
      </c>
      <c r="K792">
        <v>11000</v>
      </c>
      <c r="L792">
        <v>16500</v>
      </c>
      <c r="M792">
        <v>16500</v>
      </c>
      <c r="N792" t="s">
        <v>19</v>
      </c>
    </row>
    <row r="793" spans="1:14" x14ac:dyDescent="0.25">
      <c r="A793" t="str">
        <f>Table3[[#This Row],[Company Name]] &amp; " - " &amp; Table3[[#This Row],[Store Name]] &amp; " - " &amp; Table3[[#This Row],[Store Branch / Address]]</f>
        <v>DAGDAGAN MICHAEL ENRICO SY - KALBROS BAR AND RESTAURANT - GENERIC</v>
      </c>
      <c r="B793" t="str">
        <f>Table3[[#This Row],[Client ID]] &amp; " - " &amp; Table3[[#This Row],[SO Number]]</f>
        <v>DAGDAGAN MICHAEL ENRICO SY - KALBROS BAR AND RESTAURANT - GENERIC - SO-083</v>
      </c>
      <c r="C793" t="s">
        <v>487</v>
      </c>
      <c r="D793" t="s">
        <v>488</v>
      </c>
      <c r="E793" t="s">
        <v>489</v>
      </c>
      <c r="F793" t="s">
        <v>15</v>
      </c>
      <c r="G793" t="s">
        <v>490</v>
      </c>
      <c r="H793" t="s">
        <v>491</v>
      </c>
      <c r="I793" t="s">
        <v>116</v>
      </c>
      <c r="J793">
        <v>1</v>
      </c>
      <c r="K793">
        <v>2185</v>
      </c>
      <c r="L793">
        <v>3500</v>
      </c>
      <c r="M793">
        <v>3500</v>
      </c>
      <c r="N793" t="s">
        <v>19</v>
      </c>
    </row>
    <row r="794" spans="1:14" x14ac:dyDescent="0.25">
      <c r="A794" t="str">
        <f>Table3[[#This Row],[Company Name]] &amp; " - " &amp; Table3[[#This Row],[Store Name]] &amp; " - " &amp; Table3[[#This Row],[Store Branch / Address]]</f>
        <v>DAGDAGAN MICHAEL ENRICO SY - KALBROS BAR AND RESTAURANT - GENERIC</v>
      </c>
      <c r="B794" t="str">
        <f>Table3[[#This Row],[Client ID]] &amp; " - " &amp; Table3[[#This Row],[SO Number]]</f>
        <v>DAGDAGAN MICHAEL ENRICO SY - KALBROS BAR AND RESTAURANT - GENERIC - SO-083</v>
      </c>
      <c r="C794" t="s">
        <v>487</v>
      </c>
      <c r="D794" t="s">
        <v>488</v>
      </c>
      <c r="E794" t="s">
        <v>489</v>
      </c>
      <c r="F794" t="s">
        <v>15</v>
      </c>
      <c r="G794" t="s">
        <v>490</v>
      </c>
      <c r="H794" t="s">
        <v>491</v>
      </c>
      <c r="I794" t="s">
        <v>38</v>
      </c>
      <c r="J794">
        <v>1</v>
      </c>
      <c r="K794">
        <v>8500</v>
      </c>
      <c r="L794">
        <v>12500</v>
      </c>
      <c r="M794">
        <v>12500</v>
      </c>
      <c r="N794" t="s">
        <v>19</v>
      </c>
    </row>
    <row r="795" spans="1:14" x14ac:dyDescent="0.25">
      <c r="A795" t="str">
        <f>Table3[[#This Row],[Company Name]] &amp; " - " &amp; Table3[[#This Row],[Store Name]] &amp; " - " &amp; Table3[[#This Row],[Store Branch / Address]]</f>
        <v>DAGDAGAN MICHAEL ENRICO SY - KALBROS BAR AND RESTAURANT - GENERIC</v>
      </c>
      <c r="B795" t="str">
        <f>Table3[[#This Row],[Client ID]] &amp; " - " &amp; Table3[[#This Row],[SO Number]]</f>
        <v>DAGDAGAN MICHAEL ENRICO SY - KALBROS BAR AND RESTAURANT - GENERIC - SO-083</v>
      </c>
      <c r="C795" t="s">
        <v>487</v>
      </c>
      <c r="D795" t="s">
        <v>488</v>
      </c>
      <c r="E795" t="s">
        <v>489</v>
      </c>
      <c r="F795" t="s">
        <v>15</v>
      </c>
      <c r="G795" t="s">
        <v>490</v>
      </c>
      <c r="H795" t="s">
        <v>491</v>
      </c>
      <c r="I795" t="s">
        <v>161</v>
      </c>
      <c r="J795">
        <v>1</v>
      </c>
      <c r="K795">
        <v>8500</v>
      </c>
      <c r="L795">
        <v>12500</v>
      </c>
      <c r="M795">
        <v>12500</v>
      </c>
      <c r="N795" t="s">
        <v>19</v>
      </c>
    </row>
    <row r="796" spans="1:14" x14ac:dyDescent="0.25">
      <c r="A796" t="str">
        <f>Table3[[#This Row],[Company Name]] &amp; " - " &amp; Table3[[#This Row],[Store Name]] &amp; " - " &amp; Table3[[#This Row],[Store Branch / Address]]</f>
        <v>DAGDAGAN MICHAEL ENRICO SY - KALBROS BAR AND RESTAURANT - GENERIC</v>
      </c>
      <c r="B796" t="str">
        <f>Table3[[#This Row],[Client ID]] &amp; " - " &amp; Table3[[#This Row],[SO Number]]</f>
        <v>DAGDAGAN MICHAEL ENRICO SY - KALBROS BAR AND RESTAURANT - GENERIC - SO-083</v>
      </c>
      <c r="C796" t="s">
        <v>487</v>
      </c>
      <c r="D796" t="s">
        <v>488</v>
      </c>
      <c r="E796" t="s">
        <v>489</v>
      </c>
      <c r="F796" t="s">
        <v>15</v>
      </c>
      <c r="G796" t="s">
        <v>490</v>
      </c>
      <c r="H796" t="s">
        <v>491</v>
      </c>
      <c r="I796" t="s">
        <v>97</v>
      </c>
      <c r="J796">
        <v>1</v>
      </c>
      <c r="K796">
        <v>2200</v>
      </c>
      <c r="L796">
        <v>3500</v>
      </c>
      <c r="M796">
        <v>3500</v>
      </c>
      <c r="N796" t="s">
        <v>19</v>
      </c>
    </row>
    <row r="797" spans="1:14" x14ac:dyDescent="0.25">
      <c r="A797" t="str">
        <f>Table3[[#This Row],[Company Name]] &amp; " - " &amp; Table3[[#This Row],[Store Name]] &amp; " - " &amp; Table3[[#This Row],[Store Branch / Address]]</f>
        <v>DAGDAGAN MICHAEL ENRICO SY - KALBROS BAR AND RESTAURANT - GENERIC</v>
      </c>
      <c r="B797" t="str">
        <f>Table3[[#This Row],[Client ID]] &amp; " - " &amp; Table3[[#This Row],[SO Number]]</f>
        <v>DAGDAGAN MICHAEL ENRICO SY - KALBROS BAR AND RESTAURANT - GENERIC - SO-083</v>
      </c>
      <c r="C797" t="s">
        <v>487</v>
      </c>
      <c r="D797" t="s">
        <v>488</v>
      </c>
      <c r="E797" t="s">
        <v>489</v>
      </c>
      <c r="F797" t="s">
        <v>15</v>
      </c>
      <c r="G797" t="s">
        <v>490</v>
      </c>
      <c r="H797" t="s">
        <v>491</v>
      </c>
      <c r="I797" t="s">
        <v>249</v>
      </c>
      <c r="J797">
        <v>1</v>
      </c>
      <c r="K797">
        <v>23450</v>
      </c>
      <c r="L797">
        <v>32500</v>
      </c>
      <c r="M797">
        <v>32500</v>
      </c>
      <c r="N797" t="s">
        <v>19</v>
      </c>
    </row>
    <row r="798" spans="1:14" x14ac:dyDescent="0.25">
      <c r="A798" t="str">
        <f>Table3[[#This Row],[Company Name]] &amp; " - " &amp; Table3[[#This Row],[Store Name]] &amp; " - " &amp; Table3[[#This Row],[Store Branch / Address]]</f>
        <v>ANONYMOUS - FUN CITY - AYALA MALLS MANILA BAY</v>
      </c>
      <c r="B798" t="str">
        <f>Table3[[#This Row],[Client ID]] &amp; " - " &amp; Table3[[#This Row],[SO Number]]</f>
        <v>ANONYMOUS - FUN CITY - AYALA MALLS MANILA BAY - SO-035</v>
      </c>
      <c r="C798" t="s">
        <v>268</v>
      </c>
      <c r="D798" t="s">
        <v>1085</v>
      </c>
      <c r="E798" t="s">
        <v>1086</v>
      </c>
      <c r="F798" t="s">
        <v>1089</v>
      </c>
      <c r="G798" t="s">
        <v>1088</v>
      </c>
      <c r="H798" t="s">
        <v>1090</v>
      </c>
      <c r="I798" t="s">
        <v>422</v>
      </c>
      <c r="J798">
        <v>1</v>
      </c>
      <c r="K798">
        <v>3675</v>
      </c>
      <c r="L798">
        <v>10500</v>
      </c>
      <c r="M798">
        <v>10500</v>
      </c>
      <c r="N798" t="s">
        <v>1010</v>
      </c>
    </row>
    <row r="799" spans="1:14" x14ac:dyDescent="0.25">
      <c r="A799" t="str">
        <f>Table3[[#This Row],[Company Name]] &amp; " - " &amp; Table3[[#This Row],[Store Name]] &amp; " - " &amp; Table3[[#This Row],[Store Branch / Address]]</f>
        <v>ANONYMOUS - FUN CITY - AYALA MALLS MANILA BAY</v>
      </c>
      <c r="B799" t="str">
        <f>Table3[[#This Row],[Client ID]] &amp; " - " &amp; Table3[[#This Row],[SO Number]]</f>
        <v>ANONYMOUS - FUN CITY - AYALA MALLS MANILA BAY - SO-035</v>
      </c>
      <c r="C799" t="s">
        <v>268</v>
      </c>
      <c r="D799" t="s">
        <v>1085</v>
      </c>
      <c r="E799" t="s">
        <v>1086</v>
      </c>
      <c r="F799" t="s">
        <v>1089</v>
      </c>
      <c r="G799" t="s">
        <v>1088</v>
      </c>
      <c r="H799" t="s">
        <v>1090</v>
      </c>
      <c r="I799" t="s">
        <v>26</v>
      </c>
      <c r="J799">
        <v>1</v>
      </c>
      <c r="K799">
        <v>500</v>
      </c>
      <c r="L799">
        <v>500</v>
      </c>
      <c r="M799">
        <v>500</v>
      </c>
      <c r="N799" t="s">
        <v>1010</v>
      </c>
    </row>
    <row r="800" spans="1:14" x14ac:dyDescent="0.25">
      <c r="A800" t="str">
        <f>Table3[[#This Row],[Company Name]] &amp; " - " &amp; Table3[[#This Row],[Store Name]] &amp; " - " &amp; Table3[[#This Row],[Store Branch / Address]]</f>
        <v>ANONYMOUS - FUN CITY - AYALA MALLS MANILA BAY</v>
      </c>
      <c r="B800" t="str">
        <f>Table3[[#This Row],[Client ID]] &amp; " - " &amp; Table3[[#This Row],[SO Number]]</f>
        <v>ANONYMOUS - FUN CITY - AYALA MALLS MANILA BAY - SO-035</v>
      </c>
      <c r="C800" t="s">
        <v>268</v>
      </c>
      <c r="D800" t="s">
        <v>1085</v>
      </c>
      <c r="E800" t="s">
        <v>1086</v>
      </c>
      <c r="F800" t="s">
        <v>1089</v>
      </c>
      <c r="G800" t="s">
        <v>1088</v>
      </c>
      <c r="H800" t="s">
        <v>1090</v>
      </c>
      <c r="I800" t="s">
        <v>537</v>
      </c>
      <c r="J800">
        <v>1</v>
      </c>
      <c r="K800">
        <v>4200</v>
      </c>
      <c r="L800">
        <v>3587.5</v>
      </c>
      <c r="M800">
        <v>3587.5</v>
      </c>
      <c r="N800" t="s">
        <v>1010</v>
      </c>
    </row>
    <row r="801" spans="1:14" x14ac:dyDescent="0.25">
      <c r="A801" t="str">
        <f>Table3[[#This Row],[Company Name]] &amp; " - " &amp; Table3[[#This Row],[Store Name]] &amp; " - " &amp; Table3[[#This Row],[Store Branch / Address]]</f>
        <v>ANONYMOUS - FUN CITY - AYALA MALLS MANILA BAY</v>
      </c>
      <c r="B801" t="str">
        <f>Table3[[#This Row],[Client ID]] &amp; " - " &amp; Table3[[#This Row],[SO Number]]</f>
        <v>ANONYMOUS - FUN CITY - AYALA MALLS MANILA BAY - SO-035</v>
      </c>
      <c r="C801" t="s">
        <v>268</v>
      </c>
      <c r="D801" t="s">
        <v>1085</v>
      </c>
      <c r="E801" t="s">
        <v>1086</v>
      </c>
      <c r="F801" t="s">
        <v>1089</v>
      </c>
      <c r="G801" t="s">
        <v>1088</v>
      </c>
      <c r="H801" t="s">
        <v>1090</v>
      </c>
      <c r="I801" t="s">
        <v>24</v>
      </c>
      <c r="J801">
        <v>1</v>
      </c>
      <c r="K801">
        <v>4200</v>
      </c>
      <c r="L801">
        <v>3587.5</v>
      </c>
      <c r="M801">
        <v>3587.5</v>
      </c>
      <c r="N801" t="s">
        <v>1010</v>
      </c>
    </row>
    <row r="802" spans="1:14" x14ac:dyDescent="0.25">
      <c r="A802" t="str">
        <f>Table3[[#This Row],[Company Name]] &amp; " - " &amp; Table3[[#This Row],[Store Name]] &amp; " - " &amp; Table3[[#This Row],[Store Branch / Address]]</f>
        <v>ANONYMOUS - FUN CITY - VERTIS NORTH</v>
      </c>
      <c r="B802" t="str">
        <f>Table3[[#This Row],[Client ID]] &amp; " - " &amp; Table3[[#This Row],[SO Number]]</f>
        <v>ANONYMOUS - FUN CITY - VERTIS NORTH - SO-036</v>
      </c>
      <c r="C802" t="s">
        <v>272</v>
      </c>
      <c r="D802" t="s">
        <v>1085</v>
      </c>
      <c r="E802" t="s">
        <v>1086</v>
      </c>
      <c r="F802" t="s">
        <v>1091</v>
      </c>
      <c r="G802" t="s">
        <v>1088</v>
      </c>
      <c r="H802" t="s">
        <v>1090</v>
      </c>
      <c r="I802" t="s">
        <v>422</v>
      </c>
      <c r="J802">
        <v>1</v>
      </c>
      <c r="K802">
        <v>3675</v>
      </c>
      <c r="L802">
        <v>10500</v>
      </c>
      <c r="M802">
        <v>10500</v>
      </c>
      <c r="N802" t="s">
        <v>1010</v>
      </c>
    </row>
    <row r="803" spans="1:14" x14ac:dyDescent="0.25">
      <c r="A803" t="str">
        <f>Table3[[#This Row],[Company Name]] &amp; " - " &amp; Table3[[#This Row],[Store Name]] &amp; " - " &amp; Table3[[#This Row],[Store Branch / Address]]</f>
        <v>ANONYMOUS - FUN CITY - VERTIS NORTH</v>
      </c>
      <c r="B803" t="str">
        <f>Table3[[#This Row],[Client ID]] &amp; " - " &amp; Table3[[#This Row],[SO Number]]</f>
        <v>ANONYMOUS - FUN CITY - VERTIS NORTH - SO-036</v>
      </c>
      <c r="C803" t="s">
        <v>272</v>
      </c>
      <c r="D803" t="s">
        <v>1085</v>
      </c>
      <c r="E803" t="s">
        <v>1086</v>
      </c>
      <c r="F803" t="s">
        <v>1091</v>
      </c>
      <c r="G803" t="s">
        <v>1088</v>
      </c>
      <c r="H803" t="s">
        <v>1090</v>
      </c>
      <c r="I803" t="s">
        <v>26</v>
      </c>
      <c r="J803">
        <v>1</v>
      </c>
      <c r="K803">
        <v>500</v>
      </c>
      <c r="L803">
        <v>500</v>
      </c>
      <c r="M803">
        <v>500</v>
      </c>
      <c r="N803" t="s">
        <v>1010</v>
      </c>
    </row>
    <row r="804" spans="1:14" x14ac:dyDescent="0.25">
      <c r="A804" t="str">
        <f>Table3[[#This Row],[Company Name]] &amp; " - " &amp; Table3[[#This Row],[Store Name]] &amp; " - " &amp; Table3[[#This Row],[Store Branch / Address]]</f>
        <v>ANONYMOUS - FUN CITY - VERTIS NORTH</v>
      </c>
      <c r="B804" t="str">
        <f>Table3[[#This Row],[Client ID]] &amp; " - " &amp; Table3[[#This Row],[SO Number]]</f>
        <v>ANONYMOUS - FUN CITY - VERTIS NORTH - SO-036</v>
      </c>
      <c r="C804" t="s">
        <v>272</v>
      </c>
      <c r="D804" t="s">
        <v>1085</v>
      </c>
      <c r="E804" t="s">
        <v>1086</v>
      </c>
      <c r="F804" t="s">
        <v>1091</v>
      </c>
      <c r="G804" t="s">
        <v>1088</v>
      </c>
      <c r="H804" t="s">
        <v>1090</v>
      </c>
      <c r="I804" t="s">
        <v>537</v>
      </c>
      <c r="J804">
        <v>1</v>
      </c>
      <c r="K804">
        <v>4200</v>
      </c>
      <c r="L804">
        <v>3587.5</v>
      </c>
      <c r="M804">
        <v>3587.5</v>
      </c>
      <c r="N804" t="s">
        <v>1010</v>
      </c>
    </row>
    <row r="805" spans="1:14" x14ac:dyDescent="0.25">
      <c r="A805" t="str">
        <f>Table3[[#This Row],[Company Name]] &amp; " - " &amp; Table3[[#This Row],[Store Name]] &amp; " - " &amp; Table3[[#This Row],[Store Branch / Address]]</f>
        <v>ANONYMOUS - FUN CITY - VERTIS NORTH</v>
      </c>
      <c r="B805" t="str">
        <f>Table3[[#This Row],[Client ID]] &amp; " - " &amp; Table3[[#This Row],[SO Number]]</f>
        <v>ANONYMOUS - FUN CITY - VERTIS NORTH - SO-036</v>
      </c>
      <c r="C805" t="s">
        <v>272</v>
      </c>
      <c r="D805" t="s">
        <v>1085</v>
      </c>
      <c r="E805" t="s">
        <v>1086</v>
      </c>
      <c r="F805" t="s">
        <v>1091</v>
      </c>
      <c r="G805" t="s">
        <v>1088</v>
      </c>
      <c r="H805" t="s">
        <v>1090</v>
      </c>
      <c r="I805" t="s">
        <v>24</v>
      </c>
      <c r="J805">
        <v>1</v>
      </c>
      <c r="K805">
        <v>4200</v>
      </c>
      <c r="L805">
        <v>3587.5</v>
      </c>
      <c r="M805">
        <v>3587.5</v>
      </c>
      <c r="N805" t="s">
        <v>1010</v>
      </c>
    </row>
    <row r="806" spans="1:14" x14ac:dyDescent="0.25">
      <c r="A806" t="str">
        <f>Table3[[#This Row],[Company Name]] &amp; " - " &amp; Table3[[#This Row],[Store Name]] &amp; " - " &amp; Table3[[#This Row],[Store Branch / Address]]</f>
        <v>CHICKEN DELI - CASA REYES - GENERIC</v>
      </c>
      <c r="B806" t="str">
        <f>Table3[[#This Row],[Client ID]] &amp; " - " &amp; Table3[[#This Row],[SO Number]]</f>
        <v>CHICKEN DELI - CASA REYES - GENERIC - SO-102</v>
      </c>
      <c r="C806" t="s">
        <v>556</v>
      </c>
      <c r="D806" t="s">
        <v>20</v>
      </c>
      <c r="E806" t="s">
        <v>81</v>
      </c>
      <c r="F806" t="s">
        <v>15</v>
      </c>
      <c r="G806" t="s">
        <v>22</v>
      </c>
      <c r="H806" t="s">
        <v>560</v>
      </c>
      <c r="I806" t="s">
        <v>561</v>
      </c>
      <c r="J806">
        <v>1</v>
      </c>
      <c r="K806">
        <v>8500</v>
      </c>
      <c r="L806">
        <v>12100</v>
      </c>
      <c r="M806">
        <v>12100</v>
      </c>
      <c r="N806" t="s">
        <v>19</v>
      </c>
    </row>
    <row r="807" spans="1:14" x14ac:dyDescent="0.25">
      <c r="A807" t="str">
        <f>Table3[[#This Row],[Company Name]] &amp; " - " &amp; Table3[[#This Row],[Store Name]] &amp; " - " &amp; Table3[[#This Row],[Store Branch / Address]]</f>
        <v>CHICKEN DELI - CASA REYES - GENERIC</v>
      </c>
      <c r="B807" t="str">
        <f>Table3[[#This Row],[Client ID]] &amp; " - " &amp; Table3[[#This Row],[SO Number]]</f>
        <v>CHICKEN DELI - CASA REYES - GENERIC - SO-102</v>
      </c>
      <c r="C807" t="s">
        <v>556</v>
      </c>
      <c r="D807" t="s">
        <v>20</v>
      </c>
      <c r="E807" t="s">
        <v>81</v>
      </c>
      <c r="F807" t="s">
        <v>15</v>
      </c>
      <c r="G807" t="s">
        <v>22</v>
      </c>
      <c r="H807" t="s">
        <v>560</v>
      </c>
      <c r="I807" t="s">
        <v>76</v>
      </c>
      <c r="J807">
        <v>1</v>
      </c>
      <c r="K807">
        <v>400</v>
      </c>
      <c r="L807">
        <v>400</v>
      </c>
      <c r="M807">
        <v>400</v>
      </c>
      <c r="N807" t="s">
        <v>19</v>
      </c>
    </row>
    <row r="808" spans="1:14" x14ac:dyDescent="0.25">
      <c r="A808" t="str">
        <f>Table3[[#This Row],[Company Name]] &amp; " - " &amp; Table3[[#This Row],[Store Name]] &amp; " - " &amp; Table3[[#This Row],[Store Branch / Address]]</f>
        <v>CHICKEN DELI - CASA REYES - GENERIC</v>
      </c>
      <c r="B808" t="str">
        <f>Table3[[#This Row],[Client ID]] &amp; " - " &amp; Table3[[#This Row],[SO Number]]</f>
        <v>CHICKEN DELI - CASA REYES - GENERIC - SO-103</v>
      </c>
      <c r="C808" t="s">
        <v>562</v>
      </c>
      <c r="D808" t="s">
        <v>20</v>
      </c>
      <c r="E808" t="s">
        <v>81</v>
      </c>
      <c r="F808" t="s">
        <v>15</v>
      </c>
      <c r="G808" t="s">
        <v>22</v>
      </c>
      <c r="H808" t="s">
        <v>560</v>
      </c>
      <c r="I808" t="s">
        <v>561</v>
      </c>
      <c r="J808">
        <v>1</v>
      </c>
      <c r="K808">
        <v>8500</v>
      </c>
      <c r="L808">
        <v>12100</v>
      </c>
      <c r="M808">
        <v>12100</v>
      </c>
      <c r="N808" t="s">
        <v>19</v>
      </c>
    </row>
    <row r="809" spans="1:14" x14ac:dyDescent="0.25">
      <c r="A809" t="str">
        <f>Table3[[#This Row],[Company Name]] &amp; " - " &amp; Table3[[#This Row],[Store Name]] &amp; " - " &amp; Table3[[#This Row],[Store Branch / Address]]</f>
        <v>CHICKEN DELI - CASA REYES - GENERIC</v>
      </c>
      <c r="B809" t="str">
        <f>Table3[[#This Row],[Client ID]] &amp; " - " &amp; Table3[[#This Row],[SO Number]]</f>
        <v>CHICKEN DELI - CASA REYES - GENERIC - SO-103</v>
      </c>
      <c r="C809" t="s">
        <v>562</v>
      </c>
      <c r="D809" t="s">
        <v>20</v>
      </c>
      <c r="E809" t="s">
        <v>81</v>
      </c>
      <c r="F809" t="s">
        <v>15</v>
      </c>
      <c r="G809" t="s">
        <v>22</v>
      </c>
      <c r="H809" t="s">
        <v>560</v>
      </c>
      <c r="I809" t="s">
        <v>76</v>
      </c>
      <c r="J809">
        <v>1</v>
      </c>
      <c r="K809">
        <v>400</v>
      </c>
      <c r="L809">
        <v>400</v>
      </c>
      <c r="M809">
        <v>400</v>
      </c>
      <c r="N809" t="s">
        <v>19</v>
      </c>
    </row>
    <row r="810" spans="1:14" x14ac:dyDescent="0.25">
      <c r="A810" t="str">
        <f>Table3[[#This Row],[Company Name]] &amp; " - " &amp; Table3[[#This Row],[Store Name]] &amp; " - " &amp; Table3[[#This Row],[Store Branch / Address]]</f>
        <v>CHICKEN DELI - MN+LA APPAREL - GENERIC</v>
      </c>
      <c r="B810" t="str">
        <f>Table3[[#This Row],[Client ID]] &amp; " - " &amp; Table3[[#This Row],[SO Number]]</f>
        <v>CHICKEN DELI - MN+LA APPAREL - GENERIC - SO-104</v>
      </c>
      <c r="C810" t="s">
        <v>564</v>
      </c>
      <c r="D810" t="s">
        <v>20</v>
      </c>
      <c r="E810" t="s">
        <v>119</v>
      </c>
      <c r="F810" t="s">
        <v>15</v>
      </c>
      <c r="G810" t="s">
        <v>22</v>
      </c>
      <c r="H810" t="s">
        <v>570</v>
      </c>
      <c r="I810" t="s">
        <v>571</v>
      </c>
      <c r="J810">
        <v>1</v>
      </c>
      <c r="K810">
        <v>52000</v>
      </c>
      <c r="L810">
        <v>52000</v>
      </c>
      <c r="M810">
        <v>52000</v>
      </c>
      <c r="N810" t="s">
        <v>19</v>
      </c>
    </row>
    <row r="811" spans="1:14" x14ac:dyDescent="0.25">
      <c r="A811" t="str">
        <f>Table3[[#This Row],[Company Name]] &amp; " - " &amp; Table3[[#This Row],[Store Name]] &amp; " - " &amp; Table3[[#This Row],[Store Branch / Address]]</f>
        <v>CHICKEN DELI - BABY NATHAN'S KITCHEN CORP. - GENERIC</v>
      </c>
      <c r="B811" t="str">
        <f>Table3[[#This Row],[Client ID]] &amp; " - " &amp; Table3[[#This Row],[SO Number]]</f>
        <v>CHICKEN DELI - BABY NATHAN'S KITCHEN CORP. - GENERIC - SO-105</v>
      </c>
      <c r="C811" t="s">
        <v>572</v>
      </c>
      <c r="D811" t="s">
        <v>20</v>
      </c>
      <c r="E811" t="s">
        <v>573</v>
      </c>
      <c r="F811" t="s">
        <v>15</v>
      </c>
      <c r="G811" t="s">
        <v>22</v>
      </c>
      <c r="H811" t="s">
        <v>570</v>
      </c>
      <c r="I811" t="s">
        <v>574</v>
      </c>
      <c r="J811">
        <v>1</v>
      </c>
      <c r="K811">
        <v>2975</v>
      </c>
      <c r="L811">
        <v>8500</v>
      </c>
      <c r="M811">
        <v>8500</v>
      </c>
      <c r="N811" t="s">
        <v>19</v>
      </c>
    </row>
    <row r="812" spans="1:14" x14ac:dyDescent="0.25">
      <c r="A812" t="str">
        <f>Table3[[#This Row],[Company Name]] &amp; " - " &amp; Table3[[#This Row],[Store Name]] &amp; " - " &amp; Table3[[#This Row],[Store Branch / Address]]</f>
        <v>CHICKEN DELI - BABY NATHAN'S KITCHEN CORP. - GENERIC</v>
      </c>
      <c r="B812" t="str">
        <f>Table3[[#This Row],[Client ID]] &amp; " - " &amp; Table3[[#This Row],[SO Number]]</f>
        <v>CHICKEN DELI - BABY NATHAN'S KITCHEN CORP. - GENERIC - SO-105</v>
      </c>
      <c r="C812" t="s">
        <v>572</v>
      </c>
      <c r="D812" t="s">
        <v>20</v>
      </c>
      <c r="E812" t="s">
        <v>573</v>
      </c>
      <c r="F812" t="s">
        <v>15</v>
      </c>
      <c r="G812" t="s">
        <v>22</v>
      </c>
      <c r="H812" t="s">
        <v>570</v>
      </c>
      <c r="I812" t="s">
        <v>575</v>
      </c>
      <c r="J812">
        <v>1</v>
      </c>
      <c r="K812">
        <v>4700</v>
      </c>
      <c r="L812">
        <v>4700</v>
      </c>
      <c r="M812">
        <v>4700</v>
      </c>
      <c r="N812" t="s">
        <v>19</v>
      </c>
    </row>
    <row r="813" spans="1:14" x14ac:dyDescent="0.25">
      <c r="A813" t="str">
        <f>Table3[[#This Row],[Company Name]] &amp; " - " &amp; Table3[[#This Row],[Store Name]] &amp; " - " &amp; Table3[[#This Row],[Store Branch / Address]]</f>
        <v>CHICKEN DELI - BABY NATHAN'S KITCHEN CORP. - GENERIC</v>
      </c>
      <c r="B813" t="str">
        <f>Table3[[#This Row],[Client ID]] &amp; " - " &amp; Table3[[#This Row],[SO Number]]</f>
        <v>CHICKEN DELI - BABY NATHAN'S KITCHEN CORP. - GENERIC - SO-105</v>
      </c>
      <c r="C813" t="s">
        <v>572</v>
      </c>
      <c r="D813" t="s">
        <v>20</v>
      </c>
      <c r="E813" t="s">
        <v>573</v>
      </c>
      <c r="F813" t="s">
        <v>15</v>
      </c>
      <c r="G813" t="s">
        <v>22</v>
      </c>
      <c r="H813" t="s">
        <v>570</v>
      </c>
      <c r="I813" t="s">
        <v>24</v>
      </c>
      <c r="J813">
        <v>1</v>
      </c>
      <c r="K813">
        <v>4700</v>
      </c>
      <c r="L813">
        <v>4700</v>
      </c>
      <c r="M813">
        <v>4700</v>
      </c>
      <c r="N813" t="s">
        <v>19</v>
      </c>
    </row>
    <row r="814" spans="1:14" x14ac:dyDescent="0.25">
      <c r="A814" t="str">
        <f>Table3[[#This Row],[Company Name]] &amp; " - " &amp; Table3[[#This Row],[Store Name]] &amp; " - " &amp; Table3[[#This Row],[Store Branch / Address]]</f>
        <v>CHICKEN DELI - BABY NATHAN'S KITCHEN CORP. - GENERIC</v>
      </c>
      <c r="B814" t="str">
        <f>Table3[[#This Row],[Client ID]] &amp; " - " &amp; Table3[[#This Row],[SO Number]]</f>
        <v>CHICKEN DELI - BABY NATHAN'S KITCHEN CORP. - GENERIC - SO-105</v>
      </c>
      <c r="C814" t="s">
        <v>572</v>
      </c>
      <c r="D814" t="s">
        <v>20</v>
      </c>
      <c r="E814" t="s">
        <v>573</v>
      </c>
      <c r="F814" t="s">
        <v>15</v>
      </c>
      <c r="G814" t="s">
        <v>22</v>
      </c>
      <c r="H814" t="s">
        <v>570</v>
      </c>
      <c r="I814" t="s">
        <v>576</v>
      </c>
      <c r="J814">
        <v>1</v>
      </c>
      <c r="K814">
        <v>21000</v>
      </c>
      <c r="L814">
        <v>30000</v>
      </c>
      <c r="M814">
        <v>30000</v>
      </c>
      <c r="N814" t="s">
        <v>19</v>
      </c>
    </row>
    <row r="815" spans="1:14" x14ac:dyDescent="0.25">
      <c r="A815" t="str">
        <f>Table3[[#This Row],[Company Name]] &amp; " - " &amp; Table3[[#This Row],[Store Name]] &amp; " - " &amp; Table3[[#This Row],[Store Branch / Address]]</f>
        <v>CHICKEN DELI - BABY NATHAN'S KITCHEN CORP. - GENERIC</v>
      </c>
      <c r="B815" t="str">
        <f>Table3[[#This Row],[Client ID]] &amp; " - " &amp; Table3[[#This Row],[SO Number]]</f>
        <v>CHICKEN DELI - BABY NATHAN'S KITCHEN CORP. - GENERIC - SO-105</v>
      </c>
      <c r="C815" t="s">
        <v>572</v>
      </c>
      <c r="D815" t="s">
        <v>20</v>
      </c>
      <c r="E815" t="s">
        <v>573</v>
      </c>
      <c r="F815" t="s">
        <v>15</v>
      </c>
      <c r="G815" t="s">
        <v>22</v>
      </c>
      <c r="H815" t="s">
        <v>570</v>
      </c>
      <c r="I815" t="s">
        <v>577</v>
      </c>
      <c r="J815">
        <v>1</v>
      </c>
      <c r="K815">
        <v>11700</v>
      </c>
      <c r="L815">
        <v>17000</v>
      </c>
      <c r="M815">
        <v>17000</v>
      </c>
      <c r="N815" t="s">
        <v>19</v>
      </c>
    </row>
    <row r="816" spans="1:14" x14ac:dyDescent="0.25">
      <c r="A816" t="str">
        <f>Table3[[#This Row],[Company Name]] &amp; " - " &amp; Table3[[#This Row],[Store Name]] &amp; " - " &amp; Table3[[#This Row],[Store Branch / Address]]</f>
        <v>CHICKEN DELI - BABY NATHAN'S KITCHEN CORP. - GENERIC</v>
      </c>
      <c r="B816" t="str">
        <f>Table3[[#This Row],[Client ID]] &amp; " - " &amp; Table3[[#This Row],[SO Number]]</f>
        <v>CHICKEN DELI - BABY NATHAN'S KITCHEN CORP. - GENERIC - SO-105</v>
      </c>
      <c r="C816" t="s">
        <v>572</v>
      </c>
      <c r="D816" t="s">
        <v>20</v>
      </c>
      <c r="E816" t="s">
        <v>573</v>
      </c>
      <c r="F816" t="s">
        <v>15</v>
      </c>
      <c r="G816" t="s">
        <v>22</v>
      </c>
      <c r="H816" t="s">
        <v>570</v>
      </c>
      <c r="I816" t="s">
        <v>236</v>
      </c>
      <c r="J816">
        <v>1</v>
      </c>
      <c r="K816">
        <v>2200</v>
      </c>
      <c r="L816">
        <v>3100</v>
      </c>
      <c r="M816">
        <v>3100</v>
      </c>
      <c r="N816" t="s">
        <v>19</v>
      </c>
    </row>
    <row r="817" spans="1:14" x14ac:dyDescent="0.25">
      <c r="A817" t="str">
        <f>Table3[[#This Row],[Company Name]] &amp; " - " &amp; Table3[[#This Row],[Store Name]] &amp; " - " &amp; Table3[[#This Row],[Store Branch / Address]]</f>
        <v>CHICKEN DELI - BABY NATHAN'S KITCHEN CORP. - GENERIC</v>
      </c>
      <c r="B817" t="str">
        <f>Table3[[#This Row],[Client ID]] &amp; " - " &amp; Table3[[#This Row],[SO Number]]</f>
        <v>CHICKEN DELI - BABY NATHAN'S KITCHEN CORP. - GENERIC - SO-105</v>
      </c>
      <c r="C817" t="s">
        <v>572</v>
      </c>
      <c r="D817" t="s">
        <v>20</v>
      </c>
      <c r="E817" t="s">
        <v>573</v>
      </c>
      <c r="F817" t="s">
        <v>15</v>
      </c>
      <c r="G817" t="s">
        <v>22</v>
      </c>
      <c r="H817" t="s">
        <v>570</v>
      </c>
      <c r="I817" t="s">
        <v>235</v>
      </c>
      <c r="J817">
        <v>1</v>
      </c>
      <c r="K817">
        <v>1350</v>
      </c>
      <c r="L817">
        <v>2000</v>
      </c>
      <c r="M817">
        <v>2000</v>
      </c>
      <c r="N817" t="s">
        <v>19</v>
      </c>
    </row>
    <row r="818" spans="1:14" x14ac:dyDescent="0.25">
      <c r="A818" t="str">
        <f>Table3[[#This Row],[Company Name]] &amp; " - " &amp; Table3[[#This Row],[Store Name]] &amp; " - " &amp; Table3[[#This Row],[Store Branch / Address]]</f>
        <v>CHICKEN DELI - BABY NATHAN'S KITCHEN CORP. - GENERIC</v>
      </c>
      <c r="B818" t="str">
        <f>Table3[[#This Row],[Client ID]] &amp; " - " &amp; Table3[[#This Row],[SO Number]]</f>
        <v>CHICKEN DELI - BABY NATHAN'S KITCHEN CORP. - GENERIC - SO-105</v>
      </c>
      <c r="C818" t="s">
        <v>572</v>
      </c>
      <c r="D818" t="s">
        <v>20</v>
      </c>
      <c r="E818" t="s">
        <v>573</v>
      </c>
      <c r="F818" t="s">
        <v>15</v>
      </c>
      <c r="G818" t="s">
        <v>22</v>
      </c>
      <c r="H818" t="s">
        <v>570</v>
      </c>
      <c r="I818" t="s">
        <v>171</v>
      </c>
      <c r="J818">
        <v>1</v>
      </c>
      <c r="K818">
        <v>500</v>
      </c>
      <c r="L818">
        <v>500</v>
      </c>
      <c r="M818">
        <v>500</v>
      </c>
      <c r="N818" t="s">
        <v>19</v>
      </c>
    </row>
    <row r="819" spans="1:14" x14ac:dyDescent="0.25">
      <c r="A819" t="str">
        <f>Table3[[#This Row],[Company Name]] &amp; " - " &amp; Table3[[#This Row],[Store Name]] &amp; " - " &amp; Table3[[#This Row],[Store Branch / Address]]</f>
        <v>CHICKEN DELI - BABY NATHAN'S KITCHEN CORP. - GENERIC</v>
      </c>
      <c r="B819" t="str">
        <f>Table3[[#This Row],[Client ID]] &amp; " - " &amp; Table3[[#This Row],[SO Number]]</f>
        <v>CHICKEN DELI - BABY NATHAN'S KITCHEN CORP. - GENERIC - SO-105</v>
      </c>
      <c r="C819" t="s">
        <v>572</v>
      </c>
      <c r="D819" t="s">
        <v>20</v>
      </c>
      <c r="E819" t="s">
        <v>573</v>
      </c>
      <c r="F819" t="s">
        <v>15</v>
      </c>
      <c r="G819" t="s">
        <v>22</v>
      </c>
      <c r="H819" t="s">
        <v>570</v>
      </c>
      <c r="I819" t="s">
        <v>393</v>
      </c>
      <c r="J819">
        <v>1</v>
      </c>
      <c r="K819">
        <v>500</v>
      </c>
      <c r="L819">
        <v>500</v>
      </c>
      <c r="M819">
        <v>500</v>
      </c>
      <c r="N819" t="s">
        <v>19</v>
      </c>
    </row>
    <row r="820" spans="1:14" x14ac:dyDescent="0.25">
      <c r="A820" t="str">
        <f>Table3[[#This Row],[Company Name]] &amp; " - " &amp; Table3[[#This Row],[Store Name]] &amp; " - " &amp; Table3[[#This Row],[Store Branch / Address]]</f>
        <v>JASANNE INCORPORATED - TERRIE FASHION BOUTIQUE - GENERIC</v>
      </c>
      <c r="B820" t="str">
        <f>Table3[[#This Row],[Client ID]] &amp; " - " &amp; Table3[[#This Row],[SO Number]]</f>
        <v>JASANNE INCORPORATED - TERRIE FASHION BOUTIQUE - GENERIC - SO-037</v>
      </c>
      <c r="C820" t="s">
        <v>274</v>
      </c>
      <c r="D820" t="s">
        <v>1092</v>
      </c>
      <c r="E820" t="s">
        <v>1093</v>
      </c>
      <c r="F820" t="s">
        <v>15</v>
      </c>
      <c r="G820" t="s">
        <v>37</v>
      </c>
      <c r="H820" t="s">
        <v>570</v>
      </c>
      <c r="I820" t="s">
        <v>33</v>
      </c>
      <c r="J820">
        <v>1</v>
      </c>
      <c r="K820">
        <v>10000</v>
      </c>
      <c r="L820">
        <v>10000</v>
      </c>
      <c r="M820">
        <v>10000</v>
      </c>
      <c r="N820" t="s">
        <v>19</v>
      </c>
    </row>
    <row r="821" spans="1:14" x14ac:dyDescent="0.25">
      <c r="A821" t="str">
        <f>Table3[[#This Row],[Company Name]] &amp; " - " &amp; Table3[[#This Row],[Store Name]] &amp; " - " &amp; Table3[[#This Row],[Store Branch / Address]]</f>
        <v>CHICKEN DELI - GONGCHA - GENERIC</v>
      </c>
      <c r="B821" t="str">
        <f>Table3[[#This Row],[Client ID]] &amp; " - " &amp; Table3[[#This Row],[SO Number]]</f>
        <v>CHICKEN DELI - GONGCHA - GENERIC - SO-107</v>
      </c>
      <c r="C821" t="s">
        <v>582</v>
      </c>
      <c r="D821" t="s">
        <v>20</v>
      </c>
      <c r="E821" t="s">
        <v>31</v>
      </c>
      <c r="F821" t="s">
        <v>15</v>
      </c>
      <c r="G821" t="s">
        <v>22</v>
      </c>
      <c r="H821" t="s">
        <v>584</v>
      </c>
      <c r="I821" t="s">
        <v>585</v>
      </c>
      <c r="J821">
        <v>1</v>
      </c>
      <c r="K821">
        <v>8500</v>
      </c>
      <c r="L821">
        <v>12100</v>
      </c>
      <c r="M821">
        <v>12100</v>
      </c>
      <c r="N821" t="s">
        <v>19</v>
      </c>
    </row>
    <row r="822" spans="1:14" x14ac:dyDescent="0.25">
      <c r="A822" t="str">
        <f>Table3[[#This Row],[Company Name]] &amp; " - " &amp; Table3[[#This Row],[Store Name]] &amp; " - " &amp; Table3[[#This Row],[Store Branch / Address]]</f>
        <v>CHICKEN DELI - GONGCHA - GENERIC</v>
      </c>
      <c r="B822" t="str">
        <f>Table3[[#This Row],[Client ID]] &amp; " - " &amp; Table3[[#This Row],[SO Number]]</f>
        <v>CHICKEN DELI - GONGCHA - GENERIC - SO-107</v>
      </c>
      <c r="C822" t="s">
        <v>582</v>
      </c>
      <c r="D822" t="s">
        <v>20</v>
      </c>
      <c r="E822" t="s">
        <v>31</v>
      </c>
      <c r="F822" t="s">
        <v>15</v>
      </c>
      <c r="G822" t="s">
        <v>22</v>
      </c>
      <c r="H822" t="s">
        <v>584</v>
      </c>
      <c r="I822" t="s">
        <v>76</v>
      </c>
      <c r="J822">
        <v>1</v>
      </c>
      <c r="K822">
        <v>400</v>
      </c>
      <c r="L822">
        <v>400</v>
      </c>
      <c r="M822">
        <v>400</v>
      </c>
      <c r="N822" t="s">
        <v>19</v>
      </c>
    </row>
    <row r="823" spans="1:14" x14ac:dyDescent="0.25">
      <c r="A823" t="str">
        <f>Table3[[#This Row],[Company Name]] &amp; " - " &amp; Table3[[#This Row],[Store Name]] &amp; " - " &amp; Table3[[#This Row],[Store Branch / Address]]</f>
        <v>CHICKEN DELI - J&amp;G - GENERIC</v>
      </c>
      <c r="B823" t="str">
        <f>Table3[[#This Row],[Client ID]] &amp; " - " &amp; Table3[[#This Row],[SO Number]]</f>
        <v>CHICKEN DELI - J&amp;G - GENERIC - SO-108</v>
      </c>
      <c r="C823" t="s">
        <v>586</v>
      </c>
      <c r="D823" t="s">
        <v>20</v>
      </c>
      <c r="E823" t="s">
        <v>587</v>
      </c>
      <c r="F823" t="s">
        <v>15</v>
      </c>
      <c r="G823" t="s">
        <v>22</v>
      </c>
      <c r="H823" t="s">
        <v>584</v>
      </c>
      <c r="I823" t="s">
        <v>585</v>
      </c>
      <c r="J823">
        <v>1</v>
      </c>
      <c r="K823">
        <v>8500</v>
      </c>
      <c r="L823">
        <v>12100</v>
      </c>
      <c r="M823">
        <v>12100</v>
      </c>
      <c r="N823" t="s">
        <v>19</v>
      </c>
    </row>
    <row r="824" spans="1:14" x14ac:dyDescent="0.25">
      <c r="A824" t="str">
        <f>Table3[[#This Row],[Company Name]] &amp; " - " &amp; Table3[[#This Row],[Store Name]] &amp; " - " &amp; Table3[[#This Row],[Store Branch / Address]]</f>
        <v>CHICKEN DELI - J&amp;G - GENERIC</v>
      </c>
      <c r="B824" t="str">
        <f>Table3[[#This Row],[Client ID]] &amp; " - " &amp; Table3[[#This Row],[SO Number]]</f>
        <v>CHICKEN DELI - J&amp;G - GENERIC - SO-108</v>
      </c>
      <c r="C824" t="s">
        <v>586</v>
      </c>
      <c r="D824" t="s">
        <v>20</v>
      </c>
      <c r="E824" t="s">
        <v>587</v>
      </c>
      <c r="F824" t="s">
        <v>15</v>
      </c>
      <c r="G824" t="s">
        <v>22</v>
      </c>
      <c r="H824" t="s">
        <v>584</v>
      </c>
      <c r="I824" t="s">
        <v>76</v>
      </c>
      <c r="J824">
        <v>1</v>
      </c>
      <c r="K824">
        <v>400</v>
      </c>
      <c r="L824">
        <v>400</v>
      </c>
      <c r="M824">
        <v>400</v>
      </c>
      <c r="N824" t="s">
        <v>19</v>
      </c>
    </row>
    <row r="825" spans="1:14" x14ac:dyDescent="0.25">
      <c r="A825" t="str">
        <f>Table3[[#This Row],[Company Name]] &amp; " - " &amp; Table3[[#This Row],[Store Name]] &amp; " - " &amp; Table3[[#This Row],[Store Branch / Address]]</f>
        <v>CHICKEN DELI - GONGCHA PHILS. - GENERIC</v>
      </c>
      <c r="B825" t="str">
        <f>Table3[[#This Row],[Client ID]] &amp; " - " &amp; Table3[[#This Row],[SO Number]]</f>
        <v>CHICKEN DELI - GONGCHA PHILS. - GENERIC - SO-109</v>
      </c>
      <c r="C825" t="s">
        <v>588</v>
      </c>
      <c r="D825" t="s">
        <v>20</v>
      </c>
      <c r="E825" t="s">
        <v>589</v>
      </c>
      <c r="F825" t="s">
        <v>15</v>
      </c>
      <c r="G825" t="s">
        <v>22</v>
      </c>
      <c r="H825" t="s">
        <v>584</v>
      </c>
      <c r="I825" t="s">
        <v>590</v>
      </c>
      <c r="J825">
        <v>10</v>
      </c>
      <c r="K825">
        <v>20</v>
      </c>
      <c r="L825">
        <v>100</v>
      </c>
      <c r="M825">
        <v>1000</v>
      </c>
      <c r="N825" t="s">
        <v>19</v>
      </c>
    </row>
    <row r="826" spans="1:14" x14ac:dyDescent="0.25">
      <c r="A826" t="str">
        <f>Table3[[#This Row],[Company Name]] &amp; " - " &amp; Table3[[#This Row],[Store Name]] &amp; " - " &amp; Table3[[#This Row],[Store Branch / Address]]</f>
        <v>POL S MOM S PLACE INC - MAMOU - GENERIC</v>
      </c>
      <c r="B826" t="str">
        <f>Table3[[#This Row],[Client ID]] &amp; " - " &amp; Table3[[#This Row],[SO Number]]</f>
        <v>POL S MOM S PLACE INC - MAMOU - GENERIC - SO-084</v>
      </c>
      <c r="C826" t="s">
        <v>492</v>
      </c>
      <c r="D826" t="s">
        <v>57</v>
      </c>
      <c r="E826" t="s">
        <v>58</v>
      </c>
      <c r="F826" t="s">
        <v>15</v>
      </c>
      <c r="G826" t="s">
        <v>37</v>
      </c>
      <c r="H826" t="s">
        <v>493</v>
      </c>
      <c r="I826" t="s">
        <v>61</v>
      </c>
      <c r="J826">
        <v>1</v>
      </c>
      <c r="K826">
        <v>8500</v>
      </c>
      <c r="L826">
        <v>12000</v>
      </c>
      <c r="M826">
        <v>12000</v>
      </c>
      <c r="N826" t="s">
        <v>19</v>
      </c>
    </row>
    <row r="827" spans="1:14" x14ac:dyDescent="0.25">
      <c r="A827" t="str">
        <f>Table3[[#This Row],[Company Name]] &amp; " - " &amp; Table3[[#This Row],[Store Name]] &amp; " - " &amp; Table3[[#This Row],[Store Branch / Address]]</f>
        <v>MY GOLDEN TEA LEAF INC - SERENITEA - GENERIC</v>
      </c>
      <c r="B827" t="str">
        <f>Table3[[#This Row],[Client ID]] &amp; " - " &amp; Table3[[#This Row],[SO Number]]</f>
        <v>MY GOLDEN TEA LEAF INC - SERENITEA - GENERIC - SO-85</v>
      </c>
      <c r="C827" t="s">
        <v>494</v>
      </c>
      <c r="D827" t="s">
        <v>431</v>
      </c>
      <c r="E827" t="s">
        <v>239</v>
      </c>
      <c r="F827" t="s">
        <v>15</v>
      </c>
      <c r="G827" t="s">
        <v>37</v>
      </c>
      <c r="H827" t="s">
        <v>493</v>
      </c>
      <c r="I827" t="s">
        <v>33</v>
      </c>
      <c r="J827">
        <v>1</v>
      </c>
      <c r="K827">
        <v>8000</v>
      </c>
      <c r="L827">
        <v>8000</v>
      </c>
      <c r="M827">
        <v>8000</v>
      </c>
      <c r="N827" t="s">
        <v>19</v>
      </c>
    </row>
    <row r="828" spans="1:14" x14ac:dyDescent="0.25">
      <c r="A828" t="str">
        <f>Table3[[#This Row],[Company Name]] &amp; " - " &amp; Table3[[#This Row],[Store Name]] &amp; " - " &amp; Table3[[#This Row],[Store Branch / Address]]</f>
        <v>MY GOLDEN TEA LEAF INC - SERENITEA - GENERIC</v>
      </c>
      <c r="B828" t="str">
        <f>Table3[[#This Row],[Client ID]] &amp; " - " &amp; Table3[[#This Row],[SO Number]]</f>
        <v>MY GOLDEN TEA LEAF INC - SERENITEA - GENERIC - SO-85</v>
      </c>
      <c r="C828" t="s">
        <v>494</v>
      </c>
      <c r="D828" t="s">
        <v>431</v>
      </c>
      <c r="E828" t="s">
        <v>239</v>
      </c>
      <c r="F828" t="s">
        <v>15</v>
      </c>
      <c r="G828" t="s">
        <v>37</v>
      </c>
      <c r="H828" t="s">
        <v>493</v>
      </c>
      <c r="I828" t="s">
        <v>50</v>
      </c>
      <c r="J828">
        <v>1</v>
      </c>
      <c r="K828">
        <v>500</v>
      </c>
      <c r="L828">
        <v>500</v>
      </c>
      <c r="M828">
        <v>500</v>
      </c>
      <c r="N828" t="s">
        <v>19</v>
      </c>
    </row>
    <row r="829" spans="1:14" x14ac:dyDescent="0.25">
      <c r="A829" t="str">
        <f>Table3[[#This Row],[Company Name]] &amp; " - " &amp; Table3[[#This Row],[Store Name]] &amp; " - " &amp; Table3[[#This Row],[Store Branch / Address]]</f>
        <v>MY GOLDEN TEA LEAF INC - SERENITEA - GENERIC</v>
      </c>
      <c r="B829" t="str">
        <f>Table3[[#This Row],[Client ID]] &amp; " - " &amp; Table3[[#This Row],[SO Number]]</f>
        <v>MY GOLDEN TEA LEAF INC - SERENITEA - GENERIC - SO-85</v>
      </c>
      <c r="C829" t="s">
        <v>494</v>
      </c>
      <c r="D829" t="s">
        <v>431</v>
      </c>
      <c r="E829" t="s">
        <v>239</v>
      </c>
      <c r="F829" t="s">
        <v>15</v>
      </c>
      <c r="G829" t="s">
        <v>37</v>
      </c>
      <c r="H829" t="s">
        <v>493</v>
      </c>
      <c r="I829" t="s">
        <v>116</v>
      </c>
      <c r="J829">
        <v>1</v>
      </c>
      <c r="K829">
        <v>2185</v>
      </c>
      <c r="L829">
        <v>3100</v>
      </c>
      <c r="M829">
        <v>3100</v>
      </c>
      <c r="N829" t="s">
        <v>19</v>
      </c>
    </row>
    <row r="830" spans="1:14" x14ac:dyDescent="0.25">
      <c r="A830" t="str">
        <f>Table3[[#This Row],[Company Name]] &amp; " - " &amp; Table3[[#This Row],[Store Name]] &amp; " - " &amp; Table3[[#This Row],[Store Branch / Address]]</f>
        <v>MY GOLDEN TEA LEAF INC - SERENITEA - GENERIC</v>
      </c>
      <c r="B830" t="str">
        <f>Table3[[#This Row],[Client ID]] &amp; " - " &amp; Table3[[#This Row],[SO Number]]</f>
        <v>MY GOLDEN TEA LEAF INC - SERENITEA - GENERIC - SO-85</v>
      </c>
      <c r="C830" t="s">
        <v>494</v>
      </c>
      <c r="D830" t="s">
        <v>431</v>
      </c>
      <c r="E830" t="s">
        <v>239</v>
      </c>
      <c r="F830" t="s">
        <v>15</v>
      </c>
      <c r="G830" t="s">
        <v>37</v>
      </c>
      <c r="H830" t="s">
        <v>493</v>
      </c>
      <c r="I830" t="s">
        <v>189</v>
      </c>
      <c r="J830">
        <v>1</v>
      </c>
      <c r="K830">
        <v>500</v>
      </c>
      <c r="L830">
        <v>750</v>
      </c>
      <c r="M830">
        <v>750</v>
      </c>
      <c r="N830" t="s">
        <v>19</v>
      </c>
    </row>
    <row r="831" spans="1:14" x14ac:dyDescent="0.25">
      <c r="A831" t="str">
        <f>Table3[[#This Row],[Company Name]] &amp; " - " &amp; Table3[[#This Row],[Store Name]] &amp; " - " &amp; Table3[[#This Row],[Store Branch / Address]]</f>
        <v>MY GOLDEN TEA LEAF INC - SERENITEA - GENERIC</v>
      </c>
      <c r="B831" t="str">
        <f>Table3[[#This Row],[Client ID]] &amp; " - " &amp; Table3[[#This Row],[SO Number]]</f>
        <v>MY GOLDEN TEA LEAF INC - SERENITEA - GENERIC - SO-85</v>
      </c>
      <c r="C831" t="s">
        <v>494</v>
      </c>
      <c r="D831" t="s">
        <v>431</v>
      </c>
      <c r="E831" t="s">
        <v>239</v>
      </c>
      <c r="F831" t="s">
        <v>15</v>
      </c>
      <c r="G831" t="s">
        <v>37</v>
      </c>
      <c r="H831" t="s">
        <v>493</v>
      </c>
      <c r="I831" t="s">
        <v>97</v>
      </c>
      <c r="J831">
        <v>1</v>
      </c>
      <c r="K831">
        <v>2200</v>
      </c>
      <c r="L831">
        <v>3000</v>
      </c>
      <c r="M831">
        <v>3000</v>
      </c>
      <c r="N831" t="s">
        <v>19</v>
      </c>
    </row>
    <row r="832" spans="1:14" x14ac:dyDescent="0.25">
      <c r="A832" t="str">
        <f>Table3[[#This Row],[Company Name]] &amp; " - " &amp; Table3[[#This Row],[Store Name]] &amp; " - " &amp; Table3[[#This Row],[Store Branch / Address]]</f>
        <v>MY GOLDEN TEA LEAF INC - SERENITEA - GENERIC</v>
      </c>
      <c r="B832" t="str">
        <f>Table3[[#This Row],[Client ID]] &amp; " - " &amp; Table3[[#This Row],[SO Number]]</f>
        <v>MY GOLDEN TEA LEAF INC - SERENITEA - GENERIC - SO-85</v>
      </c>
      <c r="C832" t="s">
        <v>494</v>
      </c>
      <c r="D832" t="s">
        <v>431</v>
      </c>
      <c r="E832" t="s">
        <v>239</v>
      </c>
      <c r="F832" t="s">
        <v>15</v>
      </c>
      <c r="G832" t="s">
        <v>37</v>
      </c>
      <c r="H832" t="s">
        <v>493</v>
      </c>
      <c r="I832" t="s">
        <v>63</v>
      </c>
      <c r="J832">
        <v>1</v>
      </c>
      <c r="K832">
        <v>400</v>
      </c>
      <c r="L832">
        <v>400</v>
      </c>
      <c r="M832">
        <v>400</v>
      </c>
      <c r="N832" t="s">
        <v>19</v>
      </c>
    </row>
    <row r="833" spans="1:14" x14ac:dyDescent="0.25">
      <c r="A833" t="str">
        <f>Table3[[#This Row],[Company Name]] &amp; " - " &amp; Table3[[#This Row],[Store Name]] &amp; " - " &amp; Table3[[#This Row],[Store Branch / Address]]</f>
        <v>TRE FIL HOLDINGS CORPORATION - COLONIAL CREAMERY - AYALA FAIRVIEW TERRACES</v>
      </c>
      <c r="B833" t="str">
        <f>Table3[[#This Row],[Client ID]] &amp; " - " &amp; Table3[[#This Row],[SO Number]]</f>
        <v>TRE FIL HOLDINGS CORPORATION - COLONIAL CREAMERY - AYALA FAIRVIEW TERRACES - SO-086</v>
      </c>
      <c r="C833" t="s">
        <v>496</v>
      </c>
      <c r="D833" t="s">
        <v>497</v>
      </c>
      <c r="E833" t="s">
        <v>498</v>
      </c>
      <c r="F833" t="s">
        <v>499</v>
      </c>
      <c r="G833" t="s">
        <v>16</v>
      </c>
      <c r="H833" t="s">
        <v>493</v>
      </c>
      <c r="I833" t="s">
        <v>114</v>
      </c>
      <c r="J833">
        <v>1</v>
      </c>
      <c r="K833">
        <v>3675</v>
      </c>
      <c r="L833">
        <v>10500</v>
      </c>
      <c r="M833">
        <v>10500</v>
      </c>
      <c r="N833" t="s">
        <v>39</v>
      </c>
    </row>
    <row r="834" spans="1:14" x14ac:dyDescent="0.25">
      <c r="A834" t="str">
        <f>Table3[[#This Row],[Company Name]] &amp; " - " &amp; Table3[[#This Row],[Store Name]] &amp; " - " &amp; Table3[[#This Row],[Store Branch / Address]]</f>
        <v>TRE FIL HOLDINGS CORPORATION - COLONIAL CREAMERY - AYALA FAIRVIEW TERRACES</v>
      </c>
      <c r="B834" t="str">
        <f>Table3[[#This Row],[Client ID]] &amp; " - " &amp; Table3[[#This Row],[SO Number]]</f>
        <v>TRE FIL HOLDINGS CORPORATION - COLONIAL CREAMERY - AYALA FAIRVIEW TERRACES - SO-086</v>
      </c>
      <c r="C834" t="s">
        <v>496</v>
      </c>
      <c r="D834" t="s">
        <v>497</v>
      </c>
      <c r="E834" t="s">
        <v>498</v>
      </c>
      <c r="F834" t="s">
        <v>499</v>
      </c>
      <c r="G834" t="s">
        <v>16</v>
      </c>
      <c r="H834" t="s">
        <v>493</v>
      </c>
      <c r="I834" t="s">
        <v>48</v>
      </c>
      <c r="J834">
        <v>1</v>
      </c>
      <c r="K834">
        <v>3255</v>
      </c>
      <c r="L834">
        <v>9300</v>
      </c>
      <c r="M834">
        <v>9300</v>
      </c>
      <c r="N834" t="s">
        <v>39</v>
      </c>
    </row>
    <row r="835" spans="1:14" x14ac:dyDescent="0.25">
      <c r="A835" t="str">
        <f>Table3[[#This Row],[Company Name]] &amp; " - " &amp; Table3[[#This Row],[Store Name]] &amp; " - " &amp; Table3[[#This Row],[Store Branch / Address]]</f>
        <v>TRE FIL HOLDINGS CORPORATION - COLONIAL CREAMERY - AYALA FAIRVIEW TERRACES</v>
      </c>
      <c r="B835" t="str">
        <f>Table3[[#This Row],[Client ID]] &amp; " - " &amp; Table3[[#This Row],[SO Number]]</f>
        <v>TRE FIL HOLDINGS CORPORATION - COLONIAL CREAMERY - AYALA FAIRVIEW TERRACES - SO-086</v>
      </c>
      <c r="C835" t="s">
        <v>496</v>
      </c>
      <c r="D835" t="s">
        <v>497</v>
      </c>
      <c r="E835" t="s">
        <v>498</v>
      </c>
      <c r="F835" t="s">
        <v>499</v>
      </c>
      <c r="G835" t="s">
        <v>16</v>
      </c>
      <c r="H835" t="s">
        <v>493</v>
      </c>
      <c r="I835" t="s">
        <v>126</v>
      </c>
      <c r="J835">
        <v>1</v>
      </c>
      <c r="K835">
        <v>3220</v>
      </c>
      <c r="L835">
        <v>9200</v>
      </c>
      <c r="M835">
        <v>9200</v>
      </c>
      <c r="N835" t="s">
        <v>39</v>
      </c>
    </row>
    <row r="836" spans="1:14" x14ac:dyDescent="0.25">
      <c r="A836" t="str">
        <f>Table3[[#This Row],[Company Name]] &amp; " - " &amp; Table3[[#This Row],[Store Name]] &amp; " - " &amp; Table3[[#This Row],[Store Branch / Address]]</f>
        <v>TRE FIL HOLDINGS CORPORATION - COLONIAL CREAMERY - AYALA FAIRVIEW TERRACES</v>
      </c>
      <c r="B836" t="str">
        <f>Table3[[#This Row],[Client ID]] &amp; " - " &amp; Table3[[#This Row],[SO Number]]</f>
        <v>TRE FIL HOLDINGS CORPORATION - COLONIAL CREAMERY - AYALA FAIRVIEW TERRACES - SO-086</v>
      </c>
      <c r="C836" t="s">
        <v>496</v>
      </c>
      <c r="D836" t="s">
        <v>497</v>
      </c>
      <c r="E836" t="s">
        <v>498</v>
      </c>
      <c r="F836" t="s">
        <v>499</v>
      </c>
      <c r="G836" t="s">
        <v>16</v>
      </c>
      <c r="H836" t="s">
        <v>493</v>
      </c>
      <c r="I836" t="s">
        <v>38</v>
      </c>
      <c r="J836">
        <v>1</v>
      </c>
      <c r="K836">
        <v>8500</v>
      </c>
      <c r="L836">
        <v>12000</v>
      </c>
      <c r="M836">
        <v>12000</v>
      </c>
      <c r="N836" t="s">
        <v>39</v>
      </c>
    </row>
    <row r="837" spans="1:14" x14ac:dyDescent="0.25">
      <c r="A837" t="str">
        <f>Table3[[#This Row],[Company Name]] &amp; " - " &amp; Table3[[#This Row],[Store Name]] &amp; " - " &amp; Table3[[#This Row],[Store Branch / Address]]</f>
        <v>TRE FIL HOLDINGS CORPORATION - COLONIAL CREAMERY - AYALA FAIRVIEW TERRACES</v>
      </c>
      <c r="B837" t="str">
        <f>Table3[[#This Row],[Client ID]] &amp; " - " &amp; Table3[[#This Row],[SO Number]]</f>
        <v>TRE FIL HOLDINGS CORPORATION - COLONIAL CREAMERY - AYALA FAIRVIEW TERRACES - SO-086</v>
      </c>
      <c r="C837" t="s">
        <v>496</v>
      </c>
      <c r="D837" t="s">
        <v>497</v>
      </c>
      <c r="E837" t="s">
        <v>498</v>
      </c>
      <c r="F837" t="s">
        <v>499</v>
      </c>
      <c r="G837" t="s">
        <v>16</v>
      </c>
      <c r="H837" t="s">
        <v>493</v>
      </c>
      <c r="I837" t="s">
        <v>97</v>
      </c>
      <c r="J837">
        <v>1</v>
      </c>
      <c r="K837">
        <v>2200</v>
      </c>
      <c r="L837">
        <v>3000</v>
      </c>
      <c r="M837">
        <v>3000</v>
      </c>
      <c r="N837" t="s">
        <v>39</v>
      </c>
    </row>
    <row r="838" spans="1:14" x14ac:dyDescent="0.25">
      <c r="A838" t="str">
        <f>Table3[[#This Row],[Company Name]] &amp; " - " &amp; Table3[[#This Row],[Store Name]] &amp; " - " &amp; Table3[[#This Row],[Store Branch / Address]]</f>
        <v>TRE FIL HOLDINGS CORPORATION - COLONIAL CREAMERY - AYALA FAIRVIEW TERRACES</v>
      </c>
      <c r="B838" t="str">
        <f>Table3[[#This Row],[Client ID]] &amp; " - " &amp; Table3[[#This Row],[SO Number]]</f>
        <v>TRE FIL HOLDINGS CORPORATION - COLONIAL CREAMERY - AYALA FAIRVIEW TERRACES - SO-086</v>
      </c>
      <c r="C838" t="s">
        <v>496</v>
      </c>
      <c r="D838" t="s">
        <v>497</v>
      </c>
      <c r="E838" t="s">
        <v>498</v>
      </c>
      <c r="F838" t="s">
        <v>499</v>
      </c>
      <c r="G838" t="s">
        <v>16</v>
      </c>
      <c r="H838" t="s">
        <v>493</v>
      </c>
      <c r="I838" t="s">
        <v>115</v>
      </c>
      <c r="J838">
        <v>1</v>
      </c>
      <c r="K838">
        <v>10750</v>
      </c>
      <c r="L838">
        <v>15000</v>
      </c>
      <c r="M838">
        <v>15000</v>
      </c>
      <c r="N838" t="s">
        <v>39</v>
      </c>
    </row>
    <row r="839" spans="1:14" x14ac:dyDescent="0.25">
      <c r="A839" t="str">
        <f>Table3[[#This Row],[Company Name]] &amp; " - " &amp; Table3[[#This Row],[Store Name]] &amp; " - " &amp; Table3[[#This Row],[Store Branch / Address]]</f>
        <v>TRE FIL HOLDINGS CORPORATION - COLONIAL CREAMERY - AYALA FAIRVIEW TERRACES</v>
      </c>
      <c r="B839" t="str">
        <f>Table3[[#This Row],[Client ID]] &amp; " - " &amp; Table3[[#This Row],[SO Number]]</f>
        <v>TRE FIL HOLDINGS CORPORATION - COLONIAL CREAMERY - AYALA FAIRVIEW TERRACES - SO-086</v>
      </c>
      <c r="C839" t="s">
        <v>496</v>
      </c>
      <c r="D839" t="s">
        <v>497</v>
      </c>
      <c r="E839" t="s">
        <v>498</v>
      </c>
      <c r="F839" t="s">
        <v>499</v>
      </c>
      <c r="G839" t="s">
        <v>16</v>
      </c>
      <c r="H839" t="s">
        <v>493</v>
      </c>
      <c r="I839" t="s">
        <v>85</v>
      </c>
      <c r="J839">
        <v>1</v>
      </c>
      <c r="K839">
        <v>1350</v>
      </c>
      <c r="L839">
        <v>2500</v>
      </c>
      <c r="M839">
        <v>2500</v>
      </c>
      <c r="N839" t="s">
        <v>39</v>
      </c>
    </row>
    <row r="840" spans="1:14" x14ac:dyDescent="0.25">
      <c r="A840" t="str">
        <f>Table3[[#This Row],[Company Name]] &amp; " - " &amp; Table3[[#This Row],[Store Name]] &amp; " - " &amp; Table3[[#This Row],[Store Branch / Address]]</f>
        <v>TRE FIL HOLDINGS CORPORATION - COLONIAL CREAMERY - AYALA FAIRVIEW TERRACES</v>
      </c>
      <c r="B840" t="str">
        <f>Table3[[#This Row],[Client ID]] &amp; " - " &amp; Table3[[#This Row],[SO Number]]</f>
        <v>TRE FIL HOLDINGS CORPORATION - COLONIAL CREAMERY - AYALA FAIRVIEW TERRACES - SO-086</v>
      </c>
      <c r="C840" t="s">
        <v>496</v>
      </c>
      <c r="D840" t="s">
        <v>497</v>
      </c>
      <c r="E840" t="s">
        <v>498</v>
      </c>
      <c r="F840" t="s">
        <v>499</v>
      </c>
      <c r="G840" t="s">
        <v>16</v>
      </c>
      <c r="H840" t="s">
        <v>493</v>
      </c>
      <c r="I840" t="s">
        <v>209</v>
      </c>
      <c r="J840">
        <v>1</v>
      </c>
      <c r="K840">
        <v>23450</v>
      </c>
      <c r="L840">
        <v>32300</v>
      </c>
      <c r="M840">
        <v>32300</v>
      </c>
      <c r="N840" t="s">
        <v>39</v>
      </c>
    </row>
    <row r="841" spans="1:14" x14ac:dyDescent="0.25">
      <c r="A841" t="str">
        <f>Table3[[#This Row],[Company Name]] &amp; " - " &amp; Table3[[#This Row],[Store Name]] &amp; " - " &amp; Table3[[#This Row],[Store Branch / Address]]</f>
        <v>TRE FIL HOLDINGS CORPORATION - COLONIAL CREAMERY - AYALA FAIRVIEW TERRACES</v>
      </c>
      <c r="B841" t="str">
        <f>Table3[[#This Row],[Client ID]] &amp; " - " &amp; Table3[[#This Row],[SO Number]]</f>
        <v>TRE FIL HOLDINGS CORPORATION - COLONIAL CREAMERY - AYALA FAIRVIEW TERRACES - SO-086</v>
      </c>
      <c r="C841" t="s">
        <v>496</v>
      </c>
      <c r="D841" t="s">
        <v>497</v>
      </c>
      <c r="E841" t="s">
        <v>498</v>
      </c>
      <c r="F841" t="s">
        <v>499</v>
      </c>
      <c r="G841" t="s">
        <v>16</v>
      </c>
      <c r="H841" t="s">
        <v>493</v>
      </c>
      <c r="I841" t="s">
        <v>151</v>
      </c>
      <c r="J841">
        <v>1</v>
      </c>
      <c r="K841">
        <v>2800</v>
      </c>
      <c r="L841">
        <v>4000</v>
      </c>
      <c r="M841">
        <v>4000</v>
      </c>
      <c r="N841" t="s">
        <v>39</v>
      </c>
    </row>
    <row r="842" spans="1:14" x14ac:dyDescent="0.25">
      <c r="A842" t="str">
        <f>Table3[[#This Row],[Company Name]] &amp; " - " &amp; Table3[[#This Row],[Store Name]] &amp; " - " &amp; Table3[[#This Row],[Store Branch / Address]]</f>
        <v>TRE FIL HOLDINGS CORPORATION - COLONIAL CREAMERY - AYALA FAIRVIEW TERRACES</v>
      </c>
      <c r="B842" t="str">
        <f>Table3[[#This Row],[Client ID]] &amp; " - " &amp; Table3[[#This Row],[SO Number]]</f>
        <v>TRE FIL HOLDINGS CORPORATION - COLONIAL CREAMERY - AYALA FAIRVIEW TERRACES - SO-086</v>
      </c>
      <c r="C842" t="s">
        <v>496</v>
      </c>
      <c r="D842" t="s">
        <v>497</v>
      </c>
      <c r="E842" t="s">
        <v>498</v>
      </c>
      <c r="F842" t="s">
        <v>499</v>
      </c>
      <c r="G842" t="s">
        <v>16</v>
      </c>
      <c r="H842" t="s">
        <v>493</v>
      </c>
      <c r="I842" t="s">
        <v>210</v>
      </c>
      <c r="J842">
        <v>1</v>
      </c>
      <c r="K842">
        <v>500</v>
      </c>
      <c r="L842">
        <v>700</v>
      </c>
      <c r="M842">
        <v>700</v>
      </c>
      <c r="N842" t="s">
        <v>39</v>
      </c>
    </row>
    <row r="843" spans="1:14" x14ac:dyDescent="0.25">
      <c r="A843" t="str">
        <f>Table3[[#This Row],[Company Name]] &amp; " - " &amp; Table3[[#This Row],[Store Name]] &amp; " - " &amp; Table3[[#This Row],[Store Branch / Address]]</f>
        <v>TRE FIL HOLDINGS CORPORATION - COLONIAL CREAMERY - AYALA FAIRVIEW TERRACES</v>
      </c>
      <c r="B843" t="str">
        <f>Table3[[#This Row],[Client ID]] &amp; " - " &amp; Table3[[#This Row],[SO Number]]</f>
        <v>TRE FIL HOLDINGS CORPORATION - COLONIAL CREAMERY - AYALA FAIRVIEW TERRACES - SO-086</v>
      </c>
      <c r="C843" t="s">
        <v>496</v>
      </c>
      <c r="D843" t="s">
        <v>497</v>
      </c>
      <c r="E843" t="s">
        <v>498</v>
      </c>
      <c r="F843" t="s">
        <v>499</v>
      </c>
      <c r="G843" t="s">
        <v>16</v>
      </c>
      <c r="H843" t="s">
        <v>493</v>
      </c>
      <c r="I843" t="s">
        <v>211</v>
      </c>
      <c r="J843">
        <v>1</v>
      </c>
      <c r="K843">
        <v>350</v>
      </c>
      <c r="L843">
        <v>500</v>
      </c>
      <c r="M843">
        <v>500</v>
      </c>
      <c r="N843" t="s">
        <v>39</v>
      </c>
    </row>
    <row r="844" spans="1:14" x14ac:dyDescent="0.25">
      <c r="A844" t="str">
        <f>Table3[[#This Row],[Company Name]] &amp; " - " &amp; Table3[[#This Row],[Store Name]] &amp; " - " &amp; Table3[[#This Row],[Store Branch / Address]]</f>
        <v>TRE FIL HOLDINGS CORPORATION - COLONIAL CREAMERY - AYALA FAIRVIEW TERRACES</v>
      </c>
      <c r="B844" t="str">
        <f>Table3[[#This Row],[Client ID]] &amp; " - " &amp; Table3[[#This Row],[SO Number]]</f>
        <v>TRE FIL HOLDINGS CORPORATION - COLONIAL CREAMERY - AYALA FAIRVIEW TERRACES - SO-086</v>
      </c>
      <c r="C844" t="s">
        <v>496</v>
      </c>
      <c r="D844" t="s">
        <v>497</v>
      </c>
      <c r="E844" t="s">
        <v>498</v>
      </c>
      <c r="F844" t="s">
        <v>499</v>
      </c>
      <c r="G844" t="s">
        <v>16</v>
      </c>
      <c r="H844" t="s">
        <v>493</v>
      </c>
      <c r="I844" t="s">
        <v>26</v>
      </c>
      <c r="J844">
        <v>1</v>
      </c>
      <c r="K844">
        <v>500</v>
      </c>
      <c r="L844">
        <v>500</v>
      </c>
      <c r="M844">
        <v>500</v>
      </c>
      <c r="N844" t="s">
        <v>39</v>
      </c>
    </row>
    <row r="845" spans="1:14" x14ac:dyDescent="0.25">
      <c r="A845" t="str">
        <f>Table3[[#This Row],[Company Name]] &amp; " - " &amp; Table3[[#This Row],[Store Name]] &amp; " - " &amp; Table3[[#This Row],[Store Branch / Address]]</f>
        <v>TRE FIL HOLDINGS CORPORATION - COLONIAL CREAMERY - AYALA FAIRVIEW TERRACES</v>
      </c>
      <c r="B845" t="str">
        <f>Table3[[#This Row],[Client ID]] &amp; " - " &amp; Table3[[#This Row],[SO Number]]</f>
        <v>TRE FIL HOLDINGS CORPORATION - COLONIAL CREAMERY - AYALA FAIRVIEW TERRACES - SO-086</v>
      </c>
      <c r="C845" t="s">
        <v>496</v>
      </c>
      <c r="D845" t="s">
        <v>497</v>
      </c>
      <c r="E845" t="s">
        <v>498</v>
      </c>
      <c r="F845" t="s">
        <v>499</v>
      </c>
      <c r="G845" t="s">
        <v>16</v>
      </c>
      <c r="H845" t="s">
        <v>493</v>
      </c>
      <c r="I845" t="s">
        <v>63</v>
      </c>
      <c r="J845">
        <v>1</v>
      </c>
      <c r="K845">
        <v>500</v>
      </c>
      <c r="L845">
        <v>500</v>
      </c>
      <c r="M845">
        <v>500</v>
      </c>
      <c r="N845" t="s">
        <v>39</v>
      </c>
    </row>
    <row r="846" spans="1:14" x14ac:dyDescent="0.25">
      <c r="A846" t="str">
        <f>Table3[[#This Row],[Company Name]] &amp; " - " &amp; Table3[[#This Row],[Store Name]] &amp; " - " &amp; Table3[[#This Row],[Store Branch / Address]]</f>
        <v>CHICKEN DELI - MN+LA APPAREL - GENERIC</v>
      </c>
      <c r="B846" t="str">
        <f>Table3[[#This Row],[Client ID]] &amp; " - " &amp; Table3[[#This Row],[SO Number]]</f>
        <v>CHICKEN DELI - MN+LA APPAREL - GENERIC - SO-111</v>
      </c>
      <c r="C846" t="s">
        <v>601</v>
      </c>
      <c r="D846" t="s">
        <v>20</v>
      </c>
      <c r="E846" t="s">
        <v>119</v>
      </c>
      <c r="F846" t="s">
        <v>15</v>
      </c>
      <c r="G846" t="s">
        <v>22</v>
      </c>
      <c r="H846" t="s">
        <v>493</v>
      </c>
      <c r="I846" t="s">
        <v>121</v>
      </c>
      <c r="J846">
        <v>50</v>
      </c>
      <c r="K846">
        <v>32</v>
      </c>
      <c r="L846">
        <v>50</v>
      </c>
      <c r="M846">
        <v>2500</v>
      </c>
      <c r="N846" t="s">
        <v>19</v>
      </c>
    </row>
    <row r="847" spans="1:14" x14ac:dyDescent="0.25">
      <c r="A847" t="str">
        <f>Table3[[#This Row],[Company Name]] &amp; " - " &amp; Table3[[#This Row],[Store Name]] &amp; " - " &amp; Table3[[#This Row],[Store Branch / Address]]</f>
        <v>STATEMENT THEORY - STATEMENT THEORY - ROCKWELL</v>
      </c>
      <c r="B847" t="str">
        <f>Table3[[#This Row],[Client ID]] &amp; " - " &amp; Table3[[#This Row],[SO Number]]</f>
        <v>STATEMENT THEORY - STATEMENT THEORY - ROCKWELL - SO-038</v>
      </c>
      <c r="C847" t="s">
        <v>276</v>
      </c>
      <c r="D847" t="s">
        <v>1094</v>
      </c>
      <c r="E847" t="s">
        <v>1094</v>
      </c>
      <c r="F847" t="s">
        <v>36</v>
      </c>
      <c r="G847" t="s">
        <v>37</v>
      </c>
      <c r="H847" t="s">
        <v>493</v>
      </c>
      <c r="I847" t="s">
        <v>383</v>
      </c>
      <c r="J847">
        <v>1</v>
      </c>
      <c r="K847">
        <v>4250</v>
      </c>
      <c r="L847">
        <v>6500</v>
      </c>
      <c r="M847">
        <v>6500</v>
      </c>
      <c r="N847" t="s">
        <v>1010</v>
      </c>
    </row>
    <row r="848" spans="1:14" x14ac:dyDescent="0.25">
      <c r="A848" t="str">
        <f>Table3[[#This Row],[Company Name]] &amp; " - " &amp; Table3[[#This Row],[Store Name]] &amp; " - " &amp; Table3[[#This Row],[Store Branch / Address]]</f>
        <v>ANONYMOUS - DERMA 360° - GENERIC</v>
      </c>
      <c r="B848" t="str">
        <f>Table3[[#This Row],[Client ID]] &amp; " - " &amp; Table3[[#This Row],[SO Number]]</f>
        <v>ANONYMOUS - DERMA 360° - GENERIC - SO-039</v>
      </c>
      <c r="C848" t="s">
        <v>277</v>
      </c>
      <c r="D848" t="s">
        <v>1085</v>
      </c>
      <c r="E848" t="s">
        <v>1095</v>
      </c>
      <c r="F848" t="s">
        <v>15</v>
      </c>
      <c r="G848" t="s">
        <v>37</v>
      </c>
      <c r="H848" t="s">
        <v>1096</v>
      </c>
      <c r="I848" t="s">
        <v>1097</v>
      </c>
      <c r="J848">
        <v>1</v>
      </c>
      <c r="K848">
        <v>1150</v>
      </c>
      <c r="L848">
        <v>2600</v>
      </c>
      <c r="M848">
        <v>2600</v>
      </c>
      <c r="N848" t="s">
        <v>19</v>
      </c>
    </row>
    <row r="849" spans="1:14" x14ac:dyDescent="0.25">
      <c r="A849" t="str">
        <f>Table3[[#This Row],[Company Name]] &amp; " - " &amp; Table3[[#This Row],[Store Name]] &amp; " - " &amp; Table3[[#This Row],[Store Branch / Address]]</f>
        <v>TERRISAN INC - ISSHIN - MAKATI</v>
      </c>
      <c r="B849" t="str">
        <f>Table3[[#This Row],[Client ID]] &amp; " - " &amp; Table3[[#This Row],[SO Number]]</f>
        <v>TERRISAN INC - ISSHIN - MAKATI - SO-087</v>
      </c>
      <c r="C849" t="s">
        <v>502</v>
      </c>
      <c r="D849" t="s">
        <v>503</v>
      </c>
      <c r="E849" t="s">
        <v>504</v>
      </c>
      <c r="F849" t="s">
        <v>505</v>
      </c>
      <c r="G849" t="s">
        <v>37</v>
      </c>
      <c r="H849" t="s">
        <v>506</v>
      </c>
      <c r="I849" t="s">
        <v>284</v>
      </c>
      <c r="J849">
        <v>1</v>
      </c>
      <c r="K849">
        <v>11000</v>
      </c>
      <c r="L849">
        <v>16500</v>
      </c>
      <c r="M849">
        <v>16500</v>
      </c>
      <c r="N849" t="s">
        <v>39</v>
      </c>
    </row>
    <row r="850" spans="1:14" x14ac:dyDescent="0.25">
      <c r="A850" t="str">
        <f>Table3[[#This Row],[Company Name]] &amp; " - " &amp; Table3[[#This Row],[Store Name]] &amp; " - " &amp; Table3[[#This Row],[Store Branch / Address]]</f>
        <v>GOLAMCO GRIFFIN MICHALE DEL ROSARIO - MASTER AIRSOFT - GENERIC</v>
      </c>
      <c r="B850" t="str">
        <f>Table3[[#This Row],[Client ID]] &amp; " - " &amp; Table3[[#This Row],[SO Number]]</f>
        <v>GOLAMCO GRIFFIN MICHALE DEL ROSARIO - MASTER AIRSOFT - GENERIC - SO-088</v>
      </c>
      <c r="C850" t="s">
        <v>509</v>
      </c>
      <c r="D850" t="s">
        <v>510</v>
      </c>
      <c r="E850" t="s">
        <v>511</v>
      </c>
      <c r="F850" t="s">
        <v>15</v>
      </c>
      <c r="G850" t="s">
        <v>22</v>
      </c>
      <c r="H850" t="s">
        <v>506</v>
      </c>
      <c r="I850" t="s">
        <v>512</v>
      </c>
      <c r="J850">
        <v>1</v>
      </c>
      <c r="K850">
        <v>2975</v>
      </c>
      <c r="L850">
        <v>8500</v>
      </c>
      <c r="M850">
        <v>8500</v>
      </c>
      <c r="N850" t="s">
        <v>19</v>
      </c>
    </row>
    <row r="851" spans="1:14" x14ac:dyDescent="0.25">
      <c r="A851" t="str">
        <f>Table3[[#This Row],[Company Name]] &amp; " - " &amp; Table3[[#This Row],[Store Name]] &amp; " - " &amp; Table3[[#This Row],[Store Branch / Address]]</f>
        <v>GOLAMCO GRIFFIN MICHALE DEL ROSARIO - MASTER AIRSOFT - GENERIC</v>
      </c>
      <c r="B851" t="str">
        <f>Table3[[#This Row],[Client ID]] &amp; " - " &amp; Table3[[#This Row],[SO Number]]</f>
        <v>GOLAMCO GRIFFIN MICHALE DEL ROSARIO - MASTER AIRSOFT - GENERIC - SO-088</v>
      </c>
      <c r="C851" t="s">
        <v>509</v>
      </c>
      <c r="D851" t="s">
        <v>510</v>
      </c>
      <c r="E851" t="s">
        <v>511</v>
      </c>
      <c r="F851" t="s">
        <v>15</v>
      </c>
      <c r="G851" t="s">
        <v>22</v>
      </c>
      <c r="H851" t="s">
        <v>506</v>
      </c>
      <c r="I851" t="s">
        <v>48</v>
      </c>
      <c r="J851">
        <v>1</v>
      </c>
      <c r="K851">
        <v>2800</v>
      </c>
      <c r="L851">
        <v>8000</v>
      </c>
      <c r="M851">
        <v>8000</v>
      </c>
      <c r="N851" t="s">
        <v>19</v>
      </c>
    </row>
    <row r="852" spans="1:14" x14ac:dyDescent="0.25">
      <c r="A852" t="str">
        <f>Table3[[#This Row],[Company Name]] &amp; " - " &amp; Table3[[#This Row],[Store Name]] &amp; " - " &amp; Table3[[#This Row],[Store Branch / Address]]</f>
        <v>GOLAMCO GRIFFIN MICHALE DEL ROSARIO - MASTER AIRSOFT - GENERIC</v>
      </c>
      <c r="B852" t="str">
        <f>Table3[[#This Row],[Client ID]] &amp; " - " &amp; Table3[[#This Row],[SO Number]]</f>
        <v>GOLAMCO GRIFFIN MICHALE DEL ROSARIO - MASTER AIRSOFT - GENERIC - SO-088</v>
      </c>
      <c r="C852" t="s">
        <v>509</v>
      </c>
      <c r="D852" t="s">
        <v>510</v>
      </c>
      <c r="E852" t="s">
        <v>511</v>
      </c>
      <c r="F852" t="s">
        <v>15</v>
      </c>
      <c r="G852" t="s">
        <v>22</v>
      </c>
      <c r="H852" t="s">
        <v>506</v>
      </c>
      <c r="I852" t="s">
        <v>24</v>
      </c>
      <c r="J852">
        <v>1</v>
      </c>
      <c r="K852">
        <v>2800</v>
      </c>
      <c r="L852">
        <v>8000</v>
      </c>
      <c r="M852">
        <v>8000</v>
      </c>
      <c r="N852" t="s">
        <v>19</v>
      </c>
    </row>
    <row r="853" spans="1:14" x14ac:dyDescent="0.25">
      <c r="A853" t="str">
        <f>Table3[[#This Row],[Company Name]] &amp; " - " &amp; Table3[[#This Row],[Store Name]] &amp; " - " &amp; Table3[[#This Row],[Store Branch / Address]]</f>
        <v>GOLAMCO GRIFFIN MICHALE DEL ROSARIO - MASTER AIRSOFT - GENERIC</v>
      </c>
      <c r="B853" t="str">
        <f>Table3[[#This Row],[Client ID]] &amp; " - " &amp; Table3[[#This Row],[SO Number]]</f>
        <v>GOLAMCO GRIFFIN MICHALE DEL ROSARIO - MASTER AIRSOFT - GENERIC - SO-088</v>
      </c>
      <c r="C853" t="s">
        <v>509</v>
      </c>
      <c r="D853" t="s">
        <v>510</v>
      </c>
      <c r="E853" t="s">
        <v>511</v>
      </c>
      <c r="F853" t="s">
        <v>15</v>
      </c>
      <c r="G853" t="s">
        <v>22</v>
      </c>
      <c r="H853" t="s">
        <v>506</v>
      </c>
      <c r="I853" t="s">
        <v>26</v>
      </c>
      <c r="J853">
        <v>1</v>
      </c>
      <c r="K853">
        <v>500</v>
      </c>
      <c r="L853">
        <v>500</v>
      </c>
      <c r="M853">
        <v>500</v>
      </c>
      <c r="N853" t="s">
        <v>19</v>
      </c>
    </row>
    <row r="854" spans="1:14" x14ac:dyDescent="0.25">
      <c r="A854" t="str">
        <f>Table3[[#This Row],[Company Name]] &amp; " - " &amp; Table3[[#This Row],[Store Name]] &amp; " - " &amp; Table3[[#This Row],[Store Branch / Address]]</f>
        <v>HUZZAH - HUZZAH - GENERIC</v>
      </c>
      <c r="B854" t="str">
        <f>Table3[[#This Row],[Client ID]] &amp; " - " &amp; Table3[[#This Row],[SO Number]]</f>
        <v>HUZZAH - HUZZAH - GENERIC - SO-089</v>
      </c>
      <c r="C854" t="s">
        <v>515</v>
      </c>
      <c r="D854" t="s">
        <v>87</v>
      </c>
      <c r="E854" t="s">
        <v>87</v>
      </c>
      <c r="F854" t="s">
        <v>15</v>
      </c>
      <c r="G854" t="s">
        <v>37</v>
      </c>
      <c r="H854" t="s">
        <v>506</v>
      </c>
      <c r="I854" t="s">
        <v>89</v>
      </c>
      <c r="J854">
        <v>50</v>
      </c>
      <c r="K854">
        <v>32</v>
      </c>
      <c r="L854">
        <v>50</v>
      </c>
      <c r="M854">
        <v>2500</v>
      </c>
      <c r="N854" t="s">
        <v>39</v>
      </c>
    </row>
    <row r="855" spans="1:14" x14ac:dyDescent="0.25">
      <c r="A855" t="str">
        <f>Table3[[#This Row],[Company Name]] &amp; " - " &amp; Table3[[#This Row],[Store Name]] &amp; " - " &amp; Table3[[#This Row],[Store Branch / Address]]</f>
        <v>CHICKEN DELI - HENLIN - GENERIC</v>
      </c>
      <c r="B855" t="str">
        <f>Table3[[#This Row],[Client ID]] &amp; " - " &amp; Table3[[#This Row],[SO Number]]</f>
        <v>CHICKEN DELI - HENLIN - GENERIC - SO-112</v>
      </c>
      <c r="C855" t="s">
        <v>606</v>
      </c>
      <c r="D855" t="s">
        <v>20</v>
      </c>
      <c r="E855" t="s">
        <v>608</v>
      </c>
      <c r="F855" t="s">
        <v>15</v>
      </c>
      <c r="G855" t="s">
        <v>22</v>
      </c>
      <c r="H855" t="s">
        <v>609</v>
      </c>
      <c r="I855" t="s">
        <v>610</v>
      </c>
      <c r="J855">
        <v>1</v>
      </c>
      <c r="K855">
        <v>11500</v>
      </c>
      <c r="L855">
        <v>16500</v>
      </c>
      <c r="M855">
        <v>16500</v>
      </c>
      <c r="N855" t="s">
        <v>19</v>
      </c>
    </row>
    <row r="856" spans="1:14" x14ac:dyDescent="0.25">
      <c r="A856" t="str">
        <f>Table3[[#This Row],[Company Name]] &amp; " - " &amp; Table3[[#This Row],[Store Name]] &amp; " - " &amp; Table3[[#This Row],[Store Branch / Address]]</f>
        <v>OUT OF NOWHERE KITCHEN INC - OON - GENERIC</v>
      </c>
      <c r="B856" t="str">
        <f>Table3[[#This Row],[Client ID]] &amp; " - " &amp; Table3[[#This Row],[SO Number]]</f>
        <v>OUT OF NOWHERE KITCHEN INC - OON - GENERIC - SO-090</v>
      </c>
      <c r="C856" t="s">
        <v>517</v>
      </c>
      <c r="D856" t="s">
        <v>213</v>
      </c>
      <c r="E856" t="s">
        <v>46</v>
      </c>
      <c r="F856" t="s">
        <v>15</v>
      </c>
      <c r="G856" t="s">
        <v>22</v>
      </c>
      <c r="H856" t="s">
        <v>518</v>
      </c>
      <c r="I856" t="s">
        <v>47</v>
      </c>
      <c r="J856">
        <v>1</v>
      </c>
      <c r="K856">
        <v>2975</v>
      </c>
      <c r="L856">
        <v>8500</v>
      </c>
      <c r="M856">
        <v>8500</v>
      </c>
      <c r="N856" t="s">
        <v>19</v>
      </c>
    </row>
    <row r="857" spans="1:14" x14ac:dyDescent="0.25">
      <c r="A857" t="str">
        <f>Table3[[#This Row],[Company Name]] &amp; " - " &amp; Table3[[#This Row],[Store Name]] &amp; " - " &amp; Table3[[#This Row],[Store Branch / Address]]</f>
        <v>OUT OF NOWHERE KITCHEN INC - OON - GENERIC</v>
      </c>
      <c r="B857" t="str">
        <f>Table3[[#This Row],[Client ID]] &amp; " - " &amp; Table3[[#This Row],[SO Number]]</f>
        <v>OUT OF NOWHERE KITCHEN INC - OON - GENERIC - SO-090</v>
      </c>
      <c r="C857" t="s">
        <v>517</v>
      </c>
      <c r="D857" t="s">
        <v>213</v>
      </c>
      <c r="E857" t="s">
        <v>46</v>
      </c>
      <c r="F857" t="s">
        <v>15</v>
      </c>
      <c r="G857" t="s">
        <v>22</v>
      </c>
      <c r="H857" t="s">
        <v>518</v>
      </c>
      <c r="I857" t="s">
        <v>48</v>
      </c>
      <c r="J857">
        <v>1</v>
      </c>
      <c r="K857">
        <v>1925</v>
      </c>
      <c r="L857">
        <v>5500</v>
      </c>
      <c r="M857">
        <v>5500</v>
      </c>
      <c r="N857" t="s">
        <v>19</v>
      </c>
    </row>
    <row r="858" spans="1:14" x14ac:dyDescent="0.25">
      <c r="A858" t="str">
        <f>Table3[[#This Row],[Company Name]] &amp; " - " &amp; Table3[[#This Row],[Store Name]] &amp; " - " &amp; Table3[[#This Row],[Store Branch / Address]]</f>
        <v>OUT OF NOWHERE KITCHEN INC - OON - GENERIC</v>
      </c>
      <c r="B858" t="str">
        <f>Table3[[#This Row],[Client ID]] &amp; " - " &amp; Table3[[#This Row],[SO Number]]</f>
        <v>OUT OF NOWHERE KITCHEN INC - OON - GENERIC - SO-090</v>
      </c>
      <c r="C858" t="s">
        <v>517</v>
      </c>
      <c r="D858" t="s">
        <v>213</v>
      </c>
      <c r="E858" t="s">
        <v>46</v>
      </c>
      <c r="F858" t="s">
        <v>15</v>
      </c>
      <c r="G858" t="s">
        <v>22</v>
      </c>
      <c r="H858" t="s">
        <v>518</v>
      </c>
      <c r="I858" t="s">
        <v>49</v>
      </c>
      <c r="J858">
        <v>1</v>
      </c>
      <c r="K858">
        <v>1925</v>
      </c>
      <c r="L858">
        <v>5500</v>
      </c>
      <c r="M858">
        <v>5500</v>
      </c>
      <c r="N858" t="s">
        <v>19</v>
      </c>
    </row>
    <row r="859" spans="1:14" x14ac:dyDescent="0.25">
      <c r="A859" t="str">
        <f>Table3[[#This Row],[Company Name]] &amp; " - " &amp; Table3[[#This Row],[Store Name]] &amp; " - " &amp; Table3[[#This Row],[Store Branch / Address]]</f>
        <v>OUT OF NOWHERE KITCHEN INC - OON - GENERIC</v>
      </c>
      <c r="B859" t="str">
        <f>Table3[[#This Row],[Client ID]] &amp; " - " &amp; Table3[[#This Row],[SO Number]]</f>
        <v>OUT OF NOWHERE KITCHEN INC - OON - GENERIC - SO-090</v>
      </c>
      <c r="C859" t="s">
        <v>517</v>
      </c>
      <c r="D859" t="s">
        <v>213</v>
      </c>
      <c r="E859" t="s">
        <v>46</v>
      </c>
      <c r="F859" t="s">
        <v>15</v>
      </c>
      <c r="G859" t="s">
        <v>22</v>
      </c>
      <c r="H859" t="s">
        <v>518</v>
      </c>
      <c r="I859" t="s">
        <v>50</v>
      </c>
      <c r="J859">
        <v>1</v>
      </c>
      <c r="K859">
        <v>500</v>
      </c>
      <c r="L859">
        <v>500</v>
      </c>
      <c r="M859">
        <v>500</v>
      </c>
      <c r="N859" t="s">
        <v>19</v>
      </c>
    </row>
    <row r="860" spans="1:14" x14ac:dyDescent="0.25">
      <c r="A860" t="str">
        <f>Table3[[#This Row],[Company Name]] &amp; " - " &amp; Table3[[#This Row],[Store Name]] &amp; " - " &amp; Table3[[#This Row],[Store Branch / Address]]</f>
        <v>OUT OF NOWHERE KITCHEN INC - TONALA (OON) - GENERIC</v>
      </c>
      <c r="B860" t="str">
        <f>Table3[[#This Row],[Client ID]] &amp; " - " &amp; Table3[[#This Row],[SO Number]]</f>
        <v>OUT OF NOWHERE KITCHEN INC - TONALA (OON) - GENERIC - SO-091</v>
      </c>
      <c r="C860" t="s">
        <v>519</v>
      </c>
      <c r="D860" t="s">
        <v>213</v>
      </c>
      <c r="E860" t="s">
        <v>520</v>
      </c>
      <c r="F860" t="s">
        <v>15</v>
      </c>
      <c r="G860" t="s">
        <v>22</v>
      </c>
      <c r="H860" t="s">
        <v>518</v>
      </c>
      <c r="I860" t="s">
        <v>47</v>
      </c>
      <c r="J860">
        <v>1</v>
      </c>
      <c r="K860">
        <v>2975</v>
      </c>
      <c r="L860">
        <v>8500</v>
      </c>
      <c r="M860">
        <v>8500</v>
      </c>
      <c r="N860" t="s">
        <v>19</v>
      </c>
    </row>
    <row r="861" spans="1:14" x14ac:dyDescent="0.25">
      <c r="A861" t="str">
        <f>Table3[[#This Row],[Company Name]] &amp; " - " &amp; Table3[[#This Row],[Store Name]] &amp; " - " &amp; Table3[[#This Row],[Store Branch / Address]]</f>
        <v>OUT OF NOWHERE KITCHEN INC - TONALA (OON) - GENERIC</v>
      </c>
      <c r="B861" t="str">
        <f>Table3[[#This Row],[Client ID]] &amp; " - " &amp; Table3[[#This Row],[SO Number]]</f>
        <v>OUT OF NOWHERE KITCHEN INC - TONALA (OON) - GENERIC - SO-091</v>
      </c>
      <c r="C861" t="s">
        <v>519</v>
      </c>
      <c r="D861" t="s">
        <v>213</v>
      </c>
      <c r="E861" t="s">
        <v>520</v>
      </c>
      <c r="F861" t="s">
        <v>15</v>
      </c>
      <c r="G861" t="s">
        <v>22</v>
      </c>
      <c r="H861" t="s">
        <v>518</v>
      </c>
      <c r="I861" t="s">
        <v>48</v>
      </c>
      <c r="J861">
        <v>1</v>
      </c>
      <c r="K861">
        <v>1925</v>
      </c>
      <c r="L861">
        <v>5500</v>
      </c>
      <c r="M861">
        <v>5500</v>
      </c>
      <c r="N861" t="s">
        <v>19</v>
      </c>
    </row>
    <row r="862" spans="1:14" x14ac:dyDescent="0.25">
      <c r="A862" t="str">
        <f>Table3[[#This Row],[Company Name]] &amp; " - " &amp; Table3[[#This Row],[Store Name]] &amp; " - " &amp; Table3[[#This Row],[Store Branch / Address]]</f>
        <v>OUT OF NOWHERE KITCHEN INC - TONALA (OON) - GENERIC</v>
      </c>
      <c r="B862" t="str">
        <f>Table3[[#This Row],[Client ID]] &amp; " - " &amp; Table3[[#This Row],[SO Number]]</f>
        <v>OUT OF NOWHERE KITCHEN INC - TONALA (OON) - GENERIC - SO-091</v>
      </c>
      <c r="C862" t="s">
        <v>519</v>
      </c>
      <c r="D862" t="s">
        <v>213</v>
      </c>
      <c r="E862" t="s">
        <v>520</v>
      </c>
      <c r="F862" t="s">
        <v>15</v>
      </c>
      <c r="G862" t="s">
        <v>22</v>
      </c>
      <c r="H862" t="s">
        <v>518</v>
      </c>
      <c r="I862" t="s">
        <v>49</v>
      </c>
      <c r="J862">
        <v>1</v>
      </c>
      <c r="K862">
        <v>1925</v>
      </c>
      <c r="L862">
        <v>5500</v>
      </c>
      <c r="M862">
        <v>5500</v>
      </c>
      <c r="N862" t="s">
        <v>19</v>
      </c>
    </row>
    <row r="863" spans="1:14" x14ac:dyDescent="0.25">
      <c r="A863" t="str">
        <f>Table3[[#This Row],[Company Name]] &amp; " - " &amp; Table3[[#This Row],[Store Name]] &amp; " - " &amp; Table3[[#This Row],[Store Branch / Address]]</f>
        <v>OUT OF NOWHERE KITCHEN INC - TONALA (OON) - GENERIC</v>
      </c>
      <c r="B863" t="str">
        <f>Table3[[#This Row],[Client ID]] &amp; " - " &amp; Table3[[#This Row],[SO Number]]</f>
        <v>OUT OF NOWHERE KITCHEN INC - TONALA (OON) - GENERIC - SO-091</v>
      </c>
      <c r="C863" t="s">
        <v>519</v>
      </c>
      <c r="D863" t="s">
        <v>213</v>
      </c>
      <c r="E863" t="s">
        <v>520</v>
      </c>
      <c r="F863" t="s">
        <v>15</v>
      </c>
      <c r="G863" t="s">
        <v>22</v>
      </c>
      <c r="H863" t="s">
        <v>518</v>
      </c>
      <c r="I863" t="s">
        <v>50</v>
      </c>
      <c r="J863">
        <v>1</v>
      </c>
      <c r="K863">
        <v>500</v>
      </c>
      <c r="L863">
        <v>500</v>
      </c>
      <c r="M863">
        <v>500</v>
      </c>
      <c r="N863" t="s">
        <v>19</v>
      </c>
    </row>
    <row r="864" spans="1:14" x14ac:dyDescent="0.25">
      <c r="A864" t="str">
        <f>Table3[[#This Row],[Company Name]] &amp; " - " &amp; Table3[[#This Row],[Store Name]] &amp; " - " &amp; Table3[[#This Row],[Store Branch / Address]]</f>
        <v>BEDA FOOD VENTURES INC - BACOLOD CHICKEN - GENERIC</v>
      </c>
      <c r="B864" t="str">
        <f>Table3[[#This Row],[Client ID]] &amp; " - " &amp; Table3[[#This Row],[SO Number]]</f>
        <v>BEDA FOOD VENTURES INC - BACOLOD CHICKEN - GENERIC - SO-092</v>
      </c>
      <c r="C864" t="s">
        <v>522</v>
      </c>
      <c r="D864" t="s">
        <v>523</v>
      </c>
      <c r="E864" t="s">
        <v>311</v>
      </c>
      <c r="F864" t="s">
        <v>15</v>
      </c>
      <c r="G864" t="s">
        <v>22</v>
      </c>
      <c r="H864" t="s">
        <v>518</v>
      </c>
      <c r="I864" t="s">
        <v>284</v>
      </c>
      <c r="J864">
        <v>1</v>
      </c>
      <c r="K864">
        <v>11000</v>
      </c>
      <c r="L864">
        <v>16100</v>
      </c>
      <c r="M864">
        <v>16100</v>
      </c>
      <c r="N864" t="s">
        <v>19</v>
      </c>
    </row>
    <row r="865" spans="1:14" x14ac:dyDescent="0.25">
      <c r="A865" t="str">
        <f>Table3[[#This Row],[Company Name]] &amp; " - " &amp; Table3[[#This Row],[Store Name]] &amp; " - " &amp; Table3[[#This Row],[Store Branch / Address]]</f>
        <v>BEDA FOOD VENTURES INC - BACOLOD CHICKEN - GENERIC</v>
      </c>
      <c r="B865" t="str">
        <f>Table3[[#This Row],[Client ID]] &amp; " - " &amp; Table3[[#This Row],[SO Number]]</f>
        <v>BEDA FOOD VENTURES INC - BACOLOD CHICKEN - GENERIC - SO-092</v>
      </c>
      <c r="C865" t="s">
        <v>522</v>
      </c>
      <c r="D865" t="s">
        <v>523</v>
      </c>
      <c r="E865" t="s">
        <v>311</v>
      </c>
      <c r="F865" t="s">
        <v>15</v>
      </c>
      <c r="G865" t="s">
        <v>22</v>
      </c>
      <c r="H865" t="s">
        <v>518</v>
      </c>
      <c r="I865" t="s">
        <v>63</v>
      </c>
      <c r="J865">
        <v>1</v>
      </c>
      <c r="K865">
        <v>0</v>
      </c>
      <c r="L865">
        <v>400</v>
      </c>
      <c r="M865">
        <v>400</v>
      </c>
      <c r="N865" t="s">
        <v>19</v>
      </c>
    </row>
    <row r="866" spans="1:14" x14ac:dyDescent="0.25">
      <c r="A866" t="str">
        <f>Table3[[#This Row],[Company Name]] &amp; " - " &amp; Table3[[#This Row],[Store Name]] &amp; " - " &amp; Table3[[#This Row],[Store Branch / Address]]</f>
        <v>CHICKEN DELI - SM MASINAG - GENERIC</v>
      </c>
      <c r="B866" t="str">
        <f>Table3[[#This Row],[Client ID]] &amp; " - " &amp; Table3[[#This Row],[SO Number]]</f>
        <v>CHICKEN DELI - SM MASINAG - GENERIC - SO-113</v>
      </c>
      <c r="C866" t="s">
        <v>611</v>
      </c>
      <c r="D866" t="s">
        <v>20</v>
      </c>
      <c r="E866" t="s">
        <v>379</v>
      </c>
      <c r="F866" t="s">
        <v>15</v>
      </c>
      <c r="G866" t="s">
        <v>22</v>
      </c>
      <c r="H866" t="s">
        <v>617</v>
      </c>
      <c r="I866" t="s">
        <v>381</v>
      </c>
      <c r="J866">
        <v>1</v>
      </c>
      <c r="K866">
        <v>17</v>
      </c>
      <c r="L866">
        <v>1250</v>
      </c>
      <c r="M866">
        <v>1250</v>
      </c>
      <c r="N866" t="s">
        <v>19</v>
      </c>
    </row>
    <row r="867" spans="1:14" x14ac:dyDescent="0.25">
      <c r="A867" t="str">
        <f>Table3[[#This Row],[Company Name]] &amp; " - " &amp; Table3[[#This Row],[Store Name]] &amp; " - " &amp; Table3[[#This Row],[Store Branch / Address]]</f>
        <v>CHICKEN DELI - GONGCHA - GENERIC</v>
      </c>
      <c r="B867" t="str">
        <f>Table3[[#This Row],[Client ID]] &amp; " - " &amp; Table3[[#This Row],[SO Number]]</f>
        <v>CHICKEN DELI - GONGCHA - GENERIC - SO-114</v>
      </c>
      <c r="C867" t="s">
        <v>618</v>
      </c>
      <c r="D867" t="s">
        <v>20</v>
      </c>
      <c r="E867" t="s">
        <v>31</v>
      </c>
      <c r="F867" t="s">
        <v>15</v>
      </c>
      <c r="G867" t="s">
        <v>22</v>
      </c>
      <c r="H867" t="s">
        <v>617</v>
      </c>
      <c r="I867" t="s">
        <v>93</v>
      </c>
      <c r="J867">
        <v>1</v>
      </c>
      <c r="K867">
        <v>11000</v>
      </c>
      <c r="L867">
        <v>16500</v>
      </c>
      <c r="M867">
        <v>16500</v>
      </c>
      <c r="N867" t="s">
        <v>19</v>
      </c>
    </row>
    <row r="868" spans="1:14" x14ac:dyDescent="0.25">
      <c r="A868" t="str">
        <f>Table3[[#This Row],[Company Name]] &amp; " - " &amp; Table3[[#This Row],[Store Name]] &amp; " - " &amp; Table3[[#This Row],[Store Branch / Address]]</f>
        <v>CHICKEN DELI - GONGCHA - GENERIC</v>
      </c>
      <c r="B868" t="str">
        <f>Table3[[#This Row],[Client ID]] &amp; " - " &amp; Table3[[#This Row],[SO Number]]</f>
        <v>CHICKEN DELI - GONGCHA - GENERIC - SO-114</v>
      </c>
      <c r="C868" t="s">
        <v>618</v>
      </c>
      <c r="D868" t="s">
        <v>20</v>
      </c>
      <c r="E868" t="s">
        <v>31</v>
      </c>
      <c r="F868" t="s">
        <v>15</v>
      </c>
      <c r="G868" t="s">
        <v>22</v>
      </c>
      <c r="H868" t="s">
        <v>617</v>
      </c>
      <c r="I868" t="s">
        <v>76</v>
      </c>
      <c r="J868">
        <v>1</v>
      </c>
      <c r="K868">
        <v>500</v>
      </c>
      <c r="L868">
        <v>500</v>
      </c>
      <c r="M868">
        <v>500</v>
      </c>
      <c r="N868" t="s">
        <v>19</v>
      </c>
    </row>
    <row r="869" spans="1:14" x14ac:dyDescent="0.25">
      <c r="A869" t="str">
        <f>Table3[[#This Row],[Company Name]] &amp; " - " &amp; Table3[[#This Row],[Store Name]] &amp; " - " &amp; Table3[[#This Row],[Store Branch / Address]]</f>
        <v>SIMBAJON ROEL MARALA - FRUITS IN ICE CREAM - GENERIC</v>
      </c>
      <c r="B869" t="str">
        <f>Table3[[#This Row],[Client ID]] &amp; " - " &amp; Table3[[#This Row],[SO Number]]</f>
        <v>SIMBAJON ROEL MARALA - FRUITS IN ICE CREAM - GENERIC - SO-093</v>
      </c>
      <c r="C869" t="s">
        <v>524</v>
      </c>
      <c r="D869" t="s">
        <v>531</v>
      </c>
      <c r="E869" t="s">
        <v>532</v>
      </c>
      <c r="F869" t="s">
        <v>15</v>
      </c>
      <c r="G869" t="s">
        <v>22</v>
      </c>
      <c r="H869" t="s">
        <v>533</v>
      </c>
      <c r="I869" t="s">
        <v>534</v>
      </c>
      <c r="J869">
        <v>1</v>
      </c>
      <c r="K869">
        <v>2975</v>
      </c>
      <c r="L869">
        <v>8500</v>
      </c>
      <c r="M869">
        <v>8500</v>
      </c>
      <c r="N869" t="s">
        <v>19</v>
      </c>
    </row>
    <row r="870" spans="1:14" x14ac:dyDescent="0.25">
      <c r="A870" t="str">
        <f>Table3[[#This Row],[Company Name]] &amp; " - " &amp; Table3[[#This Row],[Store Name]] &amp; " - " &amp; Table3[[#This Row],[Store Branch / Address]]</f>
        <v>SIMBAJON ROEL MARALA - FRUITS IN ICE CREAM - GENERIC</v>
      </c>
      <c r="B870" t="str">
        <f>Table3[[#This Row],[Client ID]] &amp; " - " &amp; Table3[[#This Row],[SO Number]]</f>
        <v>SIMBAJON ROEL MARALA - FRUITS IN ICE CREAM - GENERIC - SO-093</v>
      </c>
      <c r="C870" t="s">
        <v>524</v>
      </c>
      <c r="D870" t="s">
        <v>531</v>
      </c>
      <c r="E870" t="s">
        <v>532</v>
      </c>
      <c r="F870" t="s">
        <v>15</v>
      </c>
      <c r="G870" t="s">
        <v>22</v>
      </c>
      <c r="H870" t="s">
        <v>533</v>
      </c>
      <c r="I870" t="s">
        <v>48</v>
      </c>
      <c r="J870">
        <v>1</v>
      </c>
      <c r="K870">
        <v>2800</v>
      </c>
      <c r="L870">
        <v>8000</v>
      </c>
      <c r="M870">
        <v>8000</v>
      </c>
      <c r="N870" t="s">
        <v>19</v>
      </c>
    </row>
    <row r="871" spans="1:14" x14ac:dyDescent="0.25">
      <c r="A871" t="str">
        <f>Table3[[#This Row],[Company Name]] &amp; " - " &amp; Table3[[#This Row],[Store Name]] &amp; " - " &amp; Table3[[#This Row],[Store Branch / Address]]</f>
        <v>SIMBAJON ROEL MARALA - FRUITS IN ICE CREAM - GENERIC</v>
      </c>
      <c r="B871" t="str">
        <f>Table3[[#This Row],[Client ID]] &amp; " - " &amp; Table3[[#This Row],[SO Number]]</f>
        <v>SIMBAJON ROEL MARALA - FRUITS IN ICE CREAM - GENERIC - SO-093</v>
      </c>
      <c r="C871" t="s">
        <v>524</v>
      </c>
      <c r="D871" t="s">
        <v>531</v>
      </c>
      <c r="E871" t="s">
        <v>532</v>
      </c>
      <c r="F871" t="s">
        <v>15</v>
      </c>
      <c r="G871" t="s">
        <v>22</v>
      </c>
      <c r="H871" t="s">
        <v>533</v>
      </c>
      <c r="I871" t="s">
        <v>24</v>
      </c>
      <c r="J871">
        <v>1</v>
      </c>
      <c r="K871">
        <v>2800</v>
      </c>
      <c r="L871">
        <v>8000</v>
      </c>
      <c r="M871">
        <v>8000</v>
      </c>
      <c r="N871" t="s">
        <v>19</v>
      </c>
    </row>
    <row r="872" spans="1:14" x14ac:dyDescent="0.25">
      <c r="A872" t="str">
        <f>Table3[[#This Row],[Company Name]] &amp; " - " &amp; Table3[[#This Row],[Store Name]] &amp; " - " &amp; Table3[[#This Row],[Store Branch / Address]]</f>
        <v>SIMBAJON ROEL MARALA - FRUITS IN ICE CREAM - GENERIC</v>
      </c>
      <c r="B872" t="str">
        <f>Table3[[#This Row],[Client ID]] &amp; " - " &amp; Table3[[#This Row],[SO Number]]</f>
        <v>SIMBAJON ROEL MARALA - FRUITS IN ICE CREAM - GENERIC - SO-093</v>
      </c>
      <c r="C872" t="s">
        <v>524</v>
      </c>
      <c r="D872" t="s">
        <v>531</v>
      </c>
      <c r="E872" t="s">
        <v>532</v>
      </c>
      <c r="F872" t="s">
        <v>15</v>
      </c>
      <c r="G872" t="s">
        <v>22</v>
      </c>
      <c r="H872" t="s">
        <v>533</v>
      </c>
      <c r="I872" t="s">
        <v>26</v>
      </c>
      <c r="J872">
        <v>1</v>
      </c>
      <c r="K872">
        <v>500</v>
      </c>
      <c r="L872">
        <v>500</v>
      </c>
      <c r="M872">
        <v>500</v>
      </c>
      <c r="N872" t="s">
        <v>19</v>
      </c>
    </row>
    <row r="873" spans="1:14" x14ac:dyDescent="0.25">
      <c r="A873" t="str">
        <f>Table3[[#This Row],[Company Name]] &amp; " - " &amp; Table3[[#This Row],[Store Name]] &amp; " - " &amp; Table3[[#This Row],[Store Branch / Address]]</f>
        <v>TRE FIL HOLDINGS CORPORATION - COLONIAL CREAMERY - SM MARIKINA</v>
      </c>
      <c r="B873" t="str">
        <f>Table3[[#This Row],[Client ID]] &amp; " - " &amp; Table3[[#This Row],[SO Number]]</f>
        <v>TRE FIL HOLDINGS CORPORATION - COLONIAL CREAMERY - SM MARIKINA - SO-094</v>
      </c>
      <c r="C873" t="s">
        <v>535</v>
      </c>
      <c r="D873" t="s">
        <v>497</v>
      </c>
      <c r="E873" t="s">
        <v>498</v>
      </c>
      <c r="F873" t="s">
        <v>536</v>
      </c>
      <c r="G873" t="s">
        <v>16</v>
      </c>
      <c r="H873" t="s">
        <v>533</v>
      </c>
      <c r="I873" t="s">
        <v>114</v>
      </c>
      <c r="J873">
        <v>1</v>
      </c>
      <c r="K873">
        <v>3675</v>
      </c>
      <c r="L873">
        <v>10500</v>
      </c>
      <c r="M873">
        <v>10500</v>
      </c>
      <c r="N873" t="s">
        <v>39</v>
      </c>
    </row>
    <row r="874" spans="1:14" x14ac:dyDescent="0.25">
      <c r="A874" t="str">
        <f>Table3[[#This Row],[Company Name]] &amp; " - " &amp; Table3[[#This Row],[Store Name]] &amp; " - " &amp; Table3[[#This Row],[Store Branch / Address]]</f>
        <v>TRE FIL HOLDINGS CORPORATION - COLONIAL CREAMERY - SM MARIKINA</v>
      </c>
      <c r="B874" t="str">
        <f>Table3[[#This Row],[Client ID]] &amp; " - " &amp; Table3[[#This Row],[SO Number]]</f>
        <v>TRE FIL HOLDINGS CORPORATION - COLONIAL CREAMERY - SM MARIKINA - SO-094</v>
      </c>
      <c r="C874" t="s">
        <v>535</v>
      </c>
      <c r="D874" t="s">
        <v>497</v>
      </c>
      <c r="E874" t="s">
        <v>498</v>
      </c>
      <c r="F874" t="s">
        <v>536</v>
      </c>
      <c r="G874" t="s">
        <v>16</v>
      </c>
      <c r="H874" t="s">
        <v>533</v>
      </c>
      <c r="I874" t="s">
        <v>48</v>
      </c>
      <c r="J874">
        <v>1</v>
      </c>
      <c r="K874">
        <v>3255</v>
      </c>
      <c r="L874">
        <v>9300</v>
      </c>
      <c r="M874">
        <v>9300</v>
      </c>
      <c r="N874" t="s">
        <v>39</v>
      </c>
    </row>
    <row r="875" spans="1:14" x14ac:dyDescent="0.25">
      <c r="A875" t="str">
        <f>Table3[[#This Row],[Company Name]] &amp; " - " &amp; Table3[[#This Row],[Store Name]] &amp; " - " &amp; Table3[[#This Row],[Store Branch / Address]]</f>
        <v>TRE FIL HOLDINGS CORPORATION - COLONIAL CREAMERY - SM MARIKINA</v>
      </c>
      <c r="B875" t="str">
        <f>Table3[[#This Row],[Client ID]] &amp; " - " &amp; Table3[[#This Row],[SO Number]]</f>
        <v>TRE FIL HOLDINGS CORPORATION - COLONIAL CREAMERY - SM MARIKINA - SO-094</v>
      </c>
      <c r="C875" t="s">
        <v>535</v>
      </c>
      <c r="D875" t="s">
        <v>497</v>
      </c>
      <c r="E875" t="s">
        <v>498</v>
      </c>
      <c r="F875" t="s">
        <v>536</v>
      </c>
      <c r="G875" t="s">
        <v>16</v>
      </c>
      <c r="H875" t="s">
        <v>533</v>
      </c>
      <c r="I875" t="s">
        <v>126</v>
      </c>
      <c r="J875">
        <v>1</v>
      </c>
      <c r="K875">
        <v>3220</v>
      </c>
      <c r="L875">
        <v>9200</v>
      </c>
      <c r="M875">
        <v>9200</v>
      </c>
      <c r="N875" t="s">
        <v>39</v>
      </c>
    </row>
    <row r="876" spans="1:14" x14ac:dyDescent="0.25">
      <c r="A876" t="str">
        <f>Table3[[#This Row],[Company Name]] &amp; " - " &amp; Table3[[#This Row],[Store Name]] &amp; " - " &amp; Table3[[#This Row],[Store Branch / Address]]</f>
        <v>TRE FIL HOLDINGS CORPORATION - COLONIAL CREAMERY - SM MARIKINA</v>
      </c>
      <c r="B876" t="str">
        <f>Table3[[#This Row],[Client ID]] &amp; " - " &amp; Table3[[#This Row],[SO Number]]</f>
        <v>TRE FIL HOLDINGS CORPORATION - COLONIAL CREAMERY - SM MARIKINA - SO-094</v>
      </c>
      <c r="C876" t="s">
        <v>535</v>
      </c>
      <c r="D876" t="s">
        <v>497</v>
      </c>
      <c r="E876" t="s">
        <v>498</v>
      </c>
      <c r="F876" t="s">
        <v>536</v>
      </c>
      <c r="G876" t="s">
        <v>16</v>
      </c>
      <c r="H876" t="s">
        <v>533</v>
      </c>
      <c r="I876" t="s">
        <v>38</v>
      </c>
      <c r="J876">
        <v>1</v>
      </c>
      <c r="K876">
        <v>8500</v>
      </c>
      <c r="L876">
        <v>12000</v>
      </c>
      <c r="M876">
        <v>12000</v>
      </c>
      <c r="N876" t="s">
        <v>39</v>
      </c>
    </row>
    <row r="877" spans="1:14" x14ac:dyDescent="0.25">
      <c r="A877" t="str">
        <f>Table3[[#This Row],[Company Name]] &amp; " - " &amp; Table3[[#This Row],[Store Name]] &amp; " - " &amp; Table3[[#This Row],[Store Branch / Address]]</f>
        <v>TRE FIL HOLDINGS CORPORATION - COLONIAL CREAMERY - SM MARIKINA</v>
      </c>
      <c r="B877" t="str">
        <f>Table3[[#This Row],[Client ID]] &amp; " - " &amp; Table3[[#This Row],[SO Number]]</f>
        <v>TRE FIL HOLDINGS CORPORATION - COLONIAL CREAMERY - SM MARIKINA - SO-094</v>
      </c>
      <c r="C877" t="s">
        <v>535</v>
      </c>
      <c r="D877" t="s">
        <v>497</v>
      </c>
      <c r="E877" t="s">
        <v>498</v>
      </c>
      <c r="F877" t="s">
        <v>536</v>
      </c>
      <c r="G877" t="s">
        <v>16</v>
      </c>
      <c r="H877" t="s">
        <v>533</v>
      </c>
      <c r="I877" t="s">
        <v>97</v>
      </c>
      <c r="J877">
        <v>1</v>
      </c>
      <c r="K877">
        <v>2200</v>
      </c>
      <c r="L877">
        <v>3000</v>
      </c>
      <c r="M877">
        <v>3000</v>
      </c>
      <c r="N877" t="s">
        <v>39</v>
      </c>
    </row>
    <row r="878" spans="1:14" x14ac:dyDescent="0.25">
      <c r="A878" t="str">
        <f>Table3[[#This Row],[Company Name]] &amp; " - " &amp; Table3[[#This Row],[Store Name]] &amp; " - " &amp; Table3[[#This Row],[Store Branch / Address]]</f>
        <v>TRE FIL HOLDINGS CORPORATION - COLONIAL CREAMERY - SM MARIKINA</v>
      </c>
      <c r="B878" t="str">
        <f>Table3[[#This Row],[Client ID]] &amp; " - " &amp; Table3[[#This Row],[SO Number]]</f>
        <v>TRE FIL HOLDINGS CORPORATION - COLONIAL CREAMERY - SM MARIKINA - SO-094</v>
      </c>
      <c r="C878" t="s">
        <v>535</v>
      </c>
      <c r="D878" t="s">
        <v>497</v>
      </c>
      <c r="E878" t="s">
        <v>498</v>
      </c>
      <c r="F878" t="s">
        <v>536</v>
      </c>
      <c r="G878" t="s">
        <v>16</v>
      </c>
      <c r="H878" t="s">
        <v>533</v>
      </c>
      <c r="I878" t="s">
        <v>115</v>
      </c>
      <c r="J878">
        <v>1</v>
      </c>
      <c r="K878">
        <v>10750</v>
      </c>
      <c r="L878">
        <v>15000</v>
      </c>
      <c r="M878">
        <v>15000</v>
      </c>
      <c r="N878" t="s">
        <v>39</v>
      </c>
    </row>
    <row r="879" spans="1:14" x14ac:dyDescent="0.25">
      <c r="A879" t="str">
        <f>Table3[[#This Row],[Company Name]] &amp; " - " &amp; Table3[[#This Row],[Store Name]] &amp; " - " &amp; Table3[[#This Row],[Store Branch / Address]]</f>
        <v>TRE FIL HOLDINGS CORPORATION - COLONIAL CREAMERY - SM MARIKINA</v>
      </c>
      <c r="B879" t="str">
        <f>Table3[[#This Row],[Client ID]] &amp; " - " &amp; Table3[[#This Row],[SO Number]]</f>
        <v>TRE FIL HOLDINGS CORPORATION - COLONIAL CREAMERY - SM MARIKINA - SO-094</v>
      </c>
      <c r="C879" t="s">
        <v>535</v>
      </c>
      <c r="D879" t="s">
        <v>497</v>
      </c>
      <c r="E879" t="s">
        <v>498</v>
      </c>
      <c r="F879" t="s">
        <v>536</v>
      </c>
      <c r="G879" t="s">
        <v>16</v>
      </c>
      <c r="H879" t="s">
        <v>533</v>
      </c>
      <c r="I879" t="s">
        <v>85</v>
      </c>
      <c r="J879">
        <v>1</v>
      </c>
      <c r="K879">
        <v>1350</v>
      </c>
      <c r="L879">
        <v>2500</v>
      </c>
      <c r="M879">
        <v>2500</v>
      </c>
      <c r="N879" t="s">
        <v>39</v>
      </c>
    </row>
    <row r="880" spans="1:14" x14ac:dyDescent="0.25">
      <c r="A880" t="str">
        <f>Table3[[#This Row],[Company Name]] &amp; " - " &amp; Table3[[#This Row],[Store Name]] &amp; " - " &amp; Table3[[#This Row],[Store Branch / Address]]</f>
        <v>TRE FIL HOLDINGS CORPORATION - COLONIAL CREAMERY - SM MARIKINA</v>
      </c>
      <c r="B880" t="str">
        <f>Table3[[#This Row],[Client ID]] &amp; " - " &amp; Table3[[#This Row],[SO Number]]</f>
        <v>TRE FIL HOLDINGS CORPORATION - COLONIAL CREAMERY - SM MARIKINA - SO-094</v>
      </c>
      <c r="C880" t="s">
        <v>535</v>
      </c>
      <c r="D880" t="s">
        <v>497</v>
      </c>
      <c r="E880" t="s">
        <v>498</v>
      </c>
      <c r="F880" t="s">
        <v>536</v>
      </c>
      <c r="G880" t="s">
        <v>16</v>
      </c>
      <c r="H880" t="s">
        <v>533</v>
      </c>
      <c r="I880" t="s">
        <v>209</v>
      </c>
      <c r="J880">
        <v>1</v>
      </c>
      <c r="K880">
        <v>23450</v>
      </c>
      <c r="L880">
        <v>32300</v>
      </c>
      <c r="M880">
        <v>32300</v>
      </c>
      <c r="N880" t="s">
        <v>39</v>
      </c>
    </row>
    <row r="881" spans="1:14" x14ac:dyDescent="0.25">
      <c r="A881" t="str">
        <f>Table3[[#This Row],[Company Name]] &amp; " - " &amp; Table3[[#This Row],[Store Name]] &amp; " - " &amp; Table3[[#This Row],[Store Branch / Address]]</f>
        <v>TRE FIL HOLDINGS CORPORATION - COLONIAL CREAMERY - SM MARIKINA</v>
      </c>
      <c r="B881" t="str">
        <f>Table3[[#This Row],[Client ID]] &amp; " - " &amp; Table3[[#This Row],[SO Number]]</f>
        <v>TRE FIL HOLDINGS CORPORATION - COLONIAL CREAMERY - SM MARIKINA - SO-094</v>
      </c>
      <c r="C881" t="s">
        <v>535</v>
      </c>
      <c r="D881" t="s">
        <v>497</v>
      </c>
      <c r="E881" t="s">
        <v>498</v>
      </c>
      <c r="F881" t="s">
        <v>536</v>
      </c>
      <c r="G881" t="s">
        <v>16</v>
      </c>
      <c r="H881" t="s">
        <v>533</v>
      </c>
      <c r="I881" t="s">
        <v>151</v>
      </c>
      <c r="J881">
        <v>1</v>
      </c>
      <c r="K881">
        <v>2800</v>
      </c>
      <c r="L881">
        <v>4000</v>
      </c>
      <c r="M881">
        <v>4000</v>
      </c>
      <c r="N881" t="s">
        <v>39</v>
      </c>
    </row>
    <row r="882" spans="1:14" x14ac:dyDescent="0.25">
      <c r="A882" t="str">
        <f>Table3[[#This Row],[Company Name]] &amp; " - " &amp; Table3[[#This Row],[Store Name]] &amp; " - " &amp; Table3[[#This Row],[Store Branch / Address]]</f>
        <v>TRE FIL HOLDINGS CORPORATION - COLONIAL CREAMERY - SM MARIKINA</v>
      </c>
      <c r="B882" t="str">
        <f>Table3[[#This Row],[Client ID]] &amp; " - " &amp; Table3[[#This Row],[SO Number]]</f>
        <v>TRE FIL HOLDINGS CORPORATION - COLONIAL CREAMERY - SM MARIKINA - SO-094</v>
      </c>
      <c r="C882" t="s">
        <v>535</v>
      </c>
      <c r="D882" t="s">
        <v>497</v>
      </c>
      <c r="E882" t="s">
        <v>498</v>
      </c>
      <c r="F882" t="s">
        <v>536</v>
      </c>
      <c r="G882" t="s">
        <v>16</v>
      </c>
      <c r="H882" t="s">
        <v>533</v>
      </c>
      <c r="I882" t="s">
        <v>210</v>
      </c>
      <c r="J882">
        <v>1</v>
      </c>
      <c r="K882">
        <v>500</v>
      </c>
      <c r="L882">
        <v>700</v>
      </c>
      <c r="M882">
        <v>700</v>
      </c>
      <c r="N882" t="s">
        <v>39</v>
      </c>
    </row>
    <row r="883" spans="1:14" x14ac:dyDescent="0.25">
      <c r="A883" t="str">
        <f>Table3[[#This Row],[Company Name]] &amp; " - " &amp; Table3[[#This Row],[Store Name]] &amp; " - " &amp; Table3[[#This Row],[Store Branch / Address]]</f>
        <v>TRE FIL HOLDINGS CORPORATION - COLONIAL CREAMERY - SM MARIKINA</v>
      </c>
      <c r="B883" t="str">
        <f>Table3[[#This Row],[Client ID]] &amp; " - " &amp; Table3[[#This Row],[SO Number]]</f>
        <v>TRE FIL HOLDINGS CORPORATION - COLONIAL CREAMERY - SM MARIKINA - SO-094</v>
      </c>
      <c r="C883" t="s">
        <v>535</v>
      </c>
      <c r="D883" t="s">
        <v>497</v>
      </c>
      <c r="E883" t="s">
        <v>498</v>
      </c>
      <c r="F883" t="s">
        <v>536</v>
      </c>
      <c r="G883" t="s">
        <v>16</v>
      </c>
      <c r="H883" t="s">
        <v>533</v>
      </c>
      <c r="I883" t="s">
        <v>211</v>
      </c>
      <c r="J883">
        <v>1</v>
      </c>
      <c r="K883">
        <v>350</v>
      </c>
      <c r="L883">
        <v>500</v>
      </c>
      <c r="M883">
        <v>500</v>
      </c>
      <c r="N883" t="s">
        <v>39</v>
      </c>
    </row>
    <row r="884" spans="1:14" x14ac:dyDescent="0.25">
      <c r="A884" t="str">
        <f>Table3[[#This Row],[Company Name]] &amp; " - " &amp; Table3[[#This Row],[Store Name]] &amp; " - " &amp; Table3[[#This Row],[Store Branch / Address]]</f>
        <v>TRE FIL HOLDINGS CORPORATION - COLONIAL CREAMERY - SM MARIKINA</v>
      </c>
      <c r="B884" t="str">
        <f>Table3[[#This Row],[Client ID]] &amp; " - " &amp; Table3[[#This Row],[SO Number]]</f>
        <v>TRE FIL HOLDINGS CORPORATION - COLONIAL CREAMERY - SM MARIKINA - SO-094</v>
      </c>
      <c r="C884" t="s">
        <v>535</v>
      </c>
      <c r="D884" t="s">
        <v>497</v>
      </c>
      <c r="E884" t="s">
        <v>498</v>
      </c>
      <c r="F884" t="s">
        <v>536</v>
      </c>
      <c r="G884" t="s">
        <v>16</v>
      </c>
      <c r="H884" t="s">
        <v>533</v>
      </c>
      <c r="I884" t="s">
        <v>26</v>
      </c>
      <c r="J884">
        <v>1</v>
      </c>
      <c r="K884">
        <v>500</v>
      </c>
      <c r="L884">
        <v>500</v>
      </c>
      <c r="M884">
        <v>500</v>
      </c>
      <c r="N884" t="s">
        <v>39</v>
      </c>
    </row>
    <row r="885" spans="1:14" x14ac:dyDescent="0.25">
      <c r="A885" t="str">
        <f>Table3[[#This Row],[Company Name]] &amp; " - " &amp; Table3[[#This Row],[Store Name]] &amp; " - " &amp; Table3[[#This Row],[Store Branch / Address]]</f>
        <v>TRE FIL HOLDINGS CORPORATION - COLONIAL CREAMERY - SM MARIKINA</v>
      </c>
      <c r="B885" t="str">
        <f>Table3[[#This Row],[Client ID]] &amp; " - " &amp; Table3[[#This Row],[SO Number]]</f>
        <v>TRE FIL HOLDINGS CORPORATION - COLONIAL CREAMERY - SM MARIKINA - SO-094</v>
      </c>
      <c r="C885" t="s">
        <v>535</v>
      </c>
      <c r="D885" t="s">
        <v>497</v>
      </c>
      <c r="E885" t="s">
        <v>498</v>
      </c>
      <c r="F885" t="s">
        <v>536</v>
      </c>
      <c r="G885" t="s">
        <v>16</v>
      </c>
      <c r="H885" t="s">
        <v>533</v>
      </c>
      <c r="I885" t="s">
        <v>63</v>
      </c>
      <c r="J885">
        <v>1</v>
      </c>
      <c r="K885">
        <v>500</v>
      </c>
      <c r="L885">
        <v>500</v>
      </c>
      <c r="M885">
        <v>500</v>
      </c>
      <c r="N885" t="s">
        <v>39</v>
      </c>
    </row>
    <row r="886" spans="1:14" x14ac:dyDescent="0.25">
      <c r="A886" t="str">
        <f>Table3[[#This Row],[Company Name]] &amp; " - " &amp; Table3[[#This Row],[Store Name]] &amp; " - " &amp; Table3[[#This Row],[Store Branch / Address]]</f>
        <v>CHICKEN DELI - PAOTSIN - GENERIC</v>
      </c>
      <c r="B886" t="str">
        <f>Table3[[#This Row],[Client ID]] &amp; " - " &amp; Table3[[#This Row],[SO Number]]</f>
        <v>CHICKEN DELI - PAOTSIN - GENERIC - SO-115</v>
      </c>
      <c r="C886" t="s">
        <v>621</v>
      </c>
      <c r="D886" t="s">
        <v>20</v>
      </c>
      <c r="E886" t="s">
        <v>623</v>
      </c>
      <c r="F886" t="s">
        <v>15</v>
      </c>
      <c r="G886" t="s">
        <v>22</v>
      </c>
      <c r="H886" t="s">
        <v>533</v>
      </c>
      <c r="I886" t="s">
        <v>137</v>
      </c>
      <c r="J886">
        <v>1</v>
      </c>
      <c r="K886">
        <v>2200</v>
      </c>
      <c r="L886">
        <v>4200</v>
      </c>
      <c r="M886">
        <v>4200</v>
      </c>
      <c r="N886" t="s">
        <v>19</v>
      </c>
    </row>
    <row r="887" spans="1:14" x14ac:dyDescent="0.25">
      <c r="A887" t="str">
        <f>Table3[[#This Row],[Company Name]] &amp; " - " &amp; Table3[[#This Row],[Store Name]] &amp; " - " &amp; Table3[[#This Row],[Store Branch / Address]]</f>
        <v>CHICKEN DELI - PAOTSIN - GENERIC</v>
      </c>
      <c r="B887" t="str">
        <f>Table3[[#This Row],[Client ID]] &amp; " - " &amp; Table3[[#This Row],[SO Number]]</f>
        <v>CHICKEN DELI - PAOTSIN - GENERIC - SO-115</v>
      </c>
      <c r="C887" t="s">
        <v>621</v>
      </c>
      <c r="D887" t="s">
        <v>20</v>
      </c>
      <c r="E887" t="s">
        <v>623</v>
      </c>
      <c r="F887" t="s">
        <v>15</v>
      </c>
      <c r="G887" t="s">
        <v>22</v>
      </c>
      <c r="H887" t="s">
        <v>533</v>
      </c>
      <c r="I887" t="s">
        <v>624</v>
      </c>
      <c r="J887">
        <v>1</v>
      </c>
      <c r="K887">
        <v>350</v>
      </c>
      <c r="L887">
        <v>500</v>
      </c>
      <c r="M887">
        <v>500</v>
      </c>
      <c r="N887" t="s">
        <v>19</v>
      </c>
    </row>
    <row r="888" spans="1:14" x14ac:dyDescent="0.25">
      <c r="A888" t="str">
        <f>Table3[[#This Row],[Company Name]] &amp; " - " &amp; Table3[[#This Row],[Store Name]] &amp; " - " &amp; Table3[[#This Row],[Store Branch / Address]]</f>
        <v>CHICKEN DELI - PAOTSIN - GENERIC</v>
      </c>
      <c r="B888" t="str">
        <f>Table3[[#This Row],[Client ID]] &amp; " - " &amp; Table3[[#This Row],[SO Number]]</f>
        <v>CHICKEN DELI - PAOTSIN - GENERIC - SO-115</v>
      </c>
      <c r="C888" t="s">
        <v>621</v>
      </c>
      <c r="D888" t="s">
        <v>20</v>
      </c>
      <c r="E888" t="s">
        <v>623</v>
      </c>
      <c r="F888" t="s">
        <v>15</v>
      </c>
      <c r="G888" t="s">
        <v>22</v>
      </c>
      <c r="H888" t="s">
        <v>533</v>
      </c>
      <c r="I888" t="s">
        <v>76</v>
      </c>
      <c r="J888">
        <v>1</v>
      </c>
      <c r="K888">
        <v>500</v>
      </c>
      <c r="L888">
        <v>500</v>
      </c>
      <c r="M888">
        <v>500</v>
      </c>
      <c r="N888" t="s">
        <v>19</v>
      </c>
    </row>
    <row r="889" spans="1:14" x14ac:dyDescent="0.25">
      <c r="A889" t="str">
        <f>Table3[[#This Row],[Company Name]] &amp; " - " &amp; Table3[[#This Row],[Store Name]] &amp; " - " &amp; Table3[[#This Row],[Store Branch / Address]]</f>
        <v>W R I WELLNESS RETAIL INNOVATIONS INC - DR. KONG - GRAND CENTRAL</v>
      </c>
      <c r="B889" t="str">
        <f>Table3[[#This Row],[Client ID]] &amp; " - " &amp; Table3[[#This Row],[SO Number]]</f>
        <v>W R I WELLNESS RETAIL INNOVATIONS INC - DR. KONG - GRAND CENTRAL - SO-040</v>
      </c>
      <c r="C889" t="s">
        <v>282</v>
      </c>
      <c r="D889" t="s">
        <v>1055</v>
      </c>
      <c r="E889" t="s">
        <v>1056</v>
      </c>
      <c r="F889" t="s">
        <v>1098</v>
      </c>
      <c r="G889" t="s">
        <v>37</v>
      </c>
      <c r="H889" t="s">
        <v>533</v>
      </c>
      <c r="I889" t="s">
        <v>38</v>
      </c>
      <c r="J889">
        <v>1</v>
      </c>
      <c r="K889">
        <v>8500</v>
      </c>
      <c r="L889">
        <v>12500</v>
      </c>
      <c r="M889">
        <v>12500</v>
      </c>
      <c r="N889" t="s">
        <v>1010</v>
      </c>
    </row>
    <row r="890" spans="1:14" x14ac:dyDescent="0.25">
      <c r="A890" t="str">
        <f>Table3[[#This Row],[Company Name]] &amp; " - " &amp; Table3[[#This Row],[Store Name]] &amp; " - " &amp; Table3[[#This Row],[Store Branch / Address]]</f>
        <v>W R I WELLNESS RETAIL INNOVATIONS INC - DR. KONG - GRAND CENTRAL</v>
      </c>
      <c r="B890" t="str">
        <f>Table3[[#This Row],[Client ID]] &amp; " - " &amp; Table3[[#This Row],[SO Number]]</f>
        <v>W R I WELLNESS RETAIL INNOVATIONS INC - DR. KONG - GRAND CENTRAL - SO-040</v>
      </c>
      <c r="C890" t="s">
        <v>282</v>
      </c>
      <c r="D890" t="s">
        <v>1055</v>
      </c>
      <c r="E890" t="s">
        <v>1056</v>
      </c>
      <c r="F890" t="s">
        <v>1098</v>
      </c>
      <c r="G890" t="s">
        <v>37</v>
      </c>
      <c r="H890" t="s">
        <v>533</v>
      </c>
      <c r="I890" t="s">
        <v>137</v>
      </c>
      <c r="J890">
        <v>1</v>
      </c>
      <c r="K890">
        <v>2200</v>
      </c>
      <c r="L890">
        <v>3250</v>
      </c>
      <c r="M890">
        <v>3250</v>
      </c>
      <c r="N890" t="s">
        <v>1010</v>
      </c>
    </row>
    <row r="891" spans="1:14" x14ac:dyDescent="0.25">
      <c r="A891" t="str">
        <f>Table3[[#This Row],[Company Name]] &amp; " - " &amp; Table3[[#This Row],[Store Name]] &amp; " - " &amp; Table3[[#This Row],[Store Branch / Address]]</f>
        <v>W R I WELLNESS RETAIL INNOVATIONS INC - DR. KONG - GRAND CENTRAL</v>
      </c>
      <c r="B891" t="str">
        <f>Table3[[#This Row],[Client ID]] &amp; " - " &amp; Table3[[#This Row],[SO Number]]</f>
        <v>W R I WELLNESS RETAIL INNOVATIONS INC - DR. KONG - GRAND CENTRAL - SO-040</v>
      </c>
      <c r="C891" t="s">
        <v>282</v>
      </c>
      <c r="D891" t="s">
        <v>1055</v>
      </c>
      <c r="E891" t="s">
        <v>1056</v>
      </c>
      <c r="F891" t="s">
        <v>1098</v>
      </c>
      <c r="G891" t="s">
        <v>37</v>
      </c>
      <c r="H891" t="s">
        <v>533</v>
      </c>
      <c r="I891" t="s">
        <v>1057</v>
      </c>
      <c r="J891">
        <v>1</v>
      </c>
      <c r="K891">
        <v>5400</v>
      </c>
      <c r="L891">
        <v>7000</v>
      </c>
      <c r="M891">
        <v>7000</v>
      </c>
      <c r="N891" t="s">
        <v>1010</v>
      </c>
    </row>
    <row r="892" spans="1:14" x14ac:dyDescent="0.25">
      <c r="A892" t="str">
        <f>Table3[[#This Row],[Company Name]] &amp; " - " &amp; Table3[[#This Row],[Store Name]] &amp; " - " &amp; Table3[[#This Row],[Store Branch / Address]]</f>
        <v>W R I WELLNESS RETAIL INNOVATIONS INC - DR. KONG - GRAND CENTRAL</v>
      </c>
      <c r="B892" t="str">
        <f>Table3[[#This Row],[Client ID]] &amp; " - " &amp; Table3[[#This Row],[SO Number]]</f>
        <v>W R I WELLNESS RETAIL INNOVATIONS INC - DR. KONG - GRAND CENTRAL - SO-040</v>
      </c>
      <c r="C892" t="s">
        <v>282</v>
      </c>
      <c r="D892" t="s">
        <v>1055</v>
      </c>
      <c r="E892" t="s">
        <v>1056</v>
      </c>
      <c r="F892" t="s">
        <v>1098</v>
      </c>
      <c r="G892" t="s">
        <v>37</v>
      </c>
      <c r="H892" t="s">
        <v>533</v>
      </c>
      <c r="I892" t="s">
        <v>1021</v>
      </c>
      <c r="J892">
        <v>1</v>
      </c>
      <c r="K892">
        <v>2185</v>
      </c>
      <c r="L892">
        <v>3250</v>
      </c>
      <c r="M892">
        <v>3250</v>
      </c>
      <c r="N892" t="s">
        <v>1010</v>
      </c>
    </row>
    <row r="893" spans="1:14" x14ac:dyDescent="0.25">
      <c r="A893" t="str">
        <f>Table3[[#This Row],[Company Name]] &amp; " - " &amp; Table3[[#This Row],[Store Name]] &amp; " - " &amp; Table3[[#This Row],[Store Branch / Address]]</f>
        <v>W R I WELLNESS RETAIL INNOVATIONS INC - DR. KONG - GRAND CENTRAL</v>
      </c>
      <c r="B893" t="str">
        <f>Table3[[#This Row],[Client ID]] &amp; " - " &amp; Table3[[#This Row],[SO Number]]</f>
        <v>W R I WELLNESS RETAIL INNOVATIONS INC - DR. KONG - GRAND CENTRAL - SO-040</v>
      </c>
      <c r="C893" t="s">
        <v>282</v>
      </c>
      <c r="D893" t="s">
        <v>1055</v>
      </c>
      <c r="E893" t="s">
        <v>1056</v>
      </c>
      <c r="F893" t="s">
        <v>1098</v>
      </c>
      <c r="G893" t="s">
        <v>37</v>
      </c>
      <c r="H893" t="s">
        <v>533</v>
      </c>
      <c r="I893" t="s">
        <v>63</v>
      </c>
      <c r="J893">
        <v>1</v>
      </c>
      <c r="K893">
        <v>500</v>
      </c>
      <c r="L893">
        <v>500</v>
      </c>
      <c r="M893">
        <v>500</v>
      </c>
      <c r="N893" t="s">
        <v>1010</v>
      </c>
    </row>
    <row r="894" spans="1:14" x14ac:dyDescent="0.25">
      <c r="A894" t="str">
        <f>Table3[[#This Row],[Company Name]] &amp; " - " &amp; Table3[[#This Row],[Store Name]] &amp; " - " &amp; Table3[[#This Row],[Store Branch / Address]]</f>
        <v>SIMPLY GOURMET FOOD CORP NO COR YET - CHA TRA MUE - SM MOA</v>
      </c>
      <c r="B894" t="str">
        <f>Table3[[#This Row],[Client ID]] &amp; " - " &amp; Table3[[#This Row],[SO Number]]</f>
        <v>SIMPLY GOURMET FOOD CORP NO COR YET - CHA TRA MUE - SM MOA - SO-095</v>
      </c>
      <c r="C894" t="s">
        <v>540</v>
      </c>
      <c r="D894" t="s">
        <v>220</v>
      </c>
      <c r="E894" t="s">
        <v>221</v>
      </c>
      <c r="F894" t="s">
        <v>201</v>
      </c>
      <c r="G894" t="s">
        <v>37</v>
      </c>
      <c r="H894" t="s">
        <v>541</v>
      </c>
      <c r="I894" t="s">
        <v>241</v>
      </c>
      <c r="J894">
        <v>1</v>
      </c>
      <c r="K894">
        <v>8000</v>
      </c>
      <c r="L894">
        <v>11965</v>
      </c>
      <c r="M894">
        <v>11965</v>
      </c>
      <c r="N894" t="s">
        <v>39</v>
      </c>
    </row>
    <row r="895" spans="1:14" x14ac:dyDescent="0.25">
      <c r="A895" t="str">
        <f>Table3[[#This Row],[Company Name]] &amp; " - " &amp; Table3[[#This Row],[Store Name]] &amp; " - " &amp; Table3[[#This Row],[Store Branch / Address]]</f>
        <v>SIMPLY GOURMET FOOD CORP NO COR YET - CHA TRA MUE - SM MOA</v>
      </c>
      <c r="B895" t="str">
        <f>Table3[[#This Row],[Client ID]] &amp; " - " &amp; Table3[[#This Row],[SO Number]]</f>
        <v>SIMPLY GOURMET FOOD CORP NO COR YET - CHA TRA MUE - SM MOA - SO-095</v>
      </c>
      <c r="C895" t="s">
        <v>540</v>
      </c>
      <c r="D895" t="s">
        <v>220</v>
      </c>
      <c r="E895" t="s">
        <v>221</v>
      </c>
      <c r="F895" t="s">
        <v>201</v>
      </c>
      <c r="G895" t="s">
        <v>37</v>
      </c>
      <c r="H895" t="s">
        <v>541</v>
      </c>
      <c r="I895" t="s">
        <v>242</v>
      </c>
      <c r="J895">
        <v>3</v>
      </c>
      <c r="K895">
        <v>30</v>
      </c>
      <c r="L895">
        <v>45</v>
      </c>
      <c r="M895">
        <v>135</v>
      </c>
      <c r="N895" t="s">
        <v>39</v>
      </c>
    </row>
    <row r="896" spans="1:14" x14ac:dyDescent="0.25">
      <c r="A896" t="str">
        <f>Table3[[#This Row],[Company Name]] &amp; " - " &amp; Table3[[#This Row],[Store Name]] &amp; " - " &amp; Table3[[#This Row],[Store Branch / Address]]</f>
        <v>SIMPLY GOURMET FOOD CORP NO COR YET - CHA TRA MUE - SM MOA</v>
      </c>
      <c r="B896" t="str">
        <f>Table3[[#This Row],[Client ID]] &amp; " - " &amp; Table3[[#This Row],[SO Number]]</f>
        <v>SIMPLY GOURMET FOOD CORP NO COR YET - CHA TRA MUE - SM MOA - SO-095</v>
      </c>
      <c r="C896" t="s">
        <v>540</v>
      </c>
      <c r="D896" t="s">
        <v>220</v>
      </c>
      <c r="E896" t="s">
        <v>221</v>
      </c>
      <c r="F896" t="s">
        <v>201</v>
      </c>
      <c r="G896" t="s">
        <v>37</v>
      </c>
      <c r="H896" t="s">
        <v>541</v>
      </c>
      <c r="I896" t="s">
        <v>63</v>
      </c>
      <c r="J896">
        <v>1</v>
      </c>
      <c r="K896">
        <v>400</v>
      </c>
      <c r="L896">
        <v>400</v>
      </c>
      <c r="M896">
        <v>400</v>
      </c>
      <c r="N896" t="s">
        <v>39</v>
      </c>
    </row>
    <row r="897" spans="1:14" x14ac:dyDescent="0.25">
      <c r="A897" t="str">
        <f>Table3[[#This Row],[Company Name]] &amp; " - " &amp; Table3[[#This Row],[Store Name]] &amp; " - " &amp; Table3[[#This Row],[Store Branch / Address]]</f>
        <v>SAINT MICHAEL FOODS OPC - DANIELITO'S HOME KITCHEN - GENERIC</v>
      </c>
      <c r="B897" t="str">
        <f>Table3[[#This Row],[Client ID]] &amp; " - " &amp; Table3[[#This Row],[SO Number]]</f>
        <v>SAINT MICHAEL FOODS OPC - DANIELITO'S HOME KITCHEN - GENERIC - SO-098</v>
      </c>
      <c r="C897" t="s">
        <v>549</v>
      </c>
      <c r="D897" t="s">
        <v>544</v>
      </c>
      <c r="E897" t="s">
        <v>547</v>
      </c>
      <c r="F897" t="s">
        <v>15</v>
      </c>
      <c r="G897" t="s">
        <v>113</v>
      </c>
      <c r="H897" t="s">
        <v>541</v>
      </c>
      <c r="I897" t="s">
        <v>548</v>
      </c>
      <c r="J897">
        <v>1</v>
      </c>
      <c r="K897">
        <v>3675</v>
      </c>
      <c r="L897">
        <v>10500</v>
      </c>
      <c r="M897">
        <v>10500</v>
      </c>
      <c r="N897" t="s">
        <v>19</v>
      </c>
    </row>
    <row r="898" spans="1:14" x14ac:dyDescent="0.25">
      <c r="A898" t="str">
        <f>Table3[[#This Row],[Company Name]] &amp; " - " &amp; Table3[[#This Row],[Store Name]] &amp; " - " &amp; Table3[[#This Row],[Store Branch / Address]]</f>
        <v>SAINT MICHAEL FOODS OPC - DANIELITO'S HOME KITCHEN - GENERIC</v>
      </c>
      <c r="B898" t="str">
        <f>Table3[[#This Row],[Client ID]] &amp; " - " &amp; Table3[[#This Row],[SO Number]]</f>
        <v>SAINT MICHAEL FOODS OPC - DANIELITO'S HOME KITCHEN - GENERIC - SO-098</v>
      </c>
      <c r="C898" t="s">
        <v>549</v>
      </c>
      <c r="D898" t="s">
        <v>544</v>
      </c>
      <c r="E898" t="s">
        <v>547</v>
      </c>
      <c r="F898" t="s">
        <v>15</v>
      </c>
      <c r="G898" t="s">
        <v>113</v>
      </c>
      <c r="H898" t="s">
        <v>541</v>
      </c>
      <c r="I898" t="s">
        <v>48</v>
      </c>
      <c r="J898">
        <v>1</v>
      </c>
      <c r="K898">
        <v>2975</v>
      </c>
      <c r="L898">
        <v>8500</v>
      </c>
      <c r="M898">
        <v>8500</v>
      </c>
      <c r="N898" t="s">
        <v>19</v>
      </c>
    </row>
    <row r="899" spans="1:14" x14ac:dyDescent="0.25">
      <c r="A899" t="str">
        <f>Table3[[#This Row],[Company Name]] &amp; " - " &amp; Table3[[#This Row],[Store Name]] &amp; " - " &amp; Table3[[#This Row],[Store Branch / Address]]</f>
        <v>SAINT MICHAEL FOODS OPC - DANIELITO'S HOME KITCHEN - GENERIC</v>
      </c>
      <c r="B899" t="str">
        <f>Table3[[#This Row],[Client ID]] &amp; " - " &amp; Table3[[#This Row],[SO Number]]</f>
        <v>SAINT MICHAEL FOODS OPC - DANIELITO'S HOME KITCHEN - GENERIC - SO-098</v>
      </c>
      <c r="C899" t="s">
        <v>549</v>
      </c>
      <c r="D899" t="s">
        <v>544</v>
      </c>
      <c r="E899" t="s">
        <v>547</v>
      </c>
      <c r="F899" t="s">
        <v>15</v>
      </c>
      <c r="G899" t="s">
        <v>113</v>
      </c>
      <c r="H899" t="s">
        <v>541</v>
      </c>
      <c r="I899" t="s">
        <v>24</v>
      </c>
      <c r="J899">
        <v>1</v>
      </c>
      <c r="K899">
        <v>2975</v>
      </c>
      <c r="L899">
        <v>8500</v>
      </c>
      <c r="M899">
        <v>8500</v>
      </c>
      <c r="N899" t="s">
        <v>19</v>
      </c>
    </row>
    <row r="900" spans="1:14" x14ac:dyDescent="0.25">
      <c r="A900" t="str">
        <f>Table3[[#This Row],[Company Name]] &amp; " - " &amp; Table3[[#This Row],[Store Name]] &amp; " - " &amp; Table3[[#This Row],[Store Branch / Address]]</f>
        <v>SAINT MICHAEL FOODS OPC - DANIELITO'S HOME KITCHEN - GENERIC</v>
      </c>
      <c r="B900" t="str">
        <f>Table3[[#This Row],[Client ID]] &amp; " - " &amp; Table3[[#This Row],[SO Number]]</f>
        <v>SAINT MICHAEL FOODS OPC - DANIELITO'S HOME KITCHEN - GENERIC - SO-098</v>
      </c>
      <c r="C900" t="s">
        <v>549</v>
      </c>
      <c r="D900" t="s">
        <v>544</v>
      </c>
      <c r="E900" t="s">
        <v>547</v>
      </c>
      <c r="F900" t="s">
        <v>15</v>
      </c>
      <c r="G900" t="s">
        <v>113</v>
      </c>
      <c r="H900" t="s">
        <v>541</v>
      </c>
      <c r="I900" t="s">
        <v>26</v>
      </c>
      <c r="J900">
        <v>1</v>
      </c>
      <c r="K900">
        <v>500</v>
      </c>
      <c r="L900">
        <v>500</v>
      </c>
      <c r="M900">
        <v>500</v>
      </c>
      <c r="N900" t="s">
        <v>19</v>
      </c>
    </row>
    <row r="901" spans="1:14" x14ac:dyDescent="0.25">
      <c r="A901" t="str">
        <f>Table3[[#This Row],[Company Name]] &amp; " - " &amp; Table3[[#This Row],[Store Name]] &amp; " - " &amp; Table3[[#This Row],[Store Branch / Address]]</f>
        <v>SAINT MICHAEL FOODS OPC - DANIELITO'S HOME KITCHEN - GENERIC</v>
      </c>
      <c r="B901" t="str">
        <f>Table3[[#This Row],[Client ID]] &amp; " - " &amp; Table3[[#This Row],[SO Number]]</f>
        <v>SAINT MICHAEL FOODS OPC - DANIELITO'S HOME KITCHEN - GENERIC - SO-098</v>
      </c>
      <c r="C901" t="s">
        <v>549</v>
      </c>
      <c r="D901" t="s">
        <v>544</v>
      </c>
      <c r="E901" t="s">
        <v>547</v>
      </c>
      <c r="F901" t="s">
        <v>15</v>
      </c>
      <c r="G901" t="s">
        <v>113</v>
      </c>
      <c r="H901" t="s">
        <v>541</v>
      </c>
      <c r="I901" t="s">
        <v>166</v>
      </c>
      <c r="J901">
        <v>1</v>
      </c>
      <c r="K901">
        <v>3500</v>
      </c>
      <c r="L901">
        <v>10000</v>
      </c>
      <c r="M901">
        <v>10000</v>
      </c>
      <c r="N901" t="s">
        <v>19</v>
      </c>
    </row>
    <row r="902" spans="1:14" x14ac:dyDescent="0.25">
      <c r="A902" t="str">
        <f>Table3[[#This Row],[Company Name]] &amp; " - " &amp; Table3[[#This Row],[Store Name]] &amp; " - " &amp; Table3[[#This Row],[Store Branch / Address]]</f>
        <v>SAINT MICHAEL FOODS OPC - DANIELITO'S HOME KITCHEN - GENERIC</v>
      </c>
      <c r="B902" t="str">
        <f>Table3[[#This Row],[Client ID]] &amp; " - " &amp; Table3[[#This Row],[SO Number]]</f>
        <v>SAINT MICHAEL FOODS OPC - DANIELITO'S HOME KITCHEN - GENERIC - SO-098</v>
      </c>
      <c r="C902" t="s">
        <v>549</v>
      </c>
      <c r="D902" t="s">
        <v>544</v>
      </c>
      <c r="E902" t="s">
        <v>547</v>
      </c>
      <c r="F902" t="s">
        <v>15</v>
      </c>
      <c r="G902" t="s">
        <v>113</v>
      </c>
      <c r="H902" t="s">
        <v>541</v>
      </c>
      <c r="I902" t="s">
        <v>48</v>
      </c>
      <c r="J902">
        <v>1</v>
      </c>
      <c r="K902">
        <v>1750</v>
      </c>
      <c r="L902">
        <v>5000</v>
      </c>
      <c r="M902">
        <v>5000</v>
      </c>
      <c r="N902" t="s">
        <v>19</v>
      </c>
    </row>
    <row r="903" spans="1:14" x14ac:dyDescent="0.25">
      <c r="A903" t="str">
        <f>Table3[[#This Row],[Company Name]] &amp; " - " &amp; Table3[[#This Row],[Store Name]] &amp; " - " &amp; Table3[[#This Row],[Store Branch / Address]]</f>
        <v>SAINT MICHAEL FOODS OPC - DANIELITO'S HOME KITCHEN - GENERIC</v>
      </c>
      <c r="B903" t="str">
        <f>Table3[[#This Row],[Client ID]] &amp; " - " &amp; Table3[[#This Row],[SO Number]]</f>
        <v>SAINT MICHAEL FOODS OPC - DANIELITO'S HOME KITCHEN - GENERIC - SO-098</v>
      </c>
      <c r="C903" t="s">
        <v>549</v>
      </c>
      <c r="D903" t="s">
        <v>544</v>
      </c>
      <c r="E903" t="s">
        <v>547</v>
      </c>
      <c r="F903" t="s">
        <v>15</v>
      </c>
      <c r="G903" t="s">
        <v>113</v>
      </c>
      <c r="H903" t="s">
        <v>541</v>
      </c>
      <c r="I903" t="s">
        <v>24</v>
      </c>
      <c r="J903">
        <v>1</v>
      </c>
      <c r="K903">
        <v>1750</v>
      </c>
      <c r="L903">
        <v>5000</v>
      </c>
      <c r="M903">
        <v>5000</v>
      </c>
      <c r="N903" t="s">
        <v>19</v>
      </c>
    </row>
    <row r="904" spans="1:14" x14ac:dyDescent="0.25">
      <c r="A904" t="str">
        <f>Table3[[#This Row],[Company Name]] &amp; " - " &amp; Table3[[#This Row],[Store Name]] &amp; " - " &amp; Table3[[#This Row],[Store Branch / Address]]</f>
        <v>SAINT MICHAEL FOODS OPC - DANIELITO'S HOME KITCHEN - GENERIC</v>
      </c>
      <c r="B904" t="str">
        <f>Table3[[#This Row],[Client ID]] &amp; " - " &amp; Table3[[#This Row],[SO Number]]</f>
        <v>SAINT MICHAEL FOODS OPC - DANIELITO'S HOME KITCHEN - GENERIC - SO-098</v>
      </c>
      <c r="C904" t="s">
        <v>549</v>
      </c>
      <c r="D904" t="s">
        <v>544</v>
      </c>
      <c r="E904" t="s">
        <v>547</v>
      </c>
      <c r="F904" t="s">
        <v>15</v>
      </c>
      <c r="G904" t="s">
        <v>113</v>
      </c>
      <c r="H904" t="s">
        <v>541</v>
      </c>
      <c r="I904" t="s">
        <v>93</v>
      </c>
      <c r="J904">
        <v>1</v>
      </c>
      <c r="K904">
        <v>11000</v>
      </c>
      <c r="L904">
        <v>16000</v>
      </c>
      <c r="M904">
        <v>16000</v>
      </c>
      <c r="N904" t="s">
        <v>19</v>
      </c>
    </row>
    <row r="905" spans="1:14" x14ac:dyDescent="0.25">
      <c r="A905" t="str">
        <f>Table3[[#This Row],[Company Name]] &amp; " - " &amp; Table3[[#This Row],[Store Name]] &amp; " - " &amp; Table3[[#This Row],[Store Branch / Address]]</f>
        <v>SAINT MICHAEL FOODS OPC - DANIELITO'S HOME KITCHEN - GENERIC</v>
      </c>
      <c r="B905" t="str">
        <f>Table3[[#This Row],[Client ID]] &amp; " - " &amp; Table3[[#This Row],[SO Number]]</f>
        <v>SAINT MICHAEL FOODS OPC - DANIELITO'S HOME KITCHEN - GENERIC - SO-098</v>
      </c>
      <c r="C905" t="s">
        <v>549</v>
      </c>
      <c r="D905" t="s">
        <v>544</v>
      </c>
      <c r="E905" t="s">
        <v>547</v>
      </c>
      <c r="F905" t="s">
        <v>15</v>
      </c>
      <c r="G905" t="s">
        <v>113</v>
      </c>
      <c r="H905" t="s">
        <v>541</v>
      </c>
      <c r="I905" t="s">
        <v>176</v>
      </c>
      <c r="J905">
        <v>1</v>
      </c>
      <c r="K905">
        <v>9500</v>
      </c>
      <c r="L905">
        <v>13500</v>
      </c>
      <c r="M905">
        <v>13500</v>
      </c>
      <c r="N905" t="s">
        <v>19</v>
      </c>
    </row>
    <row r="906" spans="1:14" x14ac:dyDescent="0.25">
      <c r="A906" t="str">
        <f>Table3[[#This Row],[Company Name]] &amp; " - " &amp; Table3[[#This Row],[Store Name]] &amp; " - " &amp; Table3[[#This Row],[Store Branch / Address]]</f>
        <v>SAINT MICHAEL FOODS OPC - DANIELITO'S HOME KITCHEN - GENERIC</v>
      </c>
      <c r="B906" t="str">
        <f>Table3[[#This Row],[Client ID]] &amp; " - " &amp; Table3[[#This Row],[SO Number]]</f>
        <v>SAINT MICHAEL FOODS OPC - DANIELITO'S HOME KITCHEN - GENERIC - SO-098</v>
      </c>
      <c r="C906" t="s">
        <v>549</v>
      </c>
      <c r="D906" t="s">
        <v>544</v>
      </c>
      <c r="E906" t="s">
        <v>547</v>
      </c>
      <c r="F906" t="s">
        <v>15</v>
      </c>
      <c r="G906" t="s">
        <v>113</v>
      </c>
      <c r="H906" t="s">
        <v>541</v>
      </c>
      <c r="I906" t="s">
        <v>249</v>
      </c>
      <c r="J906">
        <v>1</v>
      </c>
      <c r="K906">
        <v>21500</v>
      </c>
      <c r="L906">
        <v>31500</v>
      </c>
      <c r="M906">
        <v>31500</v>
      </c>
      <c r="N906" t="s">
        <v>19</v>
      </c>
    </row>
    <row r="907" spans="1:14" x14ac:dyDescent="0.25">
      <c r="A907" t="str">
        <f>Table3[[#This Row],[Company Name]] &amp; " - " &amp; Table3[[#This Row],[Store Name]] &amp; " - " &amp; Table3[[#This Row],[Store Branch / Address]]</f>
        <v>SAINT MICHAEL FOODS OPC - DANIELITO'S HOME KITCHEN - GENERIC</v>
      </c>
      <c r="B907" t="str">
        <f>Table3[[#This Row],[Client ID]] &amp; " - " &amp; Table3[[#This Row],[SO Number]]</f>
        <v>SAINT MICHAEL FOODS OPC - DANIELITO'S HOME KITCHEN - GENERIC - SO-098</v>
      </c>
      <c r="C907" t="s">
        <v>549</v>
      </c>
      <c r="D907" t="s">
        <v>544</v>
      </c>
      <c r="E907" t="s">
        <v>547</v>
      </c>
      <c r="F907" t="s">
        <v>15</v>
      </c>
      <c r="G907" t="s">
        <v>113</v>
      </c>
      <c r="H907" t="s">
        <v>541</v>
      </c>
      <c r="I907" t="s">
        <v>151</v>
      </c>
      <c r="J907">
        <v>1</v>
      </c>
      <c r="K907">
        <v>2800</v>
      </c>
      <c r="L907">
        <v>4000</v>
      </c>
      <c r="M907">
        <v>4000</v>
      </c>
      <c r="N907" t="s">
        <v>19</v>
      </c>
    </row>
    <row r="908" spans="1:14" x14ac:dyDescent="0.25">
      <c r="A908" t="str">
        <f>Table3[[#This Row],[Company Name]] &amp; " - " &amp; Table3[[#This Row],[Store Name]] &amp; " - " &amp; Table3[[#This Row],[Store Branch / Address]]</f>
        <v>SAINT MICHAEL FOODS OPC - MALAYA'S CAFÉ - GENERIC</v>
      </c>
      <c r="B908" t="str">
        <f>Table3[[#This Row],[Client ID]] &amp; " - " &amp; Table3[[#This Row],[SO Number]]</f>
        <v>SAINT MICHAEL FOODS OPC - MALAYA'S CAFÉ - GENERIC - SO-096</v>
      </c>
      <c r="C908" t="s">
        <v>542</v>
      </c>
      <c r="D908" t="s">
        <v>544</v>
      </c>
      <c r="E908" t="s">
        <v>42</v>
      </c>
      <c r="F908" t="s">
        <v>15</v>
      </c>
      <c r="G908" t="s">
        <v>113</v>
      </c>
      <c r="H908" t="s">
        <v>545</v>
      </c>
      <c r="I908" t="s">
        <v>114</v>
      </c>
      <c r="J908">
        <v>1</v>
      </c>
      <c r="K908">
        <v>3675</v>
      </c>
      <c r="L908">
        <v>10500</v>
      </c>
      <c r="M908">
        <v>10500</v>
      </c>
      <c r="N908" t="s">
        <v>19</v>
      </c>
    </row>
    <row r="909" spans="1:14" x14ac:dyDescent="0.25">
      <c r="A909" t="str">
        <f>Table3[[#This Row],[Company Name]] &amp; " - " &amp; Table3[[#This Row],[Store Name]] &amp; " - " &amp; Table3[[#This Row],[Store Branch / Address]]</f>
        <v>SAINT MICHAEL FOODS OPC - MALAYA'S CAFÉ - GENERIC</v>
      </c>
      <c r="B909" t="str">
        <f>Table3[[#This Row],[Client ID]] &amp; " - " &amp; Table3[[#This Row],[SO Number]]</f>
        <v>SAINT MICHAEL FOODS OPC - MALAYA'S CAFÉ - GENERIC - SO-096</v>
      </c>
      <c r="C909" t="s">
        <v>542</v>
      </c>
      <c r="D909" t="s">
        <v>544</v>
      </c>
      <c r="E909" t="s">
        <v>42</v>
      </c>
      <c r="F909" t="s">
        <v>15</v>
      </c>
      <c r="G909" t="s">
        <v>113</v>
      </c>
      <c r="H909" t="s">
        <v>545</v>
      </c>
      <c r="I909" t="s">
        <v>48</v>
      </c>
      <c r="J909">
        <v>1</v>
      </c>
      <c r="K909">
        <v>2975</v>
      </c>
      <c r="L909">
        <v>8500</v>
      </c>
      <c r="M909">
        <v>8500</v>
      </c>
      <c r="N909" t="s">
        <v>19</v>
      </c>
    </row>
    <row r="910" spans="1:14" x14ac:dyDescent="0.25">
      <c r="A910" t="str">
        <f>Table3[[#This Row],[Company Name]] &amp; " - " &amp; Table3[[#This Row],[Store Name]] &amp; " - " &amp; Table3[[#This Row],[Store Branch / Address]]</f>
        <v>SAINT MICHAEL FOODS OPC - MALAYA'S CAFÉ - GENERIC</v>
      </c>
      <c r="B910" t="str">
        <f>Table3[[#This Row],[Client ID]] &amp; " - " &amp; Table3[[#This Row],[SO Number]]</f>
        <v>SAINT MICHAEL FOODS OPC - MALAYA'S CAFÉ - GENERIC - SO-096</v>
      </c>
      <c r="C910" t="s">
        <v>542</v>
      </c>
      <c r="D910" t="s">
        <v>544</v>
      </c>
      <c r="E910" t="s">
        <v>42</v>
      </c>
      <c r="F910" t="s">
        <v>15</v>
      </c>
      <c r="G910" t="s">
        <v>113</v>
      </c>
      <c r="H910" t="s">
        <v>545</v>
      </c>
      <c r="I910" t="s">
        <v>24</v>
      </c>
      <c r="J910">
        <v>1</v>
      </c>
      <c r="K910">
        <v>2975</v>
      </c>
      <c r="L910">
        <v>8500</v>
      </c>
      <c r="M910">
        <v>8500</v>
      </c>
      <c r="N910" t="s">
        <v>19</v>
      </c>
    </row>
    <row r="911" spans="1:14" x14ac:dyDescent="0.25">
      <c r="A911" t="str">
        <f>Table3[[#This Row],[Company Name]] &amp; " - " &amp; Table3[[#This Row],[Store Name]] &amp; " - " &amp; Table3[[#This Row],[Store Branch / Address]]</f>
        <v>SAINT MICHAEL FOODS OPC - MALAYA'S CAFÉ - GENERIC</v>
      </c>
      <c r="B911" t="str">
        <f>Table3[[#This Row],[Client ID]] &amp; " - " &amp; Table3[[#This Row],[SO Number]]</f>
        <v>SAINT MICHAEL FOODS OPC - MALAYA'S CAFÉ - GENERIC - SO-096</v>
      </c>
      <c r="C911" t="s">
        <v>542</v>
      </c>
      <c r="D911" t="s">
        <v>544</v>
      </c>
      <c r="E911" t="s">
        <v>42</v>
      </c>
      <c r="F911" t="s">
        <v>15</v>
      </c>
      <c r="G911" t="s">
        <v>113</v>
      </c>
      <c r="H911" t="s">
        <v>545</v>
      </c>
      <c r="I911" t="s">
        <v>26</v>
      </c>
      <c r="J911">
        <v>1</v>
      </c>
      <c r="K911">
        <v>500</v>
      </c>
      <c r="L911">
        <v>500</v>
      </c>
      <c r="M911">
        <v>500</v>
      </c>
      <c r="N911" t="s">
        <v>19</v>
      </c>
    </row>
    <row r="912" spans="1:14" x14ac:dyDescent="0.25">
      <c r="A912" t="str">
        <f>Table3[[#This Row],[Company Name]] &amp; " - " &amp; Table3[[#This Row],[Store Name]] &amp; " - " &amp; Table3[[#This Row],[Store Branch / Address]]</f>
        <v>SAINT MICHAEL FOODS OPC - MALAYA'S CAFÉ - GENERIC</v>
      </c>
      <c r="B912" t="str">
        <f>Table3[[#This Row],[Client ID]] &amp; " - " &amp; Table3[[#This Row],[SO Number]]</f>
        <v>SAINT MICHAEL FOODS OPC - MALAYA'S CAFÉ - GENERIC - SO-096</v>
      </c>
      <c r="C912" t="s">
        <v>542</v>
      </c>
      <c r="D912" t="s">
        <v>544</v>
      </c>
      <c r="E912" t="s">
        <v>42</v>
      </c>
      <c r="F912" t="s">
        <v>15</v>
      </c>
      <c r="G912" t="s">
        <v>113</v>
      </c>
      <c r="H912" t="s">
        <v>545</v>
      </c>
      <c r="I912" t="s">
        <v>249</v>
      </c>
      <c r="J912">
        <v>1</v>
      </c>
      <c r="K912">
        <v>21500</v>
      </c>
      <c r="L912">
        <v>31500</v>
      </c>
      <c r="M912">
        <v>31500</v>
      </c>
      <c r="N912" t="s">
        <v>19</v>
      </c>
    </row>
    <row r="913" spans="1:14" x14ac:dyDescent="0.25">
      <c r="A913" t="str">
        <f>Table3[[#This Row],[Company Name]] &amp; " - " &amp; Table3[[#This Row],[Store Name]] &amp; " - " &amp; Table3[[#This Row],[Store Branch / Address]]</f>
        <v>SAINT MICHAEL FOODS OPC - MALAYA'S CAFÉ - GENERIC</v>
      </c>
      <c r="B913" t="str">
        <f>Table3[[#This Row],[Client ID]] &amp; " - " &amp; Table3[[#This Row],[SO Number]]</f>
        <v>SAINT MICHAEL FOODS OPC - MALAYA'S CAFÉ - GENERIC - SO-096</v>
      </c>
      <c r="C913" t="s">
        <v>542</v>
      </c>
      <c r="D913" t="s">
        <v>544</v>
      </c>
      <c r="E913" t="s">
        <v>42</v>
      </c>
      <c r="F913" t="s">
        <v>15</v>
      </c>
      <c r="G913" t="s">
        <v>113</v>
      </c>
      <c r="H913" t="s">
        <v>545</v>
      </c>
      <c r="I913" t="s">
        <v>151</v>
      </c>
      <c r="J913">
        <v>1</v>
      </c>
      <c r="K913">
        <v>2800</v>
      </c>
      <c r="L913">
        <v>4000</v>
      </c>
      <c r="M913">
        <v>4000</v>
      </c>
      <c r="N913" t="s">
        <v>19</v>
      </c>
    </row>
    <row r="914" spans="1:14" x14ac:dyDescent="0.25">
      <c r="A914" t="str">
        <f>Table3[[#This Row],[Company Name]] &amp; " - " &amp; Table3[[#This Row],[Store Name]] &amp; " - " &amp; Table3[[#This Row],[Store Branch / Address]]</f>
        <v>SAINT MICHAEL FOODS OPC - DANIELITO'S HOME KITCHEN - GENERIC</v>
      </c>
      <c r="B914" t="str">
        <f>Table3[[#This Row],[Client ID]] &amp; " - " &amp; Table3[[#This Row],[SO Number]]</f>
        <v>SAINT MICHAEL FOODS OPC - DANIELITO'S HOME KITCHEN - GENERIC - SO-097</v>
      </c>
      <c r="C914" t="s">
        <v>546</v>
      </c>
      <c r="D914" t="s">
        <v>544</v>
      </c>
      <c r="E914" t="s">
        <v>547</v>
      </c>
      <c r="F914" t="s">
        <v>15</v>
      </c>
      <c r="G914" t="s">
        <v>113</v>
      </c>
      <c r="H914" t="s">
        <v>545</v>
      </c>
      <c r="I914" t="s">
        <v>548</v>
      </c>
      <c r="J914">
        <v>1</v>
      </c>
      <c r="K914">
        <v>3675</v>
      </c>
      <c r="L914">
        <v>10500</v>
      </c>
      <c r="M914">
        <v>10500</v>
      </c>
      <c r="N914" t="s">
        <v>19</v>
      </c>
    </row>
    <row r="915" spans="1:14" x14ac:dyDescent="0.25">
      <c r="A915" t="str">
        <f>Table3[[#This Row],[Company Name]] &amp; " - " &amp; Table3[[#This Row],[Store Name]] &amp; " - " &amp; Table3[[#This Row],[Store Branch / Address]]</f>
        <v>SAINT MICHAEL FOODS OPC - DANIELITO'S HOME KITCHEN - GENERIC</v>
      </c>
      <c r="B915" t="str">
        <f>Table3[[#This Row],[Client ID]] &amp; " - " &amp; Table3[[#This Row],[SO Number]]</f>
        <v>SAINT MICHAEL FOODS OPC - DANIELITO'S HOME KITCHEN - GENERIC - SO-097</v>
      </c>
      <c r="C915" t="s">
        <v>546</v>
      </c>
      <c r="D915" t="s">
        <v>544</v>
      </c>
      <c r="E915" t="s">
        <v>547</v>
      </c>
      <c r="F915" t="s">
        <v>15</v>
      </c>
      <c r="G915" t="s">
        <v>113</v>
      </c>
      <c r="H915" t="s">
        <v>545</v>
      </c>
      <c r="I915" t="s">
        <v>48</v>
      </c>
      <c r="J915">
        <v>1</v>
      </c>
      <c r="K915">
        <v>2975</v>
      </c>
      <c r="L915">
        <v>8500</v>
      </c>
      <c r="M915">
        <v>8500</v>
      </c>
      <c r="N915" t="s">
        <v>19</v>
      </c>
    </row>
    <row r="916" spans="1:14" x14ac:dyDescent="0.25">
      <c r="A916" t="str">
        <f>Table3[[#This Row],[Company Name]] &amp; " - " &amp; Table3[[#This Row],[Store Name]] &amp; " - " &amp; Table3[[#This Row],[Store Branch / Address]]</f>
        <v>SAINT MICHAEL FOODS OPC - DANIELITO'S HOME KITCHEN - GENERIC</v>
      </c>
      <c r="B916" t="str">
        <f>Table3[[#This Row],[Client ID]] &amp; " - " &amp; Table3[[#This Row],[SO Number]]</f>
        <v>SAINT MICHAEL FOODS OPC - DANIELITO'S HOME KITCHEN - GENERIC - SO-097</v>
      </c>
      <c r="C916" t="s">
        <v>546</v>
      </c>
      <c r="D916" t="s">
        <v>544</v>
      </c>
      <c r="E916" t="s">
        <v>547</v>
      </c>
      <c r="F916" t="s">
        <v>15</v>
      </c>
      <c r="G916" t="s">
        <v>113</v>
      </c>
      <c r="H916" t="s">
        <v>545</v>
      </c>
      <c r="I916" t="s">
        <v>24</v>
      </c>
      <c r="J916">
        <v>1</v>
      </c>
      <c r="K916">
        <v>2975</v>
      </c>
      <c r="L916">
        <v>8500</v>
      </c>
      <c r="M916">
        <v>8500</v>
      </c>
      <c r="N916" t="s">
        <v>19</v>
      </c>
    </row>
    <row r="917" spans="1:14" x14ac:dyDescent="0.25">
      <c r="A917" t="str">
        <f>Table3[[#This Row],[Company Name]] &amp; " - " &amp; Table3[[#This Row],[Store Name]] &amp; " - " &amp; Table3[[#This Row],[Store Branch / Address]]</f>
        <v>SAINT MICHAEL FOODS OPC - DANIELITO'S HOME KITCHEN - GENERIC</v>
      </c>
      <c r="B917" t="str">
        <f>Table3[[#This Row],[Client ID]] &amp; " - " &amp; Table3[[#This Row],[SO Number]]</f>
        <v>SAINT MICHAEL FOODS OPC - DANIELITO'S HOME KITCHEN - GENERIC - SO-097</v>
      </c>
      <c r="C917" t="s">
        <v>546</v>
      </c>
      <c r="D917" t="s">
        <v>544</v>
      </c>
      <c r="E917" t="s">
        <v>547</v>
      </c>
      <c r="F917" t="s">
        <v>15</v>
      </c>
      <c r="G917" t="s">
        <v>113</v>
      </c>
      <c r="H917" t="s">
        <v>545</v>
      </c>
      <c r="I917" t="s">
        <v>26</v>
      </c>
      <c r="J917">
        <v>1</v>
      </c>
      <c r="K917">
        <v>500</v>
      </c>
      <c r="L917">
        <v>500</v>
      </c>
      <c r="M917">
        <v>500</v>
      </c>
      <c r="N917" t="s">
        <v>19</v>
      </c>
    </row>
    <row r="918" spans="1:14" x14ac:dyDescent="0.25">
      <c r="A918" t="str">
        <f>Table3[[#This Row],[Company Name]] &amp; " - " &amp; Table3[[#This Row],[Store Name]] &amp; " - " &amp; Table3[[#This Row],[Store Branch / Address]]</f>
        <v>SAINT MICHAEL FOODS OPC - DANIELITO'S HOME KITCHEN - GENERIC</v>
      </c>
      <c r="B918" t="str">
        <f>Table3[[#This Row],[Client ID]] &amp; " - " &amp; Table3[[#This Row],[SO Number]]</f>
        <v>SAINT MICHAEL FOODS OPC - DANIELITO'S HOME KITCHEN - GENERIC - SO-097</v>
      </c>
      <c r="C918" t="s">
        <v>546</v>
      </c>
      <c r="D918" t="s">
        <v>544</v>
      </c>
      <c r="E918" t="s">
        <v>547</v>
      </c>
      <c r="F918" t="s">
        <v>15</v>
      </c>
      <c r="G918" t="s">
        <v>113</v>
      </c>
      <c r="H918" t="s">
        <v>545</v>
      </c>
      <c r="I918" t="s">
        <v>166</v>
      </c>
      <c r="J918">
        <v>1</v>
      </c>
      <c r="K918">
        <v>3500</v>
      </c>
      <c r="L918">
        <v>10000</v>
      </c>
      <c r="M918">
        <v>10000</v>
      </c>
      <c r="N918" t="s">
        <v>19</v>
      </c>
    </row>
    <row r="919" spans="1:14" x14ac:dyDescent="0.25">
      <c r="A919" t="str">
        <f>Table3[[#This Row],[Company Name]] &amp; " - " &amp; Table3[[#This Row],[Store Name]] &amp; " - " &amp; Table3[[#This Row],[Store Branch / Address]]</f>
        <v>SAINT MICHAEL FOODS OPC - DANIELITO'S HOME KITCHEN - GENERIC</v>
      </c>
      <c r="B919" t="str">
        <f>Table3[[#This Row],[Client ID]] &amp; " - " &amp; Table3[[#This Row],[SO Number]]</f>
        <v>SAINT MICHAEL FOODS OPC - DANIELITO'S HOME KITCHEN - GENERIC - SO-097</v>
      </c>
      <c r="C919" t="s">
        <v>546</v>
      </c>
      <c r="D919" t="s">
        <v>544</v>
      </c>
      <c r="E919" t="s">
        <v>547</v>
      </c>
      <c r="F919" t="s">
        <v>15</v>
      </c>
      <c r="G919" t="s">
        <v>113</v>
      </c>
      <c r="H919" t="s">
        <v>545</v>
      </c>
      <c r="I919" t="s">
        <v>48</v>
      </c>
      <c r="J919">
        <v>1</v>
      </c>
      <c r="K919">
        <v>1750</v>
      </c>
      <c r="L919">
        <v>5000</v>
      </c>
      <c r="M919">
        <v>5000</v>
      </c>
      <c r="N919" t="s">
        <v>19</v>
      </c>
    </row>
    <row r="920" spans="1:14" x14ac:dyDescent="0.25">
      <c r="A920" t="str">
        <f>Table3[[#This Row],[Company Name]] &amp; " - " &amp; Table3[[#This Row],[Store Name]] &amp; " - " &amp; Table3[[#This Row],[Store Branch / Address]]</f>
        <v>SAINT MICHAEL FOODS OPC - DANIELITO'S HOME KITCHEN - GENERIC</v>
      </c>
      <c r="B920" t="str">
        <f>Table3[[#This Row],[Client ID]] &amp; " - " &amp; Table3[[#This Row],[SO Number]]</f>
        <v>SAINT MICHAEL FOODS OPC - DANIELITO'S HOME KITCHEN - GENERIC - SO-097</v>
      </c>
      <c r="C920" t="s">
        <v>546</v>
      </c>
      <c r="D920" t="s">
        <v>544</v>
      </c>
      <c r="E920" t="s">
        <v>547</v>
      </c>
      <c r="F920" t="s">
        <v>15</v>
      </c>
      <c r="G920" t="s">
        <v>113</v>
      </c>
      <c r="H920" t="s">
        <v>545</v>
      </c>
      <c r="I920" t="s">
        <v>24</v>
      </c>
      <c r="J920">
        <v>1</v>
      </c>
      <c r="K920">
        <v>1750</v>
      </c>
      <c r="L920">
        <v>5000</v>
      </c>
      <c r="M920">
        <v>5000</v>
      </c>
      <c r="N920" t="s">
        <v>19</v>
      </c>
    </row>
    <row r="921" spans="1:14" x14ac:dyDescent="0.25">
      <c r="A921" t="str">
        <f>Table3[[#This Row],[Company Name]] &amp; " - " &amp; Table3[[#This Row],[Store Name]] &amp; " - " &amp; Table3[[#This Row],[Store Branch / Address]]</f>
        <v>SAINT MICHAEL FOODS OPC - DANIELITO'S HOME KITCHEN - GENERIC</v>
      </c>
      <c r="B921" t="str">
        <f>Table3[[#This Row],[Client ID]] &amp; " - " &amp; Table3[[#This Row],[SO Number]]</f>
        <v>SAINT MICHAEL FOODS OPC - DANIELITO'S HOME KITCHEN - GENERIC - SO-097</v>
      </c>
      <c r="C921" t="s">
        <v>546</v>
      </c>
      <c r="D921" t="s">
        <v>544</v>
      </c>
      <c r="E921" t="s">
        <v>547</v>
      </c>
      <c r="F921" t="s">
        <v>15</v>
      </c>
      <c r="G921" t="s">
        <v>113</v>
      </c>
      <c r="H921" t="s">
        <v>545</v>
      </c>
      <c r="I921" t="s">
        <v>249</v>
      </c>
      <c r="J921">
        <v>1</v>
      </c>
      <c r="K921">
        <v>21500</v>
      </c>
      <c r="L921">
        <v>31500</v>
      </c>
      <c r="M921">
        <v>31500</v>
      </c>
      <c r="N921" t="s">
        <v>19</v>
      </c>
    </row>
    <row r="922" spans="1:14" x14ac:dyDescent="0.25">
      <c r="A922" t="str">
        <f>Table3[[#This Row],[Company Name]] &amp; " - " &amp; Table3[[#This Row],[Store Name]] &amp; " - " &amp; Table3[[#This Row],[Store Branch / Address]]</f>
        <v>SAINT MICHAEL FOODS OPC - DANIELITO'S HOME KITCHEN - GENERIC</v>
      </c>
      <c r="B922" t="str">
        <f>Table3[[#This Row],[Client ID]] &amp; " - " &amp; Table3[[#This Row],[SO Number]]</f>
        <v>SAINT MICHAEL FOODS OPC - DANIELITO'S HOME KITCHEN - GENERIC - SO-097</v>
      </c>
      <c r="C922" t="s">
        <v>546</v>
      </c>
      <c r="D922" t="s">
        <v>544</v>
      </c>
      <c r="E922" t="s">
        <v>547</v>
      </c>
      <c r="F922" t="s">
        <v>15</v>
      </c>
      <c r="G922" t="s">
        <v>113</v>
      </c>
      <c r="H922" t="s">
        <v>545</v>
      </c>
      <c r="I922" t="s">
        <v>151</v>
      </c>
      <c r="J922">
        <v>1</v>
      </c>
      <c r="K922">
        <v>2800</v>
      </c>
      <c r="L922">
        <v>4000</v>
      </c>
      <c r="M922">
        <v>4000</v>
      </c>
      <c r="N922" t="s">
        <v>19</v>
      </c>
    </row>
    <row r="923" spans="1:14" x14ac:dyDescent="0.25">
      <c r="A923" t="str">
        <f>Table3[[#This Row],[Company Name]] &amp; " - " &amp; Table3[[#This Row],[Store Name]] &amp; " - " &amp; Table3[[#This Row],[Store Branch / Address]]</f>
        <v>MY GOLDEN TEA LEAF INC - SERENITEA - GENERIC</v>
      </c>
      <c r="B923" t="str">
        <f>Table3[[#This Row],[Client ID]] &amp; " - " &amp; Table3[[#This Row],[SO Number]]</f>
        <v>MY GOLDEN TEA LEAF INC - SERENITEA - GENERIC - SO-99</v>
      </c>
      <c r="C923" t="s">
        <v>551</v>
      </c>
      <c r="D923" t="s">
        <v>431</v>
      </c>
      <c r="E923" t="s">
        <v>239</v>
      </c>
      <c r="F923" t="s">
        <v>15</v>
      </c>
      <c r="G923" t="s">
        <v>37</v>
      </c>
      <c r="H923" t="s">
        <v>552</v>
      </c>
      <c r="I923" t="s">
        <v>154</v>
      </c>
      <c r="J923">
        <v>1</v>
      </c>
      <c r="K923">
        <v>1100</v>
      </c>
      <c r="L923">
        <v>1600</v>
      </c>
      <c r="M923">
        <v>1600</v>
      </c>
      <c r="N923" t="s">
        <v>19</v>
      </c>
    </row>
    <row r="924" spans="1:14" x14ac:dyDescent="0.25">
      <c r="A924" t="str">
        <f>Table3[[#This Row],[Company Name]] &amp; " - " &amp; Table3[[#This Row],[Store Name]] &amp; " - " &amp; Table3[[#This Row],[Store Branch / Address]]</f>
        <v>MY GOLDEN TEA LEAF INC - SERENITEA - GENERIC</v>
      </c>
      <c r="B924" t="str">
        <f>Table3[[#This Row],[Client ID]] &amp; " - " &amp; Table3[[#This Row],[SO Number]]</f>
        <v>MY GOLDEN TEA LEAF INC - SERENITEA - GENERIC - SO-99</v>
      </c>
      <c r="C924" t="s">
        <v>551</v>
      </c>
      <c r="D924" t="s">
        <v>431</v>
      </c>
      <c r="E924" t="s">
        <v>239</v>
      </c>
      <c r="F924" t="s">
        <v>15</v>
      </c>
      <c r="G924" t="s">
        <v>37</v>
      </c>
      <c r="H924" t="s">
        <v>552</v>
      </c>
      <c r="I924" t="s">
        <v>333</v>
      </c>
      <c r="J924">
        <v>1</v>
      </c>
      <c r="K924">
        <v>20</v>
      </c>
      <c r="L924">
        <v>100</v>
      </c>
      <c r="M924">
        <v>100</v>
      </c>
      <c r="N924" t="s">
        <v>19</v>
      </c>
    </row>
    <row r="925" spans="1:14" x14ac:dyDescent="0.25">
      <c r="A925" t="str">
        <f>Table3[[#This Row],[Company Name]] &amp; " - " &amp; Table3[[#This Row],[Store Name]] &amp; " - " &amp; Table3[[#This Row],[Store Branch / Address]]</f>
        <v>MY GOLDEN TEA LEAF INC - SERENITEA - GENERIC</v>
      </c>
      <c r="B925" t="str">
        <f>Table3[[#This Row],[Client ID]] &amp; " - " &amp; Table3[[#This Row],[SO Number]]</f>
        <v>MY GOLDEN TEA LEAF INC - SERENITEA - GENERIC - SO-100</v>
      </c>
      <c r="C925" t="s">
        <v>553</v>
      </c>
      <c r="D925" t="s">
        <v>431</v>
      </c>
      <c r="E925" t="s">
        <v>239</v>
      </c>
      <c r="F925" t="s">
        <v>15</v>
      </c>
      <c r="G925" t="s">
        <v>37</v>
      </c>
      <c r="H925" t="s">
        <v>552</v>
      </c>
      <c r="I925" t="s">
        <v>463</v>
      </c>
      <c r="J925">
        <v>1</v>
      </c>
      <c r="K925">
        <v>1200</v>
      </c>
      <c r="L925">
        <v>2000</v>
      </c>
      <c r="M925">
        <v>2000</v>
      </c>
      <c r="N925" t="s">
        <v>19</v>
      </c>
    </row>
    <row r="926" spans="1:14" x14ac:dyDescent="0.25">
      <c r="A926" t="str">
        <f>Table3[[#This Row],[Company Name]] &amp; " - " &amp; Table3[[#This Row],[Store Name]] &amp; " - " &amp; Table3[[#This Row],[Store Branch / Address]]</f>
        <v>TIONG BAHRU PHILIPPINES INC - TIONG BAHRU - GENERIC</v>
      </c>
      <c r="B926" t="str">
        <f>Table3[[#This Row],[Client ID]] &amp; " - " &amp; Table3[[#This Row],[SO Number]]</f>
        <v>TIONG BAHRU PHILIPPINES INC - TIONG BAHRU - GENERIC - SO-041</v>
      </c>
      <c r="C926" t="s">
        <v>285</v>
      </c>
      <c r="D926" t="s">
        <v>1022</v>
      </c>
      <c r="E926" t="s">
        <v>1023</v>
      </c>
      <c r="F926" t="s">
        <v>15</v>
      </c>
      <c r="G926" t="s">
        <v>1024</v>
      </c>
      <c r="H926" t="s">
        <v>552</v>
      </c>
      <c r="I926" t="s">
        <v>47</v>
      </c>
      <c r="J926">
        <v>1</v>
      </c>
      <c r="K926">
        <v>3675</v>
      </c>
      <c r="L926">
        <v>10500</v>
      </c>
      <c r="M926">
        <v>10500</v>
      </c>
      <c r="N926" t="s">
        <v>19</v>
      </c>
    </row>
    <row r="927" spans="1:14" x14ac:dyDescent="0.25">
      <c r="A927" t="str">
        <f>Table3[[#This Row],[Company Name]] &amp; " - " &amp; Table3[[#This Row],[Store Name]] &amp; " - " &amp; Table3[[#This Row],[Store Branch / Address]]</f>
        <v>TIONG BAHRU PHILIPPINES INC - TIONG BAHRU - GENERIC</v>
      </c>
      <c r="B927" t="str">
        <f>Table3[[#This Row],[Client ID]] &amp; " - " &amp; Table3[[#This Row],[SO Number]]</f>
        <v>TIONG BAHRU PHILIPPINES INC - TIONG BAHRU - GENERIC - SO-041</v>
      </c>
      <c r="C927" t="s">
        <v>285</v>
      </c>
      <c r="D927" t="s">
        <v>1022</v>
      </c>
      <c r="E927" t="s">
        <v>1023</v>
      </c>
      <c r="F927" t="s">
        <v>15</v>
      </c>
      <c r="G927" t="s">
        <v>1024</v>
      </c>
      <c r="H927" t="s">
        <v>552</v>
      </c>
      <c r="I927" t="s">
        <v>25</v>
      </c>
      <c r="J927">
        <v>1</v>
      </c>
      <c r="K927">
        <v>3325</v>
      </c>
      <c r="L927">
        <v>9500</v>
      </c>
      <c r="M927">
        <v>9500</v>
      </c>
      <c r="N927" t="s">
        <v>19</v>
      </c>
    </row>
    <row r="928" spans="1:14" x14ac:dyDescent="0.25">
      <c r="A928" t="str">
        <f>Table3[[#This Row],[Company Name]] &amp; " - " &amp; Table3[[#This Row],[Store Name]] &amp; " - " &amp; Table3[[#This Row],[Store Branch / Address]]</f>
        <v>TIONG BAHRU PHILIPPINES INC - TIONG BAHRU - GENERIC</v>
      </c>
      <c r="B928" t="str">
        <f>Table3[[#This Row],[Client ID]] &amp; " - " &amp; Table3[[#This Row],[SO Number]]</f>
        <v>TIONG BAHRU PHILIPPINES INC - TIONG BAHRU - GENERIC - SO-041</v>
      </c>
      <c r="C928" t="s">
        <v>285</v>
      </c>
      <c r="D928" t="s">
        <v>1022</v>
      </c>
      <c r="E928" t="s">
        <v>1023</v>
      </c>
      <c r="F928" t="s">
        <v>15</v>
      </c>
      <c r="G928" t="s">
        <v>1024</v>
      </c>
      <c r="H928" t="s">
        <v>552</v>
      </c>
      <c r="I928" t="s">
        <v>24</v>
      </c>
      <c r="J928">
        <v>1</v>
      </c>
      <c r="K928">
        <v>3325</v>
      </c>
      <c r="L928">
        <v>9500</v>
      </c>
      <c r="M928">
        <v>9500</v>
      </c>
      <c r="N928" t="s">
        <v>19</v>
      </c>
    </row>
    <row r="929" spans="1:14" x14ac:dyDescent="0.25">
      <c r="A929" t="str">
        <f>Table3[[#This Row],[Company Name]] &amp; " - " &amp; Table3[[#This Row],[Store Name]] &amp; " - " &amp; Table3[[#This Row],[Store Branch / Address]]</f>
        <v>TIONG BAHRU PHILIPPINES INC - TIONG BAHRU - GENERIC</v>
      </c>
      <c r="B929" t="str">
        <f>Table3[[#This Row],[Client ID]] &amp; " - " &amp; Table3[[#This Row],[SO Number]]</f>
        <v>TIONG BAHRU PHILIPPINES INC - TIONG BAHRU - GENERIC - SO-041</v>
      </c>
      <c r="C929" t="s">
        <v>285</v>
      </c>
      <c r="D929" t="s">
        <v>1022</v>
      </c>
      <c r="E929" t="s">
        <v>1023</v>
      </c>
      <c r="F929" t="s">
        <v>15</v>
      </c>
      <c r="G929" t="s">
        <v>1024</v>
      </c>
      <c r="H929" t="s">
        <v>552</v>
      </c>
      <c r="I929" t="s">
        <v>26</v>
      </c>
      <c r="J929">
        <v>1</v>
      </c>
      <c r="K929">
        <v>500</v>
      </c>
      <c r="L929">
        <v>500</v>
      </c>
      <c r="M929">
        <v>500</v>
      </c>
      <c r="N929" t="s">
        <v>19</v>
      </c>
    </row>
    <row r="930" spans="1:14" x14ac:dyDescent="0.25">
      <c r="A930" t="str">
        <f>Table3[[#This Row],[Company Name]] &amp; " - " &amp; Table3[[#This Row],[Store Name]] &amp; " - " &amp; Table3[[#This Row],[Store Branch / Address]]</f>
        <v>TIONG BAHRU PHILIPPINES INC - TIONG BAHRU - GENERIC</v>
      </c>
      <c r="B930" t="str">
        <f>Table3[[#This Row],[Client ID]] &amp; " - " &amp; Table3[[#This Row],[SO Number]]</f>
        <v>TIONG BAHRU PHILIPPINES INC - TIONG BAHRU - GENERIC - SO-041</v>
      </c>
      <c r="C930" t="s">
        <v>285</v>
      </c>
      <c r="D930" t="s">
        <v>1022</v>
      </c>
      <c r="E930" t="s">
        <v>1023</v>
      </c>
      <c r="F930" t="s">
        <v>15</v>
      </c>
      <c r="G930" t="s">
        <v>1024</v>
      </c>
      <c r="H930" t="s">
        <v>552</v>
      </c>
      <c r="I930" t="s">
        <v>97</v>
      </c>
      <c r="J930">
        <v>1</v>
      </c>
      <c r="K930">
        <v>2200</v>
      </c>
      <c r="L930">
        <v>3000</v>
      </c>
      <c r="M930">
        <v>3000</v>
      </c>
      <c r="N930" t="s">
        <v>19</v>
      </c>
    </row>
    <row r="931" spans="1:14" x14ac:dyDescent="0.25">
      <c r="A931" t="str">
        <f>Table3[[#This Row],[Company Name]] &amp; " - " &amp; Table3[[#This Row],[Store Name]] &amp; " - " &amp; Table3[[#This Row],[Store Branch / Address]]</f>
        <v>TIONG BAHRU PHILIPPINES INC - TIONG BAHRU - GENERIC</v>
      </c>
      <c r="B931" t="str">
        <f>Table3[[#This Row],[Client ID]] &amp; " - " &amp; Table3[[#This Row],[SO Number]]</f>
        <v>TIONG BAHRU PHILIPPINES INC - TIONG BAHRU - GENERIC - SO-041</v>
      </c>
      <c r="C931" t="s">
        <v>285</v>
      </c>
      <c r="D931" t="s">
        <v>1022</v>
      </c>
      <c r="E931" t="s">
        <v>1023</v>
      </c>
      <c r="F931" t="s">
        <v>15</v>
      </c>
      <c r="G931" t="s">
        <v>1024</v>
      </c>
      <c r="H931" t="s">
        <v>552</v>
      </c>
      <c r="I931" t="s">
        <v>63</v>
      </c>
      <c r="J931">
        <v>1</v>
      </c>
      <c r="K931">
        <v>500</v>
      </c>
      <c r="L931">
        <v>500</v>
      </c>
      <c r="M931">
        <v>500</v>
      </c>
      <c r="N931" t="s">
        <v>19</v>
      </c>
    </row>
    <row r="932" spans="1:14" x14ac:dyDescent="0.25">
      <c r="A932" t="str">
        <f>Table3[[#This Row],[Company Name]] &amp; " - " &amp; Table3[[#This Row],[Store Name]] &amp; " - " &amp; Table3[[#This Row],[Store Branch / Address]]</f>
        <v>LIPA GRILLE RESTAURANT CO - LIPA GRILLE - GENERIC</v>
      </c>
      <c r="B932" t="str">
        <f>Table3[[#This Row],[Client ID]] &amp; " - " &amp; Table3[[#This Row],[SO Number]]</f>
        <v>LIPA GRILLE RESTAURANT CO - LIPA GRILLE - GENERIC - SO-101</v>
      </c>
      <c r="C932" t="s">
        <v>554</v>
      </c>
      <c r="D932" t="s">
        <v>123</v>
      </c>
      <c r="E932" t="s">
        <v>124</v>
      </c>
      <c r="F932" t="s">
        <v>15</v>
      </c>
      <c r="G932" t="s">
        <v>37</v>
      </c>
      <c r="H932" t="s">
        <v>555</v>
      </c>
      <c r="I932" t="s">
        <v>371</v>
      </c>
      <c r="J932">
        <v>1500</v>
      </c>
      <c r="K932">
        <v>32</v>
      </c>
      <c r="L932">
        <v>50</v>
      </c>
      <c r="M932">
        <v>75000</v>
      </c>
      <c r="N932" t="s">
        <v>19</v>
      </c>
    </row>
    <row r="933" spans="1:14" x14ac:dyDescent="0.25">
      <c r="A933" t="str">
        <f>Table3[[#This Row],[Company Name]] &amp; " - " &amp; Table3[[#This Row],[Store Name]] &amp; " - " &amp; Table3[[#This Row],[Store Branch / Address]]</f>
        <v>MADE NICE INC - MADE NICE INC. - MAMOU - ROCKWELL</v>
      </c>
      <c r="B933" t="str">
        <f>Table3[[#This Row],[Client ID]] &amp; " - " &amp; Table3[[#This Row],[SO Number]]</f>
        <v>MADE NICE INC - MADE NICE INC. - MAMOU - ROCKWELL - SO-102</v>
      </c>
      <c r="C933" t="s">
        <v>556</v>
      </c>
      <c r="D933" t="s">
        <v>557</v>
      </c>
      <c r="E933" t="s">
        <v>558</v>
      </c>
      <c r="F933" t="s">
        <v>36</v>
      </c>
      <c r="G933" t="s">
        <v>16</v>
      </c>
      <c r="H933" t="s">
        <v>555</v>
      </c>
      <c r="I933" t="s">
        <v>125</v>
      </c>
      <c r="J933">
        <v>1</v>
      </c>
      <c r="K933">
        <v>3675</v>
      </c>
      <c r="L933">
        <v>10500</v>
      </c>
      <c r="M933">
        <v>10500</v>
      </c>
      <c r="N933" t="s">
        <v>39</v>
      </c>
    </row>
    <row r="934" spans="1:14" x14ac:dyDescent="0.25">
      <c r="A934" t="str">
        <f>Table3[[#This Row],[Company Name]] &amp; " - " &amp; Table3[[#This Row],[Store Name]] &amp; " - " &amp; Table3[[#This Row],[Store Branch / Address]]</f>
        <v>MADE NICE INC - MADE NICE INC. - MAMOU - ROCKWELL</v>
      </c>
      <c r="B934" t="str">
        <f>Table3[[#This Row],[Client ID]] &amp; " - " &amp; Table3[[#This Row],[SO Number]]</f>
        <v>MADE NICE INC - MADE NICE INC. - MAMOU - ROCKWELL - SO-102</v>
      </c>
      <c r="C934" t="s">
        <v>556</v>
      </c>
      <c r="D934" t="s">
        <v>557</v>
      </c>
      <c r="E934" t="s">
        <v>558</v>
      </c>
      <c r="F934" t="s">
        <v>36</v>
      </c>
      <c r="G934" t="s">
        <v>16</v>
      </c>
      <c r="H934" t="s">
        <v>555</v>
      </c>
      <c r="I934" t="s">
        <v>48</v>
      </c>
      <c r="J934">
        <v>1</v>
      </c>
      <c r="K934">
        <v>4095</v>
      </c>
      <c r="L934">
        <v>11700</v>
      </c>
      <c r="M934">
        <v>11700</v>
      </c>
      <c r="N934" t="s">
        <v>39</v>
      </c>
    </row>
    <row r="935" spans="1:14" x14ac:dyDescent="0.25">
      <c r="A935" t="str">
        <f>Table3[[#This Row],[Company Name]] &amp; " - " &amp; Table3[[#This Row],[Store Name]] &amp; " - " &amp; Table3[[#This Row],[Store Branch / Address]]</f>
        <v>MADE NICE INC - MADE NICE INC. - MAMOU - ROCKWELL</v>
      </c>
      <c r="B935" t="str">
        <f>Table3[[#This Row],[Client ID]] &amp; " - " &amp; Table3[[#This Row],[SO Number]]</f>
        <v>MADE NICE INC - MADE NICE INC. - MAMOU - ROCKWELL - SO-102</v>
      </c>
      <c r="C935" t="s">
        <v>556</v>
      </c>
      <c r="D935" t="s">
        <v>557</v>
      </c>
      <c r="E935" t="s">
        <v>558</v>
      </c>
      <c r="F935" t="s">
        <v>36</v>
      </c>
      <c r="G935" t="s">
        <v>16</v>
      </c>
      <c r="H935" t="s">
        <v>555</v>
      </c>
      <c r="I935" t="s">
        <v>126</v>
      </c>
      <c r="J935">
        <v>1</v>
      </c>
      <c r="K935">
        <v>4095</v>
      </c>
      <c r="L935">
        <v>11700</v>
      </c>
      <c r="M935">
        <v>11700</v>
      </c>
      <c r="N935" t="s">
        <v>39</v>
      </c>
    </row>
    <row r="936" spans="1:14" x14ac:dyDescent="0.25">
      <c r="A936" t="str">
        <f>Table3[[#This Row],[Company Name]] &amp; " - " &amp; Table3[[#This Row],[Store Name]] &amp; " - " &amp; Table3[[#This Row],[Store Branch / Address]]</f>
        <v>MADE NICE INC - MADE NICE INC. - MAMOU - ROCKWELL</v>
      </c>
      <c r="B936" t="str">
        <f>Table3[[#This Row],[Client ID]] &amp; " - " &amp; Table3[[#This Row],[SO Number]]</f>
        <v>MADE NICE INC - MADE NICE INC. - MAMOU - ROCKWELL - SO-102</v>
      </c>
      <c r="C936" t="s">
        <v>556</v>
      </c>
      <c r="D936" t="s">
        <v>557</v>
      </c>
      <c r="E936" t="s">
        <v>558</v>
      </c>
      <c r="F936" t="s">
        <v>36</v>
      </c>
      <c r="G936" t="s">
        <v>16</v>
      </c>
      <c r="H936" t="s">
        <v>555</v>
      </c>
      <c r="I936" t="s">
        <v>50</v>
      </c>
      <c r="J936">
        <v>1</v>
      </c>
      <c r="K936">
        <v>500</v>
      </c>
      <c r="L936">
        <v>500</v>
      </c>
      <c r="M936">
        <v>500</v>
      </c>
      <c r="N936" t="s">
        <v>39</v>
      </c>
    </row>
    <row r="937" spans="1:14" x14ac:dyDescent="0.25">
      <c r="A937" t="str">
        <f>Table3[[#This Row],[Company Name]] &amp; " - " &amp; Table3[[#This Row],[Store Name]] &amp; " - " &amp; Table3[[#This Row],[Store Branch / Address]]</f>
        <v>MADE NICE INC - MADE NICE INC. - MAMOU - ROCKWELL</v>
      </c>
      <c r="B937" t="str">
        <f>Table3[[#This Row],[Client ID]] &amp; " - " &amp; Table3[[#This Row],[SO Number]]</f>
        <v>MADE NICE INC - MADE NICE INC. - MAMOU - ROCKWELL - SO-102</v>
      </c>
      <c r="C937" t="s">
        <v>556</v>
      </c>
      <c r="D937" t="s">
        <v>557</v>
      </c>
      <c r="E937" t="s">
        <v>558</v>
      </c>
      <c r="F937" t="s">
        <v>36</v>
      </c>
      <c r="G937" t="s">
        <v>16</v>
      </c>
      <c r="H937" t="s">
        <v>555</v>
      </c>
      <c r="I937" t="s">
        <v>60</v>
      </c>
      <c r="J937">
        <v>1</v>
      </c>
      <c r="K937">
        <v>11000</v>
      </c>
      <c r="L937">
        <v>16500</v>
      </c>
      <c r="M937">
        <v>16500</v>
      </c>
      <c r="N937" t="s">
        <v>39</v>
      </c>
    </row>
    <row r="938" spans="1:14" x14ac:dyDescent="0.25">
      <c r="A938" t="str">
        <f>Table3[[#This Row],[Company Name]] &amp; " - " &amp; Table3[[#This Row],[Store Name]] &amp; " - " &amp; Table3[[#This Row],[Store Branch / Address]]</f>
        <v>MADE NICE INC - MADE NICE INC. - MAMOU - ROCKWELL</v>
      </c>
      <c r="B938" t="str">
        <f>Table3[[#This Row],[Client ID]] &amp; " - " &amp; Table3[[#This Row],[SO Number]]</f>
        <v>MADE NICE INC - MADE NICE INC. - MAMOU - ROCKWELL - SO-102</v>
      </c>
      <c r="C938" t="s">
        <v>556</v>
      </c>
      <c r="D938" t="s">
        <v>557</v>
      </c>
      <c r="E938" t="s">
        <v>558</v>
      </c>
      <c r="F938" t="s">
        <v>36</v>
      </c>
      <c r="G938" t="s">
        <v>16</v>
      </c>
      <c r="H938" t="s">
        <v>555</v>
      </c>
      <c r="I938" t="s">
        <v>279</v>
      </c>
      <c r="J938">
        <v>1</v>
      </c>
      <c r="K938">
        <v>8500</v>
      </c>
      <c r="L938">
        <v>12000</v>
      </c>
      <c r="M938">
        <v>12000</v>
      </c>
      <c r="N938" t="s">
        <v>39</v>
      </c>
    </row>
    <row r="939" spans="1:14" x14ac:dyDescent="0.25">
      <c r="A939" t="str">
        <f>Table3[[#This Row],[Company Name]] &amp; " - " &amp; Table3[[#This Row],[Store Name]] &amp; " - " &amp; Table3[[#This Row],[Store Branch / Address]]</f>
        <v>MADE NICE INC - MADE NICE INC. - MAMOU - ROCKWELL</v>
      </c>
      <c r="B939" t="str">
        <f>Table3[[#This Row],[Client ID]] &amp; " - " &amp; Table3[[#This Row],[SO Number]]</f>
        <v>MADE NICE INC - MADE NICE INC. - MAMOU - ROCKWELL - SO-102</v>
      </c>
      <c r="C939" t="s">
        <v>556</v>
      </c>
      <c r="D939" t="s">
        <v>557</v>
      </c>
      <c r="E939" t="s">
        <v>558</v>
      </c>
      <c r="F939" t="s">
        <v>36</v>
      </c>
      <c r="G939" t="s">
        <v>16</v>
      </c>
      <c r="H939" t="s">
        <v>555</v>
      </c>
      <c r="I939" t="s">
        <v>61</v>
      </c>
      <c r="J939">
        <v>1</v>
      </c>
      <c r="K939">
        <v>8500</v>
      </c>
      <c r="L939">
        <v>12000</v>
      </c>
      <c r="M939">
        <v>12000</v>
      </c>
      <c r="N939" t="s">
        <v>39</v>
      </c>
    </row>
    <row r="940" spans="1:14" x14ac:dyDescent="0.25">
      <c r="A940" t="str">
        <f>Table3[[#This Row],[Company Name]] &amp; " - " &amp; Table3[[#This Row],[Store Name]] &amp; " - " &amp; Table3[[#This Row],[Store Branch / Address]]</f>
        <v>MADE NICE INC - MADE NICE INC. - MAMOU - ROCKWELL</v>
      </c>
      <c r="B940" t="str">
        <f>Table3[[#This Row],[Client ID]] &amp; " - " &amp; Table3[[#This Row],[SO Number]]</f>
        <v>MADE NICE INC - MADE NICE INC. - MAMOU - ROCKWELL - SO-102</v>
      </c>
      <c r="C940" t="s">
        <v>556</v>
      </c>
      <c r="D940" t="s">
        <v>557</v>
      </c>
      <c r="E940" t="s">
        <v>558</v>
      </c>
      <c r="F940" t="s">
        <v>36</v>
      </c>
      <c r="G940" t="s">
        <v>16</v>
      </c>
      <c r="H940" t="s">
        <v>555</v>
      </c>
      <c r="I940" t="s">
        <v>62</v>
      </c>
      <c r="J940">
        <v>5</v>
      </c>
      <c r="K940">
        <v>47</v>
      </c>
      <c r="L940">
        <v>70</v>
      </c>
      <c r="M940">
        <v>350</v>
      </c>
      <c r="N940" t="s">
        <v>39</v>
      </c>
    </row>
    <row r="941" spans="1:14" x14ac:dyDescent="0.25">
      <c r="A941" t="str">
        <f>Table3[[#This Row],[Company Name]] &amp; " - " &amp; Table3[[#This Row],[Store Name]] &amp; " - " &amp; Table3[[#This Row],[Store Branch / Address]]</f>
        <v>MADE NICE INC - MADE NICE INC. - MAMOU - ROCKWELL</v>
      </c>
      <c r="B941" t="str">
        <f>Table3[[#This Row],[Client ID]] &amp; " - " &amp; Table3[[#This Row],[SO Number]]</f>
        <v>MADE NICE INC - MADE NICE INC. - MAMOU - ROCKWELL - SO-102</v>
      </c>
      <c r="C941" t="s">
        <v>556</v>
      </c>
      <c r="D941" t="s">
        <v>557</v>
      </c>
      <c r="E941" t="s">
        <v>558</v>
      </c>
      <c r="F941" t="s">
        <v>36</v>
      </c>
      <c r="G941" t="s">
        <v>16</v>
      </c>
      <c r="H941" t="s">
        <v>555</v>
      </c>
      <c r="I941" t="s">
        <v>280</v>
      </c>
      <c r="J941">
        <v>1</v>
      </c>
      <c r="K941">
        <v>850</v>
      </c>
      <c r="L941">
        <v>1200</v>
      </c>
      <c r="M941">
        <v>1200</v>
      </c>
      <c r="N941" t="s">
        <v>39</v>
      </c>
    </row>
    <row r="942" spans="1:14" x14ac:dyDescent="0.25">
      <c r="A942" t="str">
        <f>Table3[[#This Row],[Company Name]] &amp; " - " &amp; Table3[[#This Row],[Store Name]] &amp; " - " &amp; Table3[[#This Row],[Store Branch / Address]]</f>
        <v>MADE NICE INC - MADE NICE INC. - MAMOU - ROCKWELL</v>
      </c>
      <c r="B942" t="str">
        <f>Table3[[#This Row],[Client ID]] &amp; " - " &amp; Table3[[#This Row],[SO Number]]</f>
        <v>MADE NICE INC - MADE NICE INC. - MAMOU - ROCKWELL - SO-102</v>
      </c>
      <c r="C942" t="s">
        <v>556</v>
      </c>
      <c r="D942" t="s">
        <v>557</v>
      </c>
      <c r="E942" t="s">
        <v>558</v>
      </c>
      <c r="F942" t="s">
        <v>36</v>
      </c>
      <c r="G942" t="s">
        <v>16</v>
      </c>
      <c r="H942" t="s">
        <v>555</v>
      </c>
      <c r="I942" t="s">
        <v>97</v>
      </c>
      <c r="J942">
        <v>1</v>
      </c>
      <c r="K942">
        <v>2200</v>
      </c>
      <c r="L942">
        <v>3200</v>
      </c>
      <c r="M942">
        <v>3200</v>
      </c>
      <c r="N942" t="s">
        <v>39</v>
      </c>
    </row>
    <row r="943" spans="1:14" x14ac:dyDescent="0.25">
      <c r="A943" t="str">
        <f>Table3[[#This Row],[Company Name]] &amp; " - " &amp; Table3[[#This Row],[Store Name]] &amp; " - " &amp; Table3[[#This Row],[Store Branch / Address]]</f>
        <v>MADE NICE INC - MADE NICE INC. - MAMOU - ROCKWELL</v>
      </c>
      <c r="B943" t="str">
        <f>Table3[[#This Row],[Client ID]] &amp; " - " &amp; Table3[[#This Row],[SO Number]]</f>
        <v>MADE NICE INC - MADE NICE INC. - MAMOU - ROCKWELL - SO-102</v>
      </c>
      <c r="C943" t="s">
        <v>556</v>
      </c>
      <c r="D943" t="s">
        <v>557</v>
      </c>
      <c r="E943" t="s">
        <v>558</v>
      </c>
      <c r="F943" t="s">
        <v>36</v>
      </c>
      <c r="G943" t="s">
        <v>16</v>
      </c>
      <c r="H943" t="s">
        <v>555</v>
      </c>
      <c r="I943" t="s">
        <v>249</v>
      </c>
      <c r="J943">
        <v>1</v>
      </c>
      <c r="K943">
        <v>23450</v>
      </c>
      <c r="L943">
        <v>30550</v>
      </c>
      <c r="M943">
        <v>30550</v>
      </c>
      <c r="N943" t="s">
        <v>39</v>
      </c>
    </row>
    <row r="944" spans="1:14" x14ac:dyDescent="0.25">
      <c r="A944" t="str">
        <f>Table3[[#This Row],[Company Name]] &amp; " - " &amp; Table3[[#This Row],[Store Name]] &amp; " - " &amp; Table3[[#This Row],[Store Branch / Address]]</f>
        <v>MADE NICE INC - MADE NICE INC. - MAMOU - ROCKWELL</v>
      </c>
      <c r="B944" t="str">
        <f>Table3[[#This Row],[Client ID]] &amp; " - " &amp; Table3[[#This Row],[SO Number]]</f>
        <v>MADE NICE INC - MADE NICE INC. - MAMOU - ROCKWELL - SO-102</v>
      </c>
      <c r="C944" t="s">
        <v>556</v>
      </c>
      <c r="D944" t="s">
        <v>557</v>
      </c>
      <c r="E944" t="s">
        <v>558</v>
      </c>
      <c r="F944" t="s">
        <v>36</v>
      </c>
      <c r="G944" t="s">
        <v>16</v>
      </c>
      <c r="H944" t="s">
        <v>555</v>
      </c>
      <c r="I944" t="s">
        <v>210</v>
      </c>
      <c r="J944">
        <v>1</v>
      </c>
      <c r="K944">
        <v>0</v>
      </c>
      <c r="L944">
        <v>0</v>
      </c>
      <c r="M944">
        <v>0</v>
      </c>
      <c r="N944" t="s">
        <v>39</v>
      </c>
    </row>
    <row r="945" spans="1:14" x14ac:dyDescent="0.25">
      <c r="A945" t="str">
        <f>Table3[[#This Row],[Company Name]] &amp; " - " &amp; Table3[[#This Row],[Store Name]] &amp; " - " &amp; Table3[[#This Row],[Store Branch / Address]]</f>
        <v>MADE NICE INC - MADE NICE INC. - MAMOU - ROCKWELL</v>
      </c>
      <c r="B945" t="str">
        <f>Table3[[#This Row],[Client ID]] &amp; " - " &amp; Table3[[#This Row],[SO Number]]</f>
        <v>MADE NICE INC - MADE NICE INC. - MAMOU - ROCKWELL - SO-102</v>
      </c>
      <c r="C945" t="s">
        <v>556</v>
      </c>
      <c r="D945" t="s">
        <v>557</v>
      </c>
      <c r="E945" t="s">
        <v>558</v>
      </c>
      <c r="F945" t="s">
        <v>36</v>
      </c>
      <c r="G945" t="s">
        <v>16</v>
      </c>
      <c r="H945" t="s">
        <v>555</v>
      </c>
      <c r="I945" t="s">
        <v>151</v>
      </c>
      <c r="J945">
        <v>1</v>
      </c>
      <c r="K945">
        <v>2800</v>
      </c>
      <c r="L945">
        <v>4000</v>
      </c>
      <c r="M945">
        <v>4000</v>
      </c>
      <c r="N945" t="s">
        <v>39</v>
      </c>
    </row>
    <row r="946" spans="1:14" x14ac:dyDescent="0.25">
      <c r="A946" t="str">
        <f>Table3[[#This Row],[Company Name]] &amp; " - " &amp; Table3[[#This Row],[Store Name]] &amp; " - " &amp; Table3[[#This Row],[Store Branch / Address]]</f>
        <v>MADE NICE INC - MADE NICE INC. - MAMOU - ROCKWELL</v>
      </c>
      <c r="B946" t="str">
        <f>Table3[[#This Row],[Client ID]] &amp; " - " &amp; Table3[[#This Row],[SO Number]]</f>
        <v>MADE NICE INC - MADE NICE INC. - MAMOU - ROCKWELL - SO-102</v>
      </c>
      <c r="C946" t="s">
        <v>556</v>
      </c>
      <c r="D946" t="s">
        <v>557</v>
      </c>
      <c r="E946" t="s">
        <v>558</v>
      </c>
      <c r="F946" t="s">
        <v>36</v>
      </c>
      <c r="G946" t="s">
        <v>16</v>
      </c>
      <c r="H946" t="s">
        <v>555</v>
      </c>
      <c r="I946" t="s">
        <v>98</v>
      </c>
      <c r="J946">
        <v>1</v>
      </c>
      <c r="K946">
        <v>935</v>
      </c>
      <c r="L946">
        <v>1500</v>
      </c>
      <c r="M946">
        <v>1500</v>
      </c>
      <c r="N946" t="s">
        <v>39</v>
      </c>
    </row>
    <row r="947" spans="1:14" x14ac:dyDescent="0.25">
      <c r="A947" t="str">
        <f>Table3[[#This Row],[Company Name]] &amp; " - " &amp; Table3[[#This Row],[Store Name]] &amp; " - " &amp; Table3[[#This Row],[Store Branch / Address]]</f>
        <v>MADE NICE INC - MADE NICE INC. - MAMOU - ROCKWELL</v>
      </c>
      <c r="B947" t="str">
        <f>Table3[[#This Row],[Client ID]] &amp; " - " &amp; Table3[[#This Row],[SO Number]]</f>
        <v>MADE NICE INC - MADE NICE INC. - MAMOU - ROCKWELL - SO-102</v>
      </c>
      <c r="C947" t="s">
        <v>556</v>
      </c>
      <c r="D947" t="s">
        <v>557</v>
      </c>
      <c r="E947" t="s">
        <v>558</v>
      </c>
      <c r="F947" t="s">
        <v>36</v>
      </c>
      <c r="G947" t="s">
        <v>16</v>
      </c>
      <c r="H947" t="s">
        <v>555</v>
      </c>
      <c r="I947" t="s">
        <v>559</v>
      </c>
      <c r="J947">
        <v>1</v>
      </c>
      <c r="K947">
        <v>650</v>
      </c>
      <c r="L947">
        <v>900</v>
      </c>
      <c r="M947">
        <v>900</v>
      </c>
      <c r="N947" t="s">
        <v>39</v>
      </c>
    </row>
    <row r="948" spans="1:14" x14ac:dyDescent="0.25">
      <c r="A948" t="str">
        <f>Table3[[#This Row],[Company Name]] &amp; " - " &amp; Table3[[#This Row],[Store Name]] &amp; " - " &amp; Table3[[#This Row],[Store Branch / Address]]</f>
        <v>MADE NICE INC - MADE NICE INC. - MAMOU - ROCKWELL</v>
      </c>
      <c r="B948" t="str">
        <f>Table3[[#This Row],[Client ID]] &amp; " - " &amp; Table3[[#This Row],[SO Number]]</f>
        <v>MADE NICE INC - MADE NICE INC. - MAMOU - ROCKWELL - SO-102</v>
      </c>
      <c r="C948" t="s">
        <v>556</v>
      </c>
      <c r="D948" t="s">
        <v>557</v>
      </c>
      <c r="E948" t="s">
        <v>558</v>
      </c>
      <c r="F948" t="s">
        <v>36</v>
      </c>
      <c r="G948" t="s">
        <v>16</v>
      </c>
      <c r="H948" t="s">
        <v>555</v>
      </c>
      <c r="I948" t="s">
        <v>63</v>
      </c>
      <c r="J948">
        <v>1</v>
      </c>
      <c r="K948">
        <v>600</v>
      </c>
      <c r="L948">
        <v>600</v>
      </c>
      <c r="M948">
        <v>600</v>
      </c>
      <c r="N948" t="s">
        <v>39</v>
      </c>
    </row>
    <row r="949" spans="1:14" x14ac:dyDescent="0.25">
      <c r="A949" t="str">
        <f>Table3[[#This Row],[Company Name]] &amp; " - " &amp; Table3[[#This Row],[Store Name]] &amp; " - " &amp; Table3[[#This Row],[Store Branch / Address]]</f>
        <v>M W TOWNSTORE - M &amp; W - GENERIC</v>
      </c>
      <c r="B949" t="str">
        <f>Table3[[#This Row],[Client ID]] &amp; " - " &amp; Table3[[#This Row],[SO Number]]</f>
        <v>M W TOWNSTORE - M &amp; W - GENERIC - SO-116</v>
      </c>
      <c r="C949" t="s">
        <v>625</v>
      </c>
      <c r="D949" t="s">
        <v>191</v>
      </c>
      <c r="E949" t="s">
        <v>192</v>
      </c>
      <c r="F949" t="s">
        <v>15</v>
      </c>
      <c r="G949" t="s">
        <v>22</v>
      </c>
      <c r="H949" t="s">
        <v>555</v>
      </c>
      <c r="I949" t="s">
        <v>581</v>
      </c>
      <c r="J949">
        <v>1</v>
      </c>
      <c r="K949">
        <v>9500</v>
      </c>
      <c r="L949">
        <v>13500</v>
      </c>
      <c r="M949">
        <v>13500</v>
      </c>
      <c r="N949" t="s">
        <v>19</v>
      </c>
    </row>
    <row r="950" spans="1:14" x14ac:dyDescent="0.25">
      <c r="A950" t="str">
        <f>Table3[[#This Row],[Company Name]] &amp; " - " &amp; Table3[[#This Row],[Store Name]] &amp; " - " &amp; Table3[[#This Row],[Store Branch / Address]]</f>
        <v>ROCKWELL LAND CORPORATION - ROCKWELL LAND CORPORATION - GENERIC</v>
      </c>
      <c r="B950" t="str">
        <f>Table3[[#This Row],[Client ID]] &amp; " - " &amp; Table3[[#This Row],[SO Number]]</f>
        <v>ROCKWELL LAND CORPORATION - ROCKWELL LAND CORPORATION - GENERIC - SO-103</v>
      </c>
      <c r="C950" t="s">
        <v>562</v>
      </c>
      <c r="D950" t="s">
        <v>296</v>
      </c>
      <c r="E950" t="s">
        <v>296</v>
      </c>
      <c r="F950" t="s">
        <v>15</v>
      </c>
      <c r="G950" t="s">
        <v>37</v>
      </c>
      <c r="H950" t="s">
        <v>563</v>
      </c>
      <c r="I950" t="s">
        <v>177</v>
      </c>
      <c r="J950">
        <v>5</v>
      </c>
      <c r="K950">
        <v>9500</v>
      </c>
      <c r="L950">
        <v>12800</v>
      </c>
      <c r="M950">
        <v>64000</v>
      </c>
      <c r="N950" t="s">
        <v>19</v>
      </c>
    </row>
    <row r="951" spans="1:14" x14ac:dyDescent="0.25">
      <c r="A951" t="str">
        <f>Table3[[#This Row],[Company Name]] &amp; " - " &amp; Table3[[#This Row],[Store Name]] &amp; " - " &amp; Table3[[#This Row],[Store Branch / Address]]</f>
        <v>ROCKWELL LAND CORPORATION - ROCKWELL LAND CORPORATION - GENERIC</v>
      </c>
      <c r="B951" t="str">
        <f>Table3[[#This Row],[Client ID]] &amp; " - " &amp; Table3[[#This Row],[SO Number]]</f>
        <v>ROCKWELL LAND CORPORATION - ROCKWELL LAND CORPORATION - GENERIC - SO-103</v>
      </c>
      <c r="C951" t="s">
        <v>562</v>
      </c>
      <c r="D951" t="s">
        <v>296</v>
      </c>
      <c r="E951" t="s">
        <v>296</v>
      </c>
      <c r="F951" t="s">
        <v>15</v>
      </c>
      <c r="G951" t="s">
        <v>37</v>
      </c>
      <c r="H951" t="s">
        <v>563</v>
      </c>
      <c r="I951" t="s">
        <v>76</v>
      </c>
      <c r="J951">
        <v>1</v>
      </c>
      <c r="K951">
        <v>500</v>
      </c>
      <c r="L951">
        <v>500</v>
      </c>
      <c r="M951">
        <v>500</v>
      </c>
      <c r="N951" t="s">
        <v>19</v>
      </c>
    </row>
    <row r="952" spans="1:14" x14ac:dyDescent="0.25">
      <c r="A952" t="str">
        <f>Table3[[#This Row],[Company Name]] &amp; " - " &amp; Table3[[#This Row],[Store Name]] &amp; " - " &amp; Table3[[#This Row],[Store Branch / Address]]</f>
        <v>CHICKEN DELI - OJO EYEWEAR - GENERIC</v>
      </c>
      <c r="B952" t="str">
        <f>Table3[[#This Row],[Client ID]] &amp; " - " &amp; Table3[[#This Row],[SO Number]]</f>
        <v>CHICKEN DELI - OJO EYEWEAR - GENERIC - SO-117</v>
      </c>
      <c r="C952" t="s">
        <v>629</v>
      </c>
      <c r="D952" t="s">
        <v>20</v>
      </c>
      <c r="E952" t="s">
        <v>70</v>
      </c>
      <c r="F952" t="s">
        <v>15</v>
      </c>
      <c r="G952" t="s">
        <v>22</v>
      </c>
      <c r="H952" t="s">
        <v>563</v>
      </c>
      <c r="I952" t="s">
        <v>400</v>
      </c>
      <c r="J952">
        <v>100</v>
      </c>
      <c r="K952">
        <v>17</v>
      </c>
      <c r="L952">
        <v>25</v>
      </c>
      <c r="M952">
        <v>2500</v>
      </c>
      <c r="N952" t="s">
        <v>19</v>
      </c>
    </row>
    <row r="953" spans="1:14" x14ac:dyDescent="0.25">
      <c r="A953" t="str">
        <f>Table3[[#This Row],[Company Name]] &amp; " - " &amp; Table3[[#This Row],[Store Name]] &amp; " - " &amp; Table3[[#This Row],[Store Branch / Address]]</f>
        <v>CHICKEN DELI - GONGCHA - GENERIC</v>
      </c>
      <c r="B953" t="str">
        <f>Table3[[#This Row],[Client ID]] &amp; " - " &amp; Table3[[#This Row],[SO Number]]</f>
        <v>CHICKEN DELI - GONGCHA - GENERIC - SO-118</v>
      </c>
      <c r="C953" t="s">
        <v>632</v>
      </c>
      <c r="D953" t="s">
        <v>20</v>
      </c>
      <c r="E953" t="s">
        <v>31</v>
      </c>
      <c r="F953" t="s">
        <v>15</v>
      </c>
      <c r="G953" t="s">
        <v>22</v>
      </c>
      <c r="H953" t="s">
        <v>563</v>
      </c>
      <c r="I953" t="s">
        <v>33</v>
      </c>
      <c r="J953">
        <v>2</v>
      </c>
      <c r="K953">
        <v>6500</v>
      </c>
      <c r="L953">
        <v>6500</v>
      </c>
      <c r="M953">
        <v>13000</v>
      </c>
      <c r="N953" t="s">
        <v>19</v>
      </c>
    </row>
    <row r="954" spans="1:14" x14ac:dyDescent="0.25">
      <c r="A954" t="str">
        <f>Table3[[#This Row],[Company Name]] &amp; " - " &amp; Table3[[#This Row],[Store Name]] &amp; " - " &amp; Table3[[#This Row],[Store Branch / Address]]</f>
        <v>CHICKEN DELI - GONGCHA - GENERIC</v>
      </c>
      <c r="B954" t="str">
        <f>Table3[[#This Row],[Client ID]] &amp; " - " &amp; Table3[[#This Row],[SO Number]]</f>
        <v>CHICKEN DELI - GONGCHA - GENERIC - SO-119</v>
      </c>
      <c r="C954" t="s">
        <v>637</v>
      </c>
      <c r="D954" t="s">
        <v>20</v>
      </c>
      <c r="E954" t="s">
        <v>31</v>
      </c>
      <c r="F954" t="s">
        <v>15</v>
      </c>
      <c r="G954" t="s">
        <v>22</v>
      </c>
      <c r="H954" t="s">
        <v>563</v>
      </c>
      <c r="I954" t="s">
        <v>33</v>
      </c>
      <c r="J954">
        <v>3</v>
      </c>
      <c r="K954">
        <v>6500</v>
      </c>
      <c r="L954">
        <v>6500</v>
      </c>
      <c r="M954">
        <v>19500</v>
      </c>
      <c r="N954" t="s">
        <v>19</v>
      </c>
    </row>
    <row r="955" spans="1:14" x14ac:dyDescent="0.25">
      <c r="A955" t="str">
        <f>Table3[[#This Row],[Company Name]] &amp; " - " &amp; Table3[[#This Row],[Store Name]] &amp; " - " &amp; Table3[[#This Row],[Store Branch / Address]]</f>
        <v>CHICKEN DELI - GONGCHA - GENERIC</v>
      </c>
      <c r="B955" t="str">
        <f>Table3[[#This Row],[Client ID]] &amp; " - " &amp; Table3[[#This Row],[SO Number]]</f>
        <v>CHICKEN DELI - GONGCHA - GENERIC - SO-120</v>
      </c>
      <c r="C955" t="s">
        <v>639</v>
      </c>
      <c r="D955" t="s">
        <v>20</v>
      </c>
      <c r="E955" t="s">
        <v>31</v>
      </c>
      <c r="F955" t="s">
        <v>15</v>
      </c>
      <c r="G955" t="s">
        <v>22</v>
      </c>
      <c r="H955" t="s">
        <v>563</v>
      </c>
      <c r="I955" t="s">
        <v>33</v>
      </c>
      <c r="J955">
        <v>2</v>
      </c>
      <c r="K955">
        <v>6500</v>
      </c>
      <c r="L955">
        <v>6500</v>
      </c>
      <c r="M955">
        <v>13000</v>
      </c>
      <c r="N955" t="s">
        <v>19</v>
      </c>
    </row>
    <row r="956" spans="1:14" x14ac:dyDescent="0.25">
      <c r="A956" t="str">
        <f>Table3[[#This Row],[Company Name]] &amp; " - " &amp; Table3[[#This Row],[Store Name]] &amp; " - " &amp; Table3[[#This Row],[Store Branch / Address]]</f>
        <v>CHICKEN DELI - GONGCHA - GENERIC</v>
      </c>
      <c r="B956" t="str">
        <f>Table3[[#This Row],[Client ID]] &amp; " - " &amp; Table3[[#This Row],[SO Number]]</f>
        <v>CHICKEN DELI - GONGCHA - GENERIC - SO-121</v>
      </c>
      <c r="C956" t="s">
        <v>643</v>
      </c>
      <c r="D956" t="s">
        <v>20</v>
      </c>
      <c r="E956" t="s">
        <v>31</v>
      </c>
      <c r="F956" t="s">
        <v>15</v>
      </c>
      <c r="G956" t="s">
        <v>22</v>
      </c>
      <c r="H956" t="s">
        <v>563</v>
      </c>
      <c r="I956" t="s">
        <v>33</v>
      </c>
      <c r="J956">
        <v>2</v>
      </c>
      <c r="K956">
        <v>6500</v>
      </c>
      <c r="L956">
        <v>6500</v>
      </c>
      <c r="M956">
        <v>13000</v>
      </c>
      <c r="N956" t="s">
        <v>19</v>
      </c>
    </row>
    <row r="957" spans="1:14" x14ac:dyDescent="0.25">
      <c r="A957" t="str">
        <f>Table3[[#This Row],[Company Name]] &amp; " - " &amp; Table3[[#This Row],[Store Name]] &amp; " - " &amp; Table3[[#This Row],[Store Branch / Address]]</f>
        <v>CHICKEN DELI - GONGCHA - GENERIC</v>
      </c>
      <c r="B957" t="str">
        <f>Table3[[#This Row],[Client ID]] &amp; " - " &amp; Table3[[#This Row],[SO Number]]</f>
        <v>CHICKEN DELI - GONGCHA - GENERIC - SO-122</v>
      </c>
      <c r="C957" t="s">
        <v>645</v>
      </c>
      <c r="D957" t="s">
        <v>20</v>
      </c>
      <c r="E957" t="s">
        <v>31</v>
      </c>
      <c r="F957" t="s">
        <v>15</v>
      </c>
      <c r="G957" t="s">
        <v>22</v>
      </c>
      <c r="H957" t="s">
        <v>563</v>
      </c>
      <c r="I957" t="s">
        <v>33</v>
      </c>
      <c r="J957">
        <v>1</v>
      </c>
      <c r="K957">
        <v>6500</v>
      </c>
      <c r="L957">
        <v>6500</v>
      </c>
      <c r="M957">
        <v>6500</v>
      </c>
      <c r="N957" t="s">
        <v>19</v>
      </c>
    </row>
    <row r="958" spans="1:14" x14ac:dyDescent="0.25">
      <c r="A958" t="str">
        <f>Table3[[#This Row],[Company Name]] &amp; " - " &amp; Table3[[#This Row],[Store Name]] &amp; " - " &amp; Table3[[#This Row],[Store Branch / Address]]</f>
        <v>CHICKEN DELI - GONGCHA - GENERIC</v>
      </c>
      <c r="B958" t="str">
        <f>Table3[[#This Row],[Client ID]] &amp; " - " &amp; Table3[[#This Row],[SO Number]]</f>
        <v>CHICKEN DELI - GONGCHA - GENERIC - SO-123</v>
      </c>
      <c r="C958" t="s">
        <v>649</v>
      </c>
      <c r="D958" t="s">
        <v>20</v>
      </c>
      <c r="E958" t="s">
        <v>31</v>
      </c>
      <c r="F958" t="s">
        <v>15</v>
      </c>
      <c r="G958" t="s">
        <v>22</v>
      </c>
      <c r="H958" t="s">
        <v>563</v>
      </c>
      <c r="I958" t="s">
        <v>33</v>
      </c>
      <c r="J958">
        <v>1</v>
      </c>
      <c r="K958">
        <v>6500</v>
      </c>
      <c r="L958">
        <v>6500</v>
      </c>
      <c r="M958">
        <v>6500</v>
      </c>
      <c r="N958" t="s">
        <v>19</v>
      </c>
    </row>
    <row r="959" spans="1:14" x14ac:dyDescent="0.25">
      <c r="A959" t="str">
        <f>Table3[[#This Row],[Company Name]] &amp; " - " &amp; Table3[[#This Row],[Store Name]] &amp; " - " &amp; Table3[[#This Row],[Store Branch / Address]]</f>
        <v>CHICKEN DELI - GONGCHA - GENERIC</v>
      </c>
      <c r="B959" t="str">
        <f>Table3[[#This Row],[Client ID]] &amp; " - " &amp; Table3[[#This Row],[SO Number]]</f>
        <v>CHICKEN DELI - GONGCHA - GENERIC - SO-124</v>
      </c>
      <c r="C959" t="s">
        <v>652</v>
      </c>
      <c r="D959" t="s">
        <v>20</v>
      </c>
      <c r="E959" t="s">
        <v>31</v>
      </c>
      <c r="F959" t="s">
        <v>15</v>
      </c>
      <c r="G959" t="s">
        <v>22</v>
      </c>
      <c r="H959" t="s">
        <v>563</v>
      </c>
      <c r="I959" t="s">
        <v>33</v>
      </c>
      <c r="J959">
        <v>1</v>
      </c>
      <c r="K959">
        <v>6500</v>
      </c>
      <c r="L959">
        <v>6500</v>
      </c>
      <c r="M959">
        <v>6500</v>
      </c>
      <c r="N959" t="s">
        <v>19</v>
      </c>
    </row>
    <row r="960" spans="1:14" x14ac:dyDescent="0.25">
      <c r="A960" t="str">
        <f>Table3[[#This Row],[Company Name]] &amp; " - " &amp; Table3[[#This Row],[Store Name]] &amp; " - " &amp; Table3[[#This Row],[Store Branch / Address]]</f>
        <v>TIONG BAHRU PHILIPPINES INC - TIONG BAHRU - GENERIC</v>
      </c>
      <c r="B960" t="str">
        <f>Table3[[#This Row],[Client ID]] &amp; " - " &amp; Table3[[#This Row],[SO Number]]</f>
        <v>TIONG BAHRU PHILIPPINES INC - TIONG BAHRU - GENERIC - SO-042</v>
      </c>
      <c r="C960" t="s">
        <v>295</v>
      </c>
      <c r="D960" t="s">
        <v>1022</v>
      </c>
      <c r="E960" t="s">
        <v>1023</v>
      </c>
      <c r="F960" t="s">
        <v>15</v>
      </c>
      <c r="G960" t="s">
        <v>1024</v>
      </c>
      <c r="H960" t="s">
        <v>563</v>
      </c>
      <c r="I960" t="s">
        <v>47</v>
      </c>
      <c r="J960">
        <v>1</v>
      </c>
      <c r="K960">
        <v>3675</v>
      </c>
      <c r="L960">
        <v>10500</v>
      </c>
      <c r="M960">
        <v>10500</v>
      </c>
      <c r="N960" t="s">
        <v>19</v>
      </c>
    </row>
    <row r="961" spans="1:14" x14ac:dyDescent="0.25">
      <c r="A961" t="str">
        <f>Table3[[#This Row],[Company Name]] &amp; " - " &amp; Table3[[#This Row],[Store Name]] &amp; " - " &amp; Table3[[#This Row],[Store Branch / Address]]</f>
        <v>TIONG BAHRU PHILIPPINES INC - TIONG BAHRU - GENERIC</v>
      </c>
      <c r="B961" t="str">
        <f>Table3[[#This Row],[Client ID]] &amp; " - " &amp; Table3[[#This Row],[SO Number]]</f>
        <v>TIONG BAHRU PHILIPPINES INC - TIONG BAHRU - GENERIC - SO-042</v>
      </c>
      <c r="C961" t="s">
        <v>295</v>
      </c>
      <c r="D961" t="s">
        <v>1022</v>
      </c>
      <c r="E961" t="s">
        <v>1023</v>
      </c>
      <c r="F961" t="s">
        <v>15</v>
      </c>
      <c r="G961" t="s">
        <v>1024</v>
      </c>
      <c r="H961" t="s">
        <v>563</v>
      </c>
      <c r="I961" t="s">
        <v>25</v>
      </c>
      <c r="J961">
        <v>1</v>
      </c>
      <c r="K961">
        <v>3325</v>
      </c>
      <c r="L961">
        <v>9500</v>
      </c>
      <c r="M961">
        <v>9500</v>
      </c>
      <c r="N961" t="s">
        <v>19</v>
      </c>
    </row>
    <row r="962" spans="1:14" x14ac:dyDescent="0.25">
      <c r="A962" t="str">
        <f>Table3[[#This Row],[Company Name]] &amp; " - " &amp; Table3[[#This Row],[Store Name]] &amp; " - " &amp; Table3[[#This Row],[Store Branch / Address]]</f>
        <v>TIONG BAHRU PHILIPPINES INC - TIONG BAHRU - GENERIC</v>
      </c>
      <c r="B962" t="str">
        <f>Table3[[#This Row],[Client ID]] &amp; " - " &amp; Table3[[#This Row],[SO Number]]</f>
        <v>TIONG BAHRU PHILIPPINES INC - TIONG BAHRU - GENERIC - SO-042</v>
      </c>
      <c r="C962" t="s">
        <v>295</v>
      </c>
      <c r="D962" t="s">
        <v>1022</v>
      </c>
      <c r="E962" t="s">
        <v>1023</v>
      </c>
      <c r="F962" t="s">
        <v>15</v>
      </c>
      <c r="G962" t="s">
        <v>1024</v>
      </c>
      <c r="H962" t="s">
        <v>563</v>
      </c>
      <c r="I962" t="s">
        <v>24</v>
      </c>
      <c r="J962">
        <v>1</v>
      </c>
      <c r="K962">
        <v>3325</v>
      </c>
      <c r="L962">
        <v>9500</v>
      </c>
      <c r="M962">
        <v>9500</v>
      </c>
      <c r="N962" t="s">
        <v>19</v>
      </c>
    </row>
    <row r="963" spans="1:14" x14ac:dyDescent="0.25">
      <c r="A963" t="str">
        <f>Table3[[#This Row],[Company Name]] &amp; " - " &amp; Table3[[#This Row],[Store Name]] &amp; " - " &amp; Table3[[#This Row],[Store Branch / Address]]</f>
        <v>TIONG BAHRU PHILIPPINES INC - TIONG BAHRU - GENERIC</v>
      </c>
      <c r="B963" t="str">
        <f>Table3[[#This Row],[Client ID]] &amp; " - " &amp; Table3[[#This Row],[SO Number]]</f>
        <v>TIONG BAHRU PHILIPPINES INC - TIONG BAHRU - GENERIC - SO-042</v>
      </c>
      <c r="C963" t="s">
        <v>295</v>
      </c>
      <c r="D963" t="s">
        <v>1022</v>
      </c>
      <c r="E963" t="s">
        <v>1023</v>
      </c>
      <c r="F963" t="s">
        <v>15</v>
      </c>
      <c r="G963" t="s">
        <v>1024</v>
      </c>
      <c r="H963" t="s">
        <v>563</v>
      </c>
      <c r="I963" t="s">
        <v>26</v>
      </c>
      <c r="J963">
        <v>1</v>
      </c>
      <c r="K963">
        <v>500</v>
      </c>
      <c r="L963">
        <v>500</v>
      </c>
      <c r="M963">
        <v>500</v>
      </c>
      <c r="N963" t="s">
        <v>19</v>
      </c>
    </row>
    <row r="964" spans="1:14" x14ac:dyDescent="0.25">
      <c r="A964" t="str">
        <f>Table3[[#This Row],[Company Name]] &amp; " - " &amp; Table3[[#This Row],[Store Name]] &amp; " - " &amp; Table3[[#This Row],[Store Branch / Address]]</f>
        <v>TIONG BAHRU PHILIPPINES INC - TIONG BAHRU - GENERIC</v>
      </c>
      <c r="B964" t="str">
        <f>Table3[[#This Row],[Client ID]] &amp; " - " &amp; Table3[[#This Row],[SO Number]]</f>
        <v>TIONG BAHRU PHILIPPINES INC - TIONG BAHRU - GENERIC - SO-042</v>
      </c>
      <c r="C964" t="s">
        <v>295</v>
      </c>
      <c r="D964" t="s">
        <v>1022</v>
      </c>
      <c r="E964" t="s">
        <v>1023</v>
      </c>
      <c r="F964" t="s">
        <v>15</v>
      </c>
      <c r="G964" t="s">
        <v>1024</v>
      </c>
      <c r="H964" t="s">
        <v>563</v>
      </c>
      <c r="I964" t="s">
        <v>97</v>
      </c>
      <c r="J964">
        <v>1</v>
      </c>
      <c r="K964">
        <v>2200</v>
      </c>
      <c r="L964">
        <v>3000</v>
      </c>
      <c r="M964">
        <v>3000</v>
      </c>
      <c r="N964" t="s">
        <v>19</v>
      </c>
    </row>
    <row r="965" spans="1:14" x14ac:dyDescent="0.25">
      <c r="A965" t="str">
        <f>Table3[[#This Row],[Company Name]] &amp; " - " &amp; Table3[[#This Row],[Store Name]] &amp; " - " &amp; Table3[[#This Row],[Store Branch / Address]]</f>
        <v>TIONG BAHRU PHILIPPINES INC - TIONG BAHRU - GENERIC</v>
      </c>
      <c r="B965" t="str">
        <f>Table3[[#This Row],[Client ID]] &amp; " - " &amp; Table3[[#This Row],[SO Number]]</f>
        <v>TIONG BAHRU PHILIPPINES INC - TIONG BAHRU - GENERIC - SO-042</v>
      </c>
      <c r="C965" t="s">
        <v>295</v>
      </c>
      <c r="D965" t="s">
        <v>1022</v>
      </c>
      <c r="E965" t="s">
        <v>1023</v>
      </c>
      <c r="F965" t="s">
        <v>15</v>
      </c>
      <c r="G965" t="s">
        <v>1024</v>
      </c>
      <c r="H965" t="s">
        <v>563</v>
      </c>
      <c r="I965" t="s">
        <v>63</v>
      </c>
      <c r="J965">
        <v>1</v>
      </c>
      <c r="K965">
        <v>500</v>
      </c>
      <c r="L965">
        <v>500</v>
      </c>
      <c r="M965">
        <v>500</v>
      </c>
      <c r="N965" t="s">
        <v>19</v>
      </c>
    </row>
    <row r="966" spans="1:14" x14ac:dyDescent="0.25">
      <c r="A966" t="str">
        <f>Table3[[#This Row],[Company Name]] &amp; " - " &amp; Table3[[#This Row],[Store Name]] &amp; " - " &amp; Table3[[#This Row],[Store Branch / Address]]</f>
        <v>CALERO NINA RAMOS - EUROBAKE RESTAURANT BAKESHOP - SHOPPESVILLE</v>
      </c>
      <c r="B966" t="str">
        <f>Table3[[#This Row],[Client ID]] &amp; " - " &amp; Table3[[#This Row],[SO Number]]</f>
        <v>CALERO NINA RAMOS - EUROBAKE RESTAURANT BAKESHOP - SHOPPESVILLE - SO-104</v>
      </c>
      <c r="C966" t="s">
        <v>564</v>
      </c>
      <c r="D966" t="s">
        <v>565</v>
      </c>
      <c r="E966" t="s">
        <v>566</v>
      </c>
      <c r="F966" t="s">
        <v>567</v>
      </c>
      <c r="G966" t="s">
        <v>37</v>
      </c>
      <c r="H966" t="s">
        <v>568</v>
      </c>
      <c r="I966" t="s">
        <v>569</v>
      </c>
      <c r="J966">
        <v>50</v>
      </c>
      <c r="K966">
        <v>17</v>
      </c>
      <c r="L966">
        <v>25</v>
      </c>
      <c r="M966">
        <v>1250</v>
      </c>
      <c r="N966" t="s">
        <v>39</v>
      </c>
    </row>
    <row r="967" spans="1:14" x14ac:dyDescent="0.25">
      <c r="A967" t="str">
        <f>Table3[[#This Row],[Company Name]] &amp; " - " &amp; Table3[[#This Row],[Store Name]] &amp; " - " &amp; Table3[[#This Row],[Store Branch / Address]]</f>
        <v>HUZZAH - HUZZAH - GENERIC</v>
      </c>
      <c r="B967" t="str">
        <f>Table3[[#This Row],[Client ID]] &amp; " - " &amp; Table3[[#This Row],[SO Number]]</f>
        <v>HUZZAH - HUZZAH - GENERIC - SO-105</v>
      </c>
      <c r="C967" t="s">
        <v>572</v>
      </c>
      <c r="D967" t="s">
        <v>87</v>
      </c>
      <c r="E967" t="s">
        <v>87</v>
      </c>
      <c r="F967" t="s">
        <v>15</v>
      </c>
      <c r="G967" t="s">
        <v>37</v>
      </c>
      <c r="H967" t="s">
        <v>568</v>
      </c>
      <c r="I967" t="s">
        <v>89</v>
      </c>
      <c r="J967">
        <v>50</v>
      </c>
      <c r="K967">
        <v>32</v>
      </c>
      <c r="L967">
        <v>50</v>
      </c>
      <c r="M967">
        <v>2500</v>
      </c>
      <c r="N967" t="s">
        <v>39</v>
      </c>
    </row>
    <row r="968" spans="1:14" x14ac:dyDescent="0.25">
      <c r="A968" t="str">
        <f>Table3[[#This Row],[Company Name]] &amp; " - " &amp; Table3[[#This Row],[Store Name]] &amp; " - " &amp; Table3[[#This Row],[Store Branch / Address]]</f>
        <v>LIPA GRILLE RESTAURANT CO - LIPA GRILLE - GENERIC</v>
      </c>
      <c r="B968" t="str">
        <f>Table3[[#This Row],[Client ID]] &amp; " - " &amp; Table3[[#This Row],[SO Number]]</f>
        <v>LIPA GRILLE RESTAURANT CO - LIPA GRILLE - GENERIC - SO-106</v>
      </c>
      <c r="C968" t="s">
        <v>578</v>
      </c>
      <c r="D968" t="s">
        <v>123</v>
      </c>
      <c r="E968" t="s">
        <v>124</v>
      </c>
      <c r="F968" t="s">
        <v>15</v>
      </c>
      <c r="G968" t="s">
        <v>37</v>
      </c>
      <c r="H968" t="s">
        <v>568</v>
      </c>
      <c r="I968" t="s">
        <v>579</v>
      </c>
      <c r="J968">
        <v>1</v>
      </c>
      <c r="K968">
        <v>8500</v>
      </c>
      <c r="L968">
        <v>12000</v>
      </c>
      <c r="M968">
        <v>12000</v>
      </c>
      <c r="N968" t="s">
        <v>19</v>
      </c>
    </row>
    <row r="969" spans="1:14" x14ac:dyDescent="0.25">
      <c r="A969" t="str">
        <f>Table3[[#This Row],[Company Name]] &amp; " - " &amp; Table3[[#This Row],[Store Name]] &amp; " - " &amp; Table3[[#This Row],[Store Branch / Address]]</f>
        <v>CHICKEN DELI - ISSY &amp;CO. - GENERIC</v>
      </c>
      <c r="B969" t="str">
        <f>Table3[[#This Row],[Client ID]] &amp; " - " &amp; Table3[[#This Row],[SO Number]]</f>
        <v>CHICKEN DELI - ISSY &amp;CO. - GENERIC - SO-125</v>
      </c>
      <c r="C969" t="s">
        <v>654</v>
      </c>
      <c r="D969" t="s">
        <v>20</v>
      </c>
      <c r="E969" t="s">
        <v>132</v>
      </c>
      <c r="F969" t="s">
        <v>15</v>
      </c>
      <c r="G969" t="s">
        <v>22</v>
      </c>
      <c r="H969" t="s">
        <v>568</v>
      </c>
      <c r="I969" t="s">
        <v>133</v>
      </c>
      <c r="J969">
        <v>1</v>
      </c>
      <c r="K969">
        <v>3675</v>
      </c>
      <c r="L969">
        <v>10500</v>
      </c>
      <c r="M969">
        <v>10500</v>
      </c>
      <c r="N969" t="s">
        <v>19</v>
      </c>
    </row>
    <row r="970" spans="1:14" x14ac:dyDescent="0.25">
      <c r="A970" t="str">
        <f>Table3[[#This Row],[Company Name]] &amp; " - " &amp; Table3[[#This Row],[Store Name]] &amp; " - " &amp; Table3[[#This Row],[Store Branch / Address]]</f>
        <v>CHICKEN DELI - ISSY &amp;CO. - GENERIC</v>
      </c>
      <c r="B970" t="str">
        <f>Table3[[#This Row],[Client ID]] &amp; " - " &amp; Table3[[#This Row],[SO Number]]</f>
        <v>CHICKEN DELI - ISSY &amp;CO. - GENERIC - SO-125</v>
      </c>
      <c r="C970" t="s">
        <v>654</v>
      </c>
      <c r="D970" t="s">
        <v>20</v>
      </c>
      <c r="E970" t="s">
        <v>132</v>
      </c>
      <c r="F970" t="s">
        <v>15</v>
      </c>
      <c r="G970" t="s">
        <v>22</v>
      </c>
      <c r="H970" t="s">
        <v>568</v>
      </c>
      <c r="I970" t="s">
        <v>25</v>
      </c>
      <c r="J970">
        <v>1</v>
      </c>
      <c r="K970">
        <v>10550</v>
      </c>
      <c r="L970">
        <v>10550</v>
      </c>
      <c r="M970">
        <v>10550</v>
      </c>
      <c r="N970" t="s">
        <v>19</v>
      </c>
    </row>
    <row r="971" spans="1:14" x14ac:dyDescent="0.25">
      <c r="A971" t="str">
        <f>Table3[[#This Row],[Company Name]] &amp; " - " &amp; Table3[[#This Row],[Store Name]] &amp; " - " &amp; Table3[[#This Row],[Store Branch / Address]]</f>
        <v>CHICKEN DELI - ISSY &amp;CO. - GENERIC</v>
      </c>
      <c r="B971" t="str">
        <f>Table3[[#This Row],[Client ID]] &amp; " - " &amp; Table3[[#This Row],[SO Number]]</f>
        <v>CHICKEN DELI - ISSY &amp;CO. - GENERIC - SO-125</v>
      </c>
      <c r="C971" t="s">
        <v>654</v>
      </c>
      <c r="D971" t="s">
        <v>20</v>
      </c>
      <c r="E971" t="s">
        <v>132</v>
      </c>
      <c r="F971" t="s">
        <v>15</v>
      </c>
      <c r="G971" t="s">
        <v>22</v>
      </c>
      <c r="H971" t="s">
        <v>568</v>
      </c>
      <c r="I971" t="s">
        <v>24</v>
      </c>
      <c r="J971">
        <v>1</v>
      </c>
      <c r="K971">
        <v>10550</v>
      </c>
      <c r="L971">
        <v>10550</v>
      </c>
      <c r="M971">
        <v>10550</v>
      </c>
      <c r="N971" t="s">
        <v>19</v>
      </c>
    </row>
    <row r="972" spans="1:14" x14ac:dyDescent="0.25">
      <c r="A972" t="str">
        <f>Table3[[#This Row],[Company Name]] &amp; " - " &amp; Table3[[#This Row],[Store Name]] &amp; " - " &amp; Table3[[#This Row],[Store Branch / Address]]</f>
        <v>CHICKEN DELI - ISSY &amp;CO. - GENERIC</v>
      </c>
      <c r="B972" t="str">
        <f>Table3[[#This Row],[Client ID]] &amp; " - " &amp; Table3[[#This Row],[SO Number]]</f>
        <v>CHICKEN DELI - ISSY &amp;CO. - GENERIC - SO-125</v>
      </c>
      <c r="C972" t="s">
        <v>654</v>
      </c>
      <c r="D972" t="s">
        <v>20</v>
      </c>
      <c r="E972" t="s">
        <v>132</v>
      </c>
      <c r="F972" t="s">
        <v>15</v>
      </c>
      <c r="G972" t="s">
        <v>22</v>
      </c>
      <c r="H972" t="s">
        <v>568</v>
      </c>
      <c r="I972" t="s">
        <v>134</v>
      </c>
      <c r="J972">
        <v>1</v>
      </c>
      <c r="K972">
        <v>500</v>
      </c>
      <c r="L972">
        <v>500</v>
      </c>
      <c r="M972">
        <v>500</v>
      </c>
      <c r="N972" t="s">
        <v>19</v>
      </c>
    </row>
    <row r="973" spans="1:14" x14ac:dyDescent="0.25">
      <c r="A973" t="str">
        <f>Table3[[#This Row],[Company Name]] &amp; " - " &amp; Table3[[#This Row],[Store Name]] &amp; " - " &amp; Table3[[#This Row],[Store Branch / Address]]</f>
        <v>CHICKEN DELI - ISSY &amp;CO. - GENERIC</v>
      </c>
      <c r="B973" t="str">
        <f>Table3[[#This Row],[Client ID]] &amp; " - " &amp; Table3[[#This Row],[SO Number]]</f>
        <v>CHICKEN DELI - ISSY &amp;CO. - GENERIC - SO-125</v>
      </c>
      <c r="C973" t="s">
        <v>654</v>
      </c>
      <c r="D973" t="s">
        <v>20</v>
      </c>
      <c r="E973" t="s">
        <v>132</v>
      </c>
      <c r="F973" t="s">
        <v>15</v>
      </c>
      <c r="G973" t="s">
        <v>22</v>
      </c>
      <c r="H973" t="s">
        <v>568</v>
      </c>
      <c r="I973" t="s">
        <v>135</v>
      </c>
      <c r="J973">
        <v>1</v>
      </c>
      <c r="K973">
        <v>4550</v>
      </c>
      <c r="L973">
        <v>6500</v>
      </c>
      <c r="M973">
        <v>6500</v>
      </c>
      <c r="N973" t="s">
        <v>19</v>
      </c>
    </row>
    <row r="974" spans="1:14" x14ac:dyDescent="0.25">
      <c r="A974" t="str">
        <f>Table3[[#This Row],[Company Name]] &amp; " - " &amp; Table3[[#This Row],[Store Name]] &amp; " - " &amp; Table3[[#This Row],[Store Branch / Address]]</f>
        <v>CHICKEN DELI - ISSY &amp;CO. - GENERIC</v>
      </c>
      <c r="B974" t="str">
        <f>Table3[[#This Row],[Client ID]] &amp; " - " &amp; Table3[[#This Row],[SO Number]]</f>
        <v>CHICKEN DELI - ISSY &amp;CO. - GENERIC - SO-125</v>
      </c>
      <c r="C974" t="s">
        <v>654</v>
      </c>
      <c r="D974" t="s">
        <v>20</v>
      </c>
      <c r="E974" t="s">
        <v>132</v>
      </c>
      <c r="F974" t="s">
        <v>15</v>
      </c>
      <c r="G974" t="s">
        <v>22</v>
      </c>
      <c r="H974" t="s">
        <v>568</v>
      </c>
      <c r="I974" t="s">
        <v>136</v>
      </c>
      <c r="J974">
        <v>1</v>
      </c>
      <c r="K974">
        <v>8500</v>
      </c>
      <c r="L974">
        <v>12000</v>
      </c>
      <c r="M974">
        <v>12000</v>
      </c>
      <c r="N974" t="s">
        <v>19</v>
      </c>
    </row>
    <row r="975" spans="1:14" x14ac:dyDescent="0.25">
      <c r="A975" t="str">
        <f>Table3[[#This Row],[Company Name]] &amp; " - " &amp; Table3[[#This Row],[Store Name]] &amp; " - " &amp; Table3[[#This Row],[Store Branch / Address]]</f>
        <v>CHICKEN DELI - ISSY &amp;CO. - GENERIC</v>
      </c>
      <c r="B975" t="str">
        <f>Table3[[#This Row],[Client ID]] &amp; " - " &amp; Table3[[#This Row],[SO Number]]</f>
        <v>CHICKEN DELI - ISSY &amp;CO. - GENERIC - SO-125</v>
      </c>
      <c r="C975" t="s">
        <v>654</v>
      </c>
      <c r="D975" t="s">
        <v>20</v>
      </c>
      <c r="E975" t="s">
        <v>132</v>
      </c>
      <c r="F975" t="s">
        <v>15</v>
      </c>
      <c r="G975" t="s">
        <v>22</v>
      </c>
      <c r="H975" t="s">
        <v>568</v>
      </c>
      <c r="I975" t="s">
        <v>98</v>
      </c>
      <c r="J975">
        <v>1</v>
      </c>
      <c r="K975">
        <v>935</v>
      </c>
      <c r="L975">
        <v>1300</v>
      </c>
      <c r="M975">
        <v>1300</v>
      </c>
      <c r="N975" t="s">
        <v>19</v>
      </c>
    </row>
    <row r="976" spans="1:14" x14ac:dyDescent="0.25">
      <c r="A976" t="str">
        <f>Table3[[#This Row],[Company Name]] &amp; " - " &amp; Table3[[#This Row],[Store Name]] &amp; " - " &amp; Table3[[#This Row],[Store Branch / Address]]</f>
        <v>CHICKEN DELI - ISSY &amp;CO. - GENERIC</v>
      </c>
      <c r="B976" t="str">
        <f>Table3[[#This Row],[Client ID]] &amp; " - " &amp; Table3[[#This Row],[SO Number]]</f>
        <v>CHICKEN DELI - ISSY &amp;CO. - GENERIC - SO-125</v>
      </c>
      <c r="C976" t="s">
        <v>654</v>
      </c>
      <c r="D976" t="s">
        <v>20</v>
      </c>
      <c r="E976" t="s">
        <v>132</v>
      </c>
      <c r="F976" t="s">
        <v>15</v>
      </c>
      <c r="G976" t="s">
        <v>22</v>
      </c>
      <c r="H976" t="s">
        <v>568</v>
      </c>
      <c r="I976" t="s">
        <v>116</v>
      </c>
      <c r="J976">
        <v>1</v>
      </c>
      <c r="K976">
        <v>2185</v>
      </c>
      <c r="L976">
        <v>3500</v>
      </c>
      <c r="M976">
        <v>3500</v>
      </c>
      <c r="N976" t="s">
        <v>19</v>
      </c>
    </row>
    <row r="977" spans="1:14" x14ac:dyDescent="0.25">
      <c r="A977" t="str">
        <f>Table3[[#This Row],[Company Name]] &amp; " - " &amp; Table3[[#This Row],[Store Name]] &amp; " - " &amp; Table3[[#This Row],[Store Branch / Address]]</f>
        <v>CHICKEN DELI - ISSY &amp;CO. - GENERIC</v>
      </c>
      <c r="B977" t="str">
        <f>Table3[[#This Row],[Client ID]] &amp; " - " &amp; Table3[[#This Row],[SO Number]]</f>
        <v>CHICKEN DELI - ISSY &amp;CO. - GENERIC - SO-125</v>
      </c>
      <c r="C977" t="s">
        <v>654</v>
      </c>
      <c r="D977" t="s">
        <v>20</v>
      </c>
      <c r="E977" t="s">
        <v>132</v>
      </c>
      <c r="F977" t="s">
        <v>15</v>
      </c>
      <c r="G977" t="s">
        <v>22</v>
      </c>
      <c r="H977" t="s">
        <v>568</v>
      </c>
      <c r="I977" t="s">
        <v>137</v>
      </c>
      <c r="J977">
        <v>1</v>
      </c>
      <c r="K977">
        <v>2200</v>
      </c>
      <c r="L977">
        <v>3100</v>
      </c>
      <c r="M977">
        <v>3100</v>
      </c>
      <c r="N977" t="s">
        <v>19</v>
      </c>
    </row>
    <row r="978" spans="1:14" x14ac:dyDescent="0.25">
      <c r="A978" t="str">
        <f>Table3[[#This Row],[Company Name]] &amp; " - " &amp; Table3[[#This Row],[Store Name]] &amp; " - " &amp; Table3[[#This Row],[Store Branch / Address]]</f>
        <v>CHICKEN DELI - ISSY &amp;CO. - GENERIC</v>
      </c>
      <c r="B978" t="str">
        <f>Table3[[#This Row],[Client ID]] &amp; " - " &amp; Table3[[#This Row],[SO Number]]</f>
        <v>CHICKEN DELI - ISSY &amp;CO. - GENERIC - SO-125</v>
      </c>
      <c r="C978" t="s">
        <v>654</v>
      </c>
      <c r="D978" t="s">
        <v>20</v>
      </c>
      <c r="E978" t="s">
        <v>132</v>
      </c>
      <c r="F978" t="s">
        <v>15</v>
      </c>
      <c r="G978" t="s">
        <v>22</v>
      </c>
      <c r="H978" t="s">
        <v>568</v>
      </c>
      <c r="I978" t="s">
        <v>655</v>
      </c>
      <c r="J978">
        <v>1</v>
      </c>
      <c r="K978">
        <v>24800</v>
      </c>
      <c r="L978">
        <v>35500</v>
      </c>
      <c r="M978">
        <v>35500</v>
      </c>
      <c r="N978" t="s">
        <v>19</v>
      </c>
    </row>
    <row r="979" spans="1:14" x14ac:dyDescent="0.25">
      <c r="A979" t="str">
        <f>Table3[[#This Row],[Company Name]] &amp; " - " &amp; Table3[[#This Row],[Store Name]] &amp; " - " &amp; Table3[[#This Row],[Store Branch / Address]]</f>
        <v>CHICKEN DELI - ISSY &amp;CO. - GENERIC</v>
      </c>
      <c r="B979" t="str">
        <f>Table3[[#This Row],[Client ID]] &amp; " - " &amp; Table3[[#This Row],[SO Number]]</f>
        <v>CHICKEN DELI - ISSY &amp;CO. - GENERIC - SO-125</v>
      </c>
      <c r="C979" t="s">
        <v>654</v>
      </c>
      <c r="D979" t="s">
        <v>20</v>
      </c>
      <c r="E979" t="s">
        <v>132</v>
      </c>
      <c r="F979" t="s">
        <v>15</v>
      </c>
      <c r="G979" t="s">
        <v>22</v>
      </c>
      <c r="H979" t="s">
        <v>568</v>
      </c>
      <c r="I979" t="s">
        <v>99</v>
      </c>
      <c r="J979">
        <v>1</v>
      </c>
      <c r="K979">
        <v>2800</v>
      </c>
      <c r="L979">
        <v>4000</v>
      </c>
      <c r="M979">
        <v>4000</v>
      </c>
      <c r="N979" t="s">
        <v>19</v>
      </c>
    </row>
    <row r="980" spans="1:14" x14ac:dyDescent="0.25">
      <c r="A980" t="str">
        <f>Table3[[#This Row],[Company Name]] &amp; " - " &amp; Table3[[#This Row],[Store Name]] &amp; " - " &amp; Table3[[#This Row],[Store Branch / Address]]</f>
        <v>CHICKEN DELI - ISSY &amp;CO. - GENERIC</v>
      </c>
      <c r="B980" t="str">
        <f>Table3[[#This Row],[Client ID]] &amp; " - " &amp; Table3[[#This Row],[SO Number]]</f>
        <v>CHICKEN DELI - ISSY &amp;CO. - GENERIC - SO-125</v>
      </c>
      <c r="C980" t="s">
        <v>654</v>
      </c>
      <c r="D980" t="s">
        <v>20</v>
      </c>
      <c r="E980" t="s">
        <v>132</v>
      </c>
      <c r="F980" t="s">
        <v>15</v>
      </c>
      <c r="G980" t="s">
        <v>22</v>
      </c>
      <c r="H980" t="s">
        <v>568</v>
      </c>
      <c r="I980" t="s">
        <v>76</v>
      </c>
      <c r="J980">
        <v>1</v>
      </c>
      <c r="K980">
        <v>500</v>
      </c>
      <c r="L980">
        <v>500</v>
      </c>
      <c r="M980">
        <v>500</v>
      </c>
      <c r="N980" t="s">
        <v>19</v>
      </c>
    </row>
    <row r="981" spans="1:14" x14ac:dyDescent="0.25">
      <c r="A981" t="str">
        <f>Table3[[#This Row],[Company Name]] &amp; " - " &amp; Table3[[#This Row],[Store Name]] &amp; " - " &amp; Table3[[#This Row],[Store Branch / Address]]</f>
        <v>CANELLE FOOD CORPORATION - CINNABON - GENERIC</v>
      </c>
      <c r="B981" t="str">
        <f>Table3[[#This Row],[Client ID]] &amp; " - " &amp; Table3[[#This Row],[SO Number]]</f>
        <v>CANELLE FOOD CORPORATION - CINNABON - GENERIC - SO-107</v>
      </c>
      <c r="C981" t="s">
        <v>582</v>
      </c>
      <c r="D981" t="s">
        <v>363</v>
      </c>
      <c r="E981" t="s">
        <v>364</v>
      </c>
      <c r="F981" t="s">
        <v>15</v>
      </c>
      <c r="G981" t="s">
        <v>22</v>
      </c>
      <c r="H981" t="s">
        <v>583</v>
      </c>
      <c r="I981" t="s">
        <v>151</v>
      </c>
      <c r="J981">
        <v>1</v>
      </c>
      <c r="K981">
        <v>2800</v>
      </c>
      <c r="L981">
        <v>4267.8599999999997</v>
      </c>
      <c r="M981">
        <v>4267.8599999999997</v>
      </c>
      <c r="N981" t="s">
        <v>19</v>
      </c>
    </row>
    <row r="982" spans="1:14" x14ac:dyDescent="0.25">
      <c r="A982" t="str">
        <f>Table3[[#This Row],[Company Name]] &amp; " - " &amp; Table3[[#This Row],[Store Name]] &amp; " - " &amp; Table3[[#This Row],[Store Branch / Address]]</f>
        <v>BEDA FOOD VENTURES INC - BACOLOD CHICKEN - GENERIC</v>
      </c>
      <c r="B982" t="str">
        <f>Table3[[#This Row],[Client ID]] &amp; " - " &amp; Table3[[#This Row],[SO Number]]</f>
        <v>BEDA FOOD VENTURES INC - BACOLOD CHICKEN - GENERIC - SO-108</v>
      </c>
      <c r="C982" t="s">
        <v>586</v>
      </c>
      <c r="D982" t="s">
        <v>523</v>
      </c>
      <c r="E982" t="s">
        <v>311</v>
      </c>
      <c r="F982" t="s">
        <v>15</v>
      </c>
      <c r="G982" t="s">
        <v>22</v>
      </c>
      <c r="H982" t="s">
        <v>583</v>
      </c>
      <c r="I982" t="s">
        <v>209</v>
      </c>
      <c r="J982">
        <v>1</v>
      </c>
      <c r="K982">
        <v>23450</v>
      </c>
      <c r="L982">
        <v>31000</v>
      </c>
      <c r="M982">
        <v>31000</v>
      </c>
      <c r="N982" t="s">
        <v>19</v>
      </c>
    </row>
    <row r="983" spans="1:14" x14ac:dyDescent="0.25">
      <c r="A983" t="str">
        <f>Table3[[#This Row],[Company Name]] &amp; " - " &amp; Table3[[#This Row],[Store Name]] &amp; " - " &amp; Table3[[#This Row],[Store Branch / Address]]</f>
        <v>BEDA FOOD VENTURES INC - BACOLOD CHICKEN - GENERIC</v>
      </c>
      <c r="B983" t="str">
        <f>Table3[[#This Row],[Client ID]] &amp; " - " &amp; Table3[[#This Row],[SO Number]]</f>
        <v>BEDA FOOD VENTURES INC - BACOLOD CHICKEN - GENERIC - SO-108</v>
      </c>
      <c r="C983" t="s">
        <v>586</v>
      </c>
      <c r="D983" t="s">
        <v>523</v>
      </c>
      <c r="E983" t="s">
        <v>311</v>
      </c>
      <c r="F983" t="s">
        <v>15</v>
      </c>
      <c r="G983" t="s">
        <v>22</v>
      </c>
      <c r="H983" t="s">
        <v>583</v>
      </c>
      <c r="I983" t="s">
        <v>151</v>
      </c>
      <c r="J983">
        <v>1</v>
      </c>
      <c r="K983">
        <v>2800</v>
      </c>
      <c r="L983">
        <v>4000</v>
      </c>
      <c r="M983">
        <v>4000</v>
      </c>
      <c r="N983" t="s">
        <v>19</v>
      </c>
    </row>
    <row r="984" spans="1:14" x14ac:dyDescent="0.25">
      <c r="A984" t="str">
        <f>Table3[[#This Row],[Company Name]] &amp; " - " &amp; Table3[[#This Row],[Store Name]] &amp; " - " &amp; Table3[[#This Row],[Store Branch / Address]]</f>
        <v>BEDA FOOD VENTURES INC - BACOLOD CHICKEN - GENERIC</v>
      </c>
      <c r="B984" t="str">
        <f>Table3[[#This Row],[Client ID]] &amp; " - " &amp; Table3[[#This Row],[SO Number]]</f>
        <v>BEDA FOOD VENTURES INC - BACOLOD CHICKEN - GENERIC - SO-108</v>
      </c>
      <c r="C984" t="s">
        <v>586</v>
      </c>
      <c r="D984" t="s">
        <v>523</v>
      </c>
      <c r="E984" t="s">
        <v>311</v>
      </c>
      <c r="F984" t="s">
        <v>15</v>
      </c>
      <c r="G984" t="s">
        <v>22</v>
      </c>
      <c r="H984" t="s">
        <v>583</v>
      </c>
      <c r="I984" t="s">
        <v>210</v>
      </c>
      <c r="J984">
        <v>1</v>
      </c>
      <c r="K984">
        <v>530</v>
      </c>
      <c r="L984">
        <v>700</v>
      </c>
      <c r="M984">
        <v>700</v>
      </c>
      <c r="N984" t="s">
        <v>19</v>
      </c>
    </row>
    <row r="985" spans="1:14" x14ac:dyDescent="0.25">
      <c r="A985" t="str">
        <f>Table3[[#This Row],[Company Name]] &amp; " - " &amp; Table3[[#This Row],[Store Name]] &amp; " - " &amp; Table3[[#This Row],[Store Branch / Address]]</f>
        <v>BEDA FOOD VENTURES INC - BACOLOD CHICKEN - GENERIC</v>
      </c>
      <c r="B985" t="str">
        <f>Table3[[#This Row],[Client ID]] &amp; " - " &amp; Table3[[#This Row],[SO Number]]</f>
        <v>BEDA FOOD VENTURES INC - BACOLOD CHICKEN - GENERIC - SO-108</v>
      </c>
      <c r="C985" t="s">
        <v>586</v>
      </c>
      <c r="D985" t="s">
        <v>523</v>
      </c>
      <c r="E985" t="s">
        <v>311</v>
      </c>
      <c r="F985" t="s">
        <v>15</v>
      </c>
      <c r="G985" t="s">
        <v>22</v>
      </c>
      <c r="H985" t="s">
        <v>583</v>
      </c>
      <c r="I985" t="s">
        <v>211</v>
      </c>
      <c r="J985">
        <v>1</v>
      </c>
      <c r="K985">
        <v>350</v>
      </c>
      <c r="L985">
        <v>500</v>
      </c>
      <c r="M985">
        <v>500</v>
      </c>
      <c r="N985" t="s">
        <v>19</v>
      </c>
    </row>
    <row r="986" spans="1:14" x14ac:dyDescent="0.25">
      <c r="A986" t="str">
        <f>Table3[[#This Row],[Company Name]] &amp; " - " &amp; Table3[[#This Row],[Store Name]] &amp; " - " &amp; Table3[[#This Row],[Store Branch / Address]]</f>
        <v>BEDA FOOD VENTURES INC - BACOLOD CHICKEN - GENERIC</v>
      </c>
      <c r="B986" t="str">
        <f>Table3[[#This Row],[Client ID]] &amp; " - " &amp; Table3[[#This Row],[SO Number]]</f>
        <v>BEDA FOOD VENTURES INC - BACOLOD CHICKEN - GENERIC - SO-108</v>
      </c>
      <c r="C986" t="s">
        <v>586</v>
      </c>
      <c r="D986" t="s">
        <v>523</v>
      </c>
      <c r="E986" t="s">
        <v>311</v>
      </c>
      <c r="F986" t="s">
        <v>15</v>
      </c>
      <c r="G986" t="s">
        <v>22</v>
      </c>
      <c r="H986" t="s">
        <v>583</v>
      </c>
      <c r="I986" t="s">
        <v>98</v>
      </c>
      <c r="J986">
        <v>1</v>
      </c>
      <c r="K986">
        <v>935</v>
      </c>
      <c r="L986">
        <v>1300</v>
      </c>
      <c r="M986">
        <v>1300</v>
      </c>
      <c r="N986" t="s">
        <v>19</v>
      </c>
    </row>
    <row r="987" spans="1:14" x14ac:dyDescent="0.25">
      <c r="A987" t="str">
        <f>Table3[[#This Row],[Company Name]] &amp; " - " &amp; Table3[[#This Row],[Store Name]] &amp; " - " &amp; Table3[[#This Row],[Store Branch / Address]]</f>
        <v>BEDA FOOD VENTURES INC - BACOLOD CHICKEN - GENERIC</v>
      </c>
      <c r="B987" t="str">
        <f>Table3[[#This Row],[Client ID]] &amp; " - " &amp; Table3[[#This Row],[SO Number]]</f>
        <v>BEDA FOOD VENTURES INC - BACOLOD CHICKEN - GENERIC - SO-108</v>
      </c>
      <c r="C987" t="s">
        <v>586</v>
      </c>
      <c r="D987" t="s">
        <v>523</v>
      </c>
      <c r="E987" t="s">
        <v>311</v>
      </c>
      <c r="F987" t="s">
        <v>15</v>
      </c>
      <c r="G987" t="s">
        <v>22</v>
      </c>
      <c r="H987" t="s">
        <v>583</v>
      </c>
      <c r="I987" t="s">
        <v>63</v>
      </c>
      <c r="J987">
        <v>1</v>
      </c>
      <c r="K987">
        <v>500</v>
      </c>
      <c r="L987">
        <v>500</v>
      </c>
      <c r="M987">
        <v>500</v>
      </c>
      <c r="N987" t="s">
        <v>19</v>
      </c>
    </row>
    <row r="988" spans="1:14" x14ac:dyDescent="0.25">
      <c r="A988" t="str">
        <f>Table3[[#This Row],[Company Name]] &amp; " - " &amp; Table3[[#This Row],[Store Name]] &amp; " - " &amp; Table3[[#This Row],[Store Branch / Address]]</f>
        <v>CHICKEN DELI - HENLIN - GENERIC</v>
      </c>
      <c r="B988" t="str">
        <f>Table3[[#This Row],[Client ID]] &amp; " - " &amp; Table3[[#This Row],[SO Number]]</f>
        <v>CHICKEN DELI - HENLIN - GENERIC - SO-126</v>
      </c>
      <c r="C988" t="s">
        <v>656</v>
      </c>
      <c r="D988" t="s">
        <v>20</v>
      </c>
      <c r="E988" t="s">
        <v>608</v>
      </c>
      <c r="F988" t="s">
        <v>15</v>
      </c>
      <c r="G988" t="s">
        <v>22</v>
      </c>
      <c r="H988" t="s">
        <v>583</v>
      </c>
      <c r="I988" t="s">
        <v>657</v>
      </c>
      <c r="J988">
        <v>1</v>
      </c>
      <c r="K988">
        <v>800</v>
      </c>
      <c r="L988">
        <v>1500</v>
      </c>
      <c r="M988">
        <v>1500</v>
      </c>
      <c r="N988" t="s">
        <v>19</v>
      </c>
    </row>
    <row r="989" spans="1:14" x14ac:dyDescent="0.25">
      <c r="A989" t="str">
        <f>Table3[[#This Row],[Company Name]] &amp; " - " &amp; Table3[[#This Row],[Store Name]] &amp; " - " &amp; Table3[[#This Row],[Store Branch / Address]]</f>
        <v>CHICKEN DELI - VMV - GENERIC</v>
      </c>
      <c r="B989" t="str">
        <f>Table3[[#This Row],[Client ID]] &amp; " - " &amp; Table3[[#This Row],[SO Number]]</f>
        <v>CHICKEN DELI - VMV - GENERIC - SO-127</v>
      </c>
      <c r="C989" t="s">
        <v>663</v>
      </c>
      <c r="D989" t="s">
        <v>20</v>
      </c>
      <c r="E989" t="s">
        <v>666</v>
      </c>
      <c r="F989" t="s">
        <v>15</v>
      </c>
      <c r="G989" t="s">
        <v>22</v>
      </c>
      <c r="H989" t="s">
        <v>583</v>
      </c>
      <c r="I989" t="s">
        <v>97</v>
      </c>
      <c r="J989">
        <v>1</v>
      </c>
      <c r="K989">
        <v>2200</v>
      </c>
      <c r="L989">
        <v>4200</v>
      </c>
      <c r="M989">
        <v>4200</v>
      </c>
      <c r="N989" t="s">
        <v>19</v>
      </c>
    </row>
    <row r="990" spans="1:14" x14ac:dyDescent="0.25">
      <c r="A990" t="str">
        <f>Table3[[#This Row],[Company Name]] &amp; " - " &amp; Table3[[#This Row],[Store Name]] &amp; " - " &amp; Table3[[#This Row],[Store Branch / Address]]</f>
        <v>CHICKEN DELI - VMV - GENERIC</v>
      </c>
      <c r="B990" t="str">
        <f>Table3[[#This Row],[Client ID]] &amp; " - " &amp; Table3[[#This Row],[SO Number]]</f>
        <v>CHICKEN DELI - VMV - GENERIC - SO-127</v>
      </c>
      <c r="C990" t="s">
        <v>663</v>
      </c>
      <c r="D990" t="s">
        <v>20</v>
      </c>
      <c r="E990" t="s">
        <v>666</v>
      </c>
      <c r="F990" t="s">
        <v>15</v>
      </c>
      <c r="G990" t="s">
        <v>22</v>
      </c>
      <c r="H990" t="s">
        <v>583</v>
      </c>
      <c r="I990" t="s">
        <v>76</v>
      </c>
      <c r="J990">
        <v>1</v>
      </c>
      <c r="K990">
        <v>500</v>
      </c>
      <c r="L990">
        <v>500</v>
      </c>
      <c r="M990">
        <v>500</v>
      </c>
      <c r="N990" t="s">
        <v>19</v>
      </c>
    </row>
    <row r="991" spans="1:14" x14ac:dyDescent="0.25">
      <c r="A991" t="str">
        <f>Table3[[#This Row],[Company Name]] &amp; " - " &amp; Table3[[#This Row],[Store Name]] &amp; " - " &amp; Table3[[#This Row],[Store Branch / Address]]</f>
        <v>CHICKEN DELI - HIT BY THE ROAD - GENERIC</v>
      </c>
      <c r="B991" t="str">
        <f>Table3[[#This Row],[Client ID]] &amp; " - " &amp; Table3[[#This Row],[SO Number]]</f>
        <v>CHICKEN DELI - HIT BY THE ROAD - GENERIC - SO-128</v>
      </c>
      <c r="C991" t="s">
        <v>667</v>
      </c>
      <c r="D991" t="s">
        <v>20</v>
      </c>
      <c r="E991" t="s">
        <v>668</v>
      </c>
      <c r="F991" t="s">
        <v>15</v>
      </c>
      <c r="G991" t="s">
        <v>22</v>
      </c>
      <c r="H991" t="s">
        <v>583</v>
      </c>
      <c r="I991" t="s">
        <v>669</v>
      </c>
      <c r="J991">
        <v>1</v>
      </c>
      <c r="K991">
        <v>650</v>
      </c>
      <c r="L991">
        <v>1500</v>
      </c>
      <c r="M991">
        <v>1500</v>
      </c>
      <c r="N991" t="s">
        <v>19</v>
      </c>
    </row>
    <row r="992" spans="1:14" x14ac:dyDescent="0.25">
      <c r="A992" t="str">
        <f>Table3[[#This Row],[Company Name]] &amp; " - " &amp; Table3[[#This Row],[Store Name]] &amp; " - " &amp; Table3[[#This Row],[Store Branch / Address]]</f>
        <v>POTATO GIANT NO COR YET - POTATO GIANT - SM BALIWAG</v>
      </c>
      <c r="B992" t="str">
        <f>Table3[[#This Row],[Client ID]] &amp; " - " &amp; Table3[[#This Row],[SO Number]]</f>
        <v>POTATO GIANT NO COR YET - POTATO GIANT - SM BALIWAG - SO-109</v>
      </c>
      <c r="C992" t="s">
        <v>588</v>
      </c>
      <c r="D992" t="s">
        <v>591</v>
      </c>
      <c r="E992" t="s">
        <v>306</v>
      </c>
      <c r="F992" t="s">
        <v>592</v>
      </c>
      <c r="G992" t="s">
        <v>16</v>
      </c>
      <c r="H992" t="s">
        <v>593</v>
      </c>
      <c r="I992" t="s">
        <v>143</v>
      </c>
      <c r="J992">
        <v>1</v>
      </c>
      <c r="K992">
        <v>2975</v>
      </c>
      <c r="L992">
        <v>8500</v>
      </c>
      <c r="M992">
        <v>8500</v>
      </c>
      <c r="N992" t="s">
        <v>39</v>
      </c>
    </row>
    <row r="993" spans="1:14" x14ac:dyDescent="0.25">
      <c r="A993" t="str">
        <f>Table3[[#This Row],[Company Name]] &amp; " - " &amp; Table3[[#This Row],[Store Name]] &amp; " - " &amp; Table3[[#This Row],[Store Branch / Address]]</f>
        <v>POTATO GIANT NO COR YET - POTATO GIANT - SM BALIWAG</v>
      </c>
      <c r="B993" t="str">
        <f>Table3[[#This Row],[Client ID]] &amp; " - " &amp; Table3[[#This Row],[SO Number]]</f>
        <v>POTATO GIANT NO COR YET - POTATO GIANT - SM BALIWAG - SO-109</v>
      </c>
      <c r="C993" t="s">
        <v>588</v>
      </c>
      <c r="D993" t="s">
        <v>591</v>
      </c>
      <c r="E993" t="s">
        <v>306</v>
      </c>
      <c r="F993" t="s">
        <v>592</v>
      </c>
      <c r="G993" t="s">
        <v>16</v>
      </c>
      <c r="H993" t="s">
        <v>593</v>
      </c>
      <c r="I993" t="s">
        <v>48</v>
      </c>
      <c r="J993">
        <v>1</v>
      </c>
      <c r="K993">
        <v>1925</v>
      </c>
      <c r="L993">
        <v>5500</v>
      </c>
      <c r="M993">
        <v>5500</v>
      </c>
      <c r="N993" t="s">
        <v>39</v>
      </c>
    </row>
    <row r="994" spans="1:14" x14ac:dyDescent="0.25">
      <c r="A994" t="str">
        <f>Table3[[#This Row],[Company Name]] &amp; " - " &amp; Table3[[#This Row],[Store Name]] &amp; " - " &amp; Table3[[#This Row],[Store Branch / Address]]</f>
        <v>POTATO GIANT NO COR YET - POTATO GIANT - SM BALIWAG</v>
      </c>
      <c r="B994" t="str">
        <f>Table3[[#This Row],[Client ID]] &amp; " - " &amp; Table3[[#This Row],[SO Number]]</f>
        <v>POTATO GIANT NO COR YET - POTATO GIANT - SM BALIWAG - SO-109</v>
      </c>
      <c r="C994" t="s">
        <v>588</v>
      </c>
      <c r="D994" t="s">
        <v>591</v>
      </c>
      <c r="E994" t="s">
        <v>306</v>
      </c>
      <c r="F994" t="s">
        <v>592</v>
      </c>
      <c r="G994" t="s">
        <v>16</v>
      </c>
      <c r="H994" t="s">
        <v>593</v>
      </c>
      <c r="I994" t="s">
        <v>126</v>
      </c>
      <c r="J994">
        <v>1</v>
      </c>
      <c r="K994">
        <v>1925</v>
      </c>
      <c r="L994">
        <v>5500</v>
      </c>
      <c r="M994">
        <v>5500</v>
      </c>
      <c r="N994" t="s">
        <v>39</v>
      </c>
    </row>
    <row r="995" spans="1:14" x14ac:dyDescent="0.25">
      <c r="A995" t="str">
        <f>Table3[[#This Row],[Company Name]] &amp; " - " &amp; Table3[[#This Row],[Store Name]] &amp; " - " &amp; Table3[[#This Row],[Store Branch / Address]]</f>
        <v>POTATO GIANT NO COR YET - POTATO GIANT - SM BALIWAG</v>
      </c>
      <c r="B995" t="str">
        <f>Table3[[#This Row],[Client ID]] &amp; " - " &amp; Table3[[#This Row],[SO Number]]</f>
        <v>POTATO GIANT NO COR YET - POTATO GIANT - SM BALIWAG - SO-109</v>
      </c>
      <c r="C995" t="s">
        <v>588</v>
      </c>
      <c r="D995" t="s">
        <v>591</v>
      </c>
      <c r="E995" t="s">
        <v>306</v>
      </c>
      <c r="F995" t="s">
        <v>592</v>
      </c>
      <c r="G995" t="s">
        <v>16</v>
      </c>
      <c r="H995" t="s">
        <v>593</v>
      </c>
      <c r="I995" t="s">
        <v>26</v>
      </c>
      <c r="J995">
        <v>1</v>
      </c>
      <c r="K995">
        <v>500</v>
      </c>
      <c r="L995">
        <v>500</v>
      </c>
      <c r="M995">
        <v>500</v>
      </c>
      <c r="N995" t="s">
        <v>39</v>
      </c>
    </row>
    <row r="996" spans="1:14" x14ac:dyDescent="0.25">
      <c r="A996" t="str">
        <f>Table3[[#This Row],[Company Name]] &amp; " - " &amp; Table3[[#This Row],[Store Name]] &amp; " - " &amp; Table3[[#This Row],[Store Branch / Address]]</f>
        <v>POTATO GIANT NO COR YET - POTATO GIANT - SM BALIWAG</v>
      </c>
      <c r="B996" t="str">
        <f>Table3[[#This Row],[Client ID]] &amp; " - " &amp; Table3[[#This Row],[SO Number]]</f>
        <v>POTATO GIANT NO COR YET - POTATO GIANT - SM BALIWAG - SO-109</v>
      </c>
      <c r="C996" t="s">
        <v>588</v>
      </c>
      <c r="D996" t="s">
        <v>591</v>
      </c>
      <c r="E996" t="s">
        <v>306</v>
      </c>
      <c r="F996" t="s">
        <v>592</v>
      </c>
      <c r="G996" t="s">
        <v>16</v>
      </c>
      <c r="H996" t="s">
        <v>593</v>
      </c>
      <c r="I996" t="s">
        <v>38</v>
      </c>
      <c r="J996">
        <v>1</v>
      </c>
      <c r="K996">
        <v>8500</v>
      </c>
      <c r="L996">
        <v>12500</v>
      </c>
      <c r="M996">
        <v>12500</v>
      </c>
      <c r="N996" t="s">
        <v>39</v>
      </c>
    </row>
    <row r="997" spans="1:14" x14ac:dyDescent="0.25">
      <c r="A997" t="str">
        <f>Table3[[#This Row],[Company Name]] &amp; " - " &amp; Table3[[#This Row],[Store Name]] &amp; " - " &amp; Table3[[#This Row],[Store Branch / Address]]</f>
        <v>POTATO GIANT NO COR YET - POTATO GIANT - SM BALIWAG</v>
      </c>
      <c r="B997" t="str">
        <f>Table3[[#This Row],[Client ID]] &amp; " - " &amp; Table3[[#This Row],[SO Number]]</f>
        <v>POTATO GIANT NO COR YET - POTATO GIANT - SM BALIWAG - SO-109</v>
      </c>
      <c r="C997" t="s">
        <v>588</v>
      </c>
      <c r="D997" t="s">
        <v>591</v>
      </c>
      <c r="E997" t="s">
        <v>306</v>
      </c>
      <c r="F997" t="s">
        <v>592</v>
      </c>
      <c r="G997" t="s">
        <v>16</v>
      </c>
      <c r="H997" t="s">
        <v>593</v>
      </c>
      <c r="I997" t="s">
        <v>97</v>
      </c>
      <c r="J997">
        <v>1</v>
      </c>
      <c r="K997">
        <v>2200</v>
      </c>
      <c r="L997">
        <v>3000</v>
      </c>
      <c r="M997">
        <v>3000</v>
      </c>
      <c r="N997" t="s">
        <v>39</v>
      </c>
    </row>
    <row r="998" spans="1:14" x14ac:dyDescent="0.25">
      <c r="A998" t="str">
        <f>Table3[[#This Row],[Company Name]] &amp; " - " &amp; Table3[[#This Row],[Store Name]] &amp; " - " &amp; Table3[[#This Row],[Store Branch / Address]]</f>
        <v>POTATO GIANT NO COR YET - POTATO GIANT - SM BALIWAG</v>
      </c>
      <c r="B998" t="str">
        <f>Table3[[#This Row],[Client ID]] &amp; " - " &amp; Table3[[#This Row],[SO Number]]</f>
        <v>POTATO GIANT NO COR YET - POTATO GIANT - SM BALIWAG - SO-109</v>
      </c>
      <c r="C998" t="s">
        <v>588</v>
      </c>
      <c r="D998" t="s">
        <v>591</v>
      </c>
      <c r="E998" t="s">
        <v>306</v>
      </c>
      <c r="F998" t="s">
        <v>592</v>
      </c>
      <c r="G998" t="s">
        <v>16</v>
      </c>
      <c r="H998" t="s">
        <v>593</v>
      </c>
      <c r="I998" t="s">
        <v>284</v>
      </c>
      <c r="J998">
        <v>1</v>
      </c>
      <c r="K998">
        <v>11000</v>
      </c>
      <c r="L998">
        <v>16000</v>
      </c>
      <c r="M998">
        <v>16000</v>
      </c>
      <c r="N998" t="s">
        <v>39</v>
      </c>
    </row>
    <row r="999" spans="1:14" x14ac:dyDescent="0.25">
      <c r="A999" t="str">
        <f>Table3[[#This Row],[Company Name]] &amp; " - " &amp; Table3[[#This Row],[Store Name]] &amp; " - " &amp; Table3[[#This Row],[Store Branch / Address]]</f>
        <v>POTATO GIANT NO COR YET - POTATO GIANT - SM BALIWAG</v>
      </c>
      <c r="B999" t="str">
        <f>Table3[[#This Row],[Client ID]] &amp; " - " &amp; Table3[[#This Row],[SO Number]]</f>
        <v>POTATO GIANT NO COR YET - POTATO GIANT - SM BALIWAG - SO-109</v>
      </c>
      <c r="C999" t="s">
        <v>588</v>
      </c>
      <c r="D999" t="s">
        <v>591</v>
      </c>
      <c r="E999" t="s">
        <v>306</v>
      </c>
      <c r="F999" t="s">
        <v>592</v>
      </c>
      <c r="G999" t="s">
        <v>16</v>
      </c>
      <c r="H999" t="s">
        <v>593</v>
      </c>
      <c r="I999" t="s">
        <v>85</v>
      </c>
      <c r="J999">
        <v>1</v>
      </c>
      <c r="K999">
        <v>1350</v>
      </c>
      <c r="L999">
        <v>2500</v>
      </c>
      <c r="M999">
        <v>2500</v>
      </c>
      <c r="N999" t="s">
        <v>39</v>
      </c>
    </row>
    <row r="1000" spans="1:14" x14ac:dyDescent="0.25">
      <c r="A1000" t="str">
        <f>Table3[[#This Row],[Company Name]] &amp; " - " &amp; Table3[[#This Row],[Store Name]] &amp; " - " &amp; Table3[[#This Row],[Store Branch / Address]]</f>
        <v>POTATO GIANT NO COR YET - POTATO GIANT - SM BALIWAG</v>
      </c>
      <c r="B1000" t="str">
        <f>Table3[[#This Row],[Client ID]] &amp; " - " &amp; Table3[[#This Row],[SO Number]]</f>
        <v>POTATO GIANT NO COR YET - POTATO GIANT - SM BALIWAG - SO-109</v>
      </c>
      <c r="C1000" t="s">
        <v>588</v>
      </c>
      <c r="D1000" t="s">
        <v>591</v>
      </c>
      <c r="E1000" t="s">
        <v>306</v>
      </c>
      <c r="F1000" t="s">
        <v>592</v>
      </c>
      <c r="G1000" t="s">
        <v>16</v>
      </c>
      <c r="H1000" t="s">
        <v>593</v>
      </c>
      <c r="I1000" t="s">
        <v>209</v>
      </c>
      <c r="J1000">
        <v>1</v>
      </c>
      <c r="K1000">
        <v>23450</v>
      </c>
      <c r="L1000">
        <v>31300</v>
      </c>
      <c r="M1000">
        <v>31300</v>
      </c>
      <c r="N1000" t="s">
        <v>39</v>
      </c>
    </row>
    <row r="1001" spans="1:14" x14ac:dyDescent="0.25">
      <c r="A1001" t="str">
        <f>Table3[[#This Row],[Company Name]] &amp; " - " &amp; Table3[[#This Row],[Store Name]] &amp; " - " &amp; Table3[[#This Row],[Store Branch / Address]]</f>
        <v>POTATO GIANT NO COR YET - POTATO GIANT - SM BALIWAG</v>
      </c>
      <c r="B1001" t="str">
        <f>Table3[[#This Row],[Client ID]] &amp; " - " &amp; Table3[[#This Row],[SO Number]]</f>
        <v>POTATO GIANT NO COR YET - POTATO GIANT - SM BALIWAG - SO-109</v>
      </c>
      <c r="C1001" t="s">
        <v>588</v>
      </c>
      <c r="D1001" t="s">
        <v>591</v>
      </c>
      <c r="E1001" t="s">
        <v>306</v>
      </c>
      <c r="F1001" t="s">
        <v>592</v>
      </c>
      <c r="G1001" t="s">
        <v>16</v>
      </c>
      <c r="H1001" t="s">
        <v>593</v>
      </c>
      <c r="I1001" t="s">
        <v>151</v>
      </c>
      <c r="J1001">
        <v>1</v>
      </c>
      <c r="K1001">
        <v>2800</v>
      </c>
      <c r="L1001">
        <v>4000</v>
      </c>
      <c r="M1001">
        <v>4000</v>
      </c>
      <c r="N1001" t="s">
        <v>39</v>
      </c>
    </row>
    <row r="1002" spans="1:14" x14ac:dyDescent="0.25">
      <c r="A1002" t="str">
        <f>Table3[[#This Row],[Company Name]] &amp; " - " &amp; Table3[[#This Row],[Store Name]] &amp; " - " &amp; Table3[[#This Row],[Store Branch / Address]]</f>
        <v>POTATO GIANT NO COR YET - POTATO GIANT - SM BALIWAG</v>
      </c>
      <c r="B1002" t="str">
        <f>Table3[[#This Row],[Client ID]] &amp; " - " &amp; Table3[[#This Row],[SO Number]]</f>
        <v>POTATO GIANT NO COR YET - POTATO GIANT - SM BALIWAG - SO-109</v>
      </c>
      <c r="C1002" t="s">
        <v>588</v>
      </c>
      <c r="D1002" t="s">
        <v>591</v>
      </c>
      <c r="E1002" t="s">
        <v>306</v>
      </c>
      <c r="F1002" t="s">
        <v>592</v>
      </c>
      <c r="G1002" t="s">
        <v>16</v>
      </c>
      <c r="H1002" t="s">
        <v>593</v>
      </c>
      <c r="I1002" t="s">
        <v>210</v>
      </c>
      <c r="J1002">
        <v>1</v>
      </c>
      <c r="K1002">
        <v>500</v>
      </c>
      <c r="L1002">
        <v>700</v>
      </c>
      <c r="M1002">
        <v>700</v>
      </c>
      <c r="N1002" t="s">
        <v>39</v>
      </c>
    </row>
    <row r="1003" spans="1:14" x14ac:dyDescent="0.25">
      <c r="A1003" t="str">
        <f>Table3[[#This Row],[Company Name]] &amp; " - " &amp; Table3[[#This Row],[Store Name]] &amp; " - " &amp; Table3[[#This Row],[Store Branch / Address]]</f>
        <v>POTATO GIANT NO COR YET - POTATO GIANT - SM BALIWAG</v>
      </c>
      <c r="B1003" t="str">
        <f>Table3[[#This Row],[Client ID]] &amp; " - " &amp; Table3[[#This Row],[SO Number]]</f>
        <v>POTATO GIANT NO COR YET - POTATO GIANT - SM BALIWAG - SO-109</v>
      </c>
      <c r="C1003" t="s">
        <v>588</v>
      </c>
      <c r="D1003" t="s">
        <v>591</v>
      </c>
      <c r="E1003" t="s">
        <v>306</v>
      </c>
      <c r="F1003" t="s">
        <v>592</v>
      </c>
      <c r="G1003" t="s">
        <v>16</v>
      </c>
      <c r="H1003" t="s">
        <v>593</v>
      </c>
      <c r="I1003" t="s">
        <v>211</v>
      </c>
      <c r="J1003">
        <v>1</v>
      </c>
      <c r="K1003">
        <v>350</v>
      </c>
      <c r="L1003">
        <v>500</v>
      </c>
      <c r="M1003">
        <v>500</v>
      </c>
      <c r="N1003" t="s">
        <v>39</v>
      </c>
    </row>
    <row r="1004" spans="1:14" x14ac:dyDescent="0.25">
      <c r="A1004" t="str">
        <f>Table3[[#This Row],[Company Name]] &amp; " - " &amp; Table3[[#This Row],[Store Name]] &amp; " - " &amp; Table3[[#This Row],[Store Branch / Address]]</f>
        <v>ROMAN CULINARY GROUP INC - ROMAN RESTAURANT - GENERIC</v>
      </c>
      <c r="B1004" t="str">
        <f>Table3[[#This Row],[Client ID]] &amp; " - " &amp; Table3[[#This Row],[SO Number]]</f>
        <v>ROMAN CULINARY GROUP INC - ROMAN RESTAURANT - GENERIC - SO-129</v>
      </c>
      <c r="C1004" t="s">
        <v>670</v>
      </c>
      <c r="D1004" t="s">
        <v>673</v>
      </c>
      <c r="E1004" t="s">
        <v>674</v>
      </c>
      <c r="F1004" t="s">
        <v>15</v>
      </c>
      <c r="G1004" t="s">
        <v>22</v>
      </c>
      <c r="H1004" t="s">
        <v>593</v>
      </c>
      <c r="I1004" t="s">
        <v>675</v>
      </c>
      <c r="J1004">
        <v>1</v>
      </c>
      <c r="K1004">
        <v>3675</v>
      </c>
      <c r="L1004">
        <v>10500</v>
      </c>
      <c r="M1004">
        <v>10500</v>
      </c>
      <c r="N1004" t="s">
        <v>19</v>
      </c>
    </row>
    <row r="1005" spans="1:14" x14ac:dyDescent="0.25">
      <c r="A1005" t="str">
        <f>Table3[[#This Row],[Company Name]] &amp; " - " &amp; Table3[[#This Row],[Store Name]] &amp; " - " &amp; Table3[[#This Row],[Store Branch / Address]]</f>
        <v>ROMAN CULINARY GROUP INC - ROMAN RESTAURANT - GENERIC</v>
      </c>
      <c r="B1005" t="str">
        <f>Table3[[#This Row],[Client ID]] &amp; " - " &amp; Table3[[#This Row],[SO Number]]</f>
        <v>ROMAN CULINARY GROUP INC - ROMAN RESTAURANT - GENERIC - SO-129</v>
      </c>
      <c r="C1005" t="s">
        <v>670</v>
      </c>
      <c r="D1005" t="s">
        <v>673</v>
      </c>
      <c r="E1005" t="s">
        <v>674</v>
      </c>
      <c r="F1005" t="s">
        <v>15</v>
      </c>
      <c r="G1005" t="s">
        <v>22</v>
      </c>
      <c r="H1005" t="s">
        <v>593</v>
      </c>
      <c r="I1005" t="s">
        <v>170</v>
      </c>
      <c r="J1005">
        <v>1</v>
      </c>
      <c r="K1005">
        <v>12250</v>
      </c>
      <c r="L1005">
        <v>12250</v>
      </c>
      <c r="M1005">
        <v>12250</v>
      </c>
      <c r="N1005" t="s">
        <v>19</v>
      </c>
    </row>
    <row r="1006" spans="1:14" x14ac:dyDescent="0.25">
      <c r="A1006" t="str">
        <f>Table3[[#This Row],[Company Name]] &amp; " - " &amp; Table3[[#This Row],[Store Name]] &amp; " - " &amp; Table3[[#This Row],[Store Branch / Address]]</f>
        <v>ROMAN CULINARY GROUP INC - ROMAN RESTAURANT - GENERIC</v>
      </c>
      <c r="B1006" t="str">
        <f>Table3[[#This Row],[Client ID]] &amp; " - " &amp; Table3[[#This Row],[SO Number]]</f>
        <v>ROMAN CULINARY GROUP INC - ROMAN RESTAURANT - GENERIC - SO-129</v>
      </c>
      <c r="C1006" t="s">
        <v>670</v>
      </c>
      <c r="D1006" t="s">
        <v>673</v>
      </c>
      <c r="E1006" t="s">
        <v>674</v>
      </c>
      <c r="F1006" t="s">
        <v>15</v>
      </c>
      <c r="G1006" t="s">
        <v>22</v>
      </c>
      <c r="H1006" t="s">
        <v>593</v>
      </c>
      <c r="I1006" t="s">
        <v>24</v>
      </c>
      <c r="J1006">
        <v>1</v>
      </c>
      <c r="K1006">
        <v>12250</v>
      </c>
      <c r="L1006">
        <v>12250</v>
      </c>
      <c r="M1006">
        <v>12250</v>
      </c>
      <c r="N1006" t="s">
        <v>19</v>
      </c>
    </row>
    <row r="1007" spans="1:14" x14ac:dyDescent="0.25">
      <c r="A1007" t="str">
        <f>Table3[[#This Row],[Company Name]] &amp; " - " &amp; Table3[[#This Row],[Store Name]] &amp; " - " &amp; Table3[[#This Row],[Store Branch / Address]]</f>
        <v>ROMAN CULINARY GROUP INC - ROMAN RESTAURANT - GENERIC</v>
      </c>
      <c r="B1007" t="str">
        <f>Table3[[#This Row],[Client ID]] &amp; " - " &amp; Table3[[#This Row],[SO Number]]</f>
        <v>ROMAN CULINARY GROUP INC - ROMAN RESTAURANT - GENERIC - SO-129</v>
      </c>
      <c r="C1007" t="s">
        <v>670</v>
      </c>
      <c r="D1007" t="s">
        <v>673</v>
      </c>
      <c r="E1007" t="s">
        <v>674</v>
      </c>
      <c r="F1007" t="s">
        <v>15</v>
      </c>
      <c r="G1007" t="s">
        <v>22</v>
      </c>
      <c r="H1007" t="s">
        <v>593</v>
      </c>
      <c r="I1007" t="s">
        <v>26</v>
      </c>
      <c r="J1007">
        <v>1</v>
      </c>
      <c r="K1007">
        <v>500</v>
      </c>
      <c r="L1007">
        <v>500</v>
      </c>
      <c r="M1007">
        <v>500</v>
      </c>
      <c r="N1007" t="s">
        <v>19</v>
      </c>
    </row>
    <row r="1008" spans="1:14" x14ac:dyDescent="0.25">
      <c r="A1008" t="str">
        <f>Table3[[#This Row],[Company Name]] &amp; " - " &amp; Table3[[#This Row],[Store Name]] &amp; " - " &amp; Table3[[#This Row],[Store Branch / Address]]</f>
        <v>ROMAN CULINARY GROUP INC - ROMAN RESTAURANT - GENERIC</v>
      </c>
      <c r="B1008" t="str">
        <f>Table3[[#This Row],[Client ID]] &amp; " - " &amp; Table3[[#This Row],[SO Number]]</f>
        <v>ROMAN CULINARY GROUP INC - ROMAN RESTAURANT - GENERIC - SO-129</v>
      </c>
      <c r="C1008" t="s">
        <v>670</v>
      </c>
      <c r="D1008" t="s">
        <v>673</v>
      </c>
      <c r="E1008" t="s">
        <v>674</v>
      </c>
      <c r="F1008" t="s">
        <v>15</v>
      </c>
      <c r="G1008" t="s">
        <v>22</v>
      </c>
      <c r="H1008" t="s">
        <v>593</v>
      </c>
      <c r="I1008" t="s">
        <v>96</v>
      </c>
      <c r="J1008">
        <v>1</v>
      </c>
      <c r="K1008">
        <v>1350</v>
      </c>
      <c r="L1008">
        <v>2000</v>
      </c>
      <c r="M1008">
        <v>2000</v>
      </c>
      <c r="N1008" t="s">
        <v>19</v>
      </c>
    </row>
    <row r="1009" spans="1:14" x14ac:dyDescent="0.25">
      <c r="A1009" t="str">
        <f>Table3[[#This Row],[Company Name]] &amp; " - " &amp; Table3[[#This Row],[Store Name]] &amp; " - " &amp; Table3[[#This Row],[Store Branch / Address]]</f>
        <v>ROMAN CULINARY GROUP INC - ROMAN RESTAURANT - GENERIC</v>
      </c>
      <c r="B1009" t="str">
        <f>Table3[[#This Row],[Client ID]] &amp; " - " &amp; Table3[[#This Row],[SO Number]]</f>
        <v>ROMAN CULINARY GROUP INC - ROMAN RESTAURANT - GENERIC - SO-129</v>
      </c>
      <c r="C1009" t="s">
        <v>670</v>
      </c>
      <c r="D1009" t="s">
        <v>673</v>
      </c>
      <c r="E1009" t="s">
        <v>674</v>
      </c>
      <c r="F1009" t="s">
        <v>15</v>
      </c>
      <c r="G1009" t="s">
        <v>22</v>
      </c>
      <c r="H1009" t="s">
        <v>593</v>
      </c>
      <c r="I1009" t="s">
        <v>676</v>
      </c>
      <c r="J1009">
        <v>1</v>
      </c>
      <c r="K1009">
        <v>24330</v>
      </c>
      <c r="L1009">
        <v>34800</v>
      </c>
      <c r="M1009">
        <v>34800</v>
      </c>
      <c r="N1009" t="s">
        <v>19</v>
      </c>
    </row>
    <row r="1010" spans="1:14" x14ac:dyDescent="0.25">
      <c r="A1010" t="str">
        <f>Table3[[#This Row],[Company Name]] &amp; " - " &amp; Table3[[#This Row],[Store Name]] &amp; " - " &amp; Table3[[#This Row],[Store Branch / Address]]</f>
        <v>ROMAN CULINARY GROUP INC - ROMAN RESTAURANT - GENERIC</v>
      </c>
      <c r="B1010" t="str">
        <f>Table3[[#This Row],[Client ID]] &amp; " - " &amp; Table3[[#This Row],[SO Number]]</f>
        <v>ROMAN CULINARY GROUP INC - ROMAN RESTAURANT - GENERIC - SO-129</v>
      </c>
      <c r="C1010" t="s">
        <v>670</v>
      </c>
      <c r="D1010" t="s">
        <v>673</v>
      </c>
      <c r="E1010" t="s">
        <v>674</v>
      </c>
      <c r="F1010" t="s">
        <v>15</v>
      </c>
      <c r="G1010" t="s">
        <v>22</v>
      </c>
      <c r="H1010" t="s">
        <v>593</v>
      </c>
      <c r="I1010" t="s">
        <v>99</v>
      </c>
      <c r="J1010">
        <v>1</v>
      </c>
      <c r="K1010">
        <v>2800</v>
      </c>
      <c r="L1010">
        <v>4000</v>
      </c>
      <c r="M1010">
        <v>4000</v>
      </c>
      <c r="N1010" t="s">
        <v>19</v>
      </c>
    </row>
    <row r="1011" spans="1:14" x14ac:dyDescent="0.25">
      <c r="A1011" t="str">
        <f>Table3[[#This Row],[Company Name]] &amp; " - " &amp; Table3[[#This Row],[Store Name]] &amp; " - " &amp; Table3[[#This Row],[Store Branch / Address]]</f>
        <v>ROMAN CULINARY GROUP INC - ROMAN RESTAURANT - GENERIC</v>
      </c>
      <c r="B1011" t="str">
        <f>Table3[[#This Row],[Client ID]] &amp; " - " &amp; Table3[[#This Row],[SO Number]]</f>
        <v>ROMAN CULINARY GROUP INC - ROMAN RESTAURANT - GENERIC - SO-129</v>
      </c>
      <c r="C1011" t="s">
        <v>670</v>
      </c>
      <c r="D1011" t="s">
        <v>673</v>
      </c>
      <c r="E1011" t="s">
        <v>674</v>
      </c>
      <c r="F1011" t="s">
        <v>15</v>
      </c>
      <c r="G1011" t="s">
        <v>22</v>
      </c>
      <c r="H1011" t="s">
        <v>593</v>
      </c>
      <c r="I1011" t="s">
        <v>76</v>
      </c>
      <c r="J1011">
        <v>1</v>
      </c>
      <c r="K1011">
        <v>500</v>
      </c>
      <c r="L1011">
        <v>500</v>
      </c>
      <c r="M1011">
        <v>500</v>
      </c>
      <c r="N1011" t="s">
        <v>19</v>
      </c>
    </row>
    <row r="1012" spans="1:14" x14ac:dyDescent="0.25">
      <c r="A1012" t="str">
        <f>Table3[[#This Row],[Company Name]] &amp; " - " &amp; Table3[[#This Row],[Store Name]] &amp; " - " &amp; Table3[[#This Row],[Store Branch / Address]]</f>
        <v>M W TOWNSTORE - M &amp; W - GENERIC</v>
      </c>
      <c r="B1012" t="str">
        <f>Table3[[#This Row],[Client ID]] &amp; " - " &amp; Table3[[#This Row],[SO Number]]</f>
        <v>M W TOWNSTORE - M &amp; W - GENERIC - SO-130</v>
      </c>
      <c r="C1012" t="s">
        <v>677</v>
      </c>
      <c r="D1012" t="s">
        <v>191</v>
      </c>
      <c r="E1012" t="s">
        <v>192</v>
      </c>
      <c r="F1012" t="s">
        <v>15</v>
      </c>
      <c r="G1012" t="s">
        <v>22</v>
      </c>
      <c r="H1012" t="s">
        <v>593</v>
      </c>
      <c r="I1012" t="s">
        <v>392</v>
      </c>
      <c r="J1012">
        <v>1</v>
      </c>
      <c r="K1012">
        <v>3360</v>
      </c>
      <c r="L1012">
        <v>5800</v>
      </c>
      <c r="M1012">
        <v>5800</v>
      </c>
      <c r="N1012" t="s">
        <v>19</v>
      </c>
    </row>
    <row r="1013" spans="1:14" x14ac:dyDescent="0.25">
      <c r="A1013" t="str">
        <f>Table3[[#This Row],[Company Name]] &amp; " - " &amp; Table3[[#This Row],[Store Name]] &amp; " - " &amp; Table3[[#This Row],[Store Branch / Address]]</f>
        <v>PHARMASAFE INC - MUSTELA - SM MEGAMALL</v>
      </c>
      <c r="B1013" t="str">
        <f>Table3[[#This Row],[Client ID]] &amp; " - " &amp; Table3[[#This Row],[SO Number]]</f>
        <v>PHARMASAFE INC - MUSTELA - SM MEGAMALL - SO-043</v>
      </c>
      <c r="C1013" t="s">
        <v>304</v>
      </c>
      <c r="D1013" t="s">
        <v>1099</v>
      </c>
      <c r="E1013" t="s">
        <v>1100</v>
      </c>
      <c r="F1013" t="s">
        <v>420</v>
      </c>
      <c r="G1013" t="s">
        <v>1043</v>
      </c>
      <c r="H1013" t="s">
        <v>1101</v>
      </c>
      <c r="I1013" t="s">
        <v>1102</v>
      </c>
      <c r="J1013">
        <v>1</v>
      </c>
      <c r="K1013">
        <v>6300</v>
      </c>
      <c r="L1013">
        <v>18000</v>
      </c>
      <c r="M1013">
        <v>18000</v>
      </c>
      <c r="N1013" t="s">
        <v>1010</v>
      </c>
    </row>
    <row r="1014" spans="1:14" x14ac:dyDescent="0.25">
      <c r="A1014" t="str">
        <f>Table3[[#This Row],[Company Name]] &amp; " - " &amp; Table3[[#This Row],[Store Name]] &amp; " - " &amp; Table3[[#This Row],[Store Branch / Address]]</f>
        <v>PHARMASAFE INC - MUSTELA - SM MEGAMALL</v>
      </c>
      <c r="B1014" t="str">
        <f>Table3[[#This Row],[Client ID]] &amp; " - " &amp; Table3[[#This Row],[SO Number]]</f>
        <v>PHARMASAFE INC - MUSTELA - SM MEGAMALL - SO-043</v>
      </c>
      <c r="C1014" t="s">
        <v>304</v>
      </c>
      <c r="D1014" t="s">
        <v>1099</v>
      </c>
      <c r="E1014" t="s">
        <v>1100</v>
      </c>
      <c r="F1014" t="s">
        <v>420</v>
      </c>
      <c r="G1014" t="s">
        <v>1043</v>
      </c>
      <c r="H1014" t="s">
        <v>1101</v>
      </c>
      <c r="I1014" t="s">
        <v>26</v>
      </c>
      <c r="J1014">
        <v>1</v>
      </c>
      <c r="K1014">
        <v>1500</v>
      </c>
      <c r="L1014">
        <v>1500</v>
      </c>
      <c r="M1014">
        <v>1500</v>
      </c>
      <c r="N1014" t="s">
        <v>1010</v>
      </c>
    </row>
    <row r="1015" spans="1:14" x14ac:dyDescent="0.25">
      <c r="A1015" t="str">
        <f>Table3[[#This Row],[Company Name]] &amp; " - " &amp; Table3[[#This Row],[Store Name]] &amp; " - " &amp; Table3[[#This Row],[Store Branch / Address]]</f>
        <v>PHARMASAFE INC - MUSTELA - SM MEGAMALL</v>
      </c>
      <c r="B1015" t="str">
        <f>Table3[[#This Row],[Client ID]] &amp; " - " &amp; Table3[[#This Row],[SO Number]]</f>
        <v>PHARMASAFE INC - MUSTELA - SM MEGAMALL - SO-043</v>
      </c>
      <c r="C1015" t="s">
        <v>304</v>
      </c>
      <c r="D1015" t="s">
        <v>1099</v>
      </c>
      <c r="E1015" t="s">
        <v>1100</v>
      </c>
      <c r="F1015" t="s">
        <v>420</v>
      </c>
      <c r="G1015" t="s">
        <v>1043</v>
      </c>
      <c r="H1015" t="s">
        <v>1101</v>
      </c>
      <c r="I1015" t="s">
        <v>1103</v>
      </c>
      <c r="J1015">
        <v>1</v>
      </c>
      <c r="K1015">
        <v>23450</v>
      </c>
      <c r="L1015">
        <v>31800</v>
      </c>
      <c r="M1015">
        <v>31800</v>
      </c>
      <c r="N1015" t="s">
        <v>1010</v>
      </c>
    </row>
    <row r="1016" spans="1:14" x14ac:dyDescent="0.25">
      <c r="A1016" t="str">
        <f>Table3[[#This Row],[Company Name]] &amp; " - " &amp; Table3[[#This Row],[Store Name]] &amp; " - " &amp; Table3[[#This Row],[Store Branch / Address]]</f>
        <v>PHARMASAFE INC - MUSTELA - SM MEGAMALL</v>
      </c>
      <c r="B1016" t="str">
        <f>Table3[[#This Row],[Client ID]] &amp; " - " &amp; Table3[[#This Row],[SO Number]]</f>
        <v>PHARMASAFE INC - MUSTELA - SM MEGAMALL - SO-043</v>
      </c>
      <c r="C1016" t="s">
        <v>304</v>
      </c>
      <c r="D1016" t="s">
        <v>1099</v>
      </c>
      <c r="E1016" t="s">
        <v>1100</v>
      </c>
      <c r="F1016" t="s">
        <v>420</v>
      </c>
      <c r="G1016" t="s">
        <v>1043</v>
      </c>
      <c r="H1016" t="s">
        <v>1101</v>
      </c>
      <c r="I1016" t="s">
        <v>151</v>
      </c>
      <c r="J1016">
        <v>1</v>
      </c>
      <c r="K1016">
        <v>2800</v>
      </c>
      <c r="L1016">
        <v>4000</v>
      </c>
      <c r="M1016">
        <v>4000</v>
      </c>
      <c r="N1016" t="s">
        <v>1010</v>
      </c>
    </row>
    <row r="1017" spans="1:14" x14ac:dyDescent="0.25">
      <c r="A1017" t="str">
        <f>Table3[[#This Row],[Company Name]] &amp; " - " &amp; Table3[[#This Row],[Store Name]] &amp; " - " &amp; Table3[[#This Row],[Store Branch / Address]]</f>
        <v>PHARMASAFE INC - MUSTELA - SM MEGAMALL</v>
      </c>
      <c r="B1017" t="str">
        <f>Table3[[#This Row],[Client ID]] &amp; " - " &amp; Table3[[#This Row],[SO Number]]</f>
        <v>PHARMASAFE INC - MUSTELA - SM MEGAMALL - SO-043</v>
      </c>
      <c r="C1017" t="s">
        <v>304</v>
      </c>
      <c r="D1017" t="s">
        <v>1099</v>
      </c>
      <c r="E1017" t="s">
        <v>1100</v>
      </c>
      <c r="F1017" t="s">
        <v>420</v>
      </c>
      <c r="G1017" t="s">
        <v>1043</v>
      </c>
      <c r="H1017" t="s">
        <v>1101</v>
      </c>
      <c r="I1017" t="s">
        <v>189</v>
      </c>
      <c r="J1017">
        <v>1</v>
      </c>
      <c r="K1017">
        <v>500</v>
      </c>
      <c r="L1017">
        <v>700</v>
      </c>
      <c r="M1017">
        <v>700</v>
      </c>
      <c r="N1017" t="s">
        <v>1010</v>
      </c>
    </row>
    <row r="1018" spans="1:14" x14ac:dyDescent="0.25">
      <c r="A1018" t="str">
        <f>Table3[[#This Row],[Company Name]] &amp; " - " &amp; Table3[[#This Row],[Store Name]] &amp; " - " &amp; Table3[[#This Row],[Store Branch / Address]]</f>
        <v>PHARMASAFE INC - MUSTELA - SM MEGAMALL</v>
      </c>
      <c r="B1018" t="str">
        <f>Table3[[#This Row],[Client ID]] &amp; " - " &amp; Table3[[#This Row],[SO Number]]</f>
        <v>PHARMASAFE INC - MUSTELA - SM MEGAMALL - SO-043</v>
      </c>
      <c r="C1018" t="s">
        <v>304</v>
      </c>
      <c r="D1018" t="s">
        <v>1099</v>
      </c>
      <c r="E1018" t="s">
        <v>1100</v>
      </c>
      <c r="F1018" t="s">
        <v>420</v>
      </c>
      <c r="G1018" t="s">
        <v>1043</v>
      </c>
      <c r="H1018" t="s">
        <v>1101</v>
      </c>
      <c r="I1018" t="s">
        <v>1033</v>
      </c>
      <c r="J1018">
        <v>1</v>
      </c>
      <c r="K1018">
        <v>350</v>
      </c>
      <c r="L1018">
        <v>500</v>
      </c>
      <c r="M1018">
        <v>500</v>
      </c>
      <c r="N1018" t="s">
        <v>1010</v>
      </c>
    </row>
    <row r="1019" spans="1:14" x14ac:dyDescent="0.25">
      <c r="A1019" t="str">
        <f>Table3[[#This Row],[Company Name]] &amp; " - " &amp; Table3[[#This Row],[Store Name]] &amp; " - " &amp; Table3[[#This Row],[Store Branch / Address]]</f>
        <v>PHARMASAFE INC - MUSTELA - SM MEGAMALL</v>
      </c>
      <c r="B1019" t="str">
        <f>Table3[[#This Row],[Client ID]] &amp; " - " &amp; Table3[[#This Row],[SO Number]]</f>
        <v>PHARMASAFE INC - MUSTELA - SM MEGAMALL - SO-043</v>
      </c>
      <c r="C1019" t="s">
        <v>304</v>
      </c>
      <c r="D1019" t="s">
        <v>1099</v>
      </c>
      <c r="E1019" t="s">
        <v>1100</v>
      </c>
      <c r="F1019" t="s">
        <v>420</v>
      </c>
      <c r="G1019" t="s">
        <v>1043</v>
      </c>
      <c r="H1019" t="s">
        <v>1101</v>
      </c>
      <c r="I1019" t="s">
        <v>1014</v>
      </c>
      <c r="J1019">
        <v>1</v>
      </c>
      <c r="K1019">
        <v>970</v>
      </c>
      <c r="L1019">
        <v>1500</v>
      </c>
      <c r="M1019">
        <v>1500</v>
      </c>
      <c r="N1019" t="s">
        <v>1010</v>
      </c>
    </row>
    <row r="1020" spans="1:14" x14ac:dyDescent="0.25">
      <c r="A1020" t="str">
        <f>Table3[[#This Row],[Company Name]] &amp; " - " &amp; Table3[[#This Row],[Store Name]] &amp; " - " &amp; Table3[[#This Row],[Store Branch / Address]]</f>
        <v>PHARMASAFE INC - MUSTELA - SM MEGAMALL</v>
      </c>
      <c r="B1020" t="str">
        <f>Table3[[#This Row],[Client ID]] &amp; " - " &amp; Table3[[#This Row],[SO Number]]</f>
        <v>PHARMASAFE INC - MUSTELA - SM MEGAMALL - SO-043</v>
      </c>
      <c r="C1020" t="s">
        <v>304</v>
      </c>
      <c r="D1020" t="s">
        <v>1099</v>
      </c>
      <c r="E1020" t="s">
        <v>1100</v>
      </c>
      <c r="F1020" t="s">
        <v>420</v>
      </c>
      <c r="G1020" t="s">
        <v>1043</v>
      </c>
      <c r="H1020" t="s">
        <v>1101</v>
      </c>
      <c r="I1020" t="s">
        <v>63</v>
      </c>
      <c r="J1020">
        <v>1</v>
      </c>
      <c r="K1020">
        <v>500</v>
      </c>
      <c r="L1020">
        <v>500</v>
      </c>
      <c r="M1020">
        <v>500</v>
      </c>
      <c r="N1020" t="s">
        <v>1010</v>
      </c>
    </row>
    <row r="1021" spans="1:14" x14ac:dyDescent="0.25">
      <c r="A1021" t="str">
        <f>Table3[[#This Row],[Company Name]] &amp; " - " &amp; Table3[[#This Row],[Store Name]] &amp; " - " &amp; Table3[[#This Row],[Store Branch / Address]]</f>
        <v>PHARMASAFE INC - MUSTELA - SM MOA</v>
      </c>
      <c r="B1021" t="str">
        <f>Table3[[#This Row],[Client ID]] &amp; " - " &amp; Table3[[#This Row],[SO Number]]</f>
        <v>PHARMASAFE INC - MUSTELA - SM MOA - SO-044</v>
      </c>
      <c r="C1021" t="s">
        <v>309</v>
      </c>
      <c r="D1021" t="s">
        <v>1099</v>
      </c>
      <c r="E1021" t="s">
        <v>1100</v>
      </c>
      <c r="F1021" t="s">
        <v>201</v>
      </c>
      <c r="G1021" t="s">
        <v>1043</v>
      </c>
      <c r="H1021" t="s">
        <v>1101</v>
      </c>
      <c r="I1021" t="s">
        <v>1102</v>
      </c>
      <c r="J1021">
        <v>1</v>
      </c>
      <c r="K1021">
        <v>6300</v>
      </c>
      <c r="L1021">
        <v>18000</v>
      </c>
      <c r="M1021">
        <v>18000</v>
      </c>
      <c r="N1021" t="s">
        <v>1010</v>
      </c>
    </row>
    <row r="1022" spans="1:14" x14ac:dyDescent="0.25">
      <c r="A1022" t="str">
        <f>Table3[[#This Row],[Company Name]] &amp; " - " &amp; Table3[[#This Row],[Store Name]] &amp; " - " &amp; Table3[[#This Row],[Store Branch / Address]]</f>
        <v>PHARMASAFE INC - MUSTELA - SM MOA</v>
      </c>
      <c r="B1022" t="str">
        <f>Table3[[#This Row],[Client ID]] &amp; " - " &amp; Table3[[#This Row],[SO Number]]</f>
        <v>PHARMASAFE INC - MUSTELA - SM MOA - SO-044</v>
      </c>
      <c r="C1022" t="s">
        <v>309</v>
      </c>
      <c r="D1022" t="s">
        <v>1099</v>
      </c>
      <c r="E1022" t="s">
        <v>1100</v>
      </c>
      <c r="F1022" t="s">
        <v>201</v>
      </c>
      <c r="G1022" t="s">
        <v>1043</v>
      </c>
      <c r="H1022" t="s">
        <v>1101</v>
      </c>
      <c r="I1022" t="s">
        <v>26</v>
      </c>
      <c r="J1022">
        <v>1</v>
      </c>
      <c r="K1022">
        <v>1500</v>
      </c>
      <c r="L1022">
        <v>1500</v>
      </c>
      <c r="M1022">
        <v>1500</v>
      </c>
      <c r="N1022" t="s">
        <v>1010</v>
      </c>
    </row>
    <row r="1023" spans="1:14" x14ac:dyDescent="0.25">
      <c r="A1023" t="str">
        <f>Table3[[#This Row],[Company Name]] &amp; " - " &amp; Table3[[#This Row],[Store Name]] &amp; " - " &amp; Table3[[#This Row],[Store Branch / Address]]</f>
        <v>PHARMASAFE INC - MUSTELA - SM MOA</v>
      </c>
      <c r="B1023" t="str">
        <f>Table3[[#This Row],[Client ID]] &amp; " - " &amp; Table3[[#This Row],[SO Number]]</f>
        <v>PHARMASAFE INC - MUSTELA - SM MOA - SO-044</v>
      </c>
      <c r="C1023" t="s">
        <v>309</v>
      </c>
      <c r="D1023" t="s">
        <v>1099</v>
      </c>
      <c r="E1023" t="s">
        <v>1100</v>
      </c>
      <c r="F1023" t="s">
        <v>201</v>
      </c>
      <c r="G1023" t="s">
        <v>1043</v>
      </c>
      <c r="H1023" t="s">
        <v>1101</v>
      </c>
      <c r="I1023" t="s">
        <v>1103</v>
      </c>
      <c r="J1023">
        <v>1</v>
      </c>
      <c r="K1023">
        <v>23450</v>
      </c>
      <c r="L1023">
        <v>31800</v>
      </c>
      <c r="M1023">
        <v>31800</v>
      </c>
      <c r="N1023" t="s">
        <v>1010</v>
      </c>
    </row>
    <row r="1024" spans="1:14" x14ac:dyDescent="0.25">
      <c r="A1024" t="str">
        <f>Table3[[#This Row],[Company Name]] &amp; " - " &amp; Table3[[#This Row],[Store Name]] &amp; " - " &amp; Table3[[#This Row],[Store Branch / Address]]</f>
        <v>PHARMASAFE INC - MUSTELA - SM MOA</v>
      </c>
      <c r="B1024" t="str">
        <f>Table3[[#This Row],[Client ID]] &amp; " - " &amp; Table3[[#This Row],[SO Number]]</f>
        <v>PHARMASAFE INC - MUSTELA - SM MOA - SO-044</v>
      </c>
      <c r="C1024" t="s">
        <v>309</v>
      </c>
      <c r="D1024" t="s">
        <v>1099</v>
      </c>
      <c r="E1024" t="s">
        <v>1100</v>
      </c>
      <c r="F1024" t="s">
        <v>201</v>
      </c>
      <c r="G1024" t="s">
        <v>1043</v>
      </c>
      <c r="H1024" t="s">
        <v>1101</v>
      </c>
      <c r="I1024" t="s">
        <v>151</v>
      </c>
      <c r="J1024">
        <v>1</v>
      </c>
      <c r="K1024">
        <v>2800</v>
      </c>
      <c r="L1024">
        <v>4000</v>
      </c>
      <c r="M1024">
        <v>4000</v>
      </c>
      <c r="N1024" t="s">
        <v>1010</v>
      </c>
    </row>
    <row r="1025" spans="1:14" x14ac:dyDescent="0.25">
      <c r="A1025" t="str">
        <f>Table3[[#This Row],[Company Name]] &amp; " - " &amp; Table3[[#This Row],[Store Name]] &amp; " - " &amp; Table3[[#This Row],[Store Branch / Address]]</f>
        <v>PHARMASAFE INC - MUSTELA - SM MOA</v>
      </c>
      <c r="B1025" t="str">
        <f>Table3[[#This Row],[Client ID]] &amp; " - " &amp; Table3[[#This Row],[SO Number]]</f>
        <v>PHARMASAFE INC - MUSTELA - SM MOA - SO-044</v>
      </c>
      <c r="C1025" t="s">
        <v>309</v>
      </c>
      <c r="D1025" t="s">
        <v>1099</v>
      </c>
      <c r="E1025" t="s">
        <v>1100</v>
      </c>
      <c r="F1025" t="s">
        <v>201</v>
      </c>
      <c r="G1025" t="s">
        <v>1043</v>
      </c>
      <c r="H1025" t="s">
        <v>1101</v>
      </c>
      <c r="I1025" t="s">
        <v>189</v>
      </c>
      <c r="J1025">
        <v>1</v>
      </c>
      <c r="K1025">
        <v>500</v>
      </c>
      <c r="L1025">
        <v>700</v>
      </c>
      <c r="M1025">
        <v>700</v>
      </c>
      <c r="N1025" t="s">
        <v>1010</v>
      </c>
    </row>
    <row r="1026" spans="1:14" x14ac:dyDescent="0.25">
      <c r="A1026" t="str">
        <f>Table3[[#This Row],[Company Name]] &amp; " - " &amp; Table3[[#This Row],[Store Name]] &amp; " - " &amp; Table3[[#This Row],[Store Branch / Address]]</f>
        <v>PHARMASAFE INC - MUSTELA - SM MOA</v>
      </c>
      <c r="B1026" t="str">
        <f>Table3[[#This Row],[Client ID]] &amp; " - " &amp; Table3[[#This Row],[SO Number]]</f>
        <v>PHARMASAFE INC - MUSTELA - SM MOA - SO-044</v>
      </c>
      <c r="C1026" t="s">
        <v>309</v>
      </c>
      <c r="D1026" t="s">
        <v>1099</v>
      </c>
      <c r="E1026" t="s">
        <v>1100</v>
      </c>
      <c r="F1026" t="s">
        <v>201</v>
      </c>
      <c r="G1026" t="s">
        <v>1043</v>
      </c>
      <c r="H1026" t="s">
        <v>1101</v>
      </c>
      <c r="I1026" t="s">
        <v>1033</v>
      </c>
      <c r="J1026">
        <v>1</v>
      </c>
      <c r="K1026">
        <v>350</v>
      </c>
      <c r="L1026">
        <v>500</v>
      </c>
      <c r="M1026">
        <v>500</v>
      </c>
      <c r="N1026" t="s">
        <v>1010</v>
      </c>
    </row>
    <row r="1027" spans="1:14" x14ac:dyDescent="0.25">
      <c r="A1027" t="str">
        <f>Table3[[#This Row],[Company Name]] &amp; " - " &amp; Table3[[#This Row],[Store Name]] &amp; " - " &amp; Table3[[#This Row],[Store Branch / Address]]</f>
        <v>PHARMASAFE INC - MUSTELA - SM MOA</v>
      </c>
      <c r="B1027" t="str">
        <f>Table3[[#This Row],[Client ID]] &amp; " - " &amp; Table3[[#This Row],[SO Number]]</f>
        <v>PHARMASAFE INC - MUSTELA - SM MOA - SO-044</v>
      </c>
      <c r="C1027" t="s">
        <v>309</v>
      </c>
      <c r="D1027" t="s">
        <v>1099</v>
      </c>
      <c r="E1027" t="s">
        <v>1100</v>
      </c>
      <c r="F1027" t="s">
        <v>201</v>
      </c>
      <c r="G1027" t="s">
        <v>1043</v>
      </c>
      <c r="H1027" t="s">
        <v>1101</v>
      </c>
      <c r="I1027" t="s">
        <v>1014</v>
      </c>
      <c r="J1027">
        <v>1</v>
      </c>
      <c r="K1027">
        <v>970</v>
      </c>
      <c r="L1027">
        <v>1500</v>
      </c>
      <c r="M1027">
        <v>1500</v>
      </c>
      <c r="N1027" t="s">
        <v>1010</v>
      </c>
    </row>
    <row r="1028" spans="1:14" x14ac:dyDescent="0.25">
      <c r="A1028" t="str">
        <f>Table3[[#This Row],[Company Name]] &amp; " - " &amp; Table3[[#This Row],[Store Name]] &amp; " - " &amp; Table3[[#This Row],[Store Branch / Address]]</f>
        <v>PHARMASAFE INC - MUSTELA - SM MOA</v>
      </c>
      <c r="B1028" t="str">
        <f>Table3[[#This Row],[Client ID]] &amp; " - " &amp; Table3[[#This Row],[SO Number]]</f>
        <v>PHARMASAFE INC - MUSTELA - SM MOA - SO-044</v>
      </c>
      <c r="C1028" t="s">
        <v>309</v>
      </c>
      <c r="D1028" t="s">
        <v>1099</v>
      </c>
      <c r="E1028" t="s">
        <v>1100</v>
      </c>
      <c r="F1028" t="s">
        <v>201</v>
      </c>
      <c r="G1028" t="s">
        <v>1043</v>
      </c>
      <c r="H1028" t="s">
        <v>1101</v>
      </c>
      <c r="I1028" t="s">
        <v>63</v>
      </c>
      <c r="J1028">
        <v>1</v>
      </c>
      <c r="K1028">
        <v>500</v>
      </c>
      <c r="L1028">
        <v>500</v>
      </c>
      <c r="M1028">
        <v>500</v>
      </c>
      <c r="N1028" t="s">
        <v>1010</v>
      </c>
    </row>
    <row r="1029" spans="1:14" x14ac:dyDescent="0.25">
      <c r="A1029" t="str">
        <f>Table3[[#This Row],[Company Name]] &amp; " - " &amp; Table3[[#This Row],[Store Name]] &amp; " - " &amp; Table3[[#This Row],[Store Branch / Address]]</f>
        <v>PHARMASAFE INC - MUSTELA - AYALA CEBU</v>
      </c>
      <c r="B1029" t="str">
        <f>Table3[[#This Row],[Client ID]] &amp; " - " &amp; Table3[[#This Row],[SO Number]]</f>
        <v>PHARMASAFE INC - MUSTELA - AYALA CEBU - SO-045</v>
      </c>
      <c r="C1029" t="s">
        <v>320</v>
      </c>
      <c r="D1029" t="s">
        <v>1099</v>
      </c>
      <c r="E1029" t="s">
        <v>1100</v>
      </c>
      <c r="F1029" t="s">
        <v>1104</v>
      </c>
      <c r="G1029" t="s">
        <v>1043</v>
      </c>
      <c r="H1029" t="s">
        <v>1101</v>
      </c>
      <c r="I1029" t="s">
        <v>1009</v>
      </c>
      <c r="J1029">
        <v>1</v>
      </c>
      <c r="K1029">
        <v>3675</v>
      </c>
      <c r="L1029">
        <v>10500</v>
      </c>
      <c r="M1029">
        <v>10500</v>
      </c>
      <c r="N1029" t="s">
        <v>1010</v>
      </c>
    </row>
    <row r="1030" spans="1:14" x14ac:dyDescent="0.25">
      <c r="A1030" t="str">
        <f>Table3[[#This Row],[Company Name]] &amp; " - " &amp; Table3[[#This Row],[Store Name]] &amp; " - " &amp; Table3[[#This Row],[Store Branch / Address]]</f>
        <v>PHARMASAFE INC - MUSTELA - AYALA CEBU</v>
      </c>
      <c r="B1030" t="str">
        <f>Table3[[#This Row],[Client ID]] &amp; " - " &amp; Table3[[#This Row],[SO Number]]</f>
        <v>PHARMASAFE INC - MUSTELA - AYALA CEBU - SO-045</v>
      </c>
      <c r="C1030" t="s">
        <v>320</v>
      </c>
      <c r="D1030" t="s">
        <v>1099</v>
      </c>
      <c r="E1030" t="s">
        <v>1100</v>
      </c>
      <c r="F1030" t="s">
        <v>1104</v>
      </c>
      <c r="G1030" t="s">
        <v>1043</v>
      </c>
      <c r="H1030" t="s">
        <v>1101</v>
      </c>
      <c r="I1030" t="s">
        <v>1011</v>
      </c>
      <c r="J1030">
        <v>1</v>
      </c>
      <c r="K1030">
        <v>4200</v>
      </c>
      <c r="L1030">
        <v>12000</v>
      </c>
      <c r="M1030">
        <v>12000</v>
      </c>
      <c r="N1030" t="s">
        <v>1010</v>
      </c>
    </row>
    <row r="1031" spans="1:14" x14ac:dyDescent="0.25">
      <c r="A1031" t="str">
        <f>Table3[[#This Row],[Company Name]] &amp; " - " &amp; Table3[[#This Row],[Store Name]] &amp; " - " &amp; Table3[[#This Row],[Store Branch / Address]]</f>
        <v>PHARMASAFE INC - MUSTELA - AYALA CEBU</v>
      </c>
      <c r="B1031" t="str">
        <f>Table3[[#This Row],[Client ID]] &amp; " - " &amp; Table3[[#This Row],[SO Number]]</f>
        <v>PHARMASAFE INC - MUSTELA - AYALA CEBU - SO-045</v>
      </c>
      <c r="C1031" t="s">
        <v>320</v>
      </c>
      <c r="D1031" t="s">
        <v>1099</v>
      </c>
      <c r="E1031" t="s">
        <v>1100</v>
      </c>
      <c r="F1031" t="s">
        <v>1104</v>
      </c>
      <c r="G1031" t="s">
        <v>1043</v>
      </c>
      <c r="H1031" t="s">
        <v>1101</v>
      </c>
      <c r="I1031" t="s">
        <v>24</v>
      </c>
      <c r="J1031">
        <v>1</v>
      </c>
      <c r="K1031">
        <v>4200</v>
      </c>
      <c r="L1031">
        <v>12000</v>
      </c>
      <c r="M1031">
        <v>12000</v>
      </c>
      <c r="N1031" t="s">
        <v>1010</v>
      </c>
    </row>
    <row r="1032" spans="1:14" x14ac:dyDescent="0.25">
      <c r="A1032" t="str">
        <f>Table3[[#This Row],[Company Name]] &amp; " - " &amp; Table3[[#This Row],[Store Name]] &amp; " - " &amp; Table3[[#This Row],[Store Branch / Address]]</f>
        <v>PHARMASAFE INC - MUSTELA - AYALA CEBU</v>
      </c>
      <c r="B1032" t="str">
        <f>Table3[[#This Row],[Client ID]] &amp; " - " &amp; Table3[[#This Row],[SO Number]]</f>
        <v>PHARMASAFE INC - MUSTELA - AYALA CEBU - SO-045</v>
      </c>
      <c r="C1032" t="s">
        <v>320</v>
      </c>
      <c r="D1032" t="s">
        <v>1099</v>
      </c>
      <c r="E1032" t="s">
        <v>1100</v>
      </c>
      <c r="F1032" t="s">
        <v>1104</v>
      </c>
      <c r="G1032" t="s">
        <v>1043</v>
      </c>
      <c r="H1032" t="s">
        <v>1101</v>
      </c>
      <c r="I1032" t="s">
        <v>26</v>
      </c>
      <c r="J1032">
        <v>1</v>
      </c>
      <c r="K1032">
        <v>500</v>
      </c>
      <c r="L1032">
        <v>500</v>
      </c>
      <c r="M1032">
        <v>500</v>
      </c>
      <c r="N1032" t="s">
        <v>1010</v>
      </c>
    </row>
    <row r="1033" spans="1:14" x14ac:dyDescent="0.25">
      <c r="A1033" t="str">
        <f>Table3[[#This Row],[Company Name]] &amp; " - " &amp; Table3[[#This Row],[Store Name]] &amp; " - " &amp; Table3[[#This Row],[Store Branch / Address]]</f>
        <v>MIRANDA MICHAEL BORBON - MICHAEL &amp; CELEST - 168 SHOPPING MALL C1</v>
      </c>
      <c r="B1033" t="str">
        <f>Table3[[#This Row],[Client ID]] &amp; " - " &amp; Table3[[#This Row],[SO Number]]</f>
        <v>MIRANDA MICHAEL BORBON - MICHAEL &amp; CELEST - 168 SHOPPING MALL C1 - SO-047</v>
      </c>
      <c r="C1033" t="s">
        <v>336</v>
      </c>
      <c r="D1033" t="s">
        <v>1106</v>
      </c>
      <c r="E1033" t="s">
        <v>1107</v>
      </c>
      <c r="F1033" t="s">
        <v>1108</v>
      </c>
      <c r="G1033" t="s">
        <v>1109</v>
      </c>
      <c r="H1033" t="s">
        <v>1101</v>
      </c>
      <c r="I1033" t="s">
        <v>1110</v>
      </c>
      <c r="J1033">
        <v>1</v>
      </c>
      <c r="K1033">
        <v>3675</v>
      </c>
      <c r="L1033">
        <v>10500</v>
      </c>
      <c r="M1033">
        <v>10500</v>
      </c>
      <c r="N1033" t="s">
        <v>1010</v>
      </c>
    </row>
    <row r="1034" spans="1:14" x14ac:dyDescent="0.25">
      <c r="A1034" t="str">
        <f>Table3[[#This Row],[Company Name]] &amp; " - " &amp; Table3[[#This Row],[Store Name]] &amp; " - " &amp; Table3[[#This Row],[Store Branch / Address]]</f>
        <v>MIRANDA MICHAEL BORBON - MICHAEL &amp; CELEST - 168 SHOPPING MALL C1</v>
      </c>
      <c r="B1034" t="str">
        <f>Table3[[#This Row],[Client ID]] &amp; " - " &amp; Table3[[#This Row],[SO Number]]</f>
        <v>MIRANDA MICHAEL BORBON - MICHAEL &amp; CELEST - 168 SHOPPING MALL C1 - SO-047</v>
      </c>
      <c r="C1034" t="s">
        <v>336</v>
      </c>
      <c r="D1034" t="s">
        <v>1106</v>
      </c>
      <c r="E1034" t="s">
        <v>1107</v>
      </c>
      <c r="F1034" t="s">
        <v>1108</v>
      </c>
      <c r="G1034" t="s">
        <v>1109</v>
      </c>
      <c r="H1034" t="s">
        <v>1101</v>
      </c>
      <c r="I1034" t="s">
        <v>1011</v>
      </c>
      <c r="J1034">
        <v>1</v>
      </c>
      <c r="K1034">
        <v>3762.5</v>
      </c>
      <c r="L1034">
        <v>10750</v>
      </c>
      <c r="M1034">
        <v>10750</v>
      </c>
      <c r="N1034" t="s">
        <v>1010</v>
      </c>
    </row>
    <row r="1035" spans="1:14" x14ac:dyDescent="0.25">
      <c r="A1035" t="str">
        <f>Table3[[#This Row],[Company Name]] &amp; " - " &amp; Table3[[#This Row],[Store Name]] &amp; " - " &amp; Table3[[#This Row],[Store Branch / Address]]</f>
        <v>MIRANDA MICHAEL BORBON - MICHAEL &amp; CELEST - 168 SHOPPING MALL C1</v>
      </c>
      <c r="B1035" t="str">
        <f>Table3[[#This Row],[Client ID]] &amp; " - " &amp; Table3[[#This Row],[SO Number]]</f>
        <v>MIRANDA MICHAEL BORBON - MICHAEL &amp; CELEST - 168 SHOPPING MALL C1 - SO-047</v>
      </c>
      <c r="C1035" t="s">
        <v>336</v>
      </c>
      <c r="D1035" t="s">
        <v>1106</v>
      </c>
      <c r="E1035" t="s">
        <v>1107</v>
      </c>
      <c r="F1035" t="s">
        <v>1108</v>
      </c>
      <c r="G1035" t="s">
        <v>1109</v>
      </c>
      <c r="H1035" t="s">
        <v>1101</v>
      </c>
      <c r="I1035" t="s">
        <v>24</v>
      </c>
      <c r="J1035">
        <v>1</v>
      </c>
      <c r="K1035">
        <v>3762.5</v>
      </c>
      <c r="L1035">
        <v>10750</v>
      </c>
      <c r="M1035">
        <v>10750</v>
      </c>
      <c r="N1035" t="s">
        <v>1010</v>
      </c>
    </row>
    <row r="1036" spans="1:14" x14ac:dyDescent="0.25">
      <c r="A1036" t="str">
        <f>Table3[[#This Row],[Company Name]] &amp; " - " &amp; Table3[[#This Row],[Store Name]] &amp; " - " &amp; Table3[[#This Row],[Store Branch / Address]]</f>
        <v>MIRANDA MICHAEL BORBON - MICHAEL &amp; CELEST - 168 SHOPPING MALL C1</v>
      </c>
      <c r="B1036" t="str">
        <f>Table3[[#This Row],[Client ID]] &amp; " - " &amp; Table3[[#This Row],[SO Number]]</f>
        <v>MIRANDA MICHAEL BORBON - MICHAEL &amp; CELEST - 168 SHOPPING MALL C1 - SO-047</v>
      </c>
      <c r="C1036" t="s">
        <v>336</v>
      </c>
      <c r="D1036" t="s">
        <v>1106</v>
      </c>
      <c r="E1036" t="s">
        <v>1107</v>
      </c>
      <c r="F1036" t="s">
        <v>1108</v>
      </c>
      <c r="G1036" t="s">
        <v>1109</v>
      </c>
      <c r="H1036" t="s">
        <v>1101</v>
      </c>
      <c r="I1036" t="s">
        <v>26</v>
      </c>
      <c r="J1036">
        <v>1</v>
      </c>
      <c r="K1036">
        <v>500</v>
      </c>
      <c r="L1036">
        <v>500</v>
      </c>
      <c r="M1036">
        <v>500</v>
      </c>
      <c r="N1036" t="s">
        <v>1010</v>
      </c>
    </row>
    <row r="1037" spans="1:14" x14ac:dyDescent="0.25">
      <c r="A1037" t="str">
        <f>Table3[[#This Row],[Company Name]] &amp; " - " &amp; Table3[[#This Row],[Store Name]] &amp; " - " &amp; Table3[[#This Row],[Store Branch / Address]]</f>
        <v>MIRANDA MICHAEL BORBON - MICHAEL &amp; CELEST - 168 SHOPPING MALL C3</v>
      </c>
      <c r="B1037" t="str">
        <f>Table3[[#This Row],[Client ID]] &amp; " - " &amp; Table3[[#This Row],[SO Number]]</f>
        <v>MIRANDA MICHAEL BORBON - MICHAEL &amp; CELEST - 168 SHOPPING MALL C3 - SO-048</v>
      </c>
      <c r="C1037" t="s">
        <v>344</v>
      </c>
      <c r="D1037" t="s">
        <v>1106</v>
      </c>
      <c r="E1037" t="s">
        <v>1107</v>
      </c>
      <c r="F1037" t="s">
        <v>1111</v>
      </c>
      <c r="G1037" t="s">
        <v>1109</v>
      </c>
      <c r="H1037" t="s">
        <v>1101</v>
      </c>
      <c r="I1037" t="s">
        <v>1110</v>
      </c>
      <c r="J1037">
        <v>1</v>
      </c>
      <c r="K1037">
        <v>3675</v>
      </c>
      <c r="L1037">
        <v>10500</v>
      </c>
      <c r="M1037">
        <v>10500</v>
      </c>
      <c r="N1037" t="s">
        <v>1010</v>
      </c>
    </row>
    <row r="1038" spans="1:14" x14ac:dyDescent="0.25">
      <c r="A1038" t="str">
        <f>Table3[[#This Row],[Company Name]] &amp; " - " &amp; Table3[[#This Row],[Store Name]] &amp; " - " &amp; Table3[[#This Row],[Store Branch / Address]]</f>
        <v>MIRANDA MICHAEL BORBON - MICHAEL &amp; CELEST - 168 SHOPPING MALL C3</v>
      </c>
      <c r="B1038" t="str">
        <f>Table3[[#This Row],[Client ID]] &amp; " - " &amp; Table3[[#This Row],[SO Number]]</f>
        <v>MIRANDA MICHAEL BORBON - MICHAEL &amp; CELEST - 168 SHOPPING MALL C3 - SO-048</v>
      </c>
      <c r="C1038" t="s">
        <v>344</v>
      </c>
      <c r="D1038" t="s">
        <v>1106</v>
      </c>
      <c r="E1038" t="s">
        <v>1107</v>
      </c>
      <c r="F1038" t="s">
        <v>1111</v>
      </c>
      <c r="G1038" t="s">
        <v>1109</v>
      </c>
      <c r="H1038" t="s">
        <v>1101</v>
      </c>
      <c r="I1038" t="s">
        <v>1011</v>
      </c>
      <c r="J1038">
        <v>1</v>
      </c>
      <c r="K1038">
        <v>3762.5</v>
      </c>
      <c r="L1038">
        <v>10750</v>
      </c>
      <c r="M1038">
        <v>10750</v>
      </c>
      <c r="N1038" t="s">
        <v>1010</v>
      </c>
    </row>
    <row r="1039" spans="1:14" x14ac:dyDescent="0.25">
      <c r="A1039" t="str">
        <f>Table3[[#This Row],[Company Name]] &amp; " - " &amp; Table3[[#This Row],[Store Name]] &amp; " - " &amp; Table3[[#This Row],[Store Branch / Address]]</f>
        <v>MIRANDA MICHAEL BORBON - MICHAEL &amp; CELEST - 168 SHOPPING MALL C3</v>
      </c>
      <c r="B1039" t="str">
        <f>Table3[[#This Row],[Client ID]] &amp; " - " &amp; Table3[[#This Row],[SO Number]]</f>
        <v>MIRANDA MICHAEL BORBON - MICHAEL &amp; CELEST - 168 SHOPPING MALL C3 - SO-048</v>
      </c>
      <c r="C1039" t="s">
        <v>344</v>
      </c>
      <c r="D1039" t="s">
        <v>1106</v>
      </c>
      <c r="E1039" t="s">
        <v>1107</v>
      </c>
      <c r="F1039" t="s">
        <v>1111</v>
      </c>
      <c r="G1039" t="s">
        <v>1109</v>
      </c>
      <c r="H1039" t="s">
        <v>1101</v>
      </c>
      <c r="I1039" t="s">
        <v>24</v>
      </c>
      <c r="J1039">
        <v>1</v>
      </c>
      <c r="K1039">
        <v>3762.5</v>
      </c>
      <c r="L1039">
        <v>10750</v>
      </c>
      <c r="M1039">
        <v>10750</v>
      </c>
      <c r="N1039" t="s">
        <v>1010</v>
      </c>
    </row>
    <row r="1040" spans="1:14" x14ac:dyDescent="0.25">
      <c r="A1040" t="str">
        <f>Table3[[#This Row],[Company Name]] &amp; " - " &amp; Table3[[#This Row],[Store Name]] &amp; " - " &amp; Table3[[#This Row],[Store Branch / Address]]</f>
        <v>MIRANDA MICHAEL BORBON - MICHAEL &amp; CELEST - 168 SHOPPING MALL C3</v>
      </c>
      <c r="B1040" t="str">
        <f>Table3[[#This Row],[Client ID]] &amp; " - " &amp; Table3[[#This Row],[SO Number]]</f>
        <v>MIRANDA MICHAEL BORBON - MICHAEL &amp; CELEST - 168 SHOPPING MALL C3 - SO-048</v>
      </c>
      <c r="C1040" t="s">
        <v>344</v>
      </c>
      <c r="D1040" t="s">
        <v>1106</v>
      </c>
      <c r="E1040" t="s">
        <v>1107</v>
      </c>
      <c r="F1040" t="s">
        <v>1111</v>
      </c>
      <c r="G1040" t="s">
        <v>1109</v>
      </c>
      <c r="H1040" t="s">
        <v>1101</v>
      </c>
      <c r="I1040" t="s">
        <v>26</v>
      </c>
      <c r="J1040">
        <v>1</v>
      </c>
      <c r="K1040">
        <v>500</v>
      </c>
      <c r="L1040">
        <v>500</v>
      </c>
      <c r="M1040">
        <v>500</v>
      </c>
      <c r="N1040" t="s">
        <v>1010</v>
      </c>
    </row>
    <row r="1041" spans="1:14" x14ac:dyDescent="0.25">
      <c r="A1041" t="str">
        <f>Table3[[#This Row],[Company Name]] &amp; " - " &amp; Table3[[#This Row],[Store Name]] &amp; " - " &amp; Table3[[#This Row],[Store Branch / Address]]</f>
        <v>CHICKEN DELI - GONGCHA - GENERIC</v>
      </c>
      <c r="B1041" t="str">
        <f>Table3[[#This Row],[Client ID]] &amp; " - " &amp; Table3[[#This Row],[SO Number]]</f>
        <v>CHICKEN DELI - GONGCHA - GENERIC - SO-131</v>
      </c>
      <c r="C1041" t="s">
        <v>680</v>
      </c>
      <c r="D1041" t="s">
        <v>20</v>
      </c>
      <c r="E1041" t="s">
        <v>31</v>
      </c>
      <c r="F1041" t="s">
        <v>15</v>
      </c>
      <c r="G1041" t="s">
        <v>22</v>
      </c>
      <c r="H1041" t="s">
        <v>683</v>
      </c>
      <c r="I1041" t="s">
        <v>33</v>
      </c>
      <c r="J1041">
        <v>1</v>
      </c>
      <c r="K1041">
        <v>6500</v>
      </c>
      <c r="L1041">
        <v>6500</v>
      </c>
      <c r="M1041">
        <v>6500</v>
      </c>
      <c r="N1041" t="s">
        <v>19</v>
      </c>
    </row>
    <row r="1042" spans="1:14" x14ac:dyDescent="0.25">
      <c r="A1042" t="str">
        <f>Table3[[#This Row],[Company Name]] &amp; " - " &amp; Table3[[#This Row],[Store Name]] &amp; " - " &amp; Table3[[#This Row],[Store Branch / Address]]</f>
        <v>BIG BRANDS CLOTHING OUTLET CORP - BIG BRANDS - ROBINSONS STA ROSA</v>
      </c>
      <c r="B1042" t="str">
        <f>Table3[[#This Row],[Client ID]] &amp; " - " &amp; Table3[[#This Row],[SO Number]]</f>
        <v>BIG BRANDS CLOTHING OUTLET CORP - BIG BRANDS - ROBINSONS STA ROSA - SO-046</v>
      </c>
      <c r="C1042" t="s">
        <v>334</v>
      </c>
      <c r="D1042" t="s">
        <v>1041</v>
      </c>
      <c r="E1042" t="s">
        <v>1042</v>
      </c>
      <c r="F1042" t="s">
        <v>1105</v>
      </c>
      <c r="G1042" t="s">
        <v>1043</v>
      </c>
      <c r="H1042" t="s">
        <v>683</v>
      </c>
      <c r="I1042" t="s">
        <v>264</v>
      </c>
      <c r="J1042">
        <v>1</v>
      </c>
      <c r="K1042">
        <v>850</v>
      </c>
      <c r="L1042">
        <v>2000</v>
      </c>
      <c r="M1042">
        <v>2000</v>
      </c>
      <c r="N1042" t="s">
        <v>1010</v>
      </c>
    </row>
    <row r="1043" spans="1:14" x14ac:dyDescent="0.25">
      <c r="A1043" t="str">
        <f>Table3[[#This Row],[Company Name]] &amp; " - " &amp; Table3[[#This Row],[Store Name]] &amp; " - " &amp; Table3[[#This Row],[Store Branch / Address]]</f>
        <v>CHICKEN DELI - ISSY &amp;CO. - GENERIC</v>
      </c>
      <c r="B1043" t="str">
        <f>Table3[[#This Row],[Client ID]] &amp; " - " &amp; Table3[[#This Row],[SO Number]]</f>
        <v>CHICKEN DELI - ISSY &amp;CO. - GENERIC - SO-132</v>
      </c>
      <c r="C1043" t="s">
        <v>684</v>
      </c>
      <c r="D1043" t="s">
        <v>20</v>
      </c>
      <c r="E1043" t="s">
        <v>132</v>
      </c>
      <c r="F1043" t="s">
        <v>15</v>
      </c>
      <c r="G1043" t="s">
        <v>22</v>
      </c>
      <c r="H1043" t="s">
        <v>688</v>
      </c>
      <c r="I1043" t="s">
        <v>133</v>
      </c>
      <c r="J1043">
        <v>1</v>
      </c>
      <c r="K1043">
        <v>3675</v>
      </c>
      <c r="L1043">
        <v>10500</v>
      </c>
      <c r="M1043">
        <v>10500</v>
      </c>
      <c r="N1043" t="s">
        <v>19</v>
      </c>
    </row>
    <row r="1044" spans="1:14" x14ac:dyDescent="0.25">
      <c r="A1044" t="str">
        <f>Table3[[#This Row],[Company Name]] &amp; " - " &amp; Table3[[#This Row],[Store Name]] &amp; " - " &amp; Table3[[#This Row],[Store Branch / Address]]</f>
        <v>CHICKEN DELI - ISSY &amp;CO. - GENERIC</v>
      </c>
      <c r="B1044" t="str">
        <f>Table3[[#This Row],[Client ID]] &amp; " - " &amp; Table3[[#This Row],[SO Number]]</f>
        <v>CHICKEN DELI - ISSY &amp;CO. - GENERIC - SO-132</v>
      </c>
      <c r="C1044" t="s">
        <v>684</v>
      </c>
      <c r="D1044" t="s">
        <v>20</v>
      </c>
      <c r="E1044" t="s">
        <v>132</v>
      </c>
      <c r="F1044" t="s">
        <v>15</v>
      </c>
      <c r="G1044" t="s">
        <v>22</v>
      </c>
      <c r="H1044" t="s">
        <v>688</v>
      </c>
      <c r="I1044" t="s">
        <v>25</v>
      </c>
      <c r="J1044">
        <v>1</v>
      </c>
      <c r="K1044">
        <v>10550</v>
      </c>
      <c r="L1044">
        <v>10550</v>
      </c>
      <c r="M1044">
        <v>10550</v>
      </c>
      <c r="N1044" t="s">
        <v>19</v>
      </c>
    </row>
    <row r="1045" spans="1:14" x14ac:dyDescent="0.25">
      <c r="A1045" t="str">
        <f>Table3[[#This Row],[Company Name]] &amp; " - " &amp; Table3[[#This Row],[Store Name]] &amp; " - " &amp; Table3[[#This Row],[Store Branch / Address]]</f>
        <v>CHICKEN DELI - ISSY &amp;CO. - GENERIC</v>
      </c>
      <c r="B1045" t="str">
        <f>Table3[[#This Row],[Client ID]] &amp; " - " &amp; Table3[[#This Row],[SO Number]]</f>
        <v>CHICKEN DELI - ISSY &amp;CO. - GENERIC - SO-132</v>
      </c>
      <c r="C1045" t="s">
        <v>684</v>
      </c>
      <c r="D1045" t="s">
        <v>20</v>
      </c>
      <c r="E1045" t="s">
        <v>132</v>
      </c>
      <c r="F1045" t="s">
        <v>15</v>
      </c>
      <c r="G1045" t="s">
        <v>22</v>
      </c>
      <c r="H1045" t="s">
        <v>688</v>
      </c>
      <c r="I1045" t="s">
        <v>24</v>
      </c>
      <c r="J1045">
        <v>1</v>
      </c>
      <c r="K1045">
        <v>10550</v>
      </c>
      <c r="L1045">
        <v>10550</v>
      </c>
      <c r="M1045">
        <v>10550</v>
      </c>
      <c r="N1045" t="s">
        <v>19</v>
      </c>
    </row>
    <row r="1046" spans="1:14" x14ac:dyDescent="0.25">
      <c r="A1046" t="str">
        <f>Table3[[#This Row],[Company Name]] &amp; " - " &amp; Table3[[#This Row],[Store Name]] &amp; " - " &amp; Table3[[#This Row],[Store Branch / Address]]</f>
        <v>CHICKEN DELI - ISSY &amp;CO. - GENERIC</v>
      </c>
      <c r="B1046" t="str">
        <f>Table3[[#This Row],[Client ID]] &amp; " - " &amp; Table3[[#This Row],[SO Number]]</f>
        <v>CHICKEN DELI - ISSY &amp;CO. - GENERIC - SO-132</v>
      </c>
      <c r="C1046" t="s">
        <v>684</v>
      </c>
      <c r="D1046" t="s">
        <v>20</v>
      </c>
      <c r="E1046" t="s">
        <v>132</v>
      </c>
      <c r="F1046" t="s">
        <v>15</v>
      </c>
      <c r="G1046" t="s">
        <v>22</v>
      </c>
      <c r="H1046" t="s">
        <v>688</v>
      </c>
      <c r="I1046" t="s">
        <v>134</v>
      </c>
      <c r="J1046">
        <v>1</v>
      </c>
      <c r="K1046">
        <v>500</v>
      </c>
      <c r="L1046">
        <v>500</v>
      </c>
      <c r="M1046">
        <v>500</v>
      </c>
      <c r="N1046" t="s">
        <v>19</v>
      </c>
    </row>
    <row r="1047" spans="1:14" x14ac:dyDescent="0.25">
      <c r="A1047" t="str">
        <f>Table3[[#This Row],[Company Name]] &amp; " - " &amp; Table3[[#This Row],[Store Name]] &amp; " - " &amp; Table3[[#This Row],[Store Branch / Address]]</f>
        <v>CHICKEN DELI - ISSY &amp;CO. - GENERIC</v>
      </c>
      <c r="B1047" t="str">
        <f>Table3[[#This Row],[Client ID]] &amp; " - " &amp; Table3[[#This Row],[SO Number]]</f>
        <v>CHICKEN DELI - ISSY &amp;CO. - GENERIC - SO-132</v>
      </c>
      <c r="C1047" t="s">
        <v>684</v>
      </c>
      <c r="D1047" t="s">
        <v>20</v>
      </c>
      <c r="E1047" t="s">
        <v>132</v>
      </c>
      <c r="F1047" t="s">
        <v>15</v>
      </c>
      <c r="G1047" t="s">
        <v>22</v>
      </c>
      <c r="H1047" t="s">
        <v>688</v>
      </c>
      <c r="I1047" t="s">
        <v>135</v>
      </c>
      <c r="J1047">
        <v>1</v>
      </c>
      <c r="K1047">
        <v>4550</v>
      </c>
      <c r="L1047">
        <v>6500</v>
      </c>
      <c r="M1047">
        <v>6500</v>
      </c>
      <c r="N1047" t="s">
        <v>19</v>
      </c>
    </row>
    <row r="1048" spans="1:14" x14ac:dyDescent="0.25">
      <c r="A1048" t="str">
        <f>Table3[[#This Row],[Company Name]] &amp; " - " &amp; Table3[[#This Row],[Store Name]] &amp; " - " &amp; Table3[[#This Row],[Store Branch / Address]]</f>
        <v>CHICKEN DELI - ISSY &amp;CO. - GENERIC</v>
      </c>
      <c r="B1048" t="str">
        <f>Table3[[#This Row],[Client ID]] &amp; " - " &amp; Table3[[#This Row],[SO Number]]</f>
        <v>CHICKEN DELI - ISSY &amp;CO. - GENERIC - SO-132</v>
      </c>
      <c r="C1048" t="s">
        <v>684</v>
      </c>
      <c r="D1048" t="s">
        <v>20</v>
      </c>
      <c r="E1048" t="s">
        <v>132</v>
      </c>
      <c r="F1048" t="s">
        <v>15</v>
      </c>
      <c r="G1048" t="s">
        <v>22</v>
      </c>
      <c r="H1048" t="s">
        <v>688</v>
      </c>
      <c r="I1048" t="s">
        <v>136</v>
      </c>
      <c r="J1048">
        <v>1</v>
      </c>
      <c r="K1048">
        <v>8500</v>
      </c>
      <c r="L1048">
        <v>12000</v>
      </c>
      <c r="M1048">
        <v>12000</v>
      </c>
      <c r="N1048" t="s">
        <v>19</v>
      </c>
    </row>
    <row r="1049" spans="1:14" x14ac:dyDescent="0.25">
      <c r="A1049" t="str">
        <f>Table3[[#This Row],[Company Name]] &amp; " - " &amp; Table3[[#This Row],[Store Name]] &amp; " - " &amp; Table3[[#This Row],[Store Branch / Address]]</f>
        <v>CHICKEN DELI - ISSY &amp;CO. - GENERIC</v>
      </c>
      <c r="B1049" t="str">
        <f>Table3[[#This Row],[Client ID]] &amp; " - " &amp; Table3[[#This Row],[SO Number]]</f>
        <v>CHICKEN DELI - ISSY &amp;CO. - GENERIC - SO-132</v>
      </c>
      <c r="C1049" t="s">
        <v>684</v>
      </c>
      <c r="D1049" t="s">
        <v>20</v>
      </c>
      <c r="E1049" t="s">
        <v>132</v>
      </c>
      <c r="F1049" t="s">
        <v>15</v>
      </c>
      <c r="G1049" t="s">
        <v>22</v>
      </c>
      <c r="H1049" t="s">
        <v>688</v>
      </c>
      <c r="I1049" t="s">
        <v>98</v>
      </c>
      <c r="J1049">
        <v>1</v>
      </c>
      <c r="K1049">
        <v>935</v>
      </c>
      <c r="L1049">
        <v>1300</v>
      </c>
      <c r="M1049">
        <v>1300</v>
      </c>
      <c r="N1049" t="s">
        <v>19</v>
      </c>
    </row>
    <row r="1050" spans="1:14" x14ac:dyDescent="0.25">
      <c r="A1050" t="str">
        <f>Table3[[#This Row],[Company Name]] &amp; " - " &amp; Table3[[#This Row],[Store Name]] &amp; " - " &amp; Table3[[#This Row],[Store Branch / Address]]</f>
        <v>CHICKEN DELI - ISSY &amp;CO. - GENERIC</v>
      </c>
      <c r="B1050" t="str">
        <f>Table3[[#This Row],[Client ID]] &amp; " - " &amp; Table3[[#This Row],[SO Number]]</f>
        <v>CHICKEN DELI - ISSY &amp;CO. - GENERIC - SO-132</v>
      </c>
      <c r="C1050" t="s">
        <v>684</v>
      </c>
      <c r="D1050" t="s">
        <v>20</v>
      </c>
      <c r="E1050" t="s">
        <v>132</v>
      </c>
      <c r="F1050" t="s">
        <v>15</v>
      </c>
      <c r="G1050" t="s">
        <v>22</v>
      </c>
      <c r="H1050" t="s">
        <v>688</v>
      </c>
      <c r="I1050" t="s">
        <v>116</v>
      </c>
      <c r="J1050">
        <v>1</v>
      </c>
      <c r="K1050">
        <v>2185</v>
      </c>
      <c r="L1050">
        <v>3500</v>
      </c>
      <c r="M1050">
        <v>3500</v>
      </c>
      <c r="N1050" t="s">
        <v>19</v>
      </c>
    </row>
    <row r="1051" spans="1:14" x14ac:dyDescent="0.25">
      <c r="A1051" t="str">
        <f>Table3[[#This Row],[Company Name]] &amp; " - " &amp; Table3[[#This Row],[Store Name]] &amp; " - " &amp; Table3[[#This Row],[Store Branch / Address]]</f>
        <v>CHICKEN DELI - ISSY &amp;CO. - GENERIC</v>
      </c>
      <c r="B1051" t="str">
        <f>Table3[[#This Row],[Client ID]] &amp; " - " &amp; Table3[[#This Row],[SO Number]]</f>
        <v>CHICKEN DELI - ISSY &amp;CO. - GENERIC - SO-132</v>
      </c>
      <c r="C1051" t="s">
        <v>684</v>
      </c>
      <c r="D1051" t="s">
        <v>20</v>
      </c>
      <c r="E1051" t="s">
        <v>132</v>
      </c>
      <c r="F1051" t="s">
        <v>15</v>
      </c>
      <c r="G1051" t="s">
        <v>22</v>
      </c>
      <c r="H1051" t="s">
        <v>688</v>
      </c>
      <c r="I1051" t="s">
        <v>137</v>
      </c>
      <c r="J1051">
        <v>1</v>
      </c>
      <c r="K1051">
        <v>2200</v>
      </c>
      <c r="L1051">
        <v>3100</v>
      </c>
      <c r="M1051">
        <v>3100</v>
      </c>
      <c r="N1051" t="s">
        <v>19</v>
      </c>
    </row>
    <row r="1052" spans="1:14" x14ac:dyDescent="0.25">
      <c r="A1052" t="str">
        <f>Table3[[#This Row],[Company Name]] &amp; " - " &amp; Table3[[#This Row],[Store Name]] &amp; " - " &amp; Table3[[#This Row],[Store Branch / Address]]</f>
        <v>CHICKEN DELI - ISSY &amp;CO. - GENERIC</v>
      </c>
      <c r="B1052" t="str">
        <f>Table3[[#This Row],[Client ID]] &amp; " - " &amp; Table3[[#This Row],[SO Number]]</f>
        <v>CHICKEN DELI - ISSY &amp;CO. - GENERIC - SO-132</v>
      </c>
      <c r="C1052" t="s">
        <v>684</v>
      </c>
      <c r="D1052" t="s">
        <v>20</v>
      </c>
      <c r="E1052" t="s">
        <v>132</v>
      </c>
      <c r="F1052" t="s">
        <v>15</v>
      </c>
      <c r="G1052" t="s">
        <v>22</v>
      </c>
      <c r="H1052" t="s">
        <v>688</v>
      </c>
      <c r="I1052" t="s">
        <v>655</v>
      </c>
      <c r="J1052">
        <v>1</v>
      </c>
      <c r="K1052">
        <v>24800</v>
      </c>
      <c r="L1052">
        <v>35500</v>
      </c>
      <c r="M1052">
        <v>35500</v>
      </c>
      <c r="N1052" t="s">
        <v>19</v>
      </c>
    </row>
    <row r="1053" spans="1:14" x14ac:dyDescent="0.25">
      <c r="A1053" t="str">
        <f>Table3[[#This Row],[Company Name]] &amp; " - " &amp; Table3[[#This Row],[Store Name]] &amp; " - " &amp; Table3[[#This Row],[Store Branch / Address]]</f>
        <v>CHICKEN DELI - ISSY &amp;CO. - GENERIC</v>
      </c>
      <c r="B1053" t="str">
        <f>Table3[[#This Row],[Client ID]] &amp; " - " &amp; Table3[[#This Row],[SO Number]]</f>
        <v>CHICKEN DELI - ISSY &amp;CO. - GENERIC - SO-132</v>
      </c>
      <c r="C1053" t="s">
        <v>684</v>
      </c>
      <c r="D1053" t="s">
        <v>20</v>
      </c>
      <c r="E1053" t="s">
        <v>132</v>
      </c>
      <c r="F1053" t="s">
        <v>15</v>
      </c>
      <c r="G1053" t="s">
        <v>22</v>
      </c>
      <c r="H1053" t="s">
        <v>688</v>
      </c>
      <c r="I1053" t="s">
        <v>99</v>
      </c>
      <c r="J1053">
        <v>1</v>
      </c>
      <c r="K1053">
        <v>2800</v>
      </c>
      <c r="L1053">
        <v>4000</v>
      </c>
      <c r="M1053">
        <v>4000</v>
      </c>
      <c r="N1053" t="s">
        <v>19</v>
      </c>
    </row>
    <row r="1054" spans="1:14" x14ac:dyDescent="0.25">
      <c r="A1054" t="str">
        <f>Table3[[#This Row],[Company Name]] &amp; " - " &amp; Table3[[#This Row],[Store Name]] &amp; " - " &amp; Table3[[#This Row],[Store Branch / Address]]</f>
        <v>CHICKEN DELI - ISSY &amp;CO. - GENERIC</v>
      </c>
      <c r="B1054" t="str">
        <f>Table3[[#This Row],[Client ID]] &amp; " - " &amp; Table3[[#This Row],[SO Number]]</f>
        <v>CHICKEN DELI - ISSY &amp;CO. - GENERIC - SO-132</v>
      </c>
      <c r="C1054" t="s">
        <v>684</v>
      </c>
      <c r="D1054" t="s">
        <v>20</v>
      </c>
      <c r="E1054" t="s">
        <v>132</v>
      </c>
      <c r="F1054" t="s">
        <v>15</v>
      </c>
      <c r="G1054" t="s">
        <v>22</v>
      </c>
      <c r="H1054" t="s">
        <v>688</v>
      </c>
      <c r="I1054" t="s">
        <v>76</v>
      </c>
      <c r="J1054">
        <v>1</v>
      </c>
      <c r="K1054">
        <v>500</v>
      </c>
      <c r="L1054">
        <v>500</v>
      </c>
      <c r="M1054">
        <v>500</v>
      </c>
      <c r="N1054" t="s">
        <v>19</v>
      </c>
    </row>
    <row r="1055" spans="1:14" x14ac:dyDescent="0.25">
      <c r="A1055" t="str">
        <f>Table3[[#This Row],[Company Name]] &amp; " - " &amp; Table3[[#This Row],[Store Name]] &amp; " - " &amp; Table3[[#This Row],[Store Branch / Address]]</f>
        <v>TANTEASE INC - TANTEASE - POWERPLANT MALL ROCKWELL</v>
      </c>
      <c r="B1055" t="str">
        <f>Table3[[#This Row],[Client ID]] &amp; " - " &amp; Table3[[#This Row],[SO Number]]</f>
        <v>TANTEASE INC - TANTEASE - POWERPLANT MALL ROCKWELL - SO-049</v>
      </c>
      <c r="C1055" t="s">
        <v>345</v>
      </c>
      <c r="D1055" t="s">
        <v>1112</v>
      </c>
      <c r="E1055" t="s">
        <v>1113</v>
      </c>
      <c r="F1055" t="s">
        <v>1114</v>
      </c>
      <c r="G1055" t="s">
        <v>1043</v>
      </c>
      <c r="H1055" t="s">
        <v>688</v>
      </c>
      <c r="I1055" t="s">
        <v>1115</v>
      </c>
      <c r="J1055">
        <v>1</v>
      </c>
      <c r="K1055">
        <v>15000</v>
      </c>
      <c r="L1055">
        <v>15000</v>
      </c>
      <c r="M1055">
        <v>15000</v>
      </c>
      <c r="N1055" t="s">
        <v>1010</v>
      </c>
    </row>
    <row r="1056" spans="1:14" x14ac:dyDescent="0.25">
      <c r="A1056" t="str">
        <f>Table3[[#This Row],[Company Name]] &amp; " - " &amp; Table3[[#This Row],[Store Name]] &amp; " - " &amp; Table3[[#This Row],[Store Branch / Address]]</f>
        <v>PANDE MANILA FOOD CO INC - PANDE MANILA - SANTOLAN TOWN PLAZA</v>
      </c>
      <c r="B1056" t="str">
        <f>Table3[[#This Row],[Client ID]] &amp; " - " &amp; Table3[[#This Row],[SO Number]]</f>
        <v>PANDE MANILA FOOD CO INC - PANDE MANILA - SANTOLAN TOWN PLAZA - SO-110</v>
      </c>
      <c r="C1056" t="s">
        <v>594</v>
      </c>
      <c r="D1056" t="s">
        <v>595</v>
      </c>
      <c r="E1056" t="s">
        <v>596</v>
      </c>
      <c r="F1056" t="s">
        <v>597</v>
      </c>
      <c r="G1056" t="s">
        <v>37</v>
      </c>
      <c r="H1056" t="s">
        <v>598</v>
      </c>
      <c r="I1056" t="s">
        <v>599</v>
      </c>
      <c r="J1056">
        <v>1</v>
      </c>
      <c r="K1056">
        <v>850</v>
      </c>
      <c r="L1056">
        <v>1200</v>
      </c>
      <c r="M1056">
        <v>1200</v>
      </c>
      <c r="N1056" t="s">
        <v>39</v>
      </c>
    </row>
    <row r="1057" spans="1:14" x14ac:dyDescent="0.25">
      <c r="A1057" t="str">
        <f>Table3[[#This Row],[Company Name]] &amp; " - " &amp; Table3[[#This Row],[Store Name]] &amp; " - " &amp; Table3[[#This Row],[Store Branch / Address]]</f>
        <v>PANDE MANILA FOOD CO INC - PANDE MANILA - SANTOLAN TOWN PLAZA</v>
      </c>
      <c r="B1057" t="str">
        <f>Table3[[#This Row],[Client ID]] &amp; " - " &amp; Table3[[#This Row],[SO Number]]</f>
        <v>PANDE MANILA FOOD CO INC - PANDE MANILA - SANTOLAN TOWN PLAZA - SO-110</v>
      </c>
      <c r="C1057" t="s">
        <v>594</v>
      </c>
      <c r="D1057" t="s">
        <v>595</v>
      </c>
      <c r="E1057" t="s">
        <v>596</v>
      </c>
      <c r="F1057" t="s">
        <v>597</v>
      </c>
      <c r="G1057" t="s">
        <v>37</v>
      </c>
      <c r="H1057" t="s">
        <v>598</v>
      </c>
      <c r="I1057" t="s">
        <v>600</v>
      </c>
      <c r="J1057">
        <v>1</v>
      </c>
      <c r="K1057">
        <v>650</v>
      </c>
      <c r="L1057">
        <v>900</v>
      </c>
      <c r="M1057">
        <v>900</v>
      </c>
      <c r="N1057" t="s">
        <v>39</v>
      </c>
    </row>
    <row r="1058" spans="1:14" x14ac:dyDescent="0.25">
      <c r="A1058" t="str">
        <f>Table3[[#This Row],[Company Name]] &amp; " - " &amp; Table3[[#This Row],[Store Name]] &amp; " - " &amp; Table3[[#This Row],[Store Branch / Address]]</f>
        <v>CHICKEN DELI - HUE BORACAY - GENERIC</v>
      </c>
      <c r="B1058" t="str">
        <f>Table3[[#This Row],[Client ID]] &amp; " - " &amp; Table3[[#This Row],[SO Number]]</f>
        <v>CHICKEN DELI - HUE BORACAY - GENERIC - SO-133</v>
      </c>
      <c r="C1058" t="s">
        <v>689</v>
      </c>
      <c r="D1058" t="s">
        <v>20</v>
      </c>
      <c r="E1058" t="s">
        <v>690</v>
      </c>
      <c r="F1058" t="s">
        <v>15</v>
      </c>
      <c r="G1058" t="s">
        <v>22</v>
      </c>
      <c r="H1058" t="s">
        <v>598</v>
      </c>
      <c r="I1058" t="s">
        <v>322</v>
      </c>
      <c r="J1058">
        <v>2</v>
      </c>
      <c r="K1058">
        <v>3675</v>
      </c>
      <c r="L1058">
        <v>10500</v>
      </c>
      <c r="M1058">
        <v>21000</v>
      </c>
      <c r="N1058" t="s">
        <v>19</v>
      </c>
    </row>
    <row r="1059" spans="1:14" x14ac:dyDescent="0.25">
      <c r="A1059" t="str">
        <f>Table3[[#This Row],[Company Name]] &amp; " - " &amp; Table3[[#This Row],[Store Name]] &amp; " - " &amp; Table3[[#This Row],[Store Branch / Address]]</f>
        <v>CHICKEN DELI - HUE BORACAY - GENERIC</v>
      </c>
      <c r="B1059" t="str">
        <f>Table3[[#This Row],[Client ID]] &amp; " - " &amp; Table3[[#This Row],[SO Number]]</f>
        <v>CHICKEN DELI - HUE BORACAY - GENERIC - SO-133</v>
      </c>
      <c r="C1059" t="s">
        <v>689</v>
      </c>
      <c r="D1059" t="s">
        <v>20</v>
      </c>
      <c r="E1059" t="s">
        <v>690</v>
      </c>
      <c r="F1059" t="s">
        <v>15</v>
      </c>
      <c r="G1059" t="s">
        <v>22</v>
      </c>
      <c r="H1059" t="s">
        <v>598</v>
      </c>
      <c r="I1059" t="s">
        <v>170</v>
      </c>
      <c r="J1059">
        <v>2</v>
      </c>
      <c r="K1059">
        <v>30000</v>
      </c>
      <c r="L1059">
        <v>30000</v>
      </c>
      <c r="M1059">
        <v>60000</v>
      </c>
      <c r="N1059" t="s">
        <v>19</v>
      </c>
    </row>
    <row r="1060" spans="1:14" x14ac:dyDescent="0.25">
      <c r="A1060" t="str">
        <f>Table3[[#This Row],[Company Name]] &amp; " - " &amp; Table3[[#This Row],[Store Name]] &amp; " - " &amp; Table3[[#This Row],[Store Branch / Address]]</f>
        <v>CHICKEN DELI - HUE BORACAY - GENERIC</v>
      </c>
      <c r="B1060" t="str">
        <f>Table3[[#This Row],[Client ID]] &amp; " - " &amp; Table3[[#This Row],[SO Number]]</f>
        <v>CHICKEN DELI - HUE BORACAY - GENERIC - SO-133</v>
      </c>
      <c r="C1060" t="s">
        <v>689</v>
      </c>
      <c r="D1060" t="s">
        <v>20</v>
      </c>
      <c r="E1060" t="s">
        <v>690</v>
      </c>
      <c r="F1060" t="s">
        <v>15</v>
      </c>
      <c r="G1060" t="s">
        <v>22</v>
      </c>
      <c r="H1060" t="s">
        <v>598</v>
      </c>
      <c r="I1060" t="s">
        <v>24</v>
      </c>
      <c r="J1060">
        <v>2</v>
      </c>
      <c r="K1060">
        <v>30000</v>
      </c>
      <c r="L1060">
        <v>30000</v>
      </c>
      <c r="M1060">
        <v>60000</v>
      </c>
      <c r="N1060" t="s">
        <v>19</v>
      </c>
    </row>
    <row r="1061" spans="1:14" x14ac:dyDescent="0.25">
      <c r="A1061" t="str">
        <f>Table3[[#This Row],[Company Name]] &amp; " - " &amp; Table3[[#This Row],[Store Name]] &amp; " - " &amp; Table3[[#This Row],[Store Branch / Address]]</f>
        <v>CHICKEN DELI - HUE BORACAY - GENERIC</v>
      </c>
      <c r="B1061" t="str">
        <f>Table3[[#This Row],[Client ID]] &amp; " - " &amp; Table3[[#This Row],[SO Number]]</f>
        <v>CHICKEN DELI - HUE BORACAY - GENERIC - SO-133</v>
      </c>
      <c r="C1061" t="s">
        <v>689</v>
      </c>
      <c r="D1061" t="s">
        <v>20</v>
      </c>
      <c r="E1061" t="s">
        <v>690</v>
      </c>
      <c r="F1061" t="s">
        <v>15</v>
      </c>
      <c r="G1061" t="s">
        <v>22</v>
      </c>
      <c r="H1061" t="s">
        <v>598</v>
      </c>
      <c r="I1061" t="s">
        <v>316</v>
      </c>
      <c r="J1061">
        <v>2</v>
      </c>
      <c r="K1061">
        <v>500</v>
      </c>
      <c r="L1061">
        <v>500</v>
      </c>
      <c r="M1061">
        <v>1000</v>
      </c>
      <c r="N1061" t="s">
        <v>19</v>
      </c>
    </row>
    <row r="1062" spans="1:14" x14ac:dyDescent="0.25">
      <c r="A1062" t="str">
        <f>Table3[[#This Row],[Company Name]] &amp; " - " &amp; Table3[[#This Row],[Store Name]] &amp; " - " &amp; Table3[[#This Row],[Store Branch / Address]]</f>
        <v>CHICKEN DELI - HUE BORACAY - GENERIC</v>
      </c>
      <c r="B1062" t="str">
        <f>Table3[[#This Row],[Client ID]] &amp; " - " &amp; Table3[[#This Row],[SO Number]]</f>
        <v>CHICKEN DELI - HUE BORACAY - GENERIC - SO-133</v>
      </c>
      <c r="C1062" t="s">
        <v>689</v>
      </c>
      <c r="D1062" t="s">
        <v>20</v>
      </c>
      <c r="E1062" t="s">
        <v>690</v>
      </c>
      <c r="F1062" t="s">
        <v>15</v>
      </c>
      <c r="G1062" t="s">
        <v>22</v>
      </c>
      <c r="H1062" t="s">
        <v>598</v>
      </c>
      <c r="I1062" t="s">
        <v>323</v>
      </c>
      <c r="J1062">
        <v>2</v>
      </c>
      <c r="K1062">
        <v>3500</v>
      </c>
      <c r="L1062">
        <v>10000</v>
      </c>
      <c r="M1062">
        <v>20000</v>
      </c>
      <c r="N1062" t="s">
        <v>19</v>
      </c>
    </row>
    <row r="1063" spans="1:14" x14ac:dyDescent="0.25">
      <c r="A1063" t="str">
        <f>Table3[[#This Row],[Company Name]] &amp; " - " &amp; Table3[[#This Row],[Store Name]] &amp; " - " &amp; Table3[[#This Row],[Store Branch / Address]]</f>
        <v>CHICKEN DELI - HUE BORACAY - GENERIC</v>
      </c>
      <c r="B1063" t="str">
        <f>Table3[[#This Row],[Client ID]] &amp; " - " &amp; Table3[[#This Row],[SO Number]]</f>
        <v>CHICKEN DELI - HUE BORACAY - GENERIC - SO-133</v>
      </c>
      <c r="C1063" t="s">
        <v>689</v>
      </c>
      <c r="D1063" t="s">
        <v>20</v>
      </c>
      <c r="E1063" t="s">
        <v>690</v>
      </c>
      <c r="F1063" t="s">
        <v>15</v>
      </c>
      <c r="G1063" t="s">
        <v>22</v>
      </c>
      <c r="H1063" t="s">
        <v>598</v>
      </c>
      <c r="I1063" t="s">
        <v>324</v>
      </c>
      <c r="J1063">
        <v>1</v>
      </c>
      <c r="K1063">
        <v>17500</v>
      </c>
      <c r="L1063">
        <v>50000</v>
      </c>
      <c r="M1063">
        <v>50000</v>
      </c>
      <c r="N1063" t="s">
        <v>19</v>
      </c>
    </row>
    <row r="1064" spans="1:14" x14ac:dyDescent="0.25">
      <c r="A1064" t="str">
        <f>Table3[[#This Row],[Company Name]] &amp; " - " &amp; Table3[[#This Row],[Store Name]] &amp; " - " &amp; Table3[[#This Row],[Store Branch / Address]]</f>
        <v>CHICKEN DELI - HUE BORACAY - GENERIC</v>
      </c>
      <c r="B1064" t="str">
        <f>Table3[[#This Row],[Client ID]] &amp; " - " &amp; Table3[[#This Row],[SO Number]]</f>
        <v>CHICKEN DELI - HUE BORACAY - GENERIC - SO-133</v>
      </c>
      <c r="C1064" t="s">
        <v>689</v>
      </c>
      <c r="D1064" t="s">
        <v>20</v>
      </c>
      <c r="E1064" t="s">
        <v>690</v>
      </c>
      <c r="F1064" t="s">
        <v>15</v>
      </c>
      <c r="G1064" t="s">
        <v>22</v>
      </c>
      <c r="H1064" t="s">
        <v>598</v>
      </c>
      <c r="I1064" t="s">
        <v>170</v>
      </c>
      <c r="J1064">
        <v>1</v>
      </c>
      <c r="K1064">
        <v>30000</v>
      </c>
      <c r="L1064">
        <v>30000</v>
      </c>
      <c r="M1064">
        <v>30000</v>
      </c>
      <c r="N1064" t="s">
        <v>19</v>
      </c>
    </row>
    <row r="1065" spans="1:14" x14ac:dyDescent="0.25">
      <c r="A1065" t="str">
        <f>Table3[[#This Row],[Company Name]] &amp; " - " &amp; Table3[[#This Row],[Store Name]] &amp; " - " &amp; Table3[[#This Row],[Store Branch / Address]]</f>
        <v>CHICKEN DELI - HUE BORACAY - GENERIC</v>
      </c>
      <c r="B1065" t="str">
        <f>Table3[[#This Row],[Client ID]] &amp; " - " &amp; Table3[[#This Row],[SO Number]]</f>
        <v>CHICKEN DELI - HUE BORACAY - GENERIC - SO-133</v>
      </c>
      <c r="C1065" t="s">
        <v>689</v>
      </c>
      <c r="D1065" t="s">
        <v>20</v>
      </c>
      <c r="E1065" t="s">
        <v>690</v>
      </c>
      <c r="F1065" t="s">
        <v>15</v>
      </c>
      <c r="G1065" t="s">
        <v>22</v>
      </c>
      <c r="H1065" t="s">
        <v>598</v>
      </c>
      <c r="I1065" t="s">
        <v>24</v>
      </c>
      <c r="J1065">
        <v>1</v>
      </c>
      <c r="K1065">
        <v>30000</v>
      </c>
      <c r="L1065">
        <v>30000</v>
      </c>
      <c r="M1065">
        <v>30000</v>
      </c>
      <c r="N1065" t="s">
        <v>19</v>
      </c>
    </row>
    <row r="1066" spans="1:14" x14ac:dyDescent="0.25">
      <c r="A1066" t="str">
        <f>Table3[[#This Row],[Company Name]] &amp; " - " &amp; Table3[[#This Row],[Store Name]] &amp; " - " &amp; Table3[[#This Row],[Store Branch / Address]]</f>
        <v>CHICKEN DELI - HUE BORACAY - GENERIC</v>
      </c>
      <c r="B1066" t="str">
        <f>Table3[[#This Row],[Client ID]] &amp; " - " &amp; Table3[[#This Row],[SO Number]]</f>
        <v>CHICKEN DELI - HUE BORACAY - GENERIC - SO-133</v>
      </c>
      <c r="C1066" t="s">
        <v>689</v>
      </c>
      <c r="D1066" t="s">
        <v>20</v>
      </c>
      <c r="E1066" t="s">
        <v>690</v>
      </c>
      <c r="F1066" t="s">
        <v>15</v>
      </c>
      <c r="G1066" t="s">
        <v>22</v>
      </c>
      <c r="H1066" t="s">
        <v>598</v>
      </c>
      <c r="I1066" t="s">
        <v>325</v>
      </c>
      <c r="J1066">
        <v>2</v>
      </c>
      <c r="K1066">
        <v>21500</v>
      </c>
      <c r="L1066">
        <v>31000</v>
      </c>
      <c r="M1066">
        <v>62000</v>
      </c>
      <c r="N1066" t="s">
        <v>19</v>
      </c>
    </row>
    <row r="1067" spans="1:14" x14ac:dyDescent="0.25">
      <c r="A1067" t="str">
        <f>Table3[[#This Row],[Company Name]] &amp; " - " &amp; Table3[[#This Row],[Store Name]] &amp; " - " &amp; Table3[[#This Row],[Store Branch / Address]]</f>
        <v>CHICKEN DELI - HUE BORACAY - GENERIC</v>
      </c>
      <c r="B1067" t="str">
        <f>Table3[[#This Row],[Client ID]] &amp; " - " &amp; Table3[[#This Row],[SO Number]]</f>
        <v>CHICKEN DELI - HUE BORACAY - GENERIC - SO-133</v>
      </c>
      <c r="C1067" t="s">
        <v>689</v>
      </c>
      <c r="D1067" t="s">
        <v>20</v>
      </c>
      <c r="E1067" t="s">
        <v>690</v>
      </c>
      <c r="F1067" t="s">
        <v>15</v>
      </c>
      <c r="G1067" t="s">
        <v>22</v>
      </c>
      <c r="H1067" t="s">
        <v>598</v>
      </c>
      <c r="I1067" t="s">
        <v>326</v>
      </c>
      <c r="J1067">
        <v>2</v>
      </c>
      <c r="K1067">
        <v>18500</v>
      </c>
      <c r="L1067">
        <v>26500</v>
      </c>
      <c r="M1067">
        <v>53000</v>
      </c>
      <c r="N1067" t="s">
        <v>19</v>
      </c>
    </row>
    <row r="1068" spans="1:14" x14ac:dyDescent="0.25">
      <c r="A1068" t="str">
        <f>Table3[[#This Row],[Company Name]] &amp; " - " &amp; Table3[[#This Row],[Store Name]] &amp; " - " &amp; Table3[[#This Row],[Store Branch / Address]]</f>
        <v>CHICKEN DELI - HUE BORACAY - GENERIC</v>
      </c>
      <c r="B1068" t="str">
        <f>Table3[[#This Row],[Client ID]] &amp; " - " &amp; Table3[[#This Row],[SO Number]]</f>
        <v>CHICKEN DELI - HUE BORACAY - GENERIC - SO-133</v>
      </c>
      <c r="C1068" t="s">
        <v>689</v>
      </c>
      <c r="D1068" t="s">
        <v>20</v>
      </c>
      <c r="E1068" t="s">
        <v>690</v>
      </c>
      <c r="F1068" t="s">
        <v>15</v>
      </c>
      <c r="G1068" t="s">
        <v>22</v>
      </c>
      <c r="H1068" t="s">
        <v>598</v>
      </c>
      <c r="I1068" t="s">
        <v>116</v>
      </c>
      <c r="J1068">
        <v>2</v>
      </c>
      <c r="K1068">
        <v>1350</v>
      </c>
      <c r="L1068">
        <v>2000</v>
      </c>
      <c r="M1068">
        <v>4000</v>
      </c>
      <c r="N1068" t="s">
        <v>19</v>
      </c>
    </row>
    <row r="1069" spans="1:14" x14ac:dyDescent="0.25">
      <c r="A1069" t="str">
        <f>Table3[[#This Row],[Company Name]] &amp; " - " &amp; Table3[[#This Row],[Store Name]] &amp; " - " &amp; Table3[[#This Row],[Store Branch / Address]]</f>
        <v>CHICKEN DELI - HUE BORACAY - GENERIC</v>
      </c>
      <c r="B1069" t="str">
        <f>Table3[[#This Row],[Client ID]] &amp; " - " &amp; Table3[[#This Row],[SO Number]]</f>
        <v>CHICKEN DELI - HUE BORACAY - GENERIC - SO-133</v>
      </c>
      <c r="C1069" t="s">
        <v>689</v>
      </c>
      <c r="D1069" t="s">
        <v>20</v>
      </c>
      <c r="E1069" t="s">
        <v>690</v>
      </c>
      <c r="F1069" t="s">
        <v>15</v>
      </c>
      <c r="G1069" t="s">
        <v>22</v>
      </c>
      <c r="H1069" t="s">
        <v>598</v>
      </c>
      <c r="I1069" t="s">
        <v>691</v>
      </c>
      <c r="J1069">
        <v>3</v>
      </c>
      <c r="K1069">
        <v>9500</v>
      </c>
      <c r="L1069">
        <v>13500</v>
      </c>
      <c r="M1069">
        <v>40500</v>
      </c>
      <c r="N1069" t="s">
        <v>19</v>
      </c>
    </row>
    <row r="1070" spans="1:14" x14ac:dyDescent="0.25">
      <c r="A1070" t="str">
        <f>Table3[[#This Row],[Company Name]] &amp; " - " &amp; Table3[[#This Row],[Store Name]] &amp; " - " &amp; Table3[[#This Row],[Store Branch / Address]]</f>
        <v>CHICKEN DELI - HUE BORACAY - GENERIC</v>
      </c>
      <c r="B1070" t="str">
        <f>Table3[[#This Row],[Client ID]] &amp; " - " &amp; Table3[[#This Row],[SO Number]]</f>
        <v>CHICKEN DELI - HUE BORACAY - GENERIC - SO-133</v>
      </c>
      <c r="C1070" t="s">
        <v>689</v>
      </c>
      <c r="D1070" t="s">
        <v>20</v>
      </c>
      <c r="E1070" t="s">
        <v>690</v>
      </c>
      <c r="F1070" t="s">
        <v>15</v>
      </c>
      <c r="G1070" t="s">
        <v>22</v>
      </c>
      <c r="H1070" t="s">
        <v>598</v>
      </c>
      <c r="I1070" t="s">
        <v>328</v>
      </c>
      <c r="J1070">
        <v>1</v>
      </c>
      <c r="K1070">
        <v>24330</v>
      </c>
      <c r="L1070">
        <v>34000</v>
      </c>
      <c r="M1070">
        <v>34000</v>
      </c>
      <c r="N1070" t="s">
        <v>19</v>
      </c>
    </row>
    <row r="1071" spans="1:14" x14ac:dyDescent="0.25">
      <c r="A1071" t="str">
        <f>Table3[[#This Row],[Company Name]] &amp; " - " &amp; Table3[[#This Row],[Store Name]] &amp; " - " &amp; Table3[[#This Row],[Store Branch / Address]]</f>
        <v>CHICKEN DELI - HUE BORACAY - GENERIC</v>
      </c>
      <c r="B1071" t="str">
        <f>Table3[[#This Row],[Client ID]] &amp; " - " &amp; Table3[[#This Row],[SO Number]]</f>
        <v>CHICKEN DELI - HUE BORACAY - GENERIC - SO-133</v>
      </c>
      <c r="C1071" t="s">
        <v>689</v>
      </c>
      <c r="D1071" t="s">
        <v>20</v>
      </c>
      <c r="E1071" t="s">
        <v>690</v>
      </c>
      <c r="F1071" t="s">
        <v>15</v>
      </c>
      <c r="G1071" t="s">
        <v>22</v>
      </c>
      <c r="H1071" t="s">
        <v>598</v>
      </c>
      <c r="I1071" t="s">
        <v>329</v>
      </c>
      <c r="J1071">
        <v>1</v>
      </c>
      <c r="K1071">
        <v>4250</v>
      </c>
      <c r="L1071">
        <v>6000</v>
      </c>
      <c r="M1071">
        <v>6000</v>
      </c>
      <c r="N1071" t="s">
        <v>19</v>
      </c>
    </row>
    <row r="1072" spans="1:14" x14ac:dyDescent="0.25">
      <c r="A1072" t="str">
        <f>Table3[[#This Row],[Company Name]] &amp; " - " &amp; Table3[[#This Row],[Store Name]] &amp; " - " &amp; Table3[[#This Row],[Store Branch / Address]]</f>
        <v>CHICKEN DELI - HUE BORACAY - GENERIC</v>
      </c>
      <c r="B1072" t="str">
        <f>Table3[[#This Row],[Client ID]] &amp; " - " &amp; Table3[[#This Row],[SO Number]]</f>
        <v>CHICKEN DELI - HUE BORACAY - GENERIC - SO-133</v>
      </c>
      <c r="C1072" t="s">
        <v>689</v>
      </c>
      <c r="D1072" t="s">
        <v>20</v>
      </c>
      <c r="E1072" t="s">
        <v>690</v>
      </c>
      <c r="F1072" t="s">
        <v>15</v>
      </c>
      <c r="G1072" t="s">
        <v>22</v>
      </c>
      <c r="H1072" t="s">
        <v>598</v>
      </c>
      <c r="I1072" t="s">
        <v>76</v>
      </c>
      <c r="J1072">
        <v>1</v>
      </c>
      <c r="K1072">
        <v>1100</v>
      </c>
      <c r="L1072">
        <v>1100</v>
      </c>
      <c r="M1072">
        <v>1100</v>
      </c>
      <c r="N1072" t="s">
        <v>19</v>
      </c>
    </row>
    <row r="1073" spans="1:14" x14ac:dyDescent="0.25">
      <c r="A1073" t="str">
        <f>Table3[[#This Row],[Company Name]] &amp; " - " &amp; Table3[[#This Row],[Store Name]] &amp; " - " &amp; Table3[[#This Row],[Store Branch / Address]]</f>
        <v>CHICKEN DELI - HUE BORACAY - GENERIC</v>
      </c>
      <c r="B1073" t="str">
        <f>Table3[[#This Row],[Client ID]] &amp; " - " &amp; Table3[[#This Row],[SO Number]]</f>
        <v>CHICKEN DELI - HUE BORACAY - GENERIC - SO-133</v>
      </c>
      <c r="C1073" t="s">
        <v>689</v>
      </c>
      <c r="D1073" t="s">
        <v>20</v>
      </c>
      <c r="E1073" t="s">
        <v>690</v>
      </c>
      <c r="F1073" t="s">
        <v>15</v>
      </c>
      <c r="G1073" t="s">
        <v>22</v>
      </c>
      <c r="H1073" t="s">
        <v>598</v>
      </c>
      <c r="I1073" t="s">
        <v>331</v>
      </c>
      <c r="J1073">
        <v>1</v>
      </c>
      <c r="K1073">
        <v>40000</v>
      </c>
      <c r="L1073">
        <v>40000</v>
      </c>
      <c r="M1073">
        <v>40000</v>
      </c>
      <c r="N1073" t="s">
        <v>19</v>
      </c>
    </row>
    <row r="1074" spans="1:14" x14ac:dyDescent="0.25">
      <c r="A1074" t="str">
        <f>Table3[[#This Row],[Company Name]] &amp; " - " &amp; Table3[[#This Row],[Store Name]] &amp; " - " &amp; Table3[[#This Row],[Store Branch / Address]]</f>
        <v>CHICKEN DELI - HUE BORACAY - GENERIC</v>
      </c>
      <c r="B1074" t="str">
        <f>Table3[[#This Row],[Client ID]] &amp; " - " &amp; Table3[[#This Row],[SO Number]]</f>
        <v>CHICKEN DELI - HUE BORACAY - GENERIC - SO-133</v>
      </c>
      <c r="C1074" t="s">
        <v>689</v>
      </c>
      <c r="D1074" t="s">
        <v>20</v>
      </c>
      <c r="E1074" t="s">
        <v>690</v>
      </c>
      <c r="F1074" t="s">
        <v>15</v>
      </c>
      <c r="G1074" t="s">
        <v>22</v>
      </c>
      <c r="H1074" t="s">
        <v>598</v>
      </c>
      <c r="I1074" t="s">
        <v>692</v>
      </c>
      <c r="J1074">
        <v>3</v>
      </c>
      <c r="K1074">
        <v>550</v>
      </c>
      <c r="L1074">
        <v>800</v>
      </c>
      <c r="M1074">
        <v>2400</v>
      </c>
      <c r="N1074" t="s">
        <v>19</v>
      </c>
    </row>
    <row r="1075" spans="1:14" x14ac:dyDescent="0.25">
      <c r="A1075" t="str">
        <f>Table3[[#This Row],[Company Name]] &amp; " - " &amp; Table3[[#This Row],[Store Name]] &amp; " - " &amp; Table3[[#This Row],[Store Branch / Address]]</f>
        <v>JUST SIMPLE BAKE HOUSE INC - LORD STOW'S BAKERY - SKY GARDEN ONGPIN</v>
      </c>
      <c r="B1075" t="str">
        <f>Table3[[#This Row],[Client ID]] &amp; " - " &amp; Table3[[#This Row],[SO Number]]</f>
        <v>JUST SIMPLE BAKE HOUSE INC - LORD STOW'S BAKERY - SKY GARDEN ONGPIN - SO-111</v>
      </c>
      <c r="C1075" t="s">
        <v>601</v>
      </c>
      <c r="D1075" t="s">
        <v>602</v>
      </c>
      <c r="E1075" t="s">
        <v>603</v>
      </c>
      <c r="F1075" t="s">
        <v>604</v>
      </c>
      <c r="G1075" t="s">
        <v>16</v>
      </c>
      <c r="H1075" t="s">
        <v>605</v>
      </c>
      <c r="I1075" t="s">
        <v>114</v>
      </c>
      <c r="J1075">
        <v>1</v>
      </c>
      <c r="K1075">
        <v>3675</v>
      </c>
      <c r="L1075">
        <v>10500</v>
      </c>
      <c r="M1075">
        <v>10500</v>
      </c>
      <c r="N1075" t="s">
        <v>39</v>
      </c>
    </row>
    <row r="1076" spans="1:14" x14ac:dyDescent="0.25">
      <c r="A1076" t="str">
        <f>Table3[[#This Row],[Company Name]] &amp; " - " &amp; Table3[[#This Row],[Store Name]] &amp; " - " &amp; Table3[[#This Row],[Store Branch / Address]]</f>
        <v>JUST SIMPLE BAKE HOUSE INC - LORD STOW'S BAKERY - SKY GARDEN ONGPIN</v>
      </c>
      <c r="B1076" t="str">
        <f>Table3[[#This Row],[Client ID]] &amp; " - " &amp; Table3[[#This Row],[SO Number]]</f>
        <v>JUST SIMPLE BAKE HOUSE INC - LORD STOW'S BAKERY - SKY GARDEN ONGPIN - SO-111</v>
      </c>
      <c r="C1076" t="s">
        <v>601</v>
      </c>
      <c r="D1076" t="s">
        <v>602</v>
      </c>
      <c r="E1076" t="s">
        <v>603</v>
      </c>
      <c r="F1076" t="s">
        <v>604</v>
      </c>
      <c r="G1076" t="s">
        <v>16</v>
      </c>
      <c r="H1076" t="s">
        <v>605</v>
      </c>
      <c r="I1076" t="s">
        <v>48</v>
      </c>
      <c r="J1076">
        <v>1</v>
      </c>
      <c r="K1076">
        <v>4375</v>
      </c>
      <c r="L1076">
        <v>12500</v>
      </c>
      <c r="M1076">
        <v>12500</v>
      </c>
      <c r="N1076" t="s">
        <v>39</v>
      </c>
    </row>
    <row r="1077" spans="1:14" x14ac:dyDescent="0.25">
      <c r="A1077" t="str">
        <f>Table3[[#This Row],[Company Name]] &amp; " - " &amp; Table3[[#This Row],[Store Name]] &amp; " - " &amp; Table3[[#This Row],[Store Branch / Address]]</f>
        <v>JUST SIMPLE BAKE HOUSE INC - LORD STOW'S BAKERY - SKY GARDEN ONGPIN</v>
      </c>
      <c r="B1077" t="str">
        <f>Table3[[#This Row],[Client ID]] &amp; " - " &amp; Table3[[#This Row],[SO Number]]</f>
        <v>JUST SIMPLE BAKE HOUSE INC - LORD STOW'S BAKERY - SKY GARDEN ONGPIN - SO-111</v>
      </c>
      <c r="C1077" t="s">
        <v>601</v>
      </c>
      <c r="D1077" t="s">
        <v>602</v>
      </c>
      <c r="E1077" t="s">
        <v>603</v>
      </c>
      <c r="F1077" t="s">
        <v>604</v>
      </c>
      <c r="G1077" t="s">
        <v>16</v>
      </c>
      <c r="H1077" t="s">
        <v>605</v>
      </c>
      <c r="I1077" t="s">
        <v>126</v>
      </c>
      <c r="J1077">
        <v>1</v>
      </c>
      <c r="K1077">
        <v>4375</v>
      </c>
      <c r="L1077">
        <v>12500</v>
      </c>
      <c r="M1077">
        <v>12500</v>
      </c>
      <c r="N1077" t="s">
        <v>39</v>
      </c>
    </row>
    <row r="1078" spans="1:14" x14ac:dyDescent="0.25">
      <c r="A1078" t="str">
        <f>Table3[[#This Row],[Company Name]] &amp; " - " &amp; Table3[[#This Row],[Store Name]] &amp; " - " &amp; Table3[[#This Row],[Store Branch / Address]]</f>
        <v>JUST SIMPLE BAKE HOUSE INC - LORD STOW'S BAKERY - SKY GARDEN ONGPIN</v>
      </c>
      <c r="B1078" t="str">
        <f>Table3[[#This Row],[Client ID]] &amp; " - " &amp; Table3[[#This Row],[SO Number]]</f>
        <v>JUST SIMPLE BAKE HOUSE INC - LORD STOW'S BAKERY - SKY GARDEN ONGPIN - SO-111</v>
      </c>
      <c r="C1078" t="s">
        <v>601</v>
      </c>
      <c r="D1078" t="s">
        <v>602</v>
      </c>
      <c r="E1078" t="s">
        <v>603</v>
      </c>
      <c r="F1078" t="s">
        <v>604</v>
      </c>
      <c r="G1078" t="s">
        <v>16</v>
      </c>
      <c r="H1078" t="s">
        <v>605</v>
      </c>
      <c r="I1078" t="s">
        <v>26</v>
      </c>
      <c r="J1078">
        <v>1</v>
      </c>
      <c r="K1078">
        <v>500</v>
      </c>
      <c r="L1078">
        <v>500</v>
      </c>
      <c r="M1078">
        <v>500</v>
      </c>
      <c r="N1078" t="s">
        <v>39</v>
      </c>
    </row>
    <row r="1079" spans="1:14" x14ac:dyDescent="0.25">
      <c r="A1079" t="str">
        <f>Table3[[#This Row],[Company Name]] &amp; " - " &amp; Table3[[#This Row],[Store Name]] &amp; " - " &amp; Table3[[#This Row],[Store Branch / Address]]</f>
        <v>JUST SIMPLE BAKE HOUSE INC - LORD STOW'S BAKERY - SKY GARDEN ONGPIN</v>
      </c>
      <c r="B1079" t="str">
        <f>Table3[[#This Row],[Client ID]] &amp; " - " &amp; Table3[[#This Row],[SO Number]]</f>
        <v>JUST SIMPLE BAKE HOUSE INC - LORD STOW'S BAKERY - SKY GARDEN ONGPIN - SO-111</v>
      </c>
      <c r="C1079" t="s">
        <v>601</v>
      </c>
      <c r="D1079" t="s">
        <v>602</v>
      </c>
      <c r="E1079" t="s">
        <v>603</v>
      </c>
      <c r="F1079" t="s">
        <v>604</v>
      </c>
      <c r="G1079" t="s">
        <v>16</v>
      </c>
      <c r="H1079" t="s">
        <v>605</v>
      </c>
      <c r="I1079" t="s">
        <v>38</v>
      </c>
      <c r="J1079">
        <v>1</v>
      </c>
      <c r="K1079">
        <v>8500</v>
      </c>
      <c r="L1079">
        <v>12500</v>
      </c>
      <c r="M1079">
        <v>12500</v>
      </c>
      <c r="N1079" t="s">
        <v>39</v>
      </c>
    </row>
    <row r="1080" spans="1:14" x14ac:dyDescent="0.25">
      <c r="A1080" t="str">
        <f>Table3[[#This Row],[Company Name]] &amp; " - " &amp; Table3[[#This Row],[Store Name]] &amp; " - " &amp; Table3[[#This Row],[Store Branch / Address]]</f>
        <v>JUST SIMPLE BAKE HOUSE INC - LORD STOW'S BAKERY - SKY GARDEN ONGPIN</v>
      </c>
      <c r="B1080" t="str">
        <f>Table3[[#This Row],[Client ID]] &amp; " - " &amp; Table3[[#This Row],[SO Number]]</f>
        <v>JUST SIMPLE BAKE HOUSE INC - LORD STOW'S BAKERY - SKY GARDEN ONGPIN - SO-111</v>
      </c>
      <c r="C1080" t="s">
        <v>601</v>
      </c>
      <c r="D1080" t="s">
        <v>602</v>
      </c>
      <c r="E1080" t="s">
        <v>603</v>
      </c>
      <c r="F1080" t="s">
        <v>604</v>
      </c>
      <c r="G1080" t="s">
        <v>16</v>
      </c>
      <c r="H1080" t="s">
        <v>605</v>
      </c>
      <c r="I1080" t="s">
        <v>63</v>
      </c>
      <c r="J1080">
        <v>1</v>
      </c>
      <c r="K1080">
        <v>500</v>
      </c>
      <c r="L1080">
        <v>500</v>
      </c>
      <c r="M1080">
        <v>500</v>
      </c>
      <c r="N1080" t="s">
        <v>39</v>
      </c>
    </row>
    <row r="1081" spans="1:14" x14ac:dyDescent="0.25">
      <c r="A1081" t="str">
        <f>Table3[[#This Row],[Company Name]] &amp; " - " &amp; Table3[[#This Row],[Store Name]] &amp; " - " &amp; Table3[[#This Row],[Store Branch / Address]]</f>
        <v>CHICKEN DELI - KARIMADON - GENERIC</v>
      </c>
      <c r="B1081" t="str">
        <f>Table3[[#This Row],[Client ID]] &amp; " - " &amp; Table3[[#This Row],[SO Number]]</f>
        <v>CHICKEN DELI - KARIMADON - GENERIC - SO-134</v>
      </c>
      <c r="C1081" t="s">
        <v>697</v>
      </c>
      <c r="D1081" t="s">
        <v>20</v>
      </c>
      <c r="E1081" t="s">
        <v>263</v>
      </c>
      <c r="F1081" t="s">
        <v>15</v>
      </c>
      <c r="G1081" t="s">
        <v>22</v>
      </c>
      <c r="H1081" t="s">
        <v>605</v>
      </c>
      <c r="I1081" t="s">
        <v>133</v>
      </c>
      <c r="J1081">
        <v>1</v>
      </c>
      <c r="K1081">
        <v>3675</v>
      </c>
      <c r="L1081">
        <v>10500</v>
      </c>
      <c r="M1081">
        <v>10500</v>
      </c>
      <c r="N1081" t="s">
        <v>19</v>
      </c>
    </row>
    <row r="1082" spans="1:14" x14ac:dyDescent="0.25">
      <c r="A1082" t="str">
        <f>Table3[[#This Row],[Company Name]] &amp; " - " &amp; Table3[[#This Row],[Store Name]] &amp; " - " &amp; Table3[[#This Row],[Store Branch / Address]]</f>
        <v>CHICKEN DELI - KARIMADON - GENERIC</v>
      </c>
      <c r="B1082" t="str">
        <f>Table3[[#This Row],[Client ID]] &amp; " - " &amp; Table3[[#This Row],[SO Number]]</f>
        <v>CHICKEN DELI - KARIMADON - GENERIC - SO-134</v>
      </c>
      <c r="C1082" t="s">
        <v>697</v>
      </c>
      <c r="D1082" t="s">
        <v>20</v>
      </c>
      <c r="E1082" t="s">
        <v>263</v>
      </c>
      <c r="F1082" t="s">
        <v>15</v>
      </c>
      <c r="G1082" t="s">
        <v>22</v>
      </c>
      <c r="H1082" t="s">
        <v>605</v>
      </c>
      <c r="I1082" t="s">
        <v>25</v>
      </c>
      <c r="J1082">
        <v>1</v>
      </c>
      <c r="K1082">
        <v>11000</v>
      </c>
      <c r="L1082">
        <v>11000</v>
      </c>
      <c r="M1082">
        <v>11000</v>
      </c>
      <c r="N1082" t="s">
        <v>19</v>
      </c>
    </row>
    <row r="1083" spans="1:14" x14ac:dyDescent="0.25">
      <c r="A1083" t="str">
        <f>Table3[[#This Row],[Company Name]] &amp; " - " &amp; Table3[[#This Row],[Store Name]] &amp; " - " &amp; Table3[[#This Row],[Store Branch / Address]]</f>
        <v>CHICKEN DELI - KARIMADON - GENERIC</v>
      </c>
      <c r="B1083" t="str">
        <f>Table3[[#This Row],[Client ID]] &amp; " - " &amp; Table3[[#This Row],[SO Number]]</f>
        <v>CHICKEN DELI - KARIMADON - GENERIC - SO-134</v>
      </c>
      <c r="C1083" t="s">
        <v>697</v>
      </c>
      <c r="D1083" t="s">
        <v>20</v>
      </c>
      <c r="E1083" t="s">
        <v>263</v>
      </c>
      <c r="F1083" t="s">
        <v>15</v>
      </c>
      <c r="G1083" t="s">
        <v>22</v>
      </c>
      <c r="H1083" t="s">
        <v>605</v>
      </c>
      <c r="I1083" t="s">
        <v>24</v>
      </c>
      <c r="J1083">
        <v>1</v>
      </c>
      <c r="K1083">
        <v>11000</v>
      </c>
      <c r="L1083">
        <v>11000</v>
      </c>
      <c r="M1083">
        <v>11000</v>
      </c>
      <c r="N1083" t="s">
        <v>19</v>
      </c>
    </row>
    <row r="1084" spans="1:14" x14ac:dyDescent="0.25">
      <c r="A1084" t="str">
        <f>Table3[[#This Row],[Company Name]] &amp; " - " &amp; Table3[[#This Row],[Store Name]] &amp; " - " &amp; Table3[[#This Row],[Store Branch / Address]]</f>
        <v>CHICKEN DELI - KARIMADON - GENERIC</v>
      </c>
      <c r="B1084" t="str">
        <f>Table3[[#This Row],[Client ID]] &amp; " - " &amp; Table3[[#This Row],[SO Number]]</f>
        <v>CHICKEN DELI - KARIMADON - GENERIC - SO-134</v>
      </c>
      <c r="C1084" t="s">
        <v>697</v>
      </c>
      <c r="D1084" t="s">
        <v>20</v>
      </c>
      <c r="E1084" t="s">
        <v>263</v>
      </c>
      <c r="F1084" t="s">
        <v>15</v>
      </c>
      <c r="G1084" t="s">
        <v>22</v>
      </c>
      <c r="H1084" t="s">
        <v>605</v>
      </c>
      <c r="I1084" t="s">
        <v>134</v>
      </c>
      <c r="J1084">
        <v>1</v>
      </c>
      <c r="K1084">
        <v>500</v>
      </c>
      <c r="L1084">
        <v>500</v>
      </c>
      <c r="M1084">
        <v>500</v>
      </c>
      <c r="N1084" t="s">
        <v>19</v>
      </c>
    </row>
    <row r="1085" spans="1:14" x14ac:dyDescent="0.25">
      <c r="A1085" t="str">
        <f>Table3[[#This Row],[Company Name]] &amp; " - " &amp; Table3[[#This Row],[Store Name]] &amp; " - " &amp; Table3[[#This Row],[Store Branch / Address]]</f>
        <v>CHICKEN DELI - KARIMADON - GENERIC</v>
      </c>
      <c r="B1085" t="str">
        <f>Table3[[#This Row],[Client ID]] &amp; " - " &amp; Table3[[#This Row],[SO Number]]</f>
        <v>CHICKEN DELI - KARIMADON - GENERIC - SO-134</v>
      </c>
      <c r="C1085" t="s">
        <v>697</v>
      </c>
      <c r="D1085" t="s">
        <v>20</v>
      </c>
      <c r="E1085" t="s">
        <v>263</v>
      </c>
      <c r="F1085" t="s">
        <v>15</v>
      </c>
      <c r="G1085" t="s">
        <v>22</v>
      </c>
      <c r="H1085" t="s">
        <v>605</v>
      </c>
      <c r="I1085" t="s">
        <v>98</v>
      </c>
      <c r="J1085">
        <v>1</v>
      </c>
      <c r="K1085">
        <v>935</v>
      </c>
      <c r="L1085">
        <v>1500</v>
      </c>
      <c r="M1085">
        <v>1500</v>
      </c>
      <c r="N1085" t="s">
        <v>19</v>
      </c>
    </row>
    <row r="1086" spans="1:14" x14ac:dyDescent="0.25">
      <c r="A1086" t="str">
        <f>Table3[[#This Row],[Company Name]] &amp; " - " &amp; Table3[[#This Row],[Store Name]] &amp; " - " &amp; Table3[[#This Row],[Store Branch / Address]]</f>
        <v>CHICKEN DELI - KARIMADON - GENERIC</v>
      </c>
      <c r="B1086" t="str">
        <f>Table3[[#This Row],[Client ID]] &amp; " - " &amp; Table3[[#This Row],[SO Number]]</f>
        <v>CHICKEN DELI - KARIMADON - GENERIC - SO-134</v>
      </c>
      <c r="C1086" t="s">
        <v>697</v>
      </c>
      <c r="D1086" t="s">
        <v>20</v>
      </c>
      <c r="E1086" t="s">
        <v>263</v>
      </c>
      <c r="F1086" t="s">
        <v>15</v>
      </c>
      <c r="G1086" t="s">
        <v>22</v>
      </c>
      <c r="H1086" t="s">
        <v>605</v>
      </c>
      <c r="I1086" t="s">
        <v>137</v>
      </c>
      <c r="J1086">
        <v>1</v>
      </c>
      <c r="K1086">
        <v>2200</v>
      </c>
      <c r="L1086">
        <v>3200</v>
      </c>
      <c r="M1086">
        <v>3200</v>
      </c>
      <c r="N1086" t="s">
        <v>19</v>
      </c>
    </row>
    <row r="1087" spans="1:14" x14ac:dyDescent="0.25">
      <c r="A1087" t="str">
        <f>Table3[[#This Row],[Company Name]] &amp; " - " &amp; Table3[[#This Row],[Store Name]] &amp; " - " &amp; Table3[[#This Row],[Store Branch / Address]]</f>
        <v>CHICKEN DELI - KARIMADON - GENERIC</v>
      </c>
      <c r="B1087" t="str">
        <f>Table3[[#This Row],[Client ID]] &amp; " - " &amp; Table3[[#This Row],[SO Number]]</f>
        <v>CHICKEN DELI - KARIMADON - GENERIC - SO-134</v>
      </c>
      <c r="C1087" t="s">
        <v>697</v>
      </c>
      <c r="D1087" t="s">
        <v>20</v>
      </c>
      <c r="E1087" t="s">
        <v>263</v>
      </c>
      <c r="F1087" t="s">
        <v>15</v>
      </c>
      <c r="G1087" t="s">
        <v>22</v>
      </c>
      <c r="H1087" t="s">
        <v>605</v>
      </c>
      <c r="I1087" t="s">
        <v>138</v>
      </c>
      <c r="J1087">
        <v>1</v>
      </c>
      <c r="K1087">
        <v>18700</v>
      </c>
      <c r="L1087">
        <v>27000</v>
      </c>
      <c r="M1087">
        <v>27000</v>
      </c>
      <c r="N1087" t="s">
        <v>19</v>
      </c>
    </row>
    <row r="1088" spans="1:14" x14ac:dyDescent="0.25">
      <c r="A1088" t="str">
        <f>Table3[[#This Row],[Company Name]] &amp; " - " &amp; Table3[[#This Row],[Store Name]] &amp; " - " &amp; Table3[[#This Row],[Store Branch / Address]]</f>
        <v>CHICKEN DELI - KARIMADON - GENERIC</v>
      </c>
      <c r="B1088" t="str">
        <f>Table3[[#This Row],[Client ID]] &amp; " - " &amp; Table3[[#This Row],[SO Number]]</f>
        <v>CHICKEN DELI - KARIMADON - GENERIC - SO-134</v>
      </c>
      <c r="C1088" t="s">
        <v>697</v>
      </c>
      <c r="D1088" t="s">
        <v>20</v>
      </c>
      <c r="E1088" t="s">
        <v>263</v>
      </c>
      <c r="F1088" t="s">
        <v>15</v>
      </c>
      <c r="G1088" t="s">
        <v>22</v>
      </c>
      <c r="H1088" t="s">
        <v>605</v>
      </c>
      <c r="I1088" t="s">
        <v>139</v>
      </c>
      <c r="J1088">
        <v>1</v>
      </c>
      <c r="K1088">
        <v>2800</v>
      </c>
      <c r="L1088">
        <v>4000</v>
      </c>
      <c r="M1088">
        <v>4000</v>
      </c>
      <c r="N1088" t="s">
        <v>19</v>
      </c>
    </row>
    <row r="1089" spans="1:14" x14ac:dyDescent="0.25">
      <c r="A1089" t="str">
        <f>Table3[[#This Row],[Company Name]] &amp; " - " &amp; Table3[[#This Row],[Store Name]] &amp; " - " &amp; Table3[[#This Row],[Store Branch / Address]]</f>
        <v>CHICKEN DELI - KARIMADON - GENERIC</v>
      </c>
      <c r="B1089" t="str">
        <f>Table3[[#This Row],[Client ID]] &amp; " - " &amp; Table3[[#This Row],[SO Number]]</f>
        <v>CHICKEN DELI - KARIMADON - GENERIC - SO-134</v>
      </c>
      <c r="C1089" t="s">
        <v>697</v>
      </c>
      <c r="D1089" t="s">
        <v>20</v>
      </c>
      <c r="E1089" t="s">
        <v>263</v>
      </c>
      <c r="F1089" t="s">
        <v>15</v>
      </c>
      <c r="G1089" t="s">
        <v>22</v>
      </c>
      <c r="H1089" t="s">
        <v>605</v>
      </c>
      <c r="I1089" t="s">
        <v>99</v>
      </c>
      <c r="J1089">
        <v>1</v>
      </c>
      <c r="K1089">
        <v>2800</v>
      </c>
      <c r="L1089">
        <v>4000</v>
      </c>
      <c r="M1089">
        <v>4000</v>
      </c>
      <c r="N1089" t="s">
        <v>19</v>
      </c>
    </row>
    <row r="1090" spans="1:14" x14ac:dyDescent="0.25">
      <c r="A1090" t="str">
        <f>Table3[[#This Row],[Company Name]] &amp; " - " &amp; Table3[[#This Row],[Store Name]] &amp; " - " &amp; Table3[[#This Row],[Store Branch / Address]]</f>
        <v>CHICKEN DELI - KARIMADON - GENERIC</v>
      </c>
      <c r="B1090" t="str">
        <f>Table3[[#This Row],[Client ID]] &amp; " - " &amp; Table3[[#This Row],[SO Number]]</f>
        <v>CHICKEN DELI - KARIMADON - GENERIC - SO-134</v>
      </c>
      <c r="C1090" t="s">
        <v>697</v>
      </c>
      <c r="D1090" t="s">
        <v>20</v>
      </c>
      <c r="E1090" t="s">
        <v>263</v>
      </c>
      <c r="F1090" t="s">
        <v>15</v>
      </c>
      <c r="G1090" t="s">
        <v>22</v>
      </c>
      <c r="H1090" t="s">
        <v>605</v>
      </c>
      <c r="I1090" t="s">
        <v>76</v>
      </c>
      <c r="J1090">
        <v>1</v>
      </c>
      <c r="K1090">
        <v>500</v>
      </c>
      <c r="L1090">
        <v>500</v>
      </c>
      <c r="M1090">
        <v>500</v>
      </c>
      <c r="N1090" t="s">
        <v>19</v>
      </c>
    </row>
    <row r="1091" spans="1:14" x14ac:dyDescent="0.25">
      <c r="A1091" t="str">
        <f>Table3[[#This Row],[Company Name]] &amp; " - " &amp; Table3[[#This Row],[Store Name]] &amp; " - " &amp; Table3[[#This Row],[Store Branch / Address]]</f>
        <v>CHICKEN DELI - KARIMADON - GENERIC</v>
      </c>
      <c r="B1091" t="str">
        <f>Table3[[#This Row],[Client ID]] &amp; " - " &amp; Table3[[#This Row],[SO Number]]</f>
        <v>CHICKEN DELI - KARIMADON - GENERIC - SO-135</v>
      </c>
      <c r="C1091" t="s">
        <v>702</v>
      </c>
      <c r="D1091" t="s">
        <v>20</v>
      </c>
      <c r="E1091" t="s">
        <v>263</v>
      </c>
      <c r="F1091" t="s">
        <v>15</v>
      </c>
      <c r="G1091" t="s">
        <v>22</v>
      </c>
      <c r="H1091" t="s">
        <v>605</v>
      </c>
      <c r="I1091" t="s">
        <v>133</v>
      </c>
      <c r="J1091">
        <v>1</v>
      </c>
      <c r="K1091">
        <v>3675</v>
      </c>
      <c r="L1091">
        <v>10500</v>
      </c>
      <c r="M1091">
        <v>10500</v>
      </c>
      <c r="N1091" t="s">
        <v>19</v>
      </c>
    </row>
    <row r="1092" spans="1:14" x14ac:dyDescent="0.25">
      <c r="A1092" t="str">
        <f>Table3[[#This Row],[Company Name]] &amp; " - " &amp; Table3[[#This Row],[Store Name]] &amp; " - " &amp; Table3[[#This Row],[Store Branch / Address]]</f>
        <v>CHICKEN DELI - KARIMADON - GENERIC</v>
      </c>
      <c r="B1092" t="str">
        <f>Table3[[#This Row],[Client ID]] &amp; " - " &amp; Table3[[#This Row],[SO Number]]</f>
        <v>CHICKEN DELI - KARIMADON - GENERIC - SO-135</v>
      </c>
      <c r="C1092" t="s">
        <v>702</v>
      </c>
      <c r="D1092" t="s">
        <v>20</v>
      </c>
      <c r="E1092" t="s">
        <v>263</v>
      </c>
      <c r="F1092" t="s">
        <v>15</v>
      </c>
      <c r="G1092" t="s">
        <v>22</v>
      </c>
      <c r="H1092" t="s">
        <v>605</v>
      </c>
      <c r="I1092" t="s">
        <v>25</v>
      </c>
      <c r="J1092">
        <v>1</v>
      </c>
      <c r="K1092">
        <v>9000</v>
      </c>
      <c r="L1092">
        <v>9000</v>
      </c>
      <c r="M1092">
        <v>9000</v>
      </c>
      <c r="N1092" t="s">
        <v>19</v>
      </c>
    </row>
    <row r="1093" spans="1:14" x14ac:dyDescent="0.25">
      <c r="A1093" t="str">
        <f>Table3[[#This Row],[Company Name]] &amp; " - " &amp; Table3[[#This Row],[Store Name]] &amp; " - " &amp; Table3[[#This Row],[Store Branch / Address]]</f>
        <v>CHICKEN DELI - KARIMADON - GENERIC</v>
      </c>
      <c r="B1093" t="str">
        <f>Table3[[#This Row],[Client ID]] &amp; " - " &amp; Table3[[#This Row],[SO Number]]</f>
        <v>CHICKEN DELI - KARIMADON - GENERIC - SO-135</v>
      </c>
      <c r="C1093" t="s">
        <v>702</v>
      </c>
      <c r="D1093" t="s">
        <v>20</v>
      </c>
      <c r="E1093" t="s">
        <v>263</v>
      </c>
      <c r="F1093" t="s">
        <v>15</v>
      </c>
      <c r="G1093" t="s">
        <v>22</v>
      </c>
      <c r="H1093" t="s">
        <v>605</v>
      </c>
      <c r="I1093" t="s">
        <v>24</v>
      </c>
      <c r="J1093">
        <v>1</v>
      </c>
      <c r="K1093">
        <v>9000</v>
      </c>
      <c r="L1093">
        <v>9000</v>
      </c>
      <c r="M1093">
        <v>9000</v>
      </c>
      <c r="N1093" t="s">
        <v>19</v>
      </c>
    </row>
    <row r="1094" spans="1:14" x14ac:dyDescent="0.25">
      <c r="A1094" t="str">
        <f>Table3[[#This Row],[Company Name]] &amp; " - " &amp; Table3[[#This Row],[Store Name]] &amp; " - " &amp; Table3[[#This Row],[Store Branch / Address]]</f>
        <v>CHICKEN DELI - KARIMADON - GENERIC</v>
      </c>
      <c r="B1094" t="str">
        <f>Table3[[#This Row],[Client ID]] &amp; " - " &amp; Table3[[#This Row],[SO Number]]</f>
        <v>CHICKEN DELI - KARIMADON - GENERIC - SO-135</v>
      </c>
      <c r="C1094" t="s">
        <v>702</v>
      </c>
      <c r="D1094" t="s">
        <v>20</v>
      </c>
      <c r="E1094" t="s">
        <v>263</v>
      </c>
      <c r="F1094" t="s">
        <v>15</v>
      </c>
      <c r="G1094" t="s">
        <v>22</v>
      </c>
      <c r="H1094" t="s">
        <v>605</v>
      </c>
      <c r="I1094" t="s">
        <v>134</v>
      </c>
      <c r="J1094">
        <v>1</v>
      </c>
      <c r="K1094">
        <v>500</v>
      </c>
      <c r="L1094">
        <v>500</v>
      </c>
      <c r="M1094">
        <v>500</v>
      </c>
      <c r="N1094" t="s">
        <v>19</v>
      </c>
    </row>
    <row r="1095" spans="1:14" x14ac:dyDescent="0.25">
      <c r="A1095" t="str">
        <f>Table3[[#This Row],[Company Name]] &amp; " - " &amp; Table3[[#This Row],[Store Name]] &amp; " - " &amp; Table3[[#This Row],[Store Branch / Address]]</f>
        <v>CHICKEN DELI - KARIMADON - GENERIC</v>
      </c>
      <c r="B1095" t="str">
        <f>Table3[[#This Row],[Client ID]] &amp; " - " &amp; Table3[[#This Row],[SO Number]]</f>
        <v>CHICKEN DELI - KARIMADON - GENERIC - SO-135</v>
      </c>
      <c r="C1095" t="s">
        <v>702</v>
      </c>
      <c r="D1095" t="s">
        <v>20</v>
      </c>
      <c r="E1095" t="s">
        <v>263</v>
      </c>
      <c r="F1095" t="s">
        <v>15</v>
      </c>
      <c r="G1095" t="s">
        <v>22</v>
      </c>
      <c r="H1095" t="s">
        <v>605</v>
      </c>
      <c r="I1095" t="s">
        <v>703</v>
      </c>
      <c r="J1095">
        <v>1</v>
      </c>
      <c r="K1095">
        <v>4600</v>
      </c>
      <c r="L1095">
        <v>6500</v>
      </c>
      <c r="M1095">
        <v>6500</v>
      </c>
      <c r="N1095" t="s">
        <v>19</v>
      </c>
    </row>
    <row r="1096" spans="1:14" x14ac:dyDescent="0.25">
      <c r="A1096" t="str">
        <f>Table3[[#This Row],[Company Name]] &amp; " - " &amp; Table3[[#This Row],[Store Name]] &amp; " - " &amp; Table3[[#This Row],[Store Branch / Address]]</f>
        <v>CHICKEN DELI - KARIMADON - GENERIC</v>
      </c>
      <c r="B1096" t="str">
        <f>Table3[[#This Row],[Client ID]] &amp; " - " &amp; Table3[[#This Row],[SO Number]]</f>
        <v>CHICKEN DELI - KARIMADON - GENERIC - SO-135</v>
      </c>
      <c r="C1096" t="s">
        <v>702</v>
      </c>
      <c r="D1096" t="s">
        <v>20</v>
      </c>
      <c r="E1096" t="s">
        <v>263</v>
      </c>
      <c r="F1096" t="s">
        <v>15</v>
      </c>
      <c r="G1096" t="s">
        <v>22</v>
      </c>
      <c r="H1096" t="s">
        <v>605</v>
      </c>
      <c r="I1096" t="s">
        <v>704</v>
      </c>
      <c r="J1096">
        <v>1</v>
      </c>
      <c r="K1096">
        <v>8500</v>
      </c>
      <c r="L1096">
        <v>12100</v>
      </c>
      <c r="M1096">
        <v>12100</v>
      </c>
      <c r="N1096" t="s">
        <v>19</v>
      </c>
    </row>
    <row r="1097" spans="1:14" x14ac:dyDescent="0.25">
      <c r="A1097" t="str">
        <f>Table3[[#This Row],[Company Name]] &amp; " - " &amp; Table3[[#This Row],[Store Name]] &amp; " - " &amp; Table3[[#This Row],[Store Branch / Address]]</f>
        <v>CHICKEN DELI - KARIMADON - GENERIC</v>
      </c>
      <c r="B1097" t="str">
        <f>Table3[[#This Row],[Client ID]] &amp; " - " &amp; Table3[[#This Row],[SO Number]]</f>
        <v>CHICKEN DELI - KARIMADON - GENERIC - SO-135</v>
      </c>
      <c r="C1097" t="s">
        <v>702</v>
      </c>
      <c r="D1097" t="s">
        <v>20</v>
      </c>
      <c r="E1097" t="s">
        <v>263</v>
      </c>
      <c r="F1097" t="s">
        <v>15</v>
      </c>
      <c r="G1097" t="s">
        <v>22</v>
      </c>
      <c r="H1097" t="s">
        <v>605</v>
      </c>
      <c r="I1097" t="s">
        <v>98</v>
      </c>
      <c r="J1097">
        <v>1</v>
      </c>
      <c r="K1097">
        <v>935</v>
      </c>
      <c r="L1097">
        <v>1500</v>
      </c>
      <c r="M1097">
        <v>1500</v>
      </c>
      <c r="N1097" t="s">
        <v>19</v>
      </c>
    </row>
    <row r="1098" spans="1:14" x14ac:dyDescent="0.25">
      <c r="A1098" t="str">
        <f>Table3[[#This Row],[Company Name]] &amp; " - " &amp; Table3[[#This Row],[Store Name]] &amp; " - " &amp; Table3[[#This Row],[Store Branch / Address]]</f>
        <v>CHICKEN DELI - KARIMADON - GENERIC</v>
      </c>
      <c r="B1098" t="str">
        <f>Table3[[#This Row],[Client ID]] &amp; " - " &amp; Table3[[#This Row],[SO Number]]</f>
        <v>CHICKEN DELI - KARIMADON - GENERIC - SO-135</v>
      </c>
      <c r="C1098" t="s">
        <v>702</v>
      </c>
      <c r="D1098" t="s">
        <v>20</v>
      </c>
      <c r="E1098" t="s">
        <v>263</v>
      </c>
      <c r="F1098" t="s">
        <v>15</v>
      </c>
      <c r="G1098" t="s">
        <v>22</v>
      </c>
      <c r="H1098" t="s">
        <v>605</v>
      </c>
      <c r="I1098" t="s">
        <v>137</v>
      </c>
      <c r="J1098">
        <v>1</v>
      </c>
      <c r="K1098">
        <v>2200</v>
      </c>
      <c r="L1098">
        <v>3200</v>
      </c>
      <c r="M1098">
        <v>3200</v>
      </c>
      <c r="N1098" t="s">
        <v>19</v>
      </c>
    </row>
    <row r="1099" spans="1:14" x14ac:dyDescent="0.25">
      <c r="A1099" t="str">
        <f>Table3[[#This Row],[Company Name]] &amp; " - " &amp; Table3[[#This Row],[Store Name]] &amp; " - " &amp; Table3[[#This Row],[Store Branch / Address]]</f>
        <v>CHICKEN DELI - KARIMADON - GENERIC</v>
      </c>
      <c r="B1099" t="str">
        <f>Table3[[#This Row],[Client ID]] &amp; " - " &amp; Table3[[#This Row],[SO Number]]</f>
        <v>CHICKEN DELI - KARIMADON - GENERIC - SO-135</v>
      </c>
      <c r="C1099" t="s">
        <v>702</v>
      </c>
      <c r="D1099" t="s">
        <v>20</v>
      </c>
      <c r="E1099" t="s">
        <v>263</v>
      </c>
      <c r="F1099" t="s">
        <v>15</v>
      </c>
      <c r="G1099" t="s">
        <v>22</v>
      </c>
      <c r="H1099" t="s">
        <v>605</v>
      </c>
      <c r="I1099" t="s">
        <v>705</v>
      </c>
      <c r="J1099">
        <v>1</v>
      </c>
      <c r="K1099">
        <v>24800</v>
      </c>
      <c r="L1099">
        <v>35000</v>
      </c>
      <c r="M1099">
        <v>35000</v>
      </c>
      <c r="N1099" t="s">
        <v>19</v>
      </c>
    </row>
    <row r="1100" spans="1:14" x14ac:dyDescent="0.25">
      <c r="A1100" t="str">
        <f>Table3[[#This Row],[Company Name]] &amp; " - " &amp; Table3[[#This Row],[Store Name]] &amp; " - " &amp; Table3[[#This Row],[Store Branch / Address]]</f>
        <v>CHICKEN DELI - KARIMADON - GENERIC</v>
      </c>
      <c r="B1100" t="str">
        <f>Table3[[#This Row],[Client ID]] &amp; " - " &amp; Table3[[#This Row],[SO Number]]</f>
        <v>CHICKEN DELI - KARIMADON - GENERIC - SO-135</v>
      </c>
      <c r="C1100" t="s">
        <v>702</v>
      </c>
      <c r="D1100" t="s">
        <v>20</v>
      </c>
      <c r="E1100" t="s">
        <v>263</v>
      </c>
      <c r="F1100" t="s">
        <v>15</v>
      </c>
      <c r="G1100" t="s">
        <v>22</v>
      </c>
      <c r="H1100" t="s">
        <v>605</v>
      </c>
      <c r="I1100" t="s">
        <v>99</v>
      </c>
      <c r="J1100">
        <v>1</v>
      </c>
      <c r="K1100">
        <v>2800</v>
      </c>
      <c r="L1100">
        <v>4000</v>
      </c>
      <c r="M1100">
        <v>4000</v>
      </c>
      <c r="N1100" t="s">
        <v>19</v>
      </c>
    </row>
    <row r="1101" spans="1:14" x14ac:dyDescent="0.25">
      <c r="A1101" t="str">
        <f>Table3[[#This Row],[Company Name]] &amp; " - " &amp; Table3[[#This Row],[Store Name]] &amp; " - " &amp; Table3[[#This Row],[Store Branch / Address]]</f>
        <v>CHICKEN DELI - KARIMADON - GENERIC</v>
      </c>
      <c r="B1101" t="str">
        <f>Table3[[#This Row],[Client ID]] &amp; " - " &amp; Table3[[#This Row],[SO Number]]</f>
        <v>CHICKEN DELI - KARIMADON - GENERIC - SO-135</v>
      </c>
      <c r="C1101" t="s">
        <v>702</v>
      </c>
      <c r="D1101" t="s">
        <v>20</v>
      </c>
      <c r="E1101" t="s">
        <v>263</v>
      </c>
      <c r="F1101" t="s">
        <v>15</v>
      </c>
      <c r="G1101" t="s">
        <v>22</v>
      </c>
      <c r="H1101" t="s">
        <v>605</v>
      </c>
      <c r="I1101" t="s">
        <v>76</v>
      </c>
      <c r="J1101">
        <v>1</v>
      </c>
      <c r="K1101">
        <v>500</v>
      </c>
      <c r="L1101">
        <v>500</v>
      </c>
      <c r="M1101">
        <v>500</v>
      </c>
      <c r="N1101" t="s">
        <v>19</v>
      </c>
    </row>
    <row r="1102" spans="1:14" x14ac:dyDescent="0.25">
      <c r="A1102" t="str">
        <f>Table3[[#This Row],[Company Name]] &amp; " - " &amp; Table3[[#This Row],[Store Name]] &amp; " - " &amp; Table3[[#This Row],[Store Branch / Address]]</f>
        <v>CHICKEN DELI - KARIMADON - GENERIC</v>
      </c>
      <c r="B1102" t="str">
        <f>Table3[[#This Row],[Client ID]] &amp; " - " &amp; Table3[[#This Row],[SO Number]]</f>
        <v>CHICKEN DELI - KARIMADON - GENERIC - SO-136</v>
      </c>
      <c r="C1102" t="s">
        <v>707</v>
      </c>
      <c r="D1102" t="s">
        <v>20</v>
      </c>
      <c r="E1102" t="s">
        <v>263</v>
      </c>
      <c r="F1102" t="s">
        <v>15</v>
      </c>
      <c r="G1102" t="s">
        <v>22</v>
      </c>
      <c r="H1102" t="s">
        <v>605</v>
      </c>
      <c r="I1102" t="s">
        <v>133</v>
      </c>
      <c r="J1102">
        <v>1</v>
      </c>
      <c r="K1102">
        <v>3675</v>
      </c>
      <c r="L1102">
        <v>10500</v>
      </c>
      <c r="M1102">
        <v>10500</v>
      </c>
      <c r="N1102" t="s">
        <v>19</v>
      </c>
    </row>
    <row r="1103" spans="1:14" x14ac:dyDescent="0.25">
      <c r="A1103" t="str">
        <f>Table3[[#This Row],[Company Name]] &amp; " - " &amp; Table3[[#This Row],[Store Name]] &amp; " - " &amp; Table3[[#This Row],[Store Branch / Address]]</f>
        <v>CHICKEN DELI - KARIMADON - GENERIC</v>
      </c>
      <c r="B1103" t="str">
        <f>Table3[[#This Row],[Client ID]] &amp; " - " &amp; Table3[[#This Row],[SO Number]]</f>
        <v>CHICKEN DELI - KARIMADON - GENERIC - SO-136</v>
      </c>
      <c r="C1103" t="s">
        <v>707</v>
      </c>
      <c r="D1103" t="s">
        <v>20</v>
      </c>
      <c r="E1103" t="s">
        <v>263</v>
      </c>
      <c r="F1103" t="s">
        <v>15</v>
      </c>
      <c r="G1103" t="s">
        <v>22</v>
      </c>
      <c r="H1103" t="s">
        <v>605</v>
      </c>
      <c r="I1103" t="s">
        <v>25</v>
      </c>
      <c r="J1103">
        <v>1</v>
      </c>
      <c r="K1103">
        <v>4500</v>
      </c>
      <c r="L1103">
        <v>4500</v>
      </c>
      <c r="M1103">
        <v>4500</v>
      </c>
      <c r="N1103" t="s">
        <v>19</v>
      </c>
    </row>
    <row r="1104" spans="1:14" x14ac:dyDescent="0.25">
      <c r="A1104" t="str">
        <f>Table3[[#This Row],[Company Name]] &amp; " - " &amp; Table3[[#This Row],[Store Name]] &amp; " - " &amp; Table3[[#This Row],[Store Branch / Address]]</f>
        <v>CHICKEN DELI - KARIMADON - GENERIC</v>
      </c>
      <c r="B1104" t="str">
        <f>Table3[[#This Row],[Client ID]] &amp; " - " &amp; Table3[[#This Row],[SO Number]]</f>
        <v>CHICKEN DELI - KARIMADON - GENERIC - SO-136</v>
      </c>
      <c r="C1104" t="s">
        <v>707</v>
      </c>
      <c r="D1104" t="s">
        <v>20</v>
      </c>
      <c r="E1104" t="s">
        <v>263</v>
      </c>
      <c r="F1104" t="s">
        <v>15</v>
      </c>
      <c r="G1104" t="s">
        <v>22</v>
      </c>
      <c r="H1104" t="s">
        <v>605</v>
      </c>
      <c r="I1104" t="s">
        <v>24</v>
      </c>
      <c r="J1104">
        <v>1</v>
      </c>
      <c r="K1104">
        <v>4500</v>
      </c>
      <c r="L1104">
        <v>4500</v>
      </c>
      <c r="M1104">
        <v>4500</v>
      </c>
      <c r="N1104" t="s">
        <v>19</v>
      </c>
    </row>
    <row r="1105" spans="1:14" x14ac:dyDescent="0.25">
      <c r="A1105" t="str">
        <f>Table3[[#This Row],[Company Name]] &amp; " - " &amp; Table3[[#This Row],[Store Name]] &amp; " - " &amp; Table3[[#This Row],[Store Branch / Address]]</f>
        <v>CHICKEN DELI - KARIMADON - GENERIC</v>
      </c>
      <c r="B1105" t="str">
        <f>Table3[[#This Row],[Client ID]] &amp; " - " &amp; Table3[[#This Row],[SO Number]]</f>
        <v>CHICKEN DELI - KARIMADON - GENERIC - SO-136</v>
      </c>
      <c r="C1105" t="s">
        <v>707</v>
      </c>
      <c r="D1105" t="s">
        <v>20</v>
      </c>
      <c r="E1105" t="s">
        <v>263</v>
      </c>
      <c r="F1105" t="s">
        <v>15</v>
      </c>
      <c r="G1105" t="s">
        <v>22</v>
      </c>
      <c r="H1105" t="s">
        <v>605</v>
      </c>
      <c r="I1105" t="s">
        <v>134</v>
      </c>
      <c r="J1105">
        <v>1</v>
      </c>
      <c r="K1105">
        <v>500</v>
      </c>
      <c r="L1105">
        <v>500</v>
      </c>
      <c r="M1105">
        <v>500</v>
      </c>
      <c r="N1105" t="s">
        <v>19</v>
      </c>
    </row>
    <row r="1106" spans="1:14" x14ac:dyDescent="0.25">
      <c r="A1106" t="str">
        <f>Table3[[#This Row],[Company Name]] &amp; " - " &amp; Table3[[#This Row],[Store Name]] &amp; " - " &amp; Table3[[#This Row],[Store Branch / Address]]</f>
        <v>CHICKEN DELI - KARIMADON - GENERIC</v>
      </c>
      <c r="B1106" t="str">
        <f>Table3[[#This Row],[Client ID]] &amp; " - " &amp; Table3[[#This Row],[SO Number]]</f>
        <v>CHICKEN DELI - KARIMADON - GENERIC - SO-136</v>
      </c>
      <c r="C1106" t="s">
        <v>707</v>
      </c>
      <c r="D1106" t="s">
        <v>20</v>
      </c>
      <c r="E1106" t="s">
        <v>263</v>
      </c>
      <c r="F1106" t="s">
        <v>15</v>
      </c>
      <c r="G1106" t="s">
        <v>22</v>
      </c>
      <c r="H1106" t="s">
        <v>605</v>
      </c>
      <c r="I1106" t="s">
        <v>703</v>
      </c>
      <c r="J1106">
        <v>1</v>
      </c>
      <c r="K1106">
        <v>4600</v>
      </c>
      <c r="L1106">
        <v>6500</v>
      </c>
      <c r="M1106">
        <v>6500</v>
      </c>
      <c r="N1106" t="s">
        <v>19</v>
      </c>
    </row>
    <row r="1107" spans="1:14" x14ac:dyDescent="0.25">
      <c r="A1107" t="str">
        <f>Table3[[#This Row],[Company Name]] &amp; " - " &amp; Table3[[#This Row],[Store Name]] &amp; " - " &amp; Table3[[#This Row],[Store Branch / Address]]</f>
        <v>CHICKEN DELI - KARIMADON - GENERIC</v>
      </c>
      <c r="B1107" t="str">
        <f>Table3[[#This Row],[Client ID]] &amp; " - " &amp; Table3[[#This Row],[SO Number]]</f>
        <v>CHICKEN DELI - KARIMADON - GENERIC - SO-136</v>
      </c>
      <c r="C1107" t="s">
        <v>707</v>
      </c>
      <c r="D1107" t="s">
        <v>20</v>
      </c>
      <c r="E1107" t="s">
        <v>263</v>
      </c>
      <c r="F1107" t="s">
        <v>15</v>
      </c>
      <c r="G1107" t="s">
        <v>22</v>
      </c>
      <c r="H1107" t="s">
        <v>605</v>
      </c>
      <c r="I1107" t="s">
        <v>704</v>
      </c>
      <c r="J1107">
        <v>1</v>
      </c>
      <c r="K1107">
        <v>8500</v>
      </c>
      <c r="L1107">
        <v>12100</v>
      </c>
      <c r="M1107">
        <v>12100</v>
      </c>
      <c r="N1107" t="s">
        <v>19</v>
      </c>
    </row>
    <row r="1108" spans="1:14" x14ac:dyDescent="0.25">
      <c r="A1108" t="str">
        <f>Table3[[#This Row],[Company Name]] &amp; " - " &amp; Table3[[#This Row],[Store Name]] &amp; " - " &amp; Table3[[#This Row],[Store Branch / Address]]</f>
        <v>CHICKEN DELI - KARIMADON - GENERIC</v>
      </c>
      <c r="B1108" t="str">
        <f>Table3[[#This Row],[Client ID]] &amp; " - " &amp; Table3[[#This Row],[SO Number]]</f>
        <v>CHICKEN DELI - KARIMADON - GENERIC - SO-136</v>
      </c>
      <c r="C1108" t="s">
        <v>707</v>
      </c>
      <c r="D1108" t="s">
        <v>20</v>
      </c>
      <c r="E1108" t="s">
        <v>263</v>
      </c>
      <c r="F1108" t="s">
        <v>15</v>
      </c>
      <c r="G1108" t="s">
        <v>22</v>
      </c>
      <c r="H1108" t="s">
        <v>605</v>
      </c>
      <c r="I1108" t="s">
        <v>98</v>
      </c>
      <c r="J1108">
        <v>1</v>
      </c>
      <c r="K1108">
        <v>935</v>
      </c>
      <c r="L1108">
        <v>1500</v>
      </c>
      <c r="M1108">
        <v>1500</v>
      </c>
      <c r="N1108" t="s">
        <v>19</v>
      </c>
    </row>
    <row r="1109" spans="1:14" x14ac:dyDescent="0.25">
      <c r="A1109" t="str">
        <f>Table3[[#This Row],[Company Name]] &amp; " - " &amp; Table3[[#This Row],[Store Name]] &amp; " - " &amp; Table3[[#This Row],[Store Branch / Address]]</f>
        <v>CHICKEN DELI - KARIMADON - GENERIC</v>
      </c>
      <c r="B1109" t="str">
        <f>Table3[[#This Row],[Client ID]] &amp; " - " &amp; Table3[[#This Row],[SO Number]]</f>
        <v>CHICKEN DELI - KARIMADON - GENERIC - SO-136</v>
      </c>
      <c r="C1109" t="s">
        <v>707</v>
      </c>
      <c r="D1109" t="s">
        <v>20</v>
      </c>
      <c r="E1109" t="s">
        <v>263</v>
      </c>
      <c r="F1109" t="s">
        <v>15</v>
      </c>
      <c r="G1109" t="s">
        <v>22</v>
      </c>
      <c r="H1109" t="s">
        <v>605</v>
      </c>
      <c r="I1109" t="s">
        <v>137</v>
      </c>
      <c r="J1109">
        <v>1</v>
      </c>
      <c r="K1109">
        <v>2200</v>
      </c>
      <c r="L1109">
        <v>3200</v>
      </c>
      <c r="M1109">
        <v>3200</v>
      </c>
      <c r="N1109" t="s">
        <v>19</v>
      </c>
    </row>
    <row r="1110" spans="1:14" x14ac:dyDescent="0.25">
      <c r="A1110" t="str">
        <f>Table3[[#This Row],[Company Name]] &amp; " - " &amp; Table3[[#This Row],[Store Name]] &amp; " - " &amp; Table3[[#This Row],[Store Branch / Address]]</f>
        <v>CHICKEN DELI - KARIMADON - GENERIC</v>
      </c>
      <c r="B1110" t="str">
        <f>Table3[[#This Row],[Client ID]] &amp; " - " &amp; Table3[[#This Row],[SO Number]]</f>
        <v>CHICKEN DELI - KARIMADON - GENERIC - SO-136</v>
      </c>
      <c r="C1110" t="s">
        <v>707</v>
      </c>
      <c r="D1110" t="s">
        <v>20</v>
      </c>
      <c r="E1110" t="s">
        <v>263</v>
      </c>
      <c r="F1110" t="s">
        <v>15</v>
      </c>
      <c r="G1110" t="s">
        <v>22</v>
      </c>
      <c r="H1110" t="s">
        <v>605</v>
      </c>
      <c r="I1110" t="s">
        <v>705</v>
      </c>
      <c r="J1110">
        <v>1</v>
      </c>
      <c r="K1110">
        <v>24800</v>
      </c>
      <c r="L1110">
        <v>34000</v>
      </c>
      <c r="M1110">
        <v>34000</v>
      </c>
      <c r="N1110" t="s">
        <v>19</v>
      </c>
    </row>
    <row r="1111" spans="1:14" x14ac:dyDescent="0.25">
      <c r="A1111" t="str">
        <f>Table3[[#This Row],[Company Name]] &amp; " - " &amp; Table3[[#This Row],[Store Name]] &amp; " - " &amp; Table3[[#This Row],[Store Branch / Address]]</f>
        <v>CHICKEN DELI - KARIMADON - GENERIC</v>
      </c>
      <c r="B1111" t="str">
        <f>Table3[[#This Row],[Client ID]] &amp; " - " &amp; Table3[[#This Row],[SO Number]]</f>
        <v>CHICKEN DELI - KARIMADON - GENERIC - SO-136</v>
      </c>
      <c r="C1111" t="s">
        <v>707</v>
      </c>
      <c r="D1111" t="s">
        <v>20</v>
      </c>
      <c r="E1111" t="s">
        <v>263</v>
      </c>
      <c r="F1111" t="s">
        <v>15</v>
      </c>
      <c r="G1111" t="s">
        <v>22</v>
      </c>
      <c r="H1111" t="s">
        <v>605</v>
      </c>
      <c r="I1111" t="s">
        <v>99</v>
      </c>
      <c r="J1111">
        <v>1</v>
      </c>
      <c r="K1111">
        <v>2800</v>
      </c>
      <c r="L1111">
        <v>4000</v>
      </c>
      <c r="M1111">
        <v>4000</v>
      </c>
      <c r="N1111" t="s">
        <v>19</v>
      </c>
    </row>
    <row r="1112" spans="1:14" x14ac:dyDescent="0.25">
      <c r="A1112" t="str">
        <f>Table3[[#This Row],[Company Name]] &amp; " - " &amp; Table3[[#This Row],[Store Name]] &amp; " - " &amp; Table3[[#This Row],[Store Branch / Address]]</f>
        <v>CHICKEN DELI - KARIMADON - GENERIC</v>
      </c>
      <c r="B1112" t="str">
        <f>Table3[[#This Row],[Client ID]] &amp; " - " &amp; Table3[[#This Row],[SO Number]]</f>
        <v>CHICKEN DELI - KARIMADON - GENERIC - SO-136</v>
      </c>
      <c r="C1112" t="s">
        <v>707</v>
      </c>
      <c r="D1112" t="s">
        <v>20</v>
      </c>
      <c r="E1112" t="s">
        <v>263</v>
      </c>
      <c r="F1112" t="s">
        <v>15</v>
      </c>
      <c r="G1112" t="s">
        <v>22</v>
      </c>
      <c r="H1112" t="s">
        <v>605</v>
      </c>
      <c r="I1112" t="s">
        <v>76</v>
      </c>
      <c r="J1112">
        <v>1</v>
      </c>
      <c r="K1112">
        <v>500</v>
      </c>
      <c r="L1112">
        <v>500</v>
      </c>
      <c r="M1112">
        <v>500</v>
      </c>
      <c r="N1112" t="s">
        <v>19</v>
      </c>
    </row>
    <row r="1113" spans="1:14" x14ac:dyDescent="0.25">
      <c r="A1113" t="str">
        <f>Table3[[#This Row],[Company Name]] &amp; " - " &amp; Table3[[#This Row],[Store Name]] &amp; " - " &amp; Table3[[#This Row],[Store Branch / Address]]</f>
        <v>ELEVATED FOOD RECIPES INC - HEALTHY SHABU SHABU - GENERIC</v>
      </c>
      <c r="B1113" t="str">
        <f>Table3[[#This Row],[Client ID]] &amp; " - " &amp; Table3[[#This Row],[SO Number]]</f>
        <v>ELEVATED FOOD RECIPES INC - HEALTHY SHABU SHABU - GENERIC - SO-112</v>
      </c>
      <c r="C1113" t="s">
        <v>606</v>
      </c>
      <c r="D1113" t="s">
        <v>179</v>
      </c>
      <c r="E1113" t="s">
        <v>180</v>
      </c>
      <c r="F1113" t="s">
        <v>15</v>
      </c>
      <c r="G1113" t="s">
        <v>37</v>
      </c>
      <c r="H1113" t="s">
        <v>607</v>
      </c>
      <c r="I1113" t="s">
        <v>97</v>
      </c>
      <c r="J1113">
        <v>1</v>
      </c>
      <c r="K1113">
        <v>2200</v>
      </c>
      <c r="L1113">
        <v>3500</v>
      </c>
      <c r="M1113">
        <v>3500</v>
      </c>
      <c r="N1113" t="s">
        <v>39</v>
      </c>
    </row>
    <row r="1114" spans="1:14" x14ac:dyDescent="0.25">
      <c r="A1114" t="str">
        <f>Table3[[#This Row],[Company Name]] &amp; " - " &amp; Table3[[#This Row],[Store Name]] &amp; " - " &amp; Table3[[#This Row],[Store Branch / Address]]</f>
        <v>CHICKEN DELI - MN+LA APPAREL - GENERIC</v>
      </c>
      <c r="B1114" t="str">
        <f>Table3[[#This Row],[Client ID]] &amp; " - " &amp; Table3[[#This Row],[SO Number]]</f>
        <v>CHICKEN DELI - MN+LA APPAREL - GENERIC - SO-137</v>
      </c>
      <c r="C1114" t="s">
        <v>712</v>
      </c>
      <c r="D1114" t="s">
        <v>20</v>
      </c>
      <c r="E1114" t="s">
        <v>119</v>
      </c>
      <c r="F1114" t="s">
        <v>15</v>
      </c>
      <c r="G1114" t="s">
        <v>22</v>
      </c>
      <c r="H1114" t="s">
        <v>607</v>
      </c>
      <c r="I1114" t="s">
        <v>715</v>
      </c>
      <c r="J1114">
        <v>50</v>
      </c>
      <c r="K1114">
        <v>17</v>
      </c>
      <c r="L1114">
        <v>25</v>
      </c>
      <c r="M1114">
        <v>1250</v>
      </c>
      <c r="N1114" t="s">
        <v>19</v>
      </c>
    </row>
    <row r="1115" spans="1:14" x14ac:dyDescent="0.25">
      <c r="A1115" t="str">
        <f>Table3[[#This Row],[Company Name]] &amp; " - " &amp; Table3[[#This Row],[Store Name]] &amp; " - " &amp; Table3[[#This Row],[Store Branch / Address]]</f>
        <v>HENLIN OUTLET LIPA NO COR YET - HENLIN - OUTLET LIPA</v>
      </c>
      <c r="B1115" t="str">
        <f>Table3[[#This Row],[Client ID]] &amp; " - " &amp; Table3[[#This Row],[SO Number]]</f>
        <v>HENLIN OUTLET LIPA NO COR YET - HENLIN - OUTLET LIPA - SO-113</v>
      </c>
      <c r="C1115" t="s">
        <v>611</v>
      </c>
      <c r="D1115" t="s">
        <v>612</v>
      </c>
      <c r="E1115" t="s">
        <v>608</v>
      </c>
      <c r="F1115" t="s">
        <v>613</v>
      </c>
      <c r="G1115" t="s">
        <v>16</v>
      </c>
      <c r="H1115" t="s">
        <v>614</v>
      </c>
      <c r="I1115" t="s">
        <v>615</v>
      </c>
      <c r="J1115">
        <v>1</v>
      </c>
      <c r="K1115">
        <v>2975</v>
      </c>
      <c r="L1115">
        <v>8500</v>
      </c>
      <c r="M1115">
        <v>8500</v>
      </c>
      <c r="N1115" t="s">
        <v>39</v>
      </c>
    </row>
    <row r="1116" spans="1:14" x14ac:dyDescent="0.25">
      <c r="A1116" t="str">
        <f>Table3[[#This Row],[Company Name]] &amp; " - " &amp; Table3[[#This Row],[Store Name]] &amp; " - " &amp; Table3[[#This Row],[Store Branch / Address]]</f>
        <v>HENLIN OUTLET LIPA NO COR YET - HENLIN - OUTLET LIPA</v>
      </c>
      <c r="B1116" t="str">
        <f>Table3[[#This Row],[Client ID]] &amp; " - " &amp; Table3[[#This Row],[SO Number]]</f>
        <v>HENLIN OUTLET LIPA NO COR YET - HENLIN - OUTLET LIPA - SO-113</v>
      </c>
      <c r="C1116" t="s">
        <v>611</v>
      </c>
      <c r="D1116" t="s">
        <v>612</v>
      </c>
      <c r="E1116" t="s">
        <v>608</v>
      </c>
      <c r="F1116" t="s">
        <v>613</v>
      </c>
      <c r="G1116" t="s">
        <v>16</v>
      </c>
      <c r="H1116" t="s">
        <v>614</v>
      </c>
      <c r="I1116" t="s">
        <v>48</v>
      </c>
      <c r="J1116">
        <v>1</v>
      </c>
      <c r="K1116">
        <v>1050</v>
      </c>
      <c r="L1116">
        <v>3000</v>
      </c>
      <c r="M1116">
        <v>3000</v>
      </c>
      <c r="N1116" t="s">
        <v>39</v>
      </c>
    </row>
    <row r="1117" spans="1:14" x14ac:dyDescent="0.25">
      <c r="A1117" t="str">
        <f>Table3[[#This Row],[Company Name]] &amp; " - " &amp; Table3[[#This Row],[Store Name]] &amp; " - " &amp; Table3[[#This Row],[Store Branch / Address]]</f>
        <v>HENLIN OUTLET LIPA NO COR YET - HENLIN - OUTLET LIPA</v>
      </c>
      <c r="B1117" t="str">
        <f>Table3[[#This Row],[Client ID]] &amp; " - " &amp; Table3[[#This Row],[SO Number]]</f>
        <v>HENLIN OUTLET LIPA NO COR YET - HENLIN - OUTLET LIPA - SO-113</v>
      </c>
      <c r="C1117" t="s">
        <v>611</v>
      </c>
      <c r="D1117" t="s">
        <v>612</v>
      </c>
      <c r="E1117" t="s">
        <v>608</v>
      </c>
      <c r="F1117" t="s">
        <v>613</v>
      </c>
      <c r="G1117" t="s">
        <v>16</v>
      </c>
      <c r="H1117" t="s">
        <v>614</v>
      </c>
      <c r="I1117" t="s">
        <v>126</v>
      </c>
      <c r="J1117">
        <v>1</v>
      </c>
      <c r="K1117">
        <v>1050</v>
      </c>
      <c r="L1117">
        <v>3000</v>
      </c>
      <c r="M1117">
        <v>3000</v>
      </c>
      <c r="N1117" t="s">
        <v>39</v>
      </c>
    </row>
    <row r="1118" spans="1:14" x14ac:dyDescent="0.25">
      <c r="A1118" t="str">
        <f>Table3[[#This Row],[Company Name]] &amp; " - " &amp; Table3[[#This Row],[Store Name]] &amp; " - " &amp; Table3[[#This Row],[Store Branch / Address]]</f>
        <v>HENLIN OUTLET LIPA NO COR YET - HENLIN - OUTLET LIPA</v>
      </c>
      <c r="B1118" t="str">
        <f>Table3[[#This Row],[Client ID]] &amp; " - " &amp; Table3[[#This Row],[SO Number]]</f>
        <v>HENLIN OUTLET LIPA NO COR YET - HENLIN - OUTLET LIPA - SO-113</v>
      </c>
      <c r="C1118" t="s">
        <v>611</v>
      </c>
      <c r="D1118" t="s">
        <v>612</v>
      </c>
      <c r="E1118" t="s">
        <v>608</v>
      </c>
      <c r="F1118" t="s">
        <v>613</v>
      </c>
      <c r="G1118" t="s">
        <v>16</v>
      </c>
      <c r="H1118" t="s">
        <v>614</v>
      </c>
      <c r="I1118" t="s">
        <v>26</v>
      </c>
      <c r="J1118">
        <v>1</v>
      </c>
      <c r="K1118">
        <v>500</v>
      </c>
      <c r="L1118">
        <v>500</v>
      </c>
      <c r="M1118">
        <v>500</v>
      </c>
      <c r="N1118" t="s">
        <v>39</v>
      </c>
    </row>
    <row r="1119" spans="1:14" x14ac:dyDescent="0.25">
      <c r="A1119" t="str">
        <f>Table3[[#This Row],[Company Name]] &amp; " - " &amp; Table3[[#This Row],[Store Name]] &amp; " - " &amp; Table3[[#This Row],[Store Branch / Address]]</f>
        <v>HENLIN OUTLET LIPA NO COR YET - HENLIN - OUTLET LIPA</v>
      </c>
      <c r="B1119" t="str">
        <f>Table3[[#This Row],[Client ID]] &amp; " - " &amp; Table3[[#This Row],[SO Number]]</f>
        <v>HENLIN OUTLET LIPA NO COR YET - HENLIN - OUTLET LIPA - SO-113</v>
      </c>
      <c r="C1119" t="s">
        <v>611</v>
      </c>
      <c r="D1119" t="s">
        <v>612</v>
      </c>
      <c r="E1119" t="s">
        <v>608</v>
      </c>
      <c r="F1119" t="s">
        <v>613</v>
      </c>
      <c r="G1119" t="s">
        <v>16</v>
      </c>
      <c r="H1119" t="s">
        <v>614</v>
      </c>
      <c r="I1119" t="s">
        <v>616</v>
      </c>
      <c r="J1119">
        <v>1</v>
      </c>
      <c r="K1119">
        <v>9500</v>
      </c>
      <c r="L1119">
        <v>15500</v>
      </c>
      <c r="M1119">
        <v>15500</v>
      </c>
      <c r="N1119" t="s">
        <v>39</v>
      </c>
    </row>
    <row r="1120" spans="1:14" x14ac:dyDescent="0.25">
      <c r="A1120" t="str">
        <f>Table3[[#This Row],[Company Name]] &amp; " - " &amp; Table3[[#This Row],[Store Name]] &amp; " - " &amp; Table3[[#This Row],[Store Branch / Address]]</f>
        <v>CHICKEN DELI - GONGCHA - GENERIC</v>
      </c>
      <c r="B1120" t="str">
        <f>Table3[[#This Row],[Client ID]] &amp; " - " &amp; Table3[[#This Row],[SO Number]]</f>
        <v>CHICKEN DELI - GONGCHA - GENERIC - SO-138</v>
      </c>
      <c r="C1120" t="s">
        <v>716</v>
      </c>
      <c r="D1120" t="s">
        <v>20</v>
      </c>
      <c r="E1120" t="s">
        <v>31</v>
      </c>
      <c r="F1120" t="s">
        <v>15</v>
      </c>
      <c r="G1120" t="s">
        <v>22</v>
      </c>
      <c r="H1120" t="s">
        <v>614</v>
      </c>
      <c r="I1120" t="s">
        <v>33</v>
      </c>
      <c r="J1120">
        <v>1</v>
      </c>
      <c r="K1120">
        <v>6500</v>
      </c>
      <c r="L1120">
        <v>6500</v>
      </c>
      <c r="M1120">
        <v>6500</v>
      </c>
      <c r="N1120" t="s">
        <v>19</v>
      </c>
    </row>
    <row r="1121" spans="1:14" x14ac:dyDescent="0.25">
      <c r="A1121" t="str">
        <f>Table3[[#This Row],[Company Name]] &amp; " - " &amp; Table3[[#This Row],[Store Name]] &amp; " - " &amp; Table3[[#This Row],[Store Branch / Address]]</f>
        <v>ARIZONA ICE CREAM CORPORATION - COLDSTONE - GENERIC</v>
      </c>
      <c r="B1121" t="str">
        <f>Table3[[#This Row],[Client ID]] &amp; " - " &amp; Table3[[#This Row],[SO Number]]</f>
        <v>ARIZONA ICE CREAM CORPORATION - COLDSTONE - GENERIC - SO-114</v>
      </c>
      <c r="C1121" t="s">
        <v>618</v>
      </c>
      <c r="D1121" t="s">
        <v>13</v>
      </c>
      <c r="E1121" t="s">
        <v>14</v>
      </c>
      <c r="F1121" t="s">
        <v>15</v>
      </c>
      <c r="G1121" t="s">
        <v>16</v>
      </c>
      <c r="H1121" t="s">
        <v>619</v>
      </c>
      <c r="I1121" t="s">
        <v>620</v>
      </c>
      <c r="J1121">
        <v>4</v>
      </c>
      <c r="K1121">
        <v>8500</v>
      </c>
      <c r="L1121">
        <v>8500</v>
      </c>
      <c r="M1121">
        <v>34000</v>
      </c>
      <c r="N1121" t="s">
        <v>19</v>
      </c>
    </row>
    <row r="1122" spans="1:14" x14ac:dyDescent="0.25">
      <c r="A1122" t="str">
        <f>Table3[[#This Row],[Company Name]] &amp; " - " &amp; Table3[[#This Row],[Store Name]] &amp; " - " &amp; Table3[[#This Row],[Store Branch / Address]]</f>
        <v>HET STROOPWAFEL HUIS - STOOP &amp; ZO - GENERIC</v>
      </c>
      <c r="B1122" t="str">
        <f>Table3[[#This Row],[Client ID]] &amp; " - " &amp; Table3[[#This Row],[SO Number]]</f>
        <v>HET STROOPWAFEL HUIS - STOOP &amp; ZO - GENERIC - SO-050</v>
      </c>
      <c r="C1122" t="s">
        <v>346</v>
      </c>
      <c r="D1122" t="s">
        <v>1070</v>
      </c>
      <c r="E1122" t="s">
        <v>1071</v>
      </c>
      <c r="F1122" t="s">
        <v>15</v>
      </c>
      <c r="G1122" t="s">
        <v>37</v>
      </c>
      <c r="H1122" t="s">
        <v>619</v>
      </c>
      <c r="I1122" t="s">
        <v>501</v>
      </c>
      <c r="J1122">
        <v>6</v>
      </c>
      <c r="K1122">
        <v>70</v>
      </c>
      <c r="L1122">
        <v>250</v>
      </c>
      <c r="M1122">
        <v>1500</v>
      </c>
      <c r="N1122" t="s">
        <v>19</v>
      </c>
    </row>
    <row r="1123" spans="1:14" x14ac:dyDescent="0.25">
      <c r="A1123" t="str">
        <f>Table3[[#This Row],[Company Name]] &amp; " - " &amp; Table3[[#This Row],[Store Name]] &amp; " - " &amp; Table3[[#This Row],[Store Branch / Address]]</f>
        <v>HUZZAH - HUZZAH - GENERIC</v>
      </c>
      <c r="B1123" t="str">
        <f>Table3[[#This Row],[Client ID]] &amp; " - " &amp; Table3[[#This Row],[SO Number]]</f>
        <v>HUZZAH - HUZZAH - GENERIC - SO-115</v>
      </c>
      <c r="C1123" t="s">
        <v>621</v>
      </c>
      <c r="D1123" t="s">
        <v>87</v>
      </c>
      <c r="E1123" t="s">
        <v>87</v>
      </c>
      <c r="F1123" t="s">
        <v>15</v>
      </c>
      <c r="G1123" t="s">
        <v>37</v>
      </c>
      <c r="H1123" t="s">
        <v>622</v>
      </c>
      <c r="I1123" t="s">
        <v>89</v>
      </c>
      <c r="J1123">
        <v>50</v>
      </c>
      <c r="K1123">
        <v>32</v>
      </c>
      <c r="L1123">
        <v>50</v>
      </c>
      <c r="M1123">
        <v>2500</v>
      </c>
      <c r="N1123" t="s">
        <v>39</v>
      </c>
    </row>
    <row r="1124" spans="1:14" x14ac:dyDescent="0.25">
      <c r="A1124" t="str">
        <f>Table3[[#This Row],[Company Name]] &amp; " - " &amp; Table3[[#This Row],[Store Name]] &amp; " - " &amp; Table3[[#This Row],[Store Branch / Address]]</f>
        <v>CHICKEN DELI - M &amp; W - GENERIC</v>
      </c>
      <c r="B1124" t="str">
        <f>Table3[[#This Row],[Client ID]] &amp; " - " &amp; Table3[[#This Row],[SO Number]]</f>
        <v>CHICKEN DELI - M &amp; W - GENERIC - SO-139</v>
      </c>
      <c r="C1124" t="s">
        <v>718</v>
      </c>
      <c r="D1124" t="s">
        <v>20</v>
      </c>
      <c r="E1124" t="s">
        <v>192</v>
      </c>
      <c r="F1124" t="s">
        <v>15</v>
      </c>
      <c r="G1124" t="s">
        <v>22</v>
      </c>
      <c r="H1124" t="s">
        <v>720</v>
      </c>
      <c r="I1124" t="s">
        <v>721</v>
      </c>
      <c r="J1124">
        <v>6</v>
      </c>
      <c r="K1124">
        <v>21500</v>
      </c>
      <c r="L1124">
        <v>25283</v>
      </c>
      <c r="M1124">
        <v>151698</v>
      </c>
      <c r="N1124" t="s">
        <v>19</v>
      </c>
    </row>
    <row r="1125" spans="1:14" x14ac:dyDescent="0.25">
      <c r="A1125" t="str">
        <f>Table3[[#This Row],[Company Name]] &amp; " - " &amp; Table3[[#This Row],[Store Name]] &amp; " - " &amp; Table3[[#This Row],[Store Branch / Address]]</f>
        <v>CHICKEN DELI - M &amp; W - GENERIC</v>
      </c>
      <c r="B1125" t="str">
        <f>Table3[[#This Row],[Client ID]] &amp; " - " &amp; Table3[[#This Row],[SO Number]]</f>
        <v>CHICKEN DELI - M &amp; W - GENERIC - SO-139</v>
      </c>
      <c r="C1125" t="s">
        <v>718</v>
      </c>
      <c r="D1125" t="s">
        <v>20</v>
      </c>
      <c r="E1125" t="s">
        <v>192</v>
      </c>
      <c r="F1125" t="s">
        <v>15</v>
      </c>
      <c r="G1125" t="s">
        <v>22</v>
      </c>
      <c r="H1125" t="s">
        <v>720</v>
      </c>
      <c r="I1125" t="s">
        <v>722</v>
      </c>
      <c r="J1125">
        <v>1</v>
      </c>
      <c r="K1125">
        <v>3500</v>
      </c>
      <c r="L1125">
        <v>10000</v>
      </c>
      <c r="M1125">
        <v>10000</v>
      </c>
      <c r="N1125" t="s">
        <v>19</v>
      </c>
    </row>
    <row r="1126" spans="1:14" x14ac:dyDescent="0.25">
      <c r="A1126" t="str">
        <f>Table3[[#This Row],[Company Name]] &amp; " - " &amp; Table3[[#This Row],[Store Name]] &amp; " - " &amp; Table3[[#This Row],[Store Branch / Address]]</f>
        <v>CHICKEN DELI - M &amp; W - GENERIC</v>
      </c>
      <c r="B1126" t="str">
        <f>Table3[[#This Row],[Client ID]] &amp; " - " &amp; Table3[[#This Row],[SO Number]]</f>
        <v>CHICKEN DELI - M &amp; W - GENERIC - SO-139</v>
      </c>
      <c r="C1126" t="s">
        <v>718</v>
      </c>
      <c r="D1126" t="s">
        <v>20</v>
      </c>
      <c r="E1126" t="s">
        <v>192</v>
      </c>
      <c r="F1126" t="s">
        <v>15</v>
      </c>
      <c r="G1126" t="s">
        <v>22</v>
      </c>
      <c r="H1126" t="s">
        <v>720</v>
      </c>
      <c r="I1126" t="s">
        <v>723</v>
      </c>
      <c r="J1126">
        <v>5</v>
      </c>
      <c r="K1126">
        <v>3500</v>
      </c>
      <c r="L1126">
        <v>10000</v>
      </c>
      <c r="M1126">
        <v>50000</v>
      </c>
      <c r="N1126" t="s">
        <v>19</v>
      </c>
    </row>
    <row r="1127" spans="1:14" x14ac:dyDescent="0.25">
      <c r="A1127" t="str">
        <f>Table3[[#This Row],[Company Name]] &amp; " - " &amp; Table3[[#This Row],[Store Name]] &amp; " - " &amp; Table3[[#This Row],[Store Branch / Address]]</f>
        <v>CHICKEN DELI - M &amp; W - GENERIC</v>
      </c>
      <c r="B1127" t="str">
        <f>Table3[[#This Row],[Client ID]] &amp; " - " &amp; Table3[[#This Row],[SO Number]]</f>
        <v>CHICKEN DELI - M &amp; W - GENERIC - SO-139</v>
      </c>
      <c r="C1127" t="s">
        <v>718</v>
      </c>
      <c r="D1127" t="s">
        <v>20</v>
      </c>
      <c r="E1127" t="s">
        <v>192</v>
      </c>
      <c r="F1127" t="s">
        <v>15</v>
      </c>
      <c r="G1127" t="s">
        <v>22</v>
      </c>
      <c r="H1127" t="s">
        <v>720</v>
      </c>
      <c r="I1127" t="s">
        <v>99</v>
      </c>
      <c r="J1127">
        <v>6</v>
      </c>
      <c r="K1127">
        <v>2000</v>
      </c>
      <c r="L1127">
        <v>2800</v>
      </c>
      <c r="M1127">
        <v>16800</v>
      </c>
      <c r="N1127" t="s">
        <v>19</v>
      </c>
    </row>
    <row r="1128" spans="1:14" x14ac:dyDescent="0.25">
      <c r="A1128" t="str">
        <f>Table3[[#This Row],[Company Name]] &amp; " - " &amp; Table3[[#This Row],[Store Name]] &amp; " - " &amp; Table3[[#This Row],[Store Branch / Address]]</f>
        <v>CHICKEN DELI - M &amp; W - GENERIC</v>
      </c>
      <c r="B1128" t="str">
        <f>Table3[[#This Row],[Client ID]] &amp; " - " &amp; Table3[[#This Row],[SO Number]]</f>
        <v>CHICKEN DELI - M &amp; W - GENERIC - SO-139</v>
      </c>
      <c r="C1128" t="s">
        <v>718</v>
      </c>
      <c r="D1128" t="s">
        <v>20</v>
      </c>
      <c r="E1128" t="s">
        <v>192</v>
      </c>
      <c r="F1128" t="s">
        <v>15</v>
      </c>
      <c r="G1128" t="s">
        <v>22</v>
      </c>
      <c r="H1128" t="s">
        <v>720</v>
      </c>
      <c r="I1128" t="s">
        <v>134</v>
      </c>
      <c r="J1128">
        <v>5</v>
      </c>
      <c r="K1128">
        <v>440</v>
      </c>
      <c r="L1128">
        <v>440</v>
      </c>
      <c r="M1128">
        <v>2200</v>
      </c>
      <c r="N1128" t="s">
        <v>19</v>
      </c>
    </row>
    <row r="1129" spans="1:14" x14ac:dyDescent="0.25">
      <c r="A1129" t="str">
        <f>Table3[[#This Row],[Company Name]] &amp; " - " &amp; Table3[[#This Row],[Store Name]] &amp; " - " &amp; Table3[[#This Row],[Store Branch / Address]]</f>
        <v>M W TOWNSTORE - M &amp; W - GENERIC</v>
      </c>
      <c r="B1129" t="str">
        <f>Table3[[#This Row],[Client ID]] &amp; " - " &amp; Table3[[#This Row],[SO Number]]</f>
        <v>M W TOWNSTORE - M &amp; W - GENERIC - SO-140</v>
      </c>
      <c r="C1129" t="s">
        <v>724</v>
      </c>
      <c r="D1129" t="s">
        <v>191</v>
      </c>
      <c r="E1129" t="s">
        <v>192</v>
      </c>
      <c r="F1129" t="s">
        <v>15</v>
      </c>
      <c r="G1129" t="s">
        <v>22</v>
      </c>
      <c r="H1129" t="s">
        <v>720</v>
      </c>
      <c r="I1129" t="s">
        <v>581</v>
      </c>
      <c r="J1129">
        <v>3</v>
      </c>
      <c r="K1129">
        <v>9500</v>
      </c>
      <c r="L1129">
        <v>13500</v>
      </c>
      <c r="M1129">
        <v>40500</v>
      </c>
      <c r="N1129" t="s">
        <v>19</v>
      </c>
    </row>
    <row r="1130" spans="1:14" x14ac:dyDescent="0.25">
      <c r="A1130" t="str">
        <f>Table3[[#This Row],[Company Name]] &amp; " - " &amp; Table3[[#This Row],[Store Name]] &amp; " - " &amp; Table3[[#This Row],[Store Branch / Address]]</f>
        <v>M W TOWNSTORE - M &amp; W - GENERIC</v>
      </c>
      <c r="B1130" t="str">
        <f>Table3[[#This Row],[Client ID]] &amp; " - " &amp; Table3[[#This Row],[SO Number]]</f>
        <v>M W TOWNSTORE - M &amp; W - GENERIC - SO-140</v>
      </c>
      <c r="C1130" t="s">
        <v>724</v>
      </c>
      <c r="D1130" t="s">
        <v>191</v>
      </c>
      <c r="E1130" t="s">
        <v>192</v>
      </c>
      <c r="F1130" t="s">
        <v>15</v>
      </c>
      <c r="G1130" t="s">
        <v>22</v>
      </c>
      <c r="H1130" t="s">
        <v>720</v>
      </c>
      <c r="I1130" t="s">
        <v>76</v>
      </c>
      <c r="J1130">
        <v>1</v>
      </c>
      <c r="K1130">
        <v>1500</v>
      </c>
      <c r="L1130">
        <v>1500</v>
      </c>
      <c r="M1130">
        <v>1500</v>
      </c>
      <c r="N1130" t="s">
        <v>19</v>
      </c>
    </row>
    <row r="1131" spans="1:14" x14ac:dyDescent="0.25">
      <c r="A1131" t="str">
        <f>Table3[[#This Row],[Company Name]] &amp; " - " &amp; Table3[[#This Row],[Store Name]] &amp; " - " &amp; Table3[[#This Row],[Store Branch / Address]]</f>
        <v>ANONYMOUS - FUN CITY - AYALA MALLS FELIZ</v>
      </c>
      <c r="B1131" t="str">
        <f>Table3[[#This Row],[Client ID]] &amp; " - " &amp; Table3[[#This Row],[SO Number]]</f>
        <v>ANONYMOUS - FUN CITY - AYALA MALLS FELIZ - SO-051</v>
      </c>
      <c r="C1131" t="s">
        <v>351</v>
      </c>
      <c r="D1131" t="s">
        <v>1085</v>
      </c>
      <c r="E1131" t="s">
        <v>1086</v>
      </c>
      <c r="F1131" t="s">
        <v>1019</v>
      </c>
      <c r="G1131" t="s">
        <v>1088</v>
      </c>
      <c r="H1131" t="s">
        <v>1116</v>
      </c>
      <c r="I1131" t="s">
        <v>422</v>
      </c>
      <c r="J1131">
        <v>1</v>
      </c>
      <c r="K1131">
        <v>3675</v>
      </c>
      <c r="L1131">
        <v>10500</v>
      </c>
      <c r="M1131">
        <v>10500</v>
      </c>
      <c r="N1131" t="s">
        <v>1010</v>
      </c>
    </row>
    <row r="1132" spans="1:14" x14ac:dyDescent="0.25">
      <c r="A1132" t="str">
        <f>Table3[[#This Row],[Company Name]] &amp; " - " &amp; Table3[[#This Row],[Store Name]] &amp; " - " &amp; Table3[[#This Row],[Store Branch / Address]]</f>
        <v>ANONYMOUS - FUN CITY - AYALA MALLS FELIZ</v>
      </c>
      <c r="B1132" t="str">
        <f>Table3[[#This Row],[Client ID]] &amp; " - " &amp; Table3[[#This Row],[SO Number]]</f>
        <v>ANONYMOUS - FUN CITY - AYALA MALLS FELIZ - SO-051</v>
      </c>
      <c r="C1132" t="s">
        <v>351</v>
      </c>
      <c r="D1132" t="s">
        <v>1085</v>
      </c>
      <c r="E1132" t="s">
        <v>1086</v>
      </c>
      <c r="F1132" t="s">
        <v>1019</v>
      </c>
      <c r="G1132" t="s">
        <v>1088</v>
      </c>
      <c r="H1132" t="s">
        <v>1116</v>
      </c>
      <c r="I1132" t="s">
        <v>26</v>
      </c>
      <c r="J1132">
        <v>1</v>
      </c>
      <c r="K1132">
        <v>500</v>
      </c>
      <c r="L1132">
        <v>500</v>
      </c>
      <c r="M1132">
        <v>500</v>
      </c>
      <c r="N1132" t="s">
        <v>1010</v>
      </c>
    </row>
    <row r="1133" spans="1:14" x14ac:dyDescent="0.25">
      <c r="A1133" t="str">
        <f>Table3[[#This Row],[Company Name]] &amp; " - " &amp; Table3[[#This Row],[Store Name]] &amp; " - " &amp; Table3[[#This Row],[Store Branch / Address]]</f>
        <v>ANONYMOUS - FUN CITY - AYALA MALLS FELIZ</v>
      </c>
      <c r="B1133" t="str">
        <f>Table3[[#This Row],[Client ID]] &amp; " - " &amp; Table3[[#This Row],[SO Number]]</f>
        <v>ANONYMOUS - FUN CITY - AYALA MALLS FELIZ - SO-051</v>
      </c>
      <c r="C1133" t="s">
        <v>351</v>
      </c>
      <c r="D1133" t="s">
        <v>1085</v>
      </c>
      <c r="E1133" t="s">
        <v>1086</v>
      </c>
      <c r="F1133" t="s">
        <v>1019</v>
      </c>
      <c r="G1133" t="s">
        <v>1088</v>
      </c>
      <c r="H1133" t="s">
        <v>1116</v>
      </c>
      <c r="I1133" t="s">
        <v>537</v>
      </c>
      <c r="J1133">
        <v>1</v>
      </c>
      <c r="K1133">
        <v>4200</v>
      </c>
      <c r="L1133">
        <v>3587.5</v>
      </c>
      <c r="M1133">
        <v>3587.5</v>
      </c>
      <c r="N1133" t="s">
        <v>1010</v>
      </c>
    </row>
    <row r="1134" spans="1:14" x14ac:dyDescent="0.25">
      <c r="A1134" t="str">
        <f>Table3[[#This Row],[Company Name]] &amp; " - " &amp; Table3[[#This Row],[Store Name]] &amp; " - " &amp; Table3[[#This Row],[Store Branch / Address]]</f>
        <v>ANONYMOUS - FUN CITY - AYALA MALLS FELIZ</v>
      </c>
      <c r="B1134" t="str">
        <f>Table3[[#This Row],[Client ID]] &amp; " - " &amp; Table3[[#This Row],[SO Number]]</f>
        <v>ANONYMOUS - FUN CITY - AYALA MALLS FELIZ - SO-051</v>
      </c>
      <c r="C1134" t="s">
        <v>351</v>
      </c>
      <c r="D1134" t="s">
        <v>1085</v>
      </c>
      <c r="E1134" t="s">
        <v>1086</v>
      </c>
      <c r="F1134" t="s">
        <v>1019</v>
      </c>
      <c r="G1134" t="s">
        <v>1088</v>
      </c>
      <c r="H1134" t="s">
        <v>1116</v>
      </c>
      <c r="I1134" t="s">
        <v>24</v>
      </c>
      <c r="J1134">
        <v>1</v>
      </c>
      <c r="K1134">
        <v>4200</v>
      </c>
      <c r="L1134">
        <v>3587.5</v>
      </c>
      <c r="M1134">
        <v>3587.5</v>
      </c>
      <c r="N1134" t="s">
        <v>1010</v>
      </c>
    </row>
    <row r="1135" spans="1:14" x14ac:dyDescent="0.25">
      <c r="A1135" t="str">
        <f>Table3[[#This Row],[Company Name]] &amp; " - " &amp; Table3[[#This Row],[Store Name]] &amp; " - " &amp; Table3[[#This Row],[Store Branch / Address]]</f>
        <v>IZZA CABONCE MARQUEZ - LUTONG ILOCANO - GENERIC</v>
      </c>
      <c r="B1135" t="str">
        <f>Table3[[#This Row],[Client ID]] &amp; " - " &amp; Table3[[#This Row],[SO Number]]</f>
        <v>IZZA CABONCE MARQUEZ - LUTONG ILOCANO - GENERIC - SO-116</v>
      </c>
      <c r="C1135" t="s">
        <v>625</v>
      </c>
      <c r="D1135" t="s">
        <v>626</v>
      </c>
      <c r="E1135" t="s">
        <v>627</v>
      </c>
      <c r="F1135" t="s">
        <v>15</v>
      </c>
      <c r="G1135" t="s">
        <v>37</v>
      </c>
      <c r="H1135" t="s">
        <v>628</v>
      </c>
      <c r="I1135" t="s">
        <v>38</v>
      </c>
      <c r="J1135">
        <v>1</v>
      </c>
      <c r="K1135">
        <v>8500</v>
      </c>
      <c r="L1135">
        <v>13000</v>
      </c>
      <c r="M1135">
        <v>13000</v>
      </c>
      <c r="N1135" t="s">
        <v>19</v>
      </c>
    </row>
    <row r="1136" spans="1:14" x14ac:dyDescent="0.25">
      <c r="A1136" t="str">
        <f>Table3[[#This Row],[Company Name]] &amp; " - " &amp; Table3[[#This Row],[Store Name]] &amp; " - " &amp; Table3[[#This Row],[Store Branch / Address]]</f>
        <v>CHICKEN DELI - OMBU KUSINA - GENERIC</v>
      </c>
      <c r="B1136" t="str">
        <f>Table3[[#This Row],[Client ID]] &amp; " - " &amp; Table3[[#This Row],[SO Number]]</f>
        <v>CHICKEN DELI - OMBU KUSINA - GENERIC - SO-141</v>
      </c>
      <c r="C1136" t="s">
        <v>729</v>
      </c>
      <c r="D1136" t="s">
        <v>20</v>
      </c>
      <c r="E1136" t="s">
        <v>733</v>
      </c>
      <c r="F1136" t="s">
        <v>15</v>
      </c>
      <c r="G1136" t="s">
        <v>22</v>
      </c>
      <c r="H1136" t="s">
        <v>734</v>
      </c>
      <c r="I1136" t="s">
        <v>735</v>
      </c>
      <c r="J1136">
        <v>1</v>
      </c>
      <c r="K1136">
        <v>7500</v>
      </c>
      <c r="L1136">
        <v>12000</v>
      </c>
      <c r="M1136">
        <v>12000</v>
      </c>
      <c r="N1136" t="s">
        <v>19</v>
      </c>
    </row>
    <row r="1137" spans="1:14" x14ac:dyDescent="0.25">
      <c r="A1137" t="str">
        <f>Table3[[#This Row],[Company Name]] &amp; " - " &amp; Table3[[#This Row],[Store Name]] &amp; " - " &amp; Table3[[#This Row],[Store Branch / Address]]</f>
        <v>CHICKEN DELI - OMBU KUSINA - GENERIC</v>
      </c>
      <c r="B1137" t="str">
        <f>Table3[[#This Row],[Client ID]] &amp; " - " &amp; Table3[[#This Row],[SO Number]]</f>
        <v>CHICKEN DELI - OMBU KUSINA - GENERIC - SO-141</v>
      </c>
      <c r="C1137" t="s">
        <v>729</v>
      </c>
      <c r="D1137" t="s">
        <v>20</v>
      </c>
      <c r="E1137" t="s">
        <v>733</v>
      </c>
      <c r="F1137" t="s">
        <v>15</v>
      </c>
      <c r="G1137" t="s">
        <v>22</v>
      </c>
      <c r="H1137" t="s">
        <v>734</v>
      </c>
      <c r="I1137" t="s">
        <v>76</v>
      </c>
      <c r="J1137">
        <v>1</v>
      </c>
      <c r="K1137">
        <v>500</v>
      </c>
      <c r="L1137">
        <v>500</v>
      </c>
      <c r="M1137">
        <v>500</v>
      </c>
      <c r="N1137" t="s">
        <v>19</v>
      </c>
    </row>
    <row r="1138" spans="1:14" x14ac:dyDescent="0.25">
      <c r="A1138" t="str">
        <f>Table3[[#This Row],[Company Name]] &amp; " - " &amp; Table3[[#This Row],[Store Name]] &amp; " - " &amp; Table3[[#This Row],[Store Branch / Address]]</f>
        <v>CHICKEN DELI - M &amp; W - GENERIC</v>
      </c>
      <c r="B1138" t="str">
        <f>Table3[[#This Row],[Client ID]] &amp; " - " &amp; Table3[[#This Row],[SO Number]]</f>
        <v>CHICKEN DELI - M &amp; W - GENERIC - SO-142</v>
      </c>
      <c r="C1138" t="s">
        <v>736</v>
      </c>
      <c r="D1138" t="s">
        <v>20</v>
      </c>
      <c r="E1138" t="s">
        <v>192</v>
      </c>
      <c r="F1138" t="s">
        <v>15</v>
      </c>
      <c r="G1138" t="s">
        <v>22</v>
      </c>
      <c r="H1138" t="s">
        <v>734</v>
      </c>
      <c r="I1138" t="s">
        <v>721</v>
      </c>
      <c r="J1138">
        <v>6</v>
      </c>
      <c r="K1138">
        <v>21500</v>
      </c>
      <c r="L1138">
        <v>25283</v>
      </c>
      <c r="M1138">
        <v>151698</v>
      </c>
      <c r="N1138" t="s">
        <v>19</v>
      </c>
    </row>
    <row r="1139" spans="1:14" x14ac:dyDescent="0.25">
      <c r="A1139" t="str">
        <f>Table3[[#This Row],[Company Name]] &amp; " - " &amp; Table3[[#This Row],[Store Name]] &amp; " - " &amp; Table3[[#This Row],[Store Branch / Address]]</f>
        <v>CHICKEN DELI - M &amp; W - GENERIC</v>
      </c>
      <c r="B1139" t="str">
        <f>Table3[[#This Row],[Client ID]] &amp; " - " &amp; Table3[[#This Row],[SO Number]]</f>
        <v>CHICKEN DELI - M &amp; W - GENERIC - SO-142</v>
      </c>
      <c r="C1139" t="s">
        <v>736</v>
      </c>
      <c r="D1139" t="s">
        <v>20</v>
      </c>
      <c r="E1139" t="s">
        <v>192</v>
      </c>
      <c r="F1139" t="s">
        <v>15</v>
      </c>
      <c r="G1139" t="s">
        <v>22</v>
      </c>
      <c r="H1139" t="s">
        <v>734</v>
      </c>
      <c r="I1139" t="s">
        <v>722</v>
      </c>
      <c r="J1139">
        <v>1</v>
      </c>
      <c r="K1139">
        <v>3500</v>
      </c>
      <c r="L1139">
        <v>10000</v>
      </c>
      <c r="M1139">
        <v>10000</v>
      </c>
      <c r="N1139" t="s">
        <v>19</v>
      </c>
    </row>
    <row r="1140" spans="1:14" x14ac:dyDescent="0.25">
      <c r="A1140" t="str">
        <f>Table3[[#This Row],[Company Name]] &amp; " - " &amp; Table3[[#This Row],[Store Name]] &amp; " - " &amp; Table3[[#This Row],[Store Branch / Address]]</f>
        <v>CHICKEN DELI - M &amp; W - GENERIC</v>
      </c>
      <c r="B1140" t="str">
        <f>Table3[[#This Row],[Client ID]] &amp; " - " &amp; Table3[[#This Row],[SO Number]]</f>
        <v>CHICKEN DELI - M &amp; W - GENERIC - SO-142</v>
      </c>
      <c r="C1140" t="s">
        <v>736</v>
      </c>
      <c r="D1140" t="s">
        <v>20</v>
      </c>
      <c r="E1140" t="s">
        <v>192</v>
      </c>
      <c r="F1140" t="s">
        <v>15</v>
      </c>
      <c r="G1140" t="s">
        <v>22</v>
      </c>
      <c r="H1140" t="s">
        <v>734</v>
      </c>
      <c r="I1140" t="s">
        <v>723</v>
      </c>
      <c r="J1140">
        <v>5</v>
      </c>
      <c r="K1140">
        <v>3500</v>
      </c>
      <c r="L1140">
        <v>10000</v>
      </c>
      <c r="M1140">
        <v>50000</v>
      </c>
      <c r="N1140" t="s">
        <v>19</v>
      </c>
    </row>
    <row r="1141" spans="1:14" x14ac:dyDescent="0.25">
      <c r="A1141" t="str">
        <f>Table3[[#This Row],[Company Name]] &amp; " - " &amp; Table3[[#This Row],[Store Name]] &amp; " - " &amp; Table3[[#This Row],[Store Branch / Address]]</f>
        <v>CHICKEN DELI - M &amp; W - GENERIC</v>
      </c>
      <c r="B1141" t="str">
        <f>Table3[[#This Row],[Client ID]] &amp; " - " &amp; Table3[[#This Row],[SO Number]]</f>
        <v>CHICKEN DELI - M &amp; W - GENERIC - SO-142</v>
      </c>
      <c r="C1141" t="s">
        <v>736</v>
      </c>
      <c r="D1141" t="s">
        <v>20</v>
      </c>
      <c r="E1141" t="s">
        <v>192</v>
      </c>
      <c r="F1141" t="s">
        <v>15</v>
      </c>
      <c r="G1141" t="s">
        <v>22</v>
      </c>
      <c r="H1141" t="s">
        <v>734</v>
      </c>
      <c r="I1141" t="s">
        <v>99</v>
      </c>
      <c r="J1141">
        <v>6</v>
      </c>
      <c r="K1141">
        <v>2000</v>
      </c>
      <c r="L1141">
        <v>2800</v>
      </c>
      <c r="M1141">
        <v>16800</v>
      </c>
      <c r="N1141" t="s">
        <v>19</v>
      </c>
    </row>
    <row r="1142" spans="1:14" x14ac:dyDescent="0.25">
      <c r="A1142" t="str">
        <f>Table3[[#This Row],[Company Name]] &amp; " - " &amp; Table3[[#This Row],[Store Name]] &amp; " - " &amp; Table3[[#This Row],[Store Branch / Address]]</f>
        <v>CHICKEN DELI - M &amp; W - GENERIC</v>
      </c>
      <c r="B1142" t="str">
        <f>Table3[[#This Row],[Client ID]] &amp; " - " &amp; Table3[[#This Row],[SO Number]]</f>
        <v>CHICKEN DELI - M &amp; W - GENERIC - SO-142</v>
      </c>
      <c r="C1142" t="s">
        <v>736</v>
      </c>
      <c r="D1142" t="s">
        <v>20</v>
      </c>
      <c r="E1142" t="s">
        <v>192</v>
      </c>
      <c r="F1142" t="s">
        <v>15</v>
      </c>
      <c r="G1142" t="s">
        <v>22</v>
      </c>
      <c r="H1142" t="s">
        <v>734</v>
      </c>
      <c r="I1142" t="s">
        <v>134</v>
      </c>
      <c r="J1142">
        <v>5</v>
      </c>
      <c r="K1142">
        <v>440</v>
      </c>
      <c r="L1142">
        <v>440</v>
      </c>
      <c r="M1142">
        <v>2200</v>
      </c>
      <c r="N1142" t="s">
        <v>19</v>
      </c>
    </row>
    <row r="1143" spans="1:14" x14ac:dyDescent="0.25">
      <c r="A1143" t="str">
        <f>Table3[[#This Row],[Company Name]] &amp; " - " &amp; Table3[[#This Row],[Store Name]] &amp; " - " &amp; Table3[[#This Row],[Store Branch / Address]]</f>
        <v>CHICKEN DELI - GONGCHA - GENERIC</v>
      </c>
      <c r="B1143" t="str">
        <f>Table3[[#This Row],[Client ID]] &amp; " - " &amp; Table3[[#This Row],[SO Number]]</f>
        <v>CHICKEN DELI - GONGCHA - GENERIC - SO-143</v>
      </c>
      <c r="C1143" t="s">
        <v>741</v>
      </c>
      <c r="D1143" t="s">
        <v>20</v>
      </c>
      <c r="E1143" t="s">
        <v>31</v>
      </c>
      <c r="F1143" t="s">
        <v>15</v>
      </c>
      <c r="G1143" t="s">
        <v>22</v>
      </c>
      <c r="H1143" t="s">
        <v>734</v>
      </c>
      <c r="I1143" t="s">
        <v>33</v>
      </c>
      <c r="J1143">
        <v>3</v>
      </c>
      <c r="K1143">
        <v>6500</v>
      </c>
      <c r="L1143">
        <v>6500</v>
      </c>
      <c r="M1143">
        <v>19500</v>
      </c>
      <c r="N1143" t="s">
        <v>19</v>
      </c>
    </row>
    <row r="1144" spans="1:14" x14ac:dyDescent="0.25">
      <c r="A1144" t="str">
        <f>Table3[[#This Row],[Company Name]] &amp; " - " &amp; Table3[[#This Row],[Store Name]] &amp; " - " &amp; Table3[[#This Row],[Store Branch / Address]]</f>
        <v>CHICKEN DELI - GONGCHA - GENERIC</v>
      </c>
      <c r="B1144" t="str">
        <f>Table3[[#This Row],[Client ID]] &amp; " - " &amp; Table3[[#This Row],[SO Number]]</f>
        <v>CHICKEN DELI - GONGCHA - GENERIC - SO-144</v>
      </c>
      <c r="C1144" t="s">
        <v>742</v>
      </c>
      <c r="D1144" t="s">
        <v>20</v>
      </c>
      <c r="E1144" t="s">
        <v>31</v>
      </c>
      <c r="F1144" t="s">
        <v>15</v>
      </c>
      <c r="G1144" t="s">
        <v>22</v>
      </c>
      <c r="H1144" t="s">
        <v>734</v>
      </c>
      <c r="I1144" t="s">
        <v>33</v>
      </c>
      <c r="J1144">
        <v>2</v>
      </c>
      <c r="K1144">
        <v>6500</v>
      </c>
      <c r="L1144">
        <v>6500</v>
      </c>
      <c r="M1144">
        <v>13000</v>
      </c>
      <c r="N1144" t="s">
        <v>19</v>
      </c>
    </row>
    <row r="1145" spans="1:14" x14ac:dyDescent="0.25">
      <c r="A1145" t="str">
        <f>Table3[[#This Row],[Company Name]] &amp; " - " &amp; Table3[[#This Row],[Store Name]] &amp; " - " &amp; Table3[[#This Row],[Store Branch / Address]]</f>
        <v>CHICKEN DELI - GONGCHA - GENERIC</v>
      </c>
      <c r="B1145" t="str">
        <f>Table3[[#This Row],[Client ID]] &amp; " - " &amp; Table3[[#This Row],[SO Number]]</f>
        <v>CHICKEN DELI - GONGCHA - GENERIC - SO-145</v>
      </c>
      <c r="C1145" t="s">
        <v>744</v>
      </c>
      <c r="D1145" t="s">
        <v>20</v>
      </c>
      <c r="E1145" t="s">
        <v>31</v>
      </c>
      <c r="F1145" t="s">
        <v>15</v>
      </c>
      <c r="G1145" t="s">
        <v>22</v>
      </c>
      <c r="H1145" t="s">
        <v>734</v>
      </c>
      <c r="I1145" t="s">
        <v>746</v>
      </c>
      <c r="J1145">
        <v>1</v>
      </c>
      <c r="K1145">
        <v>6500</v>
      </c>
      <c r="L1145">
        <v>6500</v>
      </c>
      <c r="M1145">
        <v>6500</v>
      </c>
      <c r="N1145" t="s">
        <v>19</v>
      </c>
    </row>
    <row r="1146" spans="1:14" x14ac:dyDescent="0.25">
      <c r="A1146" t="str">
        <f>Table3[[#This Row],[Company Name]] &amp; " - " &amp; Table3[[#This Row],[Store Name]] &amp; " - " &amp; Table3[[#This Row],[Store Branch / Address]]</f>
        <v>CHICKEN DELI - GONGCHA - GENERIC</v>
      </c>
      <c r="B1146" t="str">
        <f>Table3[[#This Row],[Client ID]] &amp; " - " &amp; Table3[[#This Row],[SO Number]]</f>
        <v>CHICKEN DELI - GONGCHA - GENERIC - SO-146</v>
      </c>
      <c r="C1146" t="s">
        <v>747</v>
      </c>
      <c r="D1146" t="s">
        <v>20</v>
      </c>
      <c r="E1146" t="s">
        <v>31</v>
      </c>
      <c r="F1146" t="s">
        <v>15</v>
      </c>
      <c r="G1146" t="s">
        <v>22</v>
      </c>
      <c r="H1146" t="s">
        <v>734</v>
      </c>
      <c r="I1146" t="s">
        <v>33</v>
      </c>
      <c r="J1146">
        <v>1</v>
      </c>
      <c r="K1146">
        <v>6500</v>
      </c>
      <c r="L1146">
        <v>6500</v>
      </c>
      <c r="M1146">
        <v>6500</v>
      </c>
      <c r="N1146" t="s">
        <v>19</v>
      </c>
    </row>
    <row r="1147" spans="1:14" x14ac:dyDescent="0.25">
      <c r="A1147" t="str">
        <f>Table3[[#This Row],[Company Name]] &amp; " - " &amp; Table3[[#This Row],[Store Name]] &amp; " - " &amp; Table3[[#This Row],[Store Branch / Address]]</f>
        <v>CHICKEN DELI - GONGCHA - GENERIC</v>
      </c>
      <c r="B1147" t="str">
        <f>Table3[[#This Row],[Client ID]] &amp; " - " &amp; Table3[[#This Row],[SO Number]]</f>
        <v>CHICKEN DELI - GONGCHA - GENERIC - SO-147</v>
      </c>
      <c r="C1147" t="s">
        <v>751</v>
      </c>
      <c r="D1147" t="s">
        <v>20</v>
      </c>
      <c r="E1147" t="s">
        <v>31</v>
      </c>
      <c r="F1147" t="s">
        <v>15</v>
      </c>
      <c r="G1147" t="s">
        <v>22</v>
      </c>
      <c r="H1147" t="s">
        <v>734</v>
      </c>
      <c r="I1147" t="s">
        <v>33</v>
      </c>
      <c r="J1147">
        <v>3</v>
      </c>
      <c r="K1147">
        <v>6500</v>
      </c>
      <c r="L1147">
        <v>6500</v>
      </c>
      <c r="M1147">
        <v>19500</v>
      </c>
      <c r="N1147" t="s">
        <v>19</v>
      </c>
    </row>
    <row r="1148" spans="1:14" x14ac:dyDescent="0.25">
      <c r="A1148" t="str">
        <f>Table3[[#This Row],[Company Name]] &amp; " - " &amp; Table3[[#This Row],[Store Name]] &amp; " - " &amp; Table3[[#This Row],[Store Branch / Address]]</f>
        <v>CHICKEN DELI - GONGCHA - GENERIC</v>
      </c>
      <c r="B1148" t="str">
        <f>Table3[[#This Row],[Client ID]] &amp; " - " &amp; Table3[[#This Row],[SO Number]]</f>
        <v>CHICKEN DELI - GONGCHA - GENERIC - SO-148</v>
      </c>
      <c r="C1148" t="s">
        <v>752</v>
      </c>
      <c r="D1148" t="s">
        <v>20</v>
      </c>
      <c r="E1148" t="s">
        <v>31</v>
      </c>
      <c r="F1148" t="s">
        <v>15</v>
      </c>
      <c r="G1148" t="s">
        <v>22</v>
      </c>
      <c r="H1148" t="s">
        <v>734</v>
      </c>
      <c r="I1148" t="s">
        <v>33</v>
      </c>
      <c r="J1148">
        <v>1</v>
      </c>
      <c r="K1148">
        <v>6500</v>
      </c>
      <c r="L1148">
        <v>6500</v>
      </c>
      <c r="M1148">
        <v>6500</v>
      </c>
      <c r="N1148" t="s">
        <v>19</v>
      </c>
    </row>
    <row r="1149" spans="1:14" x14ac:dyDescent="0.25">
      <c r="A1149" t="str">
        <f>Table3[[#This Row],[Company Name]] &amp; " - " &amp; Table3[[#This Row],[Store Name]] &amp; " - " &amp; Table3[[#This Row],[Store Branch / Address]]</f>
        <v>INSPIRA PRIME INTERNATIONAL CORPORATION - AQUAFLASK - GENERIC</v>
      </c>
      <c r="B1149" t="str">
        <f>Table3[[#This Row],[Client ID]] &amp; " - " &amp; Table3[[#This Row],[SO Number]]</f>
        <v>INSPIRA PRIME INTERNATIONAL CORPORATION - AQUAFLASK - GENERIC - SO-052</v>
      </c>
      <c r="C1149" t="s">
        <v>353</v>
      </c>
      <c r="D1149" t="s">
        <v>1117</v>
      </c>
      <c r="E1149" t="s">
        <v>1118</v>
      </c>
      <c r="F1149" t="s">
        <v>15</v>
      </c>
      <c r="G1149" t="s">
        <v>1024</v>
      </c>
      <c r="H1149" t="s">
        <v>734</v>
      </c>
      <c r="I1149" t="s">
        <v>1009</v>
      </c>
      <c r="J1149">
        <v>1</v>
      </c>
      <c r="K1149">
        <v>3675</v>
      </c>
      <c r="L1149">
        <v>10500</v>
      </c>
      <c r="M1149">
        <v>10500</v>
      </c>
      <c r="N1149" t="s">
        <v>19</v>
      </c>
    </row>
    <row r="1150" spans="1:14" x14ac:dyDescent="0.25">
      <c r="A1150" t="str">
        <f>Table3[[#This Row],[Company Name]] &amp; " - " &amp; Table3[[#This Row],[Store Name]] &amp; " - " &amp; Table3[[#This Row],[Store Branch / Address]]</f>
        <v>INSPIRA PRIME INTERNATIONAL CORPORATION - AQUAFLASK - GENERIC</v>
      </c>
      <c r="B1150" t="str">
        <f>Table3[[#This Row],[Client ID]] &amp; " - " &amp; Table3[[#This Row],[SO Number]]</f>
        <v>INSPIRA PRIME INTERNATIONAL CORPORATION - AQUAFLASK - GENERIC - SO-052</v>
      </c>
      <c r="C1150" t="s">
        <v>353</v>
      </c>
      <c r="D1150" t="s">
        <v>1117</v>
      </c>
      <c r="E1150" t="s">
        <v>1118</v>
      </c>
      <c r="F1150" t="s">
        <v>15</v>
      </c>
      <c r="G1150" t="s">
        <v>1024</v>
      </c>
      <c r="H1150" t="s">
        <v>734</v>
      </c>
      <c r="I1150" t="s">
        <v>1011</v>
      </c>
      <c r="J1150">
        <v>1</v>
      </c>
      <c r="K1150">
        <v>2450</v>
      </c>
      <c r="L1150">
        <v>7000</v>
      </c>
      <c r="M1150">
        <v>7000</v>
      </c>
      <c r="N1150" t="s">
        <v>19</v>
      </c>
    </row>
    <row r="1151" spans="1:14" x14ac:dyDescent="0.25">
      <c r="A1151" t="str">
        <f>Table3[[#This Row],[Company Name]] &amp; " - " &amp; Table3[[#This Row],[Store Name]] &amp; " - " &amp; Table3[[#This Row],[Store Branch / Address]]</f>
        <v>INSPIRA PRIME INTERNATIONAL CORPORATION - AQUAFLASK - GENERIC</v>
      </c>
      <c r="B1151" t="str">
        <f>Table3[[#This Row],[Client ID]] &amp; " - " &amp; Table3[[#This Row],[SO Number]]</f>
        <v>INSPIRA PRIME INTERNATIONAL CORPORATION - AQUAFLASK - GENERIC - SO-052</v>
      </c>
      <c r="C1151" t="s">
        <v>353</v>
      </c>
      <c r="D1151" t="s">
        <v>1117</v>
      </c>
      <c r="E1151" t="s">
        <v>1118</v>
      </c>
      <c r="F1151" t="s">
        <v>15</v>
      </c>
      <c r="G1151" t="s">
        <v>1024</v>
      </c>
      <c r="H1151" t="s">
        <v>734</v>
      </c>
      <c r="I1151" t="s">
        <v>24</v>
      </c>
      <c r="J1151">
        <v>1</v>
      </c>
      <c r="K1151">
        <v>2450</v>
      </c>
      <c r="L1151">
        <v>7000</v>
      </c>
      <c r="M1151">
        <v>7000</v>
      </c>
      <c r="N1151" t="s">
        <v>19</v>
      </c>
    </row>
    <row r="1152" spans="1:14" x14ac:dyDescent="0.25">
      <c r="A1152" t="str">
        <f>Table3[[#This Row],[Company Name]] &amp; " - " &amp; Table3[[#This Row],[Store Name]] &amp; " - " &amp; Table3[[#This Row],[Store Branch / Address]]</f>
        <v>INSPIRA PRIME INTERNATIONAL CORPORATION - AQUAFLASK - GENERIC</v>
      </c>
      <c r="B1152" t="str">
        <f>Table3[[#This Row],[Client ID]] &amp; " - " &amp; Table3[[#This Row],[SO Number]]</f>
        <v>INSPIRA PRIME INTERNATIONAL CORPORATION - AQUAFLASK - GENERIC - SO-052</v>
      </c>
      <c r="C1152" t="s">
        <v>353</v>
      </c>
      <c r="D1152" t="s">
        <v>1117</v>
      </c>
      <c r="E1152" t="s">
        <v>1118</v>
      </c>
      <c r="F1152" t="s">
        <v>15</v>
      </c>
      <c r="G1152" t="s">
        <v>1024</v>
      </c>
      <c r="H1152" t="s">
        <v>734</v>
      </c>
      <c r="I1152" t="s">
        <v>26</v>
      </c>
      <c r="J1152">
        <v>1</v>
      </c>
      <c r="K1152">
        <v>500</v>
      </c>
      <c r="L1152">
        <v>500</v>
      </c>
      <c r="M1152">
        <v>500</v>
      </c>
      <c r="N1152" t="s">
        <v>19</v>
      </c>
    </row>
    <row r="1153" spans="1:14" x14ac:dyDescent="0.25">
      <c r="A1153" t="str">
        <f>Table3[[#This Row],[Company Name]] &amp; " - " &amp; Table3[[#This Row],[Store Name]] &amp; " - " &amp; Table3[[#This Row],[Store Branch / Address]]</f>
        <v>INSPIRA PRIME INTERNATIONAL CORPORATION - AQUAFLASK - GENERIC</v>
      </c>
      <c r="B1153" t="str">
        <f>Table3[[#This Row],[Client ID]] &amp; " - " &amp; Table3[[#This Row],[SO Number]]</f>
        <v>INSPIRA PRIME INTERNATIONAL CORPORATION - AQUAFLASK - GENERIC - SO-052</v>
      </c>
      <c r="C1153" t="s">
        <v>353</v>
      </c>
      <c r="D1153" t="s">
        <v>1117</v>
      </c>
      <c r="E1153" t="s">
        <v>1118</v>
      </c>
      <c r="F1153" t="s">
        <v>15</v>
      </c>
      <c r="G1153" t="s">
        <v>1024</v>
      </c>
      <c r="H1153" t="s">
        <v>734</v>
      </c>
      <c r="I1153" t="s">
        <v>1119</v>
      </c>
      <c r="J1153">
        <v>1</v>
      </c>
      <c r="K1153">
        <v>20800</v>
      </c>
      <c r="L1153">
        <v>23000</v>
      </c>
      <c r="M1153">
        <v>23000</v>
      </c>
      <c r="N1153" t="s">
        <v>19</v>
      </c>
    </row>
    <row r="1154" spans="1:14" x14ac:dyDescent="0.25">
      <c r="A1154" t="str">
        <f>Table3[[#This Row],[Company Name]] &amp; " - " &amp; Table3[[#This Row],[Store Name]] &amp; " - " &amp; Table3[[#This Row],[Store Branch / Address]]</f>
        <v>INSPIRA PRIME INTERNATIONAL CORPORATION - AQUAFLASK - GENERIC</v>
      </c>
      <c r="B1154" t="str">
        <f>Table3[[#This Row],[Client ID]] &amp; " - " &amp; Table3[[#This Row],[SO Number]]</f>
        <v>INSPIRA PRIME INTERNATIONAL CORPORATION - AQUAFLASK - GENERIC - SO-052</v>
      </c>
      <c r="C1154" t="s">
        <v>353</v>
      </c>
      <c r="D1154" t="s">
        <v>1117</v>
      </c>
      <c r="E1154" t="s">
        <v>1118</v>
      </c>
      <c r="F1154" t="s">
        <v>15</v>
      </c>
      <c r="G1154" t="s">
        <v>1024</v>
      </c>
      <c r="H1154" t="s">
        <v>734</v>
      </c>
      <c r="I1154" t="s">
        <v>1120</v>
      </c>
      <c r="J1154">
        <v>1</v>
      </c>
      <c r="K1154">
        <v>2334</v>
      </c>
      <c r="L1154">
        <v>3200</v>
      </c>
      <c r="M1154">
        <v>3200</v>
      </c>
      <c r="N1154" t="s">
        <v>19</v>
      </c>
    </row>
    <row r="1155" spans="1:14" x14ac:dyDescent="0.25">
      <c r="A1155" t="str">
        <f>Table3[[#This Row],[Company Name]] &amp; " - " &amp; Table3[[#This Row],[Store Name]] &amp; " - " &amp; Table3[[#This Row],[Store Branch / Address]]</f>
        <v>INSPIRA PRIME INTERNATIONAL CORPORATION - AQUAFLASK - GENERIC</v>
      </c>
      <c r="B1155" t="str">
        <f>Table3[[#This Row],[Client ID]] &amp; " - " &amp; Table3[[#This Row],[SO Number]]</f>
        <v>INSPIRA PRIME INTERNATIONAL CORPORATION - AQUAFLASK - GENERIC - SO-052</v>
      </c>
      <c r="C1155" t="s">
        <v>353</v>
      </c>
      <c r="D1155" t="s">
        <v>1117</v>
      </c>
      <c r="E1155" t="s">
        <v>1118</v>
      </c>
      <c r="F1155" t="s">
        <v>15</v>
      </c>
      <c r="G1155" t="s">
        <v>1024</v>
      </c>
      <c r="H1155" t="s">
        <v>734</v>
      </c>
      <c r="I1155" t="s">
        <v>151</v>
      </c>
      <c r="J1155">
        <v>1</v>
      </c>
      <c r="K1155">
        <v>2800</v>
      </c>
      <c r="L1155">
        <v>3200</v>
      </c>
      <c r="M1155">
        <v>3200</v>
      </c>
      <c r="N1155" t="s">
        <v>19</v>
      </c>
    </row>
    <row r="1156" spans="1:14" x14ac:dyDescent="0.25">
      <c r="A1156" t="str">
        <f>Table3[[#This Row],[Company Name]] &amp; " - " &amp; Table3[[#This Row],[Store Name]] &amp; " - " &amp; Table3[[#This Row],[Store Branch / Address]]</f>
        <v>INSPIRA PRIME INTERNATIONAL CORPORATION - AQUAFLASK - GENERIC</v>
      </c>
      <c r="B1156" t="str">
        <f>Table3[[#This Row],[Client ID]] &amp; " - " &amp; Table3[[#This Row],[SO Number]]</f>
        <v>INSPIRA PRIME INTERNATIONAL CORPORATION - AQUAFLASK - GENERIC - SO-052</v>
      </c>
      <c r="C1156" t="s">
        <v>353</v>
      </c>
      <c r="D1156" t="s">
        <v>1117</v>
      </c>
      <c r="E1156" t="s">
        <v>1118</v>
      </c>
      <c r="F1156" t="s">
        <v>15</v>
      </c>
      <c r="G1156" t="s">
        <v>1024</v>
      </c>
      <c r="H1156" t="s">
        <v>734</v>
      </c>
      <c r="I1156" t="s">
        <v>189</v>
      </c>
      <c r="J1156">
        <v>1</v>
      </c>
      <c r="K1156">
        <v>500</v>
      </c>
      <c r="L1156">
        <v>600</v>
      </c>
      <c r="M1156">
        <v>600</v>
      </c>
      <c r="N1156" t="s">
        <v>19</v>
      </c>
    </row>
    <row r="1157" spans="1:14" x14ac:dyDescent="0.25">
      <c r="A1157" t="str">
        <f>Table3[[#This Row],[Company Name]] &amp; " - " &amp; Table3[[#This Row],[Store Name]] &amp; " - " &amp; Table3[[#This Row],[Store Branch / Address]]</f>
        <v>INSPIRA PRIME INTERNATIONAL CORPORATION - AQUAFLASK - GENERIC</v>
      </c>
      <c r="B1157" t="str">
        <f>Table3[[#This Row],[Client ID]] &amp; " - " &amp; Table3[[#This Row],[SO Number]]</f>
        <v>INSPIRA PRIME INTERNATIONAL CORPORATION - AQUAFLASK - GENERIC - SO-052</v>
      </c>
      <c r="C1157" t="s">
        <v>353</v>
      </c>
      <c r="D1157" t="s">
        <v>1117</v>
      </c>
      <c r="E1157" t="s">
        <v>1118</v>
      </c>
      <c r="F1157" t="s">
        <v>15</v>
      </c>
      <c r="G1157" t="s">
        <v>1024</v>
      </c>
      <c r="H1157" t="s">
        <v>734</v>
      </c>
      <c r="I1157" t="s">
        <v>1033</v>
      </c>
      <c r="J1157">
        <v>1</v>
      </c>
      <c r="K1157">
        <v>350</v>
      </c>
      <c r="L1157">
        <v>400</v>
      </c>
      <c r="M1157">
        <v>400</v>
      </c>
      <c r="N1157" t="s">
        <v>19</v>
      </c>
    </row>
    <row r="1158" spans="1:14" x14ac:dyDescent="0.25">
      <c r="A1158" t="str">
        <f>Table3[[#This Row],[Company Name]] &amp; " - " &amp; Table3[[#This Row],[Store Name]] &amp; " - " &amp; Table3[[#This Row],[Store Branch / Address]]</f>
        <v>INSPIRA PRIME INTERNATIONAL CORPORATION - AQUAFLASK - GENERIC</v>
      </c>
      <c r="B1158" t="str">
        <f>Table3[[#This Row],[Client ID]] &amp; " - " &amp; Table3[[#This Row],[SO Number]]</f>
        <v>INSPIRA PRIME INTERNATIONAL CORPORATION - AQUAFLASK - GENERIC - SO-052</v>
      </c>
      <c r="C1158" t="s">
        <v>353</v>
      </c>
      <c r="D1158" t="s">
        <v>1117</v>
      </c>
      <c r="E1158" t="s">
        <v>1118</v>
      </c>
      <c r="F1158" t="s">
        <v>15</v>
      </c>
      <c r="G1158" t="s">
        <v>1024</v>
      </c>
      <c r="H1158" t="s">
        <v>734</v>
      </c>
      <c r="I1158" t="s">
        <v>1014</v>
      </c>
      <c r="J1158">
        <v>1</v>
      </c>
      <c r="K1158">
        <v>970</v>
      </c>
      <c r="L1158">
        <v>1200</v>
      </c>
      <c r="M1158">
        <v>1200</v>
      </c>
      <c r="N1158" t="s">
        <v>19</v>
      </c>
    </row>
    <row r="1159" spans="1:14" x14ac:dyDescent="0.25">
      <c r="A1159" t="str">
        <f>Table3[[#This Row],[Company Name]] &amp; " - " &amp; Table3[[#This Row],[Store Name]] &amp; " - " &amp; Table3[[#This Row],[Store Branch / Address]]</f>
        <v>INSPIRA PRIME INTERNATIONAL CORPORATION - AQUAFLASK - GENERIC</v>
      </c>
      <c r="B1159" t="str">
        <f>Table3[[#This Row],[Client ID]] &amp; " - " &amp; Table3[[#This Row],[SO Number]]</f>
        <v>INSPIRA PRIME INTERNATIONAL CORPORATION - AQUAFLASK - GENERIC - SO-052</v>
      </c>
      <c r="C1159" t="s">
        <v>353</v>
      </c>
      <c r="D1159" t="s">
        <v>1117</v>
      </c>
      <c r="E1159" t="s">
        <v>1118</v>
      </c>
      <c r="F1159" t="s">
        <v>15</v>
      </c>
      <c r="G1159" t="s">
        <v>1024</v>
      </c>
      <c r="H1159" t="s">
        <v>734</v>
      </c>
      <c r="I1159" t="s">
        <v>1015</v>
      </c>
      <c r="J1159">
        <v>1</v>
      </c>
      <c r="K1159">
        <v>4250</v>
      </c>
      <c r="L1159">
        <v>4700</v>
      </c>
      <c r="M1159">
        <v>4700</v>
      </c>
      <c r="N1159" t="s">
        <v>19</v>
      </c>
    </row>
    <row r="1160" spans="1:14" x14ac:dyDescent="0.25">
      <c r="A1160" t="str">
        <f>Table3[[#This Row],[Company Name]] &amp; " - " &amp; Table3[[#This Row],[Store Name]] &amp; " - " &amp; Table3[[#This Row],[Store Branch / Address]]</f>
        <v>INSPIRA PRIME INTERNATIONAL CORPORATION - AQUAFLASK - GENERIC</v>
      </c>
      <c r="B1160" t="str">
        <f>Table3[[#This Row],[Client ID]] &amp; " - " &amp; Table3[[#This Row],[SO Number]]</f>
        <v>INSPIRA PRIME INTERNATIONAL CORPORATION - AQUAFLASK - GENERIC - SO-052</v>
      </c>
      <c r="C1160" t="s">
        <v>353</v>
      </c>
      <c r="D1160" t="s">
        <v>1117</v>
      </c>
      <c r="E1160" t="s">
        <v>1118</v>
      </c>
      <c r="F1160" t="s">
        <v>15</v>
      </c>
      <c r="G1160" t="s">
        <v>1024</v>
      </c>
      <c r="H1160" t="s">
        <v>734</v>
      </c>
      <c r="I1160" t="s">
        <v>85</v>
      </c>
      <c r="J1160">
        <v>1</v>
      </c>
      <c r="K1160">
        <v>1350</v>
      </c>
      <c r="L1160">
        <v>1700</v>
      </c>
      <c r="M1160">
        <v>1700</v>
      </c>
      <c r="N1160" t="s">
        <v>19</v>
      </c>
    </row>
    <row r="1161" spans="1:14" x14ac:dyDescent="0.25">
      <c r="A1161" t="str">
        <f>Table3[[#This Row],[Company Name]] &amp; " - " &amp; Table3[[#This Row],[Store Name]] &amp; " - " &amp; Table3[[#This Row],[Store Branch / Address]]</f>
        <v>INSPIRA PRIME INTERNATIONAL CORPORATION - AQUAFLASK - GENERIC</v>
      </c>
      <c r="B1161" t="str">
        <f>Table3[[#This Row],[Client ID]] &amp; " - " &amp; Table3[[#This Row],[SO Number]]</f>
        <v>INSPIRA PRIME INTERNATIONAL CORPORATION - AQUAFLASK - GENERIC - SO-052</v>
      </c>
      <c r="C1161" t="s">
        <v>353</v>
      </c>
      <c r="D1161" t="s">
        <v>1117</v>
      </c>
      <c r="E1161" t="s">
        <v>1118</v>
      </c>
      <c r="F1161" t="s">
        <v>15</v>
      </c>
      <c r="G1161" t="s">
        <v>1024</v>
      </c>
      <c r="H1161" t="s">
        <v>734</v>
      </c>
      <c r="I1161" t="s">
        <v>1016</v>
      </c>
      <c r="J1161">
        <v>1</v>
      </c>
      <c r="K1161">
        <v>8500</v>
      </c>
      <c r="L1161">
        <v>10000</v>
      </c>
      <c r="M1161">
        <v>10000</v>
      </c>
      <c r="N1161" t="s">
        <v>19</v>
      </c>
    </row>
    <row r="1162" spans="1:14" x14ac:dyDescent="0.25">
      <c r="A1162" t="str">
        <f>Table3[[#This Row],[Company Name]] &amp; " - " &amp; Table3[[#This Row],[Store Name]] &amp; " - " &amp; Table3[[#This Row],[Store Branch / Address]]</f>
        <v>INSPIRA PRIME INTERNATIONAL CORPORATION - AQUAFLASK - GENERIC</v>
      </c>
      <c r="B1162" t="str">
        <f>Table3[[#This Row],[Client ID]] &amp; " - " &amp; Table3[[#This Row],[SO Number]]</f>
        <v>INSPIRA PRIME INTERNATIONAL CORPORATION - AQUAFLASK - GENERIC - SO-052</v>
      </c>
      <c r="C1162" t="s">
        <v>353</v>
      </c>
      <c r="D1162" t="s">
        <v>1117</v>
      </c>
      <c r="E1162" t="s">
        <v>1118</v>
      </c>
      <c r="F1162" t="s">
        <v>15</v>
      </c>
      <c r="G1162" t="s">
        <v>1024</v>
      </c>
      <c r="H1162" t="s">
        <v>734</v>
      </c>
      <c r="I1162" t="s">
        <v>97</v>
      </c>
      <c r="J1162">
        <v>1</v>
      </c>
      <c r="K1162">
        <v>2200</v>
      </c>
      <c r="L1162">
        <v>3000</v>
      </c>
      <c r="M1162">
        <v>3000</v>
      </c>
      <c r="N1162" t="s">
        <v>19</v>
      </c>
    </row>
    <row r="1163" spans="1:14" x14ac:dyDescent="0.25">
      <c r="A1163" t="str">
        <f>Table3[[#This Row],[Company Name]] &amp; " - " &amp; Table3[[#This Row],[Store Name]] &amp; " - " &amp; Table3[[#This Row],[Store Branch / Address]]</f>
        <v>INSPIRA PRIME INTERNATIONAL CORPORATION - AQUAFLASK - GENERIC</v>
      </c>
      <c r="B1163" t="str">
        <f>Table3[[#This Row],[Client ID]] &amp; " - " &amp; Table3[[#This Row],[SO Number]]</f>
        <v>INSPIRA PRIME INTERNATIONAL CORPORATION - AQUAFLASK - GENERIC - SO-052</v>
      </c>
      <c r="C1163" t="s">
        <v>353</v>
      </c>
      <c r="D1163" t="s">
        <v>1117</v>
      </c>
      <c r="E1163" t="s">
        <v>1118</v>
      </c>
      <c r="F1163" t="s">
        <v>15</v>
      </c>
      <c r="G1163" t="s">
        <v>1024</v>
      </c>
      <c r="H1163" t="s">
        <v>734</v>
      </c>
      <c r="I1163" t="s">
        <v>1121</v>
      </c>
      <c r="J1163">
        <v>1</v>
      </c>
      <c r="K1163">
        <v>3000</v>
      </c>
      <c r="L1163">
        <v>4000</v>
      </c>
      <c r="M1163">
        <v>4000</v>
      </c>
      <c r="N1163" t="s">
        <v>19</v>
      </c>
    </row>
    <row r="1164" spans="1:14" x14ac:dyDescent="0.25">
      <c r="A1164" t="str">
        <f>Table3[[#This Row],[Company Name]] &amp; " - " &amp; Table3[[#This Row],[Store Name]] &amp; " - " &amp; Table3[[#This Row],[Store Branch / Address]]</f>
        <v>HAPPY CREATIVE VENTURES INC - THE HAPPY STATION - GENERIC</v>
      </c>
      <c r="B1164" t="str">
        <f>Table3[[#This Row],[Client ID]] &amp; " - " &amp; Table3[[#This Row],[SO Number]]</f>
        <v>HAPPY CREATIVE VENTURES INC - THE HAPPY STATION - GENERIC - SO-053</v>
      </c>
      <c r="C1164" t="s">
        <v>356</v>
      </c>
      <c r="D1164" t="s">
        <v>1122</v>
      </c>
      <c r="E1164" t="s">
        <v>1123</v>
      </c>
      <c r="F1164" t="s">
        <v>15</v>
      </c>
      <c r="G1164" t="s">
        <v>37</v>
      </c>
      <c r="H1164" t="s">
        <v>734</v>
      </c>
      <c r="I1164" t="s">
        <v>33</v>
      </c>
      <c r="J1164">
        <v>1</v>
      </c>
      <c r="K1164">
        <v>16000</v>
      </c>
      <c r="L1164">
        <v>16000</v>
      </c>
      <c r="M1164">
        <v>16000</v>
      </c>
      <c r="N1164" t="s">
        <v>19</v>
      </c>
    </row>
    <row r="1165" spans="1:14" x14ac:dyDescent="0.25">
      <c r="A1165" t="str">
        <f>Table3[[#This Row],[Company Name]] &amp; " - " &amp; Table3[[#This Row],[Store Name]] &amp; " - " &amp; Table3[[#This Row],[Store Branch / Address]]</f>
        <v>ALLURE EMPIRE CORPORATION - CHU CHU BEAUTY (HOS) - TONDO MANILA</v>
      </c>
      <c r="B1165" t="str">
        <f>Table3[[#This Row],[Client ID]] &amp; " - " &amp; Table3[[#This Row],[SO Number]]</f>
        <v>ALLURE EMPIRE CORPORATION - CHU CHU BEAUTY (HOS) - TONDO MANILA - SO-054</v>
      </c>
      <c r="C1165" t="s">
        <v>362</v>
      </c>
      <c r="D1165" t="s">
        <v>1124</v>
      </c>
      <c r="E1165" t="s">
        <v>1125</v>
      </c>
      <c r="F1165" t="s">
        <v>1126</v>
      </c>
      <c r="G1165" t="s">
        <v>1088</v>
      </c>
      <c r="H1165" t="s">
        <v>1127</v>
      </c>
      <c r="I1165" t="s">
        <v>1128</v>
      </c>
      <c r="J1165">
        <v>1</v>
      </c>
      <c r="K1165">
        <v>3675</v>
      </c>
      <c r="L1165">
        <v>10500</v>
      </c>
      <c r="M1165">
        <v>10500</v>
      </c>
      <c r="N1165" t="s">
        <v>1010</v>
      </c>
    </row>
    <row r="1166" spans="1:14" x14ac:dyDescent="0.25">
      <c r="A1166" t="str">
        <f>Table3[[#This Row],[Company Name]] &amp; " - " &amp; Table3[[#This Row],[Store Name]] &amp; " - " &amp; Table3[[#This Row],[Store Branch / Address]]</f>
        <v>ALLURE EMPIRE CORPORATION - CHU CHU BEAUTY (HOS) - TONDO MANILA</v>
      </c>
      <c r="B1166" t="str">
        <f>Table3[[#This Row],[Client ID]] &amp; " - " &amp; Table3[[#This Row],[SO Number]]</f>
        <v>ALLURE EMPIRE CORPORATION - CHU CHU BEAUTY (HOS) - TONDO MANILA - SO-054</v>
      </c>
      <c r="C1166" t="s">
        <v>362</v>
      </c>
      <c r="D1166" t="s">
        <v>1124</v>
      </c>
      <c r="E1166" t="s">
        <v>1125</v>
      </c>
      <c r="F1166" t="s">
        <v>1126</v>
      </c>
      <c r="G1166" t="s">
        <v>1088</v>
      </c>
      <c r="H1166" t="s">
        <v>1127</v>
      </c>
      <c r="I1166" t="s">
        <v>26</v>
      </c>
      <c r="J1166">
        <v>1</v>
      </c>
      <c r="K1166">
        <v>500</v>
      </c>
      <c r="L1166">
        <v>500</v>
      </c>
      <c r="M1166">
        <v>500</v>
      </c>
      <c r="N1166" t="s">
        <v>1010</v>
      </c>
    </row>
    <row r="1167" spans="1:14" x14ac:dyDescent="0.25">
      <c r="A1167" t="str">
        <f>Table3[[#This Row],[Company Name]] &amp; " - " &amp; Table3[[#This Row],[Store Name]] &amp; " - " &amp; Table3[[#This Row],[Store Branch / Address]]</f>
        <v>ALLURE EMPIRE CORPORATION - CHU CHU BEAUTY (HOS) - TONDO MANILA</v>
      </c>
      <c r="B1167" t="str">
        <f>Table3[[#This Row],[Client ID]] &amp; " - " &amp; Table3[[#This Row],[SO Number]]</f>
        <v>ALLURE EMPIRE CORPORATION - CHU CHU BEAUTY (HOS) - TONDO MANILA - SO-054</v>
      </c>
      <c r="C1167" t="s">
        <v>362</v>
      </c>
      <c r="D1167" t="s">
        <v>1124</v>
      </c>
      <c r="E1167" t="s">
        <v>1125</v>
      </c>
      <c r="F1167" t="s">
        <v>1126</v>
      </c>
      <c r="G1167" t="s">
        <v>1088</v>
      </c>
      <c r="H1167" t="s">
        <v>1127</v>
      </c>
      <c r="I1167" t="s">
        <v>537</v>
      </c>
      <c r="J1167">
        <v>1</v>
      </c>
      <c r="K1167">
        <v>16000</v>
      </c>
      <c r="L1167">
        <v>16000</v>
      </c>
      <c r="M1167">
        <v>16000</v>
      </c>
      <c r="N1167" t="s">
        <v>1010</v>
      </c>
    </row>
    <row r="1168" spans="1:14" x14ac:dyDescent="0.25">
      <c r="A1168" t="str">
        <f>Table3[[#This Row],[Company Name]] &amp; " - " &amp; Table3[[#This Row],[Store Name]] &amp; " - " &amp; Table3[[#This Row],[Store Branch / Address]]</f>
        <v>ALLURE EMPIRE CORPORATION - CHU CHU BEAUTY (HOS) - TONDO MANILA</v>
      </c>
      <c r="B1168" t="str">
        <f>Table3[[#This Row],[Client ID]] &amp; " - " &amp; Table3[[#This Row],[SO Number]]</f>
        <v>ALLURE EMPIRE CORPORATION - CHU CHU BEAUTY (HOS) - TONDO MANILA - SO-054</v>
      </c>
      <c r="C1168" t="s">
        <v>362</v>
      </c>
      <c r="D1168" t="s">
        <v>1124</v>
      </c>
      <c r="E1168" t="s">
        <v>1125</v>
      </c>
      <c r="F1168" t="s">
        <v>1126</v>
      </c>
      <c r="G1168" t="s">
        <v>1088</v>
      </c>
      <c r="H1168" t="s">
        <v>1127</v>
      </c>
      <c r="I1168" t="s">
        <v>24</v>
      </c>
      <c r="J1168">
        <v>1</v>
      </c>
      <c r="K1168">
        <v>16000</v>
      </c>
      <c r="L1168">
        <v>16000</v>
      </c>
      <c r="M1168">
        <v>16000</v>
      </c>
      <c r="N1168" t="s">
        <v>1010</v>
      </c>
    </row>
    <row r="1169" spans="1:14" x14ac:dyDescent="0.25">
      <c r="A1169" t="str">
        <f>Table3[[#This Row],[Company Name]] &amp; " - " &amp; Table3[[#This Row],[Store Name]] &amp; " - " &amp; Table3[[#This Row],[Store Branch / Address]]</f>
        <v>ALLURE EMPIRE CORPORATION - CHU CHU BEAUTY - GREENHILLS</v>
      </c>
      <c r="B1169" t="str">
        <f>Table3[[#This Row],[Client ID]] &amp; " - " &amp; Table3[[#This Row],[SO Number]]</f>
        <v>ALLURE EMPIRE CORPORATION - CHU CHU BEAUTY - GREENHILLS - SO-055</v>
      </c>
      <c r="C1169" t="s">
        <v>368</v>
      </c>
      <c r="D1169" t="s">
        <v>1124</v>
      </c>
      <c r="E1169" t="s">
        <v>1129</v>
      </c>
      <c r="F1169" t="s">
        <v>294</v>
      </c>
      <c r="G1169" t="s">
        <v>1088</v>
      </c>
      <c r="H1169" t="s">
        <v>1127</v>
      </c>
      <c r="I1169" t="s">
        <v>1130</v>
      </c>
      <c r="J1169">
        <v>1</v>
      </c>
      <c r="K1169">
        <v>3675</v>
      </c>
      <c r="L1169">
        <v>10500</v>
      </c>
      <c r="M1169">
        <v>10500</v>
      </c>
      <c r="N1169" t="s">
        <v>1010</v>
      </c>
    </row>
    <row r="1170" spans="1:14" x14ac:dyDescent="0.25">
      <c r="A1170" t="str">
        <f>Table3[[#This Row],[Company Name]] &amp; " - " &amp; Table3[[#This Row],[Store Name]] &amp; " - " &amp; Table3[[#This Row],[Store Branch / Address]]</f>
        <v>ALLURE EMPIRE CORPORATION - CHU CHU BEAUTY - GREENHILLS</v>
      </c>
      <c r="B1170" t="str">
        <f>Table3[[#This Row],[Client ID]] &amp; " - " &amp; Table3[[#This Row],[SO Number]]</f>
        <v>ALLURE EMPIRE CORPORATION - CHU CHU BEAUTY - GREENHILLS - SO-055</v>
      </c>
      <c r="C1170" t="s">
        <v>368</v>
      </c>
      <c r="D1170" t="s">
        <v>1124</v>
      </c>
      <c r="E1170" t="s">
        <v>1129</v>
      </c>
      <c r="F1170" t="s">
        <v>294</v>
      </c>
      <c r="G1170" t="s">
        <v>1088</v>
      </c>
      <c r="H1170" t="s">
        <v>1127</v>
      </c>
      <c r="I1170" t="s">
        <v>26</v>
      </c>
      <c r="J1170">
        <v>1</v>
      </c>
      <c r="K1170">
        <v>500</v>
      </c>
      <c r="L1170">
        <v>500</v>
      </c>
      <c r="M1170">
        <v>500</v>
      </c>
      <c r="N1170" t="s">
        <v>1010</v>
      </c>
    </row>
    <row r="1171" spans="1:14" x14ac:dyDescent="0.25">
      <c r="A1171" t="str">
        <f>Table3[[#This Row],[Company Name]] &amp; " - " &amp; Table3[[#This Row],[Store Name]] &amp; " - " &amp; Table3[[#This Row],[Store Branch / Address]]</f>
        <v>ALLURE EMPIRE CORPORATION - CHU CHU BEAUTY - GREENHILLS</v>
      </c>
      <c r="B1171" t="str">
        <f>Table3[[#This Row],[Client ID]] &amp; " - " &amp; Table3[[#This Row],[SO Number]]</f>
        <v>ALLURE EMPIRE CORPORATION - CHU CHU BEAUTY - GREENHILLS - SO-055</v>
      </c>
      <c r="C1171" t="s">
        <v>368</v>
      </c>
      <c r="D1171" t="s">
        <v>1124</v>
      </c>
      <c r="E1171" t="s">
        <v>1129</v>
      </c>
      <c r="F1171" t="s">
        <v>294</v>
      </c>
      <c r="G1171" t="s">
        <v>1088</v>
      </c>
      <c r="H1171" t="s">
        <v>1127</v>
      </c>
      <c r="I1171" t="s">
        <v>537</v>
      </c>
      <c r="J1171">
        <v>1</v>
      </c>
      <c r="K1171">
        <v>8000</v>
      </c>
      <c r="L1171">
        <v>8000</v>
      </c>
      <c r="M1171">
        <v>8000</v>
      </c>
      <c r="N1171" t="s">
        <v>1010</v>
      </c>
    </row>
    <row r="1172" spans="1:14" x14ac:dyDescent="0.25">
      <c r="A1172" t="str">
        <f>Table3[[#This Row],[Company Name]] &amp; " - " &amp; Table3[[#This Row],[Store Name]] &amp; " - " &amp; Table3[[#This Row],[Store Branch / Address]]</f>
        <v>ALLURE EMPIRE CORPORATION - CHU CHU BEAUTY - GREENHILLS</v>
      </c>
      <c r="B1172" t="str">
        <f>Table3[[#This Row],[Client ID]] &amp; " - " &amp; Table3[[#This Row],[SO Number]]</f>
        <v>ALLURE EMPIRE CORPORATION - CHU CHU BEAUTY - GREENHILLS - SO-055</v>
      </c>
      <c r="C1172" t="s">
        <v>368</v>
      </c>
      <c r="D1172" t="s">
        <v>1124</v>
      </c>
      <c r="E1172" t="s">
        <v>1129</v>
      </c>
      <c r="F1172" t="s">
        <v>294</v>
      </c>
      <c r="G1172" t="s">
        <v>1088</v>
      </c>
      <c r="H1172" t="s">
        <v>1127</v>
      </c>
      <c r="I1172" t="s">
        <v>24</v>
      </c>
      <c r="J1172">
        <v>1</v>
      </c>
      <c r="K1172">
        <v>9500</v>
      </c>
      <c r="L1172">
        <v>9500</v>
      </c>
      <c r="M1172">
        <v>9500</v>
      </c>
      <c r="N1172" t="s">
        <v>1010</v>
      </c>
    </row>
    <row r="1173" spans="1:14" x14ac:dyDescent="0.25">
      <c r="A1173" t="str">
        <f>Table3[[#This Row],[Company Name]] &amp; " - " &amp; Table3[[#This Row],[Store Name]] &amp; " - " &amp; Table3[[#This Row],[Store Branch / Address]]</f>
        <v>ALLURE EMPIRE CORPORATION - CHU CHU BEAUTY - FESTIVAL MALL</v>
      </c>
      <c r="B1173" t="str">
        <f>Table3[[#This Row],[Client ID]] &amp; " - " &amp; Table3[[#This Row],[SO Number]]</f>
        <v>ALLURE EMPIRE CORPORATION - CHU CHU BEAUTY - FESTIVAL MALL - SO-056</v>
      </c>
      <c r="C1173" t="s">
        <v>369</v>
      </c>
      <c r="D1173" t="s">
        <v>1124</v>
      </c>
      <c r="E1173" t="s">
        <v>1129</v>
      </c>
      <c r="F1173" t="s">
        <v>1131</v>
      </c>
      <c r="G1173" t="s">
        <v>1088</v>
      </c>
      <c r="H1173" t="s">
        <v>1127</v>
      </c>
      <c r="I1173" t="s">
        <v>1130</v>
      </c>
      <c r="J1173">
        <v>1</v>
      </c>
      <c r="K1173">
        <v>3675</v>
      </c>
      <c r="L1173">
        <v>10500</v>
      </c>
      <c r="M1173">
        <v>10500</v>
      </c>
      <c r="N1173" t="s">
        <v>1010</v>
      </c>
    </row>
    <row r="1174" spans="1:14" x14ac:dyDescent="0.25">
      <c r="A1174" t="str">
        <f>Table3[[#This Row],[Company Name]] &amp; " - " &amp; Table3[[#This Row],[Store Name]] &amp; " - " &amp; Table3[[#This Row],[Store Branch / Address]]</f>
        <v>ALLURE EMPIRE CORPORATION - CHU CHU BEAUTY - FESTIVAL MALL</v>
      </c>
      <c r="B1174" t="str">
        <f>Table3[[#This Row],[Client ID]] &amp; " - " &amp; Table3[[#This Row],[SO Number]]</f>
        <v>ALLURE EMPIRE CORPORATION - CHU CHU BEAUTY - FESTIVAL MALL - SO-056</v>
      </c>
      <c r="C1174" t="s">
        <v>369</v>
      </c>
      <c r="D1174" t="s">
        <v>1124</v>
      </c>
      <c r="E1174" t="s">
        <v>1129</v>
      </c>
      <c r="F1174" t="s">
        <v>1131</v>
      </c>
      <c r="G1174" t="s">
        <v>1088</v>
      </c>
      <c r="H1174" t="s">
        <v>1127</v>
      </c>
      <c r="I1174" t="s">
        <v>26</v>
      </c>
      <c r="J1174">
        <v>1</v>
      </c>
      <c r="K1174">
        <v>500</v>
      </c>
      <c r="L1174">
        <v>500</v>
      </c>
      <c r="M1174">
        <v>500</v>
      </c>
      <c r="N1174" t="s">
        <v>1010</v>
      </c>
    </row>
    <row r="1175" spans="1:14" x14ac:dyDescent="0.25">
      <c r="A1175" t="str">
        <f>Table3[[#This Row],[Company Name]] &amp; " - " &amp; Table3[[#This Row],[Store Name]] &amp; " - " &amp; Table3[[#This Row],[Store Branch / Address]]</f>
        <v>ALLURE EMPIRE CORPORATION - CHU CHU BEAUTY - FESTIVAL MALL</v>
      </c>
      <c r="B1175" t="str">
        <f>Table3[[#This Row],[Client ID]] &amp; " - " &amp; Table3[[#This Row],[SO Number]]</f>
        <v>ALLURE EMPIRE CORPORATION - CHU CHU BEAUTY - FESTIVAL MALL - SO-056</v>
      </c>
      <c r="C1175" t="s">
        <v>369</v>
      </c>
      <c r="D1175" t="s">
        <v>1124</v>
      </c>
      <c r="E1175" t="s">
        <v>1129</v>
      </c>
      <c r="F1175" t="s">
        <v>1131</v>
      </c>
      <c r="G1175" t="s">
        <v>1088</v>
      </c>
      <c r="H1175" t="s">
        <v>1127</v>
      </c>
      <c r="I1175" t="s">
        <v>537</v>
      </c>
      <c r="J1175">
        <v>1</v>
      </c>
      <c r="K1175">
        <v>8000</v>
      </c>
      <c r="L1175">
        <v>8000</v>
      </c>
      <c r="M1175">
        <v>8000</v>
      </c>
      <c r="N1175" t="s">
        <v>1010</v>
      </c>
    </row>
    <row r="1176" spans="1:14" x14ac:dyDescent="0.25">
      <c r="A1176" t="str">
        <f>Table3[[#This Row],[Company Name]] &amp; " - " &amp; Table3[[#This Row],[Store Name]] &amp; " - " &amp; Table3[[#This Row],[Store Branch / Address]]</f>
        <v>ALLURE EMPIRE CORPORATION - CHU CHU BEAUTY - FESTIVAL MALL</v>
      </c>
      <c r="B1176" t="str">
        <f>Table3[[#This Row],[Client ID]] &amp; " - " &amp; Table3[[#This Row],[SO Number]]</f>
        <v>ALLURE EMPIRE CORPORATION - CHU CHU BEAUTY - FESTIVAL MALL - SO-056</v>
      </c>
      <c r="C1176" t="s">
        <v>369</v>
      </c>
      <c r="D1176" t="s">
        <v>1124</v>
      </c>
      <c r="E1176" t="s">
        <v>1129</v>
      </c>
      <c r="F1176" t="s">
        <v>1131</v>
      </c>
      <c r="G1176" t="s">
        <v>1088</v>
      </c>
      <c r="H1176" t="s">
        <v>1127</v>
      </c>
      <c r="I1176" t="s">
        <v>24</v>
      </c>
      <c r="J1176">
        <v>1</v>
      </c>
      <c r="K1176">
        <v>9500</v>
      </c>
      <c r="L1176">
        <v>9500</v>
      </c>
      <c r="M1176">
        <v>9500</v>
      </c>
      <c r="N1176" t="s">
        <v>1010</v>
      </c>
    </row>
    <row r="1177" spans="1:14" x14ac:dyDescent="0.25">
      <c r="A1177" t="str">
        <f>Table3[[#This Row],[Company Name]] &amp; " - " &amp; Table3[[#This Row],[Store Name]] &amp; " - " &amp; Table3[[#This Row],[Store Branch / Address]]</f>
        <v>ALLURE EMPIRE CORPORATION - CHU CHU BEAUTY - GLORIETTA</v>
      </c>
      <c r="B1177" t="str">
        <f>Table3[[#This Row],[Client ID]] &amp; " - " &amp; Table3[[#This Row],[SO Number]]</f>
        <v>ALLURE EMPIRE CORPORATION - CHU CHU BEAUTY - GLORIETTA - SO-057</v>
      </c>
      <c r="C1177" t="s">
        <v>377</v>
      </c>
      <c r="D1177" t="s">
        <v>1124</v>
      </c>
      <c r="E1177" t="s">
        <v>1129</v>
      </c>
      <c r="F1177" t="s">
        <v>1132</v>
      </c>
      <c r="G1177" t="s">
        <v>1088</v>
      </c>
      <c r="H1177" t="s">
        <v>1127</v>
      </c>
      <c r="I1177" t="s">
        <v>1130</v>
      </c>
      <c r="J1177">
        <v>1</v>
      </c>
      <c r="K1177">
        <v>3675</v>
      </c>
      <c r="L1177">
        <v>10500</v>
      </c>
      <c r="M1177">
        <v>10500</v>
      </c>
      <c r="N1177" t="s">
        <v>1010</v>
      </c>
    </row>
    <row r="1178" spans="1:14" x14ac:dyDescent="0.25">
      <c r="A1178" t="str">
        <f>Table3[[#This Row],[Company Name]] &amp; " - " &amp; Table3[[#This Row],[Store Name]] &amp; " - " &amp; Table3[[#This Row],[Store Branch / Address]]</f>
        <v>ALLURE EMPIRE CORPORATION - CHU CHU BEAUTY - GLORIETTA</v>
      </c>
      <c r="B1178" t="str">
        <f>Table3[[#This Row],[Client ID]] &amp; " - " &amp; Table3[[#This Row],[SO Number]]</f>
        <v>ALLURE EMPIRE CORPORATION - CHU CHU BEAUTY - GLORIETTA - SO-057</v>
      </c>
      <c r="C1178" t="s">
        <v>377</v>
      </c>
      <c r="D1178" t="s">
        <v>1124</v>
      </c>
      <c r="E1178" t="s">
        <v>1129</v>
      </c>
      <c r="F1178" t="s">
        <v>1132</v>
      </c>
      <c r="G1178" t="s">
        <v>1088</v>
      </c>
      <c r="H1178" t="s">
        <v>1127</v>
      </c>
      <c r="I1178" t="s">
        <v>26</v>
      </c>
      <c r="J1178">
        <v>1</v>
      </c>
      <c r="K1178">
        <v>500</v>
      </c>
      <c r="L1178">
        <v>500</v>
      </c>
      <c r="M1178">
        <v>500</v>
      </c>
      <c r="N1178" t="s">
        <v>1010</v>
      </c>
    </row>
    <row r="1179" spans="1:14" x14ac:dyDescent="0.25">
      <c r="A1179" t="str">
        <f>Table3[[#This Row],[Company Name]] &amp; " - " &amp; Table3[[#This Row],[Store Name]] &amp; " - " &amp; Table3[[#This Row],[Store Branch / Address]]</f>
        <v>ALLURE EMPIRE CORPORATION - CHU CHU BEAUTY - GLORIETTA</v>
      </c>
      <c r="B1179" t="str">
        <f>Table3[[#This Row],[Client ID]] &amp; " - " &amp; Table3[[#This Row],[SO Number]]</f>
        <v>ALLURE EMPIRE CORPORATION - CHU CHU BEAUTY - GLORIETTA - SO-057</v>
      </c>
      <c r="C1179" t="s">
        <v>377</v>
      </c>
      <c r="D1179" t="s">
        <v>1124</v>
      </c>
      <c r="E1179" t="s">
        <v>1129</v>
      </c>
      <c r="F1179" t="s">
        <v>1132</v>
      </c>
      <c r="G1179" t="s">
        <v>1088</v>
      </c>
      <c r="H1179" t="s">
        <v>1127</v>
      </c>
      <c r="I1179" t="s">
        <v>537</v>
      </c>
      <c r="J1179">
        <v>1</v>
      </c>
      <c r="K1179">
        <v>9500</v>
      </c>
      <c r="L1179">
        <v>9500</v>
      </c>
      <c r="M1179">
        <v>9500</v>
      </c>
      <c r="N1179" t="s">
        <v>1010</v>
      </c>
    </row>
    <row r="1180" spans="1:14" x14ac:dyDescent="0.25">
      <c r="A1180" t="str">
        <f>Table3[[#This Row],[Company Name]] &amp; " - " &amp; Table3[[#This Row],[Store Name]] &amp; " - " &amp; Table3[[#This Row],[Store Branch / Address]]</f>
        <v>ALLURE EMPIRE CORPORATION - CHU CHU BEAUTY - GLORIETTA</v>
      </c>
      <c r="B1180" t="str">
        <f>Table3[[#This Row],[Client ID]] &amp; " - " &amp; Table3[[#This Row],[SO Number]]</f>
        <v>ALLURE EMPIRE CORPORATION - CHU CHU BEAUTY - GLORIETTA - SO-057</v>
      </c>
      <c r="C1180" t="s">
        <v>377</v>
      </c>
      <c r="D1180" t="s">
        <v>1124</v>
      </c>
      <c r="E1180" t="s">
        <v>1129</v>
      </c>
      <c r="F1180" t="s">
        <v>1132</v>
      </c>
      <c r="G1180" t="s">
        <v>1088</v>
      </c>
      <c r="H1180" t="s">
        <v>1127</v>
      </c>
      <c r="I1180" t="s">
        <v>24</v>
      </c>
      <c r="J1180">
        <v>1</v>
      </c>
      <c r="K1180">
        <v>9500</v>
      </c>
      <c r="L1180">
        <v>9500</v>
      </c>
      <c r="M1180">
        <v>9500</v>
      </c>
      <c r="N1180" t="s">
        <v>1010</v>
      </c>
    </row>
    <row r="1181" spans="1:14" x14ac:dyDescent="0.25">
      <c r="A1181" t="str">
        <f>Table3[[#This Row],[Company Name]] &amp; " - " &amp; Table3[[#This Row],[Store Name]] &amp; " - " &amp; Table3[[#This Row],[Store Branch / Address]]</f>
        <v>AZIAN CRYSTAL CORPORATION - AZIAN CRYSTAL CORPORATION - SM MOA</v>
      </c>
      <c r="B1181" t="str">
        <f>Table3[[#This Row],[Client ID]] &amp; " - " &amp; Table3[[#This Row],[SO Number]]</f>
        <v>AZIAN CRYSTAL CORPORATION - AZIAN CRYSTAL CORPORATION - SM MOA - SO-117</v>
      </c>
      <c r="C1181" t="s">
        <v>629</v>
      </c>
      <c r="D1181" t="s">
        <v>630</v>
      </c>
      <c r="E1181" t="s">
        <v>630</v>
      </c>
      <c r="F1181" t="s">
        <v>201</v>
      </c>
      <c r="G1181" t="s">
        <v>16</v>
      </c>
      <c r="H1181" t="s">
        <v>631</v>
      </c>
      <c r="I1181" t="s">
        <v>114</v>
      </c>
      <c r="J1181">
        <v>1</v>
      </c>
      <c r="K1181">
        <v>3675</v>
      </c>
      <c r="L1181">
        <v>10500</v>
      </c>
      <c r="M1181">
        <v>10500</v>
      </c>
      <c r="N1181" t="s">
        <v>39</v>
      </c>
    </row>
    <row r="1182" spans="1:14" x14ac:dyDescent="0.25">
      <c r="A1182" t="str">
        <f>Table3[[#This Row],[Company Name]] &amp; " - " &amp; Table3[[#This Row],[Store Name]] &amp; " - " &amp; Table3[[#This Row],[Store Branch / Address]]</f>
        <v>AZIAN CRYSTAL CORPORATION - AZIAN CRYSTAL CORPORATION - SM MOA</v>
      </c>
      <c r="B1182" t="str">
        <f>Table3[[#This Row],[Client ID]] &amp; " - " &amp; Table3[[#This Row],[SO Number]]</f>
        <v>AZIAN CRYSTAL CORPORATION - AZIAN CRYSTAL CORPORATION - SM MOA - SO-117</v>
      </c>
      <c r="C1182" t="s">
        <v>629</v>
      </c>
      <c r="D1182" t="s">
        <v>630</v>
      </c>
      <c r="E1182" t="s">
        <v>630</v>
      </c>
      <c r="F1182" t="s">
        <v>201</v>
      </c>
      <c r="G1182" t="s">
        <v>16</v>
      </c>
      <c r="H1182" t="s">
        <v>631</v>
      </c>
      <c r="I1182" t="s">
        <v>48</v>
      </c>
      <c r="J1182">
        <v>1</v>
      </c>
      <c r="K1182">
        <v>4095</v>
      </c>
      <c r="L1182">
        <v>11700</v>
      </c>
      <c r="M1182">
        <v>11700</v>
      </c>
      <c r="N1182" t="s">
        <v>39</v>
      </c>
    </row>
    <row r="1183" spans="1:14" x14ac:dyDescent="0.25">
      <c r="A1183" t="str">
        <f>Table3[[#This Row],[Company Name]] &amp; " - " &amp; Table3[[#This Row],[Store Name]] &amp; " - " &amp; Table3[[#This Row],[Store Branch / Address]]</f>
        <v>AZIAN CRYSTAL CORPORATION - AZIAN CRYSTAL CORPORATION - SM MOA</v>
      </c>
      <c r="B1183" t="str">
        <f>Table3[[#This Row],[Client ID]] &amp; " - " &amp; Table3[[#This Row],[SO Number]]</f>
        <v>AZIAN CRYSTAL CORPORATION - AZIAN CRYSTAL CORPORATION - SM MOA - SO-117</v>
      </c>
      <c r="C1183" t="s">
        <v>629</v>
      </c>
      <c r="D1183" t="s">
        <v>630</v>
      </c>
      <c r="E1183" t="s">
        <v>630</v>
      </c>
      <c r="F1183" t="s">
        <v>201</v>
      </c>
      <c r="G1183" t="s">
        <v>16</v>
      </c>
      <c r="H1183" t="s">
        <v>631</v>
      </c>
      <c r="I1183" t="s">
        <v>126</v>
      </c>
      <c r="J1183">
        <v>1</v>
      </c>
      <c r="K1183">
        <v>4095</v>
      </c>
      <c r="L1183">
        <v>11700</v>
      </c>
      <c r="M1183">
        <v>11700</v>
      </c>
      <c r="N1183" t="s">
        <v>39</v>
      </c>
    </row>
    <row r="1184" spans="1:14" x14ac:dyDescent="0.25">
      <c r="A1184" t="str">
        <f>Table3[[#This Row],[Company Name]] &amp; " - " &amp; Table3[[#This Row],[Store Name]] &amp; " - " &amp; Table3[[#This Row],[Store Branch / Address]]</f>
        <v>AZIAN CRYSTAL CORPORATION - AZIAN CRYSTAL CORPORATION - SM MOA</v>
      </c>
      <c r="B1184" t="str">
        <f>Table3[[#This Row],[Client ID]] &amp; " - " &amp; Table3[[#This Row],[SO Number]]</f>
        <v>AZIAN CRYSTAL CORPORATION - AZIAN CRYSTAL CORPORATION - SM MOA - SO-117</v>
      </c>
      <c r="C1184" t="s">
        <v>629</v>
      </c>
      <c r="D1184" t="s">
        <v>630</v>
      </c>
      <c r="E1184" t="s">
        <v>630</v>
      </c>
      <c r="F1184" t="s">
        <v>201</v>
      </c>
      <c r="G1184" t="s">
        <v>16</v>
      </c>
      <c r="H1184" t="s">
        <v>631</v>
      </c>
      <c r="I1184" t="s">
        <v>26</v>
      </c>
      <c r="J1184">
        <v>1</v>
      </c>
      <c r="K1184">
        <v>500</v>
      </c>
      <c r="L1184">
        <v>500</v>
      </c>
      <c r="M1184">
        <v>500</v>
      </c>
      <c r="N1184" t="s">
        <v>39</v>
      </c>
    </row>
    <row r="1185" spans="1:14" x14ac:dyDescent="0.25">
      <c r="A1185" t="str">
        <f>Table3[[#This Row],[Company Name]] &amp; " - " &amp; Table3[[#This Row],[Store Name]] &amp; " - " &amp; Table3[[#This Row],[Store Branch / Address]]</f>
        <v>AZIAN CRYSTAL CORPORATION - AZIAN CRYSTAL CORPORATION - SM MOA</v>
      </c>
      <c r="B1185" t="str">
        <f>Table3[[#This Row],[Client ID]] &amp; " - " &amp; Table3[[#This Row],[SO Number]]</f>
        <v>AZIAN CRYSTAL CORPORATION - AZIAN CRYSTAL CORPORATION - SM MOA - SO-117</v>
      </c>
      <c r="C1185" t="s">
        <v>629</v>
      </c>
      <c r="D1185" t="s">
        <v>630</v>
      </c>
      <c r="E1185" t="s">
        <v>630</v>
      </c>
      <c r="F1185" t="s">
        <v>201</v>
      </c>
      <c r="G1185" t="s">
        <v>16</v>
      </c>
      <c r="H1185" t="s">
        <v>631</v>
      </c>
      <c r="I1185" t="s">
        <v>38</v>
      </c>
      <c r="J1185">
        <v>1</v>
      </c>
      <c r="K1185">
        <v>8500</v>
      </c>
      <c r="L1185">
        <v>12500</v>
      </c>
      <c r="M1185">
        <v>12500</v>
      </c>
      <c r="N1185" t="s">
        <v>39</v>
      </c>
    </row>
    <row r="1186" spans="1:14" x14ac:dyDescent="0.25">
      <c r="A1186" t="str">
        <f>Table3[[#This Row],[Company Name]] &amp; " - " &amp; Table3[[#This Row],[Store Name]] &amp; " - " &amp; Table3[[#This Row],[Store Branch / Address]]</f>
        <v>AZIAN CRYSTAL CORPORATION - AZIAN CRYSTAL CORPORATION - SM MOA</v>
      </c>
      <c r="B1186" t="str">
        <f>Table3[[#This Row],[Client ID]] &amp; " - " &amp; Table3[[#This Row],[SO Number]]</f>
        <v>AZIAN CRYSTAL CORPORATION - AZIAN CRYSTAL CORPORATION - SM MOA - SO-117</v>
      </c>
      <c r="C1186" t="s">
        <v>629</v>
      </c>
      <c r="D1186" t="s">
        <v>630</v>
      </c>
      <c r="E1186" t="s">
        <v>630</v>
      </c>
      <c r="F1186" t="s">
        <v>201</v>
      </c>
      <c r="G1186" t="s">
        <v>16</v>
      </c>
      <c r="H1186" t="s">
        <v>631</v>
      </c>
      <c r="I1186" t="s">
        <v>97</v>
      </c>
      <c r="J1186">
        <v>1</v>
      </c>
      <c r="K1186">
        <v>2200</v>
      </c>
      <c r="L1186">
        <v>3000</v>
      </c>
      <c r="M1186">
        <v>3000</v>
      </c>
      <c r="N1186" t="s">
        <v>39</v>
      </c>
    </row>
    <row r="1187" spans="1:14" x14ac:dyDescent="0.25">
      <c r="A1187" t="str">
        <f>Table3[[#This Row],[Company Name]] &amp; " - " &amp; Table3[[#This Row],[Store Name]] &amp; " - " &amp; Table3[[#This Row],[Store Branch / Address]]</f>
        <v>AZIAN CRYSTAL CORPORATION - AZIAN CRYSTAL CORPORATION - SM MOA</v>
      </c>
      <c r="B1187" t="str">
        <f>Table3[[#This Row],[Client ID]] &amp; " - " &amp; Table3[[#This Row],[SO Number]]</f>
        <v>AZIAN CRYSTAL CORPORATION - AZIAN CRYSTAL CORPORATION - SM MOA - SO-117</v>
      </c>
      <c r="C1187" t="s">
        <v>629</v>
      </c>
      <c r="D1187" t="s">
        <v>630</v>
      </c>
      <c r="E1187" t="s">
        <v>630</v>
      </c>
      <c r="F1187" t="s">
        <v>201</v>
      </c>
      <c r="G1187" t="s">
        <v>16</v>
      </c>
      <c r="H1187" t="s">
        <v>631</v>
      </c>
      <c r="I1187" t="s">
        <v>115</v>
      </c>
      <c r="J1187">
        <v>1</v>
      </c>
      <c r="K1187">
        <v>11000</v>
      </c>
      <c r="L1187">
        <v>16000</v>
      </c>
      <c r="M1187">
        <v>16000</v>
      </c>
      <c r="N1187" t="s">
        <v>39</v>
      </c>
    </row>
    <row r="1188" spans="1:14" x14ac:dyDescent="0.25">
      <c r="A1188" t="str">
        <f>Table3[[#This Row],[Company Name]] &amp; " - " &amp; Table3[[#This Row],[Store Name]] &amp; " - " &amp; Table3[[#This Row],[Store Branch / Address]]</f>
        <v>AZIAN CRYSTAL CORPORATION - AZIAN CRYSTAL CORPORATION - SM MOA</v>
      </c>
      <c r="B1188" t="str">
        <f>Table3[[#This Row],[Client ID]] &amp; " - " &amp; Table3[[#This Row],[SO Number]]</f>
        <v>AZIAN CRYSTAL CORPORATION - AZIAN CRYSTAL CORPORATION - SM MOA - SO-117</v>
      </c>
      <c r="C1188" t="s">
        <v>629</v>
      </c>
      <c r="D1188" t="s">
        <v>630</v>
      </c>
      <c r="E1188" t="s">
        <v>630</v>
      </c>
      <c r="F1188" t="s">
        <v>201</v>
      </c>
      <c r="G1188" t="s">
        <v>16</v>
      </c>
      <c r="H1188" t="s">
        <v>631</v>
      </c>
      <c r="I1188" t="s">
        <v>116</v>
      </c>
      <c r="J1188">
        <v>1</v>
      </c>
      <c r="K1188">
        <v>2185</v>
      </c>
      <c r="L1188">
        <v>3500</v>
      </c>
      <c r="M1188">
        <v>3500</v>
      </c>
      <c r="N1188" t="s">
        <v>39</v>
      </c>
    </row>
    <row r="1189" spans="1:14" x14ac:dyDescent="0.25">
      <c r="A1189" t="str">
        <f>Table3[[#This Row],[Company Name]] &amp; " - " &amp; Table3[[#This Row],[Store Name]] &amp; " - " &amp; Table3[[#This Row],[Store Branch / Address]]</f>
        <v>AZIAN CRYSTAL CORPORATION - AZIAN CRYSTAL CORPORATION - SM MOA</v>
      </c>
      <c r="B1189" t="str">
        <f>Table3[[#This Row],[Client ID]] &amp; " - " &amp; Table3[[#This Row],[SO Number]]</f>
        <v>AZIAN CRYSTAL CORPORATION - AZIAN CRYSTAL CORPORATION - SM MOA - SO-117</v>
      </c>
      <c r="C1189" t="s">
        <v>629</v>
      </c>
      <c r="D1189" t="s">
        <v>630</v>
      </c>
      <c r="E1189" t="s">
        <v>630</v>
      </c>
      <c r="F1189" t="s">
        <v>201</v>
      </c>
      <c r="G1189" t="s">
        <v>16</v>
      </c>
      <c r="H1189" t="s">
        <v>631</v>
      </c>
      <c r="I1189" t="s">
        <v>209</v>
      </c>
      <c r="J1189">
        <v>1</v>
      </c>
      <c r="K1189">
        <v>23450</v>
      </c>
      <c r="L1189">
        <v>30300</v>
      </c>
      <c r="M1189">
        <v>30300</v>
      </c>
      <c r="N1189" t="s">
        <v>39</v>
      </c>
    </row>
    <row r="1190" spans="1:14" x14ac:dyDescent="0.25">
      <c r="A1190" t="str">
        <f>Table3[[#This Row],[Company Name]] &amp; " - " &amp; Table3[[#This Row],[Store Name]] &amp; " - " &amp; Table3[[#This Row],[Store Branch / Address]]</f>
        <v>AZIAN CRYSTAL CORPORATION - AZIAN CRYSTAL CORPORATION - SM MOA</v>
      </c>
      <c r="B1190" t="str">
        <f>Table3[[#This Row],[Client ID]] &amp; " - " &amp; Table3[[#This Row],[SO Number]]</f>
        <v>AZIAN CRYSTAL CORPORATION - AZIAN CRYSTAL CORPORATION - SM MOA - SO-117</v>
      </c>
      <c r="C1190" t="s">
        <v>629</v>
      </c>
      <c r="D1190" t="s">
        <v>630</v>
      </c>
      <c r="E1190" t="s">
        <v>630</v>
      </c>
      <c r="F1190" t="s">
        <v>201</v>
      </c>
      <c r="G1190" t="s">
        <v>16</v>
      </c>
      <c r="H1190" t="s">
        <v>631</v>
      </c>
      <c r="I1190" t="s">
        <v>151</v>
      </c>
      <c r="J1190">
        <v>1</v>
      </c>
      <c r="K1190">
        <v>2800</v>
      </c>
      <c r="L1190">
        <v>4000</v>
      </c>
      <c r="M1190">
        <v>4000</v>
      </c>
      <c r="N1190" t="s">
        <v>39</v>
      </c>
    </row>
    <row r="1191" spans="1:14" x14ac:dyDescent="0.25">
      <c r="A1191" t="str">
        <f>Table3[[#This Row],[Company Name]] &amp; " - " &amp; Table3[[#This Row],[Store Name]] &amp; " - " &amp; Table3[[#This Row],[Store Branch / Address]]</f>
        <v>AZIAN CRYSTAL CORPORATION - AZIAN CRYSTAL CORPORATION - SM MOA</v>
      </c>
      <c r="B1191" t="str">
        <f>Table3[[#This Row],[Client ID]] &amp; " - " &amp; Table3[[#This Row],[SO Number]]</f>
        <v>AZIAN CRYSTAL CORPORATION - AZIAN CRYSTAL CORPORATION - SM MOA - SO-117</v>
      </c>
      <c r="C1191" t="s">
        <v>629</v>
      </c>
      <c r="D1191" t="s">
        <v>630</v>
      </c>
      <c r="E1191" t="s">
        <v>630</v>
      </c>
      <c r="F1191" t="s">
        <v>201</v>
      </c>
      <c r="G1191" t="s">
        <v>16</v>
      </c>
      <c r="H1191" t="s">
        <v>631</v>
      </c>
      <c r="I1191" t="s">
        <v>210</v>
      </c>
      <c r="J1191">
        <v>1</v>
      </c>
      <c r="K1191">
        <v>530</v>
      </c>
      <c r="L1191">
        <v>700</v>
      </c>
      <c r="M1191">
        <v>700</v>
      </c>
      <c r="N1191" t="s">
        <v>39</v>
      </c>
    </row>
    <row r="1192" spans="1:14" x14ac:dyDescent="0.25">
      <c r="A1192" t="str">
        <f>Table3[[#This Row],[Company Name]] &amp; " - " &amp; Table3[[#This Row],[Store Name]] &amp; " - " &amp; Table3[[#This Row],[Store Branch / Address]]</f>
        <v>AZIAN CRYSTAL CORPORATION - AZIAN CRYSTAL CORPORATION - SM MOA</v>
      </c>
      <c r="B1192" t="str">
        <f>Table3[[#This Row],[Client ID]] &amp; " - " &amp; Table3[[#This Row],[SO Number]]</f>
        <v>AZIAN CRYSTAL CORPORATION - AZIAN CRYSTAL CORPORATION - SM MOA - SO-117</v>
      </c>
      <c r="C1192" t="s">
        <v>629</v>
      </c>
      <c r="D1192" t="s">
        <v>630</v>
      </c>
      <c r="E1192" t="s">
        <v>630</v>
      </c>
      <c r="F1192" t="s">
        <v>201</v>
      </c>
      <c r="G1192" t="s">
        <v>16</v>
      </c>
      <c r="H1192" t="s">
        <v>631</v>
      </c>
      <c r="I1192" t="s">
        <v>211</v>
      </c>
      <c r="J1192">
        <v>1</v>
      </c>
      <c r="K1192">
        <v>350</v>
      </c>
      <c r="L1192">
        <v>500</v>
      </c>
      <c r="M1192">
        <v>500</v>
      </c>
      <c r="N1192" t="s">
        <v>39</v>
      </c>
    </row>
    <row r="1193" spans="1:14" x14ac:dyDescent="0.25">
      <c r="A1193" t="str">
        <f>Table3[[#This Row],[Company Name]] &amp; " - " &amp; Table3[[#This Row],[Store Name]] &amp; " - " &amp; Table3[[#This Row],[Store Branch / Address]]</f>
        <v>AZIAN CRYSTAL CORPORATION - AZIAN CRYSTAL CORPORATION - SM MOA</v>
      </c>
      <c r="B1193" t="str">
        <f>Table3[[#This Row],[Client ID]] &amp; " - " &amp; Table3[[#This Row],[SO Number]]</f>
        <v>AZIAN CRYSTAL CORPORATION - AZIAN CRYSTAL CORPORATION - SM MOA - SO-117</v>
      </c>
      <c r="C1193" t="s">
        <v>629</v>
      </c>
      <c r="D1193" t="s">
        <v>630</v>
      </c>
      <c r="E1193" t="s">
        <v>630</v>
      </c>
      <c r="F1193" t="s">
        <v>201</v>
      </c>
      <c r="G1193" t="s">
        <v>16</v>
      </c>
      <c r="H1193" t="s">
        <v>631</v>
      </c>
      <c r="I1193" t="s">
        <v>98</v>
      </c>
      <c r="J1193">
        <v>1</v>
      </c>
      <c r="K1193">
        <v>970</v>
      </c>
      <c r="L1193">
        <v>1500</v>
      </c>
      <c r="M1193">
        <v>1500</v>
      </c>
      <c r="N1193" t="s">
        <v>39</v>
      </c>
    </row>
    <row r="1194" spans="1:14" x14ac:dyDescent="0.25">
      <c r="A1194" t="str">
        <f>Table3[[#This Row],[Company Name]] &amp; " - " &amp; Table3[[#This Row],[Store Name]] &amp; " - " &amp; Table3[[#This Row],[Store Branch / Address]]</f>
        <v>AZIAN CRYSTAL CORPORATION - AZIAN CRYSTAL CORPORATION - SM MOA</v>
      </c>
      <c r="B1194" t="str">
        <f>Table3[[#This Row],[Client ID]] &amp; " - " &amp; Table3[[#This Row],[SO Number]]</f>
        <v>AZIAN CRYSTAL CORPORATION - AZIAN CRYSTAL CORPORATION - SM MOA - SO-117</v>
      </c>
      <c r="C1194" t="s">
        <v>629</v>
      </c>
      <c r="D1194" t="s">
        <v>630</v>
      </c>
      <c r="E1194" t="s">
        <v>630</v>
      </c>
      <c r="F1194" t="s">
        <v>201</v>
      </c>
      <c r="G1194" t="s">
        <v>16</v>
      </c>
      <c r="H1194" t="s">
        <v>631</v>
      </c>
      <c r="I1194" t="s">
        <v>63</v>
      </c>
      <c r="J1194">
        <v>1</v>
      </c>
      <c r="K1194">
        <v>600</v>
      </c>
      <c r="L1194">
        <v>600</v>
      </c>
      <c r="M1194">
        <v>600</v>
      </c>
      <c r="N1194" t="s">
        <v>39</v>
      </c>
    </row>
    <row r="1195" spans="1:14" x14ac:dyDescent="0.25">
      <c r="A1195" t="str">
        <f>Table3[[#This Row],[Company Name]] &amp; " - " &amp; Table3[[#This Row],[Store Name]] &amp; " - " &amp; Table3[[#This Row],[Store Branch / Address]]</f>
        <v>CHICKEN DELI - CASA REYES - GENERIC</v>
      </c>
      <c r="B1195" t="str">
        <f>Table3[[#This Row],[Client ID]] &amp; " - " &amp; Table3[[#This Row],[SO Number]]</f>
        <v>CHICKEN DELI - CASA REYES - GENERIC - SO-149</v>
      </c>
      <c r="C1195" t="s">
        <v>753</v>
      </c>
      <c r="D1195" t="s">
        <v>20</v>
      </c>
      <c r="E1195" t="s">
        <v>81</v>
      </c>
      <c r="F1195" t="s">
        <v>15</v>
      </c>
      <c r="G1195" t="s">
        <v>22</v>
      </c>
      <c r="H1195" t="s">
        <v>754</v>
      </c>
      <c r="I1195" t="s">
        <v>93</v>
      </c>
      <c r="J1195">
        <v>1</v>
      </c>
      <c r="K1195">
        <v>11000</v>
      </c>
      <c r="L1195">
        <v>16500</v>
      </c>
      <c r="M1195">
        <v>16500</v>
      </c>
      <c r="N1195" t="s">
        <v>19</v>
      </c>
    </row>
    <row r="1196" spans="1:14" x14ac:dyDescent="0.25">
      <c r="A1196" t="str">
        <f>Table3[[#This Row],[Company Name]] &amp; " - " &amp; Table3[[#This Row],[Store Name]] &amp; " - " &amp; Table3[[#This Row],[Store Branch / Address]]</f>
        <v>CHICKEN DELI - CASA REYES - GENERIC</v>
      </c>
      <c r="B1196" t="str">
        <f>Table3[[#This Row],[Client ID]] &amp; " - " &amp; Table3[[#This Row],[SO Number]]</f>
        <v>CHICKEN DELI - CASA REYES - GENERIC - SO-149</v>
      </c>
      <c r="C1196" t="s">
        <v>753</v>
      </c>
      <c r="D1196" t="s">
        <v>20</v>
      </c>
      <c r="E1196" t="s">
        <v>81</v>
      </c>
      <c r="F1196" t="s">
        <v>15</v>
      </c>
      <c r="G1196" t="s">
        <v>22</v>
      </c>
      <c r="H1196" t="s">
        <v>754</v>
      </c>
      <c r="I1196" t="s">
        <v>76</v>
      </c>
      <c r="J1196">
        <v>1</v>
      </c>
      <c r="K1196">
        <v>500</v>
      </c>
      <c r="L1196">
        <v>500</v>
      </c>
      <c r="M1196">
        <v>500</v>
      </c>
      <c r="N1196" t="s">
        <v>19</v>
      </c>
    </row>
    <row r="1197" spans="1:14" x14ac:dyDescent="0.25">
      <c r="A1197" t="str">
        <f>Table3[[#This Row],[Company Name]] &amp; " - " &amp; Table3[[#This Row],[Store Name]] &amp; " - " &amp; Table3[[#This Row],[Store Branch / Address]]</f>
        <v>CHICKEN DELI - PAOTSIN - GENERIC</v>
      </c>
      <c r="B1197" t="str">
        <f>Table3[[#This Row],[Client ID]] &amp; " - " &amp; Table3[[#This Row],[SO Number]]</f>
        <v>CHICKEN DELI - PAOTSIN - GENERIC - SO-150</v>
      </c>
      <c r="C1197" t="s">
        <v>758</v>
      </c>
      <c r="D1197" t="s">
        <v>20</v>
      </c>
      <c r="E1197" t="s">
        <v>623</v>
      </c>
      <c r="F1197" t="s">
        <v>15</v>
      </c>
      <c r="G1197" t="s">
        <v>22</v>
      </c>
      <c r="H1197" t="s">
        <v>754</v>
      </c>
      <c r="I1197" t="s">
        <v>761</v>
      </c>
      <c r="J1197">
        <v>1</v>
      </c>
      <c r="K1197">
        <v>8500</v>
      </c>
      <c r="L1197">
        <v>12000</v>
      </c>
      <c r="M1197">
        <v>12000</v>
      </c>
      <c r="N1197" t="s">
        <v>19</v>
      </c>
    </row>
    <row r="1198" spans="1:14" x14ac:dyDescent="0.25">
      <c r="A1198" t="str">
        <f>Table3[[#This Row],[Company Name]] &amp; " - " &amp; Table3[[#This Row],[Store Name]] &amp; " - " &amp; Table3[[#This Row],[Store Branch / Address]]</f>
        <v>CHICKEN DELI - PAOTSIN - GENERIC</v>
      </c>
      <c r="B1198" t="str">
        <f>Table3[[#This Row],[Client ID]] &amp; " - " &amp; Table3[[#This Row],[SO Number]]</f>
        <v>CHICKEN DELI - PAOTSIN - GENERIC - SO-150</v>
      </c>
      <c r="C1198" t="s">
        <v>758</v>
      </c>
      <c r="D1198" t="s">
        <v>20</v>
      </c>
      <c r="E1198" t="s">
        <v>623</v>
      </c>
      <c r="F1198" t="s">
        <v>15</v>
      </c>
      <c r="G1198" t="s">
        <v>22</v>
      </c>
      <c r="H1198" t="s">
        <v>754</v>
      </c>
      <c r="I1198" t="s">
        <v>76</v>
      </c>
      <c r="J1198">
        <v>1</v>
      </c>
      <c r="K1198">
        <v>500</v>
      </c>
      <c r="L1198">
        <v>500</v>
      </c>
      <c r="M1198">
        <v>500</v>
      </c>
      <c r="N1198" t="s">
        <v>19</v>
      </c>
    </row>
    <row r="1199" spans="1:14" x14ac:dyDescent="0.25">
      <c r="A1199" t="str">
        <f>Table3[[#This Row],[Company Name]] &amp; " - " &amp; Table3[[#This Row],[Store Name]] &amp; " - " &amp; Table3[[#This Row],[Store Branch / Address]]</f>
        <v>CHICKEN DELI - GENERIC - GENERIC</v>
      </c>
      <c r="B1199" t="str">
        <f>Table3[[#This Row],[Client ID]] &amp; " - " &amp; Table3[[#This Row],[SO Number]]</f>
        <v>CHICKEN DELI - GENERIC - GENERIC - SO-151</v>
      </c>
      <c r="C1199" t="s">
        <v>762</v>
      </c>
      <c r="D1199" t="s">
        <v>20</v>
      </c>
      <c r="E1199" t="s">
        <v>15</v>
      </c>
      <c r="F1199" t="s">
        <v>15</v>
      </c>
      <c r="G1199" t="s">
        <v>22</v>
      </c>
      <c r="H1199" t="s">
        <v>754</v>
      </c>
      <c r="I1199" t="s">
        <v>338</v>
      </c>
      <c r="J1199">
        <v>1</v>
      </c>
      <c r="K1199">
        <v>8500</v>
      </c>
      <c r="L1199">
        <v>12000</v>
      </c>
      <c r="M1199">
        <v>12000</v>
      </c>
      <c r="N1199" t="s">
        <v>19</v>
      </c>
    </row>
    <row r="1200" spans="1:14" x14ac:dyDescent="0.25">
      <c r="A1200" t="str">
        <f>Table3[[#This Row],[Company Name]] &amp; " - " &amp; Table3[[#This Row],[Store Name]] &amp; " - " &amp; Table3[[#This Row],[Store Branch / Address]]</f>
        <v>CHICKEN DELI - GENERIC - GENERIC</v>
      </c>
      <c r="B1200" t="str">
        <f>Table3[[#This Row],[Client ID]] &amp; " - " &amp; Table3[[#This Row],[SO Number]]</f>
        <v>CHICKEN DELI - GENERIC - GENERIC - SO-151</v>
      </c>
      <c r="C1200" t="s">
        <v>762</v>
      </c>
      <c r="D1200" t="s">
        <v>20</v>
      </c>
      <c r="E1200" t="s">
        <v>15</v>
      </c>
      <c r="F1200" t="s">
        <v>15</v>
      </c>
      <c r="G1200" t="s">
        <v>22</v>
      </c>
      <c r="H1200" t="s">
        <v>754</v>
      </c>
      <c r="I1200" t="s">
        <v>76</v>
      </c>
      <c r="J1200">
        <v>1</v>
      </c>
      <c r="K1200">
        <v>500</v>
      </c>
      <c r="L1200">
        <v>500</v>
      </c>
      <c r="M1200">
        <v>500</v>
      </c>
      <c r="N1200" t="s">
        <v>19</v>
      </c>
    </row>
    <row r="1201" spans="1:14" x14ac:dyDescent="0.25">
      <c r="A1201" t="str">
        <f>Table3[[#This Row],[Company Name]] &amp; " - " &amp; Table3[[#This Row],[Store Name]] &amp; " - " &amp; Table3[[#This Row],[Store Branch / Address]]</f>
        <v>CHICKEN DELI - VMV - GENERIC</v>
      </c>
      <c r="B1201" t="str">
        <f>Table3[[#This Row],[Client ID]] &amp; " - " &amp; Table3[[#This Row],[SO Number]]</f>
        <v>CHICKEN DELI - VMV - GENERIC - SO-152</v>
      </c>
      <c r="C1201" t="s">
        <v>766</v>
      </c>
      <c r="D1201" t="s">
        <v>20</v>
      </c>
      <c r="E1201" t="s">
        <v>666</v>
      </c>
      <c r="F1201" t="s">
        <v>15</v>
      </c>
      <c r="G1201" t="s">
        <v>22</v>
      </c>
      <c r="H1201" t="s">
        <v>769</v>
      </c>
      <c r="I1201" t="s">
        <v>770</v>
      </c>
      <c r="J1201">
        <v>1</v>
      </c>
      <c r="K1201">
        <v>3000</v>
      </c>
      <c r="L1201">
        <v>5500</v>
      </c>
      <c r="M1201">
        <v>5500</v>
      </c>
      <c r="N1201" t="s">
        <v>19</v>
      </c>
    </row>
    <row r="1202" spans="1:14" x14ac:dyDescent="0.25">
      <c r="A1202" t="str">
        <f>Table3[[#This Row],[Company Name]] &amp; " - " &amp; Table3[[#This Row],[Store Name]] &amp; " - " &amp; Table3[[#This Row],[Store Branch / Address]]</f>
        <v>CHICKEN DELI - VMV - GENERIC</v>
      </c>
      <c r="B1202" t="str">
        <f>Table3[[#This Row],[Client ID]] &amp; " - " &amp; Table3[[#This Row],[SO Number]]</f>
        <v>CHICKEN DELI - VMV - GENERIC - SO-152</v>
      </c>
      <c r="C1202" t="s">
        <v>766</v>
      </c>
      <c r="D1202" t="s">
        <v>20</v>
      </c>
      <c r="E1202" t="s">
        <v>666</v>
      </c>
      <c r="F1202" t="s">
        <v>15</v>
      </c>
      <c r="G1202" t="s">
        <v>22</v>
      </c>
      <c r="H1202" t="s">
        <v>769</v>
      </c>
      <c r="I1202" t="s">
        <v>76</v>
      </c>
      <c r="J1202">
        <v>1</v>
      </c>
      <c r="K1202">
        <v>500</v>
      </c>
      <c r="L1202">
        <v>500</v>
      </c>
      <c r="M1202">
        <v>500</v>
      </c>
      <c r="N1202" t="s">
        <v>19</v>
      </c>
    </row>
    <row r="1203" spans="1:14" x14ac:dyDescent="0.25">
      <c r="A1203" t="str">
        <f>Table3[[#This Row],[Company Name]] &amp; " - " &amp; Table3[[#This Row],[Store Name]] &amp; " - " &amp; Table3[[#This Row],[Store Branch / Address]]</f>
        <v>W R I WELLNESS RETAIL INNOVATIONS INC - DR. KONG - HEAD OFFICE</v>
      </c>
      <c r="B1203" t="str">
        <f>Table3[[#This Row],[Client ID]] &amp; " - " &amp; Table3[[#This Row],[SO Number]]</f>
        <v>W R I WELLNESS RETAIL INNOVATIONS INC - DR. KONG - HEAD OFFICE - SO-058</v>
      </c>
      <c r="C1203" t="s">
        <v>382</v>
      </c>
      <c r="D1203" t="s">
        <v>1055</v>
      </c>
      <c r="E1203" t="s">
        <v>1056</v>
      </c>
      <c r="F1203" t="s">
        <v>1133</v>
      </c>
      <c r="G1203" t="s">
        <v>37</v>
      </c>
      <c r="H1203" t="s">
        <v>769</v>
      </c>
      <c r="I1203" t="s">
        <v>38</v>
      </c>
      <c r="J1203">
        <v>1</v>
      </c>
      <c r="K1203">
        <v>8500</v>
      </c>
      <c r="L1203">
        <v>12500</v>
      </c>
      <c r="M1203">
        <v>12500</v>
      </c>
      <c r="N1203" t="s">
        <v>1010</v>
      </c>
    </row>
    <row r="1204" spans="1:14" x14ac:dyDescent="0.25">
      <c r="A1204" t="str">
        <f>Table3[[#This Row],[Company Name]] &amp; " - " &amp; Table3[[#This Row],[Store Name]] &amp; " - " &amp; Table3[[#This Row],[Store Branch / Address]]</f>
        <v>W R I WELLNESS RETAIL INNOVATIONS INC - DR. KONG - HEAD OFFICE</v>
      </c>
      <c r="B1204" t="str">
        <f>Table3[[#This Row],[Client ID]] &amp; " - " &amp; Table3[[#This Row],[SO Number]]</f>
        <v>W R I WELLNESS RETAIL INNOVATIONS INC - DR. KONG - HEAD OFFICE - SO-058</v>
      </c>
      <c r="C1204" t="s">
        <v>382</v>
      </c>
      <c r="D1204" t="s">
        <v>1055</v>
      </c>
      <c r="E1204" t="s">
        <v>1056</v>
      </c>
      <c r="F1204" t="s">
        <v>1133</v>
      </c>
      <c r="G1204" t="s">
        <v>37</v>
      </c>
      <c r="H1204" t="s">
        <v>769</v>
      </c>
      <c r="I1204" t="s">
        <v>137</v>
      </c>
      <c r="J1204">
        <v>7</v>
      </c>
      <c r="K1204">
        <v>2200</v>
      </c>
      <c r="L1204">
        <v>3500</v>
      </c>
      <c r="M1204">
        <v>24500</v>
      </c>
      <c r="N1204" t="s">
        <v>1010</v>
      </c>
    </row>
    <row r="1205" spans="1:14" x14ac:dyDescent="0.25">
      <c r="A1205" t="str">
        <f>Table3[[#This Row],[Company Name]] &amp; " - " &amp; Table3[[#This Row],[Store Name]] &amp; " - " &amp; Table3[[#This Row],[Store Branch / Address]]</f>
        <v>W R I WELLNESS RETAIL INNOVATIONS INC - DR. KONG - HEAD OFFICE</v>
      </c>
      <c r="B1205" t="str">
        <f>Table3[[#This Row],[Client ID]] &amp; " - " &amp; Table3[[#This Row],[SO Number]]</f>
        <v>W R I WELLNESS RETAIL INNOVATIONS INC - DR. KONG - HEAD OFFICE - SO-058</v>
      </c>
      <c r="C1205" t="s">
        <v>382</v>
      </c>
      <c r="D1205" t="s">
        <v>1055</v>
      </c>
      <c r="E1205" t="s">
        <v>1056</v>
      </c>
      <c r="F1205" t="s">
        <v>1133</v>
      </c>
      <c r="G1205" t="s">
        <v>37</v>
      </c>
      <c r="H1205" t="s">
        <v>769</v>
      </c>
      <c r="I1205" t="s">
        <v>1057</v>
      </c>
      <c r="J1205">
        <v>1</v>
      </c>
      <c r="K1205">
        <v>5400</v>
      </c>
      <c r="L1205">
        <v>7000</v>
      </c>
      <c r="M1205">
        <v>7000</v>
      </c>
      <c r="N1205" t="s">
        <v>1010</v>
      </c>
    </row>
    <row r="1206" spans="1:14" x14ac:dyDescent="0.25">
      <c r="A1206" t="str">
        <f>Table3[[#This Row],[Company Name]] &amp; " - " &amp; Table3[[#This Row],[Store Name]] &amp; " - " &amp; Table3[[#This Row],[Store Branch / Address]]</f>
        <v>W R I WELLNESS RETAIL INNOVATIONS INC - DR. KONG - HEAD OFFICE</v>
      </c>
      <c r="B1206" t="str">
        <f>Table3[[#This Row],[Client ID]] &amp; " - " &amp; Table3[[#This Row],[SO Number]]</f>
        <v>W R I WELLNESS RETAIL INNOVATIONS INC - DR. KONG - HEAD OFFICE - SO-058</v>
      </c>
      <c r="C1206" t="s">
        <v>382</v>
      </c>
      <c r="D1206" t="s">
        <v>1055</v>
      </c>
      <c r="E1206" t="s">
        <v>1056</v>
      </c>
      <c r="F1206" t="s">
        <v>1133</v>
      </c>
      <c r="G1206" t="s">
        <v>37</v>
      </c>
      <c r="H1206" t="s">
        <v>769</v>
      </c>
      <c r="I1206" t="s">
        <v>1021</v>
      </c>
      <c r="J1206">
        <v>1</v>
      </c>
      <c r="K1206">
        <v>2185</v>
      </c>
      <c r="L1206">
        <v>3000</v>
      </c>
      <c r="M1206">
        <v>3000</v>
      </c>
      <c r="N1206" t="s">
        <v>1010</v>
      </c>
    </row>
    <row r="1207" spans="1:14" x14ac:dyDescent="0.25">
      <c r="A1207" t="str">
        <f>Table3[[#This Row],[Company Name]] &amp; " - " &amp; Table3[[#This Row],[Store Name]] &amp; " - " &amp; Table3[[#This Row],[Store Branch / Address]]</f>
        <v>W R I WELLNESS RETAIL INNOVATIONS INC - DR. KONG - HEAD OFFICE</v>
      </c>
      <c r="B1207" t="str">
        <f>Table3[[#This Row],[Client ID]] &amp; " - " &amp; Table3[[#This Row],[SO Number]]</f>
        <v>W R I WELLNESS RETAIL INNOVATIONS INC - DR. KONG - HEAD OFFICE - SO-058</v>
      </c>
      <c r="C1207" t="s">
        <v>382</v>
      </c>
      <c r="D1207" t="s">
        <v>1055</v>
      </c>
      <c r="E1207" t="s">
        <v>1056</v>
      </c>
      <c r="F1207" t="s">
        <v>1133</v>
      </c>
      <c r="G1207" t="s">
        <v>37</v>
      </c>
      <c r="H1207" t="s">
        <v>769</v>
      </c>
      <c r="I1207" t="s">
        <v>63</v>
      </c>
      <c r="J1207">
        <v>1</v>
      </c>
      <c r="K1207">
        <v>500</v>
      </c>
      <c r="L1207">
        <v>500</v>
      </c>
      <c r="M1207">
        <v>500</v>
      </c>
      <c r="N1207" t="s">
        <v>1010</v>
      </c>
    </row>
    <row r="1208" spans="1:14" x14ac:dyDescent="0.25">
      <c r="A1208" t="str">
        <f>Table3[[#This Row],[Company Name]] &amp; " - " &amp; Table3[[#This Row],[Store Name]] &amp; " - " &amp; Table3[[#This Row],[Store Branch / Address]]</f>
        <v>CCGC TRADING CORPORATION - LIGHTERS GALORE - GATEWAY</v>
      </c>
      <c r="B1208" t="str">
        <f>Table3[[#This Row],[Client ID]] &amp; " - " &amp; Table3[[#This Row],[SO Number]]</f>
        <v>CCGC TRADING CORPORATION - LIGHTERS GALORE - GATEWAY - SO-059</v>
      </c>
      <c r="C1208" t="s">
        <v>386</v>
      </c>
      <c r="D1208" t="s">
        <v>1134</v>
      </c>
      <c r="E1208" t="s">
        <v>1037</v>
      </c>
      <c r="F1208" t="s">
        <v>647</v>
      </c>
      <c r="G1208" t="s">
        <v>37</v>
      </c>
      <c r="H1208" t="s">
        <v>769</v>
      </c>
      <c r="I1208" t="s">
        <v>501</v>
      </c>
      <c r="J1208">
        <v>2</v>
      </c>
      <c r="K1208">
        <v>70</v>
      </c>
      <c r="L1208">
        <v>250</v>
      </c>
      <c r="M1208">
        <v>500</v>
      </c>
      <c r="N1208" t="s">
        <v>1010</v>
      </c>
    </row>
    <row r="1209" spans="1:14" x14ac:dyDescent="0.25">
      <c r="A1209" t="str">
        <f>Table3[[#This Row],[Company Name]] &amp; " - " &amp; Table3[[#This Row],[Store Name]] &amp; " - " &amp; Table3[[#This Row],[Store Branch / Address]]</f>
        <v>TIONG BAHRU PHILIPPINES INC - TIONG BAHRU - GENERIC</v>
      </c>
      <c r="B1209" t="str">
        <f>Table3[[#This Row],[Client ID]] &amp; " - " &amp; Table3[[#This Row],[SO Number]]</f>
        <v>TIONG BAHRU PHILIPPINES INC - TIONG BAHRU - GENERIC - SO-060</v>
      </c>
      <c r="C1209" t="s">
        <v>391</v>
      </c>
      <c r="D1209" t="s">
        <v>1022</v>
      </c>
      <c r="E1209" t="s">
        <v>1023</v>
      </c>
      <c r="F1209" t="s">
        <v>15</v>
      </c>
      <c r="G1209" t="s">
        <v>1027</v>
      </c>
      <c r="H1209" t="s">
        <v>769</v>
      </c>
      <c r="I1209" t="s">
        <v>47</v>
      </c>
      <c r="J1209">
        <v>1</v>
      </c>
      <c r="K1209">
        <v>3675</v>
      </c>
      <c r="L1209">
        <v>10500</v>
      </c>
      <c r="M1209">
        <v>10500</v>
      </c>
      <c r="N1209" t="s">
        <v>19</v>
      </c>
    </row>
    <row r="1210" spans="1:14" x14ac:dyDescent="0.25">
      <c r="A1210" t="str">
        <f>Table3[[#This Row],[Company Name]] &amp; " - " &amp; Table3[[#This Row],[Store Name]] &amp; " - " &amp; Table3[[#This Row],[Store Branch / Address]]</f>
        <v>TIONG BAHRU PHILIPPINES INC - TIONG BAHRU - GENERIC</v>
      </c>
      <c r="B1210" t="str">
        <f>Table3[[#This Row],[Client ID]] &amp; " - " &amp; Table3[[#This Row],[SO Number]]</f>
        <v>TIONG BAHRU PHILIPPINES INC - TIONG BAHRU - GENERIC - SO-060</v>
      </c>
      <c r="C1210" t="s">
        <v>391</v>
      </c>
      <c r="D1210" t="s">
        <v>1022</v>
      </c>
      <c r="E1210" t="s">
        <v>1023</v>
      </c>
      <c r="F1210" t="s">
        <v>15</v>
      </c>
      <c r="G1210" t="s">
        <v>1027</v>
      </c>
      <c r="H1210" t="s">
        <v>769</v>
      </c>
      <c r="I1210" t="s">
        <v>25</v>
      </c>
      <c r="J1210">
        <v>1</v>
      </c>
      <c r="K1210">
        <v>3237.5</v>
      </c>
      <c r="L1210">
        <v>9250</v>
      </c>
      <c r="M1210">
        <v>9250</v>
      </c>
      <c r="N1210" t="s">
        <v>19</v>
      </c>
    </row>
    <row r="1211" spans="1:14" x14ac:dyDescent="0.25">
      <c r="A1211" t="str">
        <f>Table3[[#This Row],[Company Name]] &amp; " - " &amp; Table3[[#This Row],[Store Name]] &amp; " - " &amp; Table3[[#This Row],[Store Branch / Address]]</f>
        <v>TIONG BAHRU PHILIPPINES INC - TIONG BAHRU - GENERIC</v>
      </c>
      <c r="B1211" t="str">
        <f>Table3[[#This Row],[Client ID]] &amp; " - " &amp; Table3[[#This Row],[SO Number]]</f>
        <v>TIONG BAHRU PHILIPPINES INC - TIONG BAHRU - GENERIC - SO-060</v>
      </c>
      <c r="C1211" t="s">
        <v>391</v>
      </c>
      <c r="D1211" t="s">
        <v>1022</v>
      </c>
      <c r="E1211" t="s">
        <v>1023</v>
      </c>
      <c r="F1211" t="s">
        <v>15</v>
      </c>
      <c r="G1211" t="s">
        <v>1027</v>
      </c>
      <c r="H1211" t="s">
        <v>769</v>
      </c>
      <c r="I1211" t="s">
        <v>24</v>
      </c>
      <c r="J1211">
        <v>1</v>
      </c>
      <c r="K1211">
        <v>3237.5</v>
      </c>
      <c r="L1211">
        <v>9250</v>
      </c>
      <c r="M1211">
        <v>9250</v>
      </c>
      <c r="N1211" t="s">
        <v>19</v>
      </c>
    </row>
    <row r="1212" spans="1:14" x14ac:dyDescent="0.25">
      <c r="A1212" t="str">
        <f>Table3[[#This Row],[Company Name]] &amp; " - " &amp; Table3[[#This Row],[Store Name]] &amp; " - " &amp; Table3[[#This Row],[Store Branch / Address]]</f>
        <v>TIONG BAHRU PHILIPPINES INC - TIONG BAHRU - GENERIC</v>
      </c>
      <c r="B1212" t="str">
        <f>Table3[[#This Row],[Client ID]] &amp; " - " &amp; Table3[[#This Row],[SO Number]]</f>
        <v>TIONG BAHRU PHILIPPINES INC - TIONG BAHRU - GENERIC - SO-060</v>
      </c>
      <c r="C1212" t="s">
        <v>391</v>
      </c>
      <c r="D1212" t="s">
        <v>1022</v>
      </c>
      <c r="E1212" t="s">
        <v>1023</v>
      </c>
      <c r="F1212" t="s">
        <v>15</v>
      </c>
      <c r="G1212" t="s">
        <v>1027</v>
      </c>
      <c r="H1212" t="s">
        <v>769</v>
      </c>
      <c r="I1212" t="s">
        <v>26</v>
      </c>
      <c r="J1212">
        <v>1</v>
      </c>
      <c r="K1212">
        <v>500</v>
      </c>
      <c r="L1212">
        <v>500</v>
      </c>
      <c r="M1212">
        <v>500</v>
      </c>
      <c r="N1212" t="s">
        <v>19</v>
      </c>
    </row>
    <row r="1213" spans="1:14" x14ac:dyDescent="0.25">
      <c r="A1213" t="str">
        <f>Table3[[#This Row],[Company Name]] &amp; " - " &amp; Table3[[#This Row],[Store Name]] &amp; " - " &amp; Table3[[#This Row],[Store Branch / Address]]</f>
        <v>TIONG BAHRU PHILIPPINES INC - TIONG BAHRU - GENERIC</v>
      </c>
      <c r="B1213" t="str">
        <f>Table3[[#This Row],[Client ID]] &amp; " - " &amp; Table3[[#This Row],[SO Number]]</f>
        <v>TIONG BAHRU PHILIPPINES INC - TIONG BAHRU - GENERIC - SO-060</v>
      </c>
      <c r="C1213" t="s">
        <v>391</v>
      </c>
      <c r="D1213" t="s">
        <v>1022</v>
      </c>
      <c r="E1213" t="s">
        <v>1023</v>
      </c>
      <c r="F1213" t="s">
        <v>15</v>
      </c>
      <c r="G1213" t="s">
        <v>1027</v>
      </c>
      <c r="H1213" t="s">
        <v>769</v>
      </c>
      <c r="I1213" t="s">
        <v>1048</v>
      </c>
      <c r="J1213">
        <v>1</v>
      </c>
      <c r="K1213">
        <v>8500</v>
      </c>
      <c r="L1213">
        <v>12500</v>
      </c>
      <c r="M1213">
        <v>12500</v>
      </c>
      <c r="N1213" t="s">
        <v>19</v>
      </c>
    </row>
    <row r="1214" spans="1:14" x14ac:dyDescent="0.25">
      <c r="A1214" t="str">
        <f>Table3[[#This Row],[Company Name]] &amp; " - " &amp; Table3[[#This Row],[Store Name]] &amp; " - " &amp; Table3[[#This Row],[Store Branch / Address]]</f>
        <v>TIONG BAHRU PHILIPPINES INC - TIONG BAHRU - GENERIC</v>
      </c>
      <c r="B1214" t="str">
        <f>Table3[[#This Row],[Client ID]] &amp; " - " &amp; Table3[[#This Row],[SO Number]]</f>
        <v>TIONG BAHRU PHILIPPINES INC - TIONG BAHRU - GENERIC - SO-060</v>
      </c>
      <c r="C1214" t="s">
        <v>391</v>
      </c>
      <c r="D1214" t="s">
        <v>1022</v>
      </c>
      <c r="E1214" t="s">
        <v>1023</v>
      </c>
      <c r="F1214" t="s">
        <v>15</v>
      </c>
      <c r="G1214" t="s">
        <v>1027</v>
      </c>
      <c r="H1214" t="s">
        <v>769</v>
      </c>
      <c r="I1214" t="s">
        <v>1049</v>
      </c>
      <c r="J1214">
        <v>1</v>
      </c>
      <c r="K1214">
        <v>9500</v>
      </c>
      <c r="L1214">
        <v>13500</v>
      </c>
      <c r="M1214">
        <v>13500</v>
      </c>
      <c r="N1214" t="s">
        <v>19</v>
      </c>
    </row>
    <row r="1215" spans="1:14" x14ac:dyDescent="0.25">
      <c r="A1215" t="str">
        <f>Table3[[#This Row],[Company Name]] &amp; " - " &amp; Table3[[#This Row],[Store Name]] &amp; " - " &amp; Table3[[#This Row],[Store Branch / Address]]</f>
        <v>TIONG BAHRU PHILIPPINES INC - TIONG BAHRU - GENERIC</v>
      </c>
      <c r="B1215" t="str">
        <f>Table3[[#This Row],[Client ID]] &amp; " - " &amp; Table3[[#This Row],[SO Number]]</f>
        <v>TIONG BAHRU PHILIPPINES INC - TIONG BAHRU - GENERIC - SO-060</v>
      </c>
      <c r="C1215" t="s">
        <v>391</v>
      </c>
      <c r="D1215" t="s">
        <v>1022</v>
      </c>
      <c r="E1215" t="s">
        <v>1023</v>
      </c>
      <c r="F1215" t="s">
        <v>15</v>
      </c>
      <c r="G1215" t="s">
        <v>1027</v>
      </c>
      <c r="H1215" t="s">
        <v>769</v>
      </c>
      <c r="I1215" t="s">
        <v>63</v>
      </c>
      <c r="J1215">
        <v>1</v>
      </c>
      <c r="K1215">
        <v>500</v>
      </c>
      <c r="L1215">
        <v>500</v>
      </c>
      <c r="M1215">
        <v>500</v>
      </c>
      <c r="N1215" t="s">
        <v>19</v>
      </c>
    </row>
    <row r="1216" spans="1:14" x14ac:dyDescent="0.25">
      <c r="A1216" t="str">
        <f>Table3[[#This Row],[Company Name]] &amp; " - " &amp; Table3[[#This Row],[Store Name]] &amp; " - " &amp; Table3[[#This Row],[Store Branch / Address]]</f>
        <v>CHICKEN DELI - BLANC NUE - GENERIC</v>
      </c>
      <c r="B1216" t="str">
        <f>Table3[[#This Row],[Client ID]] &amp; " - " &amp; Table3[[#This Row],[SO Number]]</f>
        <v>CHICKEN DELI - BLANC NUE - GENERIC - SO-153</v>
      </c>
      <c r="C1216" t="s">
        <v>771</v>
      </c>
      <c r="D1216" t="s">
        <v>20</v>
      </c>
      <c r="E1216" t="s">
        <v>775</v>
      </c>
      <c r="F1216" t="s">
        <v>15</v>
      </c>
      <c r="G1216" t="s">
        <v>22</v>
      </c>
      <c r="H1216" t="s">
        <v>776</v>
      </c>
      <c r="I1216" t="s">
        <v>133</v>
      </c>
      <c r="J1216">
        <v>1</v>
      </c>
      <c r="K1216">
        <v>3675</v>
      </c>
      <c r="L1216">
        <v>10500</v>
      </c>
      <c r="M1216">
        <v>10500</v>
      </c>
      <c r="N1216" t="s">
        <v>19</v>
      </c>
    </row>
    <row r="1217" spans="1:14" x14ac:dyDescent="0.25">
      <c r="A1217" t="str">
        <f>Table3[[#This Row],[Company Name]] &amp; " - " &amp; Table3[[#This Row],[Store Name]] &amp; " - " &amp; Table3[[#This Row],[Store Branch / Address]]</f>
        <v>CHICKEN DELI - BLANC NUE - GENERIC</v>
      </c>
      <c r="B1217" t="str">
        <f>Table3[[#This Row],[Client ID]] &amp; " - " &amp; Table3[[#This Row],[SO Number]]</f>
        <v>CHICKEN DELI - BLANC NUE - GENERIC - SO-153</v>
      </c>
      <c r="C1217" t="s">
        <v>771</v>
      </c>
      <c r="D1217" t="s">
        <v>20</v>
      </c>
      <c r="E1217" t="s">
        <v>775</v>
      </c>
      <c r="F1217" t="s">
        <v>15</v>
      </c>
      <c r="G1217" t="s">
        <v>22</v>
      </c>
      <c r="H1217" t="s">
        <v>776</v>
      </c>
      <c r="I1217" t="s">
        <v>25</v>
      </c>
      <c r="J1217">
        <v>1</v>
      </c>
      <c r="K1217">
        <v>9500</v>
      </c>
      <c r="L1217">
        <v>9500</v>
      </c>
      <c r="M1217">
        <v>9500</v>
      </c>
      <c r="N1217" t="s">
        <v>19</v>
      </c>
    </row>
    <row r="1218" spans="1:14" x14ac:dyDescent="0.25">
      <c r="A1218" t="str">
        <f>Table3[[#This Row],[Company Name]] &amp; " - " &amp; Table3[[#This Row],[Store Name]] &amp; " - " &amp; Table3[[#This Row],[Store Branch / Address]]</f>
        <v>CHICKEN DELI - BLANC NUE - GENERIC</v>
      </c>
      <c r="B1218" t="str">
        <f>Table3[[#This Row],[Client ID]] &amp; " - " &amp; Table3[[#This Row],[SO Number]]</f>
        <v>CHICKEN DELI - BLANC NUE - GENERIC - SO-153</v>
      </c>
      <c r="C1218" t="s">
        <v>771</v>
      </c>
      <c r="D1218" t="s">
        <v>20</v>
      </c>
      <c r="E1218" t="s">
        <v>775</v>
      </c>
      <c r="F1218" t="s">
        <v>15</v>
      </c>
      <c r="G1218" t="s">
        <v>22</v>
      </c>
      <c r="H1218" t="s">
        <v>776</v>
      </c>
      <c r="I1218" t="s">
        <v>24</v>
      </c>
      <c r="J1218">
        <v>1</v>
      </c>
      <c r="K1218">
        <v>9500</v>
      </c>
      <c r="L1218">
        <v>9500</v>
      </c>
      <c r="M1218">
        <v>9500</v>
      </c>
      <c r="N1218" t="s">
        <v>19</v>
      </c>
    </row>
    <row r="1219" spans="1:14" x14ac:dyDescent="0.25">
      <c r="A1219" t="str">
        <f>Table3[[#This Row],[Company Name]] &amp; " - " &amp; Table3[[#This Row],[Store Name]] &amp; " - " &amp; Table3[[#This Row],[Store Branch / Address]]</f>
        <v>CHICKEN DELI - BLANC NUE - GENERIC</v>
      </c>
      <c r="B1219" t="str">
        <f>Table3[[#This Row],[Client ID]] &amp; " - " &amp; Table3[[#This Row],[SO Number]]</f>
        <v>CHICKEN DELI - BLANC NUE - GENERIC - SO-153</v>
      </c>
      <c r="C1219" t="s">
        <v>771</v>
      </c>
      <c r="D1219" t="s">
        <v>20</v>
      </c>
      <c r="E1219" t="s">
        <v>775</v>
      </c>
      <c r="F1219" t="s">
        <v>15</v>
      </c>
      <c r="G1219" t="s">
        <v>22</v>
      </c>
      <c r="H1219" t="s">
        <v>776</v>
      </c>
      <c r="I1219" t="s">
        <v>134</v>
      </c>
      <c r="J1219">
        <v>1</v>
      </c>
      <c r="K1219">
        <v>500</v>
      </c>
      <c r="L1219">
        <v>500</v>
      </c>
      <c r="M1219">
        <v>500</v>
      </c>
      <c r="N1219" t="s">
        <v>19</v>
      </c>
    </row>
    <row r="1220" spans="1:14" x14ac:dyDescent="0.25">
      <c r="A1220" t="str">
        <f>Table3[[#This Row],[Company Name]] &amp; " - " &amp; Table3[[#This Row],[Store Name]] &amp; " - " &amp; Table3[[#This Row],[Store Branch / Address]]</f>
        <v>CANELLE FOOD CORPORATION - CINNABON - GENERIC</v>
      </c>
      <c r="B1220" t="str">
        <f>Table3[[#This Row],[Client ID]] &amp; " - " &amp; Table3[[#This Row],[SO Number]]</f>
        <v>CANELLE FOOD CORPORATION - CINNABON - GENERIC - SO-119</v>
      </c>
      <c r="C1220" t="s">
        <v>637</v>
      </c>
      <c r="D1220" t="s">
        <v>363</v>
      </c>
      <c r="E1220" t="s">
        <v>364</v>
      </c>
      <c r="F1220" t="s">
        <v>15</v>
      </c>
      <c r="G1220" t="s">
        <v>22</v>
      </c>
      <c r="H1220" t="s">
        <v>638</v>
      </c>
      <c r="I1220" t="s">
        <v>331</v>
      </c>
      <c r="J1220">
        <v>1</v>
      </c>
      <c r="K1220">
        <v>5000</v>
      </c>
      <c r="L1220">
        <v>10000</v>
      </c>
      <c r="M1220">
        <v>10000</v>
      </c>
      <c r="N1220" t="s">
        <v>19</v>
      </c>
    </row>
    <row r="1221" spans="1:14" x14ac:dyDescent="0.25">
      <c r="A1221" t="str">
        <f>Table3[[#This Row],[Company Name]] &amp; " - " &amp; Table3[[#This Row],[Store Name]] &amp; " - " &amp; Table3[[#This Row],[Store Branch / Address]]</f>
        <v>SIMPLY GOURMET FOOD CORP NO COR YET - CHA TRA MUE - ROB. GALLERIA</v>
      </c>
      <c r="B1221" t="str">
        <f>Table3[[#This Row],[Client ID]] &amp; " - " &amp; Table3[[#This Row],[SO Number]]</f>
        <v>SIMPLY GOURMET FOOD CORP NO COR YET - CHA TRA MUE - ROB. GALLERIA - SO-120</v>
      </c>
      <c r="C1221" t="s">
        <v>639</v>
      </c>
      <c r="D1221" t="s">
        <v>220</v>
      </c>
      <c r="E1221" t="s">
        <v>221</v>
      </c>
      <c r="F1221" t="s">
        <v>640</v>
      </c>
      <c r="G1221" t="s">
        <v>16</v>
      </c>
      <c r="H1221" t="s">
        <v>641</v>
      </c>
      <c r="I1221" t="s">
        <v>642</v>
      </c>
      <c r="J1221">
        <v>1</v>
      </c>
      <c r="K1221">
        <v>3675</v>
      </c>
      <c r="L1221">
        <v>10500</v>
      </c>
      <c r="M1221">
        <v>10500</v>
      </c>
      <c r="N1221" t="s">
        <v>39</v>
      </c>
    </row>
    <row r="1222" spans="1:14" x14ac:dyDescent="0.25">
      <c r="A1222" t="str">
        <f>Table3[[#This Row],[Company Name]] &amp; " - " &amp; Table3[[#This Row],[Store Name]] &amp; " - " &amp; Table3[[#This Row],[Store Branch / Address]]</f>
        <v>SIMPLY GOURMET FOOD CORP NO COR YET - CHA TRA MUE - ROB. GALLERIA</v>
      </c>
      <c r="B1222" t="str">
        <f>Table3[[#This Row],[Client ID]] &amp; " - " &amp; Table3[[#This Row],[SO Number]]</f>
        <v>SIMPLY GOURMET FOOD CORP NO COR YET - CHA TRA MUE - ROB. GALLERIA - SO-120</v>
      </c>
      <c r="C1222" t="s">
        <v>639</v>
      </c>
      <c r="D1222" t="s">
        <v>220</v>
      </c>
      <c r="E1222" t="s">
        <v>221</v>
      </c>
      <c r="F1222" t="s">
        <v>640</v>
      </c>
      <c r="G1222" t="s">
        <v>16</v>
      </c>
      <c r="H1222" t="s">
        <v>641</v>
      </c>
      <c r="I1222" t="s">
        <v>48</v>
      </c>
      <c r="J1222">
        <v>1</v>
      </c>
      <c r="K1222">
        <v>3255</v>
      </c>
      <c r="L1222">
        <v>9300</v>
      </c>
      <c r="M1222">
        <v>9300</v>
      </c>
      <c r="N1222" t="s">
        <v>39</v>
      </c>
    </row>
    <row r="1223" spans="1:14" x14ac:dyDescent="0.25">
      <c r="A1223" t="str">
        <f>Table3[[#This Row],[Company Name]] &amp; " - " &amp; Table3[[#This Row],[Store Name]] &amp; " - " &amp; Table3[[#This Row],[Store Branch / Address]]</f>
        <v>SIMPLY GOURMET FOOD CORP NO COR YET - CHA TRA MUE - ROB. GALLERIA</v>
      </c>
      <c r="B1223" t="str">
        <f>Table3[[#This Row],[Client ID]] &amp; " - " &amp; Table3[[#This Row],[SO Number]]</f>
        <v>SIMPLY GOURMET FOOD CORP NO COR YET - CHA TRA MUE - ROB. GALLERIA - SO-120</v>
      </c>
      <c r="C1223" t="s">
        <v>639</v>
      </c>
      <c r="D1223" t="s">
        <v>220</v>
      </c>
      <c r="E1223" t="s">
        <v>221</v>
      </c>
      <c r="F1223" t="s">
        <v>640</v>
      </c>
      <c r="G1223" t="s">
        <v>16</v>
      </c>
      <c r="H1223" t="s">
        <v>641</v>
      </c>
      <c r="I1223" t="s">
        <v>126</v>
      </c>
      <c r="J1223">
        <v>1</v>
      </c>
      <c r="K1223">
        <v>3255</v>
      </c>
      <c r="L1223">
        <v>9300</v>
      </c>
      <c r="M1223">
        <v>9300</v>
      </c>
      <c r="N1223" t="s">
        <v>39</v>
      </c>
    </row>
    <row r="1224" spans="1:14" x14ac:dyDescent="0.25">
      <c r="A1224" t="str">
        <f>Table3[[#This Row],[Company Name]] &amp; " - " &amp; Table3[[#This Row],[Store Name]] &amp; " - " &amp; Table3[[#This Row],[Store Branch / Address]]</f>
        <v>SIMPLY GOURMET FOOD CORP NO COR YET - CHA TRA MUE - ROB. GALLERIA</v>
      </c>
      <c r="B1224" t="str">
        <f>Table3[[#This Row],[Client ID]] &amp; " - " &amp; Table3[[#This Row],[SO Number]]</f>
        <v>SIMPLY GOURMET FOOD CORP NO COR YET - CHA TRA MUE - ROB. GALLERIA - SO-120</v>
      </c>
      <c r="C1224" t="s">
        <v>639</v>
      </c>
      <c r="D1224" t="s">
        <v>220</v>
      </c>
      <c r="E1224" t="s">
        <v>221</v>
      </c>
      <c r="F1224" t="s">
        <v>640</v>
      </c>
      <c r="G1224" t="s">
        <v>16</v>
      </c>
      <c r="H1224" t="s">
        <v>641</v>
      </c>
      <c r="I1224" t="s">
        <v>26</v>
      </c>
      <c r="J1224">
        <v>1</v>
      </c>
      <c r="K1224">
        <v>500</v>
      </c>
      <c r="L1224">
        <v>500</v>
      </c>
      <c r="M1224">
        <v>500</v>
      </c>
      <c r="N1224" t="s">
        <v>39</v>
      </c>
    </row>
    <row r="1225" spans="1:14" x14ac:dyDescent="0.25">
      <c r="A1225" t="str">
        <f>Table3[[#This Row],[Company Name]] &amp; " - " &amp; Table3[[#This Row],[Store Name]] &amp; " - " &amp; Table3[[#This Row],[Store Branch / Address]]</f>
        <v>SIMPLY GOURMET FOOD CORP NO COR YET - CHA TRA MUE - ROB. GALLERIA</v>
      </c>
      <c r="B1225" t="str">
        <f>Table3[[#This Row],[Client ID]] &amp; " - " &amp; Table3[[#This Row],[SO Number]]</f>
        <v>SIMPLY GOURMET FOOD CORP NO COR YET - CHA TRA MUE - ROB. GALLERIA - SO-120</v>
      </c>
      <c r="C1225" t="s">
        <v>639</v>
      </c>
      <c r="D1225" t="s">
        <v>220</v>
      </c>
      <c r="E1225" t="s">
        <v>221</v>
      </c>
      <c r="F1225" t="s">
        <v>640</v>
      </c>
      <c r="G1225" t="s">
        <v>16</v>
      </c>
      <c r="H1225" t="s">
        <v>641</v>
      </c>
      <c r="I1225" t="s">
        <v>38</v>
      </c>
      <c r="J1225">
        <v>1</v>
      </c>
      <c r="K1225">
        <v>8500</v>
      </c>
      <c r="L1225">
        <v>12500</v>
      </c>
      <c r="M1225">
        <v>12500</v>
      </c>
      <c r="N1225" t="s">
        <v>39</v>
      </c>
    </row>
    <row r="1226" spans="1:14" x14ac:dyDescent="0.25">
      <c r="A1226" t="str">
        <f>Table3[[#This Row],[Company Name]] &amp; " - " &amp; Table3[[#This Row],[Store Name]] &amp; " - " &amp; Table3[[#This Row],[Store Branch / Address]]</f>
        <v>SIMPLY GOURMET FOOD CORP NO COR YET - CHA TRA MUE - ROB. GALLERIA</v>
      </c>
      <c r="B1226" t="str">
        <f>Table3[[#This Row],[Client ID]] &amp; " - " &amp; Table3[[#This Row],[SO Number]]</f>
        <v>SIMPLY GOURMET FOOD CORP NO COR YET - CHA TRA MUE - ROB. GALLERIA - SO-120</v>
      </c>
      <c r="C1226" t="s">
        <v>639</v>
      </c>
      <c r="D1226" t="s">
        <v>220</v>
      </c>
      <c r="E1226" t="s">
        <v>221</v>
      </c>
      <c r="F1226" t="s">
        <v>640</v>
      </c>
      <c r="G1226" t="s">
        <v>16</v>
      </c>
      <c r="H1226" t="s">
        <v>641</v>
      </c>
      <c r="I1226" t="s">
        <v>97</v>
      </c>
      <c r="J1226">
        <v>1</v>
      </c>
      <c r="K1226">
        <v>2200</v>
      </c>
      <c r="L1226">
        <v>3000</v>
      </c>
      <c r="M1226">
        <v>3000</v>
      </c>
      <c r="N1226" t="s">
        <v>39</v>
      </c>
    </row>
    <row r="1227" spans="1:14" x14ac:dyDescent="0.25">
      <c r="A1227" t="str">
        <f>Table3[[#This Row],[Company Name]] &amp; " - " &amp; Table3[[#This Row],[Store Name]] &amp; " - " &amp; Table3[[#This Row],[Store Branch / Address]]</f>
        <v>SIMPLY GOURMET FOOD CORP NO COR YET - CHA TRA MUE - ROB. GALLERIA</v>
      </c>
      <c r="B1227" t="str">
        <f>Table3[[#This Row],[Client ID]] &amp; " - " &amp; Table3[[#This Row],[SO Number]]</f>
        <v>SIMPLY GOURMET FOOD CORP NO COR YET - CHA TRA MUE - ROB. GALLERIA - SO-120</v>
      </c>
      <c r="C1227" t="s">
        <v>639</v>
      </c>
      <c r="D1227" t="s">
        <v>220</v>
      </c>
      <c r="E1227" t="s">
        <v>221</v>
      </c>
      <c r="F1227" t="s">
        <v>640</v>
      </c>
      <c r="G1227" t="s">
        <v>16</v>
      </c>
      <c r="H1227" t="s">
        <v>641</v>
      </c>
      <c r="I1227" t="s">
        <v>93</v>
      </c>
      <c r="J1227">
        <v>1</v>
      </c>
      <c r="K1227">
        <v>11000</v>
      </c>
      <c r="L1227">
        <v>16000</v>
      </c>
      <c r="M1227">
        <v>16000</v>
      </c>
      <c r="N1227" t="s">
        <v>39</v>
      </c>
    </row>
    <row r="1228" spans="1:14" x14ac:dyDescent="0.25">
      <c r="A1228" t="str">
        <f>Table3[[#This Row],[Company Name]] &amp; " - " &amp; Table3[[#This Row],[Store Name]] &amp; " - " &amp; Table3[[#This Row],[Store Branch / Address]]</f>
        <v>SIMPLY GOURMET FOOD CORP NO COR YET - CHA TRA MUE - ROB. GALLERIA</v>
      </c>
      <c r="B1228" t="str">
        <f>Table3[[#This Row],[Client ID]] &amp; " - " &amp; Table3[[#This Row],[SO Number]]</f>
        <v>SIMPLY GOURMET FOOD CORP NO COR YET - CHA TRA MUE - ROB. GALLERIA - SO-120</v>
      </c>
      <c r="C1228" t="s">
        <v>639</v>
      </c>
      <c r="D1228" t="s">
        <v>220</v>
      </c>
      <c r="E1228" t="s">
        <v>221</v>
      </c>
      <c r="F1228" t="s">
        <v>640</v>
      </c>
      <c r="G1228" t="s">
        <v>16</v>
      </c>
      <c r="H1228" t="s">
        <v>641</v>
      </c>
      <c r="I1228" t="s">
        <v>116</v>
      </c>
      <c r="J1228">
        <v>1</v>
      </c>
      <c r="K1228">
        <v>2185</v>
      </c>
      <c r="L1228">
        <v>3500</v>
      </c>
      <c r="M1228">
        <v>3500</v>
      </c>
      <c r="N1228" t="s">
        <v>39</v>
      </c>
    </row>
    <row r="1229" spans="1:14" x14ac:dyDescent="0.25">
      <c r="A1229" t="str">
        <f>Table3[[#This Row],[Company Name]] &amp; " - " &amp; Table3[[#This Row],[Store Name]] &amp; " - " &amp; Table3[[#This Row],[Store Branch / Address]]</f>
        <v>SIMPLY GOURMET FOOD CORP NO COR YET - CHA TRA MUE - ROB. GALLERIA</v>
      </c>
      <c r="B1229" t="str">
        <f>Table3[[#This Row],[Client ID]] &amp; " - " &amp; Table3[[#This Row],[SO Number]]</f>
        <v>SIMPLY GOURMET FOOD CORP NO COR YET - CHA TRA MUE - ROB. GALLERIA - SO-120</v>
      </c>
      <c r="C1229" t="s">
        <v>639</v>
      </c>
      <c r="D1229" t="s">
        <v>220</v>
      </c>
      <c r="E1229" t="s">
        <v>221</v>
      </c>
      <c r="F1229" t="s">
        <v>640</v>
      </c>
      <c r="G1229" t="s">
        <v>16</v>
      </c>
      <c r="H1229" t="s">
        <v>641</v>
      </c>
      <c r="I1229" t="s">
        <v>209</v>
      </c>
      <c r="J1229">
        <v>1</v>
      </c>
      <c r="K1229">
        <v>23450</v>
      </c>
      <c r="L1229">
        <v>30300</v>
      </c>
      <c r="M1229">
        <v>30300</v>
      </c>
      <c r="N1229" t="s">
        <v>39</v>
      </c>
    </row>
    <row r="1230" spans="1:14" x14ac:dyDescent="0.25">
      <c r="A1230" t="str">
        <f>Table3[[#This Row],[Company Name]] &amp; " - " &amp; Table3[[#This Row],[Store Name]] &amp; " - " &amp; Table3[[#This Row],[Store Branch / Address]]</f>
        <v>SIMPLY GOURMET FOOD CORP NO COR YET - CHA TRA MUE - ROB. GALLERIA</v>
      </c>
      <c r="B1230" t="str">
        <f>Table3[[#This Row],[Client ID]] &amp; " - " &amp; Table3[[#This Row],[SO Number]]</f>
        <v>SIMPLY GOURMET FOOD CORP NO COR YET - CHA TRA MUE - ROB. GALLERIA - SO-120</v>
      </c>
      <c r="C1230" t="s">
        <v>639</v>
      </c>
      <c r="D1230" t="s">
        <v>220</v>
      </c>
      <c r="E1230" t="s">
        <v>221</v>
      </c>
      <c r="F1230" t="s">
        <v>640</v>
      </c>
      <c r="G1230" t="s">
        <v>16</v>
      </c>
      <c r="H1230" t="s">
        <v>641</v>
      </c>
      <c r="I1230" t="s">
        <v>151</v>
      </c>
      <c r="J1230">
        <v>1</v>
      </c>
      <c r="K1230">
        <v>2800</v>
      </c>
      <c r="L1230">
        <v>4000</v>
      </c>
      <c r="M1230">
        <v>4000</v>
      </c>
      <c r="N1230" t="s">
        <v>39</v>
      </c>
    </row>
    <row r="1231" spans="1:14" x14ac:dyDescent="0.25">
      <c r="A1231" t="str">
        <f>Table3[[#This Row],[Company Name]] &amp; " - " &amp; Table3[[#This Row],[Store Name]] &amp; " - " &amp; Table3[[#This Row],[Store Branch / Address]]</f>
        <v>SIMPLY GOURMET FOOD CORP NO COR YET - CHA TRA MUE - ROB. GALLERIA</v>
      </c>
      <c r="B1231" t="str">
        <f>Table3[[#This Row],[Client ID]] &amp; " - " &amp; Table3[[#This Row],[SO Number]]</f>
        <v>SIMPLY GOURMET FOOD CORP NO COR YET - CHA TRA MUE - ROB. GALLERIA - SO-120</v>
      </c>
      <c r="C1231" t="s">
        <v>639</v>
      </c>
      <c r="D1231" t="s">
        <v>220</v>
      </c>
      <c r="E1231" t="s">
        <v>221</v>
      </c>
      <c r="F1231" t="s">
        <v>640</v>
      </c>
      <c r="G1231" t="s">
        <v>16</v>
      </c>
      <c r="H1231" t="s">
        <v>641</v>
      </c>
      <c r="I1231" t="s">
        <v>210</v>
      </c>
      <c r="J1231">
        <v>1</v>
      </c>
      <c r="K1231">
        <v>530</v>
      </c>
      <c r="L1231">
        <v>700</v>
      </c>
      <c r="M1231">
        <v>700</v>
      </c>
      <c r="N1231" t="s">
        <v>39</v>
      </c>
    </row>
    <row r="1232" spans="1:14" x14ac:dyDescent="0.25">
      <c r="A1232" t="str">
        <f>Table3[[#This Row],[Company Name]] &amp; " - " &amp; Table3[[#This Row],[Store Name]] &amp; " - " &amp; Table3[[#This Row],[Store Branch / Address]]</f>
        <v>SIMPLY GOURMET FOOD CORP NO COR YET - CHA TRA MUE - ROB. GALLERIA</v>
      </c>
      <c r="B1232" t="str">
        <f>Table3[[#This Row],[Client ID]] &amp; " - " &amp; Table3[[#This Row],[SO Number]]</f>
        <v>SIMPLY GOURMET FOOD CORP NO COR YET - CHA TRA MUE - ROB. GALLERIA - SO-120</v>
      </c>
      <c r="C1232" t="s">
        <v>639</v>
      </c>
      <c r="D1232" t="s">
        <v>220</v>
      </c>
      <c r="E1232" t="s">
        <v>221</v>
      </c>
      <c r="F1232" t="s">
        <v>640</v>
      </c>
      <c r="G1232" t="s">
        <v>16</v>
      </c>
      <c r="H1232" t="s">
        <v>641</v>
      </c>
      <c r="I1232" t="s">
        <v>211</v>
      </c>
      <c r="J1232">
        <v>1</v>
      </c>
      <c r="K1232">
        <v>350</v>
      </c>
      <c r="L1232">
        <v>500</v>
      </c>
      <c r="M1232">
        <v>500</v>
      </c>
      <c r="N1232" t="s">
        <v>39</v>
      </c>
    </row>
    <row r="1233" spans="1:14" x14ac:dyDescent="0.25">
      <c r="A1233" t="str">
        <f>Table3[[#This Row],[Company Name]] &amp; " - " &amp; Table3[[#This Row],[Store Name]] &amp; " - " &amp; Table3[[#This Row],[Store Branch / Address]]</f>
        <v>SIMPLY GOURMET FOOD CORP NO COR YET - CHA TRA MUE - ROB. GALLERIA</v>
      </c>
      <c r="B1233" t="str">
        <f>Table3[[#This Row],[Client ID]] &amp; " - " &amp; Table3[[#This Row],[SO Number]]</f>
        <v>SIMPLY GOURMET FOOD CORP NO COR YET - CHA TRA MUE - ROB. GALLERIA - SO-120</v>
      </c>
      <c r="C1233" t="s">
        <v>639</v>
      </c>
      <c r="D1233" t="s">
        <v>220</v>
      </c>
      <c r="E1233" t="s">
        <v>221</v>
      </c>
      <c r="F1233" t="s">
        <v>640</v>
      </c>
      <c r="G1233" t="s">
        <v>16</v>
      </c>
      <c r="H1233" t="s">
        <v>641</v>
      </c>
      <c r="I1233" t="s">
        <v>98</v>
      </c>
      <c r="J1233">
        <v>1</v>
      </c>
      <c r="K1233">
        <v>970</v>
      </c>
      <c r="L1233">
        <v>1500</v>
      </c>
      <c r="M1233">
        <v>1500</v>
      </c>
      <c r="N1233" t="s">
        <v>39</v>
      </c>
    </row>
    <row r="1234" spans="1:14" x14ac:dyDescent="0.25">
      <c r="A1234" t="str">
        <f>Table3[[#This Row],[Company Name]] &amp; " - " &amp; Table3[[#This Row],[Store Name]] &amp; " - " &amp; Table3[[#This Row],[Store Branch / Address]]</f>
        <v>SIMPLY GOURMET FOOD CORP NO COR YET - CHA TRA MUE - ROB. GALLERIA</v>
      </c>
      <c r="B1234" t="str">
        <f>Table3[[#This Row],[Client ID]] &amp; " - " &amp; Table3[[#This Row],[SO Number]]</f>
        <v>SIMPLY GOURMET FOOD CORP NO COR YET - CHA TRA MUE - ROB. GALLERIA - SO-120</v>
      </c>
      <c r="C1234" t="s">
        <v>639</v>
      </c>
      <c r="D1234" t="s">
        <v>220</v>
      </c>
      <c r="E1234" t="s">
        <v>221</v>
      </c>
      <c r="F1234" t="s">
        <v>640</v>
      </c>
      <c r="G1234" t="s">
        <v>16</v>
      </c>
      <c r="H1234" t="s">
        <v>641</v>
      </c>
      <c r="I1234" t="s">
        <v>63</v>
      </c>
      <c r="J1234">
        <v>1</v>
      </c>
      <c r="K1234">
        <v>400</v>
      </c>
      <c r="L1234">
        <v>400</v>
      </c>
      <c r="M1234">
        <v>400</v>
      </c>
      <c r="N1234" t="s">
        <v>39</v>
      </c>
    </row>
    <row r="1235" spans="1:14" x14ac:dyDescent="0.25">
      <c r="A1235" t="str">
        <f>Table3[[#This Row],[Company Name]] &amp; " - " &amp; Table3[[#This Row],[Store Name]] &amp; " - " &amp; Table3[[#This Row],[Store Branch / Address]]</f>
        <v>SIMPLY GOURMET FOOD CORP NO COR YET - CHA TRA MUE - ROB. ANTIPOLO</v>
      </c>
      <c r="B1235" t="str">
        <f>Table3[[#This Row],[Client ID]] &amp; " - " &amp; Table3[[#This Row],[SO Number]]</f>
        <v>SIMPLY GOURMET FOOD CORP NO COR YET - CHA TRA MUE - ROB. ANTIPOLO - SO-121</v>
      </c>
      <c r="C1235" t="s">
        <v>643</v>
      </c>
      <c r="D1235" t="s">
        <v>220</v>
      </c>
      <c r="E1235" t="s">
        <v>221</v>
      </c>
      <c r="F1235" t="s">
        <v>644</v>
      </c>
      <c r="G1235" t="s">
        <v>16</v>
      </c>
      <c r="H1235" t="s">
        <v>641</v>
      </c>
      <c r="I1235" t="s">
        <v>642</v>
      </c>
      <c r="J1235">
        <v>1</v>
      </c>
      <c r="K1235">
        <v>3675</v>
      </c>
      <c r="L1235">
        <v>10500</v>
      </c>
      <c r="M1235">
        <v>10500</v>
      </c>
      <c r="N1235" t="s">
        <v>39</v>
      </c>
    </row>
    <row r="1236" spans="1:14" x14ac:dyDescent="0.25">
      <c r="A1236" t="str">
        <f>Table3[[#This Row],[Company Name]] &amp; " - " &amp; Table3[[#This Row],[Store Name]] &amp; " - " &amp; Table3[[#This Row],[Store Branch / Address]]</f>
        <v>SIMPLY GOURMET FOOD CORP NO COR YET - CHA TRA MUE - ROB. ANTIPOLO</v>
      </c>
      <c r="B1236" t="str">
        <f>Table3[[#This Row],[Client ID]] &amp; " - " &amp; Table3[[#This Row],[SO Number]]</f>
        <v>SIMPLY GOURMET FOOD CORP NO COR YET - CHA TRA MUE - ROB. ANTIPOLO - SO-121</v>
      </c>
      <c r="C1236" t="s">
        <v>643</v>
      </c>
      <c r="D1236" t="s">
        <v>220</v>
      </c>
      <c r="E1236" t="s">
        <v>221</v>
      </c>
      <c r="F1236" t="s">
        <v>644</v>
      </c>
      <c r="G1236" t="s">
        <v>16</v>
      </c>
      <c r="H1236" t="s">
        <v>641</v>
      </c>
      <c r="I1236" t="s">
        <v>48</v>
      </c>
      <c r="J1236">
        <v>1</v>
      </c>
      <c r="K1236">
        <v>3220</v>
      </c>
      <c r="L1236">
        <v>9200</v>
      </c>
      <c r="M1236">
        <v>9200</v>
      </c>
      <c r="N1236" t="s">
        <v>39</v>
      </c>
    </row>
    <row r="1237" spans="1:14" x14ac:dyDescent="0.25">
      <c r="A1237" t="str">
        <f>Table3[[#This Row],[Company Name]] &amp; " - " &amp; Table3[[#This Row],[Store Name]] &amp; " - " &amp; Table3[[#This Row],[Store Branch / Address]]</f>
        <v>SIMPLY GOURMET FOOD CORP NO COR YET - CHA TRA MUE - ROB. ANTIPOLO</v>
      </c>
      <c r="B1237" t="str">
        <f>Table3[[#This Row],[Client ID]] &amp; " - " &amp; Table3[[#This Row],[SO Number]]</f>
        <v>SIMPLY GOURMET FOOD CORP NO COR YET - CHA TRA MUE - ROB. ANTIPOLO - SO-121</v>
      </c>
      <c r="C1237" t="s">
        <v>643</v>
      </c>
      <c r="D1237" t="s">
        <v>220</v>
      </c>
      <c r="E1237" t="s">
        <v>221</v>
      </c>
      <c r="F1237" t="s">
        <v>644</v>
      </c>
      <c r="G1237" t="s">
        <v>16</v>
      </c>
      <c r="H1237" t="s">
        <v>641</v>
      </c>
      <c r="I1237" t="s">
        <v>126</v>
      </c>
      <c r="J1237">
        <v>1</v>
      </c>
      <c r="K1237">
        <v>3220</v>
      </c>
      <c r="L1237">
        <v>9200</v>
      </c>
      <c r="M1237">
        <v>9200</v>
      </c>
      <c r="N1237" t="s">
        <v>39</v>
      </c>
    </row>
    <row r="1238" spans="1:14" x14ac:dyDescent="0.25">
      <c r="A1238" t="str">
        <f>Table3[[#This Row],[Company Name]] &amp; " - " &amp; Table3[[#This Row],[Store Name]] &amp; " - " &amp; Table3[[#This Row],[Store Branch / Address]]</f>
        <v>SIMPLY GOURMET FOOD CORP NO COR YET - CHA TRA MUE - ROB. ANTIPOLO</v>
      </c>
      <c r="B1238" t="str">
        <f>Table3[[#This Row],[Client ID]] &amp; " - " &amp; Table3[[#This Row],[SO Number]]</f>
        <v>SIMPLY GOURMET FOOD CORP NO COR YET - CHA TRA MUE - ROB. ANTIPOLO - SO-121</v>
      </c>
      <c r="C1238" t="s">
        <v>643</v>
      </c>
      <c r="D1238" t="s">
        <v>220</v>
      </c>
      <c r="E1238" t="s">
        <v>221</v>
      </c>
      <c r="F1238" t="s">
        <v>644</v>
      </c>
      <c r="G1238" t="s">
        <v>16</v>
      </c>
      <c r="H1238" t="s">
        <v>641</v>
      </c>
      <c r="I1238" t="s">
        <v>26</v>
      </c>
      <c r="J1238">
        <v>1</v>
      </c>
      <c r="K1238">
        <v>500</v>
      </c>
      <c r="L1238">
        <v>500</v>
      </c>
      <c r="M1238">
        <v>500</v>
      </c>
      <c r="N1238" t="s">
        <v>39</v>
      </c>
    </row>
    <row r="1239" spans="1:14" x14ac:dyDescent="0.25">
      <c r="A1239" t="str">
        <f>Table3[[#This Row],[Company Name]] &amp; " - " &amp; Table3[[#This Row],[Store Name]] &amp; " - " &amp; Table3[[#This Row],[Store Branch / Address]]</f>
        <v>SIMPLY GOURMET FOOD CORP NO COR YET - CHA TRA MUE - ROB. ANTIPOLO</v>
      </c>
      <c r="B1239" t="str">
        <f>Table3[[#This Row],[Client ID]] &amp; " - " &amp; Table3[[#This Row],[SO Number]]</f>
        <v>SIMPLY GOURMET FOOD CORP NO COR YET - CHA TRA MUE - ROB. ANTIPOLO - SO-121</v>
      </c>
      <c r="C1239" t="s">
        <v>643</v>
      </c>
      <c r="D1239" t="s">
        <v>220</v>
      </c>
      <c r="E1239" t="s">
        <v>221</v>
      </c>
      <c r="F1239" t="s">
        <v>644</v>
      </c>
      <c r="G1239" t="s">
        <v>16</v>
      </c>
      <c r="H1239" t="s">
        <v>641</v>
      </c>
      <c r="I1239" t="s">
        <v>38</v>
      </c>
      <c r="J1239">
        <v>1</v>
      </c>
      <c r="K1239">
        <v>8500</v>
      </c>
      <c r="L1239">
        <v>12500</v>
      </c>
      <c r="M1239">
        <v>12500</v>
      </c>
      <c r="N1239" t="s">
        <v>39</v>
      </c>
    </row>
    <row r="1240" spans="1:14" x14ac:dyDescent="0.25">
      <c r="A1240" t="str">
        <f>Table3[[#This Row],[Company Name]] &amp; " - " &amp; Table3[[#This Row],[Store Name]] &amp; " - " &amp; Table3[[#This Row],[Store Branch / Address]]</f>
        <v>SIMPLY GOURMET FOOD CORP NO COR YET - CHA TRA MUE - ROB. ANTIPOLO</v>
      </c>
      <c r="B1240" t="str">
        <f>Table3[[#This Row],[Client ID]] &amp; " - " &amp; Table3[[#This Row],[SO Number]]</f>
        <v>SIMPLY GOURMET FOOD CORP NO COR YET - CHA TRA MUE - ROB. ANTIPOLO - SO-121</v>
      </c>
      <c r="C1240" t="s">
        <v>643</v>
      </c>
      <c r="D1240" t="s">
        <v>220</v>
      </c>
      <c r="E1240" t="s">
        <v>221</v>
      </c>
      <c r="F1240" t="s">
        <v>644</v>
      </c>
      <c r="G1240" t="s">
        <v>16</v>
      </c>
      <c r="H1240" t="s">
        <v>641</v>
      </c>
      <c r="I1240" t="s">
        <v>97</v>
      </c>
      <c r="J1240">
        <v>1</v>
      </c>
      <c r="K1240">
        <v>2200</v>
      </c>
      <c r="L1240">
        <v>3000</v>
      </c>
      <c r="M1240">
        <v>3000</v>
      </c>
      <c r="N1240" t="s">
        <v>39</v>
      </c>
    </row>
    <row r="1241" spans="1:14" x14ac:dyDescent="0.25">
      <c r="A1241" t="str">
        <f>Table3[[#This Row],[Company Name]] &amp; " - " &amp; Table3[[#This Row],[Store Name]] &amp; " - " &amp; Table3[[#This Row],[Store Branch / Address]]</f>
        <v>SIMPLY GOURMET FOOD CORP NO COR YET - CHA TRA MUE - ROB. ANTIPOLO</v>
      </c>
      <c r="B1241" t="str">
        <f>Table3[[#This Row],[Client ID]] &amp; " - " &amp; Table3[[#This Row],[SO Number]]</f>
        <v>SIMPLY GOURMET FOOD CORP NO COR YET - CHA TRA MUE - ROB. ANTIPOLO - SO-121</v>
      </c>
      <c r="C1241" t="s">
        <v>643</v>
      </c>
      <c r="D1241" t="s">
        <v>220</v>
      </c>
      <c r="E1241" t="s">
        <v>221</v>
      </c>
      <c r="F1241" t="s">
        <v>644</v>
      </c>
      <c r="G1241" t="s">
        <v>16</v>
      </c>
      <c r="H1241" t="s">
        <v>641</v>
      </c>
      <c r="I1241" t="s">
        <v>93</v>
      </c>
      <c r="J1241">
        <v>1</v>
      </c>
      <c r="K1241">
        <v>11000</v>
      </c>
      <c r="L1241">
        <v>16000</v>
      </c>
      <c r="M1241">
        <v>16000</v>
      </c>
      <c r="N1241" t="s">
        <v>39</v>
      </c>
    </row>
    <row r="1242" spans="1:14" x14ac:dyDescent="0.25">
      <c r="A1242" t="str">
        <f>Table3[[#This Row],[Company Name]] &amp; " - " &amp; Table3[[#This Row],[Store Name]] &amp; " - " &amp; Table3[[#This Row],[Store Branch / Address]]</f>
        <v>SIMPLY GOURMET FOOD CORP NO COR YET - CHA TRA MUE - ROB. ANTIPOLO</v>
      </c>
      <c r="B1242" t="str">
        <f>Table3[[#This Row],[Client ID]] &amp; " - " &amp; Table3[[#This Row],[SO Number]]</f>
        <v>SIMPLY GOURMET FOOD CORP NO COR YET - CHA TRA MUE - ROB. ANTIPOLO - SO-121</v>
      </c>
      <c r="C1242" t="s">
        <v>643</v>
      </c>
      <c r="D1242" t="s">
        <v>220</v>
      </c>
      <c r="E1242" t="s">
        <v>221</v>
      </c>
      <c r="F1242" t="s">
        <v>644</v>
      </c>
      <c r="G1242" t="s">
        <v>16</v>
      </c>
      <c r="H1242" t="s">
        <v>641</v>
      </c>
      <c r="I1242" t="s">
        <v>116</v>
      </c>
      <c r="J1242">
        <v>1</v>
      </c>
      <c r="K1242">
        <v>2185</v>
      </c>
      <c r="L1242">
        <v>3500</v>
      </c>
      <c r="M1242">
        <v>3500</v>
      </c>
      <c r="N1242" t="s">
        <v>39</v>
      </c>
    </row>
    <row r="1243" spans="1:14" x14ac:dyDescent="0.25">
      <c r="A1243" t="str">
        <f>Table3[[#This Row],[Company Name]] &amp; " - " &amp; Table3[[#This Row],[Store Name]] &amp; " - " &amp; Table3[[#This Row],[Store Branch / Address]]</f>
        <v>SIMPLY GOURMET FOOD CORP NO COR YET - CHA TRA MUE - ROB. ANTIPOLO</v>
      </c>
      <c r="B1243" t="str">
        <f>Table3[[#This Row],[Client ID]] &amp; " - " &amp; Table3[[#This Row],[SO Number]]</f>
        <v>SIMPLY GOURMET FOOD CORP NO COR YET - CHA TRA MUE - ROB. ANTIPOLO - SO-121</v>
      </c>
      <c r="C1243" t="s">
        <v>643</v>
      </c>
      <c r="D1243" t="s">
        <v>220</v>
      </c>
      <c r="E1243" t="s">
        <v>221</v>
      </c>
      <c r="F1243" t="s">
        <v>644</v>
      </c>
      <c r="G1243" t="s">
        <v>16</v>
      </c>
      <c r="H1243" t="s">
        <v>641</v>
      </c>
      <c r="I1243" t="s">
        <v>209</v>
      </c>
      <c r="J1243">
        <v>1</v>
      </c>
      <c r="K1243">
        <v>23450</v>
      </c>
      <c r="L1243">
        <v>30300</v>
      </c>
      <c r="M1243">
        <v>30300</v>
      </c>
      <c r="N1243" t="s">
        <v>39</v>
      </c>
    </row>
    <row r="1244" spans="1:14" x14ac:dyDescent="0.25">
      <c r="A1244" t="str">
        <f>Table3[[#This Row],[Company Name]] &amp; " - " &amp; Table3[[#This Row],[Store Name]] &amp; " - " &amp; Table3[[#This Row],[Store Branch / Address]]</f>
        <v>SIMPLY GOURMET FOOD CORP NO COR YET - CHA TRA MUE - ROB. ANTIPOLO</v>
      </c>
      <c r="B1244" t="str">
        <f>Table3[[#This Row],[Client ID]] &amp; " - " &amp; Table3[[#This Row],[SO Number]]</f>
        <v>SIMPLY GOURMET FOOD CORP NO COR YET - CHA TRA MUE - ROB. ANTIPOLO - SO-121</v>
      </c>
      <c r="C1244" t="s">
        <v>643</v>
      </c>
      <c r="D1244" t="s">
        <v>220</v>
      </c>
      <c r="E1244" t="s">
        <v>221</v>
      </c>
      <c r="F1244" t="s">
        <v>644</v>
      </c>
      <c r="G1244" t="s">
        <v>16</v>
      </c>
      <c r="H1244" t="s">
        <v>641</v>
      </c>
      <c r="I1244" t="s">
        <v>151</v>
      </c>
      <c r="J1244">
        <v>1</v>
      </c>
      <c r="K1244">
        <v>2800</v>
      </c>
      <c r="L1244">
        <v>4000</v>
      </c>
      <c r="M1244">
        <v>4000</v>
      </c>
      <c r="N1244" t="s">
        <v>39</v>
      </c>
    </row>
    <row r="1245" spans="1:14" x14ac:dyDescent="0.25">
      <c r="A1245" t="str">
        <f>Table3[[#This Row],[Company Name]] &amp; " - " &amp; Table3[[#This Row],[Store Name]] &amp; " - " &amp; Table3[[#This Row],[Store Branch / Address]]</f>
        <v>SIMPLY GOURMET FOOD CORP NO COR YET - CHA TRA MUE - ROB. ANTIPOLO</v>
      </c>
      <c r="B1245" t="str">
        <f>Table3[[#This Row],[Client ID]] &amp; " - " &amp; Table3[[#This Row],[SO Number]]</f>
        <v>SIMPLY GOURMET FOOD CORP NO COR YET - CHA TRA MUE - ROB. ANTIPOLO - SO-121</v>
      </c>
      <c r="C1245" t="s">
        <v>643</v>
      </c>
      <c r="D1245" t="s">
        <v>220</v>
      </c>
      <c r="E1245" t="s">
        <v>221</v>
      </c>
      <c r="F1245" t="s">
        <v>644</v>
      </c>
      <c r="G1245" t="s">
        <v>16</v>
      </c>
      <c r="H1245" t="s">
        <v>641</v>
      </c>
      <c r="I1245" t="s">
        <v>210</v>
      </c>
      <c r="J1245">
        <v>1</v>
      </c>
      <c r="K1245">
        <v>530</v>
      </c>
      <c r="L1245">
        <v>700</v>
      </c>
      <c r="M1245">
        <v>700</v>
      </c>
      <c r="N1245" t="s">
        <v>39</v>
      </c>
    </row>
    <row r="1246" spans="1:14" x14ac:dyDescent="0.25">
      <c r="A1246" t="str">
        <f>Table3[[#This Row],[Company Name]] &amp; " - " &amp; Table3[[#This Row],[Store Name]] &amp; " - " &amp; Table3[[#This Row],[Store Branch / Address]]</f>
        <v>SIMPLY GOURMET FOOD CORP NO COR YET - CHA TRA MUE - ROB. ANTIPOLO</v>
      </c>
      <c r="B1246" t="str">
        <f>Table3[[#This Row],[Client ID]] &amp; " - " &amp; Table3[[#This Row],[SO Number]]</f>
        <v>SIMPLY GOURMET FOOD CORP NO COR YET - CHA TRA MUE - ROB. ANTIPOLO - SO-121</v>
      </c>
      <c r="C1246" t="s">
        <v>643</v>
      </c>
      <c r="D1246" t="s">
        <v>220</v>
      </c>
      <c r="E1246" t="s">
        <v>221</v>
      </c>
      <c r="F1246" t="s">
        <v>644</v>
      </c>
      <c r="G1246" t="s">
        <v>16</v>
      </c>
      <c r="H1246" t="s">
        <v>641</v>
      </c>
      <c r="I1246" t="s">
        <v>211</v>
      </c>
      <c r="J1246">
        <v>1</v>
      </c>
      <c r="K1246">
        <v>350</v>
      </c>
      <c r="L1246">
        <v>500</v>
      </c>
      <c r="M1246">
        <v>500</v>
      </c>
      <c r="N1246" t="s">
        <v>39</v>
      </c>
    </row>
    <row r="1247" spans="1:14" x14ac:dyDescent="0.25">
      <c r="A1247" t="str">
        <f>Table3[[#This Row],[Company Name]] &amp; " - " &amp; Table3[[#This Row],[Store Name]] &amp; " - " &amp; Table3[[#This Row],[Store Branch / Address]]</f>
        <v>SIMPLY GOURMET FOOD CORP NO COR YET - CHA TRA MUE - ROB. ANTIPOLO</v>
      </c>
      <c r="B1247" t="str">
        <f>Table3[[#This Row],[Client ID]] &amp; " - " &amp; Table3[[#This Row],[SO Number]]</f>
        <v>SIMPLY GOURMET FOOD CORP NO COR YET - CHA TRA MUE - ROB. ANTIPOLO - SO-121</v>
      </c>
      <c r="C1247" t="s">
        <v>643</v>
      </c>
      <c r="D1247" t="s">
        <v>220</v>
      </c>
      <c r="E1247" t="s">
        <v>221</v>
      </c>
      <c r="F1247" t="s">
        <v>644</v>
      </c>
      <c r="G1247" t="s">
        <v>16</v>
      </c>
      <c r="H1247" t="s">
        <v>641</v>
      </c>
      <c r="I1247" t="s">
        <v>98</v>
      </c>
      <c r="J1247">
        <v>1</v>
      </c>
      <c r="K1247">
        <v>970</v>
      </c>
      <c r="L1247">
        <v>1500</v>
      </c>
      <c r="M1247">
        <v>1500</v>
      </c>
      <c r="N1247" t="s">
        <v>39</v>
      </c>
    </row>
    <row r="1248" spans="1:14" x14ac:dyDescent="0.25">
      <c r="A1248" t="str">
        <f>Table3[[#This Row],[Company Name]] &amp; " - " &amp; Table3[[#This Row],[Store Name]] &amp; " - " &amp; Table3[[#This Row],[Store Branch / Address]]</f>
        <v>SIMPLY GOURMET FOOD CORP NO COR YET - CHA TRA MUE - ROB. ANTIPOLO</v>
      </c>
      <c r="B1248" t="str">
        <f>Table3[[#This Row],[Client ID]] &amp; " - " &amp; Table3[[#This Row],[SO Number]]</f>
        <v>SIMPLY GOURMET FOOD CORP NO COR YET - CHA TRA MUE - ROB. ANTIPOLO - SO-121</v>
      </c>
      <c r="C1248" t="s">
        <v>643</v>
      </c>
      <c r="D1248" t="s">
        <v>220</v>
      </c>
      <c r="E1248" t="s">
        <v>221</v>
      </c>
      <c r="F1248" t="s">
        <v>644</v>
      </c>
      <c r="G1248" t="s">
        <v>16</v>
      </c>
      <c r="H1248" t="s">
        <v>641</v>
      </c>
      <c r="I1248" t="s">
        <v>63</v>
      </c>
      <c r="J1248">
        <v>1</v>
      </c>
      <c r="K1248">
        <v>600</v>
      </c>
      <c r="L1248">
        <v>600</v>
      </c>
      <c r="M1248">
        <v>600</v>
      </c>
      <c r="N1248" t="s">
        <v>39</v>
      </c>
    </row>
    <row r="1249" spans="1:14" x14ac:dyDescent="0.25">
      <c r="A1249" t="str">
        <f>Table3[[#This Row],[Company Name]] &amp; " - " &amp; Table3[[#This Row],[Store Name]] &amp; " - " &amp; Table3[[#This Row],[Store Branch / Address]]</f>
        <v>CHICKEN DELI - GONGCHA - GENERIC</v>
      </c>
      <c r="B1249" t="str">
        <f>Table3[[#This Row],[Client ID]] &amp; " - " &amp; Table3[[#This Row],[SO Number]]</f>
        <v>CHICKEN DELI - GONGCHA - GENERIC - SO-154</v>
      </c>
      <c r="C1249" t="s">
        <v>777</v>
      </c>
      <c r="D1249" t="s">
        <v>20</v>
      </c>
      <c r="E1249" t="s">
        <v>31</v>
      </c>
      <c r="F1249" t="s">
        <v>15</v>
      </c>
      <c r="G1249" t="s">
        <v>22</v>
      </c>
      <c r="H1249" t="s">
        <v>779</v>
      </c>
      <c r="I1249" t="s">
        <v>145</v>
      </c>
      <c r="J1249">
        <v>1</v>
      </c>
      <c r="K1249">
        <v>3675</v>
      </c>
      <c r="L1249">
        <v>10500</v>
      </c>
      <c r="M1249">
        <v>10500</v>
      </c>
      <c r="N1249" t="s">
        <v>19</v>
      </c>
    </row>
    <row r="1250" spans="1:14" x14ac:dyDescent="0.25">
      <c r="A1250" t="str">
        <f>Table3[[#This Row],[Company Name]] &amp; " - " &amp; Table3[[#This Row],[Store Name]] &amp; " - " &amp; Table3[[#This Row],[Store Branch / Address]]</f>
        <v>CHICKEN DELI - GONGCHA - GENERIC</v>
      </c>
      <c r="B1250" t="str">
        <f>Table3[[#This Row],[Client ID]] &amp; " - " &amp; Table3[[#This Row],[SO Number]]</f>
        <v>CHICKEN DELI - GONGCHA - GENERIC - SO-154</v>
      </c>
      <c r="C1250" t="s">
        <v>777</v>
      </c>
      <c r="D1250" t="s">
        <v>20</v>
      </c>
      <c r="E1250" t="s">
        <v>31</v>
      </c>
      <c r="F1250" t="s">
        <v>15</v>
      </c>
      <c r="G1250" t="s">
        <v>22</v>
      </c>
      <c r="H1250" t="s">
        <v>779</v>
      </c>
      <c r="I1250" t="s">
        <v>299</v>
      </c>
      <c r="J1250">
        <v>1</v>
      </c>
      <c r="K1250">
        <v>9500</v>
      </c>
      <c r="L1250">
        <v>9500</v>
      </c>
      <c r="M1250">
        <v>9500</v>
      </c>
      <c r="N1250" t="s">
        <v>19</v>
      </c>
    </row>
    <row r="1251" spans="1:14" x14ac:dyDescent="0.25">
      <c r="A1251" t="str">
        <f>Table3[[#This Row],[Company Name]] &amp; " - " &amp; Table3[[#This Row],[Store Name]] &amp; " - " &amp; Table3[[#This Row],[Store Branch / Address]]</f>
        <v>CHICKEN DELI - GONGCHA - GENERIC</v>
      </c>
      <c r="B1251" t="str">
        <f>Table3[[#This Row],[Client ID]] &amp; " - " &amp; Table3[[#This Row],[SO Number]]</f>
        <v>CHICKEN DELI - GONGCHA - GENERIC - SO-154</v>
      </c>
      <c r="C1251" t="s">
        <v>777</v>
      </c>
      <c r="D1251" t="s">
        <v>20</v>
      </c>
      <c r="E1251" t="s">
        <v>31</v>
      </c>
      <c r="F1251" t="s">
        <v>15</v>
      </c>
      <c r="G1251" t="s">
        <v>22</v>
      </c>
      <c r="H1251" t="s">
        <v>779</v>
      </c>
      <c r="I1251" t="s">
        <v>25</v>
      </c>
      <c r="J1251">
        <v>1</v>
      </c>
      <c r="K1251">
        <v>9500</v>
      </c>
      <c r="L1251">
        <v>9500</v>
      </c>
      <c r="M1251">
        <v>9500</v>
      </c>
      <c r="N1251" t="s">
        <v>19</v>
      </c>
    </row>
    <row r="1252" spans="1:14" x14ac:dyDescent="0.25">
      <c r="A1252" t="str">
        <f>Table3[[#This Row],[Company Name]] &amp; " - " &amp; Table3[[#This Row],[Store Name]] &amp; " - " &amp; Table3[[#This Row],[Store Branch / Address]]</f>
        <v>CHICKEN DELI - GONGCHA - GENERIC</v>
      </c>
      <c r="B1252" t="str">
        <f>Table3[[#This Row],[Client ID]] &amp; " - " &amp; Table3[[#This Row],[SO Number]]</f>
        <v>CHICKEN DELI - GONGCHA - GENERIC - SO-154</v>
      </c>
      <c r="C1252" t="s">
        <v>777</v>
      </c>
      <c r="D1252" t="s">
        <v>20</v>
      </c>
      <c r="E1252" t="s">
        <v>31</v>
      </c>
      <c r="F1252" t="s">
        <v>15</v>
      </c>
      <c r="G1252" t="s">
        <v>22</v>
      </c>
      <c r="H1252" t="s">
        <v>779</v>
      </c>
      <c r="I1252" t="s">
        <v>134</v>
      </c>
      <c r="J1252">
        <v>1</v>
      </c>
      <c r="K1252">
        <v>500</v>
      </c>
      <c r="L1252">
        <v>500</v>
      </c>
      <c r="M1252">
        <v>500</v>
      </c>
      <c r="N1252" t="s">
        <v>19</v>
      </c>
    </row>
    <row r="1253" spans="1:14" x14ac:dyDescent="0.25">
      <c r="A1253" t="str">
        <f>Table3[[#This Row],[Company Name]] &amp; " - " &amp; Table3[[#This Row],[Store Name]] &amp; " - " &amp; Table3[[#This Row],[Store Branch / Address]]</f>
        <v>CHICKEN DELI - GONGCHA - GENERIC</v>
      </c>
      <c r="B1253" t="str">
        <f>Table3[[#This Row],[Client ID]] &amp; " - " &amp; Table3[[#This Row],[SO Number]]</f>
        <v>CHICKEN DELI - GONGCHA - GENERIC - SO-N/A</v>
      </c>
      <c r="C1253" t="s">
        <v>780</v>
      </c>
      <c r="D1253" t="s">
        <v>20</v>
      </c>
      <c r="E1253" t="s">
        <v>31</v>
      </c>
      <c r="F1253" t="s">
        <v>15</v>
      </c>
      <c r="G1253" t="s">
        <v>22</v>
      </c>
      <c r="H1253" t="s">
        <v>779</v>
      </c>
      <c r="I1253" t="s">
        <v>145</v>
      </c>
      <c r="J1253">
        <v>1</v>
      </c>
      <c r="K1253">
        <v>3675</v>
      </c>
      <c r="L1253">
        <v>10500</v>
      </c>
      <c r="M1253">
        <v>10500</v>
      </c>
      <c r="N1253" t="s">
        <v>19</v>
      </c>
    </row>
    <row r="1254" spans="1:14" x14ac:dyDescent="0.25">
      <c r="A1254" t="str">
        <f>Table3[[#This Row],[Company Name]] &amp; " - " &amp; Table3[[#This Row],[Store Name]] &amp; " - " &amp; Table3[[#This Row],[Store Branch / Address]]</f>
        <v>CHICKEN DELI - GONGCHA - GENERIC</v>
      </c>
      <c r="B1254" t="str">
        <f>Table3[[#This Row],[Client ID]] &amp; " - " &amp; Table3[[#This Row],[SO Number]]</f>
        <v>CHICKEN DELI - GONGCHA - GENERIC - SO-N/A</v>
      </c>
      <c r="C1254" t="s">
        <v>780</v>
      </c>
      <c r="D1254" t="s">
        <v>20</v>
      </c>
      <c r="E1254" t="s">
        <v>31</v>
      </c>
      <c r="F1254" t="s">
        <v>15</v>
      </c>
      <c r="G1254" t="s">
        <v>22</v>
      </c>
      <c r="H1254" t="s">
        <v>779</v>
      </c>
      <c r="I1254" t="s">
        <v>299</v>
      </c>
      <c r="J1254">
        <v>1</v>
      </c>
      <c r="K1254">
        <v>9500</v>
      </c>
      <c r="L1254">
        <v>9500</v>
      </c>
      <c r="M1254">
        <v>9500</v>
      </c>
      <c r="N1254" t="s">
        <v>19</v>
      </c>
    </row>
    <row r="1255" spans="1:14" x14ac:dyDescent="0.25">
      <c r="A1255" t="str">
        <f>Table3[[#This Row],[Company Name]] &amp; " - " &amp; Table3[[#This Row],[Store Name]] &amp; " - " &amp; Table3[[#This Row],[Store Branch / Address]]</f>
        <v>CHICKEN DELI - GONGCHA - GENERIC</v>
      </c>
      <c r="B1255" t="str">
        <f>Table3[[#This Row],[Client ID]] &amp; " - " &amp; Table3[[#This Row],[SO Number]]</f>
        <v>CHICKEN DELI - GONGCHA - GENERIC - SO-N/A</v>
      </c>
      <c r="C1255" t="s">
        <v>780</v>
      </c>
      <c r="D1255" t="s">
        <v>20</v>
      </c>
      <c r="E1255" t="s">
        <v>31</v>
      </c>
      <c r="F1255" t="s">
        <v>15</v>
      </c>
      <c r="G1255" t="s">
        <v>22</v>
      </c>
      <c r="H1255" t="s">
        <v>779</v>
      </c>
      <c r="I1255" t="s">
        <v>25</v>
      </c>
      <c r="J1255">
        <v>1</v>
      </c>
      <c r="K1255">
        <v>9500</v>
      </c>
      <c r="L1255">
        <v>9500</v>
      </c>
      <c r="M1255">
        <v>9500</v>
      </c>
      <c r="N1255" t="s">
        <v>19</v>
      </c>
    </row>
    <row r="1256" spans="1:14" x14ac:dyDescent="0.25">
      <c r="A1256" t="str">
        <f>Table3[[#This Row],[Company Name]] &amp; " - " &amp; Table3[[#This Row],[Store Name]] &amp; " - " &amp; Table3[[#This Row],[Store Branch / Address]]</f>
        <v>CHICKEN DELI - GONGCHA - GENERIC</v>
      </c>
      <c r="B1256" t="str">
        <f>Table3[[#This Row],[Client ID]] &amp; " - " &amp; Table3[[#This Row],[SO Number]]</f>
        <v>CHICKEN DELI - GONGCHA - GENERIC - SO-N/A</v>
      </c>
      <c r="C1256" t="s">
        <v>780</v>
      </c>
      <c r="D1256" t="s">
        <v>20</v>
      </c>
      <c r="E1256" t="s">
        <v>31</v>
      </c>
      <c r="F1256" t="s">
        <v>15</v>
      </c>
      <c r="G1256" t="s">
        <v>22</v>
      </c>
      <c r="H1256" t="s">
        <v>779</v>
      </c>
      <c r="I1256" t="s">
        <v>134</v>
      </c>
      <c r="J1256">
        <v>1</v>
      </c>
      <c r="K1256">
        <v>500</v>
      </c>
      <c r="L1256">
        <v>500</v>
      </c>
      <c r="M1256">
        <v>500</v>
      </c>
      <c r="N1256" t="s">
        <v>19</v>
      </c>
    </row>
    <row r="1257" spans="1:14" x14ac:dyDescent="0.25">
      <c r="A1257" t="str">
        <f>Table3[[#This Row],[Company Name]] &amp; " - " &amp; Table3[[#This Row],[Store Name]] &amp; " - " &amp; Table3[[#This Row],[Store Branch / Address]]</f>
        <v>CHICKEN DELI - GONGCHA - GENERIC</v>
      </c>
      <c r="B1257" t="str">
        <f>Table3[[#This Row],[Client ID]] &amp; " - " &amp; Table3[[#This Row],[SO Number]]</f>
        <v>CHICKEN DELI - GONGCHA - GENERIC - SO-N/A</v>
      </c>
      <c r="C1257" t="s">
        <v>780</v>
      </c>
      <c r="D1257" t="s">
        <v>20</v>
      </c>
      <c r="E1257" t="s">
        <v>31</v>
      </c>
      <c r="F1257" t="s">
        <v>15</v>
      </c>
      <c r="G1257" t="s">
        <v>22</v>
      </c>
      <c r="H1257" t="s">
        <v>779</v>
      </c>
      <c r="I1257" t="s">
        <v>145</v>
      </c>
      <c r="J1257">
        <v>1</v>
      </c>
      <c r="K1257">
        <v>3675</v>
      </c>
      <c r="L1257">
        <v>10500</v>
      </c>
      <c r="M1257">
        <v>10500</v>
      </c>
      <c r="N1257" t="s">
        <v>19</v>
      </c>
    </row>
    <row r="1258" spans="1:14" x14ac:dyDescent="0.25">
      <c r="A1258" t="str">
        <f>Table3[[#This Row],[Company Name]] &amp; " - " &amp; Table3[[#This Row],[Store Name]] &amp; " - " &amp; Table3[[#This Row],[Store Branch / Address]]</f>
        <v>CHICKEN DELI - GONGCHA - GENERIC</v>
      </c>
      <c r="B1258" t="str">
        <f>Table3[[#This Row],[Client ID]] &amp; " - " &amp; Table3[[#This Row],[SO Number]]</f>
        <v>CHICKEN DELI - GONGCHA - GENERIC - SO-N/A</v>
      </c>
      <c r="C1258" t="s">
        <v>780</v>
      </c>
      <c r="D1258" t="s">
        <v>20</v>
      </c>
      <c r="E1258" t="s">
        <v>31</v>
      </c>
      <c r="F1258" t="s">
        <v>15</v>
      </c>
      <c r="G1258" t="s">
        <v>22</v>
      </c>
      <c r="H1258" t="s">
        <v>779</v>
      </c>
      <c r="I1258" t="s">
        <v>299</v>
      </c>
      <c r="J1258">
        <v>1</v>
      </c>
      <c r="K1258">
        <v>9500</v>
      </c>
      <c r="L1258">
        <v>9500</v>
      </c>
      <c r="M1258">
        <v>9500</v>
      </c>
      <c r="N1258" t="s">
        <v>19</v>
      </c>
    </row>
    <row r="1259" spans="1:14" x14ac:dyDescent="0.25">
      <c r="A1259" t="str">
        <f>Table3[[#This Row],[Company Name]] &amp; " - " &amp; Table3[[#This Row],[Store Name]] &amp; " - " &amp; Table3[[#This Row],[Store Branch / Address]]</f>
        <v>CHICKEN DELI - GONGCHA - GENERIC</v>
      </c>
      <c r="B1259" t="str">
        <f>Table3[[#This Row],[Client ID]] &amp; " - " &amp; Table3[[#This Row],[SO Number]]</f>
        <v>CHICKEN DELI - GONGCHA - GENERIC - SO-N/A</v>
      </c>
      <c r="C1259" t="s">
        <v>780</v>
      </c>
      <c r="D1259" t="s">
        <v>20</v>
      </c>
      <c r="E1259" t="s">
        <v>31</v>
      </c>
      <c r="F1259" t="s">
        <v>15</v>
      </c>
      <c r="G1259" t="s">
        <v>22</v>
      </c>
      <c r="H1259" t="s">
        <v>779</v>
      </c>
      <c r="I1259" t="s">
        <v>25</v>
      </c>
      <c r="J1259">
        <v>1</v>
      </c>
      <c r="K1259">
        <v>9500</v>
      </c>
      <c r="L1259">
        <v>9500</v>
      </c>
      <c r="M1259">
        <v>9500</v>
      </c>
      <c r="N1259" t="s">
        <v>19</v>
      </c>
    </row>
    <row r="1260" spans="1:14" x14ac:dyDescent="0.25">
      <c r="A1260" t="str">
        <f>Table3[[#This Row],[Company Name]] &amp; " - " &amp; Table3[[#This Row],[Store Name]] &amp; " - " &amp; Table3[[#This Row],[Store Branch / Address]]</f>
        <v>CHICKEN DELI - GONGCHA - GENERIC</v>
      </c>
      <c r="B1260" t="str">
        <f>Table3[[#This Row],[Client ID]] &amp; " - " &amp; Table3[[#This Row],[SO Number]]</f>
        <v>CHICKEN DELI - GONGCHA - GENERIC - SO-N/A</v>
      </c>
      <c r="C1260" t="s">
        <v>780</v>
      </c>
      <c r="D1260" t="s">
        <v>20</v>
      </c>
      <c r="E1260" t="s">
        <v>31</v>
      </c>
      <c r="F1260" t="s">
        <v>15</v>
      </c>
      <c r="G1260" t="s">
        <v>22</v>
      </c>
      <c r="H1260" t="s">
        <v>779</v>
      </c>
      <c r="I1260" t="s">
        <v>134</v>
      </c>
      <c r="J1260">
        <v>1</v>
      </c>
      <c r="K1260">
        <v>500</v>
      </c>
      <c r="L1260">
        <v>500</v>
      </c>
      <c r="M1260">
        <v>500</v>
      </c>
      <c r="N1260" t="s">
        <v>19</v>
      </c>
    </row>
    <row r="1261" spans="1:14" x14ac:dyDescent="0.25">
      <c r="A1261" t="str">
        <f>Table3[[#This Row],[Company Name]] &amp; " - " &amp; Table3[[#This Row],[Store Name]] &amp; " - " &amp; Table3[[#This Row],[Store Branch / Address]]</f>
        <v>AURORA CHARLIE FOOD VENTURES INC - MAMOU - GATEWAY</v>
      </c>
      <c r="B1261" t="str">
        <f>Table3[[#This Row],[Client ID]] &amp; " - " &amp; Table3[[#This Row],[SO Number]]</f>
        <v>AURORA CHARLIE FOOD VENTURES INC - MAMOU - GATEWAY - SO-122</v>
      </c>
      <c r="C1261" t="s">
        <v>645</v>
      </c>
      <c r="D1261" t="s">
        <v>646</v>
      </c>
      <c r="E1261" t="s">
        <v>58</v>
      </c>
      <c r="F1261" t="s">
        <v>647</v>
      </c>
      <c r="G1261" t="s">
        <v>37</v>
      </c>
      <c r="H1261" t="s">
        <v>648</v>
      </c>
      <c r="I1261" t="s">
        <v>279</v>
      </c>
      <c r="J1261">
        <v>1</v>
      </c>
      <c r="K1261">
        <v>7500</v>
      </c>
      <c r="L1261">
        <v>12000</v>
      </c>
      <c r="M1261">
        <v>12000</v>
      </c>
      <c r="N1261" t="s">
        <v>39</v>
      </c>
    </row>
    <row r="1262" spans="1:14" x14ac:dyDescent="0.25">
      <c r="A1262" t="str">
        <f>Table3[[#This Row],[Company Name]] &amp; " - " &amp; Table3[[#This Row],[Store Name]] &amp; " - " &amp; Table3[[#This Row],[Store Branch / Address]]</f>
        <v>VERONES CAROLYN GONZALEZ - VA BENE PASTA DELI - BGC</v>
      </c>
      <c r="B1262" t="str">
        <f>Table3[[#This Row],[Client ID]] &amp; " - " &amp; Table3[[#This Row],[SO Number]]</f>
        <v>VERONES CAROLYN GONZALEZ - VA BENE PASTA DELI - BGC - SO-123</v>
      </c>
      <c r="C1262" t="s">
        <v>649</v>
      </c>
      <c r="D1262" t="s">
        <v>650</v>
      </c>
      <c r="E1262" t="s">
        <v>411</v>
      </c>
      <c r="F1262" t="s">
        <v>651</v>
      </c>
      <c r="G1262" t="s">
        <v>16</v>
      </c>
      <c r="H1262" t="s">
        <v>648</v>
      </c>
      <c r="I1262" t="s">
        <v>249</v>
      </c>
      <c r="J1262">
        <v>1</v>
      </c>
      <c r="K1262">
        <v>23450</v>
      </c>
      <c r="L1262">
        <v>30600</v>
      </c>
      <c r="M1262">
        <v>30600</v>
      </c>
      <c r="N1262" t="s">
        <v>39</v>
      </c>
    </row>
    <row r="1263" spans="1:14" x14ac:dyDescent="0.25">
      <c r="A1263" t="str">
        <f>Table3[[#This Row],[Company Name]] &amp; " - " &amp; Table3[[#This Row],[Store Name]] &amp; " - " &amp; Table3[[#This Row],[Store Branch / Address]]</f>
        <v>VERONES CAROLYN GONZALEZ - VA BENE PASTA DELI - BGC</v>
      </c>
      <c r="B1263" t="str">
        <f>Table3[[#This Row],[Client ID]] &amp; " - " &amp; Table3[[#This Row],[SO Number]]</f>
        <v>VERONES CAROLYN GONZALEZ - VA BENE PASTA DELI - BGC - SO-123</v>
      </c>
      <c r="C1263" t="s">
        <v>649</v>
      </c>
      <c r="D1263" t="s">
        <v>650</v>
      </c>
      <c r="E1263" t="s">
        <v>411</v>
      </c>
      <c r="F1263" t="s">
        <v>651</v>
      </c>
      <c r="G1263" t="s">
        <v>16</v>
      </c>
      <c r="H1263" t="s">
        <v>648</v>
      </c>
      <c r="I1263" t="s">
        <v>210</v>
      </c>
      <c r="J1263">
        <v>1</v>
      </c>
      <c r="K1263">
        <v>0</v>
      </c>
      <c r="L1263">
        <v>0</v>
      </c>
      <c r="M1263">
        <v>0</v>
      </c>
      <c r="N1263" t="s">
        <v>39</v>
      </c>
    </row>
    <row r="1264" spans="1:14" x14ac:dyDescent="0.25">
      <c r="A1264" t="str">
        <f>Table3[[#This Row],[Company Name]] &amp; " - " &amp; Table3[[#This Row],[Store Name]] &amp; " - " &amp; Table3[[#This Row],[Store Branch / Address]]</f>
        <v>VERONES CAROLYN GONZALEZ - VA BENE PASTA DELI - BGC</v>
      </c>
      <c r="B1264" t="str">
        <f>Table3[[#This Row],[Client ID]] &amp; " - " &amp; Table3[[#This Row],[SO Number]]</f>
        <v>VERONES CAROLYN GONZALEZ - VA BENE PASTA DELI - BGC - SO-123</v>
      </c>
      <c r="C1264" t="s">
        <v>649</v>
      </c>
      <c r="D1264" t="s">
        <v>650</v>
      </c>
      <c r="E1264" t="s">
        <v>411</v>
      </c>
      <c r="F1264" t="s">
        <v>651</v>
      </c>
      <c r="G1264" t="s">
        <v>16</v>
      </c>
      <c r="H1264" t="s">
        <v>648</v>
      </c>
      <c r="I1264" t="s">
        <v>151</v>
      </c>
      <c r="J1264">
        <v>1</v>
      </c>
      <c r="K1264">
        <v>2800</v>
      </c>
      <c r="L1264">
        <v>4000</v>
      </c>
      <c r="M1264">
        <v>4000</v>
      </c>
      <c r="N1264" t="s">
        <v>39</v>
      </c>
    </row>
    <row r="1265" spans="1:14" x14ac:dyDescent="0.25">
      <c r="A1265" t="str">
        <f>Table3[[#This Row],[Company Name]] &amp; " - " &amp; Table3[[#This Row],[Store Name]] &amp; " - " &amp; Table3[[#This Row],[Store Branch / Address]]</f>
        <v>VERONES CAROLYN GONZALEZ - VA BENE PASTA DELI - BGC</v>
      </c>
      <c r="B1265" t="str">
        <f>Table3[[#This Row],[Client ID]] &amp; " - " &amp; Table3[[#This Row],[SO Number]]</f>
        <v>VERONES CAROLYN GONZALEZ - VA BENE PASTA DELI - BGC - SO-123</v>
      </c>
      <c r="C1265" t="s">
        <v>649</v>
      </c>
      <c r="D1265" t="s">
        <v>650</v>
      </c>
      <c r="E1265" t="s">
        <v>411</v>
      </c>
      <c r="F1265" t="s">
        <v>651</v>
      </c>
      <c r="G1265" t="s">
        <v>16</v>
      </c>
      <c r="H1265" t="s">
        <v>648</v>
      </c>
      <c r="I1265" t="s">
        <v>63</v>
      </c>
      <c r="J1265">
        <v>1</v>
      </c>
      <c r="K1265">
        <v>400</v>
      </c>
      <c r="L1265">
        <v>400</v>
      </c>
      <c r="M1265">
        <v>400</v>
      </c>
      <c r="N1265" t="s">
        <v>39</v>
      </c>
    </row>
    <row r="1266" spans="1:14" x14ac:dyDescent="0.25">
      <c r="A1266" t="str">
        <f>Table3[[#This Row],[Company Name]] &amp; " - " &amp; Table3[[#This Row],[Store Name]] &amp; " - " &amp; Table3[[#This Row],[Store Branch / Address]]</f>
        <v>VERONES CAROLYN GONZALEZ - VA BENE PASTA DELI - BGC</v>
      </c>
      <c r="B1266" t="str">
        <f>Table3[[#This Row],[Client ID]] &amp; " - " &amp; Table3[[#This Row],[SO Number]]</f>
        <v>VERONES CAROLYN GONZALEZ - VA BENE PASTA DELI - BGC - SO-124</v>
      </c>
      <c r="C1266" t="s">
        <v>652</v>
      </c>
      <c r="D1266" t="s">
        <v>650</v>
      </c>
      <c r="E1266" t="s">
        <v>411</v>
      </c>
      <c r="F1266" t="s">
        <v>651</v>
      </c>
      <c r="G1266" t="s">
        <v>16</v>
      </c>
      <c r="H1266" t="s">
        <v>648</v>
      </c>
      <c r="I1266" t="s">
        <v>653</v>
      </c>
      <c r="J1266">
        <v>1</v>
      </c>
      <c r="K1266">
        <v>15000</v>
      </c>
      <c r="L1266">
        <v>15000</v>
      </c>
      <c r="M1266">
        <v>15000</v>
      </c>
      <c r="N1266" t="s">
        <v>39</v>
      </c>
    </row>
    <row r="1267" spans="1:14" x14ac:dyDescent="0.25">
      <c r="A1267" t="str">
        <f>Table3[[#This Row],[Company Name]] &amp; " - " &amp; Table3[[#This Row],[Store Name]] &amp; " - " &amp; Table3[[#This Row],[Store Branch / Address]]</f>
        <v>HUZZAH - HUZZAH - GENERIC</v>
      </c>
      <c r="B1267" t="str">
        <f>Table3[[#This Row],[Client ID]] &amp; " - " &amp; Table3[[#This Row],[SO Number]]</f>
        <v>HUZZAH - HUZZAH - GENERIC - SO-125</v>
      </c>
      <c r="C1267" t="s">
        <v>654</v>
      </c>
      <c r="D1267" t="s">
        <v>87</v>
      </c>
      <c r="E1267" t="s">
        <v>87</v>
      </c>
      <c r="F1267" t="s">
        <v>15</v>
      </c>
      <c r="G1267" t="s">
        <v>37</v>
      </c>
      <c r="H1267" t="s">
        <v>648</v>
      </c>
      <c r="I1267" t="s">
        <v>89</v>
      </c>
      <c r="J1267">
        <v>50</v>
      </c>
      <c r="K1267">
        <v>32</v>
      </c>
      <c r="L1267">
        <v>50</v>
      </c>
      <c r="M1267">
        <v>2500</v>
      </c>
      <c r="N1267" t="s">
        <v>39</v>
      </c>
    </row>
    <row r="1268" spans="1:14" x14ac:dyDescent="0.25">
      <c r="A1268" t="str">
        <f>Table3[[#This Row],[Company Name]] &amp; " - " &amp; Table3[[#This Row],[Store Name]] &amp; " - " &amp; Table3[[#This Row],[Store Branch / Address]]</f>
        <v>SHIN CLARA FOOD CORPORATION - SHIN CLARA FOOD CORP. - GENERIC</v>
      </c>
      <c r="B1268" t="str">
        <f>Table3[[#This Row],[Client ID]] &amp; " - " &amp; Table3[[#This Row],[SO Number]]</f>
        <v>SHIN CLARA FOOD CORPORATION - SHIN CLARA FOOD CORP. - GENERIC - SO-126</v>
      </c>
      <c r="C1268" t="s">
        <v>656</v>
      </c>
      <c r="D1268" t="s">
        <v>658</v>
      </c>
      <c r="E1268" t="s">
        <v>659</v>
      </c>
      <c r="F1268" t="s">
        <v>15</v>
      </c>
      <c r="G1268" t="s">
        <v>22</v>
      </c>
      <c r="H1268" t="s">
        <v>660</v>
      </c>
      <c r="I1268" t="s">
        <v>422</v>
      </c>
      <c r="J1268">
        <v>1</v>
      </c>
      <c r="K1268">
        <v>3675</v>
      </c>
      <c r="L1268">
        <v>10500</v>
      </c>
      <c r="M1268">
        <v>10500</v>
      </c>
      <c r="N1268" t="s">
        <v>19</v>
      </c>
    </row>
    <row r="1269" spans="1:14" x14ac:dyDescent="0.25">
      <c r="A1269" t="str">
        <f>Table3[[#This Row],[Company Name]] &amp; " - " &amp; Table3[[#This Row],[Store Name]] &amp; " - " &amp; Table3[[#This Row],[Store Branch / Address]]</f>
        <v>SHIN CLARA FOOD CORPORATION - SHIN CLARA FOOD CORP. - GENERIC</v>
      </c>
      <c r="B1269" t="str">
        <f>Table3[[#This Row],[Client ID]] &amp; " - " &amp; Table3[[#This Row],[SO Number]]</f>
        <v>SHIN CLARA FOOD CORPORATION - SHIN CLARA FOOD CORP. - GENERIC - SO-126</v>
      </c>
      <c r="C1269" t="s">
        <v>656</v>
      </c>
      <c r="D1269" t="s">
        <v>658</v>
      </c>
      <c r="E1269" t="s">
        <v>659</v>
      </c>
      <c r="F1269" t="s">
        <v>15</v>
      </c>
      <c r="G1269" t="s">
        <v>22</v>
      </c>
      <c r="H1269" t="s">
        <v>660</v>
      </c>
      <c r="I1269" t="s">
        <v>48</v>
      </c>
      <c r="J1269">
        <v>1</v>
      </c>
      <c r="K1269">
        <v>3255</v>
      </c>
      <c r="L1269">
        <v>9300</v>
      </c>
      <c r="M1269">
        <v>9300</v>
      </c>
      <c r="N1269" t="s">
        <v>19</v>
      </c>
    </row>
    <row r="1270" spans="1:14" x14ac:dyDescent="0.25">
      <c r="A1270" t="str">
        <f>Table3[[#This Row],[Company Name]] &amp; " - " &amp; Table3[[#This Row],[Store Name]] &amp; " - " &amp; Table3[[#This Row],[Store Branch / Address]]</f>
        <v>SHIN CLARA FOOD CORPORATION - SHIN CLARA FOOD CORP. - GENERIC</v>
      </c>
      <c r="B1270" t="str">
        <f>Table3[[#This Row],[Client ID]] &amp; " - " &amp; Table3[[#This Row],[SO Number]]</f>
        <v>SHIN CLARA FOOD CORPORATION - SHIN CLARA FOOD CORP. - GENERIC - SO-126</v>
      </c>
      <c r="C1270" t="s">
        <v>656</v>
      </c>
      <c r="D1270" t="s">
        <v>658</v>
      </c>
      <c r="E1270" t="s">
        <v>659</v>
      </c>
      <c r="F1270" t="s">
        <v>15</v>
      </c>
      <c r="G1270" t="s">
        <v>22</v>
      </c>
      <c r="H1270" t="s">
        <v>660</v>
      </c>
      <c r="I1270" t="s">
        <v>24</v>
      </c>
      <c r="J1270">
        <v>1</v>
      </c>
      <c r="K1270">
        <v>3255</v>
      </c>
      <c r="L1270">
        <v>9300</v>
      </c>
      <c r="M1270">
        <v>9300</v>
      </c>
      <c r="N1270" t="s">
        <v>19</v>
      </c>
    </row>
    <row r="1271" spans="1:14" x14ac:dyDescent="0.25">
      <c r="A1271" t="str">
        <f>Table3[[#This Row],[Company Name]] &amp; " - " &amp; Table3[[#This Row],[Store Name]] &amp; " - " &amp; Table3[[#This Row],[Store Branch / Address]]</f>
        <v>SHIN CLARA FOOD CORPORATION - SHIN CLARA FOOD CORP. - GENERIC</v>
      </c>
      <c r="B1271" t="str">
        <f>Table3[[#This Row],[Client ID]] &amp; " - " &amp; Table3[[#This Row],[SO Number]]</f>
        <v>SHIN CLARA FOOD CORPORATION - SHIN CLARA FOOD CORP. - GENERIC - SO-126</v>
      </c>
      <c r="C1271" t="s">
        <v>656</v>
      </c>
      <c r="D1271" t="s">
        <v>658</v>
      </c>
      <c r="E1271" t="s">
        <v>659</v>
      </c>
      <c r="F1271" t="s">
        <v>15</v>
      </c>
      <c r="G1271" t="s">
        <v>22</v>
      </c>
      <c r="H1271" t="s">
        <v>660</v>
      </c>
      <c r="I1271" t="s">
        <v>26</v>
      </c>
      <c r="J1271">
        <v>1</v>
      </c>
      <c r="K1271">
        <v>500</v>
      </c>
      <c r="L1271">
        <v>500</v>
      </c>
      <c r="M1271">
        <v>500</v>
      </c>
      <c r="N1271" t="s">
        <v>19</v>
      </c>
    </row>
    <row r="1272" spans="1:14" x14ac:dyDescent="0.25">
      <c r="A1272" t="str">
        <f>Table3[[#This Row],[Company Name]] &amp; " - " &amp; Table3[[#This Row],[Store Name]] &amp; " - " &amp; Table3[[#This Row],[Store Branch / Address]]</f>
        <v>SHIN CLARA FOOD CORPORATION - SHIN CLARA FOOD CORP. - GENERIC</v>
      </c>
      <c r="B1272" t="str">
        <f>Table3[[#This Row],[Client ID]] &amp; " - " &amp; Table3[[#This Row],[SO Number]]</f>
        <v>SHIN CLARA FOOD CORPORATION - SHIN CLARA FOOD CORP. - GENERIC - SO-126</v>
      </c>
      <c r="C1272" t="s">
        <v>656</v>
      </c>
      <c r="D1272" t="s">
        <v>658</v>
      </c>
      <c r="E1272" t="s">
        <v>659</v>
      </c>
      <c r="F1272" t="s">
        <v>15</v>
      </c>
      <c r="G1272" t="s">
        <v>22</v>
      </c>
      <c r="H1272" t="s">
        <v>660</v>
      </c>
      <c r="I1272" t="s">
        <v>97</v>
      </c>
      <c r="J1272">
        <v>1</v>
      </c>
      <c r="K1272">
        <v>2200</v>
      </c>
      <c r="L1272">
        <v>3500</v>
      </c>
      <c r="M1272">
        <v>3500</v>
      </c>
      <c r="N1272" t="s">
        <v>19</v>
      </c>
    </row>
    <row r="1273" spans="1:14" x14ac:dyDescent="0.25">
      <c r="A1273" t="str">
        <f>Table3[[#This Row],[Company Name]] &amp; " - " &amp; Table3[[#This Row],[Store Name]] &amp; " - " &amp; Table3[[#This Row],[Store Branch / Address]]</f>
        <v>SHIN CLARA FOOD CORPORATION - SHIN CLARA FOOD CORP. - GENERIC</v>
      </c>
      <c r="B1273" t="str">
        <f>Table3[[#This Row],[Client ID]] &amp; " - " &amp; Table3[[#This Row],[SO Number]]</f>
        <v>SHIN CLARA FOOD CORPORATION - SHIN CLARA FOOD CORP. - GENERIC - SO-126</v>
      </c>
      <c r="C1273" t="s">
        <v>656</v>
      </c>
      <c r="D1273" t="s">
        <v>658</v>
      </c>
      <c r="E1273" t="s">
        <v>659</v>
      </c>
      <c r="F1273" t="s">
        <v>15</v>
      </c>
      <c r="G1273" t="s">
        <v>22</v>
      </c>
      <c r="H1273" t="s">
        <v>660</v>
      </c>
      <c r="I1273" t="s">
        <v>383</v>
      </c>
      <c r="J1273">
        <v>1</v>
      </c>
      <c r="K1273">
        <v>4250</v>
      </c>
      <c r="L1273">
        <v>6000</v>
      </c>
      <c r="M1273">
        <v>6000</v>
      </c>
      <c r="N1273" t="s">
        <v>19</v>
      </c>
    </row>
    <row r="1274" spans="1:14" x14ac:dyDescent="0.25">
      <c r="A1274" t="str">
        <f>Table3[[#This Row],[Company Name]] &amp; " - " &amp; Table3[[#This Row],[Store Name]] &amp; " - " &amp; Table3[[#This Row],[Store Branch / Address]]</f>
        <v>SHIN CLARA FOOD CORPORATION - SHIN CLARA FOOD CORP. - GENERIC</v>
      </c>
      <c r="B1274" t="str">
        <f>Table3[[#This Row],[Client ID]] &amp; " - " &amp; Table3[[#This Row],[SO Number]]</f>
        <v>SHIN CLARA FOOD CORPORATION - SHIN CLARA FOOD CORP. - GENERIC - SO-126</v>
      </c>
      <c r="C1274" t="s">
        <v>656</v>
      </c>
      <c r="D1274" t="s">
        <v>658</v>
      </c>
      <c r="E1274" t="s">
        <v>659</v>
      </c>
      <c r="F1274" t="s">
        <v>15</v>
      </c>
      <c r="G1274" t="s">
        <v>22</v>
      </c>
      <c r="H1274" t="s">
        <v>660</v>
      </c>
      <c r="I1274" t="s">
        <v>338</v>
      </c>
      <c r="J1274">
        <v>1</v>
      </c>
      <c r="K1274">
        <v>8500</v>
      </c>
      <c r="L1274">
        <v>12500</v>
      </c>
      <c r="M1274">
        <v>12500</v>
      </c>
      <c r="N1274" t="s">
        <v>19</v>
      </c>
    </row>
    <row r="1275" spans="1:14" x14ac:dyDescent="0.25">
      <c r="A1275" t="str">
        <f>Table3[[#This Row],[Company Name]] &amp; " - " &amp; Table3[[#This Row],[Store Name]] &amp; " - " &amp; Table3[[#This Row],[Store Branch / Address]]</f>
        <v>SHIN CLARA FOOD CORPORATION - SHIN CLARA FOOD CORP. - GENERIC</v>
      </c>
      <c r="B1275" t="str">
        <f>Table3[[#This Row],[Client ID]] &amp; " - " &amp; Table3[[#This Row],[SO Number]]</f>
        <v>SHIN CLARA FOOD CORPORATION - SHIN CLARA FOOD CORP. - GENERIC - SO-126</v>
      </c>
      <c r="C1275" t="s">
        <v>656</v>
      </c>
      <c r="D1275" t="s">
        <v>658</v>
      </c>
      <c r="E1275" t="s">
        <v>659</v>
      </c>
      <c r="F1275" t="s">
        <v>15</v>
      </c>
      <c r="G1275" t="s">
        <v>22</v>
      </c>
      <c r="H1275" t="s">
        <v>660</v>
      </c>
      <c r="I1275" t="s">
        <v>116</v>
      </c>
      <c r="J1275">
        <v>1</v>
      </c>
      <c r="K1275">
        <v>2185</v>
      </c>
      <c r="L1275">
        <v>3500</v>
      </c>
      <c r="M1275">
        <v>3500</v>
      </c>
      <c r="N1275" t="s">
        <v>19</v>
      </c>
    </row>
    <row r="1276" spans="1:14" x14ac:dyDescent="0.25">
      <c r="A1276" t="str">
        <f>Table3[[#This Row],[Company Name]] &amp; " - " &amp; Table3[[#This Row],[Store Name]] &amp; " - " &amp; Table3[[#This Row],[Store Branch / Address]]</f>
        <v>SHIN CLARA FOOD CORPORATION - SHIN CLARA FOOD CORP. - GENERIC</v>
      </c>
      <c r="B1276" t="str">
        <f>Table3[[#This Row],[Client ID]] &amp; " - " &amp; Table3[[#This Row],[SO Number]]</f>
        <v>SHIN CLARA FOOD CORPORATION - SHIN CLARA FOOD CORP. - GENERIC - SO-126</v>
      </c>
      <c r="C1276" t="s">
        <v>656</v>
      </c>
      <c r="D1276" t="s">
        <v>658</v>
      </c>
      <c r="E1276" t="s">
        <v>659</v>
      </c>
      <c r="F1276" t="s">
        <v>15</v>
      </c>
      <c r="G1276" t="s">
        <v>22</v>
      </c>
      <c r="H1276" t="s">
        <v>660</v>
      </c>
      <c r="I1276" t="s">
        <v>661</v>
      </c>
      <c r="J1276">
        <v>1</v>
      </c>
      <c r="K1276">
        <v>4800</v>
      </c>
      <c r="L1276">
        <v>7000</v>
      </c>
      <c r="M1276">
        <v>7000</v>
      </c>
      <c r="N1276" t="s">
        <v>19</v>
      </c>
    </row>
    <row r="1277" spans="1:14" x14ac:dyDescent="0.25">
      <c r="A1277" t="str">
        <f>Table3[[#This Row],[Company Name]] &amp; " - " &amp; Table3[[#This Row],[Store Name]] &amp; " - " &amp; Table3[[#This Row],[Store Branch / Address]]</f>
        <v>SHIN CLARA FOOD CORPORATION - SHIN CLARA FOOD CORP. - GENERIC</v>
      </c>
      <c r="B1277" t="str">
        <f>Table3[[#This Row],[Client ID]] &amp; " - " &amp; Table3[[#This Row],[SO Number]]</f>
        <v>SHIN CLARA FOOD CORPORATION - SHIN CLARA FOOD CORP. - GENERIC - SO-126</v>
      </c>
      <c r="C1277" t="s">
        <v>656</v>
      </c>
      <c r="D1277" t="s">
        <v>658</v>
      </c>
      <c r="E1277" t="s">
        <v>659</v>
      </c>
      <c r="F1277" t="s">
        <v>15</v>
      </c>
      <c r="G1277" t="s">
        <v>22</v>
      </c>
      <c r="H1277" t="s">
        <v>660</v>
      </c>
      <c r="I1277" t="s">
        <v>662</v>
      </c>
      <c r="J1277">
        <v>1</v>
      </c>
      <c r="K1277">
        <v>23450</v>
      </c>
      <c r="L1277">
        <v>35500</v>
      </c>
      <c r="M1277">
        <v>35500</v>
      </c>
      <c r="N1277" t="s">
        <v>19</v>
      </c>
    </row>
    <row r="1278" spans="1:14" x14ac:dyDescent="0.25">
      <c r="A1278" t="str">
        <f>Table3[[#This Row],[Company Name]] &amp; " - " &amp; Table3[[#This Row],[Store Name]] &amp; " - " &amp; Table3[[#This Row],[Store Branch / Address]]</f>
        <v>CHICKEN DELI - CASA REYES - GENERIC</v>
      </c>
      <c r="B1278" t="str">
        <f>Table3[[#This Row],[Client ID]] &amp; " - " &amp; Table3[[#This Row],[SO Number]]</f>
        <v>CHICKEN DELI - CASA REYES - GENERIC - SO-157</v>
      </c>
      <c r="C1278" t="s">
        <v>785</v>
      </c>
      <c r="D1278" t="s">
        <v>20</v>
      </c>
      <c r="E1278" t="s">
        <v>81</v>
      </c>
      <c r="F1278" t="s">
        <v>15</v>
      </c>
      <c r="G1278" t="s">
        <v>22</v>
      </c>
      <c r="H1278" t="s">
        <v>660</v>
      </c>
      <c r="I1278" t="s">
        <v>33</v>
      </c>
      <c r="J1278">
        <v>1</v>
      </c>
      <c r="K1278">
        <v>18000</v>
      </c>
      <c r="L1278">
        <v>18000</v>
      </c>
      <c r="M1278">
        <v>18000</v>
      </c>
      <c r="N1278" t="s">
        <v>19</v>
      </c>
    </row>
    <row r="1279" spans="1:14" x14ac:dyDescent="0.25">
      <c r="A1279" t="str">
        <f>Table3[[#This Row],[Company Name]] &amp; " - " &amp; Table3[[#This Row],[Store Name]] &amp; " - " &amp; Table3[[#This Row],[Store Branch / Address]]</f>
        <v>CHICKEN DELI - CASA REYES - GENERIC</v>
      </c>
      <c r="B1279" t="str">
        <f>Table3[[#This Row],[Client ID]] &amp; " - " &amp; Table3[[#This Row],[SO Number]]</f>
        <v>CHICKEN DELI - CASA REYES - GENERIC - SO-158</v>
      </c>
      <c r="C1279" t="s">
        <v>788</v>
      </c>
      <c r="D1279" t="s">
        <v>20</v>
      </c>
      <c r="E1279" t="s">
        <v>81</v>
      </c>
      <c r="F1279" t="s">
        <v>15</v>
      </c>
      <c r="G1279" t="s">
        <v>22</v>
      </c>
      <c r="H1279" t="s">
        <v>660</v>
      </c>
      <c r="I1279" t="s">
        <v>33</v>
      </c>
      <c r="J1279">
        <v>1</v>
      </c>
      <c r="K1279">
        <v>18000</v>
      </c>
      <c r="L1279">
        <v>18000</v>
      </c>
      <c r="M1279">
        <v>18000</v>
      </c>
      <c r="N1279" t="s">
        <v>19</v>
      </c>
    </row>
    <row r="1280" spans="1:14" x14ac:dyDescent="0.25">
      <c r="A1280" t="str">
        <f>Table3[[#This Row],[Company Name]] &amp; " - " &amp; Table3[[#This Row],[Store Name]] &amp; " - " &amp; Table3[[#This Row],[Store Branch / Address]]</f>
        <v>ARTWORK INCORPORATED - ARTWORK INC - GENERIC</v>
      </c>
      <c r="B1280" t="str">
        <f>Table3[[#This Row],[Client ID]] &amp; " - " &amp; Table3[[#This Row],[SO Number]]</f>
        <v>ARTWORK INCORPORATED - ARTWORK INC - GENERIC - SO-127</v>
      </c>
      <c r="C1280" t="s">
        <v>663</v>
      </c>
      <c r="D1280" t="s">
        <v>256</v>
      </c>
      <c r="E1280" t="s">
        <v>664</v>
      </c>
      <c r="F1280" t="s">
        <v>15</v>
      </c>
      <c r="G1280" t="s">
        <v>37</v>
      </c>
      <c r="H1280" t="s">
        <v>665</v>
      </c>
      <c r="I1280" t="s">
        <v>33</v>
      </c>
      <c r="J1280">
        <v>1</v>
      </c>
      <c r="K1280">
        <v>4375</v>
      </c>
      <c r="L1280">
        <v>12500</v>
      </c>
      <c r="M1280">
        <v>12500</v>
      </c>
      <c r="N1280" t="s">
        <v>19</v>
      </c>
    </row>
    <row r="1281" spans="1:14" x14ac:dyDescent="0.25">
      <c r="A1281" t="str">
        <f>Table3[[#This Row],[Company Name]] &amp; " - " &amp; Table3[[#This Row],[Store Name]] &amp; " - " &amp; Table3[[#This Row],[Store Branch / Address]]</f>
        <v>ARTWORK INCORPORATED - ARTWORK INC - GENERIC</v>
      </c>
      <c r="B1281" t="str">
        <f>Table3[[#This Row],[Client ID]] &amp; " - " &amp; Table3[[#This Row],[SO Number]]</f>
        <v>ARTWORK INCORPORATED - ARTWORK INC - GENERIC - SO-127</v>
      </c>
      <c r="C1281" t="s">
        <v>663</v>
      </c>
      <c r="D1281" t="s">
        <v>256</v>
      </c>
      <c r="E1281" t="s">
        <v>664</v>
      </c>
      <c r="F1281" t="s">
        <v>15</v>
      </c>
      <c r="G1281" t="s">
        <v>37</v>
      </c>
      <c r="H1281" t="s">
        <v>665</v>
      </c>
      <c r="I1281" t="s">
        <v>26</v>
      </c>
      <c r="J1281">
        <v>1</v>
      </c>
      <c r="K1281">
        <v>500</v>
      </c>
      <c r="L1281">
        <v>500</v>
      </c>
      <c r="M1281">
        <v>500</v>
      </c>
      <c r="N1281" t="s">
        <v>19</v>
      </c>
    </row>
    <row r="1282" spans="1:14" x14ac:dyDescent="0.25">
      <c r="A1282" t="str">
        <f>Table3[[#This Row],[Company Name]] &amp; " - " &amp; Table3[[#This Row],[Store Name]] &amp; " - " &amp; Table3[[#This Row],[Store Branch / Address]]</f>
        <v>ARTWORK INCORPORATED - ARTWORK INC - GENERIC</v>
      </c>
      <c r="B1282" t="str">
        <f>Table3[[#This Row],[Client ID]] &amp; " - " &amp; Table3[[#This Row],[SO Number]]</f>
        <v>ARTWORK INCORPORATED - ARTWORK INC - GENERIC - SO-128</v>
      </c>
      <c r="C1282" t="s">
        <v>667</v>
      </c>
      <c r="D1282" t="s">
        <v>256</v>
      </c>
      <c r="E1282" t="s">
        <v>664</v>
      </c>
      <c r="F1282" t="s">
        <v>15</v>
      </c>
      <c r="G1282" t="s">
        <v>37</v>
      </c>
      <c r="H1282" t="s">
        <v>665</v>
      </c>
      <c r="I1282" t="s">
        <v>33</v>
      </c>
      <c r="J1282">
        <v>1</v>
      </c>
      <c r="K1282">
        <v>4375</v>
      </c>
      <c r="L1282">
        <v>12500</v>
      </c>
      <c r="M1282">
        <v>12500</v>
      </c>
      <c r="N1282" t="s">
        <v>19</v>
      </c>
    </row>
    <row r="1283" spans="1:14" x14ac:dyDescent="0.25">
      <c r="A1283" t="str">
        <f>Table3[[#This Row],[Company Name]] &amp; " - " &amp; Table3[[#This Row],[Store Name]] &amp; " - " &amp; Table3[[#This Row],[Store Branch / Address]]</f>
        <v>ARTWORK INCORPORATED - ARTWORK INC - GENERIC</v>
      </c>
      <c r="B1283" t="str">
        <f>Table3[[#This Row],[Client ID]] &amp; " - " &amp; Table3[[#This Row],[SO Number]]</f>
        <v>ARTWORK INCORPORATED - ARTWORK INC - GENERIC - SO-128</v>
      </c>
      <c r="C1283" t="s">
        <v>667</v>
      </c>
      <c r="D1283" t="s">
        <v>256</v>
      </c>
      <c r="E1283" t="s">
        <v>664</v>
      </c>
      <c r="F1283" t="s">
        <v>15</v>
      </c>
      <c r="G1283" t="s">
        <v>37</v>
      </c>
      <c r="H1283" t="s">
        <v>665</v>
      </c>
      <c r="I1283" t="s">
        <v>26</v>
      </c>
      <c r="J1283">
        <v>1</v>
      </c>
      <c r="K1283">
        <v>500</v>
      </c>
      <c r="L1283">
        <v>500</v>
      </c>
      <c r="M1283">
        <v>500</v>
      </c>
      <c r="N1283" t="s">
        <v>19</v>
      </c>
    </row>
    <row r="1284" spans="1:14" x14ac:dyDescent="0.25">
      <c r="A1284" t="str">
        <f>Table3[[#This Row],[Company Name]] &amp; " - " &amp; Table3[[#This Row],[Store Name]] &amp; " - " &amp; Table3[[#This Row],[Store Branch / Address]]</f>
        <v>CHICKEN DELI - SM MASINAG - GENERIC</v>
      </c>
      <c r="B1284" t="str">
        <f>Table3[[#This Row],[Client ID]] &amp; " - " &amp; Table3[[#This Row],[SO Number]]</f>
        <v>CHICKEN DELI - SM MASINAG - GENERIC - SO-159</v>
      </c>
      <c r="C1284" t="s">
        <v>789</v>
      </c>
      <c r="D1284" t="s">
        <v>20</v>
      </c>
      <c r="E1284" t="s">
        <v>379</v>
      </c>
      <c r="F1284" t="s">
        <v>15</v>
      </c>
      <c r="G1284" t="s">
        <v>22</v>
      </c>
      <c r="H1284" t="s">
        <v>665</v>
      </c>
      <c r="I1284" t="s">
        <v>501</v>
      </c>
      <c r="J1284">
        <v>10</v>
      </c>
      <c r="K1284">
        <v>70</v>
      </c>
      <c r="L1284">
        <v>250</v>
      </c>
      <c r="M1284">
        <v>2500</v>
      </c>
      <c r="N1284" t="s">
        <v>19</v>
      </c>
    </row>
    <row r="1285" spans="1:14" x14ac:dyDescent="0.25">
      <c r="A1285" t="str">
        <f>Table3[[#This Row],[Company Name]] &amp; " - " &amp; Table3[[#This Row],[Store Name]] &amp; " - " &amp; Table3[[#This Row],[Store Branch / Address]]</f>
        <v>TRE FIL HOLDINGS CORPORATION - COLONIAL CREAMERY - AYALA MALLS CLOVERLEAF</v>
      </c>
      <c r="B1285" t="str">
        <f>Table3[[#This Row],[Client ID]] &amp; " - " &amp; Table3[[#This Row],[SO Number]]</f>
        <v>TRE FIL HOLDINGS CORPORATION - COLONIAL CREAMERY - AYALA MALLS CLOVERLEAF - SO-129</v>
      </c>
      <c r="C1285" t="s">
        <v>670</v>
      </c>
      <c r="D1285" t="s">
        <v>497</v>
      </c>
      <c r="E1285" t="s">
        <v>498</v>
      </c>
      <c r="F1285" t="s">
        <v>671</v>
      </c>
      <c r="G1285" t="s">
        <v>16</v>
      </c>
      <c r="H1285" t="s">
        <v>672</v>
      </c>
      <c r="I1285" t="s">
        <v>642</v>
      </c>
      <c r="J1285">
        <v>1</v>
      </c>
      <c r="K1285">
        <v>3675</v>
      </c>
      <c r="L1285">
        <v>10500</v>
      </c>
      <c r="M1285">
        <v>10500</v>
      </c>
      <c r="N1285" t="s">
        <v>39</v>
      </c>
    </row>
    <row r="1286" spans="1:14" x14ac:dyDescent="0.25">
      <c r="A1286" t="str">
        <f>Table3[[#This Row],[Company Name]] &amp; " - " &amp; Table3[[#This Row],[Store Name]] &amp; " - " &amp; Table3[[#This Row],[Store Branch / Address]]</f>
        <v>TRE FIL HOLDINGS CORPORATION - COLONIAL CREAMERY - AYALA MALLS CLOVERLEAF</v>
      </c>
      <c r="B1286" t="str">
        <f>Table3[[#This Row],[Client ID]] &amp; " - " &amp; Table3[[#This Row],[SO Number]]</f>
        <v>TRE FIL HOLDINGS CORPORATION - COLONIAL CREAMERY - AYALA MALLS CLOVERLEAF - SO-129</v>
      </c>
      <c r="C1286" t="s">
        <v>670</v>
      </c>
      <c r="D1286" t="s">
        <v>497</v>
      </c>
      <c r="E1286" t="s">
        <v>498</v>
      </c>
      <c r="F1286" t="s">
        <v>671</v>
      </c>
      <c r="G1286" t="s">
        <v>16</v>
      </c>
      <c r="H1286" t="s">
        <v>672</v>
      </c>
      <c r="I1286" t="s">
        <v>48</v>
      </c>
      <c r="J1286">
        <v>1</v>
      </c>
      <c r="K1286">
        <v>3255</v>
      </c>
      <c r="L1286">
        <v>9300</v>
      </c>
      <c r="M1286">
        <v>9300</v>
      </c>
      <c r="N1286" t="s">
        <v>39</v>
      </c>
    </row>
    <row r="1287" spans="1:14" x14ac:dyDescent="0.25">
      <c r="A1287" t="str">
        <f>Table3[[#This Row],[Company Name]] &amp; " - " &amp; Table3[[#This Row],[Store Name]] &amp; " - " &amp; Table3[[#This Row],[Store Branch / Address]]</f>
        <v>TRE FIL HOLDINGS CORPORATION - COLONIAL CREAMERY - AYALA MALLS CLOVERLEAF</v>
      </c>
      <c r="B1287" t="str">
        <f>Table3[[#This Row],[Client ID]] &amp; " - " &amp; Table3[[#This Row],[SO Number]]</f>
        <v>TRE FIL HOLDINGS CORPORATION - COLONIAL CREAMERY - AYALA MALLS CLOVERLEAF - SO-129</v>
      </c>
      <c r="C1287" t="s">
        <v>670</v>
      </c>
      <c r="D1287" t="s">
        <v>497</v>
      </c>
      <c r="E1287" t="s">
        <v>498</v>
      </c>
      <c r="F1287" t="s">
        <v>671</v>
      </c>
      <c r="G1287" t="s">
        <v>16</v>
      </c>
      <c r="H1287" t="s">
        <v>672</v>
      </c>
      <c r="I1287" t="s">
        <v>126</v>
      </c>
      <c r="J1287">
        <v>1</v>
      </c>
      <c r="K1287">
        <v>3220</v>
      </c>
      <c r="L1287">
        <v>9200</v>
      </c>
      <c r="M1287">
        <v>9200</v>
      </c>
      <c r="N1287" t="s">
        <v>39</v>
      </c>
    </row>
    <row r="1288" spans="1:14" x14ac:dyDescent="0.25">
      <c r="A1288" t="str">
        <f>Table3[[#This Row],[Company Name]] &amp; " - " &amp; Table3[[#This Row],[Store Name]] &amp; " - " &amp; Table3[[#This Row],[Store Branch / Address]]</f>
        <v>TRE FIL HOLDINGS CORPORATION - COLONIAL CREAMERY - AYALA MALLS CLOVERLEAF</v>
      </c>
      <c r="B1288" t="str">
        <f>Table3[[#This Row],[Client ID]] &amp; " - " &amp; Table3[[#This Row],[SO Number]]</f>
        <v>TRE FIL HOLDINGS CORPORATION - COLONIAL CREAMERY - AYALA MALLS CLOVERLEAF - SO-129</v>
      </c>
      <c r="C1288" t="s">
        <v>670</v>
      </c>
      <c r="D1288" t="s">
        <v>497</v>
      </c>
      <c r="E1288" t="s">
        <v>498</v>
      </c>
      <c r="F1288" t="s">
        <v>671</v>
      </c>
      <c r="G1288" t="s">
        <v>16</v>
      </c>
      <c r="H1288" t="s">
        <v>672</v>
      </c>
      <c r="I1288" t="s">
        <v>38</v>
      </c>
      <c r="J1288">
        <v>1</v>
      </c>
      <c r="K1288">
        <v>8500</v>
      </c>
      <c r="L1288">
        <v>12000</v>
      </c>
      <c r="M1288">
        <v>12000</v>
      </c>
      <c r="N1288" t="s">
        <v>39</v>
      </c>
    </row>
    <row r="1289" spans="1:14" x14ac:dyDescent="0.25">
      <c r="A1289" t="str">
        <f>Table3[[#This Row],[Company Name]] &amp; " - " &amp; Table3[[#This Row],[Store Name]] &amp; " - " &amp; Table3[[#This Row],[Store Branch / Address]]</f>
        <v>TRE FIL HOLDINGS CORPORATION - COLONIAL CREAMERY - AYALA MALLS CLOVERLEAF</v>
      </c>
      <c r="B1289" t="str">
        <f>Table3[[#This Row],[Client ID]] &amp; " - " &amp; Table3[[#This Row],[SO Number]]</f>
        <v>TRE FIL HOLDINGS CORPORATION - COLONIAL CREAMERY - AYALA MALLS CLOVERLEAF - SO-129</v>
      </c>
      <c r="C1289" t="s">
        <v>670</v>
      </c>
      <c r="D1289" t="s">
        <v>497</v>
      </c>
      <c r="E1289" t="s">
        <v>498</v>
      </c>
      <c r="F1289" t="s">
        <v>671</v>
      </c>
      <c r="G1289" t="s">
        <v>16</v>
      </c>
      <c r="H1289" t="s">
        <v>672</v>
      </c>
      <c r="I1289" t="s">
        <v>97</v>
      </c>
      <c r="J1289">
        <v>1</v>
      </c>
      <c r="K1289">
        <v>2200</v>
      </c>
      <c r="L1289">
        <v>3000</v>
      </c>
      <c r="M1289">
        <v>3000</v>
      </c>
      <c r="N1289" t="s">
        <v>39</v>
      </c>
    </row>
    <row r="1290" spans="1:14" x14ac:dyDescent="0.25">
      <c r="A1290" t="str">
        <f>Table3[[#This Row],[Company Name]] &amp; " - " &amp; Table3[[#This Row],[Store Name]] &amp; " - " &amp; Table3[[#This Row],[Store Branch / Address]]</f>
        <v>TRE FIL HOLDINGS CORPORATION - COLONIAL CREAMERY - AYALA MALLS CLOVERLEAF</v>
      </c>
      <c r="B1290" t="str">
        <f>Table3[[#This Row],[Client ID]] &amp; " - " &amp; Table3[[#This Row],[SO Number]]</f>
        <v>TRE FIL HOLDINGS CORPORATION - COLONIAL CREAMERY - AYALA MALLS CLOVERLEAF - SO-129</v>
      </c>
      <c r="C1290" t="s">
        <v>670</v>
      </c>
      <c r="D1290" t="s">
        <v>497</v>
      </c>
      <c r="E1290" t="s">
        <v>498</v>
      </c>
      <c r="F1290" t="s">
        <v>671</v>
      </c>
      <c r="G1290" t="s">
        <v>16</v>
      </c>
      <c r="H1290" t="s">
        <v>672</v>
      </c>
      <c r="I1290" t="s">
        <v>284</v>
      </c>
      <c r="J1290">
        <v>1</v>
      </c>
      <c r="K1290">
        <v>10750</v>
      </c>
      <c r="L1290">
        <v>15000</v>
      </c>
      <c r="M1290">
        <v>15000</v>
      </c>
      <c r="N1290" t="s">
        <v>39</v>
      </c>
    </row>
    <row r="1291" spans="1:14" x14ac:dyDescent="0.25">
      <c r="A1291" t="str">
        <f>Table3[[#This Row],[Company Name]] &amp; " - " &amp; Table3[[#This Row],[Store Name]] &amp; " - " &amp; Table3[[#This Row],[Store Branch / Address]]</f>
        <v>TRE FIL HOLDINGS CORPORATION - COLONIAL CREAMERY - AYALA MALLS CLOVERLEAF</v>
      </c>
      <c r="B1291" t="str">
        <f>Table3[[#This Row],[Client ID]] &amp; " - " &amp; Table3[[#This Row],[SO Number]]</f>
        <v>TRE FIL HOLDINGS CORPORATION - COLONIAL CREAMERY - AYALA MALLS CLOVERLEAF - SO-129</v>
      </c>
      <c r="C1291" t="s">
        <v>670</v>
      </c>
      <c r="D1291" t="s">
        <v>497</v>
      </c>
      <c r="E1291" t="s">
        <v>498</v>
      </c>
      <c r="F1291" t="s">
        <v>671</v>
      </c>
      <c r="G1291" t="s">
        <v>16</v>
      </c>
      <c r="H1291" t="s">
        <v>672</v>
      </c>
      <c r="I1291" t="s">
        <v>85</v>
      </c>
      <c r="J1291">
        <v>1</v>
      </c>
      <c r="K1291">
        <v>1350</v>
      </c>
      <c r="L1291">
        <v>2500</v>
      </c>
      <c r="M1291">
        <v>2500</v>
      </c>
      <c r="N1291" t="s">
        <v>39</v>
      </c>
    </row>
    <row r="1292" spans="1:14" x14ac:dyDescent="0.25">
      <c r="A1292" t="str">
        <f>Table3[[#This Row],[Company Name]] &amp; " - " &amp; Table3[[#This Row],[Store Name]] &amp; " - " &amp; Table3[[#This Row],[Store Branch / Address]]</f>
        <v>TRE FIL HOLDINGS CORPORATION - COLONIAL CREAMERY - AYALA MALLS CLOVERLEAF</v>
      </c>
      <c r="B1292" t="str">
        <f>Table3[[#This Row],[Client ID]] &amp; " - " &amp; Table3[[#This Row],[SO Number]]</f>
        <v>TRE FIL HOLDINGS CORPORATION - COLONIAL CREAMERY - AYALA MALLS CLOVERLEAF - SO-129</v>
      </c>
      <c r="C1292" t="s">
        <v>670</v>
      </c>
      <c r="D1292" t="s">
        <v>497</v>
      </c>
      <c r="E1292" t="s">
        <v>498</v>
      </c>
      <c r="F1292" t="s">
        <v>671</v>
      </c>
      <c r="G1292" t="s">
        <v>16</v>
      </c>
      <c r="H1292" t="s">
        <v>672</v>
      </c>
      <c r="I1292" t="s">
        <v>209</v>
      </c>
      <c r="J1292">
        <v>1</v>
      </c>
      <c r="K1292">
        <v>23450</v>
      </c>
      <c r="L1292">
        <v>32300</v>
      </c>
      <c r="M1292">
        <v>32300</v>
      </c>
      <c r="N1292" t="s">
        <v>39</v>
      </c>
    </row>
    <row r="1293" spans="1:14" x14ac:dyDescent="0.25">
      <c r="A1293" t="str">
        <f>Table3[[#This Row],[Company Name]] &amp; " - " &amp; Table3[[#This Row],[Store Name]] &amp; " - " &amp; Table3[[#This Row],[Store Branch / Address]]</f>
        <v>TRE FIL HOLDINGS CORPORATION - COLONIAL CREAMERY - AYALA MALLS CLOVERLEAF</v>
      </c>
      <c r="B1293" t="str">
        <f>Table3[[#This Row],[Client ID]] &amp; " - " &amp; Table3[[#This Row],[SO Number]]</f>
        <v>TRE FIL HOLDINGS CORPORATION - COLONIAL CREAMERY - AYALA MALLS CLOVERLEAF - SO-129</v>
      </c>
      <c r="C1293" t="s">
        <v>670</v>
      </c>
      <c r="D1293" t="s">
        <v>497</v>
      </c>
      <c r="E1293" t="s">
        <v>498</v>
      </c>
      <c r="F1293" t="s">
        <v>671</v>
      </c>
      <c r="G1293" t="s">
        <v>16</v>
      </c>
      <c r="H1293" t="s">
        <v>672</v>
      </c>
      <c r="I1293" t="s">
        <v>151</v>
      </c>
      <c r="J1293">
        <v>1</v>
      </c>
      <c r="K1293">
        <v>2800</v>
      </c>
      <c r="L1293">
        <v>4000</v>
      </c>
      <c r="M1293">
        <v>4000</v>
      </c>
      <c r="N1293" t="s">
        <v>39</v>
      </c>
    </row>
    <row r="1294" spans="1:14" x14ac:dyDescent="0.25">
      <c r="A1294" t="str">
        <f>Table3[[#This Row],[Company Name]] &amp; " - " &amp; Table3[[#This Row],[Store Name]] &amp; " - " &amp; Table3[[#This Row],[Store Branch / Address]]</f>
        <v>TRE FIL HOLDINGS CORPORATION - COLONIAL CREAMERY - AYALA MALLS CLOVERLEAF</v>
      </c>
      <c r="B1294" t="str">
        <f>Table3[[#This Row],[Client ID]] &amp; " - " &amp; Table3[[#This Row],[SO Number]]</f>
        <v>TRE FIL HOLDINGS CORPORATION - COLONIAL CREAMERY - AYALA MALLS CLOVERLEAF - SO-129</v>
      </c>
      <c r="C1294" t="s">
        <v>670</v>
      </c>
      <c r="D1294" t="s">
        <v>497</v>
      </c>
      <c r="E1294" t="s">
        <v>498</v>
      </c>
      <c r="F1294" t="s">
        <v>671</v>
      </c>
      <c r="G1294" t="s">
        <v>16</v>
      </c>
      <c r="H1294" t="s">
        <v>672</v>
      </c>
      <c r="I1294" t="s">
        <v>210</v>
      </c>
      <c r="J1294">
        <v>1</v>
      </c>
      <c r="K1294">
        <v>500</v>
      </c>
      <c r="L1294">
        <v>700</v>
      </c>
      <c r="M1294">
        <v>700</v>
      </c>
      <c r="N1294" t="s">
        <v>39</v>
      </c>
    </row>
    <row r="1295" spans="1:14" x14ac:dyDescent="0.25">
      <c r="A1295" t="str">
        <f>Table3[[#This Row],[Company Name]] &amp; " - " &amp; Table3[[#This Row],[Store Name]] &amp; " - " &amp; Table3[[#This Row],[Store Branch / Address]]</f>
        <v>TRE FIL HOLDINGS CORPORATION - COLONIAL CREAMERY - AYALA MALLS CLOVERLEAF</v>
      </c>
      <c r="B1295" t="str">
        <f>Table3[[#This Row],[Client ID]] &amp; " - " &amp; Table3[[#This Row],[SO Number]]</f>
        <v>TRE FIL HOLDINGS CORPORATION - COLONIAL CREAMERY - AYALA MALLS CLOVERLEAF - SO-129</v>
      </c>
      <c r="C1295" t="s">
        <v>670</v>
      </c>
      <c r="D1295" t="s">
        <v>497</v>
      </c>
      <c r="E1295" t="s">
        <v>498</v>
      </c>
      <c r="F1295" t="s">
        <v>671</v>
      </c>
      <c r="G1295" t="s">
        <v>16</v>
      </c>
      <c r="H1295" t="s">
        <v>672</v>
      </c>
      <c r="I1295" t="s">
        <v>211</v>
      </c>
      <c r="J1295">
        <v>1</v>
      </c>
      <c r="K1295">
        <v>350</v>
      </c>
      <c r="L1295">
        <v>500</v>
      </c>
      <c r="M1295">
        <v>500</v>
      </c>
      <c r="N1295" t="s">
        <v>39</v>
      </c>
    </row>
    <row r="1296" spans="1:14" x14ac:dyDescent="0.25">
      <c r="A1296" t="str">
        <f>Table3[[#This Row],[Company Name]] &amp; " - " &amp; Table3[[#This Row],[Store Name]] &amp; " - " &amp; Table3[[#This Row],[Store Branch / Address]]</f>
        <v>TRE FIL HOLDINGS CORPORATION - COLONIAL CREAMERY - AYALA MALLS CLOVERLEAF</v>
      </c>
      <c r="B1296" t="str">
        <f>Table3[[#This Row],[Client ID]] &amp; " - " &amp; Table3[[#This Row],[SO Number]]</f>
        <v>TRE FIL HOLDINGS CORPORATION - COLONIAL CREAMERY - AYALA MALLS CLOVERLEAF - SO-129</v>
      </c>
      <c r="C1296" t="s">
        <v>670</v>
      </c>
      <c r="D1296" t="s">
        <v>497</v>
      </c>
      <c r="E1296" t="s">
        <v>498</v>
      </c>
      <c r="F1296" t="s">
        <v>671</v>
      </c>
      <c r="G1296" t="s">
        <v>16</v>
      </c>
      <c r="H1296" t="s">
        <v>672</v>
      </c>
      <c r="I1296" t="s">
        <v>26</v>
      </c>
      <c r="J1296">
        <v>1</v>
      </c>
      <c r="K1296">
        <v>500</v>
      </c>
      <c r="L1296">
        <v>500</v>
      </c>
      <c r="M1296">
        <v>500</v>
      </c>
      <c r="N1296" t="s">
        <v>39</v>
      </c>
    </row>
    <row r="1297" spans="1:14" x14ac:dyDescent="0.25">
      <c r="A1297" t="str">
        <f>Table3[[#This Row],[Company Name]] &amp; " - " &amp; Table3[[#This Row],[Store Name]] &amp; " - " &amp; Table3[[#This Row],[Store Branch / Address]]</f>
        <v>TRE FIL HOLDINGS CORPORATION - COLONIAL CREAMERY - AYALA MALLS CLOVERLEAF</v>
      </c>
      <c r="B1297" t="str">
        <f>Table3[[#This Row],[Client ID]] &amp; " - " &amp; Table3[[#This Row],[SO Number]]</f>
        <v>TRE FIL HOLDINGS CORPORATION - COLONIAL CREAMERY - AYALA MALLS CLOVERLEAF - SO-129</v>
      </c>
      <c r="C1297" t="s">
        <v>670</v>
      </c>
      <c r="D1297" t="s">
        <v>497</v>
      </c>
      <c r="E1297" t="s">
        <v>498</v>
      </c>
      <c r="F1297" t="s">
        <v>671</v>
      </c>
      <c r="G1297" t="s">
        <v>16</v>
      </c>
      <c r="H1297" t="s">
        <v>672</v>
      </c>
      <c r="I1297" t="s">
        <v>63</v>
      </c>
      <c r="J1297">
        <v>1</v>
      </c>
      <c r="K1297">
        <v>500</v>
      </c>
      <c r="L1297">
        <v>500</v>
      </c>
      <c r="M1297">
        <v>500</v>
      </c>
      <c r="N1297" t="s">
        <v>39</v>
      </c>
    </row>
    <row r="1298" spans="1:14" x14ac:dyDescent="0.25">
      <c r="A1298" t="str">
        <f>Table3[[#This Row],[Company Name]] &amp; " - " &amp; Table3[[#This Row],[Store Name]] &amp; " - " &amp; Table3[[#This Row],[Store Branch / Address]]</f>
        <v>CHICKEN DELI - OJO EYEWEAR - GENERIC</v>
      </c>
      <c r="B1298" t="str">
        <f>Table3[[#This Row],[Client ID]] &amp; " - " &amp; Table3[[#This Row],[SO Number]]</f>
        <v>CHICKEN DELI - OJO EYEWEAR - GENERIC - SO-160</v>
      </c>
      <c r="C1298" t="s">
        <v>791</v>
      </c>
      <c r="D1298" t="s">
        <v>20</v>
      </c>
      <c r="E1298" t="s">
        <v>70</v>
      </c>
      <c r="F1298" t="s">
        <v>15</v>
      </c>
      <c r="G1298" t="s">
        <v>22</v>
      </c>
      <c r="H1298" t="s">
        <v>672</v>
      </c>
      <c r="I1298" t="s">
        <v>400</v>
      </c>
      <c r="J1298">
        <v>100</v>
      </c>
      <c r="K1298">
        <v>17</v>
      </c>
      <c r="L1298">
        <v>25</v>
      </c>
      <c r="M1298">
        <v>2500</v>
      </c>
      <c r="N1298" t="s">
        <v>19</v>
      </c>
    </row>
    <row r="1299" spans="1:14" x14ac:dyDescent="0.25">
      <c r="A1299" t="str">
        <f>Table3[[#This Row],[Company Name]] &amp; " - " &amp; Table3[[#This Row],[Store Name]] &amp; " - " &amp; Table3[[#This Row],[Store Branch / Address]]</f>
        <v>CHICKEN DELI - OJO EYEWEAR - GENERIC</v>
      </c>
      <c r="B1299" t="str">
        <f>Table3[[#This Row],[Client ID]] &amp; " - " &amp; Table3[[#This Row],[SO Number]]</f>
        <v>CHICKEN DELI - OJO EYEWEAR - GENERIC - SO-160</v>
      </c>
      <c r="C1299" t="s">
        <v>791</v>
      </c>
      <c r="D1299" t="s">
        <v>20</v>
      </c>
      <c r="E1299" t="s">
        <v>70</v>
      </c>
      <c r="F1299" t="s">
        <v>15</v>
      </c>
      <c r="G1299" t="s">
        <v>22</v>
      </c>
      <c r="H1299" t="s">
        <v>672</v>
      </c>
      <c r="I1299" t="s">
        <v>62</v>
      </c>
      <c r="J1299">
        <v>100</v>
      </c>
      <c r="K1299">
        <v>47</v>
      </c>
      <c r="L1299">
        <v>80</v>
      </c>
      <c r="M1299">
        <v>8000</v>
      </c>
      <c r="N1299" t="s">
        <v>19</v>
      </c>
    </row>
    <row r="1300" spans="1:14" x14ac:dyDescent="0.25">
      <c r="A1300" t="str">
        <f>Table3[[#This Row],[Company Name]] &amp; " - " &amp; Table3[[#This Row],[Store Name]] &amp; " - " &amp; Table3[[#This Row],[Store Branch / Address]]</f>
        <v>OLAES CHRISTIAN GERALD TORRES - THE CRUNCH - GENERIC</v>
      </c>
      <c r="B1300" t="str">
        <f>Table3[[#This Row],[Client ID]] &amp; " - " &amp; Table3[[#This Row],[SO Number]]</f>
        <v>OLAES CHRISTIAN GERALD TORRES - THE CRUNCH - GENERIC - SO-061</v>
      </c>
      <c r="C1300" t="s">
        <v>398</v>
      </c>
      <c r="D1300" t="s">
        <v>1135</v>
      </c>
      <c r="E1300" t="s">
        <v>1136</v>
      </c>
      <c r="F1300" t="s">
        <v>15</v>
      </c>
      <c r="G1300" t="s">
        <v>1024</v>
      </c>
      <c r="H1300" t="s">
        <v>672</v>
      </c>
      <c r="I1300" t="s">
        <v>1137</v>
      </c>
      <c r="J1300">
        <v>1</v>
      </c>
      <c r="K1300">
        <v>2975</v>
      </c>
      <c r="L1300">
        <v>8500</v>
      </c>
      <c r="M1300">
        <v>8500</v>
      </c>
      <c r="N1300" t="s">
        <v>19</v>
      </c>
    </row>
    <row r="1301" spans="1:14" x14ac:dyDescent="0.25">
      <c r="A1301" t="str">
        <f>Table3[[#This Row],[Company Name]] &amp; " - " &amp; Table3[[#This Row],[Store Name]] &amp; " - " &amp; Table3[[#This Row],[Store Branch / Address]]</f>
        <v>OLAES CHRISTIAN GERALD TORRES - THE CRUNCH - GENERIC</v>
      </c>
      <c r="B1301" t="str">
        <f>Table3[[#This Row],[Client ID]] &amp; " - " &amp; Table3[[#This Row],[SO Number]]</f>
        <v>OLAES CHRISTIAN GERALD TORRES - THE CRUNCH - GENERIC - SO-061</v>
      </c>
      <c r="C1301" t="s">
        <v>398</v>
      </c>
      <c r="D1301" t="s">
        <v>1135</v>
      </c>
      <c r="E1301" t="s">
        <v>1136</v>
      </c>
      <c r="F1301" t="s">
        <v>15</v>
      </c>
      <c r="G1301" t="s">
        <v>1024</v>
      </c>
      <c r="H1301" t="s">
        <v>672</v>
      </c>
      <c r="I1301" t="s">
        <v>25</v>
      </c>
      <c r="J1301">
        <v>1</v>
      </c>
      <c r="K1301">
        <v>8000</v>
      </c>
      <c r="L1301">
        <v>8000</v>
      </c>
      <c r="M1301">
        <v>8000</v>
      </c>
      <c r="N1301" t="s">
        <v>19</v>
      </c>
    </row>
    <row r="1302" spans="1:14" x14ac:dyDescent="0.25">
      <c r="A1302" t="str">
        <f>Table3[[#This Row],[Company Name]] &amp; " - " &amp; Table3[[#This Row],[Store Name]] &amp; " - " &amp; Table3[[#This Row],[Store Branch / Address]]</f>
        <v>OLAES CHRISTIAN GERALD TORRES - THE CRUNCH - GENERIC</v>
      </c>
      <c r="B1302" t="str">
        <f>Table3[[#This Row],[Client ID]] &amp; " - " &amp; Table3[[#This Row],[SO Number]]</f>
        <v>OLAES CHRISTIAN GERALD TORRES - THE CRUNCH - GENERIC - SO-061</v>
      </c>
      <c r="C1302" t="s">
        <v>398</v>
      </c>
      <c r="D1302" t="s">
        <v>1135</v>
      </c>
      <c r="E1302" t="s">
        <v>1136</v>
      </c>
      <c r="F1302" t="s">
        <v>15</v>
      </c>
      <c r="G1302" t="s">
        <v>1024</v>
      </c>
      <c r="H1302" t="s">
        <v>672</v>
      </c>
      <c r="I1302" t="s">
        <v>24</v>
      </c>
      <c r="J1302">
        <v>1</v>
      </c>
      <c r="K1302">
        <v>8000</v>
      </c>
      <c r="L1302">
        <v>8000</v>
      </c>
      <c r="M1302">
        <v>8000</v>
      </c>
      <c r="N1302" t="s">
        <v>19</v>
      </c>
    </row>
    <row r="1303" spans="1:14" x14ac:dyDescent="0.25">
      <c r="A1303" t="str">
        <f>Table3[[#This Row],[Company Name]] &amp; " - " &amp; Table3[[#This Row],[Store Name]] &amp; " - " &amp; Table3[[#This Row],[Store Branch / Address]]</f>
        <v>OLAES CHRISTIAN GERALD TORRES - THE CRUNCH - GENERIC</v>
      </c>
      <c r="B1303" t="str">
        <f>Table3[[#This Row],[Client ID]] &amp; " - " &amp; Table3[[#This Row],[SO Number]]</f>
        <v>OLAES CHRISTIAN GERALD TORRES - THE CRUNCH - GENERIC - SO-061</v>
      </c>
      <c r="C1303" t="s">
        <v>398</v>
      </c>
      <c r="D1303" t="s">
        <v>1135</v>
      </c>
      <c r="E1303" t="s">
        <v>1136</v>
      </c>
      <c r="F1303" t="s">
        <v>15</v>
      </c>
      <c r="G1303" t="s">
        <v>1024</v>
      </c>
      <c r="H1303" t="s">
        <v>672</v>
      </c>
      <c r="I1303" t="s">
        <v>26</v>
      </c>
      <c r="J1303">
        <v>1</v>
      </c>
      <c r="K1303">
        <v>500</v>
      </c>
      <c r="L1303">
        <v>500</v>
      </c>
      <c r="M1303">
        <v>500</v>
      </c>
      <c r="N1303" t="s">
        <v>19</v>
      </c>
    </row>
    <row r="1304" spans="1:14" x14ac:dyDescent="0.25">
      <c r="A1304" t="str">
        <f>Table3[[#This Row],[Company Name]] &amp; " - " &amp; Table3[[#This Row],[Store Name]] &amp; " - " &amp; Table3[[#This Row],[Store Branch / Address]]</f>
        <v>OLAES CHRISTIAN GERALD TORRES - THE CRUNCH - GENERIC</v>
      </c>
      <c r="B1304" t="str">
        <f>Table3[[#This Row],[Client ID]] &amp; " - " &amp; Table3[[#This Row],[SO Number]]</f>
        <v>OLAES CHRISTIAN GERALD TORRES - THE CRUNCH - GENERIC - SO-061</v>
      </c>
      <c r="C1304" t="s">
        <v>398</v>
      </c>
      <c r="D1304" t="s">
        <v>1135</v>
      </c>
      <c r="E1304" t="s">
        <v>1136</v>
      </c>
      <c r="F1304" t="s">
        <v>15</v>
      </c>
      <c r="G1304" t="s">
        <v>1024</v>
      </c>
      <c r="H1304" t="s">
        <v>672</v>
      </c>
      <c r="I1304" t="s">
        <v>298</v>
      </c>
      <c r="J1304">
        <v>1</v>
      </c>
      <c r="K1304">
        <v>11000</v>
      </c>
      <c r="L1304">
        <v>16000</v>
      </c>
      <c r="M1304">
        <v>16000</v>
      </c>
      <c r="N1304" t="s">
        <v>19</v>
      </c>
    </row>
    <row r="1305" spans="1:14" x14ac:dyDescent="0.25">
      <c r="A1305" t="str">
        <f>Table3[[#This Row],[Company Name]] &amp; " - " &amp; Table3[[#This Row],[Store Name]] &amp; " - " &amp; Table3[[#This Row],[Store Branch / Address]]</f>
        <v>CHICKEN DELI - GONGCHA - GENERIC</v>
      </c>
      <c r="B1305" t="str">
        <f>Table3[[#This Row],[Client ID]] &amp; " - " &amp; Table3[[#This Row],[SO Number]]</f>
        <v>CHICKEN DELI - GONGCHA - GENERIC - SO-N/A</v>
      </c>
      <c r="C1305" t="s">
        <v>780</v>
      </c>
      <c r="D1305" t="s">
        <v>20</v>
      </c>
      <c r="E1305" t="s">
        <v>31</v>
      </c>
      <c r="F1305" t="s">
        <v>15</v>
      </c>
      <c r="G1305" t="s">
        <v>22</v>
      </c>
      <c r="H1305" t="s">
        <v>796</v>
      </c>
      <c r="I1305" t="s">
        <v>145</v>
      </c>
      <c r="J1305">
        <v>1</v>
      </c>
      <c r="K1305">
        <v>3675</v>
      </c>
      <c r="L1305">
        <v>10500</v>
      </c>
      <c r="M1305">
        <v>10500</v>
      </c>
      <c r="N1305" t="s">
        <v>19</v>
      </c>
    </row>
    <row r="1306" spans="1:14" x14ac:dyDescent="0.25">
      <c r="A1306" t="str">
        <f>Table3[[#This Row],[Company Name]] &amp; " - " &amp; Table3[[#This Row],[Store Name]] &amp; " - " &amp; Table3[[#This Row],[Store Branch / Address]]</f>
        <v>CHICKEN DELI - GONGCHA - GENERIC</v>
      </c>
      <c r="B1306" t="str">
        <f>Table3[[#This Row],[Client ID]] &amp; " - " &amp; Table3[[#This Row],[SO Number]]</f>
        <v>CHICKEN DELI - GONGCHA - GENERIC - SO-N/A</v>
      </c>
      <c r="C1306" t="s">
        <v>780</v>
      </c>
      <c r="D1306" t="s">
        <v>20</v>
      </c>
      <c r="E1306" t="s">
        <v>31</v>
      </c>
      <c r="F1306" t="s">
        <v>15</v>
      </c>
      <c r="G1306" t="s">
        <v>22</v>
      </c>
      <c r="H1306" t="s">
        <v>796</v>
      </c>
      <c r="I1306" t="s">
        <v>299</v>
      </c>
      <c r="J1306">
        <v>1</v>
      </c>
      <c r="K1306">
        <v>9500</v>
      </c>
      <c r="L1306">
        <v>9500</v>
      </c>
      <c r="M1306">
        <v>9500</v>
      </c>
      <c r="N1306" t="s">
        <v>19</v>
      </c>
    </row>
    <row r="1307" spans="1:14" x14ac:dyDescent="0.25">
      <c r="A1307" t="str">
        <f>Table3[[#This Row],[Company Name]] &amp; " - " &amp; Table3[[#This Row],[Store Name]] &amp; " - " &amp; Table3[[#This Row],[Store Branch / Address]]</f>
        <v>CHICKEN DELI - GONGCHA - GENERIC</v>
      </c>
      <c r="B1307" t="str">
        <f>Table3[[#This Row],[Client ID]] &amp; " - " &amp; Table3[[#This Row],[SO Number]]</f>
        <v>CHICKEN DELI - GONGCHA - GENERIC - SO-N/A</v>
      </c>
      <c r="C1307" t="s">
        <v>780</v>
      </c>
      <c r="D1307" t="s">
        <v>20</v>
      </c>
      <c r="E1307" t="s">
        <v>31</v>
      </c>
      <c r="F1307" t="s">
        <v>15</v>
      </c>
      <c r="G1307" t="s">
        <v>22</v>
      </c>
      <c r="H1307" t="s">
        <v>796</v>
      </c>
      <c r="I1307" t="s">
        <v>25</v>
      </c>
      <c r="J1307">
        <v>1</v>
      </c>
      <c r="K1307">
        <v>9500</v>
      </c>
      <c r="L1307">
        <v>9500</v>
      </c>
      <c r="M1307">
        <v>9500</v>
      </c>
      <c r="N1307" t="s">
        <v>19</v>
      </c>
    </row>
    <row r="1308" spans="1:14" x14ac:dyDescent="0.25">
      <c r="A1308" t="str">
        <f>Table3[[#This Row],[Company Name]] &amp; " - " &amp; Table3[[#This Row],[Store Name]] &amp; " - " &amp; Table3[[#This Row],[Store Branch / Address]]</f>
        <v>CHICKEN DELI - GONGCHA - GENERIC</v>
      </c>
      <c r="B1308" t="str">
        <f>Table3[[#This Row],[Client ID]] &amp; " - " &amp; Table3[[#This Row],[SO Number]]</f>
        <v>CHICKEN DELI - GONGCHA - GENERIC - SO-N/A</v>
      </c>
      <c r="C1308" t="s">
        <v>780</v>
      </c>
      <c r="D1308" t="s">
        <v>20</v>
      </c>
      <c r="E1308" t="s">
        <v>31</v>
      </c>
      <c r="F1308" t="s">
        <v>15</v>
      </c>
      <c r="G1308" t="s">
        <v>22</v>
      </c>
      <c r="H1308" t="s">
        <v>796</v>
      </c>
      <c r="I1308" t="s">
        <v>134</v>
      </c>
      <c r="J1308">
        <v>1</v>
      </c>
      <c r="K1308">
        <v>500</v>
      </c>
      <c r="L1308">
        <v>500</v>
      </c>
      <c r="M1308">
        <v>500</v>
      </c>
      <c r="N1308" t="s">
        <v>19</v>
      </c>
    </row>
    <row r="1309" spans="1:14" x14ac:dyDescent="0.25">
      <c r="A1309" t="str">
        <f>Table3[[#This Row],[Company Name]] &amp; " - " &amp; Table3[[#This Row],[Store Name]] &amp; " - " &amp; Table3[[#This Row],[Store Branch / Address]]</f>
        <v>MMG TRUE ENTERPRISE INCORPORATED - TRUE VISION - GENERIC</v>
      </c>
      <c r="B1309" t="str">
        <f>Table3[[#This Row],[Client ID]] &amp; " - " &amp; Table3[[#This Row],[SO Number]]</f>
        <v>MMG TRUE ENTERPRISE INCORPORATED - TRUE VISION - GENERIC - SO-062</v>
      </c>
      <c r="C1309" t="s">
        <v>402</v>
      </c>
      <c r="D1309" t="s">
        <v>1138</v>
      </c>
      <c r="E1309" t="s">
        <v>1139</v>
      </c>
      <c r="F1309" t="s">
        <v>15</v>
      </c>
      <c r="G1309" t="s">
        <v>37</v>
      </c>
      <c r="H1309" t="s">
        <v>796</v>
      </c>
      <c r="I1309" t="s">
        <v>33</v>
      </c>
      <c r="J1309">
        <v>1</v>
      </c>
      <c r="K1309">
        <v>18000</v>
      </c>
      <c r="L1309">
        <v>18000</v>
      </c>
      <c r="M1309">
        <v>18000</v>
      </c>
      <c r="N1309" t="s">
        <v>19</v>
      </c>
    </row>
    <row r="1310" spans="1:14" x14ac:dyDescent="0.25">
      <c r="A1310" t="str">
        <f>Table3[[#This Row],[Company Name]] &amp; " - " &amp; Table3[[#This Row],[Store Name]] &amp; " - " &amp; Table3[[#This Row],[Store Branch / Address]]</f>
        <v>GENMAICHA TEA CORP - SERENITEA - GENERIC</v>
      </c>
      <c r="B1310" t="str">
        <f>Table3[[#This Row],[Client ID]] &amp; " - " &amp; Table3[[#This Row],[SO Number]]</f>
        <v>GENMAICHA TEA CORP - SERENITEA - GENERIC - SO-130</v>
      </c>
      <c r="C1310" t="s">
        <v>677</v>
      </c>
      <c r="D1310" t="s">
        <v>678</v>
      </c>
      <c r="E1310" t="s">
        <v>239</v>
      </c>
      <c r="F1310" t="s">
        <v>15</v>
      </c>
      <c r="G1310" t="s">
        <v>37</v>
      </c>
      <c r="H1310" t="s">
        <v>679</v>
      </c>
      <c r="I1310" t="s">
        <v>151</v>
      </c>
      <c r="J1310">
        <v>1</v>
      </c>
      <c r="K1310">
        <v>2800</v>
      </c>
      <c r="L1310">
        <v>4000</v>
      </c>
      <c r="M1310">
        <v>4000</v>
      </c>
      <c r="N1310" t="s">
        <v>19</v>
      </c>
    </row>
    <row r="1311" spans="1:14" x14ac:dyDescent="0.25">
      <c r="A1311" t="str">
        <f>Table3[[#This Row],[Company Name]] &amp; " - " &amp; Table3[[#This Row],[Store Name]] &amp; " - " &amp; Table3[[#This Row],[Store Branch / Address]]</f>
        <v>THE BIG CHILL INC - THE BIG CHILL INC - ROCKWELL</v>
      </c>
      <c r="B1311" t="str">
        <f>Table3[[#This Row],[Client ID]] &amp; " - " &amp; Table3[[#This Row],[SO Number]]</f>
        <v>THE BIG CHILL INC - THE BIG CHILL INC - ROCKWELL - SO-131</v>
      </c>
      <c r="C1311" t="s">
        <v>680</v>
      </c>
      <c r="D1311" t="s">
        <v>681</v>
      </c>
      <c r="E1311" t="s">
        <v>681</v>
      </c>
      <c r="F1311" t="s">
        <v>36</v>
      </c>
      <c r="G1311" t="s">
        <v>37</v>
      </c>
      <c r="H1311" t="s">
        <v>679</v>
      </c>
      <c r="I1311" t="s">
        <v>682</v>
      </c>
      <c r="J1311">
        <v>1</v>
      </c>
      <c r="K1311">
        <v>15000</v>
      </c>
      <c r="L1311">
        <v>15000</v>
      </c>
      <c r="M1311">
        <v>15000</v>
      </c>
      <c r="N1311" t="s">
        <v>39</v>
      </c>
    </row>
    <row r="1312" spans="1:14" x14ac:dyDescent="0.25">
      <c r="A1312" t="str">
        <f>Table3[[#This Row],[Company Name]] &amp; " - " &amp; Table3[[#This Row],[Store Name]] &amp; " - " &amp; Table3[[#This Row],[Store Branch / Address]]</f>
        <v>CINNALAND FOOD CORPORATION - CINNABON - SM DAVAO</v>
      </c>
      <c r="B1312" t="str">
        <f>Table3[[#This Row],[Client ID]] &amp; " - " &amp; Table3[[#This Row],[SO Number]]</f>
        <v>CINNALAND FOOD CORPORATION - CINNABON - SM DAVAO - SO-132</v>
      </c>
      <c r="C1312" t="s">
        <v>684</v>
      </c>
      <c r="D1312" t="s">
        <v>685</v>
      </c>
      <c r="E1312" t="s">
        <v>364</v>
      </c>
      <c r="F1312" t="s">
        <v>686</v>
      </c>
      <c r="G1312" t="s">
        <v>22</v>
      </c>
      <c r="H1312" t="s">
        <v>679</v>
      </c>
      <c r="I1312" t="s">
        <v>687</v>
      </c>
      <c r="J1312">
        <v>1</v>
      </c>
      <c r="K1312">
        <v>3675</v>
      </c>
      <c r="L1312">
        <v>10500</v>
      </c>
      <c r="M1312">
        <v>10500</v>
      </c>
      <c r="N1312" t="s">
        <v>39</v>
      </c>
    </row>
    <row r="1313" spans="1:14" x14ac:dyDescent="0.25">
      <c r="A1313" t="str">
        <f>Table3[[#This Row],[Company Name]] &amp; " - " &amp; Table3[[#This Row],[Store Name]] &amp; " - " &amp; Table3[[#This Row],[Store Branch / Address]]</f>
        <v>CINNALAND FOOD CORPORATION - CINNABON - SM DAVAO</v>
      </c>
      <c r="B1313" t="str">
        <f>Table3[[#This Row],[Client ID]] &amp; " - " &amp; Table3[[#This Row],[SO Number]]</f>
        <v>CINNALAND FOOD CORPORATION - CINNABON - SM DAVAO - SO-132</v>
      </c>
      <c r="C1313" t="s">
        <v>684</v>
      </c>
      <c r="D1313" t="s">
        <v>685</v>
      </c>
      <c r="E1313" t="s">
        <v>364</v>
      </c>
      <c r="F1313" t="s">
        <v>686</v>
      </c>
      <c r="G1313" t="s">
        <v>22</v>
      </c>
      <c r="H1313" t="s">
        <v>679</v>
      </c>
      <c r="I1313" t="s">
        <v>48</v>
      </c>
      <c r="J1313">
        <v>1</v>
      </c>
      <c r="K1313">
        <v>1866.67</v>
      </c>
      <c r="L1313">
        <v>5333.33</v>
      </c>
      <c r="M1313">
        <v>5333.33</v>
      </c>
      <c r="N1313" t="s">
        <v>39</v>
      </c>
    </row>
    <row r="1314" spans="1:14" x14ac:dyDescent="0.25">
      <c r="A1314" t="str">
        <f>Table3[[#This Row],[Company Name]] &amp; " - " &amp; Table3[[#This Row],[Store Name]] &amp; " - " &amp; Table3[[#This Row],[Store Branch / Address]]</f>
        <v>CINNALAND FOOD CORPORATION - CINNABON - SM DAVAO</v>
      </c>
      <c r="B1314" t="str">
        <f>Table3[[#This Row],[Client ID]] &amp; " - " &amp; Table3[[#This Row],[SO Number]]</f>
        <v>CINNALAND FOOD CORPORATION - CINNABON - SM DAVAO - SO-132</v>
      </c>
      <c r="C1314" t="s">
        <v>684</v>
      </c>
      <c r="D1314" t="s">
        <v>685</v>
      </c>
      <c r="E1314" t="s">
        <v>364</v>
      </c>
      <c r="F1314" t="s">
        <v>686</v>
      </c>
      <c r="G1314" t="s">
        <v>22</v>
      </c>
      <c r="H1314" t="s">
        <v>679</v>
      </c>
      <c r="I1314" t="s">
        <v>24</v>
      </c>
      <c r="J1314">
        <v>1</v>
      </c>
      <c r="K1314">
        <v>1866.67</v>
      </c>
      <c r="L1314">
        <v>5333.33</v>
      </c>
      <c r="M1314">
        <v>5333.33</v>
      </c>
      <c r="N1314" t="s">
        <v>39</v>
      </c>
    </row>
    <row r="1315" spans="1:14" x14ac:dyDescent="0.25">
      <c r="A1315" t="str">
        <f>Table3[[#This Row],[Company Name]] &amp; " - " &amp; Table3[[#This Row],[Store Name]] &amp; " - " &amp; Table3[[#This Row],[Store Branch / Address]]</f>
        <v>CINNALAND FOOD CORPORATION - CINNABON - SM DAVAO</v>
      </c>
      <c r="B1315" t="str">
        <f>Table3[[#This Row],[Client ID]] &amp; " - " &amp; Table3[[#This Row],[SO Number]]</f>
        <v>CINNALAND FOOD CORPORATION - CINNABON - SM DAVAO - SO-132</v>
      </c>
      <c r="C1315" t="s">
        <v>684</v>
      </c>
      <c r="D1315" t="s">
        <v>685</v>
      </c>
      <c r="E1315" t="s">
        <v>364</v>
      </c>
      <c r="F1315" t="s">
        <v>686</v>
      </c>
      <c r="G1315" t="s">
        <v>22</v>
      </c>
      <c r="H1315" t="s">
        <v>679</v>
      </c>
      <c r="I1315" t="s">
        <v>26</v>
      </c>
      <c r="J1315">
        <v>1</v>
      </c>
      <c r="K1315">
        <v>500</v>
      </c>
      <c r="L1315">
        <v>500</v>
      </c>
      <c r="M1315">
        <v>500</v>
      </c>
      <c r="N1315" t="s">
        <v>39</v>
      </c>
    </row>
    <row r="1316" spans="1:14" x14ac:dyDescent="0.25">
      <c r="A1316" t="str">
        <f>Table3[[#This Row],[Company Name]] &amp; " - " &amp; Table3[[#This Row],[Store Name]] &amp; " - " &amp; Table3[[#This Row],[Store Branch / Address]]</f>
        <v>M W TOWNSTORE - M &amp; W - GENERIC</v>
      </c>
      <c r="B1316" t="str">
        <f>Table3[[#This Row],[Client ID]] &amp; " - " &amp; Table3[[#This Row],[SO Number]]</f>
        <v>M W TOWNSTORE - M &amp; W - GENERIC - SO-162</v>
      </c>
      <c r="C1316" t="s">
        <v>797</v>
      </c>
      <c r="D1316" t="s">
        <v>191</v>
      </c>
      <c r="E1316" t="s">
        <v>192</v>
      </c>
      <c r="F1316" t="s">
        <v>15</v>
      </c>
      <c r="G1316" t="s">
        <v>22</v>
      </c>
      <c r="H1316" t="s">
        <v>679</v>
      </c>
      <c r="I1316" t="s">
        <v>581</v>
      </c>
      <c r="J1316">
        <v>2</v>
      </c>
      <c r="K1316">
        <v>9500</v>
      </c>
      <c r="L1316">
        <v>13500</v>
      </c>
      <c r="M1316">
        <v>27000</v>
      </c>
      <c r="N1316" t="s">
        <v>19</v>
      </c>
    </row>
    <row r="1317" spans="1:14" x14ac:dyDescent="0.25">
      <c r="A1317" t="str">
        <f>Table3[[#This Row],[Company Name]] &amp; " - " &amp; Table3[[#This Row],[Store Name]] &amp; " - " &amp; Table3[[#This Row],[Store Branch / Address]]</f>
        <v>M W TOWNSTORE - M &amp; W - GENERIC</v>
      </c>
      <c r="B1317" t="str">
        <f>Table3[[#This Row],[Client ID]] &amp; " - " &amp; Table3[[#This Row],[SO Number]]</f>
        <v>M W TOWNSTORE - M &amp; W - GENERIC - SO-162</v>
      </c>
      <c r="C1317" t="s">
        <v>797</v>
      </c>
      <c r="D1317" t="s">
        <v>191</v>
      </c>
      <c r="E1317" t="s">
        <v>192</v>
      </c>
      <c r="F1317" t="s">
        <v>15</v>
      </c>
      <c r="G1317" t="s">
        <v>22</v>
      </c>
      <c r="H1317" t="s">
        <v>679</v>
      </c>
      <c r="I1317" t="s">
        <v>76</v>
      </c>
      <c r="J1317">
        <v>1</v>
      </c>
      <c r="K1317">
        <v>1500</v>
      </c>
      <c r="L1317">
        <v>1500</v>
      </c>
      <c r="M1317">
        <v>1500</v>
      </c>
      <c r="N1317" t="s">
        <v>19</v>
      </c>
    </row>
    <row r="1318" spans="1:14" x14ac:dyDescent="0.25">
      <c r="A1318" t="str">
        <f>Table3[[#This Row],[Company Name]] &amp; " - " &amp; Table3[[#This Row],[Store Name]] &amp; " - " &amp; Table3[[#This Row],[Store Branch / Address]]</f>
        <v>CHICKEN DELI - GONGCHA - GENERIC</v>
      </c>
      <c r="B1318" t="str">
        <f>Table3[[#This Row],[Client ID]] &amp; " - " &amp; Table3[[#This Row],[SO Number]]</f>
        <v>CHICKEN DELI - GONGCHA - GENERIC - SO-163</v>
      </c>
      <c r="C1318" t="s">
        <v>800</v>
      </c>
      <c r="D1318" t="s">
        <v>20</v>
      </c>
      <c r="E1318" t="s">
        <v>31</v>
      </c>
      <c r="F1318" t="s">
        <v>15</v>
      </c>
      <c r="G1318" t="s">
        <v>22</v>
      </c>
      <c r="H1318" t="s">
        <v>679</v>
      </c>
      <c r="I1318" t="s">
        <v>33</v>
      </c>
      <c r="J1318">
        <v>1</v>
      </c>
      <c r="K1318">
        <v>6500</v>
      </c>
      <c r="L1318">
        <v>6500</v>
      </c>
      <c r="M1318">
        <v>6500</v>
      </c>
      <c r="N1318" t="s">
        <v>19</v>
      </c>
    </row>
    <row r="1319" spans="1:14" x14ac:dyDescent="0.25">
      <c r="A1319" t="str">
        <f>Table3[[#This Row],[Company Name]] &amp; " - " &amp; Table3[[#This Row],[Store Name]] &amp; " - " &amp; Table3[[#This Row],[Store Branch / Address]]</f>
        <v>CHICKEN DELI - GONGCHA - GENERIC</v>
      </c>
      <c r="B1319" t="str">
        <f>Table3[[#This Row],[Client ID]] &amp; " - " &amp; Table3[[#This Row],[SO Number]]</f>
        <v>CHICKEN DELI - GONGCHA - GENERIC - SO-164</v>
      </c>
      <c r="C1319" t="s">
        <v>802</v>
      </c>
      <c r="D1319" t="s">
        <v>20</v>
      </c>
      <c r="E1319" t="s">
        <v>31</v>
      </c>
      <c r="F1319" t="s">
        <v>15</v>
      </c>
      <c r="G1319" t="s">
        <v>22</v>
      </c>
      <c r="H1319" t="s">
        <v>679</v>
      </c>
      <c r="I1319" t="s">
        <v>33</v>
      </c>
      <c r="J1319">
        <v>1</v>
      </c>
      <c r="K1319">
        <v>6500</v>
      </c>
      <c r="L1319">
        <v>6500</v>
      </c>
      <c r="M1319">
        <v>6500</v>
      </c>
      <c r="N1319" t="s">
        <v>19</v>
      </c>
    </row>
    <row r="1320" spans="1:14" x14ac:dyDescent="0.25">
      <c r="A1320" t="str">
        <f>Table3[[#This Row],[Company Name]] &amp; " - " &amp; Table3[[#This Row],[Store Name]] &amp; " - " &amp; Table3[[#This Row],[Store Branch / Address]]</f>
        <v>CHICKEN DELI - GONGCHA - GENERIC</v>
      </c>
      <c r="B1320" t="str">
        <f>Table3[[#This Row],[Client ID]] &amp; " - " &amp; Table3[[#This Row],[SO Number]]</f>
        <v>CHICKEN DELI - GONGCHA - GENERIC - SO-165</v>
      </c>
      <c r="C1320" t="s">
        <v>805</v>
      </c>
      <c r="D1320" t="s">
        <v>20</v>
      </c>
      <c r="E1320" t="s">
        <v>31</v>
      </c>
      <c r="F1320" t="s">
        <v>15</v>
      </c>
      <c r="G1320" t="s">
        <v>22</v>
      </c>
      <c r="H1320" t="s">
        <v>679</v>
      </c>
      <c r="I1320" t="s">
        <v>33</v>
      </c>
      <c r="J1320">
        <v>1</v>
      </c>
      <c r="K1320">
        <v>6500</v>
      </c>
      <c r="L1320">
        <v>6500</v>
      </c>
      <c r="M1320">
        <v>6500</v>
      </c>
      <c r="N1320" t="s">
        <v>19</v>
      </c>
    </row>
    <row r="1321" spans="1:14" x14ac:dyDescent="0.25">
      <c r="A1321" t="str">
        <f>Table3[[#This Row],[Company Name]] &amp; " - " &amp; Table3[[#This Row],[Store Name]] &amp; " - " &amp; Table3[[#This Row],[Store Branch / Address]]</f>
        <v>CHICKEN DELI - GONGCHA - GENERIC</v>
      </c>
      <c r="B1321" t="str">
        <f>Table3[[#This Row],[Client ID]] &amp; " - " &amp; Table3[[#This Row],[SO Number]]</f>
        <v>CHICKEN DELI - GONGCHA - GENERIC - SO-166</v>
      </c>
      <c r="C1321" t="s">
        <v>810</v>
      </c>
      <c r="D1321" t="s">
        <v>20</v>
      </c>
      <c r="E1321" t="s">
        <v>31</v>
      </c>
      <c r="F1321" t="s">
        <v>15</v>
      </c>
      <c r="G1321" t="s">
        <v>22</v>
      </c>
      <c r="H1321" t="s">
        <v>679</v>
      </c>
      <c r="I1321" t="s">
        <v>33</v>
      </c>
      <c r="J1321">
        <v>2</v>
      </c>
      <c r="K1321">
        <v>6500</v>
      </c>
      <c r="L1321">
        <v>6500</v>
      </c>
      <c r="M1321">
        <v>13000</v>
      </c>
      <c r="N1321" t="s">
        <v>19</v>
      </c>
    </row>
    <row r="1322" spans="1:14" x14ac:dyDescent="0.25">
      <c r="A1322" t="str">
        <f>Table3[[#This Row],[Company Name]] &amp; " - " &amp; Table3[[#This Row],[Store Name]] &amp; " - " &amp; Table3[[#This Row],[Store Branch / Address]]</f>
        <v>DE LA PENA MARICAR LANASA - MANNY'S SEAFOOD AND GRILL - AYALA MALL BACOLOD</v>
      </c>
      <c r="B1322" t="str">
        <f>Table3[[#This Row],[Client ID]] &amp; " - " &amp; Table3[[#This Row],[SO Number]]</f>
        <v>DE LA PENA MARICAR LANASA - MANNY'S SEAFOOD AND GRILL - AYALA MALL BACOLOD - SO-133</v>
      </c>
      <c r="C1322" t="s">
        <v>689</v>
      </c>
      <c r="D1322" t="s">
        <v>693</v>
      </c>
      <c r="E1322" t="s">
        <v>694</v>
      </c>
      <c r="F1322" t="s">
        <v>695</v>
      </c>
      <c r="G1322" t="s">
        <v>22</v>
      </c>
      <c r="H1322" t="s">
        <v>696</v>
      </c>
      <c r="I1322" t="s">
        <v>687</v>
      </c>
      <c r="J1322">
        <v>1</v>
      </c>
      <c r="K1322">
        <v>3675</v>
      </c>
      <c r="L1322">
        <v>10500</v>
      </c>
      <c r="M1322">
        <v>10500</v>
      </c>
      <c r="N1322" t="s">
        <v>39</v>
      </c>
    </row>
    <row r="1323" spans="1:14" x14ac:dyDescent="0.25">
      <c r="A1323" t="str">
        <f>Table3[[#This Row],[Company Name]] &amp; " - " &amp; Table3[[#This Row],[Store Name]] &amp; " - " &amp; Table3[[#This Row],[Store Branch / Address]]</f>
        <v>DE LA PENA MARICAR LANASA - MANNY'S SEAFOOD AND GRILL - AYALA MALL BACOLOD</v>
      </c>
      <c r="B1323" t="str">
        <f>Table3[[#This Row],[Client ID]] &amp; " - " &amp; Table3[[#This Row],[SO Number]]</f>
        <v>DE LA PENA MARICAR LANASA - MANNY'S SEAFOOD AND GRILL - AYALA MALL BACOLOD - SO-133</v>
      </c>
      <c r="C1323" t="s">
        <v>689</v>
      </c>
      <c r="D1323" t="s">
        <v>693</v>
      </c>
      <c r="E1323" t="s">
        <v>694</v>
      </c>
      <c r="F1323" t="s">
        <v>695</v>
      </c>
      <c r="G1323" t="s">
        <v>22</v>
      </c>
      <c r="H1323" t="s">
        <v>696</v>
      </c>
      <c r="I1323" t="s">
        <v>48</v>
      </c>
      <c r="J1323">
        <v>1</v>
      </c>
      <c r="K1323">
        <v>4200</v>
      </c>
      <c r="L1323">
        <v>12000</v>
      </c>
      <c r="M1323">
        <v>12000</v>
      </c>
      <c r="N1323" t="s">
        <v>39</v>
      </c>
    </row>
    <row r="1324" spans="1:14" x14ac:dyDescent="0.25">
      <c r="A1324" t="str">
        <f>Table3[[#This Row],[Company Name]] &amp; " - " &amp; Table3[[#This Row],[Store Name]] &amp; " - " &amp; Table3[[#This Row],[Store Branch / Address]]</f>
        <v>DE LA PENA MARICAR LANASA - MANNY'S SEAFOOD AND GRILL - AYALA MALL BACOLOD</v>
      </c>
      <c r="B1324" t="str">
        <f>Table3[[#This Row],[Client ID]] &amp; " - " &amp; Table3[[#This Row],[SO Number]]</f>
        <v>DE LA PENA MARICAR LANASA - MANNY'S SEAFOOD AND GRILL - AYALA MALL BACOLOD - SO-133</v>
      </c>
      <c r="C1324" t="s">
        <v>689</v>
      </c>
      <c r="D1324" t="s">
        <v>693</v>
      </c>
      <c r="E1324" t="s">
        <v>694</v>
      </c>
      <c r="F1324" t="s">
        <v>695</v>
      </c>
      <c r="G1324" t="s">
        <v>22</v>
      </c>
      <c r="H1324" t="s">
        <v>696</v>
      </c>
      <c r="I1324" t="s">
        <v>24</v>
      </c>
      <c r="J1324">
        <v>1</v>
      </c>
      <c r="K1324">
        <v>4200</v>
      </c>
      <c r="L1324">
        <v>12000</v>
      </c>
      <c r="M1324">
        <v>12000</v>
      </c>
      <c r="N1324" t="s">
        <v>39</v>
      </c>
    </row>
    <row r="1325" spans="1:14" x14ac:dyDescent="0.25">
      <c r="A1325" t="str">
        <f>Table3[[#This Row],[Company Name]] &amp; " - " &amp; Table3[[#This Row],[Store Name]] &amp; " - " &amp; Table3[[#This Row],[Store Branch / Address]]</f>
        <v>DE LA PENA MARICAR LANASA - MANNY'S SEAFOOD AND GRILL - AYALA MALL BACOLOD</v>
      </c>
      <c r="B1325" t="str">
        <f>Table3[[#This Row],[Client ID]] &amp; " - " &amp; Table3[[#This Row],[SO Number]]</f>
        <v>DE LA PENA MARICAR LANASA - MANNY'S SEAFOOD AND GRILL - AYALA MALL BACOLOD - SO-133</v>
      </c>
      <c r="C1325" t="s">
        <v>689</v>
      </c>
      <c r="D1325" t="s">
        <v>693</v>
      </c>
      <c r="E1325" t="s">
        <v>694</v>
      </c>
      <c r="F1325" t="s">
        <v>695</v>
      </c>
      <c r="G1325" t="s">
        <v>22</v>
      </c>
      <c r="H1325" t="s">
        <v>696</v>
      </c>
      <c r="I1325" t="s">
        <v>26</v>
      </c>
      <c r="J1325">
        <v>1</v>
      </c>
      <c r="K1325">
        <v>500</v>
      </c>
      <c r="L1325">
        <v>500</v>
      </c>
      <c r="M1325">
        <v>500</v>
      </c>
      <c r="N1325" t="s">
        <v>39</v>
      </c>
    </row>
    <row r="1326" spans="1:14" x14ac:dyDescent="0.25">
      <c r="A1326" t="str">
        <f>Table3[[#This Row],[Company Name]] &amp; " - " &amp; Table3[[#This Row],[Store Name]] &amp; " - " &amp; Table3[[#This Row],[Store Branch / Address]]</f>
        <v>CHICKEN DELI - HUE PALAWAN - GENERIC</v>
      </c>
      <c r="B1326" t="str">
        <f>Table3[[#This Row],[Client ID]] &amp; " - " &amp; Table3[[#This Row],[SO Number]]</f>
        <v>CHICKEN DELI - HUE PALAWAN - GENERIC - SO-167</v>
      </c>
      <c r="C1326" t="s">
        <v>812</v>
      </c>
      <c r="D1326" t="s">
        <v>20</v>
      </c>
      <c r="E1326" t="s">
        <v>813</v>
      </c>
      <c r="F1326" t="s">
        <v>15</v>
      </c>
      <c r="G1326" t="s">
        <v>22</v>
      </c>
      <c r="H1326" t="s">
        <v>696</v>
      </c>
      <c r="I1326" t="s">
        <v>322</v>
      </c>
      <c r="J1326">
        <v>2</v>
      </c>
      <c r="K1326">
        <v>3675</v>
      </c>
      <c r="L1326">
        <v>10500</v>
      </c>
      <c r="M1326">
        <v>21000</v>
      </c>
      <c r="N1326" t="s">
        <v>19</v>
      </c>
    </row>
    <row r="1327" spans="1:14" x14ac:dyDescent="0.25">
      <c r="A1327" t="str">
        <f>Table3[[#This Row],[Company Name]] &amp; " - " &amp; Table3[[#This Row],[Store Name]] &amp; " - " &amp; Table3[[#This Row],[Store Branch / Address]]</f>
        <v>CHICKEN DELI - HUE PALAWAN - GENERIC</v>
      </c>
      <c r="B1327" t="str">
        <f>Table3[[#This Row],[Client ID]] &amp; " - " &amp; Table3[[#This Row],[SO Number]]</f>
        <v>CHICKEN DELI - HUE PALAWAN - GENERIC - SO-167</v>
      </c>
      <c r="C1327" t="s">
        <v>812</v>
      </c>
      <c r="D1327" t="s">
        <v>20</v>
      </c>
      <c r="E1327" t="s">
        <v>813</v>
      </c>
      <c r="F1327" t="s">
        <v>15</v>
      </c>
      <c r="G1327" t="s">
        <v>22</v>
      </c>
      <c r="H1327" t="s">
        <v>696</v>
      </c>
      <c r="I1327" t="s">
        <v>170</v>
      </c>
      <c r="J1327">
        <v>2</v>
      </c>
      <c r="K1327">
        <v>30000</v>
      </c>
      <c r="L1327">
        <v>30000</v>
      </c>
      <c r="M1327">
        <v>60000</v>
      </c>
      <c r="N1327" t="s">
        <v>19</v>
      </c>
    </row>
    <row r="1328" spans="1:14" x14ac:dyDescent="0.25">
      <c r="A1328" t="str">
        <f>Table3[[#This Row],[Company Name]] &amp; " - " &amp; Table3[[#This Row],[Store Name]] &amp; " - " &amp; Table3[[#This Row],[Store Branch / Address]]</f>
        <v>CHICKEN DELI - HUE PALAWAN - GENERIC</v>
      </c>
      <c r="B1328" t="str">
        <f>Table3[[#This Row],[Client ID]] &amp; " - " &amp; Table3[[#This Row],[SO Number]]</f>
        <v>CHICKEN DELI - HUE PALAWAN - GENERIC - SO-167</v>
      </c>
      <c r="C1328" t="s">
        <v>812</v>
      </c>
      <c r="D1328" t="s">
        <v>20</v>
      </c>
      <c r="E1328" t="s">
        <v>813</v>
      </c>
      <c r="F1328" t="s">
        <v>15</v>
      </c>
      <c r="G1328" t="s">
        <v>22</v>
      </c>
      <c r="H1328" t="s">
        <v>696</v>
      </c>
      <c r="I1328" t="s">
        <v>24</v>
      </c>
      <c r="J1328">
        <v>2</v>
      </c>
      <c r="K1328">
        <v>30000</v>
      </c>
      <c r="L1328">
        <v>30000</v>
      </c>
      <c r="M1328">
        <v>60000</v>
      </c>
      <c r="N1328" t="s">
        <v>19</v>
      </c>
    </row>
    <row r="1329" spans="1:14" x14ac:dyDescent="0.25">
      <c r="A1329" t="str">
        <f>Table3[[#This Row],[Company Name]] &amp; " - " &amp; Table3[[#This Row],[Store Name]] &amp; " - " &amp; Table3[[#This Row],[Store Branch / Address]]</f>
        <v>CHICKEN DELI - HUE PALAWAN - GENERIC</v>
      </c>
      <c r="B1329" t="str">
        <f>Table3[[#This Row],[Client ID]] &amp; " - " &amp; Table3[[#This Row],[SO Number]]</f>
        <v>CHICKEN DELI - HUE PALAWAN - GENERIC - SO-167</v>
      </c>
      <c r="C1329" t="s">
        <v>812</v>
      </c>
      <c r="D1329" t="s">
        <v>20</v>
      </c>
      <c r="E1329" t="s">
        <v>813</v>
      </c>
      <c r="F1329" t="s">
        <v>15</v>
      </c>
      <c r="G1329" t="s">
        <v>22</v>
      </c>
      <c r="H1329" t="s">
        <v>696</v>
      </c>
      <c r="I1329" t="s">
        <v>316</v>
      </c>
      <c r="J1329">
        <v>2</v>
      </c>
      <c r="K1329">
        <v>500</v>
      </c>
      <c r="L1329">
        <v>500</v>
      </c>
      <c r="M1329">
        <v>1000</v>
      </c>
      <c r="N1329" t="s">
        <v>19</v>
      </c>
    </row>
    <row r="1330" spans="1:14" x14ac:dyDescent="0.25">
      <c r="A1330" t="str">
        <f>Table3[[#This Row],[Company Name]] &amp; " - " &amp; Table3[[#This Row],[Store Name]] &amp; " - " &amp; Table3[[#This Row],[Store Branch / Address]]</f>
        <v>CHICKEN DELI - HUE PALAWAN - GENERIC</v>
      </c>
      <c r="B1330" t="str">
        <f>Table3[[#This Row],[Client ID]] &amp; " - " &amp; Table3[[#This Row],[SO Number]]</f>
        <v>CHICKEN DELI - HUE PALAWAN - GENERIC - SO-167</v>
      </c>
      <c r="C1330" t="s">
        <v>812</v>
      </c>
      <c r="D1330" t="s">
        <v>20</v>
      </c>
      <c r="E1330" t="s">
        <v>813</v>
      </c>
      <c r="F1330" t="s">
        <v>15</v>
      </c>
      <c r="G1330" t="s">
        <v>22</v>
      </c>
      <c r="H1330" t="s">
        <v>696</v>
      </c>
      <c r="I1330" t="s">
        <v>323</v>
      </c>
      <c r="J1330">
        <v>2</v>
      </c>
      <c r="K1330">
        <v>3500</v>
      </c>
      <c r="L1330">
        <v>10000</v>
      </c>
      <c r="M1330">
        <v>20000</v>
      </c>
      <c r="N1330" t="s">
        <v>19</v>
      </c>
    </row>
    <row r="1331" spans="1:14" x14ac:dyDescent="0.25">
      <c r="A1331" t="str">
        <f>Table3[[#This Row],[Company Name]] &amp; " - " &amp; Table3[[#This Row],[Store Name]] &amp; " - " &amp; Table3[[#This Row],[Store Branch / Address]]</f>
        <v>CHICKEN DELI - HUE PALAWAN - GENERIC</v>
      </c>
      <c r="B1331" t="str">
        <f>Table3[[#This Row],[Client ID]] &amp; " - " &amp; Table3[[#This Row],[SO Number]]</f>
        <v>CHICKEN DELI - HUE PALAWAN - GENERIC - SO-167</v>
      </c>
      <c r="C1331" t="s">
        <v>812</v>
      </c>
      <c r="D1331" t="s">
        <v>20</v>
      </c>
      <c r="E1331" t="s">
        <v>813</v>
      </c>
      <c r="F1331" t="s">
        <v>15</v>
      </c>
      <c r="G1331" t="s">
        <v>22</v>
      </c>
      <c r="H1331" t="s">
        <v>696</v>
      </c>
      <c r="I1331" t="s">
        <v>324</v>
      </c>
      <c r="J1331">
        <v>1</v>
      </c>
      <c r="K1331">
        <v>17500</v>
      </c>
      <c r="L1331">
        <v>50000</v>
      </c>
      <c r="M1331">
        <v>50000</v>
      </c>
      <c r="N1331" t="s">
        <v>19</v>
      </c>
    </row>
    <row r="1332" spans="1:14" x14ac:dyDescent="0.25">
      <c r="A1332" t="str">
        <f>Table3[[#This Row],[Company Name]] &amp; " - " &amp; Table3[[#This Row],[Store Name]] &amp; " - " &amp; Table3[[#This Row],[Store Branch / Address]]</f>
        <v>CHICKEN DELI - HUE PALAWAN - GENERIC</v>
      </c>
      <c r="B1332" t="str">
        <f>Table3[[#This Row],[Client ID]] &amp; " - " &amp; Table3[[#This Row],[SO Number]]</f>
        <v>CHICKEN DELI - HUE PALAWAN - GENERIC - SO-167</v>
      </c>
      <c r="C1332" t="s">
        <v>812</v>
      </c>
      <c r="D1332" t="s">
        <v>20</v>
      </c>
      <c r="E1332" t="s">
        <v>813</v>
      </c>
      <c r="F1332" t="s">
        <v>15</v>
      </c>
      <c r="G1332" t="s">
        <v>22</v>
      </c>
      <c r="H1332" t="s">
        <v>696</v>
      </c>
      <c r="I1332" t="s">
        <v>170</v>
      </c>
      <c r="J1332">
        <v>1</v>
      </c>
      <c r="K1332">
        <v>25500</v>
      </c>
      <c r="L1332">
        <v>25500</v>
      </c>
      <c r="M1332">
        <v>25500</v>
      </c>
      <c r="N1332" t="s">
        <v>19</v>
      </c>
    </row>
    <row r="1333" spans="1:14" x14ac:dyDescent="0.25">
      <c r="A1333" t="str">
        <f>Table3[[#This Row],[Company Name]] &amp; " - " &amp; Table3[[#This Row],[Store Name]] &amp; " - " &amp; Table3[[#This Row],[Store Branch / Address]]</f>
        <v>CHICKEN DELI - HUE PALAWAN - GENERIC</v>
      </c>
      <c r="B1333" t="str">
        <f>Table3[[#This Row],[Client ID]] &amp; " - " &amp; Table3[[#This Row],[SO Number]]</f>
        <v>CHICKEN DELI - HUE PALAWAN - GENERIC - SO-167</v>
      </c>
      <c r="C1333" t="s">
        <v>812</v>
      </c>
      <c r="D1333" t="s">
        <v>20</v>
      </c>
      <c r="E1333" t="s">
        <v>813</v>
      </c>
      <c r="F1333" t="s">
        <v>15</v>
      </c>
      <c r="G1333" t="s">
        <v>22</v>
      </c>
      <c r="H1333" t="s">
        <v>696</v>
      </c>
      <c r="I1333" t="s">
        <v>24</v>
      </c>
      <c r="J1333">
        <v>1</v>
      </c>
      <c r="K1333">
        <v>25500</v>
      </c>
      <c r="L1333">
        <v>25500</v>
      </c>
      <c r="M1333">
        <v>25500</v>
      </c>
      <c r="N1333" t="s">
        <v>19</v>
      </c>
    </row>
    <row r="1334" spans="1:14" x14ac:dyDescent="0.25">
      <c r="A1334" t="str">
        <f>Table3[[#This Row],[Company Name]] &amp; " - " &amp; Table3[[#This Row],[Store Name]] &amp; " - " &amp; Table3[[#This Row],[Store Branch / Address]]</f>
        <v>CHICKEN DELI - HUE PALAWAN - GENERIC</v>
      </c>
      <c r="B1334" t="str">
        <f>Table3[[#This Row],[Client ID]] &amp; " - " &amp; Table3[[#This Row],[SO Number]]</f>
        <v>CHICKEN DELI - HUE PALAWAN - GENERIC - SO-167</v>
      </c>
      <c r="C1334" t="s">
        <v>812</v>
      </c>
      <c r="D1334" t="s">
        <v>20</v>
      </c>
      <c r="E1334" t="s">
        <v>813</v>
      </c>
      <c r="F1334" t="s">
        <v>15</v>
      </c>
      <c r="G1334" t="s">
        <v>22</v>
      </c>
      <c r="H1334" t="s">
        <v>696</v>
      </c>
      <c r="I1334" t="s">
        <v>325</v>
      </c>
      <c r="J1334">
        <v>2</v>
      </c>
      <c r="K1334">
        <v>21500</v>
      </c>
      <c r="L1334">
        <v>31000</v>
      </c>
      <c r="M1334">
        <v>62000</v>
      </c>
      <c r="N1334" t="s">
        <v>19</v>
      </c>
    </row>
    <row r="1335" spans="1:14" x14ac:dyDescent="0.25">
      <c r="A1335" t="str">
        <f>Table3[[#This Row],[Company Name]] &amp; " - " &amp; Table3[[#This Row],[Store Name]] &amp; " - " &amp; Table3[[#This Row],[Store Branch / Address]]</f>
        <v>CHICKEN DELI - HUE PALAWAN - GENERIC</v>
      </c>
      <c r="B1335" t="str">
        <f>Table3[[#This Row],[Client ID]] &amp; " - " &amp; Table3[[#This Row],[SO Number]]</f>
        <v>CHICKEN DELI - HUE PALAWAN - GENERIC - SO-167</v>
      </c>
      <c r="C1335" t="s">
        <v>812</v>
      </c>
      <c r="D1335" t="s">
        <v>20</v>
      </c>
      <c r="E1335" t="s">
        <v>813</v>
      </c>
      <c r="F1335" t="s">
        <v>15</v>
      </c>
      <c r="G1335" t="s">
        <v>22</v>
      </c>
      <c r="H1335" t="s">
        <v>696</v>
      </c>
      <c r="I1335" t="s">
        <v>326</v>
      </c>
      <c r="J1335">
        <v>2</v>
      </c>
      <c r="K1335">
        <v>18500</v>
      </c>
      <c r="L1335">
        <v>26500</v>
      </c>
      <c r="M1335">
        <v>53000</v>
      </c>
      <c r="N1335" t="s">
        <v>19</v>
      </c>
    </row>
    <row r="1336" spans="1:14" x14ac:dyDescent="0.25">
      <c r="A1336" t="str">
        <f>Table3[[#This Row],[Company Name]] &amp; " - " &amp; Table3[[#This Row],[Store Name]] &amp; " - " &amp; Table3[[#This Row],[Store Branch / Address]]</f>
        <v>CHICKEN DELI - HUE PALAWAN - GENERIC</v>
      </c>
      <c r="B1336" t="str">
        <f>Table3[[#This Row],[Client ID]] &amp; " - " &amp; Table3[[#This Row],[SO Number]]</f>
        <v>CHICKEN DELI - HUE PALAWAN - GENERIC - SO-167</v>
      </c>
      <c r="C1336" t="s">
        <v>812</v>
      </c>
      <c r="D1336" t="s">
        <v>20</v>
      </c>
      <c r="E1336" t="s">
        <v>813</v>
      </c>
      <c r="F1336" t="s">
        <v>15</v>
      </c>
      <c r="G1336" t="s">
        <v>22</v>
      </c>
      <c r="H1336" t="s">
        <v>696</v>
      </c>
      <c r="I1336" t="s">
        <v>116</v>
      </c>
      <c r="J1336">
        <v>2</v>
      </c>
      <c r="K1336">
        <v>1350</v>
      </c>
      <c r="L1336">
        <v>2000</v>
      </c>
      <c r="M1336">
        <v>4000</v>
      </c>
      <c r="N1336" t="s">
        <v>19</v>
      </c>
    </row>
    <row r="1337" spans="1:14" x14ac:dyDescent="0.25">
      <c r="A1337" t="str">
        <f>Table3[[#This Row],[Company Name]] &amp; " - " &amp; Table3[[#This Row],[Store Name]] &amp; " - " &amp; Table3[[#This Row],[Store Branch / Address]]</f>
        <v>CHICKEN DELI - HUE PALAWAN - GENERIC</v>
      </c>
      <c r="B1337" t="str">
        <f>Table3[[#This Row],[Client ID]] &amp; " - " &amp; Table3[[#This Row],[SO Number]]</f>
        <v>CHICKEN DELI - HUE PALAWAN - GENERIC - SO-167</v>
      </c>
      <c r="C1337" t="s">
        <v>812</v>
      </c>
      <c r="D1337" t="s">
        <v>20</v>
      </c>
      <c r="E1337" t="s">
        <v>813</v>
      </c>
      <c r="F1337" t="s">
        <v>15</v>
      </c>
      <c r="G1337" t="s">
        <v>22</v>
      </c>
      <c r="H1337" t="s">
        <v>696</v>
      </c>
      <c r="I1337" t="s">
        <v>814</v>
      </c>
      <c r="J1337">
        <v>1</v>
      </c>
      <c r="K1337">
        <v>7500</v>
      </c>
      <c r="L1337">
        <v>11500</v>
      </c>
      <c r="M1337">
        <v>11500</v>
      </c>
      <c r="N1337" t="s">
        <v>19</v>
      </c>
    </row>
    <row r="1338" spans="1:14" x14ac:dyDescent="0.25">
      <c r="A1338" t="str">
        <f>Table3[[#This Row],[Company Name]] &amp; " - " &amp; Table3[[#This Row],[Store Name]] &amp; " - " &amp; Table3[[#This Row],[Store Branch / Address]]</f>
        <v>CHICKEN DELI - HUE PALAWAN - GENERIC</v>
      </c>
      <c r="B1338" t="str">
        <f>Table3[[#This Row],[Client ID]] &amp; " - " &amp; Table3[[#This Row],[SO Number]]</f>
        <v>CHICKEN DELI - HUE PALAWAN - GENERIC - SO-167</v>
      </c>
      <c r="C1338" t="s">
        <v>812</v>
      </c>
      <c r="D1338" t="s">
        <v>20</v>
      </c>
      <c r="E1338" t="s">
        <v>813</v>
      </c>
      <c r="F1338" t="s">
        <v>15</v>
      </c>
      <c r="G1338" t="s">
        <v>22</v>
      </c>
      <c r="H1338" t="s">
        <v>696</v>
      </c>
      <c r="I1338" t="s">
        <v>328</v>
      </c>
      <c r="J1338">
        <v>1</v>
      </c>
      <c r="K1338">
        <v>24330</v>
      </c>
      <c r="L1338">
        <v>34000</v>
      </c>
      <c r="M1338">
        <v>34000</v>
      </c>
      <c r="N1338" t="s">
        <v>19</v>
      </c>
    </row>
    <row r="1339" spans="1:14" x14ac:dyDescent="0.25">
      <c r="A1339" t="str">
        <f>Table3[[#This Row],[Company Name]] &amp; " - " &amp; Table3[[#This Row],[Store Name]] &amp; " - " &amp; Table3[[#This Row],[Store Branch / Address]]</f>
        <v>CHICKEN DELI - HUE PALAWAN - GENERIC</v>
      </c>
      <c r="B1339" t="str">
        <f>Table3[[#This Row],[Client ID]] &amp; " - " &amp; Table3[[#This Row],[SO Number]]</f>
        <v>CHICKEN DELI - HUE PALAWAN - GENERIC - SO-167</v>
      </c>
      <c r="C1339" t="s">
        <v>812</v>
      </c>
      <c r="D1339" t="s">
        <v>20</v>
      </c>
      <c r="E1339" t="s">
        <v>813</v>
      </c>
      <c r="F1339" t="s">
        <v>15</v>
      </c>
      <c r="G1339" t="s">
        <v>22</v>
      </c>
      <c r="H1339" t="s">
        <v>696</v>
      </c>
      <c r="I1339" t="s">
        <v>329</v>
      </c>
      <c r="J1339">
        <v>1</v>
      </c>
      <c r="K1339">
        <v>4250</v>
      </c>
      <c r="L1339">
        <v>6000</v>
      </c>
      <c r="M1339">
        <v>6000</v>
      </c>
      <c r="N1339" t="s">
        <v>19</v>
      </c>
    </row>
    <row r="1340" spans="1:14" x14ac:dyDescent="0.25">
      <c r="A1340" t="str">
        <f>Table3[[#This Row],[Company Name]] &amp; " - " &amp; Table3[[#This Row],[Store Name]] &amp; " - " &amp; Table3[[#This Row],[Store Branch / Address]]</f>
        <v>CHICKEN DELI - HUE PALAWAN - GENERIC</v>
      </c>
      <c r="B1340" t="str">
        <f>Table3[[#This Row],[Client ID]] &amp; " - " &amp; Table3[[#This Row],[SO Number]]</f>
        <v>CHICKEN DELI - HUE PALAWAN - GENERIC - SO-167</v>
      </c>
      <c r="C1340" t="s">
        <v>812</v>
      </c>
      <c r="D1340" t="s">
        <v>20</v>
      </c>
      <c r="E1340" t="s">
        <v>813</v>
      </c>
      <c r="F1340" t="s">
        <v>15</v>
      </c>
      <c r="G1340" t="s">
        <v>22</v>
      </c>
      <c r="H1340" t="s">
        <v>696</v>
      </c>
      <c r="I1340" t="s">
        <v>76</v>
      </c>
      <c r="J1340">
        <v>1</v>
      </c>
      <c r="K1340">
        <v>1100</v>
      </c>
      <c r="L1340">
        <v>1100</v>
      </c>
      <c r="M1340">
        <v>1100</v>
      </c>
      <c r="N1340" t="s">
        <v>19</v>
      </c>
    </row>
    <row r="1341" spans="1:14" x14ac:dyDescent="0.25">
      <c r="A1341" t="str">
        <f>Table3[[#This Row],[Company Name]] &amp; " - " &amp; Table3[[#This Row],[Store Name]] &amp; " - " &amp; Table3[[#This Row],[Store Branch / Address]]</f>
        <v>CHICKEN DELI - HUE PALAWAN - GENERIC</v>
      </c>
      <c r="B1341" t="str">
        <f>Table3[[#This Row],[Client ID]] &amp; " - " &amp; Table3[[#This Row],[SO Number]]</f>
        <v>CHICKEN DELI - HUE PALAWAN - GENERIC - SO-167</v>
      </c>
      <c r="C1341" t="s">
        <v>812</v>
      </c>
      <c r="D1341" t="s">
        <v>20</v>
      </c>
      <c r="E1341" t="s">
        <v>813</v>
      </c>
      <c r="F1341" t="s">
        <v>15</v>
      </c>
      <c r="G1341" t="s">
        <v>22</v>
      </c>
      <c r="H1341" t="s">
        <v>696</v>
      </c>
      <c r="I1341" t="s">
        <v>331</v>
      </c>
      <c r="J1341">
        <v>1</v>
      </c>
      <c r="K1341">
        <v>40000</v>
      </c>
      <c r="L1341">
        <v>40000</v>
      </c>
      <c r="M1341">
        <v>40000</v>
      </c>
      <c r="N1341" t="s">
        <v>19</v>
      </c>
    </row>
    <row r="1342" spans="1:14" x14ac:dyDescent="0.25">
      <c r="A1342" t="str">
        <f>Table3[[#This Row],[Company Name]] &amp; " - " &amp; Table3[[#This Row],[Store Name]] &amp; " - " &amp; Table3[[#This Row],[Store Branch / Address]]</f>
        <v>CHICKEN DELI - HUE PALAWAN - GENERIC</v>
      </c>
      <c r="B1342" t="str">
        <f>Table3[[#This Row],[Client ID]] &amp; " - " &amp; Table3[[#This Row],[SO Number]]</f>
        <v>CHICKEN DELI - HUE PALAWAN - GENERIC - SO-167</v>
      </c>
      <c r="C1342" t="s">
        <v>812</v>
      </c>
      <c r="D1342" t="s">
        <v>20</v>
      </c>
      <c r="E1342" t="s">
        <v>813</v>
      </c>
      <c r="F1342" t="s">
        <v>15</v>
      </c>
      <c r="G1342" t="s">
        <v>22</v>
      </c>
      <c r="H1342" t="s">
        <v>696</v>
      </c>
      <c r="I1342" t="s">
        <v>692</v>
      </c>
      <c r="J1342">
        <v>3</v>
      </c>
      <c r="K1342">
        <v>550</v>
      </c>
      <c r="L1342">
        <v>800</v>
      </c>
      <c r="M1342">
        <v>2400</v>
      </c>
      <c r="N1342" t="s">
        <v>19</v>
      </c>
    </row>
    <row r="1343" spans="1:14" x14ac:dyDescent="0.25">
      <c r="A1343" t="str">
        <f>Table3[[#This Row],[Company Name]] &amp; " - " &amp; Table3[[#This Row],[Store Name]] &amp; " - " &amp; Table3[[#This Row],[Store Branch / Address]]</f>
        <v>CHICKEN DELI - HUE SIARGAO - GENERIC</v>
      </c>
      <c r="B1343" t="str">
        <f>Table3[[#This Row],[Client ID]] &amp; " - " &amp; Table3[[#This Row],[SO Number]]</f>
        <v>CHICKEN DELI - HUE SIARGAO - GENERIC - SO-168</v>
      </c>
      <c r="C1343" t="s">
        <v>816</v>
      </c>
      <c r="D1343" t="s">
        <v>20</v>
      </c>
      <c r="E1343" t="s">
        <v>821</v>
      </c>
      <c r="F1343" t="s">
        <v>15</v>
      </c>
      <c r="G1343" t="s">
        <v>22</v>
      </c>
      <c r="H1343" t="s">
        <v>696</v>
      </c>
      <c r="I1343" t="s">
        <v>322</v>
      </c>
      <c r="J1343">
        <v>2</v>
      </c>
      <c r="K1343">
        <v>3675</v>
      </c>
      <c r="L1343">
        <v>10500</v>
      </c>
      <c r="M1343">
        <v>21000</v>
      </c>
      <c r="N1343" t="s">
        <v>19</v>
      </c>
    </row>
    <row r="1344" spans="1:14" x14ac:dyDescent="0.25">
      <c r="A1344" t="str">
        <f>Table3[[#This Row],[Company Name]] &amp; " - " &amp; Table3[[#This Row],[Store Name]] &amp; " - " &amp; Table3[[#This Row],[Store Branch / Address]]</f>
        <v>CHICKEN DELI - HUE SIARGAO - GENERIC</v>
      </c>
      <c r="B1344" t="str">
        <f>Table3[[#This Row],[Client ID]] &amp; " - " &amp; Table3[[#This Row],[SO Number]]</f>
        <v>CHICKEN DELI - HUE SIARGAO - GENERIC - SO-168</v>
      </c>
      <c r="C1344" t="s">
        <v>816</v>
      </c>
      <c r="D1344" t="s">
        <v>20</v>
      </c>
      <c r="E1344" t="s">
        <v>821</v>
      </c>
      <c r="F1344" t="s">
        <v>15</v>
      </c>
      <c r="G1344" t="s">
        <v>22</v>
      </c>
      <c r="H1344" t="s">
        <v>696</v>
      </c>
      <c r="I1344" t="s">
        <v>170</v>
      </c>
      <c r="J1344">
        <v>2</v>
      </c>
      <c r="K1344">
        <v>30000</v>
      </c>
      <c r="L1344">
        <v>30000</v>
      </c>
      <c r="M1344">
        <v>60000</v>
      </c>
      <c r="N1344" t="s">
        <v>19</v>
      </c>
    </row>
    <row r="1345" spans="1:14" x14ac:dyDescent="0.25">
      <c r="A1345" t="str">
        <f>Table3[[#This Row],[Company Name]] &amp; " - " &amp; Table3[[#This Row],[Store Name]] &amp; " - " &amp; Table3[[#This Row],[Store Branch / Address]]</f>
        <v>CHICKEN DELI - HUE SIARGAO - GENERIC</v>
      </c>
      <c r="B1345" t="str">
        <f>Table3[[#This Row],[Client ID]] &amp; " - " &amp; Table3[[#This Row],[SO Number]]</f>
        <v>CHICKEN DELI - HUE SIARGAO - GENERIC - SO-168</v>
      </c>
      <c r="C1345" t="s">
        <v>816</v>
      </c>
      <c r="D1345" t="s">
        <v>20</v>
      </c>
      <c r="E1345" t="s">
        <v>821</v>
      </c>
      <c r="F1345" t="s">
        <v>15</v>
      </c>
      <c r="G1345" t="s">
        <v>22</v>
      </c>
      <c r="H1345" t="s">
        <v>696</v>
      </c>
      <c r="I1345" t="s">
        <v>24</v>
      </c>
      <c r="J1345">
        <v>2</v>
      </c>
      <c r="K1345">
        <v>30000</v>
      </c>
      <c r="L1345">
        <v>30000</v>
      </c>
      <c r="M1345">
        <v>60000</v>
      </c>
      <c r="N1345" t="s">
        <v>19</v>
      </c>
    </row>
    <row r="1346" spans="1:14" x14ac:dyDescent="0.25">
      <c r="A1346" t="str">
        <f>Table3[[#This Row],[Company Name]] &amp; " - " &amp; Table3[[#This Row],[Store Name]] &amp; " - " &amp; Table3[[#This Row],[Store Branch / Address]]</f>
        <v>CHICKEN DELI - HUE SIARGAO - GENERIC</v>
      </c>
      <c r="B1346" t="str">
        <f>Table3[[#This Row],[Client ID]] &amp; " - " &amp; Table3[[#This Row],[SO Number]]</f>
        <v>CHICKEN DELI - HUE SIARGAO - GENERIC - SO-168</v>
      </c>
      <c r="C1346" t="s">
        <v>816</v>
      </c>
      <c r="D1346" t="s">
        <v>20</v>
      </c>
      <c r="E1346" t="s">
        <v>821</v>
      </c>
      <c r="F1346" t="s">
        <v>15</v>
      </c>
      <c r="G1346" t="s">
        <v>22</v>
      </c>
      <c r="H1346" t="s">
        <v>696</v>
      </c>
      <c r="I1346" t="s">
        <v>316</v>
      </c>
      <c r="J1346">
        <v>2</v>
      </c>
      <c r="K1346">
        <v>500</v>
      </c>
      <c r="L1346">
        <v>500</v>
      </c>
      <c r="M1346">
        <v>1000</v>
      </c>
      <c r="N1346" t="s">
        <v>19</v>
      </c>
    </row>
    <row r="1347" spans="1:14" x14ac:dyDescent="0.25">
      <c r="A1347" t="str">
        <f>Table3[[#This Row],[Company Name]] &amp; " - " &amp; Table3[[#This Row],[Store Name]] &amp; " - " &amp; Table3[[#This Row],[Store Branch / Address]]</f>
        <v>CHICKEN DELI - HUE SIARGAO - GENERIC</v>
      </c>
      <c r="B1347" t="str">
        <f>Table3[[#This Row],[Client ID]] &amp; " - " &amp; Table3[[#This Row],[SO Number]]</f>
        <v>CHICKEN DELI - HUE SIARGAO - GENERIC - SO-168</v>
      </c>
      <c r="C1347" t="s">
        <v>816</v>
      </c>
      <c r="D1347" t="s">
        <v>20</v>
      </c>
      <c r="E1347" t="s">
        <v>821</v>
      </c>
      <c r="F1347" t="s">
        <v>15</v>
      </c>
      <c r="G1347" t="s">
        <v>22</v>
      </c>
      <c r="H1347" t="s">
        <v>696</v>
      </c>
      <c r="I1347" t="s">
        <v>323</v>
      </c>
      <c r="J1347">
        <v>2</v>
      </c>
      <c r="K1347">
        <v>3500</v>
      </c>
      <c r="L1347">
        <v>10000</v>
      </c>
      <c r="M1347">
        <v>20000</v>
      </c>
      <c r="N1347" t="s">
        <v>19</v>
      </c>
    </row>
    <row r="1348" spans="1:14" x14ac:dyDescent="0.25">
      <c r="A1348" t="str">
        <f>Table3[[#This Row],[Company Name]] &amp; " - " &amp; Table3[[#This Row],[Store Name]] &amp; " - " &amp; Table3[[#This Row],[Store Branch / Address]]</f>
        <v>CHICKEN DELI - HUE SIARGAO - GENERIC</v>
      </c>
      <c r="B1348" t="str">
        <f>Table3[[#This Row],[Client ID]] &amp; " - " &amp; Table3[[#This Row],[SO Number]]</f>
        <v>CHICKEN DELI - HUE SIARGAO - GENERIC - SO-168</v>
      </c>
      <c r="C1348" t="s">
        <v>816</v>
      </c>
      <c r="D1348" t="s">
        <v>20</v>
      </c>
      <c r="E1348" t="s">
        <v>821</v>
      </c>
      <c r="F1348" t="s">
        <v>15</v>
      </c>
      <c r="G1348" t="s">
        <v>22</v>
      </c>
      <c r="H1348" t="s">
        <v>696</v>
      </c>
      <c r="I1348" t="s">
        <v>324</v>
      </c>
      <c r="J1348">
        <v>1</v>
      </c>
      <c r="K1348">
        <v>17500</v>
      </c>
      <c r="L1348">
        <v>50000</v>
      </c>
      <c r="M1348">
        <v>50000</v>
      </c>
      <c r="N1348" t="s">
        <v>19</v>
      </c>
    </row>
    <row r="1349" spans="1:14" x14ac:dyDescent="0.25">
      <c r="A1349" t="str">
        <f>Table3[[#This Row],[Company Name]] &amp; " - " &amp; Table3[[#This Row],[Store Name]] &amp; " - " &amp; Table3[[#This Row],[Store Branch / Address]]</f>
        <v>CHICKEN DELI - HUE SIARGAO - GENERIC</v>
      </c>
      <c r="B1349" t="str">
        <f>Table3[[#This Row],[Client ID]] &amp; " - " &amp; Table3[[#This Row],[SO Number]]</f>
        <v>CHICKEN DELI - HUE SIARGAO - GENERIC - SO-168</v>
      </c>
      <c r="C1349" t="s">
        <v>816</v>
      </c>
      <c r="D1349" t="s">
        <v>20</v>
      </c>
      <c r="E1349" t="s">
        <v>821</v>
      </c>
      <c r="F1349" t="s">
        <v>15</v>
      </c>
      <c r="G1349" t="s">
        <v>22</v>
      </c>
      <c r="H1349" t="s">
        <v>696</v>
      </c>
      <c r="I1349" t="s">
        <v>170</v>
      </c>
      <c r="J1349">
        <v>1</v>
      </c>
      <c r="K1349">
        <v>32500</v>
      </c>
      <c r="L1349">
        <v>32500</v>
      </c>
      <c r="M1349">
        <v>32500</v>
      </c>
      <c r="N1349" t="s">
        <v>19</v>
      </c>
    </row>
    <row r="1350" spans="1:14" x14ac:dyDescent="0.25">
      <c r="A1350" t="str">
        <f>Table3[[#This Row],[Company Name]] &amp; " - " &amp; Table3[[#This Row],[Store Name]] &amp; " - " &amp; Table3[[#This Row],[Store Branch / Address]]</f>
        <v>CHICKEN DELI - HUE SIARGAO - GENERIC</v>
      </c>
      <c r="B1350" t="str">
        <f>Table3[[#This Row],[Client ID]] &amp; " - " &amp; Table3[[#This Row],[SO Number]]</f>
        <v>CHICKEN DELI - HUE SIARGAO - GENERIC - SO-168</v>
      </c>
      <c r="C1350" t="s">
        <v>816</v>
      </c>
      <c r="D1350" t="s">
        <v>20</v>
      </c>
      <c r="E1350" t="s">
        <v>821</v>
      </c>
      <c r="F1350" t="s">
        <v>15</v>
      </c>
      <c r="G1350" t="s">
        <v>22</v>
      </c>
      <c r="H1350" t="s">
        <v>696</v>
      </c>
      <c r="I1350" t="s">
        <v>24</v>
      </c>
      <c r="J1350">
        <v>1</v>
      </c>
      <c r="K1350">
        <v>32500</v>
      </c>
      <c r="L1350">
        <v>32500</v>
      </c>
      <c r="M1350">
        <v>32500</v>
      </c>
      <c r="N1350" t="s">
        <v>19</v>
      </c>
    </row>
    <row r="1351" spans="1:14" x14ac:dyDescent="0.25">
      <c r="A1351" t="str">
        <f>Table3[[#This Row],[Company Name]] &amp; " - " &amp; Table3[[#This Row],[Store Name]] &amp; " - " &amp; Table3[[#This Row],[Store Branch / Address]]</f>
        <v>CHICKEN DELI - HUE SIARGAO - GENERIC</v>
      </c>
      <c r="B1351" t="str">
        <f>Table3[[#This Row],[Client ID]] &amp; " - " &amp; Table3[[#This Row],[SO Number]]</f>
        <v>CHICKEN DELI - HUE SIARGAO - GENERIC - SO-168</v>
      </c>
      <c r="C1351" t="s">
        <v>816</v>
      </c>
      <c r="D1351" t="s">
        <v>20</v>
      </c>
      <c r="E1351" t="s">
        <v>821</v>
      </c>
      <c r="F1351" t="s">
        <v>15</v>
      </c>
      <c r="G1351" t="s">
        <v>22</v>
      </c>
      <c r="H1351" t="s">
        <v>696</v>
      </c>
      <c r="I1351" t="s">
        <v>325</v>
      </c>
      <c r="J1351">
        <v>2</v>
      </c>
      <c r="K1351">
        <v>21500</v>
      </c>
      <c r="L1351">
        <v>31000</v>
      </c>
      <c r="M1351">
        <v>62000</v>
      </c>
      <c r="N1351" t="s">
        <v>19</v>
      </c>
    </row>
    <row r="1352" spans="1:14" x14ac:dyDescent="0.25">
      <c r="A1352" t="str">
        <f>Table3[[#This Row],[Company Name]] &amp; " - " &amp; Table3[[#This Row],[Store Name]] &amp; " - " &amp; Table3[[#This Row],[Store Branch / Address]]</f>
        <v>CHICKEN DELI - HUE SIARGAO - GENERIC</v>
      </c>
      <c r="B1352" t="str">
        <f>Table3[[#This Row],[Client ID]] &amp; " - " &amp; Table3[[#This Row],[SO Number]]</f>
        <v>CHICKEN DELI - HUE SIARGAO - GENERIC - SO-168</v>
      </c>
      <c r="C1352" t="s">
        <v>816</v>
      </c>
      <c r="D1352" t="s">
        <v>20</v>
      </c>
      <c r="E1352" t="s">
        <v>821</v>
      </c>
      <c r="F1352" t="s">
        <v>15</v>
      </c>
      <c r="G1352" t="s">
        <v>22</v>
      </c>
      <c r="H1352" t="s">
        <v>696</v>
      </c>
      <c r="I1352" t="s">
        <v>326</v>
      </c>
      <c r="J1352">
        <v>2</v>
      </c>
      <c r="K1352">
        <v>18500</v>
      </c>
      <c r="L1352">
        <v>26500</v>
      </c>
      <c r="M1352">
        <v>53000</v>
      </c>
      <c r="N1352" t="s">
        <v>19</v>
      </c>
    </row>
    <row r="1353" spans="1:14" x14ac:dyDescent="0.25">
      <c r="A1353" t="str">
        <f>Table3[[#This Row],[Company Name]] &amp; " - " &amp; Table3[[#This Row],[Store Name]] &amp; " - " &amp; Table3[[#This Row],[Store Branch / Address]]</f>
        <v>CHICKEN DELI - HUE SIARGAO - GENERIC</v>
      </c>
      <c r="B1353" t="str">
        <f>Table3[[#This Row],[Client ID]] &amp; " - " &amp; Table3[[#This Row],[SO Number]]</f>
        <v>CHICKEN DELI - HUE SIARGAO - GENERIC - SO-168</v>
      </c>
      <c r="C1353" t="s">
        <v>816</v>
      </c>
      <c r="D1353" t="s">
        <v>20</v>
      </c>
      <c r="E1353" t="s">
        <v>821</v>
      </c>
      <c r="F1353" t="s">
        <v>15</v>
      </c>
      <c r="G1353" t="s">
        <v>22</v>
      </c>
      <c r="H1353" t="s">
        <v>696</v>
      </c>
      <c r="I1353" t="s">
        <v>116</v>
      </c>
      <c r="J1353">
        <v>2</v>
      </c>
      <c r="K1353">
        <v>1350</v>
      </c>
      <c r="L1353">
        <v>2000</v>
      </c>
      <c r="M1353">
        <v>4000</v>
      </c>
      <c r="N1353" t="s">
        <v>19</v>
      </c>
    </row>
    <row r="1354" spans="1:14" x14ac:dyDescent="0.25">
      <c r="A1354" t="str">
        <f>Table3[[#This Row],[Company Name]] &amp; " - " &amp; Table3[[#This Row],[Store Name]] &amp; " - " &amp; Table3[[#This Row],[Store Branch / Address]]</f>
        <v>CHICKEN DELI - HUE SIARGAO - GENERIC</v>
      </c>
      <c r="B1354" t="str">
        <f>Table3[[#This Row],[Client ID]] &amp; " - " &amp; Table3[[#This Row],[SO Number]]</f>
        <v>CHICKEN DELI - HUE SIARGAO - GENERIC - SO-168</v>
      </c>
      <c r="C1354" t="s">
        <v>816</v>
      </c>
      <c r="D1354" t="s">
        <v>20</v>
      </c>
      <c r="E1354" t="s">
        <v>821</v>
      </c>
      <c r="F1354" t="s">
        <v>15</v>
      </c>
      <c r="G1354" t="s">
        <v>22</v>
      </c>
      <c r="H1354" t="s">
        <v>696</v>
      </c>
      <c r="I1354" t="s">
        <v>814</v>
      </c>
      <c r="J1354">
        <v>1</v>
      </c>
      <c r="K1354">
        <v>7500</v>
      </c>
      <c r="L1354">
        <v>11500</v>
      </c>
      <c r="M1354">
        <v>11500</v>
      </c>
      <c r="N1354" t="s">
        <v>19</v>
      </c>
    </row>
    <row r="1355" spans="1:14" x14ac:dyDescent="0.25">
      <c r="A1355" t="str">
        <f>Table3[[#This Row],[Company Name]] &amp; " - " &amp; Table3[[#This Row],[Store Name]] &amp; " - " &amp; Table3[[#This Row],[Store Branch / Address]]</f>
        <v>CHICKEN DELI - HUE SIARGAO - GENERIC</v>
      </c>
      <c r="B1355" t="str">
        <f>Table3[[#This Row],[Client ID]] &amp; " - " &amp; Table3[[#This Row],[SO Number]]</f>
        <v>CHICKEN DELI - HUE SIARGAO - GENERIC - SO-168</v>
      </c>
      <c r="C1355" t="s">
        <v>816</v>
      </c>
      <c r="D1355" t="s">
        <v>20</v>
      </c>
      <c r="E1355" t="s">
        <v>821</v>
      </c>
      <c r="F1355" t="s">
        <v>15</v>
      </c>
      <c r="G1355" t="s">
        <v>22</v>
      </c>
      <c r="H1355" t="s">
        <v>696</v>
      </c>
      <c r="I1355" t="s">
        <v>761</v>
      </c>
      <c r="J1355">
        <v>2</v>
      </c>
      <c r="K1355">
        <v>8500</v>
      </c>
      <c r="L1355">
        <v>12000</v>
      </c>
      <c r="M1355">
        <v>24000</v>
      </c>
      <c r="N1355" t="s">
        <v>19</v>
      </c>
    </row>
    <row r="1356" spans="1:14" x14ac:dyDescent="0.25">
      <c r="A1356" t="str">
        <f>Table3[[#This Row],[Company Name]] &amp; " - " &amp; Table3[[#This Row],[Store Name]] &amp; " - " &amp; Table3[[#This Row],[Store Branch / Address]]</f>
        <v>CHICKEN DELI - HUE SIARGAO - GENERIC</v>
      </c>
      <c r="B1356" t="str">
        <f>Table3[[#This Row],[Client ID]] &amp; " - " &amp; Table3[[#This Row],[SO Number]]</f>
        <v>CHICKEN DELI - HUE SIARGAO - GENERIC - SO-168</v>
      </c>
      <c r="C1356" t="s">
        <v>816</v>
      </c>
      <c r="D1356" t="s">
        <v>20</v>
      </c>
      <c r="E1356" t="s">
        <v>821</v>
      </c>
      <c r="F1356" t="s">
        <v>15</v>
      </c>
      <c r="G1356" t="s">
        <v>22</v>
      </c>
      <c r="H1356" t="s">
        <v>696</v>
      </c>
      <c r="I1356" t="s">
        <v>328</v>
      </c>
      <c r="J1356">
        <v>1</v>
      </c>
      <c r="K1356">
        <v>24330</v>
      </c>
      <c r="L1356">
        <v>34000</v>
      </c>
      <c r="M1356">
        <v>34000</v>
      </c>
      <c r="N1356" t="s">
        <v>19</v>
      </c>
    </row>
    <row r="1357" spans="1:14" x14ac:dyDescent="0.25">
      <c r="A1357" t="str">
        <f>Table3[[#This Row],[Company Name]] &amp; " - " &amp; Table3[[#This Row],[Store Name]] &amp; " - " &amp; Table3[[#This Row],[Store Branch / Address]]</f>
        <v>CHICKEN DELI - HUE SIARGAO - GENERIC</v>
      </c>
      <c r="B1357" t="str">
        <f>Table3[[#This Row],[Client ID]] &amp; " - " &amp; Table3[[#This Row],[SO Number]]</f>
        <v>CHICKEN DELI - HUE SIARGAO - GENERIC - SO-168</v>
      </c>
      <c r="C1357" t="s">
        <v>816</v>
      </c>
      <c r="D1357" t="s">
        <v>20</v>
      </c>
      <c r="E1357" t="s">
        <v>821</v>
      </c>
      <c r="F1357" t="s">
        <v>15</v>
      </c>
      <c r="G1357" t="s">
        <v>22</v>
      </c>
      <c r="H1357" t="s">
        <v>696</v>
      </c>
      <c r="I1357" t="s">
        <v>329</v>
      </c>
      <c r="J1357">
        <v>1</v>
      </c>
      <c r="K1357">
        <v>4250</v>
      </c>
      <c r="L1357">
        <v>6000</v>
      </c>
      <c r="M1357">
        <v>6000</v>
      </c>
      <c r="N1357" t="s">
        <v>19</v>
      </c>
    </row>
    <row r="1358" spans="1:14" x14ac:dyDescent="0.25">
      <c r="A1358" t="str">
        <f>Table3[[#This Row],[Company Name]] &amp; " - " &amp; Table3[[#This Row],[Store Name]] &amp; " - " &amp; Table3[[#This Row],[Store Branch / Address]]</f>
        <v>CHICKEN DELI - HUE SIARGAO - GENERIC</v>
      </c>
      <c r="B1358" t="str">
        <f>Table3[[#This Row],[Client ID]] &amp; " - " &amp; Table3[[#This Row],[SO Number]]</f>
        <v>CHICKEN DELI - HUE SIARGAO - GENERIC - SO-168</v>
      </c>
      <c r="C1358" t="s">
        <v>816</v>
      </c>
      <c r="D1358" t="s">
        <v>20</v>
      </c>
      <c r="E1358" t="s">
        <v>821</v>
      </c>
      <c r="F1358" t="s">
        <v>15</v>
      </c>
      <c r="G1358" t="s">
        <v>22</v>
      </c>
      <c r="H1358" t="s">
        <v>696</v>
      </c>
      <c r="I1358" t="s">
        <v>76</v>
      </c>
      <c r="J1358">
        <v>1</v>
      </c>
      <c r="K1358">
        <v>1100</v>
      </c>
      <c r="L1358">
        <v>1100</v>
      </c>
      <c r="M1358">
        <v>1100</v>
      </c>
      <c r="N1358" t="s">
        <v>19</v>
      </c>
    </row>
    <row r="1359" spans="1:14" x14ac:dyDescent="0.25">
      <c r="A1359" t="str">
        <f>Table3[[#This Row],[Company Name]] &amp; " - " &amp; Table3[[#This Row],[Store Name]] &amp; " - " &amp; Table3[[#This Row],[Store Branch / Address]]</f>
        <v>CHICKEN DELI - HUE SIARGAO - GENERIC</v>
      </c>
      <c r="B1359" t="str">
        <f>Table3[[#This Row],[Client ID]] &amp; " - " &amp; Table3[[#This Row],[SO Number]]</f>
        <v>CHICKEN DELI - HUE SIARGAO - GENERIC - SO-168</v>
      </c>
      <c r="C1359" t="s">
        <v>816</v>
      </c>
      <c r="D1359" t="s">
        <v>20</v>
      </c>
      <c r="E1359" t="s">
        <v>821</v>
      </c>
      <c r="F1359" t="s">
        <v>15</v>
      </c>
      <c r="G1359" t="s">
        <v>22</v>
      </c>
      <c r="H1359" t="s">
        <v>696</v>
      </c>
      <c r="I1359" t="s">
        <v>331</v>
      </c>
      <c r="J1359">
        <v>1</v>
      </c>
      <c r="K1359">
        <v>40000</v>
      </c>
      <c r="L1359">
        <v>40000</v>
      </c>
      <c r="M1359">
        <v>40000</v>
      </c>
      <c r="N1359" t="s">
        <v>19</v>
      </c>
    </row>
    <row r="1360" spans="1:14" x14ac:dyDescent="0.25">
      <c r="A1360" t="str">
        <f>Table3[[#This Row],[Company Name]] &amp; " - " &amp; Table3[[#This Row],[Store Name]] &amp; " - " &amp; Table3[[#This Row],[Store Branch / Address]]</f>
        <v>CHICKEN DELI - HUE SIARGAO - GENERIC</v>
      </c>
      <c r="B1360" t="str">
        <f>Table3[[#This Row],[Client ID]] &amp; " - " &amp; Table3[[#This Row],[SO Number]]</f>
        <v>CHICKEN DELI - HUE SIARGAO - GENERIC - SO-168</v>
      </c>
      <c r="C1360" t="s">
        <v>816</v>
      </c>
      <c r="D1360" t="s">
        <v>20</v>
      </c>
      <c r="E1360" t="s">
        <v>821</v>
      </c>
      <c r="F1360" t="s">
        <v>15</v>
      </c>
      <c r="G1360" t="s">
        <v>22</v>
      </c>
      <c r="H1360" t="s">
        <v>696</v>
      </c>
      <c r="I1360" t="s">
        <v>692</v>
      </c>
      <c r="J1360">
        <v>3</v>
      </c>
      <c r="K1360">
        <v>550</v>
      </c>
      <c r="L1360">
        <v>800</v>
      </c>
      <c r="M1360">
        <v>2400</v>
      </c>
      <c r="N1360" t="s">
        <v>19</v>
      </c>
    </row>
    <row r="1361" spans="1:14" x14ac:dyDescent="0.25">
      <c r="A1361" t="str">
        <f>Table3[[#This Row],[Company Name]] &amp; " - " &amp; Table3[[#This Row],[Store Name]] &amp; " - " &amp; Table3[[#This Row],[Store Branch / Address]]</f>
        <v>CHICKEN DELI - M &amp; W - GENERIC</v>
      </c>
      <c r="B1361" t="str">
        <f>Table3[[#This Row],[Client ID]] &amp; " - " &amp; Table3[[#This Row],[SO Number]]</f>
        <v>CHICKEN DELI - M &amp; W - GENERIC - SO-169</v>
      </c>
      <c r="C1361" t="s">
        <v>822</v>
      </c>
      <c r="D1361" t="s">
        <v>20</v>
      </c>
      <c r="E1361" t="s">
        <v>192</v>
      </c>
      <c r="F1361" t="s">
        <v>15</v>
      </c>
      <c r="G1361" t="s">
        <v>22</v>
      </c>
      <c r="H1361" t="s">
        <v>824</v>
      </c>
      <c r="I1361" t="s">
        <v>721</v>
      </c>
      <c r="J1361">
        <v>6</v>
      </c>
      <c r="K1361">
        <v>21500</v>
      </c>
      <c r="L1361">
        <v>25283</v>
      </c>
      <c r="M1361">
        <v>151698</v>
      </c>
      <c r="N1361" t="s">
        <v>19</v>
      </c>
    </row>
    <row r="1362" spans="1:14" x14ac:dyDescent="0.25">
      <c r="A1362" t="str">
        <f>Table3[[#This Row],[Company Name]] &amp; " - " &amp; Table3[[#This Row],[Store Name]] &amp; " - " &amp; Table3[[#This Row],[Store Branch / Address]]</f>
        <v>CHICKEN DELI - M &amp; W - GENERIC</v>
      </c>
      <c r="B1362" t="str">
        <f>Table3[[#This Row],[Client ID]] &amp; " - " &amp; Table3[[#This Row],[SO Number]]</f>
        <v>CHICKEN DELI - M &amp; W - GENERIC - SO-169</v>
      </c>
      <c r="C1362" t="s">
        <v>822</v>
      </c>
      <c r="D1362" t="s">
        <v>20</v>
      </c>
      <c r="E1362" t="s">
        <v>192</v>
      </c>
      <c r="F1362" t="s">
        <v>15</v>
      </c>
      <c r="G1362" t="s">
        <v>22</v>
      </c>
      <c r="H1362" t="s">
        <v>824</v>
      </c>
      <c r="I1362" t="s">
        <v>33</v>
      </c>
      <c r="J1362">
        <v>6</v>
      </c>
      <c r="K1362">
        <v>10000</v>
      </c>
      <c r="L1362">
        <v>10000</v>
      </c>
      <c r="M1362">
        <v>60000</v>
      </c>
      <c r="N1362" t="s">
        <v>19</v>
      </c>
    </row>
    <row r="1363" spans="1:14" x14ac:dyDescent="0.25">
      <c r="A1363" t="str">
        <f>Table3[[#This Row],[Company Name]] &amp; " - " &amp; Table3[[#This Row],[Store Name]] &amp; " - " &amp; Table3[[#This Row],[Store Branch / Address]]</f>
        <v>CHICKEN DELI - M &amp; W - GENERIC</v>
      </c>
      <c r="B1363" t="str">
        <f>Table3[[#This Row],[Client ID]] &amp; " - " &amp; Table3[[#This Row],[SO Number]]</f>
        <v>CHICKEN DELI - M &amp; W - GENERIC - SO-169</v>
      </c>
      <c r="C1363" t="s">
        <v>822</v>
      </c>
      <c r="D1363" t="s">
        <v>20</v>
      </c>
      <c r="E1363" t="s">
        <v>192</v>
      </c>
      <c r="F1363" t="s">
        <v>15</v>
      </c>
      <c r="G1363" t="s">
        <v>22</v>
      </c>
      <c r="H1363" t="s">
        <v>824</v>
      </c>
      <c r="I1363" t="s">
        <v>99</v>
      </c>
      <c r="J1363">
        <v>6</v>
      </c>
      <c r="K1363">
        <v>2000</v>
      </c>
      <c r="L1363">
        <v>2800</v>
      </c>
      <c r="M1363">
        <v>16800</v>
      </c>
      <c r="N1363" t="s">
        <v>19</v>
      </c>
    </row>
    <row r="1364" spans="1:14" x14ac:dyDescent="0.25">
      <c r="A1364" t="str">
        <f>Table3[[#This Row],[Company Name]] &amp; " - " &amp; Table3[[#This Row],[Store Name]] &amp; " - " &amp; Table3[[#This Row],[Store Branch / Address]]</f>
        <v>CHICKEN DELI - M &amp; W - GENERIC</v>
      </c>
      <c r="B1364" t="str">
        <f>Table3[[#This Row],[Client ID]] &amp; " - " &amp; Table3[[#This Row],[SO Number]]</f>
        <v>CHICKEN DELI - M &amp; W - GENERIC - SO-169</v>
      </c>
      <c r="C1364" t="s">
        <v>822</v>
      </c>
      <c r="D1364" t="s">
        <v>20</v>
      </c>
      <c r="E1364" t="s">
        <v>192</v>
      </c>
      <c r="F1364" t="s">
        <v>15</v>
      </c>
      <c r="G1364" t="s">
        <v>22</v>
      </c>
      <c r="H1364" t="s">
        <v>824</v>
      </c>
      <c r="I1364" t="s">
        <v>134</v>
      </c>
      <c r="J1364">
        <v>5</v>
      </c>
      <c r="K1364">
        <v>440</v>
      </c>
      <c r="L1364">
        <v>440</v>
      </c>
      <c r="M1364">
        <v>2200</v>
      </c>
      <c r="N1364" t="s">
        <v>19</v>
      </c>
    </row>
    <row r="1365" spans="1:14" x14ac:dyDescent="0.25">
      <c r="A1365" t="str">
        <f>Table3[[#This Row],[Company Name]] &amp; " - " &amp; Table3[[#This Row],[Store Name]] &amp; " - " &amp; Table3[[#This Row],[Store Branch / Address]]</f>
        <v>NEW BOMBAY FOODS INC - NEW BOMBAY - GENERIC</v>
      </c>
      <c r="B1365" t="str">
        <f>Table3[[#This Row],[Client ID]] &amp; " - " &amp; Table3[[#This Row],[SO Number]]</f>
        <v>NEW BOMBAY FOODS INC - NEW BOMBAY - GENERIC - SO-134</v>
      </c>
      <c r="C1365" t="s">
        <v>697</v>
      </c>
      <c r="D1365" t="s">
        <v>698</v>
      </c>
      <c r="E1365" t="s">
        <v>699</v>
      </c>
      <c r="F1365" t="s">
        <v>15</v>
      </c>
      <c r="G1365" t="s">
        <v>22</v>
      </c>
      <c r="H1365" t="s">
        <v>700</v>
      </c>
      <c r="I1365" t="s">
        <v>701</v>
      </c>
      <c r="J1365">
        <v>1</v>
      </c>
      <c r="K1365">
        <v>1900</v>
      </c>
      <c r="L1365">
        <v>2800</v>
      </c>
      <c r="M1365">
        <v>2800</v>
      </c>
      <c r="N1365" t="s">
        <v>19</v>
      </c>
    </row>
    <row r="1366" spans="1:14" x14ac:dyDescent="0.25">
      <c r="A1366" t="str">
        <f>Table3[[#This Row],[Company Name]] &amp; " - " &amp; Table3[[#This Row],[Store Name]] &amp; " - " &amp; Table3[[#This Row],[Store Branch / Address]]</f>
        <v>SWEET STOP STATION INC - CINNABON - GENERIC</v>
      </c>
      <c r="B1366" t="str">
        <f>Table3[[#This Row],[Client ID]] &amp; " - " &amp; Table3[[#This Row],[SO Number]]</f>
        <v>SWEET STOP STATION INC - CINNABON - GENERIC - SO-135</v>
      </c>
      <c r="C1366" t="s">
        <v>702</v>
      </c>
      <c r="D1366" t="s">
        <v>706</v>
      </c>
      <c r="E1366" t="s">
        <v>364</v>
      </c>
      <c r="F1366" t="s">
        <v>15</v>
      </c>
      <c r="G1366" t="s">
        <v>22</v>
      </c>
      <c r="H1366" t="s">
        <v>700</v>
      </c>
      <c r="I1366" t="s">
        <v>151</v>
      </c>
      <c r="J1366">
        <v>1</v>
      </c>
      <c r="K1366">
        <v>2800</v>
      </c>
      <c r="L1366">
        <v>4267.8599999999997</v>
      </c>
      <c r="M1366">
        <v>4267.8599999999997</v>
      </c>
      <c r="N1366" t="s">
        <v>19</v>
      </c>
    </row>
    <row r="1367" spans="1:14" x14ac:dyDescent="0.25">
      <c r="A1367" t="str">
        <f>Table3[[#This Row],[Company Name]] &amp; " - " &amp; Table3[[#This Row],[Store Name]] &amp; " - " &amp; Table3[[#This Row],[Store Branch / Address]]</f>
        <v>INSPIRA PRIME INTERNATIONAL CORPORATION - MOTO - GENERIC</v>
      </c>
      <c r="B1367" t="str">
        <f>Table3[[#This Row],[Client ID]] &amp; " - " &amp; Table3[[#This Row],[SO Number]]</f>
        <v>INSPIRA PRIME INTERNATIONAL CORPORATION - MOTO - GENERIC - SO-063</v>
      </c>
      <c r="C1367" t="s">
        <v>405</v>
      </c>
      <c r="D1367" t="s">
        <v>1117</v>
      </c>
      <c r="E1367" t="s">
        <v>1140</v>
      </c>
      <c r="F1367" t="s">
        <v>15</v>
      </c>
      <c r="G1367" t="s">
        <v>1024</v>
      </c>
      <c r="H1367" t="s">
        <v>700</v>
      </c>
      <c r="I1367" t="s">
        <v>1110</v>
      </c>
      <c r="J1367">
        <v>1</v>
      </c>
      <c r="K1367">
        <v>3675</v>
      </c>
      <c r="L1367">
        <v>10500</v>
      </c>
      <c r="M1367">
        <v>10500</v>
      </c>
      <c r="N1367" t="s">
        <v>19</v>
      </c>
    </row>
    <row r="1368" spans="1:14" x14ac:dyDescent="0.25">
      <c r="A1368" t="str">
        <f>Table3[[#This Row],[Company Name]] &amp; " - " &amp; Table3[[#This Row],[Store Name]] &amp; " - " &amp; Table3[[#This Row],[Store Branch / Address]]</f>
        <v>INSPIRA PRIME INTERNATIONAL CORPORATION - MOTO - GENERIC</v>
      </c>
      <c r="B1368" t="str">
        <f>Table3[[#This Row],[Client ID]] &amp; " - " &amp; Table3[[#This Row],[SO Number]]</f>
        <v>INSPIRA PRIME INTERNATIONAL CORPORATION - MOTO - GENERIC - SO-063</v>
      </c>
      <c r="C1368" t="s">
        <v>405</v>
      </c>
      <c r="D1368" t="s">
        <v>1117</v>
      </c>
      <c r="E1368" t="s">
        <v>1140</v>
      </c>
      <c r="F1368" t="s">
        <v>15</v>
      </c>
      <c r="G1368" t="s">
        <v>1024</v>
      </c>
      <c r="H1368" t="s">
        <v>700</v>
      </c>
      <c r="I1368" t="s">
        <v>1011</v>
      </c>
      <c r="J1368">
        <v>1</v>
      </c>
      <c r="K1368">
        <v>2450</v>
      </c>
      <c r="L1368">
        <v>7000</v>
      </c>
      <c r="M1368">
        <v>7000</v>
      </c>
      <c r="N1368" t="s">
        <v>19</v>
      </c>
    </row>
    <row r="1369" spans="1:14" x14ac:dyDescent="0.25">
      <c r="A1369" t="str">
        <f>Table3[[#This Row],[Company Name]] &amp; " - " &amp; Table3[[#This Row],[Store Name]] &amp; " - " &amp; Table3[[#This Row],[Store Branch / Address]]</f>
        <v>INSPIRA PRIME INTERNATIONAL CORPORATION - MOTO - GENERIC</v>
      </c>
      <c r="B1369" t="str">
        <f>Table3[[#This Row],[Client ID]] &amp; " - " &amp; Table3[[#This Row],[SO Number]]</f>
        <v>INSPIRA PRIME INTERNATIONAL CORPORATION - MOTO - GENERIC - SO-063</v>
      </c>
      <c r="C1369" t="s">
        <v>405</v>
      </c>
      <c r="D1369" t="s">
        <v>1117</v>
      </c>
      <c r="E1369" t="s">
        <v>1140</v>
      </c>
      <c r="F1369" t="s">
        <v>15</v>
      </c>
      <c r="G1369" t="s">
        <v>1024</v>
      </c>
      <c r="H1369" t="s">
        <v>700</v>
      </c>
      <c r="I1369" t="s">
        <v>24</v>
      </c>
      <c r="J1369">
        <v>1</v>
      </c>
      <c r="K1369">
        <v>2450</v>
      </c>
      <c r="L1369">
        <v>7000</v>
      </c>
      <c r="M1369">
        <v>7000</v>
      </c>
      <c r="N1369" t="s">
        <v>19</v>
      </c>
    </row>
    <row r="1370" spans="1:14" x14ac:dyDescent="0.25">
      <c r="A1370" t="str">
        <f>Table3[[#This Row],[Company Name]] &amp; " - " &amp; Table3[[#This Row],[Store Name]] &amp; " - " &amp; Table3[[#This Row],[Store Branch / Address]]</f>
        <v>INSPIRA PRIME INTERNATIONAL CORPORATION - MOTO - GENERIC</v>
      </c>
      <c r="B1370" t="str">
        <f>Table3[[#This Row],[Client ID]] &amp; " - " &amp; Table3[[#This Row],[SO Number]]</f>
        <v>INSPIRA PRIME INTERNATIONAL CORPORATION - MOTO - GENERIC - SO-063</v>
      </c>
      <c r="C1370" t="s">
        <v>405</v>
      </c>
      <c r="D1370" t="s">
        <v>1117</v>
      </c>
      <c r="E1370" t="s">
        <v>1140</v>
      </c>
      <c r="F1370" t="s">
        <v>15</v>
      </c>
      <c r="G1370" t="s">
        <v>1024</v>
      </c>
      <c r="H1370" t="s">
        <v>700</v>
      </c>
      <c r="I1370" t="s">
        <v>26</v>
      </c>
      <c r="J1370">
        <v>1</v>
      </c>
      <c r="K1370">
        <v>500</v>
      </c>
      <c r="L1370">
        <v>500</v>
      </c>
      <c r="M1370">
        <v>500</v>
      </c>
      <c r="N1370" t="s">
        <v>19</v>
      </c>
    </row>
    <row r="1371" spans="1:14" x14ac:dyDescent="0.25">
      <c r="A1371" t="str">
        <f>Table3[[#This Row],[Company Name]] &amp; " - " &amp; Table3[[#This Row],[Store Name]] &amp; " - " &amp; Table3[[#This Row],[Store Branch / Address]]</f>
        <v>INSPIRA PRIME INTERNATIONAL CORPORATION - MOTO - GENERIC</v>
      </c>
      <c r="B1371" t="str">
        <f>Table3[[#This Row],[Client ID]] &amp; " - " &amp; Table3[[#This Row],[SO Number]]</f>
        <v>INSPIRA PRIME INTERNATIONAL CORPORATION - MOTO - GENERIC - SO-063</v>
      </c>
      <c r="C1371" t="s">
        <v>405</v>
      </c>
      <c r="D1371" t="s">
        <v>1117</v>
      </c>
      <c r="E1371" t="s">
        <v>1140</v>
      </c>
      <c r="F1371" t="s">
        <v>15</v>
      </c>
      <c r="G1371" t="s">
        <v>1024</v>
      </c>
      <c r="H1371" t="s">
        <v>700</v>
      </c>
      <c r="I1371" t="s">
        <v>1119</v>
      </c>
      <c r="J1371">
        <v>1</v>
      </c>
      <c r="K1371">
        <v>20800</v>
      </c>
      <c r="L1371">
        <v>23000</v>
      </c>
      <c r="M1371">
        <v>23000</v>
      </c>
      <c r="N1371" t="s">
        <v>19</v>
      </c>
    </row>
    <row r="1372" spans="1:14" x14ac:dyDescent="0.25">
      <c r="A1372" t="str">
        <f>Table3[[#This Row],[Company Name]] &amp; " - " &amp; Table3[[#This Row],[Store Name]] &amp; " - " &amp; Table3[[#This Row],[Store Branch / Address]]</f>
        <v>INSPIRA PRIME INTERNATIONAL CORPORATION - MOTO - GENERIC</v>
      </c>
      <c r="B1372" t="str">
        <f>Table3[[#This Row],[Client ID]] &amp; " - " &amp; Table3[[#This Row],[SO Number]]</f>
        <v>INSPIRA PRIME INTERNATIONAL CORPORATION - MOTO - GENERIC - SO-063</v>
      </c>
      <c r="C1372" t="s">
        <v>405</v>
      </c>
      <c r="D1372" t="s">
        <v>1117</v>
      </c>
      <c r="E1372" t="s">
        <v>1140</v>
      </c>
      <c r="F1372" t="s">
        <v>15</v>
      </c>
      <c r="G1372" t="s">
        <v>1024</v>
      </c>
      <c r="H1372" t="s">
        <v>700</v>
      </c>
      <c r="I1372" t="s">
        <v>1120</v>
      </c>
      <c r="J1372">
        <v>1</v>
      </c>
      <c r="K1372">
        <v>2334</v>
      </c>
      <c r="L1372">
        <v>3200</v>
      </c>
      <c r="M1372">
        <v>3200</v>
      </c>
      <c r="N1372" t="s">
        <v>19</v>
      </c>
    </row>
    <row r="1373" spans="1:14" x14ac:dyDescent="0.25">
      <c r="A1373" t="str">
        <f>Table3[[#This Row],[Company Name]] &amp; " - " &amp; Table3[[#This Row],[Store Name]] &amp; " - " &amp; Table3[[#This Row],[Store Branch / Address]]</f>
        <v>INSPIRA PRIME INTERNATIONAL CORPORATION - MOTO - GENERIC</v>
      </c>
      <c r="B1373" t="str">
        <f>Table3[[#This Row],[Client ID]] &amp; " - " &amp; Table3[[#This Row],[SO Number]]</f>
        <v>INSPIRA PRIME INTERNATIONAL CORPORATION - MOTO - GENERIC - SO-063</v>
      </c>
      <c r="C1373" t="s">
        <v>405</v>
      </c>
      <c r="D1373" t="s">
        <v>1117</v>
      </c>
      <c r="E1373" t="s">
        <v>1140</v>
      </c>
      <c r="F1373" t="s">
        <v>15</v>
      </c>
      <c r="G1373" t="s">
        <v>1024</v>
      </c>
      <c r="H1373" t="s">
        <v>700</v>
      </c>
      <c r="I1373" t="s">
        <v>151</v>
      </c>
      <c r="J1373">
        <v>1</v>
      </c>
      <c r="K1373">
        <v>2000</v>
      </c>
      <c r="L1373">
        <v>3200</v>
      </c>
      <c r="M1373">
        <v>3200</v>
      </c>
      <c r="N1373" t="s">
        <v>19</v>
      </c>
    </row>
    <row r="1374" spans="1:14" x14ac:dyDescent="0.25">
      <c r="A1374" t="str">
        <f>Table3[[#This Row],[Company Name]] &amp; " - " &amp; Table3[[#This Row],[Store Name]] &amp; " - " &amp; Table3[[#This Row],[Store Branch / Address]]</f>
        <v>INSPIRA PRIME INTERNATIONAL CORPORATION - MOTO - GENERIC</v>
      </c>
      <c r="B1374" t="str">
        <f>Table3[[#This Row],[Client ID]] &amp; " - " &amp; Table3[[#This Row],[SO Number]]</f>
        <v>INSPIRA PRIME INTERNATIONAL CORPORATION - MOTO - GENERIC - SO-063</v>
      </c>
      <c r="C1374" t="s">
        <v>405</v>
      </c>
      <c r="D1374" t="s">
        <v>1117</v>
      </c>
      <c r="E1374" t="s">
        <v>1140</v>
      </c>
      <c r="F1374" t="s">
        <v>15</v>
      </c>
      <c r="G1374" t="s">
        <v>1024</v>
      </c>
      <c r="H1374" t="s">
        <v>700</v>
      </c>
      <c r="I1374" t="s">
        <v>189</v>
      </c>
      <c r="J1374">
        <v>1</v>
      </c>
      <c r="K1374">
        <v>500</v>
      </c>
      <c r="L1374">
        <v>600</v>
      </c>
      <c r="M1374">
        <v>600</v>
      </c>
      <c r="N1374" t="s">
        <v>19</v>
      </c>
    </row>
    <row r="1375" spans="1:14" x14ac:dyDescent="0.25">
      <c r="A1375" t="str">
        <f>Table3[[#This Row],[Company Name]] &amp; " - " &amp; Table3[[#This Row],[Store Name]] &amp; " - " &amp; Table3[[#This Row],[Store Branch / Address]]</f>
        <v>INSPIRA PRIME INTERNATIONAL CORPORATION - MOTO - GENERIC</v>
      </c>
      <c r="B1375" t="str">
        <f>Table3[[#This Row],[Client ID]] &amp; " - " &amp; Table3[[#This Row],[SO Number]]</f>
        <v>INSPIRA PRIME INTERNATIONAL CORPORATION - MOTO - GENERIC - SO-063</v>
      </c>
      <c r="C1375" t="s">
        <v>405</v>
      </c>
      <c r="D1375" t="s">
        <v>1117</v>
      </c>
      <c r="E1375" t="s">
        <v>1140</v>
      </c>
      <c r="F1375" t="s">
        <v>15</v>
      </c>
      <c r="G1375" t="s">
        <v>1024</v>
      </c>
      <c r="H1375" t="s">
        <v>700</v>
      </c>
      <c r="I1375" t="s">
        <v>1033</v>
      </c>
      <c r="J1375">
        <v>1</v>
      </c>
      <c r="K1375">
        <v>350</v>
      </c>
      <c r="L1375">
        <v>400</v>
      </c>
      <c r="M1375">
        <v>400</v>
      </c>
      <c r="N1375" t="s">
        <v>19</v>
      </c>
    </row>
    <row r="1376" spans="1:14" x14ac:dyDescent="0.25">
      <c r="A1376" t="str">
        <f>Table3[[#This Row],[Company Name]] &amp; " - " &amp; Table3[[#This Row],[Store Name]] &amp; " - " &amp; Table3[[#This Row],[Store Branch / Address]]</f>
        <v>INSPIRA PRIME INTERNATIONAL CORPORATION - MOTO - GENERIC</v>
      </c>
      <c r="B1376" t="str">
        <f>Table3[[#This Row],[Client ID]] &amp; " - " &amp; Table3[[#This Row],[SO Number]]</f>
        <v>INSPIRA PRIME INTERNATIONAL CORPORATION - MOTO - GENERIC - SO-063</v>
      </c>
      <c r="C1376" t="s">
        <v>405</v>
      </c>
      <c r="D1376" t="s">
        <v>1117</v>
      </c>
      <c r="E1376" t="s">
        <v>1140</v>
      </c>
      <c r="F1376" t="s">
        <v>15</v>
      </c>
      <c r="G1376" t="s">
        <v>1024</v>
      </c>
      <c r="H1376" t="s">
        <v>700</v>
      </c>
      <c r="I1376" t="s">
        <v>1014</v>
      </c>
      <c r="J1376">
        <v>1</v>
      </c>
      <c r="K1376">
        <v>970</v>
      </c>
      <c r="L1376">
        <v>1200</v>
      </c>
      <c r="M1376">
        <v>1200</v>
      </c>
      <c r="N1376" t="s">
        <v>19</v>
      </c>
    </row>
    <row r="1377" spans="1:14" x14ac:dyDescent="0.25">
      <c r="A1377" t="str">
        <f>Table3[[#This Row],[Company Name]] &amp; " - " &amp; Table3[[#This Row],[Store Name]] &amp; " - " &amp; Table3[[#This Row],[Store Branch / Address]]</f>
        <v>INSPIRA PRIME INTERNATIONAL CORPORATION - MOTO - GENERIC</v>
      </c>
      <c r="B1377" t="str">
        <f>Table3[[#This Row],[Client ID]] &amp; " - " &amp; Table3[[#This Row],[SO Number]]</f>
        <v>INSPIRA PRIME INTERNATIONAL CORPORATION - MOTO - GENERIC - SO-063</v>
      </c>
      <c r="C1377" t="s">
        <v>405</v>
      </c>
      <c r="D1377" t="s">
        <v>1117</v>
      </c>
      <c r="E1377" t="s">
        <v>1140</v>
      </c>
      <c r="F1377" t="s">
        <v>15</v>
      </c>
      <c r="G1377" t="s">
        <v>1024</v>
      </c>
      <c r="H1377" t="s">
        <v>700</v>
      </c>
      <c r="I1377" t="s">
        <v>1015</v>
      </c>
      <c r="J1377">
        <v>1</v>
      </c>
      <c r="K1377">
        <v>4250</v>
      </c>
      <c r="L1377">
        <v>4700</v>
      </c>
      <c r="M1377">
        <v>4700</v>
      </c>
      <c r="N1377" t="s">
        <v>19</v>
      </c>
    </row>
    <row r="1378" spans="1:14" x14ac:dyDescent="0.25">
      <c r="A1378" t="str">
        <f>Table3[[#This Row],[Company Name]] &amp; " - " &amp; Table3[[#This Row],[Store Name]] &amp; " - " &amp; Table3[[#This Row],[Store Branch / Address]]</f>
        <v>INSPIRA PRIME INTERNATIONAL CORPORATION - MOTO - GENERIC</v>
      </c>
      <c r="B1378" t="str">
        <f>Table3[[#This Row],[Client ID]] &amp; " - " &amp; Table3[[#This Row],[SO Number]]</f>
        <v>INSPIRA PRIME INTERNATIONAL CORPORATION - MOTO - GENERIC - SO-063</v>
      </c>
      <c r="C1378" t="s">
        <v>405</v>
      </c>
      <c r="D1378" t="s">
        <v>1117</v>
      </c>
      <c r="E1378" t="s">
        <v>1140</v>
      </c>
      <c r="F1378" t="s">
        <v>15</v>
      </c>
      <c r="G1378" t="s">
        <v>1024</v>
      </c>
      <c r="H1378" t="s">
        <v>700</v>
      </c>
      <c r="I1378" t="s">
        <v>85</v>
      </c>
      <c r="J1378">
        <v>1</v>
      </c>
      <c r="K1378">
        <v>1350</v>
      </c>
      <c r="L1378">
        <v>1700</v>
      </c>
      <c r="M1378">
        <v>1700</v>
      </c>
      <c r="N1378" t="s">
        <v>19</v>
      </c>
    </row>
    <row r="1379" spans="1:14" x14ac:dyDescent="0.25">
      <c r="A1379" t="str">
        <f>Table3[[#This Row],[Company Name]] &amp; " - " &amp; Table3[[#This Row],[Store Name]] &amp; " - " &amp; Table3[[#This Row],[Store Branch / Address]]</f>
        <v>INSPIRA PRIME INTERNATIONAL CORPORATION - MOTO - GENERIC</v>
      </c>
      <c r="B1379" t="str">
        <f>Table3[[#This Row],[Client ID]] &amp; " - " &amp; Table3[[#This Row],[SO Number]]</f>
        <v>INSPIRA PRIME INTERNATIONAL CORPORATION - MOTO - GENERIC - SO-063</v>
      </c>
      <c r="C1379" t="s">
        <v>405</v>
      </c>
      <c r="D1379" t="s">
        <v>1117</v>
      </c>
      <c r="E1379" t="s">
        <v>1140</v>
      </c>
      <c r="F1379" t="s">
        <v>15</v>
      </c>
      <c r="G1379" t="s">
        <v>1024</v>
      </c>
      <c r="H1379" t="s">
        <v>700</v>
      </c>
      <c r="I1379" t="s">
        <v>1016</v>
      </c>
      <c r="J1379">
        <v>1</v>
      </c>
      <c r="K1379">
        <v>8500</v>
      </c>
      <c r="L1379">
        <v>10000</v>
      </c>
      <c r="M1379">
        <v>10000</v>
      </c>
      <c r="N1379" t="s">
        <v>19</v>
      </c>
    </row>
    <row r="1380" spans="1:14" x14ac:dyDescent="0.25">
      <c r="A1380" t="str">
        <f>Table3[[#This Row],[Company Name]] &amp; " - " &amp; Table3[[#This Row],[Store Name]] &amp; " - " &amp; Table3[[#This Row],[Store Branch / Address]]</f>
        <v>INSPIRA PRIME INTERNATIONAL CORPORATION - MOTO - GENERIC</v>
      </c>
      <c r="B1380" t="str">
        <f>Table3[[#This Row],[Client ID]] &amp; " - " &amp; Table3[[#This Row],[SO Number]]</f>
        <v>INSPIRA PRIME INTERNATIONAL CORPORATION - MOTO - GENERIC - SO-063</v>
      </c>
      <c r="C1380" t="s">
        <v>405</v>
      </c>
      <c r="D1380" t="s">
        <v>1117</v>
      </c>
      <c r="E1380" t="s">
        <v>1140</v>
      </c>
      <c r="F1380" t="s">
        <v>15</v>
      </c>
      <c r="G1380" t="s">
        <v>1024</v>
      </c>
      <c r="H1380" t="s">
        <v>700</v>
      </c>
      <c r="I1380" t="s">
        <v>97</v>
      </c>
      <c r="J1380">
        <v>1</v>
      </c>
      <c r="K1380">
        <v>2200</v>
      </c>
      <c r="L1380">
        <v>3000</v>
      </c>
      <c r="M1380">
        <v>3000</v>
      </c>
      <c r="N1380" t="s">
        <v>19</v>
      </c>
    </row>
    <row r="1381" spans="1:14" x14ac:dyDescent="0.25">
      <c r="A1381" t="str">
        <f>Table3[[#This Row],[Company Name]] &amp; " - " &amp; Table3[[#This Row],[Store Name]] &amp; " - " &amp; Table3[[#This Row],[Store Branch / Address]]</f>
        <v>INSPIRA PRIME INTERNATIONAL CORPORATION - MOTO - GENERIC</v>
      </c>
      <c r="B1381" t="str">
        <f>Table3[[#This Row],[Client ID]] &amp; " - " &amp; Table3[[#This Row],[SO Number]]</f>
        <v>INSPIRA PRIME INTERNATIONAL CORPORATION - MOTO - GENERIC - SO-063</v>
      </c>
      <c r="C1381" t="s">
        <v>405</v>
      </c>
      <c r="D1381" t="s">
        <v>1117</v>
      </c>
      <c r="E1381" t="s">
        <v>1140</v>
      </c>
      <c r="F1381" t="s">
        <v>15</v>
      </c>
      <c r="G1381" t="s">
        <v>1024</v>
      </c>
      <c r="H1381" t="s">
        <v>700</v>
      </c>
      <c r="I1381" t="s">
        <v>1121</v>
      </c>
      <c r="J1381">
        <v>1</v>
      </c>
      <c r="K1381">
        <v>3000</v>
      </c>
      <c r="L1381">
        <v>3500</v>
      </c>
      <c r="M1381">
        <v>3500</v>
      </c>
      <c r="N1381" t="s">
        <v>19</v>
      </c>
    </row>
    <row r="1382" spans="1:14" x14ac:dyDescent="0.25">
      <c r="A1382" t="str">
        <f>Table3[[#This Row],[Company Name]] &amp; " - " &amp; Table3[[#This Row],[Store Name]] &amp; " - " &amp; Table3[[#This Row],[Store Branch / Address]]</f>
        <v>INSPIRA PRIME INTERNATIONAL CORPORATION - MOTO - GENERIC</v>
      </c>
      <c r="B1382" t="str">
        <f>Table3[[#This Row],[Client ID]] &amp; " - " &amp; Table3[[#This Row],[SO Number]]</f>
        <v>INSPIRA PRIME INTERNATIONAL CORPORATION - MOTO - GENERIC - SO-063</v>
      </c>
      <c r="C1382" t="s">
        <v>405</v>
      </c>
      <c r="D1382" t="s">
        <v>1117</v>
      </c>
      <c r="E1382" t="s">
        <v>1140</v>
      </c>
      <c r="F1382" t="s">
        <v>15</v>
      </c>
      <c r="G1382" t="s">
        <v>1024</v>
      </c>
      <c r="H1382" t="s">
        <v>700</v>
      </c>
      <c r="I1382" t="s">
        <v>63</v>
      </c>
      <c r="J1382">
        <v>1</v>
      </c>
      <c r="K1382">
        <v>500</v>
      </c>
      <c r="L1382">
        <v>500</v>
      </c>
      <c r="M1382">
        <v>500</v>
      </c>
      <c r="N1382" t="s">
        <v>19</v>
      </c>
    </row>
    <row r="1383" spans="1:14" x14ac:dyDescent="0.25">
      <c r="A1383" t="str">
        <f>Table3[[#This Row],[Company Name]] &amp; " - " &amp; Table3[[#This Row],[Store Name]] &amp; " - " &amp; Table3[[#This Row],[Store Branch / Address]]</f>
        <v>INSPIRA PRIME INTERNATIONAL CORPORATION - MOTO - GENERIC</v>
      </c>
      <c r="B1383" t="str">
        <f>Table3[[#This Row],[Client ID]] &amp; " - " &amp; Table3[[#This Row],[SO Number]]</f>
        <v>INSPIRA PRIME INTERNATIONAL CORPORATION - MOTO - GENERIC - SO-064</v>
      </c>
      <c r="C1383" t="s">
        <v>409</v>
      </c>
      <c r="D1383" t="s">
        <v>1117</v>
      </c>
      <c r="E1383" t="s">
        <v>1140</v>
      </c>
      <c r="F1383" t="s">
        <v>15</v>
      </c>
      <c r="G1383" t="s">
        <v>1024</v>
      </c>
      <c r="H1383" t="s">
        <v>700</v>
      </c>
      <c r="I1383" t="s">
        <v>1110</v>
      </c>
      <c r="J1383">
        <v>1</v>
      </c>
      <c r="K1383">
        <v>3675</v>
      </c>
      <c r="L1383">
        <v>10500</v>
      </c>
      <c r="M1383">
        <v>10500</v>
      </c>
      <c r="N1383" t="s">
        <v>19</v>
      </c>
    </row>
    <row r="1384" spans="1:14" x14ac:dyDescent="0.25">
      <c r="A1384" t="str">
        <f>Table3[[#This Row],[Company Name]] &amp; " - " &amp; Table3[[#This Row],[Store Name]] &amp; " - " &amp; Table3[[#This Row],[Store Branch / Address]]</f>
        <v>INSPIRA PRIME INTERNATIONAL CORPORATION - MOTO - GENERIC</v>
      </c>
      <c r="B1384" t="str">
        <f>Table3[[#This Row],[Client ID]] &amp; " - " &amp; Table3[[#This Row],[SO Number]]</f>
        <v>INSPIRA PRIME INTERNATIONAL CORPORATION - MOTO - GENERIC - SO-064</v>
      </c>
      <c r="C1384" t="s">
        <v>409</v>
      </c>
      <c r="D1384" t="s">
        <v>1117</v>
      </c>
      <c r="E1384" t="s">
        <v>1140</v>
      </c>
      <c r="F1384" t="s">
        <v>15</v>
      </c>
      <c r="G1384" t="s">
        <v>1024</v>
      </c>
      <c r="H1384" t="s">
        <v>700</v>
      </c>
      <c r="I1384" t="s">
        <v>1011</v>
      </c>
      <c r="J1384">
        <v>1</v>
      </c>
      <c r="K1384">
        <v>2450</v>
      </c>
      <c r="L1384">
        <v>7000</v>
      </c>
      <c r="M1384">
        <v>7000</v>
      </c>
      <c r="N1384" t="s">
        <v>19</v>
      </c>
    </row>
    <row r="1385" spans="1:14" x14ac:dyDescent="0.25">
      <c r="A1385" t="str">
        <f>Table3[[#This Row],[Company Name]] &amp; " - " &amp; Table3[[#This Row],[Store Name]] &amp; " - " &amp; Table3[[#This Row],[Store Branch / Address]]</f>
        <v>INSPIRA PRIME INTERNATIONAL CORPORATION - MOTO - GENERIC</v>
      </c>
      <c r="B1385" t="str">
        <f>Table3[[#This Row],[Client ID]] &amp; " - " &amp; Table3[[#This Row],[SO Number]]</f>
        <v>INSPIRA PRIME INTERNATIONAL CORPORATION - MOTO - GENERIC - SO-064</v>
      </c>
      <c r="C1385" t="s">
        <v>409</v>
      </c>
      <c r="D1385" t="s">
        <v>1117</v>
      </c>
      <c r="E1385" t="s">
        <v>1140</v>
      </c>
      <c r="F1385" t="s">
        <v>15</v>
      </c>
      <c r="G1385" t="s">
        <v>1024</v>
      </c>
      <c r="H1385" t="s">
        <v>700</v>
      </c>
      <c r="I1385" t="s">
        <v>24</v>
      </c>
      <c r="J1385">
        <v>1</v>
      </c>
      <c r="K1385">
        <v>2450</v>
      </c>
      <c r="L1385">
        <v>7000</v>
      </c>
      <c r="M1385">
        <v>7000</v>
      </c>
      <c r="N1385" t="s">
        <v>19</v>
      </c>
    </row>
    <row r="1386" spans="1:14" x14ac:dyDescent="0.25">
      <c r="A1386" t="str">
        <f>Table3[[#This Row],[Company Name]] &amp; " - " &amp; Table3[[#This Row],[Store Name]] &amp; " - " &amp; Table3[[#This Row],[Store Branch / Address]]</f>
        <v>INSPIRA PRIME INTERNATIONAL CORPORATION - MOTO - GENERIC</v>
      </c>
      <c r="B1386" t="str">
        <f>Table3[[#This Row],[Client ID]] &amp; " - " &amp; Table3[[#This Row],[SO Number]]</f>
        <v>INSPIRA PRIME INTERNATIONAL CORPORATION - MOTO - GENERIC - SO-064</v>
      </c>
      <c r="C1386" t="s">
        <v>409</v>
      </c>
      <c r="D1386" t="s">
        <v>1117</v>
      </c>
      <c r="E1386" t="s">
        <v>1140</v>
      </c>
      <c r="F1386" t="s">
        <v>15</v>
      </c>
      <c r="G1386" t="s">
        <v>1024</v>
      </c>
      <c r="H1386" t="s">
        <v>700</v>
      </c>
      <c r="I1386" t="s">
        <v>26</v>
      </c>
      <c r="J1386">
        <v>1</v>
      </c>
      <c r="K1386">
        <v>500</v>
      </c>
      <c r="L1386">
        <v>500</v>
      </c>
      <c r="M1386">
        <v>500</v>
      </c>
      <c r="N1386" t="s">
        <v>19</v>
      </c>
    </row>
    <row r="1387" spans="1:14" x14ac:dyDescent="0.25">
      <c r="A1387" t="str">
        <f>Table3[[#This Row],[Company Name]] &amp; " - " &amp; Table3[[#This Row],[Store Name]] &amp; " - " &amp; Table3[[#This Row],[Store Branch / Address]]</f>
        <v>INSPIRA PRIME INTERNATIONAL CORPORATION - MOTO - GENERIC</v>
      </c>
      <c r="B1387" t="str">
        <f>Table3[[#This Row],[Client ID]] &amp; " - " &amp; Table3[[#This Row],[SO Number]]</f>
        <v>INSPIRA PRIME INTERNATIONAL CORPORATION - MOTO - GENERIC - SO-064</v>
      </c>
      <c r="C1387" t="s">
        <v>409</v>
      </c>
      <c r="D1387" t="s">
        <v>1117</v>
      </c>
      <c r="E1387" t="s">
        <v>1140</v>
      </c>
      <c r="F1387" t="s">
        <v>15</v>
      </c>
      <c r="G1387" t="s">
        <v>1024</v>
      </c>
      <c r="H1387" t="s">
        <v>700</v>
      </c>
      <c r="I1387" t="s">
        <v>1119</v>
      </c>
      <c r="J1387">
        <v>1</v>
      </c>
      <c r="K1387">
        <v>20800</v>
      </c>
      <c r="L1387">
        <v>23000</v>
      </c>
      <c r="M1387">
        <v>23000</v>
      </c>
      <c r="N1387" t="s">
        <v>19</v>
      </c>
    </row>
    <row r="1388" spans="1:14" x14ac:dyDescent="0.25">
      <c r="A1388" t="str">
        <f>Table3[[#This Row],[Company Name]] &amp; " - " &amp; Table3[[#This Row],[Store Name]] &amp; " - " &amp; Table3[[#This Row],[Store Branch / Address]]</f>
        <v>INSPIRA PRIME INTERNATIONAL CORPORATION - MOTO - GENERIC</v>
      </c>
      <c r="B1388" t="str">
        <f>Table3[[#This Row],[Client ID]] &amp; " - " &amp; Table3[[#This Row],[SO Number]]</f>
        <v>INSPIRA PRIME INTERNATIONAL CORPORATION - MOTO - GENERIC - SO-064</v>
      </c>
      <c r="C1388" t="s">
        <v>409</v>
      </c>
      <c r="D1388" t="s">
        <v>1117</v>
      </c>
      <c r="E1388" t="s">
        <v>1140</v>
      </c>
      <c r="F1388" t="s">
        <v>15</v>
      </c>
      <c r="G1388" t="s">
        <v>1024</v>
      </c>
      <c r="H1388" t="s">
        <v>700</v>
      </c>
      <c r="I1388" t="s">
        <v>1120</v>
      </c>
      <c r="J1388">
        <v>1</v>
      </c>
      <c r="K1388">
        <v>2334</v>
      </c>
      <c r="L1388">
        <v>3200</v>
      </c>
      <c r="M1388">
        <v>3200</v>
      </c>
      <c r="N1388" t="s">
        <v>19</v>
      </c>
    </row>
    <row r="1389" spans="1:14" x14ac:dyDescent="0.25">
      <c r="A1389" t="str">
        <f>Table3[[#This Row],[Company Name]] &amp; " - " &amp; Table3[[#This Row],[Store Name]] &amp; " - " &amp; Table3[[#This Row],[Store Branch / Address]]</f>
        <v>INSPIRA PRIME INTERNATIONAL CORPORATION - MOTO - GENERIC</v>
      </c>
      <c r="B1389" t="str">
        <f>Table3[[#This Row],[Client ID]] &amp; " - " &amp; Table3[[#This Row],[SO Number]]</f>
        <v>INSPIRA PRIME INTERNATIONAL CORPORATION - MOTO - GENERIC - SO-064</v>
      </c>
      <c r="C1389" t="s">
        <v>409</v>
      </c>
      <c r="D1389" t="s">
        <v>1117</v>
      </c>
      <c r="E1389" t="s">
        <v>1140</v>
      </c>
      <c r="F1389" t="s">
        <v>15</v>
      </c>
      <c r="G1389" t="s">
        <v>1024</v>
      </c>
      <c r="H1389" t="s">
        <v>700</v>
      </c>
      <c r="I1389" t="s">
        <v>151</v>
      </c>
      <c r="J1389">
        <v>1</v>
      </c>
      <c r="K1389">
        <v>2000</v>
      </c>
      <c r="L1389">
        <v>3200</v>
      </c>
      <c r="M1389">
        <v>3200</v>
      </c>
      <c r="N1389" t="s">
        <v>19</v>
      </c>
    </row>
    <row r="1390" spans="1:14" x14ac:dyDescent="0.25">
      <c r="A1390" t="str">
        <f>Table3[[#This Row],[Company Name]] &amp; " - " &amp; Table3[[#This Row],[Store Name]] &amp; " - " &amp; Table3[[#This Row],[Store Branch / Address]]</f>
        <v>INSPIRA PRIME INTERNATIONAL CORPORATION - MOTO - GENERIC</v>
      </c>
      <c r="B1390" t="str">
        <f>Table3[[#This Row],[Client ID]] &amp; " - " &amp; Table3[[#This Row],[SO Number]]</f>
        <v>INSPIRA PRIME INTERNATIONAL CORPORATION - MOTO - GENERIC - SO-064</v>
      </c>
      <c r="C1390" t="s">
        <v>409</v>
      </c>
      <c r="D1390" t="s">
        <v>1117</v>
      </c>
      <c r="E1390" t="s">
        <v>1140</v>
      </c>
      <c r="F1390" t="s">
        <v>15</v>
      </c>
      <c r="G1390" t="s">
        <v>1024</v>
      </c>
      <c r="H1390" t="s">
        <v>700</v>
      </c>
      <c r="I1390" t="s">
        <v>189</v>
      </c>
      <c r="J1390">
        <v>1</v>
      </c>
      <c r="K1390">
        <v>500</v>
      </c>
      <c r="L1390">
        <v>600</v>
      </c>
      <c r="M1390">
        <v>600</v>
      </c>
      <c r="N1390" t="s">
        <v>19</v>
      </c>
    </row>
    <row r="1391" spans="1:14" x14ac:dyDescent="0.25">
      <c r="A1391" t="str">
        <f>Table3[[#This Row],[Company Name]] &amp; " - " &amp; Table3[[#This Row],[Store Name]] &amp; " - " &amp; Table3[[#This Row],[Store Branch / Address]]</f>
        <v>INSPIRA PRIME INTERNATIONAL CORPORATION - MOTO - GENERIC</v>
      </c>
      <c r="B1391" t="str">
        <f>Table3[[#This Row],[Client ID]] &amp; " - " &amp; Table3[[#This Row],[SO Number]]</f>
        <v>INSPIRA PRIME INTERNATIONAL CORPORATION - MOTO - GENERIC - SO-064</v>
      </c>
      <c r="C1391" t="s">
        <v>409</v>
      </c>
      <c r="D1391" t="s">
        <v>1117</v>
      </c>
      <c r="E1391" t="s">
        <v>1140</v>
      </c>
      <c r="F1391" t="s">
        <v>15</v>
      </c>
      <c r="G1391" t="s">
        <v>1024</v>
      </c>
      <c r="H1391" t="s">
        <v>700</v>
      </c>
      <c r="I1391" t="s">
        <v>1033</v>
      </c>
      <c r="J1391">
        <v>1</v>
      </c>
      <c r="K1391">
        <v>350</v>
      </c>
      <c r="L1391">
        <v>400</v>
      </c>
      <c r="M1391">
        <v>400</v>
      </c>
      <c r="N1391" t="s">
        <v>19</v>
      </c>
    </row>
    <row r="1392" spans="1:14" x14ac:dyDescent="0.25">
      <c r="A1392" t="str">
        <f>Table3[[#This Row],[Company Name]] &amp; " - " &amp; Table3[[#This Row],[Store Name]] &amp; " - " &amp; Table3[[#This Row],[Store Branch / Address]]</f>
        <v>INSPIRA PRIME INTERNATIONAL CORPORATION - MOTO - GENERIC</v>
      </c>
      <c r="B1392" t="str">
        <f>Table3[[#This Row],[Client ID]] &amp; " - " &amp; Table3[[#This Row],[SO Number]]</f>
        <v>INSPIRA PRIME INTERNATIONAL CORPORATION - MOTO - GENERIC - SO-064</v>
      </c>
      <c r="C1392" t="s">
        <v>409</v>
      </c>
      <c r="D1392" t="s">
        <v>1117</v>
      </c>
      <c r="E1392" t="s">
        <v>1140</v>
      </c>
      <c r="F1392" t="s">
        <v>15</v>
      </c>
      <c r="G1392" t="s">
        <v>1024</v>
      </c>
      <c r="H1392" t="s">
        <v>700</v>
      </c>
      <c r="I1392" t="s">
        <v>1014</v>
      </c>
      <c r="J1392">
        <v>1</v>
      </c>
      <c r="K1392">
        <v>970</v>
      </c>
      <c r="L1392">
        <v>1200</v>
      </c>
      <c r="M1392">
        <v>1200</v>
      </c>
      <c r="N1392" t="s">
        <v>19</v>
      </c>
    </row>
    <row r="1393" spans="1:14" x14ac:dyDescent="0.25">
      <c r="A1393" t="str">
        <f>Table3[[#This Row],[Company Name]] &amp; " - " &amp; Table3[[#This Row],[Store Name]] &amp; " - " &amp; Table3[[#This Row],[Store Branch / Address]]</f>
        <v>INSPIRA PRIME INTERNATIONAL CORPORATION - MOTO - GENERIC</v>
      </c>
      <c r="B1393" t="str">
        <f>Table3[[#This Row],[Client ID]] &amp; " - " &amp; Table3[[#This Row],[SO Number]]</f>
        <v>INSPIRA PRIME INTERNATIONAL CORPORATION - MOTO - GENERIC - SO-064</v>
      </c>
      <c r="C1393" t="s">
        <v>409</v>
      </c>
      <c r="D1393" t="s">
        <v>1117</v>
      </c>
      <c r="E1393" t="s">
        <v>1140</v>
      </c>
      <c r="F1393" t="s">
        <v>15</v>
      </c>
      <c r="G1393" t="s">
        <v>1024</v>
      </c>
      <c r="H1393" t="s">
        <v>700</v>
      </c>
      <c r="I1393" t="s">
        <v>1015</v>
      </c>
      <c r="J1393">
        <v>1</v>
      </c>
      <c r="K1393">
        <v>4250</v>
      </c>
      <c r="L1393">
        <v>4700</v>
      </c>
      <c r="M1393">
        <v>4700</v>
      </c>
      <c r="N1393" t="s">
        <v>19</v>
      </c>
    </row>
    <row r="1394" spans="1:14" x14ac:dyDescent="0.25">
      <c r="A1394" t="str">
        <f>Table3[[#This Row],[Company Name]] &amp; " - " &amp; Table3[[#This Row],[Store Name]] &amp; " - " &amp; Table3[[#This Row],[Store Branch / Address]]</f>
        <v>INSPIRA PRIME INTERNATIONAL CORPORATION - MOTO - GENERIC</v>
      </c>
      <c r="B1394" t="str">
        <f>Table3[[#This Row],[Client ID]] &amp; " - " &amp; Table3[[#This Row],[SO Number]]</f>
        <v>INSPIRA PRIME INTERNATIONAL CORPORATION - MOTO - GENERIC - SO-064</v>
      </c>
      <c r="C1394" t="s">
        <v>409</v>
      </c>
      <c r="D1394" t="s">
        <v>1117</v>
      </c>
      <c r="E1394" t="s">
        <v>1140</v>
      </c>
      <c r="F1394" t="s">
        <v>15</v>
      </c>
      <c r="G1394" t="s">
        <v>1024</v>
      </c>
      <c r="H1394" t="s">
        <v>700</v>
      </c>
      <c r="I1394" t="s">
        <v>85</v>
      </c>
      <c r="J1394">
        <v>1</v>
      </c>
      <c r="K1394">
        <v>1350</v>
      </c>
      <c r="L1394">
        <v>1700</v>
      </c>
      <c r="M1394">
        <v>1700</v>
      </c>
      <c r="N1394" t="s">
        <v>19</v>
      </c>
    </row>
    <row r="1395" spans="1:14" x14ac:dyDescent="0.25">
      <c r="A1395" t="str">
        <f>Table3[[#This Row],[Company Name]] &amp; " - " &amp; Table3[[#This Row],[Store Name]] &amp; " - " &amp; Table3[[#This Row],[Store Branch / Address]]</f>
        <v>INSPIRA PRIME INTERNATIONAL CORPORATION - MOTO - GENERIC</v>
      </c>
      <c r="B1395" t="str">
        <f>Table3[[#This Row],[Client ID]] &amp; " - " &amp; Table3[[#This Row],[SO Number]]</f>
        <v>INSPIRA PRIME INTERNATIONAL CORPORATION - MOTO - GENERIC - SO-064</v>
      </c>
      <c r="C1395" t="s">
        <v>409</v>
      </c>
      <c r="D1395" t="s">
        <v>1117</v>
      </c>
      <c r="E1395" t="s">
        <v>1140</v>
      </c>
      <c r="F1395" t="s">
        <v>15</v>
      </c>
      <c r="G1395" t="s">
        <v>1024</v>
      </c>
      <c r="H1395" t="s">
        <v>700</v>
      </c>
      <c r="I1395" t="s">
        <v>1016</v>
      </c>
      <c r="J1395">
        <v>1</v>
      </c>
      <c r="K1395">
        <v>8500</v>
      </c>
      <c r="L1395">
        <v>10000</v>
      </c>
      <c r="M1395">
        <v>10000</v>
      </c>
      <c r="N1395" t="s">
        <v>19</v>
      </c>
    </row>
    <row r="1396" spans="1:14" x14ac:dyDescent="0.25">
      <c r="A1396" t="str">
        <f>Table3[[#This Row],[Company Name]] &amp; " - " &amp; Table3[[#This Row],[Store Name]] &amp; " - " &amp; Table3[[#This Row],[Store Branch / Address]]</f>
        <v>INSPIRA PRIME INTERNATIONAL CORPORATION - MOTO - GENERIC</v>
      </c>
      <c r="B1396" t="str">
        <f>Table3[[#This Row],[Client ID]] &amp; " - " &amp; Table3[[#This Row],[SO Number]]</f>
        <v>INSPIRA PRIME INTERNATIONAL CORPORATION - MOTO - GENERIC - SO-064</v>
      </c>
      <c r="C1396" t="s">
        <v>409</v>
      </c>
      <c r="D1396" t="s">
        <v>1117</v>
      </c>
      <c r="E1396" t="s">
        <v>1140</v>
      </c>
      <c r="F1396" t="s">
        <v>15</v>
      </c>
      <c r="G1396" t="s">
        <v>1024</v>
      </c>
      <c r="H1396" t="s">
        <v>700</v>
      </c>
      <c r="I1396" t="s">
        <v>97</v>
      </c>
      <c r="J1396">
        <v>1</v>
      </c>
      <c r="K1396">
        <v>2200</v>
      </c>
      <c r="L1396">
        <v>3000</v>
      </c>
      <c r="M1396">
        <v>3000</v>
      </c>
      <c r="N1396" t="s">
        <v>19</v>
      </c>
    </row>
    <row r="1397" spans="1:14" x14ac:dyDescent="0.25">
      <c r="A1397" t="str">
        <f>Table3[[#This Row],[Company Name]] &amp; " - " &amp; Table3[[#This Row],[Store Name]] &amp; " - " &amp; Table3[[#This Row],[Store Branch / Address]]</f>
        <v>INSPIRA PRIME INTERNATIONAL CORPORATION - MOTO - GENERIC</v>
      </c>
      <c r="B1397" t="str">
        <f>Table3[[#This Row],[Client ID]] &amp; " - " &amp; Table3[[#This Row],[SO Number]]</f>
        <v>INSPIRA PRIME INTERNATIONAL CORPORATION - MOTO - GENERIC - SO-064</v>
      </c>
      <c r="C1397" t="s">
        <v>409</v>
      </c>
      <c r="D1397" t="s">
        <v>1117</v>
      </c>
      <c r="E1397" t="s">
        <v>1140</v>
      </c>
      <c r="F1397" t="s">
        <v>15</v>
      </c>
      <c r="G1397" t="s">
        <v>1024</v>
      </c>
      <c r="H1397" t="s">
        <v>700</v>
      </c>
      <c r="I1397" t="s">
        <v>1121</v>
      </c>
      <c r="J1397">
        <v>1</v>
      </c>
      <c r="K1397">
        <v>3000</v>
      </c>
      <c r="L1397">
        <v>3500</v>
      </c>
      <c r="M1397">
        <v>3500</v>
      </c>
      <c r="N1397" t="s">
        <v>19</v>
      </c>
    </row>
    <row r="1398" spans="1:14" x14ac:dyDescent="0.25">
      <c r="A1398" t="str">
        <f>Table3[[#This Row],[Company Name]] &amp; " - " &amp; Table3[[#This Row],[Store Name]] &amp; " - " &amp; Table3[[#This Row],[Store Branch / Address]]</f>
        <v>INSPIRA PRIME INTERNATIONAL CORPORATION - MOTO - GENERIC</v>
      </c>
      <c r="B1398" t="str">
        <f>Table3[[#This Row],[Client ID]] &amp; " - " &amp; Table3[[#This Row],[SO Number]]</f>
        <v>INSPIRA PRIME INTERNATIONAL CORPORATION - MOTO - GENERIC - SO-064</v>
      </c>
      <c r="C1398" t="s">
        <v>409</v>
      </c>
      <c r="D1398" t="s">
        <v>1117</v>
      </c>
      <c r="E1398" t="s">
        <v>1140</v>
      </c>
      <c r="F1398" t="s">
        <v>15</v>
      </c>
      <c r="G1398" t="s">
        <v>1024</v>
      </c>
      <c r="H1398" t="s">
        <v>700</v>
      </c>
      <c r="I1398" t="s">
        <v>63</v>
      </c>
      <c r="J1398">
        <v>1</v>
      </c>
      <c r="K1398">
        <v>500</v>
      </c>
      <c r="L1398">
        <v>500</v>
      </c>
      <c r="M1398">
        <v>500</v>
      </c>
      <c r="N1398" t="s">
        <v>19</v>
      </c>
    </row>
    <row r="1399" spans="1:14" x14ac:dyDescent="0.25">
      <c r="A1399" t="str">
        <f>Table3[[#This Row],[Company Name]] &amp; " - " &amp; Table3[[#This Row],[Store Name]] &amp; " - " &amp; Table3[[#This Row],[Store Branch / Address]]</f>
        <v>AZIAN CRYSTAL CORPORATION NO COR YET - KUANG HENG - ROB. MANILA</v>
      </c>
      <c r="B1399" t="str">
        <f>Table3[[#This Row],[Client ID]] &amp; " - " &amp; Table3[[#This Row],[SO Number]]</f>
        <v>AZIAN CRYSTAL CORPORATION NO COR YET - KUANG HENG - ROB. MANILA - SO-136</v>
      </c>
      <c r="C1399" t="s">
        <v>707</v>
      </c>
      <c r="D1399" t="s">
        <v>708</v>
      </c>
      <c r="E1399" t="s">
        <v>709</v>
      </c>
      <c r="F1399" t="s">
        <v>710</v>
      </c>
      <c r="G1399" t="s">
        <v>16</v>
      </c>
      <c r="H1399" t="s">
        <v>711</v>
      </c>
      <c r="I1399" t="s">
        <v>687</v>
      </c>
      <c r="J1399">
        <v>1</v>
      </c>
      <c r="K1399">
        <v>3675</v>
      </c>
      <c r="L1399">
        <v>10500</v>
      </c>
      <c r="M1399">
        <v>10500</v>
      </c>
      <c r="N1399" t="s">
        <v>39</v>
      </c>
    </row>
    <row r="1400" spans="1:14" x14ac:dyDescent="0.25">
      <c r="A1400" t="str">
        <f>Table3[[#This Row],[Company Name]] &amp; " - " &amp; Table3[[#This Row],[Store Name]] &amp; " - " &amp; Table3[[#This Row],[Store Branch / Address]]</f>
        <v>AZIAN CRYSTAL CORPORATION NO COR YET - KUANG HENG - ROB. MANILA</v>
      </c>
      <c r="B1400" t="str">
        <f>Table3[[#This Row],[Client ID]] &amp; " - " &amp; Table3[[#This Row],[SO Number]]</f>
        <v>AZIAN CRYSTAL CORPORATION NO COR YET - KUANG HENG - ROB. MANILA - SO-136</v>
      </c>
      <c r="C1400" t="s">
        <v>707</v>
      </c>
      <c r="D1400" t="s">
        <v>708</v>
      </c>
      <c r="E1400" t="s">
        <v>709</v>
      </c>
      <c r="F1400" t="s">
        <v>710</v>
      </c>
      <c r="G1400" t="s">
        <v>16</v>
      </c>
      <c r="H1400" t="s">
        <v>711</v>
      </c>
      <c r="I1400" t="s">
        <v>48</v>
      </c>
      <c r="J1400">
        <v>1</v>
      </c>
      <c r="K1400">
        <v>3220</v>
      </c>
      <c r="L1400">
        <v>9200</v>
      </c>
      <c r="M1400">
        <v>9200</v>
      </c>
      <c r="N1400" t="s">
        <v>39</v>
      </c>
    </row>
    <row r="1401" spans="1:14" x14ac:dyDescent="0.25">
      <c r="A1401" t="str">
        <f>Table3[[#This Row],[Company Name]] &amp; " - " &amp; Table3[[#This Row],[Store Name]] &amp; " - " &amp; Table3[[#This Row],[Store Branch / Address]]</f>
        <v>AZIAN CRYSTAL CORPORATION NO COR YET - KUANG HENG - ROB. MANILA</v>
      </c>
      <c r="B1401" t="str">
        <f>Table3[[#This Row],[Client ID]] &amp; " - " &amp; Table3[[#This Row],[SO Number]]</f>
        <v>AZIAN CRYSTAL CORPORATION NO COR YET - KUANG HENG - ROB. MANILA - SO-136</v>
      </c>
      <c r="C1401" t="s">
        <v>707</v>
      </c>
      <c r="D1401" t="s">
        <v>708</v>
      </c>
      <c r="E1401" t="s">
        <v>709</v>
      </c>
      <c r="F1401" t="s">
        <v>710</v>
      </c>
      <c r="G1401" t="s">
        <v>16</v>
      </c>
      <c r="H1401" t="s">
        <v>711</v>
      </c>
      <c r="I1401" t="s">
        <v>126</v>
      </c>
      <c r="J1401">
        <v>1</v>
      </c>
      <c r="K1401">
        <v>3220</v>
      </c>
      <c r="L1401">
        <v>9200</v>
      </c>
      <c r="M1401">
        <v>9200</v>
      </c>
      <c r="N1401" t="s">
        <v>39</v>
      </c>
    </row>
    <row r="1402" spans="1:14" x14ac:dyDescent="0.25">
      <c r="A1402" t="str">
        <f>Table3[[#This Row],[Company Name]] &amp; " - " &amp; Table3[[#This Row],[Store Name]] &amp; " - " &amp; Table3[[#This Row],[Store Branch / Address]]</f>
        <v>AZIAN CRYSTAL CORPORATION NO COR YET - KUANG HENG - ROB. MANILA</v>
      </c>
      <c r="B1402" t="str">
        <f>Table3[[#This Row],[Client ID]] &amp; " - " &amp; Table3[[#This Row],[SO Number]]</f>
        <v>AZIAN CRYSTAL CORPORATION NO COR YET - KUANG HENG - ROB. MANILA - SO-136</v>
      </c>
      <c r="C1402" t="s">
        <v>707</v>
      </c>
      <c r="D1402" t="s">
        <v>708</v>
      </c>
      <c r="E1402" t="s">
        <v>709</v>
      </c>
      <c r="F1402" t="s">
        <v>710</v>
      </c>
      <c r="G1402" t="s">
        <v>16</v>
      </c>
      <c r="H1402" t="s">
        <v>711</v>
      </c>
      <c r="I1402" t="s">
        <v>26</v>
      </c>
      <c r="J1402">
        <v>1</v>
      </c>
      <c r="K1402">
        <v>500</v>
      </c>
      <c r="L1402">
        <v>500</v>
      </c>
      <c r="M1402">
        <v>500</v>
      </c>
      <c r="N1402" t="s">
        <v>39</v>
      </c>
    </row>
    <row r="1403" spans="1:14" x14ac:dyDescent="0.25">
      <c r="A1403" t="str">
        <f>Table3[[#This Row],[Company Name]] &amp; " - " &amp; Table3[[#This Row],[Store Name]] &amp; " - " &amp; Table3[[#This Row],[Store Branch / Address]]</f>
        <v>AZIAN CRYSTAL CORPORATION NO COR YET - KUANG HENG - ROB. MANILA</v>
      </c>
      <c r="B1403" t="str">
        <f>Table3[[#This Row],[Client ID]] &amp; " - " &amp; Table3[[#This Row],[SO Number]]</f>
        <v>AZIAN CRYSTAL CORPORATION NO COR YET - KUANG HENG - ROB. MANILA - SO-136</v>
      </c>
      <c r="C1403" t="s">
        <v>707</v>
      </c>
      <c r="D1403" t="s">
        <v>708</v>
      </c>
      <c r="E1403" t="s">
        <v>709</v>
      </c>
      <c r="F1403" t="s">
        <v>710</v>
      </c>
      <c r="G1403" t="s">
        <v>16</v>
      </c>
      <c r="H1403" t="s">
        <v>711</v>
      </c>
      <c r="I1403" t="s">
        <v>38</v>
      </c>
      <c r="J1403">
        <v>1</v>
      </c>
      <c r="K1403">
        <v>8500</v>
      </c>
      <c r="L1403">
        <v>12500</v>
      </c>
      <c r="M1403">
        <v>12500</v>
      </c>
      <c r="N1403" t="s">
        <v>39</v>
      </c>
    </row>
    <row r="1404" spans="1:14" x14ac:dyDescent="0.25">
      <c r="A1404" t="str">
        <f>Table3[[#This Row],[Company Name]] &amp; " - " &amp; Table3[[#This Row],[Store Name]] &amp; " - " &amp; Table3[[#This Row],[Store Branch / Address]]</f>
        <v>AZIAN CRYSTAL CORPORATION NO COR YET - KUANG HENG - ROB. MANILA</v>
      </c>
      <c r="B1404" t="str">
        <f>Table3[[#This Row],[Client ID]] &amp; " - " &amp; Table3[[#This Row],[SO Number]]</f>
        <v>AZIAN CRYSTAL CORPORATION NO COR YET - KUANG HENG - ROB. MANILA - SO-136</v>
      </c>
      <c r="C1404" t="s">
        <v>707</v>
      </c>
      <c r="D1404" t="s">
        <v>708</v>
      </c>
      <c r="E1404" t="s">
        <v>709</v>
      </c>
      <c r="F1404" t="s">
        <v>710</v>
      </c>
      <c r="G1404" t="s">
        <v>16</v>
      </c>
      <c r="H1404" t="s">
        <v>711</v>
      </c>
      <c r="I1404" t="s">
        <v>97</v>
      </c>
      <c r="J1404">
        <v>1</v>
      </c>
      <c r="K1404">
        <v>2200</v>
      </c>
      <c r="L1404">
        <v>3000</v>
      </c>
      <c r="M1404">
        <v>3000</v>
      </c>
      <c r="N1404" t="s">
        <v>39</v>
      </c>
    </row>
    <row r="1405" spans="1:14" x14ac:dyDescent="0.25">
      <c r="A1405" t="str">
        <f>Table3[[#This Row],[Company Name]] &amp; " - " &amp; Table3[[#This Row],[Store Name]] &amp; " - " &amp; Table3[[#This Row],[Store Branch / Address]]</f>
        <v>AZIAN CRYSTAL CORPORATION NO COR YET - KUANG HENG - ROB. MANILA</v>
      </c>
      <c r="B1405" t="str">
        <f>Table3[[#This Row],[Client ID]] &amp; " - " &amp; Table3[[#This Row],[SO Number]]</f>
        <v>AZIAN CRYSTAL CORPORATION NO COR YET - KUANG HENG - ROB. MANILA - SO-136</v>
      </c>
      <c r="C1405" t="s">
        <v>707</v>
      </c>
      <c r="D1405" t="s">
        <v>708</v>
      </c>
      <c r="E1405" t="s">
        <v>709</v>
      </c>
      <c r="F1405" t="s">
        <v>710</v>
      </c>
      <c r="G1405" t="s">
        <v>16</v>
      </c>
      <c r="H1405" t="s">
        <v>711</v>
      </c>
      <c r="I1405" t="s">
        <v>93</v>
      </c>
      <c r="J1405">
        <v>1</v>
      </c>
      <c r="K1405">
        <v>11000</v>
      </c>
      <c r="L1405">
        <v>16000</v>
      </c>
      <c r="M1405">
        <v>16000</v>
      </c>
      <c r="N1405" t="s">
        <v>39</v>
      </c>
    </row>
    <row r="1406" spans="1:14" x14ac:dyDescent="0.25">
      <c r="A1406" t="str">
        <f>Table3[[#This Row],[Company Name]] &amp; " - " &amp; Table3[[#This Row],[Store Name]] &amp; " - " &amp; Table3[[#This Row],[Store Branch / Address]]</f>
        <v>AZIAN CRYSTAL CORPORATION NO COR YET - KUANG HENG - ROB. MANILA</v>
      </c>
      <c r="B1406" t="str">
        <f>Table3[[#This Row],[Client ID]] &amp; " - " &amp; Table3[[#This Row],[SO Number]]</f>
        <v>AZIAN CRYSTAL CORPORATION NO COR YET - KUANG HENG - ROB. MANILA - SO-136</v>
      </c>
      <c r="C1406" t="s">
        <v>707</v>
      </c>
      <c r="D1406" t="s">
        <v>708</v>
      </c>
      <c r="E1406" t="s">
        <v>709</v>
      </c>
      <c r="F1406" t="s">
        <v>710</v>
      </c>
      <c r="G1406" t="s">
        <v>16</v>
      </c>
      <c r="H1406" t="s">
        <v>711</v>
      </c>
      <c r="I1406" t="s">
        <v>116</v>
      </c>
      <c r="J1406">
        <v>1</v>
      </c>
      <c r="K1406">
        <v>2185</v>
      </c>
      <c r="L1406">
        <v>3500</v>
      </c>
      <c r="M1406">
        <v>3500</v>
      </c>
      <c r="N1406" t="s">
        <v>39</v>
      </c>
    </row>
    <row r="1407" spans="1:14" x14ac:dyDescent="0.25">
      <c r="A1407" t="str">
        <f>Table3[[#This Row],[Company Name]] &amp; " - " &amp; Table3[[#This Row],[Store Name]] &amp; " - " &amp; Table3[[#This Row],[Store Branch / Address]]</f>
        <v>AZIAN CRYSTAL CORPORATION NO COR YET - KUANG HENG - ROB. MANILA</v>
      </c>
      <c r="B1407" t="str">
        <f>Table3[[#This Row],[Client ID]] &amp; " - " &amp; Table3[[#This Row],[SO Number]]</f>
        <v>AZIAN CRYSTAL CORPORATION NO COR YET - KUANG HENG - ROB. MANILA - SO-136</v>
      </c>
      <c r="C1407" t="s">
        <v>707</v>
      </c>
      <c r="D1407" t="s">
        <v>708</v>
      </c>
      <c r="E1407" t="s">
        <v>709</v>
      </c>
      <c r="F1407" t="s">
        <v>710</v>
      </c>
      <c r="G1407" t="s">
        <v>16</v>
      </c>
      <c r="H1407" t="s">
        <v>711</v>
      </c>
      <c r="I1407" t="s">
        <v>249</v>
      </c>
      <c r="J1407">
        <v>1</v>
      </c>
      <c r="K1407">
        <v>23450</v>
      </c>
      <c r="L1407">
        <v>31500</v>
      </c>
      <c r="M1407">
        <v>31500</v>
      </c>
      <c r="N1407" t="s">
        <v>39</v>
      </c>
    </row>
    <row r="1408" spans="1:14" x14ac:dyDescent="0.25">
      <c r="A1408" t="str">
        <f>Table3[[#This Row],[Company Name]] &amp; " - " &amp; Table3[[#This Row],[Store Name]] &amp; " - " &amp; Table3[[#This Row],[Store Branch / Address]]</f>
        <v>AZIAN CRYSTAL CORPORATION NO COR YET - KUANG HENG - ROB. MANILA</v>
      </c>
      <c r="B1408" t="str">
        <f>Table3[[#This Row],[Client ID]] &amp; " - " &amp; Table3[[#This Row],[SO Number]]</f>
        <v>AZIAN CRYSTAL CORPORATION NO COR YET - KUANG HENG - ROB. MANILA - SO-136</v>
      </c>
      <c r="C1408" t="s">
        <v>707</v>
      </c>
      <c r="D1408" t="s">
        <v>708</v>
      </c>
      <c r="E1408" t="s">
        <v>709</v>
      </c>
      <c r="F1408" t="s">
        <v>710</v>
      </c>
      <c r="G1408" t="s">
        <v>16</v>
      </c>
      <c r="H1408" t="s">
        <v>711</v>
      </c>
      <c r="I1408" t="s">
        <v>210</v>
      </c>
      <c r="J1408">
        <v>1</v>
      </c>
      <c r="K1408">
        <v>0</v>
      </c>
      <c r="L1408">
        <v>0</v>
      </c>
      <c r="M1408">
        <v>0</v>
      </c>
      <c r="N1408" t="s">
        <v>39</v>
      </c>
    </row>
    <row r="1409" spans="1:14" x14ac:dyDescent="0.25">
      <c r="A1409" t="str">
        <f>Table3[[#This Row],[Company Name]] &amp; " - " &amp; Table3[[#This Row],[Store Name]] &amp; " - " &amp; Table3[[#This Row],[Store Branch / Address]]</f>
        <v>AZIAN CRYSTAL CORPORATION NO COR YET - KUANG HENG - ROB. MANILA</v>
      </c>
      <c r="B1409" t="str">
        <f>Table3[[#This Row],[Client ID]] &amp; " - " &amp; Table3[[#This Row],[SO Number]]</f>
        <v>AZIAN CRYSTAL CORPORATION NO COR YET - KUANG HENG - ROB. MANILA - SO-136</v>
      </c>
      <c r="C1409" t="s">
        <v>707</v>
      </c>
      <c r="D1409" t="s">
        <v>708</v>
      </c>
      <c r="E1409" t="s">
        <v>709</v>
      </c>
      <c r="F1409" t="s">
        <v>710</v>
      </c>
      <c r="G1409" t="s">
        <v>16</v>
      </c>
      <c r="H1409" t="s">
        <v>711</v>
      </c>
      <c r="I1409" t="s">
        <v>151</v>
      </c>
      <c r="J1409">
        <v>1</v>
      </c>
      <c r="K1409">
        <v>2800</v>
      </c>
      <c r="L1409">
        <v>4000</v>
      </c>
      <c r="M1409">
        <v>4000</v>
      </c>
      <c r="N1409" t="s">
        <v>39</v>
      </c>
    </row>
    <row r="1410" spans="1:14" x14ac:dyDescent="0.25">
      <c r="A1410" t="str">
        <f>Table3[[#This Row],[Company Name]] &amp; " - " &amp; Table3[[#This Row],[Store Name]] &amp; " - " &amp; Table3[[#This Row],[Store Branch / Address]]</f>
        <v>AZIAN CRYSTAL CORPORATION NO COR YET - KUANG HENG - ROB. MANILA</v>
      </c>
      <c r="B1410" t="str">
        <f>Table3[[#This Row],[Client ID]] &amp; " - " &amp; Table3[[#This Row],[SO Number]]</f>
        <v>AZIAN CRYSTAL CORPORATION NO COR YET - KUANG HENG - ROB. MANILA - SO-136</v>
      </c>
      <c r="C1410" t="s">
        <v>707</v>
      </c>
      <c r="D1410" t="s">
        <v>708</v>
      </c>
      <c r="E1410" t="s">
        <v>709</v>
      </c>
      <c r="F1410" t="s">
        <v>710</v>
      </c>
      <c r="G1410" t="s">
        <v>16</v>
      </c>
      <c r="H1410" t="s">
        <v>711</v>
      </c>
      <c r="I1410" t="s">
        <v>98</v>
      </c>
      <c r="J1410">
        <v>1</v>
      </c>
      <c r="K1410">
        <v>970</v>
      </c>
      <c r="L1410">
        <v>1500</v>
      </c>
      <c r="M1410">
        <v>1500</v>
      </c>
      <c r="N1410" t="s">
        <v>39</v>
      </c>
    </row>
    <row r="1411" spans="1:14" x14ac:dyDescent="0.25">
      <c r="A1411" t="str">
        <f>Table3[[#This Row],[Company Name]] &amp; " - " &amp; Table3[[#This Row],[Store Name]] &amp; " - " &amp; Table3[[#This Row],[Store Branch / Address]]</f>
        <v>AZIAN CRYSTAL CORPORATION NO COR YET - KUANG HENG - ROB. MANILA</v>
      </c>
      <c r="B1411" t="str">
        <f>Table3[[#This Row],[Client ID]] &amp; " - " &amp; Table3[[#This Row],[SO Number]]</f>
        <v>AZIAN CRYSTAL CORPORATION NO COR YET - KUANG HENG - ROB. MANILA - SO-136</v>
      </c>
      <c r="C1411" t="s">
        <v>707</v>
      </c>
      <c r="D1411" t="s">
        <v>708</v>
      </c>
      <c r="E1411" t="s">
        <v>709</v>
      </c>
      <c r="F1411" t="s">
        <v>710</v>
      </c>
      <c r="G1411" t="s">
        <v>16</v>
      </c>
      <c r="H1411" t="s">
        <v>711</v>
      </c>
      <c r="I1411" t="s">
        <v>63</v>
      </c>
      <c r="J1411">
        <v>1</v>
      </c>
      <c r="K1411">
        <v>600</v>
      </c>
      <c r="L1411">
        <v>600</v>
      </c>
      <c r="M1411">
        <v>600</v>
      </c>
      <c r="N1411" t="s">
        <v>39</v>
      </c>
    </row>
    <row r="1412" spans="1:14" x14ac:dyDescent="0.25">
      <c r="A1412" t="str">
        <f>Table3[[#This Row],[Company Name]] &amp; " - " &amp; Table3[[#This Row],[Store Name]] &amp; " - " &amp; Table3[[#This Row],[Store Branch / Address]]</f>
        <v>TIMELESS BAR AND RESTAURANT CONCEPTS INC - DILLINGER - GENERIC</v>
      </c>
      <c r="B1412" t="str">
        <f>Table3[[#This Row],[Client ID]] &amp; " - " &amp; Table3[[#This Row],[SO Number]]</f>
        <v>TIMELESS BAR AND RESTAURANT CONCEPTS INC - DILLINGER - GENERIC - SO-137</v>
      </c>
      <c r="C1412" t="s">
        <v>712</v>
      </c>
      <c r="D1412" t="s">
        <v>713</v>
      </c>
      <c r="E1412" t="s">
        <v>714</v>
      </c>
      <c r="F1412" t="s">
        <v>15</v>
      </c>
      <c r="G1412" t="s">
        <v>37</v>
      </c>
      <c r="H1412" t="s">
        <v>711</v>
      </c>
      <c r="I1412" t="s">
        <v>154</v>
      </c>
      <c r="J1412">
        <v>1</v>
      </c>
      <c r="K1412">
        <v>1100</v>
      </c>
      <c r="L1412">
        <v>1500</v>
      </c>
      <c r="M1412">
        <v>1500</v>
      </c>
      <c r="N1412" t="s">
        <v>19</v>
      </c>
    </row>
    <row r="1413" spans="1:14" x14ac:dyDescent="0.25">
      <c r="A1413" t="str">
        <f>Table3[[#This Row],[Company Name]] &amp; " - " &amp; Table3[[#This Row],[Store Name]] &amp; " - " &amp; Table3[[#This Row],[Store Branch / Address]]</f>
        <v>CORTEZ IAN CARL CORPUZ - FERINO'S CAFÉ - GENERIC</v>
      </c>
      <c r="B1413" t="str">
        <f>Table3[[#This Row],[Client ID]] &amp; " - " &amp; Table3[[#This Row],[SO Number]]</f>
        <v>CORTEZ IAN CARL CORPUZ - FERINO'S CAFÉ - GENERIC - SO-065</v>
      </c>
      <c r="C1413" t="s">
        <v>410</v>
      </c>
      <c r="D1413" t="s">
        <v>1141</v>
      </c>
      <c r="E1413" t="s">
        <v>1142</v>
      </c>
      <c r="F1413" t="s">
        <v>15</v>
      </c>
      <c r="G1413" t="s">
        <v>1024</v>
      </c>
      <c r="H1413" t="s">
        <v>711</v>
      </c>
      <c r="I1413" t="s">
        <v>114</v>
      </c>
      <c r="J1413">
        <v>1</v>
      </c>
      <c r="K1413">
        <v>3675</v>
      </c>
      <c r="L1413">
        <v>10500</v>
      </c>
      <c r="M1413">
        <v>10500</v>
      </c>
      <c r="N1413" t="s">
        <v>19</v>
      </c>
    </row>
    <row r="1414" spans="1:14" x14ac:dyDescent="0.25">
      <c r="A1414" t="str">
        <f>Table3[[#This Row],[Company Name]] &amp; " - " &amp; Table3[[#This Row],[Store Name]] &amp; " - " &amp; Table3[[#This Row],[Store Branch / Address]]</f>
        <v>CORTEZ IAN CARL CORPUZ - FERINO'S CAFÉ - GENERIC</v>
      </c>
      <c r="B1414" t="str">
        <f>Table3[[#This Row],[Client ID]] &amp; " - " &amp; Table3[[#This Row],[SO Number]]</f>
        <v>CORTEZ IAN CARL CORPUZ - FERINO'S CAFÉ - GENERIC - SO-065</v>
      </c>
      <c r="C1414" t="s">
        <v>410</v>
      </c>
      <c r="D1414" t="s">
        <v>1141</v>
      </c>
      <c r="E1414" t="s">
        <v>1142</v>
      </c>
      <c r="F1414" t="s">
        <v>15</v>
      </c>
      <c r="G1414" t="s">
        <v>1024</v>
      </c>
      <c r="H1414" t="s">
        <v>711</v>
      </c>
      <c r="I1414" t="s">
        <v>25</v>
      </c>
      <c r="J1414">
        <v>1</v>
      </c>
      <c r="K1414">
        <v>3237.5</v>
      </c>
      <c r="L1414">
        <v>9250</v>
      </c>
      <c r="M1414">
        <v>9250</v>
      </c>
      <c r="N1414" t="s">
        <v>19</v>
      </c>
    </row>
    <row r="1415" spans="1:14" x14ac:dyDescent="0.25">
      <c r="A1415" t="str">
        <f>Table3[[#This Row],[Company Name]] &amp; " - " &amp; Table3[[#This Row],[Store Name]] &amp; " - " &amp; Table3[[#This Row],[Store Branch / Address]]</f>
        <v>CORTEZ IAN CARL CORPUZ - FERINO'S CAFÉ - GENERIC</v>
      </c>
      <c r="B1415" t="str">
        <f>Table3[[#This Row],[Client ID]] &amp; " - " &amp; Table3[[#This Row],[SO Number]]</f>
        <v>CORTEZ IAN CARL CORPUZ - FERINO'S CAFÉ - GENERIC - SO-065</v>
      </c>
      <c r="C1415" t="s">
        <v>410</v>
      </c>
      <c r="D1415" t="s">
        <v>1141</v>
      </c>
      <c r="E1415" t="s">
        <v>1142</v>
      </c>
      <c r="F1415" t="s">
        <v>15</v>
      </c>
      <c r="G1415" t="s">
        <v>1024</v>
      </c>
      <c r="H1415" t="s">
        <v>711</v>
      </c>
      <c r="I1415" t="s">
        <v>24</v>
      </c>
      <c r="J1415">
        <v>1</v>
      </c>
      <c r="K1415">
        <v>3237.5</v>
      </c>
      <c r="L1415">
        <v>9250</v>
      </c>
      <c r="M1415">
        <v>9250</v>
      </c>
      <c r="N1415" t="s">
        <v>19</v>
      </c>
    </row>
    <row r="1416" spans="1:14" x14ac:dyDescent="0.25">
      <c r="A1416" t="str">
        <f>Table3[[#This Row],[Company Name]] &amp; " - " &amp; Table3[[#This Row],[Store Name]] &amp; " - " &amp; Table3[[#This Row],[Store Branch / Address]]</f>
        <v>CORTEZ IAN CARL CORPUZ - FERINO'S CAFÉ - GENERIC</v>
      </c>
      <c r="B1416" t="str">
        <f>Table3[[#This Row],[Client ID]] &amp; " - " &amp; Table3[[#This Row],[SO Number]]</f>
        <v>CORTEZ IAN CARL CORPUZ - FERINO'S CAFÉ - GENERIC - SO-065</v>
      </c>
      <c r="C1416" t="s">
        <v>410</v>
      </c>
      <c r="D1416" t="s">
        <v>1141</v>
      </c>
      <c r="E1416" t="s">
        <v>1142</v>
      </c>
      <c r="F1416" t="s">
        <v>15</v>
      </c>
      <c r="G1416" t="s">
        <v>1024</v>
      </c>
      <c r="H1416" t="s">
        <v>711</v>
      </c>
      <c r="I1416" t="s">
        <v>26</v>
      </c>
      <c r="J1416">
        <v>1</v>
      </c>
      <c r="K1416">
        <v>500</v>
      </c>
      <c r="L1416">
        <v>500</v>
      </c>
      <c r="M1416">
        <v>500</v>
      </c>
      <c r="N1416" t="s">
        <v>19</v>
      </c>
    </row>
    <row r="1417" spans="1:14" x14ac:dyDescent="0.25">
      <c r="A1417" t="str">
        <f>Table3[[#This Row],[Company Name]] &amp; " - " &amp; Table3[[#This Row],[Store Name]] &amp; " - " &amp; Table3[[#This Row],[Store Branch / Address]]</f>
        <v>CORTEZ IAN CARL CORPUZ - FERINO'S CAFÉ - GENERIC</v>
      </c>
      <c r="B1417" t="str">
        <f>Table3[[#This Row],[Client ID]] &amp; " - " &amp; Table3[[#This Row],[SO Number]]</f>
        <v>CORTEZ IAN CARL CORPUZ - FERINO'S CAFÉ - GENERIC - SO-065</v>
      </c>
      <c r="C1417" t="s">
        <v>410</v>
      </c>
      <c r="D1417" t="s">
        <v>1141</v>
      </c>
      <c r="E1417" t="s">
        <v>1142</v>
      </c>
      <c r="F1417" t="s">
        <v>15</v>
      </c>
      <c r="G1417" t="s">
        <v>1024</v>
      </c>
      <c r="H1417" t="s">
        <v>711</v>
      </c>
      <c r="I1417" t="s">
        <v>1032</v>
      </c>
      <c r="J1417">
        <v>1</v>
      </c>
      <c r="K1417">
        <v>23450</v>
      </c>
      <c r="L1417">
        <v>28000</v>
      </c>
      <c r="M1417">
        <v>28000</v>
      </c>
      <c r="N1417" t="s">
        <v>19</v>
      </c>
    </row>
    <row r="1418" spans="1:14" x14ac:dyDescent="0.25">
      <c r="A1418" t="str">
        <f>Table3[[#This Row],[Company Name]] &amp; " - " &amp; Table3[[#This Row],[Store Name]] &amp; " - " &amp; Table3[[#This Row],[Store Branch / Address]]</f>
        <v>CORTEZ IAN CARL CORPUZ - FERINO'S CAFÉ - GENERIC</v>
      </c>
      <c r="B1418" t="str">
        <f>Table3[[#This Row],[Client ID]] &amp; " - " &amp; Table3[[#This Row],[SO Number]]</f>
        <v>CORTEZ IAN CARL CORPUZ - FERINO'S CAFÉ - GENERIC - SO-065</v>
      </c>
      <c r="C1418" t="s">
        <v>410</v>
      </c>
      <c r="D1418" t="s">
        <v>1141</v>
      </c>
      <c r="E1418" t="s">
        <v>1142</v>
      </c>
      <c r="F1418" t="s">
        <v>15</v>
      </c>
      <c r="G1418" t="s">
        <v>1024</v>
      </c>
      <c r="H1418" t="s">
        <v>711</v>
      </c>
      <c r="I1418" t="s">
        <v>1045</v>
      </c>
      <c r="J1418">
        <v>1</v>
      </c>
      <c r="K1418">
        <v>11000</v>
      </c>
      <c r="L1418">
        <v>14000</v>
      </c>
      <c r="M1418">
        <v>14000</v>
      </c>
      <c r="N1418" t="s">
        <v>19</v>
      </c>
    </row>
    <row r="1419" spans="1:14" x14ac:dyDescent="0.25">
      <c r="A1419" t="str">
        <f>Table3[[#This Row],[Company Name]] &amp; " - " &amp; Table3[[#This Row],[Store Name]] &amp; " - " &amp; Table3[[#This Row],[Store Branch / Address]]</f>
        <v>CORTEZ IAN CARL CORPUZ - FERINO'S CAFÉ - GENERIC</v>
      </c>
      <c r="B1419" t="str">
        <f>Table3[[#This Row],[Client ID]] &amp; " - " &amp; Table3[[#This Row],[SO Number]]</f>
        <v>CORTEZ IAN CARL CORPUZ - FERINO'S CAFÉ - GENERIC - SO-065</v>
      </c>
      <c r="C1419" t="s">
        <v>410</v>
      </c>
      <c r="D1419" t="s">
        <v>1141</v>
      </c>
      <c r="E1419" t="s">
        <v>1142</v>
      </c>
      <c r="F1419" t="s">
        <v>15</v>
      </c>
      <c r="G1419" t="s">
        <v>1024</v>
      </c>
      <c r="H1419" t="s">
        <v>711</v>
      </c>
      <c r="I1419" t="s">
        <v>85</v>
      </c>
      <c r="J1419">
        <v>1</v>
      </c>
      <c r="K1419">
        <v>1350</v>
      </c>
      <c r="L1419">
        <v>1600</v>
      </c>
      <c r="M1419">
        <v>1600</v>
      </c>
      <c r="N1419" t="s">
        <v>19</v>
      </c>
    </row>
    <row r="1420" spans="1:14" x14ac:dyDescent="0.25">
      <c r="A1420" t="str">
        <f>Table3[[#This Row],[Company Name]] &amp; " - " &amp; Table3[[#This Row],[Store Name]] &amp; " - " &amp; Table3[[#This Row],[Store Branch / Address]]</f>
        <v>CORTEZ IAN CARL CORPUZ - FERINO'S CAFÉ - GENERIC</v>
      </c>
      <c r="B1420" t="str">
        <f>Table3[[#This Row],[Client ID]] &amp; " - " &amp; Table3[[#This Row],[SO Number]]</f>
        <v>CORTEZ IAN CARL CORPUZ - FERINO'S CAFÉ - GENERIC - SO-065</v>
      </c>
      <c r="C1420" t="s">
        <v>410</v>
      </c>
      <c r="D1420" t="s">
        <v>1141</v>
      </c>
      <c r="E1420" t="s">
        <v>1142</v>
      </c>
      <c r="F1420" t="s">
        <v>15</v>
      </c>
      <c r="G1420" t="s">
        <v>1024</v>
      </c>
      <c r="H1420" t="s">
        <v>711</v>
      </c>
      <c r="I1420" t="s">
        <v>1048</v>
      </c>
      <c r="J1420">
        <v>1</v>
      </c>
      <c r="K1420">
        <v>8500</v>
      </c>
      <c r="L1420">
        <v>11500</v>
      </c>
      <c r="M1420">
        <v>11500</v>
      </c>
      <c r="N1420" t="s">
        <v>19</v>
      </c>
    </row>
    <row r="1421" spans="1:14" x14ac:dyDescent="0.25">
      <c r="A1421" t="str">
        <f>Table3[[#This Row],[Company Name]] &amp; " - " &amp; Table3[[#This Row],[Store Name]] &amp; " - " &amp; Table3[[#This Row],[Store Branch / Address]]</f>
        <v>CORTEZ IAN CARL CORPUZ - FERINO'S CAFÉ - GENERIC</v>
      </c>
      <c r="B1421" t="str">
        <f>Table3[[#This Row],[Client ID]] &amp; " - " &amp; Table3[[#This Row],[SO Number]]</f>
        <v>CORTEZ IAN CARL CORPUZ - FERINO'S CAFÉ - GENERIC - SO-065</v>
      </c>
      <c r="C1421" t="s">
        <v>410</v>
      </c>
      <c r="D1421" t="s">
        <v>1141</v>
      </c>
      <c r="E1421" t="s">
        <v>1142</v>
      </c>
      <c r="F1421" t="s">
        <v>15</v>
      </c>
      <c r="G1421" t="s">
        <v>1024</v>
      </c>
      <c r="H1421" t="s">
        <v>711</v>
      </c>
      <c r="I1421" t="s">
        <v>97</v>
      </c>
      <c r="J1421">
        <v>1</v>
      </c>
      <c r="K1421">
        <v>2200</v>
      </c>
      <c r="L1421">
        <v>2700</v>
      </c>
      <c r="M1421">
        <v>2700</v>
      </c>
      <c r="N1421" t="s">
        <v>19</v>
      </c>
    </row>
    <row r="1422" spans="1:14" x14ac:dyDescent="0.25">
      <c r="A1422" t="str">
        <f>Table3[[#This Row],[Company Name]] &amp; " - " &amp; Table3[[#This Row],[Store Name]] &amp; " - " &amp; Table3[[#This Row],[Store Branch / Address]]</f>
        <v>CORTEZ IAN CARL CORPUZ - FERINO'S CAFÉ - GENERIC</v>
      </c>
      <c r="B1422" t="str">
        <f>Table3[[#This Row],[Client ID]] &amp; " - " &amp; Table3[[#This Row],[SO Number]]</f>
        <v>CORTEZ IAN CARL CORPUZ - FERINO'S CAFÉ - GENERIC - SO-065</v>
      </c>
      <c r="C1422" t="s">
        <v>410</v>
      </c>
      <c r="D1422" t="s">
        <v>1141</v>
      </c>
      <c r="E1422" t="s">
        <v>1142</v>
      </c>
      <c r="F1422" t="s">
        <v>15</v>
      </c>
      <c r="G1422" t="s">
        <v>1024</v>
      </c>
      <c r="H1422" t="s">
        <v>711</v>
      </c>
      <c r="I1422" t="s">
        <v>151</v>
      </c>
      <c r="J1422">
        <v>1</v>
      </c>
      <c r="K1422">
        <v>2000</v>
      </c>
      <c r="L1422">
        <v>3000</v>
      </c>
      <c r="M1422">
        <v>3000</v>
      </c>
      <c r="N1422" t="s">
        <v>19</v>
      </c>
    </row>
    <row r="1423" spans="1:14" x14ac:dyDescent="0.25">
      <c r="A1423" t="str">
        <f>Table3[[#This Row],[Company Name]] &amp; " - " &amp; Table3[[#This Row],[Store Name]] &amp; " - " &amp; Table3[[#This Row],[Store Branch / Address]]</f>
        <v>CORTEZ IAN CARL CORPUZ - FERINO'S CAFÉ - GENERIC</v>
      </c>
      <c r="B1423" t="str">
        <f>Table3[[#This Row],[Client ID]] &amp; " - " &amp; Table3[[#This Row],[SO Number]]</f>
        <v>CORTEZ IAN CARL CORPUZ - FERINO'S CAFÉ - GENERIC - SO-065</v>
      </c>
      <c r="C1423" t="s">
        <v>410</v>
      </c>
      <c r="D1423" t="s">
        <v>1141</v>
      </c>
      <c r="E1423" t="s">
        <v>1142</v>
      </c>
      <c r="F1423" t="s">
        <v>15</v>
      </c>
      <c r="G1423" t="s">
        <v>1024</v>
      </c>
      <c r="H1423" t="s">
        <v>711</v>
      </c>
      <c r="I1423" t="s">
        <v>1051</v>
      </c>
      <c r="J1423">
        <v>1</v>
      </c>
      <c r="K1423">
        <v>970</v>
      </c>
      <c r="L1423">
        <v>1200</v>
      </c>
      <c r="M1423">
        <v>1200</v>
      </c>
      <c r="N1423" t="s">
        <v>19</v>
      </c>
    </row>
    <row r="1424" spans="1:14" x14ac:dyDescent="0.25">
      <c r="A1424" t="str">
        <f>Table3[[#This Row],[Company Name]] &amp; " - " &amp; Table3[[#This Row],[Store Name]] &amp; " - " &amp; Table3[[#This Row],[Store Branch / Address]]</f>
        <v>CORTEZ IAN CARL CORPUZ - FERINO'S CAFÉ - GENERIC</v>
      </c>
      <c r="B1424" t="str">
        <f>Table3[[#This Row],[Client ID]] &amp; " - " &amp; Table3[[#This Row],[SO Number]]</f>
        <v>CORTEZ IAN CARL CORPUZ - FERINO'S CAFÉ - GENERIC - SO-065</v>
      </c>
      <c r="C1424" t="s">
        <v>410</v>
      </c>
      <c r="D1424" t="s">
        <v>1141</v>
      </c>
      <c r="E1424" t="s">
        <v>1142</v>
      </c>
      <c r="F1424" t="s">
        <v>15</v>
      </c>
      <c r="G1424" t="s">
        <v>1024</v>
      </c>
      <c r="H1424" t="s">
        <v>711</v>
      </c>
      <c r="I1424" t="s">
        <v>63</v>
      </c>
      <c r="J1424">
        <v>1</v>
      </c>
      <c r="K1424">
        <v>500</v>
      </c>
      <c r="L1424">
        <v>500</v>
      </c>
      <c r="M1424">
        <v>500</v>
      </c>
      <c r="N1424" t="s">
        <v>19</v>
      </c>
    </row>
    <row r="1425" spans="1:14" x14ac:dyDescent="0.25">
      <c r="A1425" t="str">
        <f>Table3[[#This Row],[Company Name]] &amp; " - " &amp; Table3[[#This Row],[Store Name]] &amp; " - " &amp; Table3[[#This Row],[Store Branch / Address]]</f>
        <v>CORTEZ IAN CARL CORPUZ - FERINO'S CAFÉ - GENERIC</v>
      </c>
      <c r="B1425" t="str">
        <f>Table3[[#This Row],[Client ID]] &amp; " - " &amp; Table3[[#This Row],[SO Number]]</f>
        <v>CORTEZ IAN CARL CORPUZ - FERINO'S CAFÉ - GENERIC - SO-065</v>
      </c>
      <c r="C1425" t="s">
        <v>410</v>
      </c>
      <c r="D1425" t="s">
        <v>1141</v>
      </c>
      <c r="E1425" t="s">
        <v>1142</v>
      </c>
      <c r="F1425" t="s">
        <v>15</v>
      </c>
      <c r="G1425" t="s">
        <v>1024</v>
      </c>
      <c r="H1425" t="s">
        <v>711</v>
      </c>
      <c r="I1425" t="s">
        <v>189</v>
      </c>
      <c r="J1425">
        <v>1</v>
      </c>
      <c r="K1425">
        <v>500</v>
      </c>
      <c r="L1425">
        <v>700</v>
      </c>
      <c r="M1425">
        <v>700</v>
      </c>
      <c r="N1425" t="s">
        <v>19</v>
      </c>
    </row>
    <row r="1426" spans="1:14" x14ac:dyDescent="0.25">
      <c r="A1426" t="str">
        <f>Table3[[#This Row],[Company Name]] &amp; " - " &amp; Table3[[#This Row],[Store Name]] &amp; " - " &amp; Table3[[#This Row],[Store Branch / Address]]</f>
        <v>CORTEZ IAN CARL CORPUZ - FERINO'S CAFÉ - GENERIC</v>
      </c>
      <c r="B1426" t="str">
        <f>Table3[[#This Row],[Client ID]] &amp; " - " &amp; Table3[[#This Row],[SO Number]]</f>
        <v>CORTEZ IAN CARL CORPUZ - FERINO'S CAFÉ - GENERIC - SO-065</v>
      </c>
      <c r="C1426" t="s">
        <v>410</v>
      </c>
      <c r="D1426" t="s">
        <v>1141</v>
      </c>
      <c r="E1426" t="s">
        <v>1142</v>
      </c>
      <c r="F1426" t="s">
        <v>15</v>
      </c>
      <c r="G1426" t="s">
        <v>1024</v>
      </c>
      <c r="H1426" t="s">
        <v>711</v>
      </c>
      <c r="I1426" t="s">
        <v>1033</v>
      </c>
      <c r="J1426">
        <v>1</v>
      </c>
      <c r="K1426">
        <v>350</v>
      </c>
      <c r="L1426">
        <v>500</v>
      </c>
      <c r="M1426">
        <v>500</v>
      </c>
      <c r="N1426" t="s">
        <v>19</v>
      </c>
    </row>
    <row r="1427" spans="1:14" x14ac:dyDescent="0.25">
      <c r="A1427" t="str">
        <f>Table3[[#This Row],[Company Name]] &amp; " - " &amp; Table3[[#This Row],[Store Name]] &amp; " - " &amp; Table3[[#This Row],[Store Branch / Address]]</f>
        <v>CORTEZ IAN CARL CORPUZ - FERINO'S CAFÉ - GENERIC</v>
      </c>
      <c r="B1427" t="str">
        <f>Table3[[#This Row],[Client ID]] &amp; " - " &amp; Table3[[#This Row],[SO Number]]</f>
        <v>CORTEZ IAN CARL CORPUZ - FERINO'S CAFÉ - GENERIC - SO-065</v>
      </c>
      <c r="C1427" t="s">
        <v>410</v>
      </c>
      <c r="D1427" t="s">
        <v>1141</v>
      </c>
      <c r="E1427" t="s">
        <v>1142</v>
      </c>
      <c r="F1427" t="s">
        <v>15</v>
      </c>
      <c r="G1427" t="s">
        <v>1024</v>
      </c>
      <c r="H1427" t="s">
        <v>711</v>
      </c>
      <c r="I1427" t="s">
        <v>1080</v>
      </c>
      <c r="J1427">
        <v>4</v>
      </c>
      <c r="K1427">
        <v>17</v>
      </c>
      <c r="L1427">
        <v>25</v>
      </c>
      <c r="M1427">
        <v>100</v>
      </c>
      <c r="N1427" t="s">
        <v>19</v>
      </c>
    </row>
    <row r="1428" spans="1:14" x14ac:dyDescent="0.25">
      <c r="A1428" t="str">
        <f>Table3[[#This Row],[Company Name]] &amp; " - " &amp; Table3[[#This Row],[Store Name]] &amp; " - " &amp; Table3[[#This Row],[Store Branch / Address]]</f>
        <v>SIMPLY GOURMET FOOD CORP NO COR YET - CHA TRA MUE - SM MOA</v>
      </c>
      <c r="B1428" t="str">
        <f>Table3[[#This Row],[Client ID]] &amp; " - " &amp; Table3[[#This Row],[SO Number]]</f>
        <v>SIMPLY GOURMET FOOD CORP NO COR YET - CHA TRA MUE - SM MOA - SO-138</v>
      </c>
      <c r="C1428" t="s">
        <v>716</v>
      </c>
      <c r="D1428" t="s">
        <v>220</v>
      </c>
      <c r="E1428" t="s">
        <v>221</v>
      </c>
      <c r="F1428" t="s">
        <v>201</v>
      </c>
      <c r="G1428" t="s">
        <v>37</v>
      </c>
      <c r="H1428" t="s">
        <v>717</v>
      </c>
      <c r="I1428" t="s">
        <v>242</v>
      </c>
      <c r="J1428">
        <v>100</v>
      </c>
      <c r="K1428">
        <v>44.5</v>
      </c>
      <c r="L1428">
        <v>56</v>
      </c>
      <c r="M1428">
        <v>5600</v>
      </c>
      <c r="N1428" t="s">
        <v>39</v>
      </c>
    </row>
    <row r="1429" spans="1:14" x14ac:dyDescent="0.25">
      <c r="A1429" t="str">
        <f>Table3[[#This Row],[Company Name]] &amp; " - " &amp; Table3[[#This Row],[Store Name]] &amp; " - " &amp; Table3[[#This Row],[Store Branch / Address]]</f>
        <v>SIMPLY GOURMET FOOD CORP NO COR YET - CHA TRA MUE - SM MOA</v>
      </c>
      <c r="B1429" t="str">
        <f>Table3[[#This Row],[Client ID]] &amp; " - " &amp; Table3[[#This Row],[SO Number]]</f>
        <v>SIMPLY GOURMET FOOD CORP NO COR YET - CHA TRA MUE - SM MOA - SO-138</v>
      </c>
      <c r="C1429" t="s">
        <v>716</v>
      </c>
      <c r="D1429" t="s">
        <v>220</v>
      </c>
      <c r="E1429" t="s">
        <v>221</v>
      </c>
      <c r="F1429" t="s">
        <v>201</v>
      </c>
      <c r="G1429" t="s">
        <v>37</v>
      </c>
      <c r="H1429" t="s">
        <v>717</v>
      </c>
      <c r="I1429" t="s">
        <v>63</v>
      </c>
      <c r="J1429">
        <v>1</v>
      </c>
      <c r="K1429">
        <v>400</v>
      </c>
      <c r="L1429">
        <v>400</v>
      </c>
      <c r="M1429">
        <v>400</v>
      </c>
      <c r="N1429" t="s">
        <v>39</v>
      </c>
    </row>
    <row r="1430" spans="1:14" x14ac:dyDescent="0.25">
      <c r="A1430" t="str">
        <f>Table3[[#This Row],[Company Name]] &amp; " - " &amp; Table3[[#This Row],[Store Name]] &amp; " - " &amp; Table3[[#This Row],[Store Branch / Address]]</f>
        <v>DAN S BIKE - DAN'S BIKE - ATC</v>
      </c>
      <c r="B1430" t="str">
        <f>Table3[[#This Row],[Client ID]] &amp; " - " &amp; Table3[[#This Row],[SO Number]]</f>
        <v>DAN S BIKE - DAN'S BIKE - ATC - SO-066</v>
      </c>
      <c r="C1430" t="s">
        <v>413</v>
      </c>
      <c r="D1430" t="s">
        <v>1143</v>
      </c>
      <c r="E1430" t="s">
        <v>1144</v>
      </c>
      <c r="F1430" t="s">
        <v>1058</v>
      </c>
      <c r="G1430" t="s">
        <v>1043</v>
      </c>
      <c r="H1430" t="s">
        <v>1145</v>
      </c>
      <c r="I1430" t="s">
        <v>1146</v>
      </c>
      <c r="J1430">
        <v>1</v>
      </c>
      <c r="K1430">
        <v>15000</v>
      </c>
      <c r="L1430">
        <v>15000</v>
      </c>
      <c r="M1430">
        <v>15000</v>
      </c>
      <c r="N1430" t="s">
        <v>1010</v>
      </c>
    </row>
    <row r="1431" spans="1:14" x14ac:dyDescent="0.25">
      <c r="A1431" t="str">
        <f>Table3[[#This Row],[Company Name]] &amp; " - " &amp; Table3[[#This Row],[Store Name]] &amp; " - " &amp; Table3[[#This Row],[Store Branch / Address]]</f>
        <v>HUZZAH - HUZZAH - GENERIC</v>
      </c>
      <c r="B1431" t="str">
        <f>Table3[[#This Row],[Client ID]] &amp; " - " &amp; Table3[[#This Row],[SO Number]]</f>
        <v>HUZZAH - HUZZAH - GENERIC - SO-139</v>
      </c>
      <c r="C1431" t="s">
        <v>718</v>
      </c>
      <c r="D1431" t="s">
        <v>87</v>
      </c>
      <c r="E1431" t="s">
        <v>87</v>
      </c>
      <c r="F1431" t="s">
        <v>15</v>
      </c>
      <c r="G1431" t="s">
        <v>37</v>
      </c>
      <c r="H1431" t="s">
        <v>719</v>
      </c>
      <c r="I1431" t="s">
        <v>89</v>
      </c>
      <c r="J1431">
        <v>50</v>
      </c>
      <c r="K1431">
        <v>32</v>
      </c>
      <c r="L1431">
        <v>50</v>
      </c>
      <c r="M1431">
        <v>2500</v>
      </c>
      <c r="N1431" t="s">
        <v>39</v>
      </c>
    </row>
    <row r="1432" spans="1:14" x14ac:dyDescent="0.25">
      <c r="A1432" t="str">
        <f>Table3[[#This Row],[Company Name]] &amp; " - " &amp; Table3[[#This Row],[Store Name]] &amp; " - " &amp; Table3[[#This Row],[Store Branch / Address]]</f>
        <v>CCGC TRADING CORPORATION - LIGHTERS GALORE - GATEWAY</v>
      </c>
      <c r="B1432" t="str">
        <f>Table3[[#This Row],[Client ID]] &amp; " - " &amp; Table3[[#This Row],[SO Number]]</f>
        <v>CCGC TRADING CORPORATION - LIGHTERS GALORE - GATEWAY - SO-067</v>
      </c>
      <c r="C1432" t="s">
        <v>424</v>
      </c>
      <c r="D1432" t="s">
        <v>1134</v>
      </c>
      <c r="E1432" t="s">
        <v>1037</v>
      </c>
      <c r="F1432" t="s">
        <v>647</v>
      </c>
      <c r="G1432" t="s">
        <v>37</v>
      </c>
      <c r="H1432" t="s">
        <v>719</v>
      </c>
      <c r="I1432" t="s">
        <v>1147</v>
      </c>
      <c r="J1432">
        <v>50</v>
      </c>
      <c r="K1432">
        <v>17</v>
      </c>
      <c r="L1432">
        <v>25</v>
      </c>
      <c r="M1432">
        <v>1250</v>
      </c>
      <c r="N1432" t="s">
        <v>1010</v>
      </c>
    </row>
    <row r="1433" spans="1:14" x14ac:dyDescent="0.25">
      <c r="A1433" t="str">
        <f>Table3[[#This Row],[Company Name]] &amp; " - " &amp; Table3[[#This Row],[Store Name]] &amp; " - " &amp; Table3[[#This Row],[Store Branch / Address]]</f>
        <v>SB RESTAURANTS INC - STEAK BREAK - GENERIC</v>
      </c>
      <c r="B1433" t="str">
        <f>Table3[[#This Row],[Client ID]] &amp; " - " &amp; Table3[[#This Row],[SO Number]]</f>
        <v>SB RESTAURANTS INC - STEAK BREAK - GENERIC - SO-140</v>
      </c>
      <c r="C1433" t="s">
        <v>724</v>
      </c>
      <c r="D1433" t="s">
        <v>725</v>
      </c>
      <c r="E1433" t="s">
        <v>726</v>
      </c>
      <c r="F1433" t="s">
        <v>15</v>
      </c>
      <c r="G1433" t="s">
        <v>16</v>
      </c>
      <c r="H1433" t="s">
        <v>727</v>
      </c>
      <c r="I1433" t="s">
        <v>728</v>
      </c>
      <c r="J1433">
        <v>1</v>
      </c>
      <c r="K1433">
        <v>2975</v>
      </c>
      <c r="L1433">
        <v>8500</v>
      </c>
      <c r="M1433">
        <v>8500</v>
      </c>
      <c r="N1433" t="s">
        <v>19</v>
      </c>
    </row>
    <row r="1434" spans="1:14" x14ac:dyDescent="0.25">
      <c r="A1434" t="str">
        <f>Table3[[#This Row],[Company Name]] &amp; " - " &amp; Table3[[#This Row],[Store Name]] &amp; " - " &amp; Table3[[#This Row],[Store Branch / Address]]</f>
        <v>CHICKEN DELI - SM MASINAG - GENERIC</v>
      </c>
      <c r="B1434" t="str">
        <f>Table3[[#This Row],[Client ID]] &amp; " - " &amp; Table3[[#This Row],[SO Number]]</f>
        <v>CHICKEN DELI - SM MASINAG - GENERIC - SO-171</v>
      </c>
      <c r="C1434" t="s">
        <v>829</v>
      </c>
      <c r="D1434" t="s">
        <v>20</v>
      </c>
      <c r="E1434" t="s">
        <v>379</v>
      </c>
      <c r="F1434" t="s">
        <v>15</v>
      </c>
      <c r="G1434" t="s">
        <v>22</v>
      </c>
      <c r="H1434" t="s">
        <v>727</v>
      </c>
      <c r="I1434" t="s">
        <v>381</v>
      </c>
      <c r="J1434">
        <v>1</v>
      </c>
      <c r="K1434">
        <v>17</v>
      </c>
      <c r="L1434">
        <v>1250</v>
      </c>
      <c r="M1434">
        <v>1250</v>
      </c>
      <c r="N1434" t="s">
        <v>19</v>
      </c>
    </row>
    <row r="1435" spans="1:14" x14ac:dyDescent="0.25">
      <c r="A1435" t="str">
        <f>Table3[[#This Row],[Company Name]] &amp; " - " &amp; Table3[[#This Row],[Store Name]] &amp; " - " &amp; Table3[[#This Row],[Store Branch / Address]]</f>
        <v>SIAPNO TADA OPTICAL INC - SIAPNO-TADA OPTICAL - GENERIC</v>
      </c>
      <c r="B1435" t="str">
        <f>Table3[[#This Row],[Client ID]] &amp; " - " &amp; Table3[[#This Row],[SO Number]]</f>
        <v>SIAPNO TADA OPTICAL INC - SIAPNO-TADA OPTICAL - GENERIC - SO-068</v>
      </c>
      <c r="C1435" t="s">
        <v>429</v>
      </c>
      <c r="D1435" t="s">
        <v>1148</v>
      </c>
      <c r="E1435" t="s">
        <v>1149</v>
      </c>
      <c r="F1435" t="s">
        <v>15</v>
      </c>
      <c r="G1435" t="s">
        <v>1024</v>
      </c>
      <c r="H1435" t="s">
        <v>1150</v>
      </c>
      <c r="I1435" t="s">
        <v>1110</v>
      </c>
      <c r="J1435">
        <v>1</v>
      </c>
      <c r="K1435">
        <v>3675</v>
      </c>
      <c r="L1435">
        <v>10500</v>
      </c>
      <c r="M1435">
        <v>10500</v>
      </c>
      <c r="N1435" t="s">
        <v>19</v>
      </c>
    </row>
    <row r="1436" spans="1:14" x14ac:dyDescent="0.25">
      <c r="A1436" t="str">
        <f>Table3[[#This Row],[Company Name]] &amp; " - " &amp; Table3[[#This Row],[Store Name]] &amp; " - " &amp; Table3[[#This Row],[Store Branch / Address]]</f>
        <v>SIAPNO TADA OPTICAL INC - SIAPNO-TADA OPTICAL - GENERIC</v>
      </c>
      <c r="B1436" t="str">
        <f>Table3[[#This Row],[Client ID]] &amp; " - " &amp; Table3[[#This Row],[SO Number]]</f>
        <v>SIAPNO TADA OPTICAL INC - SIAPNO-TADA OPTICAL - GENERIC - SO-068</v>
      </c>
      <c r="C1436" t="s">
        <v>429</v>
      </c>
      <c r="D1436" t="s">
        <v>1148</v>
      </c>
      <c r="E1436" t="s">
        <v>1149</v>
      </c>
      <c r="F1436" t="s">
        <v>15</v>
      </c>
      <c r="G1436" t="s">
        <v>1024</v>
      </c>
      <c r="H1436" t="s">
        <v>1150</v>
      </c>
      <c r="I1436" t="s">
        <v>1011</v>
      </c>
      <c r="J1436">
        <v>1</v>
      </c>
      <c r="K1436">
        <v>3325</v>
      </c>
      <c r="L1436">
        <v>9500</v>
      </c>
      <c r="M1436">
        <v>9500</v>
      </c>
      <c r="N1436" t="s">
        <v>19</v>
      </c>
    </row>
    <row r="1437" spans="1:14" x14ac:dyDescent="0.25">
      <c r="A1437" t="str">
        <f>Table3[[#This Row],[Company Name]] &amp; " - " &amp; Table3[[#This Row],[Store Name]] &amp; " - " &amp; Table3[[#This Row],[Store Branch / Address]]</f>
        <v>SIAPNO TADA OPTICAL INC - SIAPNO-TADA OPTICAL - GENERIC</v>
      </c>
      <c r="B1437" t="str">
        <f>Table3[[#This Row],[Client ID]] &amp; " - " &amp; Table3[[#This Row],[SO Number]]</f>
        <v>SIAPNO TADA OPTICAL INC - SIAPNO-TADA OPTICAL - GENERIC - SO-068</v>
      </c>
      <c r="C1437" t="s">
        <v>429</v>
      </c>
      <c r="D1437" t="s">
        <v>1148</v>
      </c>
      <c r="E1437" t="s">
        <v>1149</v>
      </c>
      <c r="F1437" t="s">
        <v>15</v>
      </c>
      <c r="G1437" t="s">
        <v>1024</v>
      </c>
      <c r="H1437" t="s">
        <v>1150</v>
      </c>
      <c r="I1437" t="s">
        <v>24</v>
      </c>
      <c r="J1437">
        <v>1</v>
      </c>
      <c r="K1437">
        <v>3325</v>
      </c>
      <c r="L1437">
        <v>9500</v>
      </c>
      <c r="M1437">
        <v>9500</v>
      </c>
      <c r="N1437" t="s">
        <v>19</v>
      </c>
    </row>
    <row r="1438" spans="1:14" x14ac:dyDescent="0.25">
      <c r="A1438" t="str">
        <f>Table3[[#This Row],[Company Name]] &amp; " - " &amp; Table3[[#This Row],[Store Name]] &amp; " - " &amp; Table3[[#This Row],[Store Branch / Address]]</f>
        <v>SIAPNO TADA OPTICAL INC - SIAPNO-TADA OPTICAL - GENERIC</v>
      </c>
      <c r="B1438" t="str">
        <f>Table3[[#This Row],[Client ID]] &amp; " - " &amp; Table3[[#This Row],[SO Number]]</f>
        <v>SIAPNO TADA OPTICAL INC - SIAPNO-TADA OPTICAL - GENERIC - SO-068</v>
      </c>
      <c r="C1438" t="s">
        <v>429</v>
      </c>
      <c r="D1438" t="s">
        <v>1148</v>
      </c>
      <c r="E1438" t="s">
        <v>1149</v>
      </c>
      <c r="F1438" t="s">
        <v>15</v>
      </c>
      <c r="G1438" t="s">
        <v>1024</v>
      </c>
      <c r="H1438" t="s">
        <v>1150</v>
      </c>
      <c r="I1438" t="s">
        <v>26</v>
      </c>
      <c r="J1438">
        <v>1</v>
      </c>
      <c r="K1438">
        <v>500</v>
      </c>
      <c r="L1438">
        <v>500</v>
      </c>
      <c r="M1438">
        <v>500</v>
      </c>
      <c r="N1438" t="s">
        <v>19</v>
      </c>
    </row>
    <row r="1439" spans="1:14" x14ac:dyDescent="0.25">
      <c r="A1439" t="str">
        <f>Table3[[#This Row],[Company Name]] &amp; " - " &amp; Table3[[#This Row],[Store Name]] &amp; " - " &amp; Table3[[#This Row],[Store Branch / Address]]</f>
        <v>SIAPNO TADA OPTICAL INC - SIAPNO-TADA OPTICAL - GENERIC</v>
      </c>
      <c r="B1439" t="str">
        <f>Table3[[#This Row],[Client ID]] &amp; " - " &amp; Table3[[#This Row],[SO Number]]</f>
        <v>SIAPNO TADA OPTICAL INC - SIAPNO-TADA OPTICAL - GENERIC - SO-068</v>
      </c>
      <c r="C1439" t="s">
        <v>429</v>
      </c>
      <c r="D1439" t="s">
        <v>1148</v>
      </c>
      <c r="E1439" t="s">
        <v>1149</v>
      </c>
      <c r="F1439" t="s">
        <v>15</v>
      </c>
      <c r="G1439" t="s">
        <v>1024</v>
      </c>
      <c r="H1439" t="s">
        <v>1150</v>
      </c>
      <c r="I1439" t="s">
        <v>1119</v>
      </c>
      <c r="J1439">
        <v>1</v>
      </c>
      <c r="K1439">
        <v>20800</v>
      </c>
      <c r="L1439">
        <v>24000</v>
      </c>
      <c r="M1439">
        <v>24000</v>
      </c>
      <c r="N1439" t="s">
        <v>19</v>
      </c>
    </row>
    <row r="1440" spans="1:14" x14ac:dyDescent="0.25">
      <c r="A1440" t="str">
        <f>Table3[[#This Row],[Company Name]] &amp; " - " &amp; Table3[[#This Row],[Store Name]] &amp; " - " &amp; Table3[[#This Row],[Store Branch / Address]]</f>
        <v>SIAPNO TADA OPTICAL INC - SIAPNO-TADA OPTICAL - GENERIC</v>
      </c>
      <c r="B1440" t="str">
        <f>Table3[[#This Row],[Client ID]] &amp; " - " &amp; Table3[[#This Row],[SO Number]]</f>
        <v>SIAPNO TADA OPTICAL INC - SIAPNO-TADA OPTICAL - GENERIC - SO-068</v>
      </c>
      <c r="C1440" t="s">
        <v>429</v>
      </c>
      <c r="D1440" t="s">
        <v>1148</v>
      </c>
      <c r="E1440" t="s">
        <v>1149</v>
      </c>
      <c r="F1440" t="s">
        <v>15</v>
      </c>
      <c r="G1440" t="s">
        <v>1024</v>
      </c>
      <c r="H1440" t="s">
        <v>1150</v>
      </c>
      <c r="I1440" t="s">
        <v>1120</v>
      </c>
      <c r="J1440">
        <v>1</v>
      </c>
      <c r="K1440">
        <v>2334</v>
      </c>
      <c r="L1440">
        <v>4000</v>
      </c>
      <c r="M1440">
        <v>4000</v>
      </c>
      <c r="N1440" t="s">
        <v>19</v>
      </c>
    </row>
    <row r="1441" spans="1:14" x14ac:dyDescent="0.25">
      <c r="A1441" t="str">
        <f>Table3[[#This Row],[Company Name]] &amp; " - " &amp; Table3[[#This Row],[Store Name]] &amp; " - " &amp; Table3[[#This Row],[Store Branch / Address]]</f>
        <v>SIAPNO TADA OPTICAL INC - SIAPNO-TADA OPTICAL - GENERIC</v>
      </c>
      <c r="B1441" t="str">
        <f>Table3[[#This Row],[Client ID]] &amp; " - " &amp; Table3[[#This Row],[SO Number]]</f>
        <v>SIAPNO TADA OPTICAL INC - SIAPNO-TADA OPTICAL - GENERIC - SO-068</v>
      </c>
      <c r="C1441" t="s">
        <v>429</v>
      </c>
      <c r="D1441" t="s">
        <v>1148</v>
      </c>
      <c r="E1441" t="s">
        <v>1149</v>
      </c>
      <c r="F1441" t="s">
        <v>15</v>
      </c>
      <c r="G1441" t="s">
        <v>1024</v>
      </c>
      <c r="H1441" t="s">
        <v>1150</v>
      </c>
      <c r="I1441" t="s">
        <v>151</v>
      </c>
      <c r="J1441">
        <v>1</v>
      </c>
      <c r="K1441">
        <v>2000</v>
      </c>
      <c r="L1441">
        <v>4000</v>
      </c>
      <c r="M1441">
        <v>4000</v>
      </c>
      <c r="N1441" t="s">
        <v>19</v>
      </c>
    </row>
    <row r="1442" spans="1:14" x14ac:dyDescent="0.25">
      <c r="A1442" t="str">
        <f>Table3[[#This Row],[Company Name]] &amp; " - " &amp; Table3[[#This Row],[Store Name]] &amp; " - " &amp; Table3[[#This Row],[Store Branch / Address]]</f>
        <v>SIAPNO TADA OPTICAL INC - SIAPNO-TADA OPTICAL - GENERIC</v>
      </c>
      <c r="B1442" t="str">
        <f>Table3[[#This Row],[Client ID]] &amp; " - " &amp; Table3[[#This Row],[SO Number]]</f>
        <v>SIAPNO TADA OPTICAL INC - SIAPNO-TADA OPTICAL - GENERIC - SO-068</v>
      </c>
      <c r="C1442" t="s">
        <v>429</v>
      </c>
      <c r="D1442" t="s">
        <v>1148</v>
      </c>
      <c r="E1442" t="s">
        <v>1149</v>
      </c>
      <c r="F1442" t="s">
        <v>15</v>
      </c>
      <c r="G1442" t="s">
        <v>1024</v>
      </c>
      <c r="H1442" t="s">
        <v>1150</v>
      </c>
      <c r="I1442" t="s">
        <v>189</v>
      </c>
      <c r="J1442">
        <v>1</v>
      </c>
      <c r="K1442">
        <v>500</v>
      </c>
      <c r="L1442">
        <v>600</v>
      </c>
      <c r="M1442">
        <v>600</v>
      </c>
      <c r="N1442" t="s">
        <v>19</v>
      </c>
    </row>
    <row r="1443" spans="1:14" x14ac:dyDescent="0.25">
      <c r="A1443" t="str">
        <f>Table3[[#This Row],[Company Name]] &amp; " - " &amp; Table3[[#This Row],[Store Name]] &amp; " - " &amp; Table3[[#This Row],[Store Branch / Address]]</f>
        <v>SIAPNO TADA OPTICAL INC - SIAPNO-TADA OPTICAL - GENERIC</v>
      </c>
      <c r="B1443" t="str">
        <f>Table3[[#This Row],[Client ID]] &amp; " - " &amp; Table3[[#This Row],[SO Number]]</f>
        <v>SIAPNO TADA OPTICAL INC - SIAPNO-TADA OPTICAL - GENERIC - SO-068</v>
      </c>
      <c r="C1443" t="s">
        <v>429</v>
      </c>
      <c r="D1443" t="s">
        <v>1148</v>
      </c>
      <c r="E1443" t="s">
        <v>1149</v>
      </c>
      <c r="F1443" t="s">
        <v>15</v>
      </c>
      <c r="G1443" t="s">
        <v>1024</v>
      </c>
      <c r="H1443" t="s">
        <v>1150</v>
      </c>
      <c r="I1443" t="s">
        <v>1033</v>
      </c>
      <c r="J1443">
        <v>1</v>
      </c>
      <c r="K1443">
        <v>350</v>
      </c>
      <c r="L1443">
        <v>400</v>
      </c>
      <c r="M1443">
        <v>400</v>
      </c>
      <c r="N1443" t="s">
        <v>19</v>
      </c>
    </row>
    <row r="1444" spans="1:14" x14ac:dyDescent="0.25">
      <c r="A1444" t="str">
        <f>Table3[[#This Row],[Company Name]] &amp; " - " &amp; Table3[[#This Row],[Store Name]] &amp; " - " &amp; Table3[[#This Row],[Store Branch / Address]]</f>
        <v>SIAPNO TADA OPTICAL INC - SIAPNO-TADA OPTICAL - GENERIC</v>
      </c>
      <c r="B1444" t="str">
        <f>Table3[[#This Row],[Client ID]] &amp; " - " &amp; Table3[[#This Row],[SO Number]]</f>
        <v>SIAPNO TADA OPTICAL INC - SIAPNO-TADA OPTICAL - GENERIC - SO-068</v>
      </c>
      <c r="C1444" t="s">
        <v>429</v>
      </c>
      <c r="D1444" t="s">
        <v>1148</v>
      </c>
      <c r="E1444" t="s">
        <v>1149</v>
      </c>
      <c r="F1444" t="s">
        <v>15</v>
      </c>
      <c r="G1444" t="s">
        <v>1024</v>
      </c>
      <c r="H1444" t="s">
        <v>1150</v>
      </c>
      <c r="I1444" t="s">
        <v>1014</v>
      </c>
      <c r="J1444">
        <v>1</v>
      </c>
      <c r="K1444">
        <v>970</v>
      </c>
      <c r="L1444">
        <v>1500</v>
      </c>
      <c r="M1444">
        <v>1500</v>
      </c>
      <c r="N1444" t="s">
        <v>19</v>
      </c>
    </row>
    <row r="1445" spans="1:14" x14ac:dyDescent="0.25">
      <c r="A1445" t="str">
        <f>Table3[[#This Row],[Company Name]] &amp; " - " &amp; Table3[[#This Row],[Store Name]] &amp; " - " &amp; Table3[[#This Row],[Store Branch / Address]]</f>
        <v>SIAPNO TADA OPTICAL INC - SIAPNO-TADA OPTICAL - GENERIC</v>
      </c>
      <c r="B1445" t="str">
        <f>Table3[[#This Row],[Client ID]] &amp; " - " &amp; Table3[[#This Row],[SO Number]]</f>
        <v>SIAPNO TADA OPTICAL INC - SIAPNO-TADA OPTICAL - GENERIC - SO-068</v>
      </c>
      <c r="C1445" t="s">
        <v>429</v>
      </c>
      <c r="D1445" t="s">
        <v>1148</v>
      </c>
      <c r="E1445" t="s">
        <v>1149</v>
      </c>
      <c r="F1445" t="s">
        <v>15</v>
      </c>
      <c r="G1445" t="s">
        <v>1024</v>
      </c>
      <c r="H1445" t="s">
        <v>1150</v>
      </c>
      <c r="I1445" t="s">
        <v>1015</v>
      </c>
      <c r="J1445">
        <v>1</v>
      </c>
      <c r="K1445">
        <v>4250</v>
      </c>
      <c r="L1445">
        <v>6500</v>
      </c>
      <c r="M1445">
        <v>6500</v>
      </c>
      <c r="N1445" t="s">
        <v>19</v>
      </c>
    </row>
    <row r="1446" spans="1:14" x14ac:dyDescent="0.25">
      <c r="A1446" t="str">
        <f>Table3[[#This Row],[Company Name]] &amp; " - " &amp; Table3[[#This Row],[Store Name]] &amp; " - " &amp; Table3[[#This Row],[Store Branch / Address]]</f>
        <v>SIAPNO TADA OPTICAL INC - SIAPNO-TADA OPTICAL - GENERIC</v>
      </c>
      <c r="B1446" t="str">
        <f>Table3[[#This Row],[Client ID]] &amp; " - " &amp; Table3[[#This Row],[SO Number]]</f>
        <v>SIAPNO TADA OPTICAL INC - SIAPNO-TADA OPTICAL - GENERIC - SO-068</v>
      </c>
      <c r="C1446" t="s">
        <v>429</v>
      </c>
      <c r="D1446" t="s">
        <v>1148</v>
      </c>
      <c r="E1446" t="s">
        <v>1149</v>
      </c>
      <c r="F1446" t="s">
        <v>15</v>
      </c>
      <c r="G1446" t="s">
        <v>1024</v>
      </c>
      <c r="H1446" t="s">
        <v>1150</v>
      </c>
      <c r="I1446" t="s">
        <v>116</v>
      </c>
      <c r="J1446">
        <v>1</v>
      </c>
      <c r="K1446">
        <v>2185</v>
      </c>
      <c r="L1446">
        <v>3500</v>
      </c>
      <c r="M1446">
        <v>3500</v>
      </c>
      <c r="N1446" t="s">
        <v>19</v>
      </c>
    </row>
    <row r="1447" spans="1:14" x14ac:dyDescent="0.25">
      <c r="A1447" t="str">
        <f>Table3[[#This Row],[Company Name]] &amp; " - " &amp; Table3[[#This Row],[Store Name]] &amp; " - " &amp; Table3[[#This Row],[Store Branch / Address]]</f>
        <v>SIAPNO TADA OPTICAL INC - SIAPNO-TADA OPTICAL - GENERIC</v>
      </c>
      <c r="B1447" t="str">
        <f>Table3[[#This Row],[Client ID]] &amp; " - " &amp; Table3[[#This Row],[SO Number]]</f>
        <v>SIAPNO TADA OPTICAL INC - SIAPNO-TADA OPTICAL - GENERIC - SO-068</v>
      </c>
      <c r="C1447" t="s">
        <v>429</v>
      </c>
      <c r="D1447" t="s">
        <v>1148</v>
      </c>
      <c r="E1447" t="s">
        <v>1149</v>
      </c>
      <c r="F1447" t="s">
        <v>15</v>
      </c>
      <c r="G1447" t="s">
        <v>1024</v>
      </c>
      <c r="H1447" t="s">
        <v>1150</v>
      </c>
      <c r="I1447" t="s">
        <v>1016</v>
      </c>
      <c r="J1447">
        <v>1</v>
      </c>
      <c r="K1447">
        <v>8500</v>
      </c>
      <c r="L1447">
        <v>12400</v>
      </c>
      <c r="M1447">
        <v>12400</v>
      </c>
      <c r="N1447" t="s">
        <v>19</v>
      </c>
    </row>
    <row r="1448" spans="1:14" x14ac:dyDescent="0.25">
      <c r="A1448" t="str">
        <f>Table3[[#This Row],[Company Name]] &amp; " - " &amp; Table3[[#This Row],[Store Name]] &amp; " - " &amp; Table3[[#This Row],[Store Branch / Address]]</f>
        <v>SIAPNO TADA OPTICAL INC - SIAPNO-TADA OPTICAL - GENERIC</v>
      </c>
      <c r="B1448" t="str">
        <f>Table3[[#This Row],[Client ID]] &amp; " - " &amp; Table3[[#This Row],[SO Number]]</f>
        <v>SIAPNO TADA OPTICAL INC - SIAPNO-TADA OPTICAL - GENERIC - SO-068</v>
      </c>
      <c r="C1448" t="s">
        <v>429</v>
      </c>
      <c r="D1448" t="s">
        <v>1148</v>
      </c>
      <c r="E1448" t="s">
        <v>1149</v>
      </c>
      <c r="F1448" t="s">
        <v>15</v>
      </c>
      <c r="G1448" t="s">
        <v>1024</v>
      </c>
      <c r="H1448" t="s">
        <v>1150</v>
      </c>
      <c r="I1448" t="s">
        <v>97</v>
      </c>
      <c r="J1448">
        <v>1</v>
      </c>
      <c r="K1448">
        <v>2200</v>
      </c>
      <c r="L1448">
        <v>3500</v>
      </c>
      <c r="M1448">
        <v>3500</v>
      </c>
      <c r="N1448" t="s">
        <v>19</v>
      </c>
    </row>
    <row r="1449" spans="1:14" x14ac:dyDescent="0.25">
      <c r="A1449" t="str">
        <f>Table3[[#This Row],[Company Name]] &amp; " - " &amp; Table3[[#This Row],[Store Name]] &amp; " - " &amp; Table3[[#This Row],[Store Branch / Address]]</f>
        <v>SIAPNO TADA OPTICAL INC - SIAPNO-TADA OPTICAL - GENERIC</v>
      </c>
      <c r="B1449" t="str">
        <f>Table3[[#This Row],[Client ID]] &amp; " - " &amp; Table3[[#This Row],[SO Number]]</f>
        <v>SIAPNO TADA OPTICAL INC - SIAPNO-TADA OPTICAL - GENERIC - SO-068</v>
      </c>
      <c r="C1449" t="s">
        <v>429</v>
      </c>
      <c r="D1449" t="s">
        <v>1148</v>
      </c>
      <c r="E1449" t="s">
        <v>1149</v>
      </c>
      <c r="F1449" t="s">
        <v>15</v>
      </c>
      <c r="G1449" t="s">
        <v>1024</v>
      </c>
      <c r="H1449" t="s">
        <v>1150</v>
      </c>
      <c r="I1449" t="s">
        <v>1121</v>
      </c>
      <c r="J1449">
        <v>1</v>
      </c>
      <c r="K1449">
        <v>3000</v>
      </c>
      <c r="L1449">
        <v>3500</v>
      </c>
      <c r="M1449">
        <v>3500</v>
      </c>
      <c r="N1449" t="s">
        <v>19</v>
      </c>
    </row>
    <row r="1450" spans="1:14" x14ac:dyDescent="0.25">
      <c r="A1450" t="str">
        <f>Table3[[#This Row],[Company Name]] &amp; " - " &amp; Table3[[#This Row],[Store Name]] &amp; " - " &amp; Table3[[#This Row],[Store Branch / Address]]</f>
        <v>SIAPNO TADA OPTICAL INC - SIAPNO-TADA OPTICAL - GENERIC</v>
      </c>
      <c r="B1450" t="str">
        <f>Table3[[#This Row],[Client ID]] &amp; " - " &amp; Table3[[#This Row],[SO Number]]</f>
        <v>SIAPNO TADA OPTICAL INC - SIAPNO-TADA OPTICAL - GENERIC - SO-068</v>
      </c>
      <c r="C1450" t="s">
        <v>429</v>
      </c>
      <c r="D1450" t="s">
        <v>1148</v>
      </c>
      <c r="E1450" t="s">
        <v>1149</v>
      </c>
      <c r="F1450" t="s">
        <v>15</v>
      </c>
      <c r="G1450" t="s">
        <v>1024</v>
      </c>
      <c r="H1450" t="s">
        <v>1150</v>
      </c>
      <c r="I1450" t="s">
        <v>1147</v>
      </c>
      <c r="J1450">
        <v>4</v>
      </c>
      <c r="K1450">
        <v>17</v>
      </c>
      <c r="L1450">
        <v>25</v>
      </c>
      <c r="M1450">
        <v>100</v>
      </c>
      <c r="N1450" t="s">
        <v>19</v>
      </c>
    </row>
    <row r="1451" spans="1:14" x14ac:dyDescent="0.25">
      <c r="A1451" t="str">
        <f>Table3[[#This Row],[Company Name]] &amp; " - " &amp; Table3[[#This Row],[Store Name]] &amp; " - " &amp; Table3[[#This Row],[Store Branch / Address]]</f>
        <v>SIAPNO TADA OPTICAL INC - SIAPNO-TADA OPTICAL - GENERIC</v>
      </c>
      <c r="B1451" t="str">
        <f>Table3[[#This Row],[Client ID]] &amp; " - " &amp; Table3[[#This Row],[SO Number]]</f>
        <v>SIAPNO TADA OPTICAL INC - SIAPNO-TADA OPTICAL - GENERIC - SO-069</v>
      </c>
      <c r="C1451" t="s">
        <v>433</v>
      </c>
      <c r="D1451" t="s">
        <v>1148</v>
      </c>
      <c r="E1451" t="s">
        <v>1149</v>
      </c>
      <c r="F1451" t="s">
        <v>15</v>
      </c>
      <c r="G1451" t="s">
        <v>1024</v>
      </c>
      <c r="H1451" t="s">
        <v>1150</v>
      </c>
      <c r="I1451" t="s">
        <v>1110</v>
      </c>
      <c r="J1451">
        <v>1</v>
      </c>
      <c r="K1451">
        <v>3675</v>
      </c>
      <c r="L1451">
        <v>10500</v>
      </c>
      <c r="M1451">
        <v>10500</v>
      </c>
      <c r="N1451" t="s">
        <v>19</v>
      </c>
    </row>
    <row r="1452" spans="1:14" x14ac:dyDescent="0.25">
      <c r="A1452" t="str">
        <f>Table3[[#This Row],[Company Name]] &amp; " - " &amp; Table3[[#This Row],[Store Name]] &amp; " - " &amp; Table3[[#This Row],[Store Branch / Address]]</f>
        <v>SIAPNO TADA OPTICAL INC - SIAPNO-TADA OPTICAL - GENERIC</v>
      </c>
      <c r="B1452" t="str">
        <f>Table3[[#This Row],[Client ID]] &amp; " - " &amp; Table3[[#This Row],[SO Number]]</f>
        <v>SIAPNO TADA OPTICAL INC - SIAPNO-TADA OPTICAL - GENERIC - SO-069</v>
      </c>
      <c r="C1452" t="s">
        <v>433</v>
      </c>
      <c r="D1452" t="s">
        <v>1148</v>
      </c>
      <c r="E1452" t="s">
        <v>1149</v>
      </c>
      <c r="F1452" t="s">
        <v>15</v>
      </c>
      <c r="G1452" t="s">
        <v>1024</v>
      </c>
      <c r="H1452" t="s">
        <v>1150</v>
      </c>
      <c r="I1452" t="s">
        <v>1011</v>
      </c>
      <c r="J1452">
        <v>1</v>
      </c>
      <c r="K1452">
        <v>3325</v>
      </c>
      <c r="L1452">
        <v>9500</v>
      </c>
      <c r="M1452">
        <v>9500</v>
      </c>
      <c r="N1452" t="s">
        <v>19</v>
      </c>
    </row>
    <row r="1453" spans="1:14" x14ac:dyDescent="0.25">
      <c r="A1453" t="str">
        <f>Table3[[#This Row],[Company Name]] &amp; " - " &amp; Table3[[#This Row],[Store Name]] &amp; " - " &amp; Table3[[#This Row],[Store Branch / Address]]</f>
        <v>SIAPNO TADA OPTICAL INC - SIAPNO-TADA OPTICAL - GENERIC</v>
      </c>
      <c r="B1453" t="str">
        <f>Table3[[#This Row],[Client ID]] &amp; " - " &amp; Table3[[#This Row],[SO Number]]</f>
        <v>SIAPNO TADA OPTICAL INC - SIAPNO-TADA OPTICAL - GENERIC - SO-069</v>
      </c>
      <c r="C1453" t="s">
        <v>433</v>
      </c>
      <c r="D1453" t="s">
        <v>1148</v>
      </c>
      <c r="E1453" t="s">
        <v>1149</v>
      </c>
      <c r="F1453" t="s">
        <v>15</v>
      </c>
      <c r="G1453" t="s">
        <v>1024</v>
      </c>
      <c r="H1453" t="s">
        <v>1150</v>
      </c>
      <c r="I1453" t="s">
        <v>24</v>
      </c>
      <c r="J1453">
        <v>1</v>
      </c>
      <c r="K1453">
        <v>3325</v>
      </c>
      <c r="L1453">
        <v>9500</v>
      </c>
      <c r="M1453">
        <v>9500</v>
      </c>
      <c r="N1453" t="s">
        <v>19</v>
      </c>
    </row>
    <row r="1454" spans="1:14" x14ac:dyDescent="0.25">
      <c r="A1454" t="str">
        <f>Table3[[#This Row],[Company Name]] &amp; " - " &amp; Table3[[#This Row],[Store Name]] &amp; " - " &amp; Table3[[#This Row],[Store Branch / Address]]</f>
        <v>SIAPNO TADA OPTICAL INC - SIAPNO-TADA OPTICAL - GENERIC</v>
      </c>
      <c r="B1454" t="str">
        <f>Table3[[#This Row],[Client ID]] &amp; " - " &amp; Table3[[#This Row],[SO Number]]</f>
        <v>SIAPNO TADA OPTICAL INC - SIAPNO-TADA OPTICAL - GENERIC - SO-069</v>
      </c>
      <c r="C1454" t="s">
        <v>433</v>
      </c>
      <c r="D1454" t="s">
        <v>1148</v>
      </c>
      <c r="E1454" t="s">
        <v>1149</v>
      </c>
      <c r="F1454" t="s">
        <v>15</v>
      </c>
      <c r="G1454" t="s">
        <v>1024</v>
      </c>
      <c r="H1454" t="s">
        <v>1150</v>
      </c>
      <c r="I1454" t="s">
        <v>26</v>
      </c>
      <c r="J1454">
        <v>1</v>
      </c>
      <c r="K1454">
        <v>500</v>
      </c>
      <c r="L1454">
        <v>500</v>
      </c>
      <c r="M1454">
        <v>500</v>
      </c>
      <c r="N1454" t="s">
        <v>19</v>
      </c>
    </row>
    <row r="1455" spans="1:14" x14ac:dyDescent="0.25">
      <c r="A1455" t="str">
        <f>Table3[[#This Row],[Company Name]] &amp; " - " &amp; Table3[[#This Row],[Store Name]] &amp; " - " &amp; Table3[[#This Row],[Store Branch / Address]]</f>
        <v>SIAPNO TADA OPTICAL INC - SIAPNO-TADA OPTICAL - GENERIC</v>
      </c>
      <c r="B1455" t="str">
        <f>Table3[[#This Row],[Client ID]] &amp; " - " &amp; Table3[[#This Row],[SO Number]]</f>
        <v>SIAPNO TADA OPTICAL INC - SIAPNO-TADA OPTICAL - GENERIC - SO-069</v>
      </c>
      <c r="C1455" t="s">
        <v>433</v>
      </c>
      <c r="D1455" t="s">
        <v>1148</v>
      </c>
      <c r="E1455" t="s">
        <v>1149</v>
      </c>
      <c r="F1455" t="s">
        <v>15</v>
      </c>
      <c r="G1455" t="s">
        <v>1024</v>
      </c>
      <c r="H1455" t="s">
        <v>1150</v>
      </c>
      <c r="I1455" t="s">
        <v>1119</v>
      </c>
      <c r="J1455">
        <v>1</v>
      </c>
      <c r="K1455">
        <v>20800</v>
      </c>
      <c r="L1455">
        <v>24000</v>
      </c>
      <c r="M1455">
        <v>24000</v>
      </c>
      <c r="N1455" t="s">
        <v>19</v>
      </c>
    </row>
    <row r="1456" spans="1:14" x14ac:dyDescent="0.25">
      <c r="A1456" t="str">
        <f>Table3[[#This Row],[Company Name]] &amp; " - " &amp; Table3[[#This Row],[Store Name]] &amp; " - " &amp; Table3[[#This Row],[Store Branch / Address]]</f>
        <v>SIAPNO TADA OPTICAL INC - SIAPNO-TADA OPTICAL - GENERIC</v>
      </c>
      <c r="B1456" t="str">
        <f>Table3[[#This Row],[Client ID]] &amp; " - " &amp; Table3[[#This Row],[SO Number]]</f>
        <v>SIAPNO TADA OPTICAL INC - SIAPNO-TADA OPTICAL - GENERIC - SO-069</v>
      </c>
      <c r="C1456" t="s">
        <v>433</v>
      </c>
      <c r="D1456" t="s">
        <v>1148</v>
      </c>
      <c r="E1456" t="s">
        <v>1149</v>
      </c>
      <c r="F1456" t="s">
        <v>15</v>
      </c>
      <c r="G1456" t="s">
        <v>1024</v>
      </c>
      <c r="H1456" t="s">
        <v>1150</v>
      </c>
      <c r="I1456" t="s">
        <v>1120</v>
      </c>
      <c r="J1456">
        <v>1</v>
      </c>
      <c r="K1456">
        <v>2334</v>
      </c>
      <c r="L1456">
        <v>4000</v>
      </c>
      <c r="M1456">
        <v>4000</v>
      </c>
      <c r="N1456" t="s">
        <v>19</v>
      </c>
    </row>
    <row r="1457" spans="1:14" x14ac:dyDescent="0.25">
      <c r="A1457" t="str">
        <f>Table3[[#This Row],[Company Name]] &amp; " - " &amp; Table3[[#This Row],[Store Name]] &amp; " - " &amp; Table3[[#This Row],[Store Branch / Address]]</f>
        <v>SIAPNO TADA OPTICAL INC - SIAPNO-TADA OPTICAL - GENERIC</v>
      </c>
      <c r="B1457" t="str">
        <f>Table3[[#This Row],[Client ID]] &amp; " - " &amp; Table3[[#This Row],[SO Number]]</f>
        <v>SIAPNO TADA OPTICAL INC - SIAPNO-TADA OPTICAL - GENERIC - SO-069</v>
      </c>
      <c r="C1457" t="s">
        <v>433</v>
      </c>
      <c r="D1457" t="s">
        <v>1148</v>
      </c>
      <c r="E1457" t="s">
        <v>1149</v>
      </c>
      <c r="F1457" t="s">
        <v>15</v>
      </c>
      <c r="G1457" t="s">
        <v>1024</v>
      </c>
      <c r="H1457" t="s">
        <v>1150</v>
      </c>
      <c r="I1457" t="s">
        <v>151</v>
      </c>
      <c r="J1457">
        <v>1</v>
      </c>
      <c r="K1457">
        <v>2000</v>
      </c>
      <c r="L1457">
        <v>4000</v>
      </c>
      <c r="M1457">
        <v>4000</v>
      </c>
      <c r="N1457" t="s">
        <v>19</v>
      </c>
    </row>
    <row r="1458" spans="1:14" x14ac:dyDescent="0.25">
      <c r="A1458" t="str">
        <f>Table3[[#This Row],[Company Name]] &amp; " - " &amp; Table3[[#This Row],[Store Name]] &amp; " - " &amp; Table3[[#This Row],[Store Branch / Address]]</f>
        <v>SIAPNO TADA OPTICAL INC - SIAPNO-TADA OPTICAL - GENERIC</v>
      </c>
      <c r="B1458" t="str">
        <f>Table3[[#This Row],[Client ID]] &amp; " - " &amp; Table3[[#This Row],[SO Number]]</f>
        <v>SIAPNO TADA OPTICAL INC - SIAPNO-TADA OPTICAL - GENERIC - SO-069</v>
      </c>
      <c r="C1458" t="s">
        <v>433</v>
      </c>
      <c r="D1458" t="s">
        <v>1148</v>
      </c>
      <c r="E1458" t="s">
        <v>1149</v>
      </c>
      <c r="F1458" t="s">
        <v>15</v>
      </c>
      <c r="G1458" t="s">
        <v>1024</v>
      </c>
      <c r="H1458" t="s">
        <v>1150</v>
      </c>
      <c r="I1458" t="s">
        <v>189</v>
      </c>
      <c r="J1458">
        <v>1</v>
      </c>
      <c r="K1458">
        <v>500</v>
      </c>
      <c r="L1458">
        <v>600</v>
      </c>
      <c r="M1458">
        <v>600</v>
      </c>
      <c r="N1458" t="s">
        <v>19</v>
      </c>
    </row>
    <row r="1459" spans="1:14" x14ac:dyDescent="0.25">
      <c r="A1459" t="str">
        <f>Table3[[#This Row],[Company Name]] &amp; " - " &amp; Table3[[#This Row],[Store Name]] &amp; " - " &amp; Table3[[#This Row],[Store Branch / Address]]</f>
        <v>SIAPNO TADA OPTICAL INC - SIAPNO-TADA OPTICAL - GENERIC</v>
      </c>
      <c r="B1459" t="str">
        <f>Table3[[#This Row],[Client ID]] &amp; " - " &amp; Table3[[#This Row],[SO Number]]</f>
        <v>SIAPNO TADA OPTICAL INC - SIAPNO-TADA OPTICAL - GENERIC - SO-069</v>
      </c>
      <c r="C1459" t="s">
        <v>433</v>
      </c>
      <c r="D1459" t="s">
        <v>1148</v>
      </c>
      <c r="E1459" t="s">
        <v>1149</v>
      </c>
      <c r="F1459" t="s">
        <v>15</v>
      </c>
      <c r="G1459" t="s">
        <v>1024</v>
      </c>
      <c r="H1459" t="s">
        <v>1150</v>
      </c>
      <c r="I1459" t="s">
        <v>1033</v>
      </c>
      <c r="J1459">
        <v>1</v>
      </c>
      <c r="K1459">
        <v>350</v>
      </c>
      <c r="L1459">
        <v>400</v>
      </c>
      <c r="M1459">
        <v>400</v>
      </c>
      <c r="N1459" t="s">
        <v>19</v>
      </c>
    </row>
    <row r="1460" spans="1:14" x14ac:dyDescent="0.25">
      <c r="A1460" t="str">
        <f>Table3[[#This Row],[Company Name]] &amp; " - " &amp; Table3[[#This Row],[Store Name]] &amp; " - " &amp; Table3[[#This Row],[Store Branch / Address]]</f>
        <v>SIAPNO TADA OPTICAL INC - SIAPNO-TADA OPTICAL - GENERIC</v>
      </c>
      <c r="B1460" t="str">
        <f>Table3[[#This Row],[Client ID]] &amp; " - " &amp; Table3[[#This Row],[SO Number]]</f>
        <v>SIAPNO TADA OPTICAL INC - SIAPNO-TADA OPTICAL - GENERIC - SO-069</v>
      </c>
      <c r="C1460" t="s">
        <v>433</v>
      </c>
      <c r="D1460" t="s">
        <v>1148</v>
      </c>
      <c r="E1460" t="s">
        <v>1149</v>
      </c>
      <c r="F1460" t="s">
        <v>15</v>
      </c>
      <c r="G1460" t="s">
        <v>1024</v>
      </c>
      <c r="H1460" t="s">
        <v>1150</v>
      </c>
      <c r="I1460" t="s">
        <v>1014</v>
      </c>
      <c r="J1460">
        <v>1</v>
      </c>
      <c r="K1460">
        <v>970</v>
      </c>
      <c r="L1460">
        <v>1500</v>
      </c>
      <c r="M1460">
        <v>1500</v>
      </c>
      <c r="N1460" t="s">
        <v>19</v>
      </c>
    </row>
    <row r="1461" spans="1:14" x14ac:dyDescent="0.25">
      <c r="A1461" t="str">
        <f>Table3[[#This Row],[Company Name]] &amp; " - " &amp; Table3[[#This Row],[Store Name]] &amp; " - " &amp; Table3[[#This Row],[Store Branch / Address]]</f>
        <v>SIAPNO TADA OPTICAL INC - SIAPNO-TADA OPTICAL - GENERIC</v>
      </c>
      <c r="B1461" t="str">
        <f>Table3[[#This Row],[Client ID]] &amp; " - " &amp; Table3[[#This Row],[SO Number]]</f>
        <v>SIAPNO TADA OPTICAL INC - SIAPNO-TADA OPTICAL - GENERIC - SO-069</v>
      </c>
      <c r="C1461" t="s">
        <v>433</v>
      </c>
      <c r="D1461" t="s">
        <v>1148</v>
      </c>
      <c r="E1461" t="s">
        <v>1149</v>
      </c>
      <c r="F1461" t="s">
        <v>15</v>
      </c>
      <c r="G1461" t="s">
        <v>1024</v>
      </c>
      <c r="H1461" t="s">
        <v>1150</v>
      </c>
      <c r="I1461" t="s">
        <v>1015</v>
      </c>
      <c r="J1461">
        <v>1</v>
      </c>
      <c r="K1461">
        <v>4250</v>
      </c>
      <c r="L1461">
        <v>6500</v>
      </c>
      <c r="M1461">
        <v>6500</v>
      </c>
      <c r="N1461" t="s">
        <v>19</v>
      </c>
    </row>
    <row r="1462" spans="1:14" x14ac:dyDescent="0.25">
      <c r="A1462" t="str">
        <f>Table3[[#This Row],[Company Name]] &amp; " - " &amp; Table3[[#This Row],[Store Name]] &amp; " - " &amp; Table3[[#This Row],[Store Branch / Address]]</f>
        <v>SIAPNO TADA OPTICAL INC - SIAPNO-TADA OPTICAL - GENERIC</v>
      </c>
      <c r="B1462" t="str">
        <f>Table3[[#This Row],[Client ID]] &amp; " - " &amp; Table3[[#This Row],[SO Number]]</f>
        <v>SIAPNO TADA OPTICAL INC - SIAPNO-TADA OPTICAL - GENERIC - SO-069</v>
      </c>
      <c r="C1462" t="s">
        <v>433</v>
      </c>
      <c r="D1462" t="s">
        <v>1148</v>
      </c>
      <c r="E1462" t="s">
        <v>1149</v>
      </c>
      <c r="F1462" t="s">
        <v>15</v>
      </c>
      <c r="G1462" t="s">
        <v>1024</v>
      </c>
      <c r="H1462" t="s">
        <v>1150</v>
      </c>
      <c r="I1462" t="s">
        <v>116</v>
      </c>
      <c r="J1462">
        <v>1</v>
      </c>
      <c r="K1462">
        <v>2185</v>
      </c>
      <c r="L1462">
        <v>3500</v>
      </c>
      <c r="M1462">
        <v>3500</v>
      </c>
      <c r="N1462" t="s">
        <v>19</v>
      </c>
    </row>
    <row r="1463" spans="1:14" x14ac:dyDescent="0.25">
      <c r="A1463" t="str">
        <f>Table3[[#This Row],[Company Name]] &amp; " - " &amp; Table3[[#This Row],[Store Name]] &amp; " - " &amp; Table3[[#This Row],[Store Branch / Address]]</f>
        <v>SIAPNO TADA OPTICAL INC - SIAPNO-TADA OPTICAL - GENERIC</v>
      </c>
      <c r="B1463" t="str">
        <f>Table3[[#This Row],[Client ID]] &amp; " - " &amp; Table3[[#This Row],[SO Number]]</f>
        <v>SIAPNO TADA OPTICAL INC - SIAPNO-TADA OPTICAL - GENERIC - SO-069</v>
      </c>
      <c r="C1463" t="s">
        <v>433</v>
      </c>
      <c r="D1463" t="s">
        <v>1148</v>
      </c>
      <c r="E1463" t="s">
        <v>1149</v>
      </c>
      <c r="F1463" t="s">
        <v>15</v>
      </c>
      <c r="G1463" t="s">
        <v>1024</v>
      </c>
      <c r="H1463" t="s">
        <v>1150</v>
      </c>
      <c r="I1463" t="s">
        <v>1016</v>
      </c>
      <c r="J1463">
        <v>1</v>
      </c>
      <c r="K1463">
        <v>8500</v>
      </c>
      <c r="L1463">
        <v>12400</v>
      </c>
      <c r="M1463">
        <v>12400</v>
      </c>
      <c r="N1463" t="s">
        <v>19</v>
      </c>
    </row>
    <row r="1464" spans="1:14" x14ac:dyDescent="0.25">
      <c r="A1464" t="str">
        <f>Table3[[#This Row],[Company Name]] &amp; " - " &amp; Table3[[#This Row],[Store Name]] &amp; " - " &amp; Table3[[#This Row],[Store Branch / Address]]</f>
        <v>SIAPNO TADA OPTICAL INC - SIAPNO-TADA OPTICAL - GENERIC</v>
      </c>
      <c r="B1464" t="str">
        <f>Table3[[#This Row],[Client ID]] &amp; " - " &amp; Table3[[#This Row],[SO Number]]</f>
        <v>SIAPNO TADA OPTICAL INC - SIAPNO-TADA OPTICAL - GENERIC - SO-069</v>
      </c>
      <c r="C1464" t="s">
        <v>433</v>
      </c>
      <c r="D1464" t="s">
        <v>1148</v>
      </c>
      <c r="E1464" t="s">
        <v>1149</v>
      </c>
      <c r="F1464" t="s">
        <v>15</v>
      </c>
      <c r="G1464" t="s">
        <v>1024</v>
      </c>
      <c r="H1464" t="s">
        <v>1150</v>
      </c>
      <c r="I1464" t="s">
        <v>97</v>
      </c>
      <c r="J1464">
        <v>1</v>
      </c>
      <c r="K1464">
        <v>2200</v>
      </c>
      <c r="L1464">
        <v>3500</v>
      </c>
      <c r="M1464">
        <v>3500</v>
      </c>
      <c r="N1464" t="s">
        <v>19</v>
      </c>
    </row>
    <row r="1465" spans="1:14" x14ac:dyDescent="0.25">
      <c r="A1465" t="str">
        <f>Table3[[#This Row],[Company Name]] &amp; " - " &amp; Table3[[#This Row],[Store Name]] &amp; " - " &amp; Table3[[#This Row],[Store Branch / Address]]</f>
        <v>SIAPNO TADA OPTICAL INC - SIAPNO-TADA OPTICAL - GENERIC</v>
      </c>
      <c r="B1465" t="str">
        <f>Table3[[#This Row],[Client ID]] &amp; " - " &amp; Table3[[#This Row],[SO Number]]</f>
        <v>SIAPNO TADA OPTICAL INC - SIAPNO-TADA OPTICAL - GENERIC - SO-069</v>
      </c>
      <c r="C1465" t="s">
        <v>433</v>
      </c>
      <c r="D1465" t="s">
        <v>1148</v>
      </c>
      <c r="E1465" t="s">
        <v>1149</v>
      </c>
      <c r="F1465" t="s">
        <v>15</v>
      </c>
      <c r="G1465" t="s">
        <v>1024</v>
      </c>
      <c r="H1465" t="s">
        <v>1150</v>
      </c>
      <c r="I1465" t="s">
        <v>1121</v>
      </c>
      <c r="J1465">
        <v>1</v>
      </c>
      <c r="K1465">
        <v>3000</v>
      </c>
      <c r="L1465">
        <v>3500</v>
      </c>
      <c r="M1465">
        <v>3500</v>
      </c>
      <c r="N1465" t="s">
        <v>19</v>
      </c>
    </row>
    <row r="1466" spans="1:14" x14ac:dyDescent="0.25">
      <c r="A1466" t="str">
        <f>Table3[[#This Row],[Company Name]] &amp; " - " &amp; Table3[[#This Row],[Store Name]] &amp; " - " &amp; Table3[[#This Row],[Store Branch / Address]]</f>
        <v>SIAPNO TADA OPTICAL INC - SIAPNO-TADA OPTICAL - GENERIC</v>
      </c>
      <c r="B1466" t="str">
        <f>Table3[[#This Row],[Client ID]] &amp; " - " &amp; Table3[[#This Row],[SO Number]]</f>
        <v>SIAPNO TADA OPTICAL INC - SIAPNO-TADA OPTICAL - GENERIC - SO-069</v>
      </c>
      <c r="C1466" t="s">
        <v>433</v>
      </c>
      <c r="D1466" t="s">
        <v>1148</v>
      </c>
      <c r="E1466" t="s">
        <v>1149</v>
      </c>
      <c r="F1466" t="s">
        <v>15</v>
      </c>
      <c r="G1466" t="s">
        <v>1024</v>
      </c>
      <c r="H1466" t="s">
        <v>1150</v>
      </c>
      <c r="I1466" t="s">
        <v>1147</v>
      </c>
      <c r="J1466">
        <v>4</v>
      </c>
      <c r="K1466">
        <v>17</v>
      </c>
      <c r="L1466">
        <v>25</v>
      </c>
      <c r="M1466">
        <v>100</v>
      </c>
      <c r="N1466" t="s">
        <v>19</v>
      </c>
    </row>
    <row r="1467" spans="1:14" x14ac:dyDescent="0.25">
      <c r="A1467" t="str">
        <f>Table3[[#This Row],[Company Name]] &amp; " - " &amp; Table3[[#This Row],[Store Name]] &amp; " - " &amp; Table3[[#This Row],[Store Branch / Address]]</f>
        <v>RAFAEL PUA TONILENE ESPINOZA - BC BOS' CHOW CARINDERIA - GENERIC</v>
      </c>
      <c r="B1467" t="str">
        <f>Table3[[#This Row],[Client ID]] &amp; " - " &amp; Table3[[#This Row],[SO Number]]</f>
        <v>RAFAEL PUA TONILENE ESPINOZA - BC BOS' CHOW CARINDERIA - GENERIC - SO-141</v>
      </c>
      <c r="C1467" t="s">
        <v>729</v>
      </c>
      <c r="D1467" t="s">
        <v>730</v>
      </c>
      <c r="E1467" t="s">
        <v>731</v>
      </c>
      <c r="F1467" t="s">
        <v>15</v>
      </c>
      <c r="G1467" t="s">
        <v>37</v>
      </c>
      <c r="H1467" t="s">
        <v>732</v>
      </c>
      <c r="I1467" t="s">
        <v>177</v>
      </c>
      <c r="J1467">
        <v>1</v>
      </c>
      <c r="K1467">
        <v>9500</v>
      </c>
      <c r="L1467">
        <v>13500</v>
      </c>
      <c r="M1467">
        <v>13500</v>
      </c>
      <c r="N1467" t="s">
        <v>19</v>
      </c>
    </row>
    <row r="1468" spans="1:14" x14ac:dyDescent="0.25">
      <c r="A1468" t="str">
        <f>Table3[[#This Row],[Company Name]] &amp; " - " &amp; Table3[[#This Row],[Store Name]] &amp; " - " &amp; Table3[[#This Row],[Store Branch / Address]]</f>
        <v>RAFAEL PUA TONILENE ESPINOZA - BC BOS' CHOW CARINDERIA - GENERIC</v>
      </c>
      <c r="B1468" t="str">
        <f>Table3[[#This Row],[Client ID]] &amp; " - " &amp; Table3[[#This Row],[SO Number]]</f>
        <v>RAFAEL PUA TONILENE ESPINOZA - BC BOS' CHOW CARINDERIA - GENERIC - SO-141</v>
      </c>
      <c r="C1468" t="s">
        <v>729</v>
      </c>
      <c r="D1468" t="s">
        <v>730</v>
      </c>
      <c r="E1468" t="s">
        <v>731</v>
      </c>
      <c r="F1468" t="s">
        <v>15</v>
      </c>
      <c r="G1468" t="s">
        <v>37</v>
      </c>
      <c r="H1468" t="s">
        <v>732</v>
      </c>
      <c r="I1468" t="s">
        <v>393</v>
      </c>
      <c r="J1468">
        <v>1</v>
      </c>
      <c r="K1468">
        <v>500</v>
      </c>
      <c r="L1468">
        <v>500</v>
      </c>
      <c r="M1468">
        <v>500</v>
      </c>
      <c r="N1468" t="s">
        <v>19</v>
      </c>
    </row>
    <row r="1469" spans="1:14" x14ac:dyDescent="0.25">
      <c r="A1469" t="str">
        <f>Table3[[#This Row],[Company Name]] &amp; " - " &amp; Table3[[#This Row],[Store Name]] &amp; " - " &amp; Table3[[#This Row],[Store Branch / Address]]</f>
        <v>CHICKEN DELI - SUPERBOWL - GENERIC</v>
      </c>
      <c r="B1469" t="str">
        <f>Table3[[#This Row],[Client ID]] &amp; " - " &amp; Table3[[#This Row],[SO Number]]</f>
        <v>CHICKEN DELI - SUPERBOWL - GENERIC - SO-172</v>
      </c>
      <c r="C1469" t="s">
        <v>833</v>
      </c>
      <c r="D1469" t="s">
        <v>20</v>
      </c>
      <c r="E1469" t="s">
        <v>835</v>
      </c>
      <c r="F1469" t="s">
        <v>15</v>
      </c>
      <c r="G1469" t="s">
        <v>22</v>
      </c>
      <c r="H1469" t="s">
        <v>732</v>
      </c>
      <c r="I1469" t="s">
        <v>133</v>
      </c>
      <c r="J1469">
        <v>1</v>
      </c>
      <c r="K1469">
        <v>2975</v>
      </c>
      <c r="L1469">
        <v>8500</v>
      </c>
      <c r="M1469">
        <v>8500</v>
      </c>
      <c r="N1469" t="s">
        <v>19</v>
      </c>
    </row>
    <row r="1470" spans="1:14" x14ac:dyDescent="0.25">
      <c r="A1470" t="str">
        <f>Table3[[#This Row],[Company Name]] &amp; " - " &amp; Table3[[#This Row],[Store Name]] &amp; " - " &amp; Table3[[#This Row],[Store Branch / Address]]</f>
        <v>CHICKEN DELI - SUPERBOWL - GENERIC</v>
      </c>
      <c r="B1470" t="str">
        <f>Table3[[#This Row],[Client ID]] &amp; " - " &amp; Table3[[#This Row],[SO Number]]</f>
        <v>CHICKEN DELI - SUPERBOWL - GENERIC - SO-172</v>
      </c>
      <c r="C1470" t="s">
        <v>833</v>
      </c>
      <c r="D1470" t="s">
        <v>20</v>
      </c>
      <c r="E1470" t="s">
        <v>835</v>
      </c>
      <c r="F1470" t="s">
        <v>15</v>
      </c>
      <c r="G1470" t="s">
        <v>22</v>
      </c>
      <c r="H1470" t="s">
        <v>732</v>
      </c>
      <c r="I1470" t="s">
        <v>170</v>
      </c>
      <c r="J1470">
        <v>1</v>
      </c>
      <c r="K1470">
        <v>8000</v>
      </c>
      <c r="L1470">
        <v>8000</v>
      </c>
      <c r="M1470">
        <v>8000</v>
      </c>
      <c r="N1470" t="s">
        <v>19</v>
      </c>
    </row>
    <row r="1471" spans="1:14" x14ac:dyDescent="0.25">
      <c r="A1471" t="str">
        <f>Table3[[#This Row],[Company Name]] &amp; " - " &amp; Table3[[#This Row],[Store Name]] &amp; " - " &amp; Table3[[#This Row],[Store Branch / Address]]</f>
        <v>CHICKEN DELI - SUPERBOWL - GENERIC</v>
      </c>
      <c r="B1471" t="str">
        <f>Table3[[#This Row],[Client ID]] &amp; " - " &amp; Table3[[#This Row],[SO Number]]</f>
        <v>CHICKEN DELI - SUPERBOWL - GENERIC - SO-172</v>
      </c>
      <c r="C1471" t="s">
        <v>833</v>
      </c>
      <c r="D1471" t="s">
        <v>20</v>
      </c>
      <c r="E1471" t="s">
        <v>835</v>
      </c>
      <c r="F1471" t="s">
        <v>15</v>
      </c>
      <c r="G1471" t="s">
        <v>22</v>
      </c>
      <c r="H1471" t="s">
        <v>732</v>
      </c>
      <c r="I1471" t="s">
        <v>24</v>
      </c>
      <c r="J1471">
        <v>1</v>
      </c>
      <c r="K1471">
        <v>8000</v>
      </c>
      <c r="L1471">
        <v>8000</v>
      </c>
      <c r="M1471">
        <v>8000</v>
      </c>
      <c r="N1471" t="s">
        <v>19</v>
      </c>
    </row>
    <row r="1472" spans="1:14" x14ac:dyDescent="0.25">
      <c r="A1472" t="str">
        <f>Table3[[#This Row],[Company Name]] &amp; " - " &amp; Table3[[#This Row],[Store Name]] &amp; " - " &amp; Table3[[#This Row],[Store Branch / Address]]</f>
        <v>CHICKEN DELI - SUPERBOWL - GENERIC</v>
      </c>
      <c r="B1472" t="str">
        <f>Table3[[#This Row],[Client ID]] &amp; " - " &amp; Table3[[#This Row],[SO Number]]</f>
        <v>CHICKEN DELI - SUPERBOWL - GENERIC - SO-172</v>
      </c>
      <c r="C1472" t="s">
        <v>833</v>
      </c>
      <c r="D1472" t="s">
        <v>20</v>
      </c>
      <c r="E1472" t="s">
        <v>835</v>
      </c>
      <c r="F1472" t="s">
        <v>15</v>
      </c>
      <c r="G1472" t="s">
        <v>22</v>
      </c>
      <c r="H1472" t="s">
        <v>732</v>
      </c>
      <c r="I1472" t="s">
        <v>26</v>
      </c>
      <c r="J1472">
        <v>1</v>
      </c>
      <c r="K1472">
        <v>500</v>
      </c>
      <c r="L1472">
        <v>500</v>
      </c>
      <c r="M1472">
        <v>500</v>
      </c>
      <c r="N1472" t="s">
        <v>19</v>
      </c>
    </row>
    <row r="1473" spans="1:14" x14ac:dyDescent="0.25">
      <c r="A1473" t="str">
        <f>Table3[[#This Row],[Company Name]] &amp; " - " &amp; Table3[[#This Row],[Store Name]] &amp; " - " &amp; Table3[[#This Row],[Store Branch / Address]]</f>
        <v>CHICKEN DELI - SUPERBOWL - GENERIC</v>
      </c>
      <c r="B1473" t="str">
        <f>Table3[[#This Row],[Client ID]] &amp; " - " &amp; Table3[[#This Row],[SO Number]]</f>
        <v>CHICKEN DELI - SUPERBOWL - GENERIC - SO-173</v>
      </c>
      <c r="C1473" t="s">
        <v>836</v>
      </c>
      <c r="D1473" t="s">
        <v>20</v>
      </c>
      <c r="E1473" t="s">
        <v>835</v>
      </c>
      <c r="F1473" t="s">
        <v>15</v>
      </c>
      <c r="G1473" t="s">
        <v>22</v>
      </c>
      <c r="H1473" t="s">
        <v>732</v>
      </c>
      <c r="I1473" t="s">
        <v>838</v>
      </c>
      <c r="J1473">
        <v>1</v>
      </c>
      <c r="K1473">
        <v>2975</v>
      </c>
      <c r="L1473">
        <v>8500</v>
      </c>
      <c r="M1473">
        <v>8500</v>
      </c>
      <c r="N1473" t="s">
        <v>19</v>
      </c>
    </row>
    <row r="1474" spans="1:14" x14ac:dyDescent="0.25">
      <c r="A1474" t="str">
        <f>Table3[[#This Row],[Company Name]] &amp; " - " &amp; Table3[[#This Row],[Store Name]] &amp; " - " &amp; Table3[[#This Row],[Store Branch / Address]]</f>
        <v>CHICKEN DELI - SUPERBOWL - GENERIC</v>
      </c>
      <c r="B1474" t="str">
        <f>Table3[[#This Row],[Client ID]] &amp; " - " &amp; Table3[[#This Row],[SO Number]]</f>
        <v>CHICKEN DELI - SUPERBOWL - GENERIC - SO-173</v>
      </c>
      <c r="C1474" t="s">
        <v>836</v>
      </c>
      <c r="D1474" t="s">
        <v>20</v>
      </c>
      <c r="E1474" t="s">
        <v>835</v>
      </c>
      <c r="F1474" t="s">
        <v>15</v>
      </c>
      <c r="G1474" t="s">
        <v>22</v>
      </c>
      <c r="H1474" t="s">
        <v>732</v>
      </c>
      <c r="I1474" t="s">
        <v>170</v>
      </c>
      <c r="J1474">
        <v>1</v>
      </c>
      <c r="K1474">
        <v>8000</v>
      </c>
      <c r="L1474">
        <v>8000</v>
      </c>
      <c r="M1474">
        <v>8000</v>
      </c>
      <c r="N1474" t="s">
        <v>19</v>
      </c>
    </row>
    <row r="1475" spans="1:14" x14ac:dyDescent="0.25">
      <c r="A1475" t="str">
        <f>Table3[[#This Row],[Company Name]] &amp; " - " &amp; Table3[[#This Row],[Store Name]] &amp; " - " &amp; Table3[[#This Row],[Store Branch / Address]]</f>
        <v>CHICKEN DELI - SUPERBOWL - GENERIC</v>
      </c>
      <c r="B1475" t="str">
        <f>Table3[[#This Row],[Client ID]] &amp; " - " &amp; Table3[[#This Row],[SO Number]]</f>
        <v>CHICKEN DELI - SUPERBOWL - GENERIC - SO-173</v>
      </c>
      <c r="C1475" t="s">
        <v>836</v>
      </c>
      <c r="D1475" t="s">
        <v>20</v>
      </c>
      <c r="E1475" t="s">
        <v>835</v>
      </c>
      <c r="F1475" t="s">
        <v>15</v>
      </c>
      <c r="G1475" t="s">
        <v>22</v>
      </c>
      <c r="H1475" t="s">
        <v>732</v>
      </c>
      <c r="I1475" t="s">
        <v>24</v>
      </c>
      <c r="J1475">
        <v>1</v>
      </c>
      <c r="K1475">
        <v>8000</v>
      </c>
      <c r="L1475">
        <v>8000</v>
      </c>
      <c r="M1475">
        <v>8000</v>
      </c>
      <c r="N1475" t="s">
        <v>19</v>
      </c>
    </row>
    <row r="1476" spans="1:14" x14ac:dyDescent="0.25">
      <c r="A1476" t="str">
        <f>Table3[[#This Row],[Company Name]] &amp; " - " &amp; Table3[[#This Row],[Store Name]] &amp; " - " &amp; Table3[[#This Row],[Store Branch / Address]]</f>
        <v>CHICKEN DELI - SUPERBOWL - GENERIC</v>
      </c>
      <c r="B1476" t="str">
        <f>Table3[[#This Row],[Client ID]] &amp; " - " &amp; Table3[[#This Row],[SO Number]]</f>
        <v>CHICKEN DELI - SUPERBOWL - GENERIC - SO-173</v>
      </c>
      <c r="C1476" t="s">
        <v>836</v>
      </c>
      <c r="D1476" t="s">
        <v>20</v>
      </c>
      <c r="E1476" t="s">
        <v>835</v>
      </c>
      <c r="F1476" t="s">
        <v>15</v>
      </c>
      <c r="G1476" t="s">
        <v>22</v>
      </c>
      <c r="H1476" t="s">
        <v>732</v>
      </c>
      <c r="I1476" t="s">
        <v>26</v>
      </c>
      <c r="J1476">
        <v>1</v>
      </c>
      <c r="K1476">
        <v>500</v>
      </c>
      <c r="L1476">
        <v>500</v>
      </c>
      <c r="M1476">
        <v>500</v>
      </c>
      <c r="N1476" t="s">
        <v>19</v>
      </c>
    </row>
    <row r="1477" spans="1:14" x14ac:dyDescent="0.25">
      <c r="A1477" t="str">
        <f>Table3[[#This Row],[Company Name]] &amp; " - " &amp; Table3[[#This Row],[Store Name]] &amp; " - " &amp; Table3[[#This Row],[Store Branch / Address]]</f>
        <v>CHICKEN DELI - KARIMADON - GENERIC</v>
      </c>
      <c r="B1477" t="str">
        <f>Table3[[#This Row],[Client ID]] &amp; " - " &amp; Table3[[#This Row],[SO Number]]</f>
        <v>CHICKEN DELI - KARIMADON - GENERIC - SO-174</v>
      </c>
      <c r="C1477" t="s">
        <v>839</v>
      </c>
      <c r="D1477" t="s">
        <v>20</v>
      </c>
      <c r="E1477" t="s">
        <v>263</v>
      </c>
      <c r="F1477" t="s">
        <v>15</v>
      </c>
      <c r="G1477" t="s">
        <v>22</v>
      </c>
      <c r="H1477" t="s">
        <v>732</v>
      </c>
      <c r="I1477" t="s">
        <v>133</v>
      </c>
      <c r="J1477">
        <v>1</v>
      </c>
      <c r="K1477">
        <v>2975</v>
      </c>
      <c r="L1477">
        <v>8500</v>
      </c>
      <c r="M1477">
        <v>8500</v>
      </c>
      <c r="N1477" t="s">
        <v>19</v>
      </c>
    </row>
    <row r="1478" spans="1:14" x14ac:dyDescent="0.25">
      <c r="A1478" t="str">
        <f>Table3[[#This Row],[Company Name]] &amp; " - " &amp; Table3[[#This Row],[Store Name]] &amp; " - " &amp; Table3[[#This Row],[Store Branch / Address]]</f>
        <v>CHICKEN DELI - KARIMADON - GENERIC</v>
      </c>
      <c r="B1478" t="str">
        <f>Table3[[#This Row],[Client ID]] &amp; " - " &amp; Table3[[#This Row],[SO Number]]</f>
        <v>CHICKEN DELI - KARIMADON - GENERIC - SO-174</v>
      </c>
      <c r="C1478" t="s">
        <v>839</v>
      </c>
      <c r="D1478" t="s">
        <v>20</v>
      </c>
      <c r="E1478" t="s">
        <v>263</v>
      </c>
      <c r="F1478" t="s">
        <v>15</v>
      </c>
      <c r="G1478" t="s">
        <v>22</v>
      </c>
      <c r="H1478" t="s">
        <v>732</v>
      </c>
      <c r="I1478" t="s">
        <v>25</v>
      </c>
      <c r="J1478">
        <v>1</v>
      </c>
      <c r="K1478">
        <v>5500</v>
      </c>
      <c r="L1478">
        <v>5500</v>
      </c>
      <c r="M1478">
        <v>5500</v>
      </c>
      <c r="N1478" t="s">
        <v>19</v>
      </c>
    </row>
    <row r="1479" spans="1:14" x14ac:dyDescent="0.25">
      <c r="A1479" t="str">
        <f>Table3[[#This Row],[Company Name]] &amp; " - " &amp; Table3[[#This Row],[Store Name]] &amp; " - " &amp; Table3[[#This Row],[Store Branch / Address]]</f>
        <v>CHICKEN DELI - KARIMADON - GENERIC</v>
      </c>
      <c r="B1479" t="str">
        <f>Table3[[#This Row],[Client ID]] &amp; " - " &amp; Table3[[#This Row],[SO Number]]</f>
        <v>CHICKEN DELI - KARIMADON - GENERIC - SO-174</v>
      </c>
      <c r="C1479" t="s">
        <v>839</v>
      </c>
      <c r="D1479" t="s">
        <v>20</v>
      </c>
      <c r="E1479" t="s">
        <v>263</v>
      </c>
      <c r="F1479" t="s">
        <v>15</v>
      </c>
      <c r="G1479" t="s">
        <v>22</v>
      </c>
      <c r="H1479" t="s">
        <v>732</v>
      </c>
      <c r="I1479" t="s">
        <v>24</v>
      </c>
      <c r="J1479">
        <v>1</v>
      </c>
      <c r="K1479">
        <v>5500</v>
      </c>
      <c r="L1479">
        <v>5500</v>
      </c>
      <c r="M1479">
        <v>5500</v>
      </c>
      <c r="N1479" t="s">
        <v>19</v>
      </c>
    </row>
    <row r="1480" spans="1:14" x14ac:dyDescent="0.25">
      <c r="A1480" t="str">
        <f>Table3[[#This Row],[Company Name]] &amp; " - " &amp; Table3[[#This Row],[Store Name]] &amp; " - " &amp; Table3[[#This Row],[Store Branch / Address]]</f>
        <v>CHICKEN DELI - KARIMADON - GENERIC</v>
      </c>
      <c r="B1480" t="str">
        <f>Table3[[#This Row],[Client ID]] &amp; " - " &amp; Table3[[#This Row],[SO Number]]</f>
        <v>CHICKEN DELI - KARIMADON - GENERIC - SO-174</v>
      </c>
      <c r="C1480" t="s">
        <v>839</v>
      </c>
      <c r="D1480" t="s">
        <v>20</v>
      </c>
      <c r="E1480" t="s">
        <v>263</v>
      </c>
      <c r="F1480" t="s">
        <v>15</v>
      </c>
      <c r="G1480" t="s">
        <v>22</v>
      </c>
      <c r="H1480" t="s">
        <v>732</v>
      </c>
      <c r="I1480" t="s">
        <v>134</v>
      </c>
      <c r="J1480">
        <v>1</v>
      </c>
      <c r="K1480">
        <v>500</v>
      </c>
      <c r="L1480">
        <v>500</v>
      </c>
      <c r="M1480">
        <v>500</v>
      </c>
      <c r="N1480" t="s">
        <v>19</v>
      </c>
    </row>
    <row r="1481" spans="1:14" x14ac:dyDescent="0.25">
      <c r="A1481" t="str">
        <f>Table3[[#This Row],[Company Name]] &amp; " - " &amp; Table3[[#This Row],[Store Name]] &amp; " - " &amp; Table3[[#This Row],[Store Branch / Address]]</f>
        <v>CHICKEN DELI - KARIMADON - GENERIC</v>
      </c>
      <c r="B1481" t="str">
        <f>Table3[[#This Row],[Client ID]] &amp; " - " &amp; Table3[[#This Row],[SO Number]]</f>
        <v>CHICKEN DELI - KARIMADON - GENERIC - SO-174</v>
      </c>
      <c r="C1481" t="s">
        <v>839</v>
      </c>
      <c r="D1481" t="s">
        <v>20</v>
      </c>
      <c r="E1481" t="s">
        <v>263</v>
      </c>
      <c r="F1481" t="s">
        <v>15</v>
      </c>
      <c r="G1481" t="s">
        <v>22</v>
      </c>
      <c r="H1481" t="s">
        <v>732</v>
      </c>
      <c r="I1481" t="s">
        <v>840</v>
      </c>
      <c r="J1481">
        <v>1</v>
      </c>
      <c r="K1481">
        <v>4250</v>
      </c>
      <c r="L1481">
        <v>6500</v>
      </c>
      <c r="M1481">
        <v>6500</v>
      </c>
      <c r="N1481" t="s">
        <v>19</v>
      </c>
    </row>
    <row r="1482" spans="1:14" x14ac:dyDescent="0.25">
      <c r="A1482" t="str">
        <f>Table3[[#This Row],[Company Name]] &amp; " - " &amp; Table3[[#This Row],[Store Name]] &amp; " - " &amp; Table3[[#This Row],[Store Branch / Address]]</f>
        <v>CHICKEN DELI - KARIMADON - GENERIC</v>
      </c>
      <c r="B1482" t="str">
        <f>Table3[[#This Row],[Client ID]] &amp; " - " &amp; Table3[[#This Row],[SO Number]]</f>
        <v>CHICKEN DELI - KARIMADON - GENERIC - SO-174</v>
      </c>
      <c r="C1482" t="s">
        <v>839</v>
      </c>
      <c r="D1482" t="s">
        <v>20</v>
      </c>
      <c r="E1482" t="s">
        <v>263</v>
      </c>
      <c r="F1482" t="s">
        <v>15</v>
      </c>
      <c r="G1482" t="s">
        <v>22</v>
      </c>
      <c r="H1482" t="s">
        <v>732</v>
      </c>
      <c r="I1482" t="s">
        <v>98</v>
      </c>
      <c r="J1482">
        <v>1</v>
      </c>
      <c r="K1482">
        <v>935</v>
      </c>
      <c r="L1482">
        <v>1500</v>
      </c>
      <c r="M1482">
        <v>1500</v>
      </c>
      <c r="N1482" t="s">
        <v>19</v>
      </c>
    </row>
    <row r="1483" spans="1:14" x14ac:dyDescent="0.25">
      <c r="A1483" t="str">
        <f>Table3[[#This Row],[Company Name]] &amp; " - " &amp; Table3[[#This Row],[Store Name]] &amp; " - " &amp; Table3[[#This Row],[Store Branch / Address]]</f>
        <v>CHICKEN DELI - KARIMADON - GENERIC</v>
      </c>
      <c r="B1483" t="str">
        <f>Table3[[#This Row],[Client ID]] &amp; " - " &amp; Table3[[#This Row],[SO Number]]</f>
        <v>CHICKEN DELI - KARIMADON - GENERIC - SO-174</v>
      </c>
      <c r="C1483" t="s">
        <v>839</v>
      </c>
      <c r="D1483" t="s">
        <v>20</v>
      </c>
      <c r="E1483" t="s">
        <v>263</v>
      </c>
      <c r="F1483" t="s">
        <v>15</v>
      </c>
      <c r="G1483" t="s">
        <v>22</v>
      </c>
      <c r="H1483" t="s">
        <v>732</v>
      </c>
      <c r="I1483" t="s">
        <v>137</v>
      </c>
      <c r="J1483">
        <v>1</v>
      </c>
      <c r="K1483">
        <v>2200</v>
      </c>
      <c r="L1483">
        <v>3200</v>
      </c>
      <c r="M1483">
        <v>3200</v>
      </c>
      <c r="N1483" t="s">
        <v>19</v>
      </c>
    </row>
    <row r="1484" spans="1:14" x14ac:dyDescent="0.25">
      <c r="A1484" t="str">
        <f>Table3[[#This Row],[Company Name]] &amp; " - " &amp; Table3[[#This Row],[Store Name]] &amp; " - " &amp; Table3[[#This Row],[Store Branch / Address]]</f>
        <v>CHICKEN DELI - KARIMADON - GENERIC</v>
      </c>
      <c r="B1484" t="str">
        <f>Table3[[#This Row],[Client ID]] &amp; " - " &amp; Table3[[#This Row],[SO Number]]</f>
        <v>CHICKEN DELI - KARIMADON - GENERIC - SO-174</v>
      </c>
      <c r="C1484" t="s">
        <v>839</v>
      </c>
      <c r="D1484" t="s">
        <v>20</v>
      </c>
      <c r="E1484" t="s">
        <v>263</v>
      </c>
      <c r="F1484" t="s">
        <v>15</v>
      </c>
      <c r="G1484" t="s">
        <v>22</v>
      </c>
      <c r="H1484" t="s">
        <v>732</v>
      </c>
      <c r="I1484" t="s">
        <v>841</v>
      </c>
      <c r="J1484">
        <v>1</v>
      </c>
      <c r="K1484">
        <v>24800</v>
      </c>
      <c r="L1484">
        <v>34000</v>
      </c>
      <c r="M1484">
        <v>34000</v>
      </c>
      <c r="N1484" t="s">
        <v>19</v>
      </c>
    </row>
    <row r="1485" spans="1:14" x14ac:dyDescent="0.25">
      <c r="A1485" t="str">
        <f>Table3[[#This Row],[Company Name]] &amp; " - " &amp; Table3[[#This Row],[Store Name]] &amp; " - " &amp; Table3[[#This Row],[Store Branch / Address]]</f>
        <v>CHICKEN DELI - KARIMADON - GENERIC</v>
      </c>
      <c r="B1485" t="str">
        <f>Table3[[#This Row],[Client ID]] &amp; " - " &amp; Table3[[#This Row],[SO Number]]</f>
        <v>CHICKEN DELI - KARIMADON - GENERIC - SO-174</v>
      </c>
      <c r="C1485" t="s">
        <v>839</v>
      </c>
      <c r="D1485" t="s">
        <v>20</v>
      </c>
      <c r="E1485" t="s">
        <v>263</v>
      </c>
      <c r="F1485" t="s">
        <v>15</v>
      </c>
      <c r="G1485" t="s">
        <v>22</v>
      </c>
      <c r="H1485" t="s">
        <v>732</v>
      </c>
      <c r="I1485" t="s">
        <v>99</v>
      </c>
      <c r="J1485">
        <v>1</v>
      </c>
      <c r="K1485">
        <v>2800</v>
      </c>
      <c r="L1485">
        <v>4000</v>
      </c>
      <c r="M1485">
        <v>4000</v>
      </c>
      <c r="N1485" t="s">
        <v>19</v>
      </c>
    </row>
    <row r="1486" spans="1:14" x14ac:dyDescent="0.25">
      <c r="A1486" t="str">
        <f>Table3[[#This Row],[Company Name]] &amp; " - " &amp; Table3[[#This Row],[Store Name]] &amp; " - " &amp; Table3[[#This Row],[Store Branch / Address]]</f>
        <v>CHICKEN DELI - KARIMADON - GENERIC</v>
      </c>
      <c r="B1486" t="str">
        <f>Table3[[#This Row],[Client ID]] &amp; " - " &amp; Table3[[#This Row],[SO Number]]</f>
        <v>CHICKEN DELI - KARIMADON - GENERIC - SO-174</v>
      </c>
      <c r="C1486" t="s">
        <v>839</v>
      </c>
      <c r="D1486" t="s">
        <v>20</v>
      </c>
      <c r="E1486" t="s">
        <v>263</v>
      </c>
      <c r="F1486" t="s">
        <v>15</v>
      </c>
      <c r="G1486" t="s">
        <v>22</v>
      </c>
      <c r="H1486" t="s">
        <v>732</v>
      </c>
      <c r="I1486" t="s">
        <v>76</v>
      </c>
      <c r="J1486">
        <v>1</v>
      </c>
      <c r="K1486">
        <v>500</v>
      </c>
      <c r="L1486">
        <v>500</v>
      </c>
      <c r="M1486">
        <v>500</v>
      </c>
      <c r="N1486" t="s">
        <v>19</v>
      </c>
    </row>
    <row r="1487" spans="1:14" x14ac:dyDescent="0.25">
      <c r="A1487" t="str">
        <f>Table3[[#This Row],[Company Name]] &amp; " - " &amp; Table3[[#This Row],[Store Name]] &amp; " - " &amp; Table3[[#This Row],[Store Branch / Address]]</f>
        <v>METROMART NO COR YET - METROMART - VERMOSA</v>
      </c>
      <c r="B1487" t="str">
        <f>Table3[[#This Row],[Client ID]] &amp; " - " &amp; Table3[[#This Row],[SO Number]]</f>
        <v>METROMART NO COR YET - METROMART - VERMOSA - SO-142</v>
      </c>
      <c r="C1487" t="s">
        <v>736</v>
      </c>
      <c r="D1487" t="s">
        <v>737</v>
      </c>
      <c r="E1487" t="s">
        <v>738</v>
      </c>
      <c r="F1487" t="s">
        <v>739</v>
      </c>
      <c r="G1487" t="s">
        <v>22</v>
      </c>
      <c r="H1487" t="s">
        <v>740</v>
      </c>
      <c r="I1487" t="s">
        <v>422</v>
      </c>
      <c r="J1487">
        <v>1</v>
      </c>
      <c r="K1487">
        <v>3675</v>
      </c>
      <c r="L1487">
        <v>10500</v>
      </c>
      <c r="M1487">
        <v>10500</v>
      </c>
      <c r="N1487" t="s">
        <v>39</v>
      </c>
    </row>
    <row r="1488" spans="1:14" x14ac:dyDescent="0.25">
      <c r="A1488" t="str">
        <f>Table3[[#This Row],[Company Name]] &amp; " - " &amp; Table3[[#This Row],[Store Name]] &amp; " - " &amp; Table3[[#This Row],[Store Branch / Address]]</f>
        <v>METROMART NO COR YET - METROMART - VERMOSA</v>
      </c>
      <c r="B1488" t="str">
        <f>Table3[[#This Row],[Client ID]] &amp; " - " &amp; Table3[[#This Row],[SO Number]]</f>
        <v>METROMART NO COR YET - METROMART - VERMOSA - SO-142</v>
      </c>
      <c r="C1488" t="s">
        <v>736</v>
      </c>
      <c r="D1488" t="s">
        <v>737</v>
      </c>
      <c r="E1488" t="s">
        <v>738</v>
      </c>
      <c r="F1488" t="s">
        <v>739</v>
      </c>
      <c r="G1488" t="s">
        <v>22</v>
      </c>
      <c r="H1488" t="s">
        <v>740</v>
      </c>
      <c r="I1488" t="s">
        <v>48</v>
      </c>
      <c r="J1488">
        <v>1</v>
      </c>
      <c r="K1488">
        <v>3325</v>
      </c>
      <c r="L1488">
        <v>9500</v>
      </c>
      <c r="M1488">
        <v>9500</v>
      </c>
      <c r="N1488" t="s">
        <v>39</v>
      </c>
    </row>
    <row r="1489" spans="1:14" x14ac:dyDescent="0.25">
      <c r="A1489" t="str">
        <f>Table3[[#This Row],[Company Name]] &amp; " - " &amp; Table3[[#This Row],[Store Name]] &amp; " - " &amp; Table3[[#This Row],[Store Branch / Address]]</f>
        <v>METROMART NO COR YET - METROMART - VERMOSA</v>
      </c>
      <c r="B1489" t="str">
        <f>Table3[[#This Row],[Client ID]] &amp; " - " &amp; Table3[[#This Row],[SO Number]]</f>
        <v>METROMART NO COR YET - METROMART - VERMOSA - SO-142</v>
      </c>
      <c r="C1489" t="s">
        <v>736</v>
      </c>
      <c r="D1489" t="s">
        <v>737</v>
      </c>
      <c r="E1489" t="s">
        <v>738</v>
      </c>
      <c r="F1489" t="s">
        <v>739</v>
      </c>
      <c r="G1489" t="s">
        <v>22</v>
      </c>
      <c r="H1489" t="s">
        <v>740</v>
      </c>
      <c r="I1489" t="s">
        <v>24</v>
      </c>
      <c r="J1489">
        <v>1</v>
      </c>
      <c r="K1489">
        <v>3325</v>
      </c>
      <c r="L1489">
        <v>9500</v>
      </c>
      <c r="M1489">
        <v>9500</v>
      </c>
      <c r="N1489" t="s">
        <v>39</v>
      </c>
    </row>
    <row r="1490" spans="1:14" x14ac:dyDescent="0.25">
      <c r="A1490" t="str">
        <f>Table3[[#This Row],[Company Name]] &amp; " - " &amp; Table3[[#This Row],[Store Name]] &amp; " - " &amp; Table3[[#This Row],[Store Branch / Address]]</f>
        <v>METROMART NO COR YET - METROMART - VERMOSA</v>
      </c>
      <c r="B1490" t="str">
        <f>Table3[[#This Row],[Client ID]] &amp; " - " &amp; Table3[[#This Row],[SO Number]]</f>
        <v>METROMART NO COR YET - METROMART - VERMOSA - SO-142</v>
      </c>
      <c r="C1490" t="s">
        <v>736</v>
      </c>
      <c r="D1490" t="s">
        <v>737</v>
      </c>
      <c r="E1490" t="s">
        <v>738</v>
      </c>
      <c r="F1490" t="s">
        <v>739</v>
      </c>
      <c r="G1490" t="s">
        <v>22</v>
      </c>
      <c r="H1490" t="s">
        <v>740</v>
      </c>
      <c r="I1490" t="s">
        <v>26</v>
      </c>
      <c r="J1490">
        <v>1</v>
      </c>
      <c r="K1490">
        <v>500</v>
      </c>
      <c r="L1490">
        <v>500</v>
      </c>
      <c r="M1490">
        <v>500</v>
      </c>
      <c r="N1490" t="s">
        <v>39</v>
      </c>
    </row>
    <row r="1491" spans="1:14" x14ac:dyDescent="0.25">
      <c r="A1491" t="str">
        <f>Table3[[#This Row],[Company Name]] &amp; " - " &amp; Table3[[#This Row],[Store Name]] &amp; " - " &amp; Table3[[#This Row],[Store Branch / Address]]</f>
        <v>METROMART NO COR YET - METROMART - VERMOSA</v>
      </c>
      <c r="B1491" t="str">
        <f>Table3[[#This Row],[Client ID]] &amp; " - " &amp; Table3[[#This Row],[SO Number]]</f>
        <v>METROMART NO COR YET - METROMART - VERMOSA - SO-142</v>
      </c>
      <c r="C1491" t="s">
        <v>736</v>
      </c>
      <c r="D1491" t="s">
        <v>737</v>
      </c>
      <c r="E1491" t="s">
        <v>738</v>
      </c>
      <c r="F1491" t="s">
        <v>739</v>
      </c>
      <c r="G1491" t="s">
        <v>22</v>
      </c>
      <c r="H1491" t="s">
        <v>740</v>
      </c>
      <c r="I1491" t="s">
        <v>97</v>
      </c>
      <c r="J1491">
        <v>1</v>
      </c>
      <c r="K1491">
        <v>2200</v>
      </c>
      <c r="L1491">
        <v>3000</v>
      </c>
      <c r="M1491">
        <v>3000</v>
      </c>
      <c r="N1491" t="s">
        <v>39</v>
      </c>
    </row>
    <row r="1492" spans="1:14" x14ac:dyDescent="0.25">
      <c r="A1492" t="str">
        <f>Table3[[#This Row],[Company Name]] &amp; " - " &amp; Table3[[#This Row],[Store Name]] &amp; " - " &amp; Table3[[#This Row],[Store Branch / Address]]</f>
        <v>METROMART NO COR YET - METROMART - VERMOSA</v>
      </c>
      <c r="B1492" t="str">
        <f>Table3[[#This Row],[Client ID]] &amp; " - " &amp; Table3[[#This Row],[SO Number]]</f>
        <v>METROMART NO COR YET - METROMART - VERMOSA - SO-142</v>
      </c>
      <c r="C1492" t="s">
        <v>736</v>
      </c>
      <c r="D1492" t="s">
        <v>737</v>
      </c>
      <c r="E1492" t="s">
        <v>738</v>
      </c>
      <c r="F1492" t="s">
        <v>739</v>
      </c>
      <c r="G1492" t="s">
        <v>22</v>
      </c>
      <c r="H1492" t="s">
        <v>740</v>
      </c>
      <c r="I1492" t="s">
        <v>383</v>
      </c>
      <c r="J1492">
        <v>1</v>
      </c>
      <c r="K1492">
        <v>4250</v>
      </c>
      <c r="L1492">
        <v>6000</v>
      </c>
      <c r="M1492">
        <v>6000</v>
      </c>
      <c r="N1492" t="s">
        <v>39</v>
      </c>
    </row>
    <row r="1493" spans="1:14" x14ac:dyDescent="0.25">
      <c r="A1493" t="str">
        <f>Table3[[#This Row],[Company Name]] &amp; " - " &amp; Table3[[#This Row],[Store Name]] &amp; " - " &amp; Table3[[#This Row],[Store Branch / Address]]</f>
        <v>METROMART NO COR YET - METROMART - VERMOSA</v>
      </c>
      <c r="B1493" t="str">
        <f>Table3[[#This Row],[Client ID]] &amp; " - " &amp; Table3[[#This Row],[SO Number]]</f>
        <v>METROMART NO COR YET - METROMART - VERMOSA - SO-142</v>
      </c>
      <c r="C1493" t="s">
        <v>736</v>
      </c>
      <c r="D1493" t="s">
        <v>737</v>
      </c>
      <c r="E1493" t="s">
        <v>738</v>
      </c>
      <c r="F1493" t="s">
        <v>739</v>
      </c>
      <c r="G1493" t="s">
        <v>22</v>
      </c>
      <c r="H1493" t="s">
        <v>740</v>
      </c>
      <c r="I1493" t="s">
        <v>338</v>
      </c>
      <c r="J1493">
        <v>1</v>
      </c>
      <c r="K1493">
        <v>8500</v>
      </c>
      <c r="L1493">
        <v>12000</v>
      </c>
      <c r="M1493">
        <v>12000</v>
      </c>
      <c r="N1493" t="s">
        <v>39</v>
      </c>
    </row>
    <row r="1494" spans="1:14" x14ac:dyDescent="0.25">
      <c r="A1494" t="str">
        <f>Table3[[#This Row],[Company Name]] &amp; " - " &amp; Table3[[#This Row],[Store Name]] &amp; " - " &amp; Table3[[#This Row],[Store Branch / Address]]</f>
        <v>METROMART NO COR YET - METROMART - VERMOSA</v>
      </c>
      <c r="B1494" t="str">
        <f>Table3[[#This Row],[Client ID]] &amp; " - " &amp; Table3[[#This Row],[SO Number]]</f>
        <v>METROMART NO COR YET - METROMART - VERMOSA - SO-142</v>
      </c>
      <c r="C1494" t="s">
        <v>736</v>
      </c>
      <c r="D1494" t="s">
        <v>737</v>
      </c>
      <c r="E1494" t="s">
        <v>738</v>
      </c>
      <c r="F1494" t="s">
        <v>739</v>
      </c>
      <c r="G1494" t="s">
        <v>22</v>
      </c>
      <c r="H1494" t="s">
        <v>740</v>
      </c>
      <c r="I1494" t="s">
        <v>116</v>
      </c>
      <c r="J1494">
        <v>1</v>
      </c>
      <c r="K1494">
        <v>2185</v>
      </c>
      <c r="L1494">
        <v>3000</v>
      </c>
      <c r="M1494">
        <v>3000</v>
      </c>
      <c r="N1494" t="s">
        <v>39</v>
      </c>
    </row>
    <row r="1495" spans="1:14" x14ac:dyDescent="0.25">
      <c r="A1495" t="str">
        <f>Table3[[#This Row],[Company Name]] &amp; " - " &amp; Table3[[#This Row],[Store Name]] &amp; " - " &amp; Table3[[#This Row],[Store Branch / Address]]</f>
        <v>METROMART NO COR YET - METROMART - VERMOSA</v>
      </c>
      <c r="B1495" t="str">
        <f>Table3[[#This Row],[Client ID]] &amp; " - " &amp; Table3[[#This Row],[SO Number]]</f>
        <v>METROMART NO COR YET - METROMART - VERMOSA - SO-142</v>
      </c>
      <c r="C1495" t="s">
        <v>736</v>
      </c>
      <c r="D1495" t="s">
        <v>737</v>
      </c>
      <c r="E1495" t="s">
        <v>738</v>
      </c>
      <c r="F1495" t="s">
        <v>739</v>
      </c>
      <c r="G1495" t="s">
        <v>22</v>
      </c>
      <c r="H1495" t="s">
        <v>740</v>
      </c>
      <c r="I1495" t="s">
        <v>392</v>
      </c>
      <c r="J1495">
        <v>1</v>
      </c>
      <c r="K1495">
        <v>3360</v>
      </c>
      <c r="L1495">
        <v>5500</v>
      </c>
      <c r="M1495">
        <v>5500</v>
      </c>
      <c r="N1495" t="s">
        <v>39</v>
      </c>
    </row>
    <row r="1496" spans="1:14" x14ac:dyDescent="0.25">
      <c r="A1496" t="str">
        <f>Table3[[#This Row],[Company Name]] &amp; " - " &amp; Table3[[#This Row],[Store Name]] &amp; " - " &amp; Table3[[#This Row],[Store Branch / Address]]</f>
        <v>METROMART NO COR YET - METROMART - VERMOSA</v>
      </c>
      <c r="B1496" t="str">
        <f>Table3[[#This Row],[Client ID]] &amp; " - " &amp; Table3[[#This Row],[SO Number]]</f>
        <v>METROMART NO COR YET - METROMART - VERMOSA - SO-142</v>
      </c>
      <c r="C1496" t="s">
        <v>736</v>
      </c>
      <c r="D1496" t="s">
        <v>737</v>
      </c>
      <c r="E1496" t="s">
        <v>738</v>
      </c>
      <c r="F1496" t="s">
        <v>739</v>
      </c>
      <c r="G1496" t="s">
        <v>22</v>
      </c>
      <c r="H1496" t="s">
        <v>740</v>
      </c>
      <c r="I1496" t="s">
        <v>662</v>
      </c>
      <c r="J1496">
        <v>1</v>
      </c>
      <c r="K1496">
        <v>23450</v>
      </c>
      <c r="L1496">
        <v>30000</v>
      </c>
      <c r="M1496">
        <v>30000</v>
      </c>
      <c r="N1496" t="s">
        <v>39</v>
      </c>
    </row>
    <row r="1497" spans="1:14" x14ac:dyDescent="0.25">
      <c r="A1497" t="str">
        <f>Table3[[#This Row],[Company Name]] &amp; " - " &amp; Table3[[#This Row],[Store Name]] &amp; " - " &amp; Table3[[#This Row],[Store Branch / Address]]</f>
        <v>METROMART NO COR YET - METROMART - VERMOSA</v>
      </c>
      <c r="B1497" t="str">
        <f>Table3[[#This Row],[Client ID]] &amp; " - " &amp; Table3[[#This Row],[SO Number]]</f>
        <v>METROMART NO COR YET - METROMART - VERMOSA - SO-142</v>
      </c>
      <c r="C1497" t="s">
        <v>736</v>
      </c>
      <c r="D1497" t="s">
        <v>737</v>
      </c>
      <c r="E1497" t="s">
        <v>738</v>
      </c>
      <c r="F1497" t="s">
        <v>739</v>
      </c>
      <c r="G1497" t="s">
        <v>22</v>
      </c>
      <c r="H1497" t="s">
        <v>740</v>
      </c>
      <c r="I1497" t="s">
        <v>210</v>
      </c>
      <c r="J1497">
        <v>1</v>
      </c>
      <c r="K1497">
        <v>0</v>
      </c>
      <c r="L1497">
        <v>0</v>
      </c>
      <c r="M1497">
        <v>0</v>
      </c>
      <c r="N1497" t="s">
        <v>39</v>
      </c>
    </row>
    <row r="1498" spans="1:14" x14ac:dyDescent="0.25">
      <c r="A1498" t="str">
        <f>Table3[[#This Row],[Company Name]] &amp; " - " &amp; Table3[[#This Row],[Store Name]] &amp; " - " &amp; Table3[[#This Row],[Store Branch / Address]]</f>
        <v>METROMART NO COR YET - METROMART - VERMOSA</v>
      </c>
      <c r="B1498" t="str">
        <f>Table3[[#This Row],[Client ID]] &amp; " - " &amp; Table3[[#This Row],[SO Number]]</f>
        <v>METROMART NO COR YET - METROMART - VERMOSA - SO-142</v>
      </c>
      <c r="C1498" t="s">
        <v>736</v>
      </c>
      <c r="D1498" t="s">
        <v>737</v>
      </c>
      <c r="E1498" t="s">
        <v>738</v>
      </c>
      <c r="F1498" t="s">
        <v>739</v>
      </c>
      <c r="G1498" t="s">
        <v>22</v>
      </c>
      <c r="H1498" t="s">
        <v>740</v>
      </c>
      <c r="I1498" t="s">
        <v>151</v>
      </c>
      <c r="J1498">
        <v>1</v>
      </c>
      <c r="K1498">
        <v>2800</v>
      </c>
      <c r="L1498">
        <v>3500</v>
      </c>
      <c r="M1498">
        <v>3500</v>
      </c>
      <c r="N1498" t="s">
        <v>39</v>
      </c>
    </row>
    <row r="1499" spans="1:14" x14ac:dyDescent="0.25">
      <c r="A1499" t="str">
        <f>Table3[[#This Row],[Company Name]] &amp; " - " &amp; Table3[[#This Row],[Store Name]] &amp; " - " &amp; Table3[[#This Row],[Store Branch / Address]]</f>
        <v>MELO S WESTGATE FINE DINING - MELOS - GENERIC</v>
      </c>
      <c r="B1499" t="str">
        <f>Table3[[#This Row],[Client ID]] &amp; " - " &amp; Table3[[#This Row],[SO Number]]</f>
        <v>MELO S WESTGATE FINE DINING - MELOS - GENERIC - SO-143</v>
      </c>
      <c r="C1499" t="s">
        <v>741</v>
      </c>
      <c r="D1499" t="s">
        <v>173</v>
      </c>
      <c r="E1499" t="s">
        <v>174</v>
      </c>
      <c r="F1499" t="s">
        <v>15</v>
      </c>
      <c r="G1499" t="s">
        <v>22</v>
      </c>
      <c r="H1499" t="s">
        <v>740</v>
      </c>
      <c r="I1499" t="s">
        <v>33</v>
      </c>
      <c r="J1499">
        <v>1</v>
      </c>
      <c r="K1499">
        <v>18000</v>
      </c>
      <c r="L1499">
        <v>18000</v>
      </c>
      <c r="M1499">
        <v>18000</v>
      </c>
      <c r="N1499" t="s">
        <v>19</v>
      </c>
    </row>
    <row r="1500" spans="1:14" x14ac:dyDescent="0.25">
      <c r="A1500" t="str">
        <f>Table3[[#This Row],[Company Name]] &amp; " - " &amp; Table3[[#This Row],[Store Name]] &amp; " - " &amp; Table3[[#This Row],[Store Branch / Address]]</f>
        <v>WISHLEAF CAF INC - SERENITEA - GENERIC</v>
      </c>
      <c r="B1500" t="str">
        <f>Table3[[#This Row],[Client ID]] &amp; " - " &amp; Table3[[#This Row],[SO Number]]</f>
        <v>WISHLEAF CAF INC - SERENITEA - GENERIC - SO-144</v>
      </c>
      <c r="C1500" t="s">
        <v>742</v>
      </c>
      <c r="D1500" t="s">
        <v>743</v>
      </c>
      <c r="E1500" t="s">
        <v>239</v>
      </c>
      <c r="F1500" t="s">
        <v>15</v>
      </c>
      <c r="G1500" t="s">
        <v>37</v>
      </c>
      <c r="H1500" t="s">
        <v>740</v>
      </c>
      <c r="I1500" t="s">
        <v>33</v>
      </c>
      <c r="J1500">
        <v>1</v>
      </c>
      <c r="K1500">
        <v>19500</v>
      </c>
      <c r="L1500">
        <v>19500</v>
      </c>
      <c r="M1500">
        <v>19500</v>
      </c>
      <c r="N1500" t="s">
        <v>19</v>
      </c>
    </row>
    <row r="1501" spans="1:14" x14ac:dyDescent="0.25">
      <c r="A1501" t="str">
        <f>Table3[[#This Row],[Company Name]] &amp; " - " &amp; Table3[[#This Row],[Store Name]] &amp; " - " &amp; Table3[[#This Row],[Store Branch / Address]]</f>
        <v>WISHLEAF CAF INC - SERENITEA - GENERIC</v>
      </c>
      <c r="B1501" t="str">
        <f>Table3[[#This Row],[Client ID]] &amp; " - " &amp; Table3[[#This Row],[SO Number]]</f>
        <v>WISHLEAF CAF INC - SERENITEA - GENERIC - SO-144</v>
      </c>
      <c r="C1501" t="s">
        <v>742</v>
      </c>
      <c r="D1501" t="s">
        <v>743</v>
      </c>
      <c r="E1501" t="s">
        <v>239</v>
      </c>
      <c r="F1501" t="s">
        <v>15</v>
      </c>
      <c r="G1501" t="s">
        <v>37</v>
      </c>
      <c r="H1501" t="s">
        <v>740</v>
      </c>
      <c r="I1501" t="s">
        <v>50</v>
      </c>
      <c r="J1501">
        <v>1</v>
      </c>
      <c r="K1501">
        <v>500</v>
      </c>
      <c r="L1501">
        <v>500</v>
      </c>
      <c r="M1501">
        <v>500</v>
      </c>
      <c r="N1501" t="s">
        <v>19</v>
      </c>
    </row>
    <row r="1502" spans="1:14" x14ac:dyDescent="0.25">
      <c r="A1502" t="str">
        <f>Table3[[#This Row],[Company Name]] &amp; " - " &amp; Table3[[#This Row],[Store Name]] &amp; " - " &amp; Table3[[#This Row],[Store Branch / Address]]</f>
        <v>WISHLEAF CAF INC - SERENITEA - GENERIC</v>
      </c>
      <c r="B1502" t="str">
        <f>Table3[[#This Row],[Client ID]] &amp; " - " &amp; Table3[[#This Row],[SO Number]]</f>
        <v>WISHLEAF CAF INC - SERENITEA - GENERIC - SO-144</v>
      </c>
      <c r="C1502" t="s">
        <v>742</v>
      </c>
      <c r="D1502" t="s">
        <v>743</v>
      </c>
      <c r="E1502" t="s">
        <v>239</v>
      </c>
      <c r="F1502" t="s">
        <v>15</v>
      </c>
      <c r="G1502" t="s">
        <v>37</v>
      </c>
      <c r="H1502" t="s">
        <v>740</v>
      </c>
      <c r="I1502" t="s">
        <v>151</v>
      </c>
      <c r="J1502">
        <v>1</v>
      </c>
      <c r="K1502">
        <v>2800</v>
      </c>
      <c r="L1502">
        <v>4000</v>
      </c>
      <c r="M1502">
        <v>4000</v>
      </c>
      <c r="N1502" t="s">
        <v>19</v>
      </c>
    </row>
    <row r="1503" spans="1:14" x14ac:dyDescent="0.25">
      <c r="A1503" t="str">
        <f>Table3[[#This Row],[Company Name]] &amp; " - " &amp; Table3[[#This Row],[Store Name]] &amp; " - " &amp; Table3[[#This Row],[Store Branch / Address]]</f>
        <v>TIMELESS BAR AND RESTAURANT CONCEPTS INC - DILLINGER - GENERIC</v>
      </c>
      <c r="B1503" t="str">
        <f>Table3[[#This Row],[Client ID]] &amp; " - " &amp; Table3[[#This Row],[SO Number]]</f>
        <v>TIMELESS BAR AND RESTAURANT CONCEPTS INC - DILLINGER - GENERIC - SO-145</v>
      </c>
      <c r="C1503" t="s">
        <v>744</v>
      </c>
      <c r="D1503" t="s">
        <v>713</v>
      </c>
      <c r="E1503" t="s">
        <v>714</v>
      </c>
      <c r="F1503" t="s">
        <v>15</v>
      </c>
      <c r="G1503" t="s">
        <v>37</v>
      </c>
      <c r="H1503" t="s">
        <v>745</v>
      </c>
      <c r="I1503" t="s">
        <v>62</v>
      </c>
      <c r="J1503">
        <v>10</v>
      </c>
      <c r="K1503">
        <v>47</v>
      </c>
      <c r="L1503">
        <v>80</v>
      </c>
      <c r="M1503">
        <v>800</v>
      </c>
      <c r="N1503" t="s">
        <v>19</v>
      </c>
    </row>
    <row r="1504" spans="1:14" x14ac:dyDescent="0.25">
      <c r="A1504" t="str">
        <f>Table3[[#This Row],[Company Name]] &amp; " - " &amp; Table3[[#This Row],[Store Name]] &amp; " - " &amp; Table3[[#This Row],[Store Branch / Address]]</f>
        <v>SARI SARI AI CORPORATION - TOMORO - PAVILLION MALL LAGUNA</v>
      </c>
      <c r="B1504" t="str">
        <f>Table3[[#This Row],[Client ID]] &amp; " - " &amp; Table3[[#This Row],[SO Number]]</f>
        <v>SARI SARI AI CORPORATION - TOMORO - PAVILLION MALL LAGUNA - SO-146</v>
      </c>
      <c r="C1504" t="s">
        <v>747</v>
      </c>
      <c r="D1504" t="s">
        <v>748</v>
      </c>
      <c r="E1504" t="s">
        <v>749</v>
      </c>
      <c r="F1504" t="s">
        <v>750</v>
      </c>
      <c r="G1504" t="s">
        <v>16</v>
      </c>
      <c r="H1504" t="s">
        <v>745</v>
      </c>
      <c r="I1504" t="s">
        <v>687</v>
      </c>
      <c r="J1504">
        <v>1</v>
      </c>
      <c r="K1504">
        <v>3675</v>
      </c>
      <c r="L1504">
        <v>10500</v>
      </c>
      <c r="M1504">
        <v>10500</v>
      </c>
      <c r="N1504" t="s">
        <v>39</v>
      </c>
    </row>
    <row r="1505" spans="1:14" x14ac:dyDescent="0.25">
      <c r="A1505" t="str">
        <f>Table3[[#This Row],[Company Name]] &amp; " - " &amp; Table3[[#This Row],[Store Name]] &amp; " - " &amp; Table3[[#This Row],[Store Branch / Address]]</f>
        <v>SARI SARI AI CORPORATION - TOMORO - PAVILLION MALL LAGUNA</v>
      </c>
      <c r="B1505" t="str">
        <f>Table3[[#This Row],[Client ID]] &amp; " - " &amp; Table3[[#This Row],[SO Number]]</f>
        <v>SARI SARI AI CORPORATION - TOMORO - PAVILLION MALL LAGUNA - SO-146</v>
      </c>
      <c r="C1505" t="s">
        <v>747</v>
      </c>
      <c r="D1505" t="s">
        <v>748</v>
      </c>
      <c r="E1505" t="s">
        <v>749</v>
      </c>
      <c r="F1505" t="s">
        <v>750</v>
      </c>
      <c r="G1505" t="s">
        <v>16</v>
      </c>
      <c r="H1505" t="s">
        <v>745</v>
      </c>
      <c r="I1505" t="s">
        <v>48</v>
      </c>
      <c r="J1505">
        <v>1</v>
      </c>
      <c r="K1505">
        <v>4200</v>
      </c>
      <c r="L1505">
        <v>12000</v>
      </c>
      <c r="M1505">
        <v>12000</v>
      </c>
      <c r="N1505" t="s">
        <v>39</v>
      </c>
    </row>
    <row r="1506" spans="1:14" x14ac:dyDescent="0.25">
      <c r="A1506" t="str">
        <f>Table3[[#This Row],[Company Name]] &amp; " - " &amp; Table3[[#This Row],[Store Name]] &amp; " - " &amp; Table3[[#This Row],[Store Branch / Address]]</f>
        <v>SARI SARI AI CORPORATION - TOMORO - PAVILLION MALL LAGUNA</v>
      </c>
      <c r="B1506" t="str">
        <f>Table3[[#This Row],[Client ID]] &amp; " - " &amp; Table3[[#This Row],[SO Number]]</f>
        <v>SARI SARI AI CORPORATION - TOMORO - PAVILLION MALL LAGUNA - SO-146</v>
      </c>
      <c r="C1506" t="s">
        <v>747</v>
      </c>
      <c r="D1506" t="s">
        <v>748</v>
      </c>
      <c r="E1506" t="s">
        <v>749</v>
      </c>
      <c r="F1506" t="s">
        <v>750</v>
      </c>
      <c r="G1506" t="s">
        <v>16</v>
      </c>
      <c r="H1506" t="s">
        <v>745</v>
      </c>
      <c r="I1506" t="s">
        <v>126</v>
      </c>
      <c r="J1506">
        <v>1</v>
      </c>
      <c r="K1506">
        <v>4200</v>
      </c>
      <c r="L1506">
        <v>12000</v>
      </c>
      <c r="M1506">
        <v>12000</v>
      </c>
      <c r="N1506" t="s">
        <v>39</v>
      </c>
    </row>
    <row r="1507" spans="1:14" x14ac:dyDescent="0.25">
      <c r="A1507" t="str">
        <f>Table3[[#This Row],[Company Name]] &amp; " - " &amp; Table3[[#This Row],[Store Name]] &amp; " - " &amp; Table3[[#This Row],[Store Branch / Address]]</f>
        <v>SARI SARI AI CORPORATION - TOMORO - PAVILLION MALL LAGUNA</v>
      </c>
      <c r="B1507" t="str">
        <f>Table3[[#This Row],[Client ID]] &amp; " - " &amp; Table3[[#This Row],[SO Number]]</f>
        <v>SARI SARI AI CORPORATION - TOMORO - PAVILLION MALL LAGUNA - SO-146</v>
      </c>
      <c r="C1507" t="s">
        <v>747</v>
      </c>
      <c r="D1507" t="s">
        <v>748</v>
      </c>
      <c r="E1507" t="s">
        <v>749</v>
      </c>
      <c r="F1507" t="s">
        <v>750</v>
      </c>
      <c r="G1507" t="s">
        <v>16</v>
      </c>
      <c r="H1507" t="s">
        <v>745</v>
      </c>
      <c r="I1507" t="s">
        <v>26</v>
      </c>
      <c r="J1507">
        <v>1</v>
      </c>
      <c r="K1507">
        <v>500</v>
      </c>
      <c r="L1507">
        <v>500</v>
      </c>
      <c r="M1507">
        <v>500</v>
      </c>
      <c r="N1507" t="s">
        <v>39</v>
      </c>
    </row>
    <row r="1508" spans="1:14" x14ac:dyDescent="0.25">
      <c r="A1508" t="str">
        <f>Table3[[#This Row],[Company Name]] &amp; " - " &amp; Table3[[#This Row],[Store Name]] &amp; " - " &amp; Table3[[#This Row],[Store Branch / Address]]</f>
        <v>SARI SARI AI CORPORATION - TOMORO - PAVILLION MALL LAGUNA</v>
      </c>
      <c r="B1508" t="str">
        <f>Table3[[#This Row],[Client ID]] &amp; " - " &amp; Table3[[#This Row],[SO Number]]</f>
        <v>SARI SARI AI CORPORATION - TOMORO - PAVILLION MALL LAGUNA - SO-146</v>
      </c>
      <c r="C1508" t="s">
        <v>747</v>
      </c>
      <c r="D1508" t="s">
        <v>748</v>
      </c>
      <c r="E1508" t="s">
        <v>749</v>
      </c>
      <c r="F1508" t="s">
        <v>750</v>
      </c>
      <c r="G1508" t="s">
        <v>16</v>
      </c>
      <c r="H1508" t="s">
        <v>745</v>
      </c>
      <c r="I1508" t="s">
        <v>97</v>
      </c>
      <c r="J1508">
        <v>1</v>
      </c>
      <c r="K1508">
        <v>2200</v>
      </c>
      <c r="L1508">
        <v>3500</v>
      </c>
      <c r="M1508">
        <v>3500</v>
      </c>
      <c r="N1508" t="s">
        <v>39</v>
      </c>
    </row>
    <row r="1509" spans="1:14" x14ac:dyDescent="0.25">
      <c r="A1509" t="str">
        <f>Table3[[#This Row],[Company Name]] &amp; " - " &amp; Table3[[#This Row],[Store Name]] &amp; " - " &amp; Table3[[#This Row],[Store Branch / Address]]</f>
        <v>SARI SARI AI CORPORATION - TOMORO - PAVILLION MALL LAGUNA</v>
      </c>
      <c r="B1509" t="str">
        <f>Table3[[#This Row],[Client ID]] &amp; " - " &amp; Table3[[#This Row],[SO Number]]</f>
        <v>SARI SARI AI CORPORATION - TOMORO - PAVILLION MALL LAGUNA - SO-146</v>
      </c>
      <c r="C1509" t="s">
        <v>747</v>
      </c>
      <c r="D1509" t="s">
        <v>748</v>
      </c>
      <c r="E1509" t="s">
        <v>749</v>
      </c>
      <c r="F1509" t="s">
        <v>750</v>
      </c>
      <c r="G1509" t="s">
        <v>16</v>
      </c>
      <c r="H1509" t="s">
        <v>745</v>
      </c>
      <c r="I1509" t="s">
        <v>93</v>
      </c>
      <c r="J1509">
        <v>1</v>
      </c>
      <c r="K1509">
        <v>11000</v>
      </c>
      <c r="L1509">
        <v>16500</v>
      </c>
      <c r="M1509">
        <v>16500</v>
      </c>
      <c r="N1509" t="s">
        <v>39</v>
      </c>
    </row>
    <row r="1510" spans="1:14" x14ac:dyDescent="0.25">
      <c r="A1510" t="str">
        <f>Table3[[#This Row],[Company Name]] &amp; " - " &amp; Table3[[#This Row],[Store Name]] &amp; " - " &amp; Table3[[#This Row],[Store Branch / Address]]</f>
        <v>LIPA GRILLE RESTAURANT CO - LIPA GRILLE - GENERIC</v>
      </c>
      <c r="B1510" t="str">
        <f>Table3[[#This Row],[Client ID]] &amp; " - " &amp; Table3[[#This Row],[SO Number]]</f>
        <v>LIPA GRILLE RESTAURANT CO - LIPA GRILLE - GENERIC - SO-147</v>
      </c>
      <c r="C1510" t="s">
        <v>751</v>
      </c>
      <c r="D1510" t="s">
        <v>123</v>
      </c>
      <c r="E1510" t="s">
        <v>124</v>
      </c>
      <c r="F1510" t="s">
        <v>15</v>
      </c>
      <c r="G1510" t="s">
        <v>37</v>
      </c>
      <c r="H1510" t="s">
        <v>745</v>
      </c>
      <c r="I1510" t="s">
        <v>371</v>
      </c>
      <c r="J1510">
        <v>1500</v>
      </c>
      <c r="K1510">
        <v>32</v>
      </c>
      <c r="L1510">
        <v>50</v>
      </c>
      <c r="M1510">
        <v>75000</v>
      </c>
      <c r="N1510" t="s">
        <v>19</v>
      </c>
    </row>
    <row r="1511" spans="1:14" x14ac:dyDescent="0.25">
      <c r="A1511" t="str">
        <f>Table3[[#This Row],[Company Name]] &amp; " - " &amp; Table3[[#This Row],[Store Name]] &amp; " - " &amp; Table3[[#This Row],[Store Branch / Address]]</f>
        <v>WISHLEAF CAF INC - SERENITEA - GENERIC</v>
      </c>
      <c r="B1511" t="str">
        <f>Table3[[#This Row],[Client ID]] &amp; " - " &amp; Table3[[#This Row],[SO Number]]</f>
        <v>WISHLEAF CAF INC - SERENITEA - GENERIC - SO-148</v>
      </c>
      <c r="C1511" t="s">
        <v>752</v>
      </c>
      <c r="D1511" t="s">
        <v>743</v>
      </c>
      <c r="E1511" t="s">
        <v>239</v>
      </c>
      <c r="F1511" t="s">
        <v>15</v>
      </c>
      <c r="G1511" t="s">
        <v>37</v>
      </c>
      <c r="H1511" t="s">
        <v>745</v>
      </c>
      <c r="I1511" t="s">
        <v>383</v>
      </c>
      <c r="J1511">
        <v>1</v>
      </c>
      <c r="K1511">
        <v>4250</v>
      </c>
      <c r="L1511">
        <v>7000</v>
      </c>
      <c r="M1511">
        <v>7000</v>
      </c>
      <c r="N1511" t="s">
        <v>19</v>
      </c>
    </row>
    <row r="1512" spans="1:14" x14ac:dyDescent="0.25">
      <c r="A1512" t="str">
        <f>Table3[[#This Row],[Company Name]] &amp; " - " &amp; Table3[[#This Row],[Store Name]] &amp; " - " &amp; Table3[[#This Row],[Store Branch / Address]]</f>
        <v>WISHLEAF CAF INC - SERENITEA - GENERIC</v>
      </c>
      <c r="B1512" t="str">
        <f>Table3[[#This Row],[Client ID]] &amp; " - " &amp; Table3[[#This Row],[SO Number]]</f>
        <v>WISHLEAF CAF INC - SERENITEA - GENERIC - SO-148</v>
      </c>
      <c r="C1512" t="s">
        <v>752</v>
      </c>
      <c r="D1512" t="s">
        <v>743</v>
      </c>
      <c r="E1512" t="s">
        <v>239</v>
      </c>
      <c r="F1512" t="s">
        <v>15</v>
      </c>
      <c r="G1512" t="s">
        <v>37</v>
      </c>
      <c r="H1512" t="s">
        <v>745</v>
      </c>
      <c r="I1512" t="s">
        <v>463</v>
      </c>
      <c r="J1512">
        <v>1</v>
      </c>
      <c r="K1512">
        <v>1200</v>
      </c>
      <c r="L1512">
        <v>2000</v>
      </c>
      <c r="M1512">
        <v>2000</v>
      </c>
      <c r="N1512" t="s">
        <v>19</v>
      </c>
    </row>
    <row r="1513" spans="1:14" x14ac:dyDescent="0.25">
      <c r="A1513" t="str">
        <f>Table3[[#This Row],[Company Name]] &amp; " - " &amp; Table3[[#This Row],[Store Name]] &amp; " - " &amp; Table3[[#This Row],[Store Branch / Address]]</f>
        <v>WISHLEAF CAF INC - SERENITEA - GENERIC</v>
      </c>
      <c r="B1513" t="str">
        <f>Table3[[#This Row],[Client ID]] &amp; " - " &amp; Table3[[#This Row],[SO Number]]</f>
        <v>WISHLEAF CAF INC - SERENITEA - GENERIC - SO-148</v>
      </c>
      <c r="C1513" t="s">
        <v>752</v>
      </c>
      <c r="D1513" t="s">
        <v>743</v>
      </c>
      <c r="E1513" t="s">
        <v>239</v>
      </c>
      <c r="F1513" t="s">
        <v>15</v>
      </c>
      <c r="G1513" t="s">
        <v>37</v>
      </c>
      <c r="H1513" t="s">
        <v>745</v>
      </c>
      <c r="I1513" t="s">
        <v>63</v>
      </c>
      <c r="J1513">
        <v>1</v>
      </c>
      <c r="K1513">
        <v>500</v>
      </c>
      <c r="L1513">
        <v>500</v>
      </c>
      <c r="M1513">
        <v>500</v>
      </c>
      <c r="N1513" t="s">
        <v>19</v>
      </c>
    </row>
    <row r="1514" spans="1:14" x14ac:dyDescent="0.25">
      <c r="A1514" t="str">
        <f>Table3[[#This Row],[Company Name]] &amp; " - " &amp; Table3[[#This Row],[Store Name]] &amp; " - " &amp; Table3[[#This Row],[Store Branch / Address]]</f>
        <v>CHICKEN DELI - PAOTSIN - GENERIC</v>
      </c>
      <c r="B1514" t="str">
        <f>Table3[[#This Row],[Client ID]] &amp; " - " &amp; Table3[[#This Row],[SO Number]]</f>
        <v>CHICKEN DELI - PAOTSIN - GENERIC - SO-175</v>
      </c>
      <c r="C1514" t="s">
        <v>842</v>
      </c>
      <c r="D1514" t="s">
        <v>20</v>
      </c>
      <c r="E1514" t="s">
        <v>623</v>
      </c>
      <c r="F1514" t="s">
        <v>15</v>
      </c>
      <c r="G1514" t="s">
        <v>22</v>
      </c>
      <c r="H1514" t="s">
        <v>745</v>
      </c>
      <c r="I1514" t="s">
        <v>761</v>
      </c>
      <c r="J1514">
        <v>1</v>
      </c>
      <c r="K1514">
        <v>8500</v>
      </c>
      <c r="L1514">
        <v>12000</v>
      </c>
      <c r="M1514">
        <v>12000</v>
      </c>
      <c r="N1514" t="s">
        <v>19</v>
      </c>
    </row>
    <row r="1515" spans="1:14" x14ac:dyDescent="0.25">
      <c r="A1515" t="str">
        <f>Table3[[#This Row],[Company Name]] &amp; " - " &amp; Table3[[#This Row],[Store Name]] &amp; " - " &amp; Table3[[#This Row],[Store Branch / Address]]</f>
        <v>CHICKEN DELI - PAOTSIN - GENERIC</v>
      </c>
      <c r="B1515" t="str">
        <f>Table3[[#This Row],[Client ID]] &amp; " - " &amp; Table3[[#This Row],[SO Number]]</f>
        <v>CHICKEN DELI - PAOTSIN - GENERIC - SO-175</v>
      </c>
      <c r="C1515" t="s">
        <v>842</v>
      </c>
      <c r="D1515" t="s">
        <v>20</v>
      </c>
      <c r="E1515" t="s">
        <v>623</v>
      </c>
      <c r="F1515" t="s">
        <v>15</v>
      </c>
      <c r="G1515" t="s">
        <v>22</v>
      </c>
      <c r="H1515" t="s">
        <v>745</v>
      </c>
      <c r="I1515" t="s">
        <v>76</v>
      </c>
      <c r="J1515">
        <v>1</v>
      </c>
      <c r="K1515">
        <v>500</v>
      </c>
      <c r="L1515">
        <v>500</v>
      </c>
      <c r="M1515">
        <v>500</v>
      </c>
      <c r="N1515" t="s">
        <v>19</v>
      </c>
    </row>
    <row r="1516" spans="1:14" x14ac:dyDescent="0.25">
      <c r="A1516" t="str">
        <f>Table3[[#This Row],[Company Name]] &amp; " - " &amp; Table3[[#This Row],[Store Name]] &amp; " - " &amp; Table3[[#This Row],[Store Branch / Address]]</f>
        <v>CHICKEN DELI - GONGCHA - GENERIC</v>
      </c>
      <c r="B1516" t="str">
        <f>Table3[[#This Row],[Client ID]] &amp; " - " &amp; Table3[[#This Row],[SO Number]]</f>
        <v>CHICKEN DELI - GONGCHA - GENERIC - SO-176</v>
      </c>
      <c r="C1516" t="s">
        <v>843</v>
      </c>
      <c r="D1516" t="s">
        <v>20</v>
      </c>
      <c r="E1516" t="s">
        <v>31</v>
      </c>
      <c r="F1516" t="s">
        <v>15</v>
      </c>
      <c r="G1516" t="s">
        <v>22</v>
      </c>
      <c r="H1516" t="s">
        <v>745</v>
      </c>
      <c r="I1516" t="s">
        <v>154</v>
      </c>
      <c r="J1516">
        <v>5</v>
      </c>
      <c r="K1516">
        <v>965</v>
      </c>
      <c r="L1516">
        <v>1300</v>
      </c>
      <c r="M1516">
        <v>6500</v>
      </c>
      <c r="N1516" t="s">
        <v>19</v>
      </c>
    </row>
    <row r="1517" spans="1:14" x14ac:dyDescent="0.25">
      <c r="A1517" t="str">
        <f>Table3[[#This Row],[Company Name]] &amp; " - " &amp; Table3[[#This Row],[Store Name]] &amp; " - " &amp; Table3[[#This Row],[Store Branch / Address]]</f>
        <v>CHICKEN DELI - ISSY &amp;CO. - GENERIC</v>
      </c>
      <c r="B1517" t="str">
        <f>Table3[[#This Row],[Client ID]] &amp; " - " &amp; Table3[[#This Row],[SO Number]]</f>
        <v>CHICKEN DELI - ISSY &amp;CO. - GENERIC - SO-177</v>
      </c>
      <c r="C1517" t="s">
        <v>846</v>
      </c>
      <c r="D1517" t="s">
        <v>20</v>
      </c>
      <c r="E1517" t="s">
        <v>132</v>
      </c>
      <c r="F1517" t="s">
        <v>15</v>
      </c>
      <c r="G1517" t="s">
        <v>22</v>
      </c>
      <c r="H1517" t="s">
        <v>849</v>
      </c>
      <c r="I1517" t="s">
        <v>850</v>
      </c>
      <c r="J1517">
        <v>1</v>
      </c>
      <c r="K1517">
        <v>3675</v>
      </c>
      <c r="L1517">
        <v>10500</v>
      </c>
      <c r="M1517">
        <v>10500</v>
      </c>
      <c r="N1517" t="s">
        <v>19</v>
      </c>
    </row>
    <row r="1518" spans="1:14" x14ac:dyDescent="0.25">
      <c r="A1518" t="str">
        <f>Table3[[#This Row],[Company Name]] &amp; " - " &amp; Table3[[#This Row],[Store Name]] &amp; " - " &amp; Table3[[#This Row],[Store Branch / Address]]</f>
        <v>CHICKEN DELI - ISSY &amp;CO. - GENERIC</v>
      </c>
      <c r="B1518" t="str">
        <f>Table3[[#This Row],[Client ID]] &amp; " - " &amp; Table3[[#This Row],[SO Number]]</f>
        <v>CHICKEN DELI - ISSY &amp;CO. - GENERIC - SO-177</v>
      </c>
      <c r="C1518" t="s">
        <v>846</v>
      </c>
      <c r="D1518" t="s">
        <v>20</v>
      </c>
      <c r="E1518" t="s">
        <v>132</v>
      </c>
      <c r="F1518" t="s">
        <v>15</v>
      </c>
      <c r="G1518" t="s">
        <v>22</v>
      </c>
      <c r="H1518" t="s">
        <v>849</v>
      </c>
      <c r="I1518" t="s">
        <v>25</v>
      </c>
      <c r="J1518">
        <v>1</v>
      </c>
      <c r="K1518">
        <v>11000</v>
      </c>
      <c r="L1518">
        <v>11000</v>
      </c>
      <c r="M1518">
        <v>11000</v>
      </c>
      <c r="N1518" t="s">
        <v>19</v>
      </c>
    </row>
    <row r="1519" spans="1:14" x14ac:dyDescent="0.25">
      <c r="A1519" t="str">
        <f>Table3[[#This Row],[Company Name]] &amp; " - " &amp; Table3[[#This Row],[Store Name]] &amp; " - " &amp; Table3[[#This Row],[Store Branch / Address]]</f>
        <v>CHICKEN DELI - ISSY &amp;CO. - GENERIC</v>
      </c>
      <c r="B1519" t="str">
        <f>Table3[[#This Row],[Client ID]] &amp; " - " &amp; Table3[[#This Row],[SO Number]]</f>
        <v>CHICKEN DELI - ISSY &amp;CO. - GENERIC - SO-177</v>
      </c>
      <c r="C1519" t="s">
        <v>846</v>
      </c>
      <c r="D1519" t="s">
        <v>20</v>
      </c>
      <c r="E1519" t="s">
        <v>132</v>
      </c>
      <c r="F1519" t="s">
        <v>15</v>
      </c>
      <c r="G1519" t="s">
        <v>22</v>
      </c>
      <c r="H1519" t="s">
        <v>849</v>
      </c>
      <c r="I1519" t="s">
        <v>24</v>
      </c>
      <c r="J1519">
        <v>1</v>
      </c>
      <c r="K1519">
        <v>11000</v>
      </c>
      <c r="L1519">
        <v>11000</v>
      </c>
      <c r="M1519">
        <v>11000</v>
      </c>
      <c r="N1519" t="s">
        <v>19</v>
      </c>
    </row>
    <row r="1520" spans="1:14" x14ac:dyDescent="0.25">
      <c r="A1520" t="str">
        <f>Table3[[#This Row],[Company Name]] &amp; " - " &amp; Table3[[#This Row],[Store Name]] &amp; " - " &amp; Table3[[#This Row],[Store Branch / Address]]</f>
        <v>CHICKEN DELI - ISSY &amp;CO. - GENERIC</v>
      </c>
      <c r="B1520" t="str">
        <f>Table3[[#This Row],[Client ID]] &amp; " - " &amp; Table3[[#This Row],[SO Number]]</f>
        <v>CHICKEN DELI - ISSY &amp;CO. - GENERIC - SO-177</v>
      </c>
      <c r="C1520" t="s">
        <v>846</v>
      </c>
      <c r="D1520" t="s">
        <v>20</v>
      </c>
      <c r="E1520" t="s">
        <v>132</v>
      </c>
      <c r="F1520" t="s">
        <v>15</v>
      </c>
      <c r="G1520" t="s">
        <v>22</v>
      </c>
      <c r="H1520" t="s">
        <v>849</v>
      </c>
      <c r="I1520" t="s">
        <v>134</v>
      </c>
      <c r="J1520">
        <v>1</v>
      </c>
      <c r="K1520">
        <v>500</v>
      </c>
      <c r="L1520">
        <v>500</v>
      </c>
      <c r="M1520">
        <v>500</v>
      </c>
      <c r="N1520" t="s">
        <v>19</v>
      </c>
    </row>
    <row r="1521" spans="1:14" x14ac:dyDescent="0.25">
      <c r="A1521" t="str">
        <f>Table3[[#This Row],[Company Name]] &amp; " - " &amp; Table3[[#This Row],[Store Name]] &amp; " - " &amp; Table3[[#This Row],[Store Branch / Address]]</f>
        <v>CHICKEN DELI - ISSY &amp;CO. - GENERIC</v>
      </c>
      <c r="B1521" t="str">
        <f>Table3[[#This Row],[Client ID]] &amp; " - " &amp; Table3[[#This Row],[SO Number]]</f>
        <v>CHICKEN DELI - ISSY &amp;CO. - GENERIC - SO-177</v>
      </c>
      <c r="C1521" t="s">
        <v>846</v>
      </c>
      <c r="D1521" t="s">
        <v>20</v>
      </c>
      <c r="E1521" t="s">
        <v>132</v>
      </c>
      <c r="F1521" t="s">
        <v>15</v>
      </c>
      <c r="G1521" t="s">
        <v>22</v>
      </c>
      <c r="H1521" t="s">
        <v>849</v>
      </c>
      <c r="I1521" t="s">
        <v>135</v>
      </c>
      <c r="J1521">
        <v>1</v>
      </c>
      <c r="K1521">
        <v>4550</v>
      </c>
      <c r="L1521">
        <v>6500</v>
      </c>
      <c r="M1521">
        <v>6500</v>
      </c>
      <c r="N1521" t="s">
        <v>19</v>
      </c>
    </row>
    <row r="1522" spans="1:14" x14ac:dyDescent="0.25">
      <c r="A1522" t="str">
        <f>Table3[[#This Row],[Company Name]] &amp; " - " &amp; Table3[[#This Row],[Store Name]] &amp; " - " &amp; Table3[[#This Row],[Store Branch / Address]]</f>
        <v>CHICKEN DELI - ISSY &amp;CO. - GENERIC</v>
      </c>
      <c r="B1522" t="str">
        <f>Table3[[#This Row],[Client ID]] &amp; " - " &amp; Table3[[#This Row],[SO Number]]</f>
        <v>CHICKEN DELI - ISSY &amp;CO. - GENERIC - SO-177</v>
      </c>
      <c r="C1522" t="s">
        <v>846</v>
      </c>
      <c r="D1522" t="s">
        <v>20</v>
      </c>
      <c r="E1522" t="s">
        <v>132</v>
      </c>
      <c r="F1522" t="s">
        <v>15</v>
      </c>
      <c r="G1522" t="s">
        <v>22</v>
      </c>
      <c r="H1522" t="s">
        <v>849</v>
      </c>
      <c r="I1522" t="s">
        <v>136</v>
      </c>
      <c r="J1522">
        <v>1</v>
      </c>
      <c r="K1522">
        <v>8500</v>
      </c>
      <c r="L1522">
        <v>12100</v>
      </c>
      <c r="M1522">
        <v>12100</v>
      </c>
      <c r="N1522" t="s">
        <v>19</v>
      </c>
    </row>
    <row r="1523" spans="1:14" x14ac:dyDescent="0.25">
      <c r="A1523" t="str">
        <f>Table3[[#This Row],[Company Name]] &amp; " - " &amp; Table3[[#This Row],[Store Name]] &amp; " - " &amp; Table3[[#This Row],[Store Branch / Address]]</f>
        <v>CHICKEN DELI - ISSY &amp;CO. - GENERIC</v>
      </c>
      <c r="B1523" t="str">
        <f>Table3[[#This Row],[Client ID]] &amp; " - " &amp; Table3[[#This Row],[SO Number]]</f>
        <v>CHICKEN DELI - ISSY &amp;CO. - GENERIC - SO-177</v>
      </c>
      <c r="C1523" t="s">
        <v>846</v>
      </c>
      <c r="D1523" t="s">
        <v>20</v>
      </c>
      <c r="E1523" t="s">
        <v>132</v>
      </c>
      <c r="F1523" t="s">
        <v>15</v>
      </c>
      <c r="G1523" t="s">
        <v>22</v>
      </c>
      <c r="H1523" t="s">
        <v>849</v>
      </c>
      <c r="I1523" t="s">
        <v>98</v>
      </c>
      <c r="J1523">
        <v>1</v>
      </c>
      <c r="K1523">
        <v>935</v>
      </c>
      <c r="L1523">
        <v>1500</v>
      </c>
      <c r="M1523">
        <v>1500</v>
      </c>
      <c r="N1523" t="s">
        <v>19</v>
      </c>
    </row>
    <row r="1524" spans="1:14" x14ac:dyDescent="0.25">
      <c r="A1524" t="str">
        <f>Table3[[#This Row],[Company Name]] &amp; " - " &amp; Table3[[#This Row],[Store Name]] &amp; " - " &amp; Table3[[#This Row],[Store Branch / Address]]</f>
        <v>CHICKEN DELI - ISSY &amp;CO. - GENERIC</v>
      </c>
      <c r="B1524" t="str">
        <f>Table3[[#This Row],[Client ID]] &amp; " - " &amp; Table3[[#This Row],[SO Number]]</f>
        <v>CHICKEN DELI - ISSY &amp;CO. - GENERIC - SO-177</v>
      </c>
      <c r="C1524" t="s">
        <v>846</v>
      </c>
      <c r="D1524" t="s">
        <v>20</v>
      </c>
      <c r="E1524" t="s">
        <v>132</v>
      </c>
      <c r="F1524" t="s">
        <v>15</v>
      </c>
      <c r="G1524" t="s">
        <v>22</v>
      </c>
      <c r="H1524" t="s">
        <v>849</v>
      </c>
      <c r="I1524" t="s">
        <v>116</v>
      </c>
      <c r="J1524">
        <v>1</v>
      </c>
      <c r="K1524">
        <v>2185</v>
      </c>
      <c r="L1524">
        <v>3500</v>
      </c>
      <c r="M1524">
        <v>3500</v>
      </c>
      <c r="N1524" t="s">
        <v>19</v>
      </c>
    </row>
    <row r="1525" spans="1:14" x14ac:dyDescent="0.25">
      <c r="A1525" t="str">
        <f>Table3[[#This Row],[Company Name]] &amp; " - " &amp; Table3[[#This Row],[Store Name]] &amp; " - " &amp; Table3[[#This Row],[Store Branch / Address]]</f>
        <v>CHICKEN DELI - ISSY &amp;CO. - GENERIC</v>
      </c>
      <c r="B1525" t="str">
        <f>Table3[[#This Row],[Client ID]] &amp; " - " &amp; Table3[[#This Row],[SO Number]]</f>
        <v>CHICKEN DELI - ISSY &amp;CO. - GENERIC - SO-177</v>
      </c>
      <c r="C1525" t="s">
        <v>846</v>
      </c>
      <c r="D1525" t="s">
        <v>20</v>
      </c>
      <c r="E1525" t="s">
        <v>132</v>
      </c>
      <c r="F1525" t="s">
        <v>15</v>
      </c>
      <c r="G1525" t="s">
        <v>22</v>
      </c>
      <c r="H1525" t="s">
        <v>849</v>
      </c>
      <c r="I1525" t="s">
        <v>137</v>
      </c>
      <c r="J1525">
        <v>1</v>
      </c>
      <c r="K1525">
        <v>2200</v>
      </c>
      <c r="L1525">
        <v>3100</v>
      </c>
      <c r="M1525">
        <v>3100</v>
      </c>
      <c r="N1525" t="s">
        <v>19</v>
      </c>
    </row>
    <row r="1526" spans="1:14" x14ac:dyDescent="0.25">
      <c r="A1526" t="str">
        <f>Table3[[#This Row],[Company Name]] &amp; " - " &amp; Table3[[#This Row],[Store Name]] &amp; " - " &amp; Table3[[#This Row],[Store Branch / Address]]</f>
        <v>CHICKEN DELI - ISSY &amp;CO. - GENERIC</v>
      </c>
      <c r="B1526" t="str">
        <f>Table3[[#This Row],[Client ID]] &amp; " - " &amp; Table3[[#This Row],[SO Number]]</f>
        <v>CHICKEN DELI - ISSY &amp;CO. - GENERIC - SO-177</v>
      </c>
      <c r="C1526" t="s">
        <v>846</v>
      </c>
      <c r="D1526" t="s">
        <v>20</v>
      </c>
      <c r="E1526" t="s">
        <v>132</v>
      </c>
      <c r="F1526" t="s">
        <v>15</v>
      </c>
      <c r="G1526" t="s">
        <v>22</v>
      </c>
      <c r="H1526" t="s">
        <v>849</v>
      </c>
      <c r="I1526" t="s">
        <v>851</v>
      </c>
      <c r="J1526">
        <v>1</v>
      </c>
      <c r="K1526">
        <v>21500</v>
      </c>
      <c r="L1526">
        <v>31000</v>
      </c>
      <c r="M1526">
        <v>31000</v>
      </c>
      <c r="N1526" t="s">
        <v>19</v>
      </c>
    </row>
    <row r="1527" spans="1:14" x14ac:dyDescent="0.25">
      <c r="A1527" t="str">
        <f>Table3[[#This Row],[Company Name]] &amp; " - " &amp; Table3[[#This Row],[Store Name]] &amp; " - " &amp; Table3[[#This Row],[Store Branch / Address]]</f>
        <v>CHICKEN DELI - ISSY &amp;CO. - GENERIC</v>
      </c>
      <c r="B1527" t="str">
        <f>Table3[[#This Row],[Client ID]] &amp; " - " &amp; Table3[[#This Row],[SO Number]]</f>
        <v>CHICKEN DELI - ISSY &amp;CO. - GENERIC - SO-177</v>
      </c>
      <c r="C1527" t="s">
        <v>846</v>
      </c>
      <c r="D1527" t="s">
        <v>20</v>
      </c>
      <c r="E1527" t="s">
        <v>132</v>
      </c>
      <c r="F1527" t="s">
        <v>15</v>
      </c>
      <c r="G1527" t="s">
        <v>22</v>
      </c>
      <c r="H1527" t="s">
        <v>849</v>
      </c>
      <c r="I1527" t="s">
        <v>99</v>
      </c>
      <c r="J1527">
        <v>1</v>
      </c>
      <c r="K1527">
        <v>2800</v>
      </c>
      <c r="L1527">
        <v>4000</v>
      </c>
      <c r="M1527">
        <v>4000</v>
      </c>
      <c r="N1527" t="s">
        <v>19</v>
      </c>
    </row>
    <row r="1528" spans="1:14" x14ac:dyDescent="0.25">
      <c r="A1528" t="str">
        <f>Table3[[#This Row],[Company Name]] &amp; " - " &amp; Table3[[#This Row],[Store Name]] &amp; " - " &amp; Table3[[#This Row],[Store Branch / Address]]</f>
        <v>CHICKEN DELI - ISSY &amp;CO. - GENERIC</v>
      </c>
      <c r="B1528" t="str">
        <f>Table3[[#This Row],[Client ID]] &amp; " - " &amp; Table3[[#This Row],[SO Number]]</f>
        <v>CHICKEN DELI - ISSY &amp;CO. - GENERIC - SO-177</v>
      </c>
      <c r="C1528" t="s">
        <v>846</v>
      </c>
      <c r="D1528" t="s">
        <v>20</v>
      </c>
      <c r="E1528" t="s">
        <v>132</v>
      </c>
      <c r="F1528" t="s">
        <v>15</v>
      </c>
      <c r="G1528" t="s">
        <v>22</v>
      </c>
      <c r="H1528" t="s">
        <v>849</v>
      </c>
      <c r="I1528" t="s">
        <v>76</v>
      </c>
      <c r="J1528">
        <v>1</v>
      </c>
      <c r="K1528">
        <v>500</v>
      </c>
      <c r="L1528">
        <v>500</v>
      </c>
      <c r="M1528">
        <v>500</v>
      </c>
      <c r="N1528" t="s">
        <v>19</v>
      </c>
    </row>
    <row r="1529" spans="1:14" x14ac:dyDescent="0.25">
      <c r="A1529" t="str">
        <f>Table3[[#This Row],[Company Name]] &amp; " - " &amp; Table3[[#This Row],[Store Name]] &amp; " - " &amp; Table3[[#This Row],[Store Branch / Address]]</f>
        <v>CHICKEN DELI - MN+LA APPAREL - GENERIC</v>
      </c>
      <c r="B1529" t="str">
        <f>Table3[[#This Row],[Client ID]] &amp; " - " &amp; Table3[[#This Row],[SO Number]]</f>
        <v>CHICKEN DELI - MN+LA APPAREL - GENERIC - SO-170</v>
      </c>
      <c r="C1529" t="s">
        <v>825</v>
      </c>
      <c r="D1529" t="s">
        <v>20</v>
      </c>
      <c r="E1529" t="s">
        <v>119</v>
      </c>
      <c r="F1529" t="s">
        <v>15</v>
      </c>
      <c r="G1529" t="s">
        <v>22</v>
      </c>
      <c r="H1529" t="s">
        <v>828</v>
      </c>
      <c r="I1529" t="s">
        <v>121</v>
      </c>
      <c r="J1529">
        <v>50</v>
      </c>
      <c r="K1529">
        <v>32</v>
      </c>
      <c r="L1529">
        <v>50</v>
      </c>
      <c r="M1529">
        <v>2500</v>
      </c>
      <c r="N1529" t="s">
        <v>19</v>
      </c>
    </row>
    <row r="1530" spans="1:14" x14ac:dyDescent="0.25">
      <c r="A1530" t="str">
        <f>Table3[[#This Row],[Company Name]] &amp; " - " &amp; Table3[[#This Row],[Store Name]] &amp; " - " &amp; Table3[[#This Row],[Store Branch / Address]]</f>
        <v>FRANKIE GENERAL STORE - FRANKIE GENERAL STORE - GENERIC</v>
      </c>
      <c r="B1530" t="str">
        <f>Table3[[#This Row],[Client ID]] &amp; " - " &amp; Table3[[#This Row],[SO Number]]</f>
        <v>FRANKIE GENERAL STORE - FRANKIE GENERAL STORE - GENERIC - SO-070</v>
      </c>
      <c r="C1530" t="s">
        <v>438</v>
      </c>
      <c r="D1530" t="s">
        <v>1151</v>
      </c>
      <c r="E1530" t="s">
        <v>1151</v>
      </c>
      <c r="F1530" t="s">
        <v>15</v>
      </c>
      <c r="G1530" t="s">
        <v>1152</v>
      </c>
      <c r="H1530" t="s">
        <v>828</v>
      </c>
      <c r="I1530" t="s">
        <v>33</v>
      </c>
      <c r="J1530">
        <v>1</v>
      </c>
      <c r="K1530">
        <v>18000</v>
      </c>
      <c r="L1530">
        <v>18000</v>
      </c>
      <c r="M1530">
        <v>18000</v>
      </c>
      <c r="N1530" t="s">
        <v>19</v>
      </c>
    </row>
    <row r="1531" spans="1:14" x14ac:dyDescent="0.25">
      <c r="A1531" t="str">
        <f>Table3[[#This Row],[Company Name]] &amp; " - " &amp; Table3[[#This Row],[Store Name]] &amp; " - " &amp; Table3[[#This Row],[Store Branch / Address]]</f>
        <v>CMISS CORPORATION - CMISS CORPORATION - BULACAN</v>
      </c>
      <c r="B1531" t="str">
        <f>Table3[[#This Row],[Client ID]] &amp; " - " &amp; Table3[[#This Row],[SO Number]]</f>
        <v>CMISS CORPORATION - CMISS CORPORATION - BULACAN - SO-149</v>
      </c>
      <c r="C1531" t="s">
        <v>753</v>
      </c>
      <c r="D1531" t="s">
        <v>755</v>
      </c>
      <c r="E1531" t="s">
        <v>755</v>
      </c>
      <c r="F1531" t="s">
        <v>756</v>
      </c>
      <c r="G1531" t="s">
        <v>22</v>
      </c>
      <c r="H1531" t="s">
        <v>757</v>
      </c>
      <c r="I1531" t="s">
        <v>662</v>
      </c>
      <c r="J1531">
        <v>1</v>
      </c>
      <c r="K1531">
        <v>23450</v>
      </c>
      <c r="L1531">
        <v>31000</v>
      </c>
      <c r="M1531">
        <v>31000</v>
      </c>
      <c r="N1531" t="s">
        <v>39</v>
      </c>
    </row>
    <row r="1532" spans="1:14" x14ac:dyDescent="0.25">
      <c r="A1532" t="str">
        <f>Table3[[#This Row],[Company Name]] &amp; " - " &amp; Table3[[#This Row],[Store Name]] &amp; " - " &amp; Table3[[#This Row],[Store Branch / Address]]</f>
        <v>CMISS CORPORATION - CMISS CORPORATION - BULACAN</v>
      </c>
      <c r="B1532" t="str">
        <f>Table3[[#This Row],[Client ID]] &amp; " - " &amp; Table3[[#This Row],[SO Number]]</f>
        <v>CMISS CORPORATION - CMISS CORPORATION - BULACAN - SO-149</v>
      </c>
      <c r="C1532" t="s">
        <v>753</v>
      </c>
      <c r="D1532" t="s">
        <v>755</v>
      </c>
      <c r="E1532" t="s">
        <v>755</v>
      </c>
      <c r="F1532" t="s">
        <v>756</v>
      </c>
      <c r="G1532" t="s">
        <v>22</v>
      </c>
      <c r="H1532" t="s">
        <v>757</v>
      </c>
      <c r="I1532" t="s">
        <v>210</v>
      </c>
      <c r="J1532">
        <v>1</v>
      </c>
      <c r="K1532">
        <v>0</v>
      </c>
      <c r="L1532">
        <v>0</v>
      </c>
      <c r="M1532">
        <v>0</v>
      </c>
      <c r="N1532" t="s">
        <v>39</v>
      </c>
    </row>
    <row r="1533" spans="1:14" x14ac:dyDescent="0.25">
      <c r="A1533" t="str">
        <f>Table3[[#This Row],[Company Name]] &amp; " - " &amp; Table3[[#This Row],[Store Name]] &amp; " - " &amp; Table3[[#This Row],[Store Branch / Address]]</f>
        <v>CMISS CORPORATION - CMISS CORPORATION - BULACAN</v>
      </c>
      <c r="B1533" t="str">
        <f>Table3[[#This Row],[Client ID]] &amp; " - " &amp; Table3[[#This Row],[SO Number]]</f>
        <v>CMISS CORPORATION - CMISS CORPORATION - BULACAN - SO-149</v>
      </c>
      <c r="C1533" t="s">
        <v>753</v>
      </c>
      <c r="D1533" t="s">
        <v>755</v>
      </c>
      <c r="E1533" t="s">
        <v>755</v>
      </c>
      <c r="F1533" t="s">
        <v>756</v>
      </c>
      <c r="G1533" t="s">
        <v>22</v>
      </c>
      <c r="H1533" t="s">
        <v>757</v>
      </c>
      <c r="I1533" t="s">
        <v>151</v>
      </c>
      <c r="J1533">
        <v>1</v>
      </c>
      <c r="K1533">
        <v>2800</v>
      </c>
      <c r="L1533">
        <v>4000</v>
      </c>
      <c r="M1533">
        <v>4000</v>
      </c>
      <c r="N1533" t="s">
        <v>39</v>
      </c>
    </row>
    <row r="1534" spans="1:14" x14ac:dyDescent="0.25">
      <c r="A1534" t="str">
        <f>Table3[[#This Row],[Company Name]] &amp; " - " &amp; Table3[[#This Row],[Store Name]] &amp; " - " &amp; Table3[[#This Row],[Store Branch / Address]]</f>
        <v>CERRA DENTAL HEALTH CORPORATION - DENTAL SMILES - GENERIC</v>
      </c>
      <c r="B1534" t="str">
        <f>Table3[[#This Row],[Client ID]] &amp; " - " &amp; Table3[[#This Row],[SO Number]]</f>
        <v>CERRA DENTAL HEALTH CORPORATION - DENTAL SMILES - GENERIC - SO-150</v>
      </c>
      <c r="C1534" t="s">
        <v>758</v>
      </c>
      <c r="D1534" t="s">
        <v>759</v>
      </c>
      <c r="E1534" t="s">
        <v>760</v>
      </c>
      <c r="F1534" t="s">
        <v>15</v>
      </c>
      <c r="G1534" t="s">
        <v>37</v>
      </c>
      <c r="H1534" t="s">
        <v>757</v>
      </c>
      <c r="I1534" t="s">
        <v>33</v>
      </c>
      <c r="J1534">
        <v>1</v>
      </c>
      <c r="K1534">
        <v>15000</v>
      </c>
      <c r="L1534">
        <v>15000</v>
      </c>
      <c r="M1534">
        <v>15000</v>
      </c>
      <c r="N1534" t="s">
        <v>19</v>
      </c>
    </row>
    <row r="1535" spans="1:14" x14ac:dyDescent="0.25">
      <c r="A1535" t="str">
        <f>Table3[[#This Row],[Company Name]] &amp; " - " &amp; Table3[[#This Row],[Store Name]] &amp; " - " &amp; Table3[[#This Row],[Store Branch / Address]]</f>
        <v>PUA JOHN PAUL BANGUG - SIZZLE MANIA (BOS' CHOW) - SM CENTER TUGUEGARAO DOWNTOWN</v>
      </c>
      <c r="B1535" t="str">
        <f>Table3[[#This Row],[Client ID]] &amp; " - " &amp; Table3[[#This Row],[SO Number]]</f>
        <v>PUA JOHN PAUL BANGUG - SIZZLE MANIA (BOS' CHOW) - SM CENTER TUGUEGARAO DOWNTOWN - SO-151</v>
      </c>
      <c r="C1535" t="s">
        <v>762</v>
      </c>
      <c r="D1535" t="s">
        <v>763</v>
      </c>
      <c r="E1535" t="s">
        <v>764</v>
      </c>
      <c r="F1535" t="s">
        <v>765</v>
      </c>
      <c r="G1535" t="s">
        <v>16</v>
      </c>
      <c r="H1535" t="s">
        <v>757</v>
      </c>
      <c r="I1535" t="s">
        <v>687</v>
      </c>
      <c r="J1535">
        <v>1</v>
      </c>
      <c r="K1535">
        <v>3675</v>
      </c>
      <c r="L1535">
        <v>10500</v>
      </c>
      <c r="M1535">
        <v>10500</v>
      </c>
      <c r="N1535" t="s">
        <v>39</v>
      </c>
    </row>
    <row r="1536" spans="1:14" x14ac:dyDescent="0.25">
      <c r="A1536" t="str">
        <f>Table3[[#This Row],[Company Name]] &amp; " - " &amp; Table3[[#This Row],[Store Name]] &amp; " - " &amp; Table3[[#This Row],[Store Branch / Address]]</f>
        <v>PUA JOHN PAUL BANGUG - SIZZLE MANIA (BOS' CHOW) - SM CENTER TUGUEGARAO DOWNTOWN</v>
      </c>
      <c r="B1536" t="str">
        <f>Table3[[#This Row],[Client ID]] &amp; " - " &amp; Table3[[#This Row],[SO Number]]</f>
        <v>PUA JOHN PAUL BANGUG - SIZZLE MANIA (BOS' CHOW) - SM CENTER TUGUEGARAO DOWNTOWN - SO-151</v>
      </c>
      <c r="C1536" t="s">
        <v>762</v>
      </c>
      <c r="D1536" t="s">
        <v>763</v>
      </c>
      <c r="E1536" t="s">
        <v>764</v>
      </c>
      <c r="F1536" t="s">
        <v>765</v>
      </c>
      <c r="G1536" t="s">
        <v>16</v>
      </c>
      <c r="H1536" t="s">
        <v>757</v>
      </c>
      <c r="I1536" t="s">
        <v>48</v>
      </c>
      <c r="J1536">
        <v>1</v>
      </c>
      <c r="K1536">
        <v>7700</v>
      </c>
      <c r="L1536">
        <v>22000</v>
      </c>
      <c r="M1536">
        <v>22000</v>
      </c>
      <c r="N1536" t="s">
        <v>39</v>
      </c>
    </row>
    <row r="1537" spans="1:14" x14ac:dyDescent="0.25">
      <c r="A1537" t="str">
        <f>Table3[[#This Row],[Company Name]] &amp; " - " &amp; Table3[[#This Row],[Store Name]] &amp; " - " &amp; Table3[[#This Row],[Store Branch / Address]]</f>
        <v>PUA JOHN PAUL BANGUG - SIZZLE MANIA (BOS' CHOW) - SM CENTER TUGUEGARAO DOWNTOWN</v>
      </c>
      <c r="B1537" t="str">
        <f>Table3[[#This Row],[Client ID]] &amp; " - " &amp; Table3[[#This Row],[SO Number]]</f>
        <v>PUA JOHN PAUL BANGUG - SIZZLE MANIA (BOS' CHOW) - SM CENTER TUGUEGARAO DOWNTOWN - SO-151</v>
      </c>
      <c r="C1537" t="s">
        <v>762</v>
      </c>
      <c r="D1537" t="s">
        <v>763</v>
      </c>
      <c r="E1537" t="s">
        <v>764</v>
      </c>
      <c r="F1537" t="s">
        <v>765</v>
      </c>
      <c r="G1537" t="s">
        <v>16</v>
      </c>
      <c r="H1537" t="s">
        <v>757</v>
      </c>
      <c r="I1537" t="s">
        <v>126</v>
      </c>
      <c r="J1537">
        <v>1</v>
      </c>
      <c r="K1537">
        <v>7700</v>
      </c>
      <c r="L1537">
        <v>22000</v>
      </c>
      <c r="M1537">
        <v>22000</v>
      </c>
      <c r="N1537" t="s">
        <v>39</v>
      </c>
    </row>
    <row r="1538" spans="1:14" x14ac:dyDescent="0.25">
      <c r="A1538" t="str">
        <f>Table3[[#This Row],[Company Name]] &amp; " - " &amp; Table3[[#This Row],[Store Name]] &amp; " - " &amp; Table3[[#This Row],[Store Branch / Address]]</f>
        <v>PUA JOHN PAUL BANGUG - SIZZLE MANIA (BOS' CHOW) - SM CENTER TUGUEGARAO DOWNTOWN</v>
      </c>
      <c r="B1538" t="str">
        <f>Table3[[#This Row],[Client ID]] &amp; " - " &amp; Table3[[#This Row],[SO Number]]</f>
        <v>PUA JOHN PAUL BANGUG - SIZZLE MANIA (BOS' CHOW) - SM CENTER TUGUEGARAO DOWNTOWN - SO-151</v>
      </c>
      <c r="C1538" t="s">
        <v>762</v>
      </c>
      <c r="D1538" t="s">
        <v>763</v>
      </c>
      <c r="E1538" t="s">
        <v>764</v>
      </c>
      <c r="F1538" t="s">
        <v>765</v>
      </c>
      <c r="G1538" t="s">
        <v>16</v>
      </c>
      <c r="H1538" t="s">
        <v>757</v>
      </c>
      <c r="I1538" t="s">
        <v>26</v>
      </c>
      <c r="J1538">
        <v>1</v>
      </c>
      <c r="K1538">
        <v>500</v>
      </c>
      <c r="L1538">
        <v>500</v>
      </c>
      <c r="M1538">
        <v>500</v>
      </c>
      <c r="N1538" t="s">
        <v>39</v>
      </c>
    </row>
    <row r="1539" spans="1:14" x14ac:dyDescent="0.25">
      <c r="A1539" t="str">
        <f>Table3[[#This Row],[Company Name]] &amp; " - " &amp; Table3[[#This Row],[Store Name]] &amp; " - " &amp; Table3[[#This Row],[Store Branch / Address]]</f>
        <v>PUA JOHN PAUL BANGUG - SIZZLE MANIA (BOS' CHOW) - SM CENTER TUGUEGARAO DOWNTOWN</v>
      </c>
      <c r="B1539" t="str">
        <f>Table3[[#This Row],[Client ID]] &amp; " - " &amp; Table3[[#This Row],[SO Number]]</f>
        <v>PUA JOHN PAUL BANGUG - SIZZLE MANIA (BOS' CHOW) - SM CENTER TUGUEGARAO DOWNTOWN - SO-151</v>
      </c>
      <c r="C1539" t="s">
        <v>762</v>
      </c>
      <c r="D1539" t="s">
        <v>763</v>
      </c>
      <c r="E1539" t="s">
        <v>764</v>
      </c>
      <c r="F1539" t="s">
        <v>765</v>
      </c>
      <c r="G1539" t="s">
        <v>16</v>
      </c>
      <c r="H1539" t="s">
        <v>757</v>
      </c>
      <c r="I1539" t="s">
        <v>97</v>
      </c>
      <c r="J1539">
        <v>1</v>
      </c>
      <c r="K1539">
        <v>2200</v>
      </c>
      <c r="L1539">
        <v>3500</v>
      </c>
      <c r="M1539">
        <v>3500</v>
      </c>
      <c r="N1539" t="s">
        <v>39</v>
      </c>
    </row>
    <row r="1540" spans="1:14" x14ac:dyDescent="0.25">
      <c r="A1540" t="str">
        <f>Table3[[#This Row],[Company Name]] &amp; " - " &amp; Table3[[#This Row],[Store Name]] &amp; " - " &amp; Table3[[#This Row],[Store Branch / Address]]</f>
        <v>PUA JOHN PAUL BANGUG - SIZZLE MANIA (BOS' CHOW) - SM CENTER TUGUEGARAO DOWNTOWN</v>
      </c>
      <c r="B1540" t="str">
        <f>Table3[[#This Row],[Client ID]] &amp; " - " &amp; Table3[[#This Row],[SO Number]]</f>
        <v>PUA JOHN PAUL BANGUG - SIZZLE MANIA (BOS' CHOW) - SM CENTER TUGUEGARAO DOWNTOWN - SO-151</v>
      </c>
      <c r="C1540" t="s">
        <v>762</v>
      </c>
      <c r="D1540" t="s">
        <v>763</v>
      </c>
      <c r="E1540" t="s">
        <v>764</v>
      </c>
      <c r="F1540" t="s">
        <v>765</v>
      </c>
      <c r="G1540" t="s">
        <v>16</v>
      </c>
      <c r="H1540" t="s">
        <v>757</v>
      </c>
      <c r="I1540" t="s">
        <v>93</v>
      </c>
      <c r="J1540">
        <v>1</v>
      </c>
      <c r="K1540">
        <v>11000</v>
      </c>
      <c r="L1540">
        <v>16500</v>
      </c>
      <c r="M1540">
        <v>16500</v>
      </c>
      <c r="N1540" t="s">
        <v>39</v>
      </c>
    </row>
    <row r="1541" spans="1:14" x14ac:dyDescent="0.25">
      <c r="A1541" t="str">
        <f>Table3[[#This Row],[Company Name]] &amp; " - " &amp; Table3[[#This Row],[Store Name]] &amp; " - " &amp; Table3[[#This Row],[Store Branch / Address]]</f>
        <v>PUA JOHN PAUL BANGUG - SIZZLE MANIA (BOS' CHOW) - SM CENTER TUGUEGARAO DOWNTOWN</v>
      </c>
      <c r="B1541" t="str">
        <f>Table3[[#This Row],[Client ID]] &amp; " - " &amp; Table3[[#This Row],[SO Number]]</f>
        <v>PUA JOHN PAUL BANGUG - SIZZLE MANIA (BOS' CHOW) - SM CENTER TUGUEGARAO DOWNTOWN - SO-151</v>
      </c>
      <c r="C1541" t="s">
        <v>762</v>
      </c>
      <c r="D1541" t="s">
        <v>763</v>
      </c>
      <c r="E1541" t="s">
        <v>764</v>
      </c>
      <c r="F1541" t="s">
        <v>765</v>
      </c>
      <c r="G1541" t="s">
        <v>16</v>
      </c>
      <c r="H1541" t="s">
        <v>757</v>
      </c>
      <c r="I1541" t="s">
        <v>116</v>
      </c>
      <c r="J1541">
        <v>1</v>
      </c>
      <c r="K1541">
        <v>2185</v>
      </c>
      <c r="L1541">
        <v>3500</v>
      </c>
      <c r="M1541">
        <v>3500</v>
      </c>
      <c r="N1541" t="s">
        <v>39</v>
      </c>
    </row>
    <row r="1542" spans="1:14" x14ac:dyDescent="0.25">
      <c r="A1542" t="str">
        <f>Table3[[#This Row],[Company Name]] &amp; " - " &amp; Table3[[#This Row],[Store Name]] &amp; " - " &amp; Table3[[#This Row],[Store Branch / Address]]</f>
        <v>PUA JOHN PAUL BANGUG - SIZZLE MANIA (BOS' CHOW) - SM CENTER TUGUEGARAO DOWNTOWN</v>
      </c>
      <c r="B1542" t="str">
        <f>Table3[[#This Row],[Client ID]] &amp; " - " &amp; Table3[[#This Row],[SO Number]]</f>
        <v>PUA JOHN PAUL BANGUG - SIZZLE MANIA (BOS' CHOW) - SM CENTER TUGUEGARAO DOWNTOWN - SO-151</v>
      </c>
      <c r="C1542" t="s">
        <v>762</v>
      </c>
      <c r="D1542" t="s">
        <v>763</v>
      </c>
      <c r="E1542" t="s">
        <v>764</v>
      </c>
      <c r="F1542" t="s">
        <v>765</v>
      </c>
      <c r="G1542" t="s">
        <v>16</v>
      </c>
      <c r="H1542" t="s">
        <v>757</v>
      </c>
      <c r="I1542" t="s">
        <v>177</v>
      </c>
      <c r="J1542">
        <v>1</v>
      </c>
      <c r="K1542">
        <v>9500</v>
      </c>
      <c r="L1542">
        <v>13500</v>
      </c>
      <c r="M1542">
        <v>13500</v>
      </c>
      <c r="N1542" t="s">
        <v>39</v>
      </c>
    </row>
    <row r="1543" spans="1:14" x14ac:dyDescent="0.25">
      <c r="A1543" t="str">
        <f>Table3[[#This Row],[Company Name]] &amp; " - " &amp; Table3[[#This Row],[Store Name]] &amp; " - " &amp; Table3[[#This Row],[Store Branch / Address]]</f>
        <v>PUA JOHN PAUL BANGUG - SIZZLE MANIA (BOS' CHOW) - SM CENTER TUGUEGARAO DOWNTOWN</v>
      </c>
      <c r="B1543" t="str">
        <f>Table3[[#This Row],[Client ID]] &amp; " - " &amp; Table3[[#This Row],[SO Number]]</f>
        <v>PUA JOHN PAUL BANGUG - SIZZLE MANIA (BOS' CHOW) - SM CENTER TUGUEGARAO DOWNTOWN - SO-151</v>
      </c>
      <c r="C1543" t="s">
        <v>762</v>
      </c>
      <c r="D1543" t="s">
        <v>763</v>
      </c>
      <c r="E1543" t="s">
        <v>764</v>
      </c>
      <c r="F1543" t="s">
        <v>765</v>
      </c>
      <c r="G1543" t="s">
        <v>16</v>
      </c>
      <c r="H1543" t="s">
        <v>757</v>
      </c>
      <c r="I1543" t="s">
        <v>209</v>
      </c>
      <c r="J1543">
        <v>1</v>
      </c>
      <c r="K1543">
        <v>23450</v>
      </c>
      <c r="L1543">
        <v>32700</v>
      </c>
      <c r="M1543">
        <v>32700</v>
      </c>
      <c r="N1543" t="s">
        <v>39</v>
      </c>
    </row>
    <row r="1544" spans="1:14" x14ac:dyDescent="0.25">
      <c r="A1544" t="str">
        <f>Table3[[#This Row],[Company Name]] &amp; " - " &amp; Table3[[#This Row],[Store Name]] &amp; " - " &amp; Table3[[#This Row],[Store Branch / Address]]</f>
        <v>PUA JOHN PAUL BANGUG - SIZZLE MANIA (BOS' CHOW) - SM CENTER TUGUEGARAO DOWNTOWN</v>
      </c>
      <c r="B1544" t="str">
        <f>Table3[[#This Row],[Client ID]] &amp; " - " &amp; Table3[[#This Row],[SO Number]]</f>
        <v>PUA JOHN PAUL BANGUG - SIZZLE MANIA (BOS' CHOW) - SM CENTER TUGUEGARAO DOWNTOWN - SO-151</v>
      </c>
      <c r="C1544" t="s">
        <v>762</v>
      </c>
      <c r="D1544" t="s">
        <v>763</v>
      </c>
      <c r="E1544" t="s">
        <v>764</v>
      </c>
      <c r="F1544" t="s">
        <v>765</v>
      </c>
      <c r="G1544" t="s">
        <v>16</v>
      </c>
      <c r="H1544" t="s">
        <v>757</v>
      </c>
      <c r="I1544" t="s">
        <v>151</v>
      </c>
      <c r="J1544">
        <v>1</v>
      </c>
      <c r="K1544">
        <v>2800</v>
      </c>
      <c r="L1544">
        <v>4000</v>
      </c>
      <c r="M1544">
        <v>4000</v>
      </c>
      <c r="N1544" t="s">
        <v>39</v>
      </c>
    </row>
    <row r="1545" spans="1:14" x14ac:dyDescent="0.25">
      <c r="A1545" t="str">
        <f>Table3[[#This Row],[Company Name]] &amp; " - " &amp; Table3[[#This Row],[Store Name]] &amp; " - " &amp; Table3[[#This Row],[Store Branch / Address]]</f>
        <v>PUA JOHN PAUL BANGUG - SIZZLE MANIA (BOS' CHOW) - SM CENTER TUGUEGARAO DOWNTOWN</v>
      </c>
      <c r="B1545" t="str">
        <f>Table3[[#This Row],[Client ID]] &amp; " - " &amp; Table3[[#This Row],[SO Number]]</f>
        <v>PUA JOHN PAUL BANGUG - SIZZLE MANIA (BOS' CHOW) - SM CENTER TUGUEGARAO DOWNTOWN - SO-151</v>
      </c>
      <c r="C1545" t="s">
        <v>762</v>
      </c>
      <c r="D1545" t="s">
        <v>763</v>
      </c>
      <c r="E1545" t="s">
        <v>764</v>
      </c>
      <c r="F1545" t="s">
        <v>765</v>
      </c>
      <c r="G1545" t="s">
        <v>16</v>
      </c>
      <c r="H1545" t="s">
        <v>757</v>
      </c>
      <c r="I1545" t="s">
        <v>210</v>
      </c>
      <c r="J1545">
        <v>1</v>
      </c>
      <c r="K1545">
        <v>530</v>
      </c>
      <c r="L1545">
        <v>700</v>
      </c>
      <c r="M1545">
        <v>700</v>
      </c>
      <c r="N1545" t="s">
        <v>39</v>
      </c>
    </row>
    <row r="1546" spans="1:14" x14ac:dyDescent="0.25">
      <c r="A1546" t="str">
        <f>Table3[[#This Row],[Company Name]] &amp; " - " &amp; Table3[[#This Row],[Store Name]] &amp; " - " &amp; Table3[[#This Row],[Store Branch / Address]]</f>
        <v>PUA JOHN PAUL BANGUG - SIZZLE MANIA (BOS' CHOW) - SM CENTER TUGUEGARAO DOWNTOWN</v>
      </c>
      <c r="B1546" t="str">
        <f>Table3[[#This Row],[Client ID]] &amp; " - " &amp; Table3[[#This Row],[SO Number]]</f>
        <v>PUA JOHN PAUL BANGUG - SIZZLE MANIA (BOS' CHOW) - SM CENTER TUGUEGARAO DOWNTOWN - SO-151</v>
      </c>
      <c r="C1546" t="s">
        <v>762</v>
      </c>
      <c r="D1546" t="s">
        <v>763</v>
      </c>
      <c r="E1546" t="s">
        <v>764</v>
      </c>
      <c r="F1546" t="s">
        <v>765</v>
      </c>
      <c r="G1546" t="s">
        <v>16</v>
      </c>
      <c r="H1546" t="s">
        <v>757</v>
      </c>
      <c r="I1546" t="s">
        <v>211</v>
      </c>
      <c r="J1546">
        <v>1</v>
      </c>
      <c r="K1546">
        <v>350</v>
      </c>
      <c r="L1546">
        <v>500</v>
      </c>
      <c r="M1546">
        <v>500</v>
      </c>
      <c r="N1546" t="s">
        <v>39</v>
      </c>
    </row>
    <row r="1547" spans="1:14" x14ac:dyDescent="0.25">
      <c r="A1547" t="str">
        <f>Table3[[#This Row],[Company Name]] &amp; " - " &amp; Table3[[#This Row],[Store Name]] &amp; " - " &amp; Table3[[#This Row],[Store Branch / Address]]</f>
        <v>PUA JOHN PAUL BANGUG - SIZZLE MANIA (BOS' CHOW) - SM CENTER TUGUEGARAO DOWNTOWN</v>
      </c>
      <c r="B1547" t="str">
        <f>Table3[[#This Row],[Client ID]] &amp; " - " &amp; Table3[[#This Row],[SO Number]]</f>
        <v>PUA JOHN PAUL BANGUG - SIZZLE MANIA (BOS' CHOW) - SM CENTER TUGUEGARAO DOWNTOWN - SO-151</v>
      </c>
      <c r="C1547" t="s">
        <v>762</v>
      </c>
      <c r="D1547" t="s">
        <v>763</v>
      </c>
      <c r="E1547" t="s">
        <v>764</v>
      </c>
      <c r="F1547" t="s">
        <v>765</v>
      </c>
      <c r="G1547" t="s">
        <v>16</v>
      </c>
      <c r="H1547" t="s">
        <v>757</v>
      </c>
      <c r="I1547" t="s">
        <v>63</v>
      </c>
      <c r="J1547">
        <v>1</v>
      </c>
      <c r="K1547">
        <v>600</v>
      </c>
      <c r="L1547">
        <v>600</v>
      </c>
      <c r="M1547">
        <v>600</v>
      </c>
      <c r="N1547" t="s">
        <v>39</v>
      </c>
    </row>
    <row r="1548" spans="1:14" x14ac:dyDescent="0.25">
      <c r="A1548" t="str">
        <f>Table3[[#This Row],[Company Name]] &amp; " - " &amp; Table3[[#This Row],[Store Name]] &amp; " - " &amp; Table3[[#This Row],[Store Branch / Address]]</f>
        <v>CHICKINGS RESTAURANT - CHICKINGS RESTAURANT - MANILA BAY</v>
      </c>
      <c r="B1548" t="str">
        <f>Table3[[#This Row],[Client ID]] &amp; " - " &amp; Table3[[#This Row],[SO Number]]</f>
        <v>CHICKINGS RESTAURANT - CHICKINGS RESTAURANT - MANILA BAY - SO-152</v>
      </c>
      <c r="C1548" t="s">
        <v>766</v>
      </c>
      <c r="D1548" t="s">
        <v>767</v>
      </c>
      <c r="E1548" t="s">
        <v>767</v>
      </c>
      <c r="F1548" t="s">
        <v>768</v>
      </c>
      <c r="G1548" t="s">
        <v>37</v>
      </c>
      <c r="H1548" t="s">
        <v>757</v>
      </c>
      <c r="I1548" t="s">
        <v>97</v>
      </c>
      <c r="J1548">
        <v>1</v>
      </c>
      <c r="K1548">
        <v>2200</v>
      </c>
      <c r="L1548">
        <v>3500</v>
      </c>
      <c r="M1548">
        <v>3500</v>
      </c>
      <c r="N1548" t="s">
        <v>39</v>
      </c>
    </row>
    <row r="1549" spans="1:14" x14ac:dyDescent="0.25">
      <c r="A1549" t="str">
        <f>Table3[[#This Row],[Company Name]] &amp; " - " &amp; Table3[[#This Row],[Store Name]] &amp; " - " &amp; Table3[[#This Row],[Store Branch / Address]]</f>
        <v>M W TOWNSTORE - M &amp; W - GENERIC</v>
      </c>
      <c r="B1549" t="str">
        <f>Table3[[#This Row],[Client ID]] &amp; " - " &amp; Table3[[#This Row],[SO Number]]</f>
        <v>M W TOWNSTORE - M &amp; W - GENERIC - SO-178</v>
      </c>
      <c r="C1549" t="s">
        <v>852</v>
      </c>
      <c r="D1549" t="s">
        <v>191</v>
      </c>
      <c r="E1549" t="s">
        <v>192</v>
      </c>
      <c r="F1549" t="s">
        <v>15</v>
      </c>
      <c r="G1549" t="s">
        <v>22</v>
      </c>
      <c r="H1549" t="s">
        <v>757</v>
      </c>
      <c r="I1549" t="s">
        <v>581</v>
      </c>
      <c r="J1549">
        <v>2</v>
      </c>
      <c r="K1549">
        <v>9500</v>
      </c>
      <c r="L1549">
        <v>13500</v>
      </c>
      <c r="M1549">
        <v>27000</v>
      </c>
      <c r="N1549" t="s">
        <v>19</v>
      </c>
    </row>
    <row r="1550" spans="1:14" x14ac:dyDescent="0.25">
      <c r="A1550" t="str">
        <f>Table3[[#This Row],[Company Name]] &amp; " - " &amp; Table3[[#This Row],[Store Name]] &amp; " - " &amp; Table3[[#This Row],[Store Branch / Address]]</f>
        <v>M W TOWNSTORE - M &amp; W - GENERIC</v>
      </c>
      <c r="B1550" t="str">
        <f>Table3[[#This Row],[Client ID]] &amp; " - " &amp; Table3[[#This Row],[SO Number]]</f>
        <v>M W TOWNSTORE - M &amp; W - GENERIC - SO-178</v>
      </c>
      <c r="C1550" t="s">
        <v>852</v>
      </c>
      <c r="D1550" t="s">
        <v>191</v>
      </c>
      <c r="E1550" t="s">
        <v>192</v>
      </c>
      <c r="F1550" t="s">
        <v>15</v>
      </c>
      <c r="G1550" t="s">
        <v>22</v>
      </c>
      <c r="H1550" t="s">
        <v>757</v>
      </c>
      <c r="I1550" t="s">
        <v>76</v>
      </c>
      <c r="J1550">
        <v>1</v>
      </c>
      <c r="K1550">
        <v>1500</v>
      </c>
      <c r="L1550">
        <v>1500</v>
      </c>
      <c r="M1550">
        <v>1500</v>
      </c>
      <c r="N1550" t="s">
        <v>19</v>
      </c>
    </row>
    <row r="1551" spans="1:14" x14ac:dyDescent="0.25">
      <c r="A1551" t="str">
        <f>Table3[[#This Row],[Company Name]] &amp; " - " &amp; Table3[[#This Row],[Store Name]] &amp; " - " &amp; Table3[[#This Row],[Store Branch / Address]]</f>
        <v>CHICKEN DELI - BLANC NUE - GENERIC</v>
      </c>
      <c r="B1551" t="str">
        <f>Table3[[#This Row],[Client ID]] &amp; " - " &amp; Table3[[#This Row],[SO Number]]</f>
        <v>CHICKEN DELI - BLANC NUE - GENERIC - SO-179</v>
      </c>
      <c r="C1551" t="s">
        <v>855</v>
      </c>
      <c r="D1551" t="s">
        <v>20</v>
      </c>
      <c r="E1551" t="s">
        <v>775</v>
      </c>
      <c r="F1551" t="s">
        <v>15</v>
      </c>
      <c r="G1551" t="s">
        <v>22</v>
      </c>
      <c r="H1551" t="s">
        <v>757</v>
      </c>
      <c r="I1551" t="s">
        <v>133</v>
      </c>
      <c r="J1551">
        <v>1</v>
      </c>
      <c r="K1551">
        <v>3675</v>
      </c>
      <c r="L1551">
        <v>10500</v>
      </c>
      <c r="M1551">
        <v>10500</v>
      </c>
      <c r="N1551" t="s">
        <v>19</v>
      </c>
    </row>
    <row r="1552" spans="1:14" x14ac:dyDescent="0.25">
      <c r="A1552" t="str">
        <f>Table3[[#This Row],[Company Name]] &amp; " - " &amp; Table3[[#This Row],[Store Name]] &amp; " - " &amp; Table3[[#This Row],[Store Branch / Address]]</f>
        <v>CHICKEN DELI - BLANC NUE - GENERIC</v>
      </c>
      <c r="B1552" t="str">
        <f>Table3[[#This Row],[Client ID]] &amp; " - " &amp; Table3[[#This Row],[SO Number]]</f>
        <v>CHICKEN DELI - BLANC NUE - GENERIC - SO-179</v>
      </c>
      <c r="C1552" t="s">
        <v>855</v>
      </c>
      <c r="D1552" t="s">
        <v>20</v>
      </c>
      <c r="E1552" t="s">
        <v>775</v>
      </c>
      <c r="F1552" t="s">
        <v>15</v>
      </c>
      <c r="G1552" t="s">
        <v>22</v>
      </c>
      <c r="H1552" t="s">
        <v>757</v>
      </c>
      <c r="I1552" t="s">
        <v>25</v>
      </c>
      <c r="J1552">
        <v>1</v>
      </c>
      <c r="K1552">
        <v>9500</v>
      </c>
      <c r="L1552">
        <v>9500</v>
      </c>
      <c r="M1552">
        <v>9500</v>
      </c>
      <c r="N1552" t="s">
        <v>19</v>
      </c>
    </row>
    <row r="1553" spans="1:14" x14ac:dyDescent="0.25">
      <c r="A1553" t="str">
        <f>Table3[[#This Row],[Company Name]] &amp; " - " &amp; Table3[[#This Row],[Store Name]] &amp; " - " &amp; Table3[[#This Row],[Store Branch / Address]]</f>
        <v>CHICKEN DELI - BLANC NUE - GENERIC</v>
      </c>
      <c r="B1553" t="str">
        <f>Table3[[#This Row],[Client ID]] &amp; " - " &amp; Table3[[#This Row],[SO Number]]</f>
        <v>CHICKEN DELI - BLANC NUE - GENERIC - SO-179</v>
      </c>
      <c r="C1553" t="s">
        <v>855</v>
      </c>
      <c r="D1553" t="s">
        <v>20</v>
      </c>
      <c r="E1553" t="s">
        <v>775</v>
      </c>
      <c r="F1553" t="s">
        <v>15</v>
      </c>
      <c r="G1553" t="s">
        <v>22</v>
      </c>
      <c r="H1553" t="s">
        <v>757</v>
      </c>
      <c r="I1553" t="s">
        <v>24</v>
      </c>
      <c r="J1553">
        <v>1</v>
      </c>
      <c r="K1553">
        <v>9500</v>
      </c>
      <c r="L1553">
        <v>9500</v>
      </c>
      <c r="M1553">
        <v>9500</v>
      </c>
      <c r="N1553" t="s">
        <v>19</v>
      </c>
    </row>
    <row r="1554" spans="1:14" x14ac:dyDescent="0.25">
      <c r="A1554" t="str">
        <f>Table3[[#This Row],[Company Name]] &amp; " - " &amp; Table3[[#This Row],[Store Name]] &amp; " - " &amp; Table3[[#This Row],[Store Branch / Address]]</f>
        <v>CHICKEN DELI - BLANC NUE - GENERIC</v>
      </c>
      <c r="B1554" t="str">
        <f>Table3[[#This Row],[Client ID]] &amp; " - " &amp; Table3[[#This Row],[SO Number]]</f>
        <v>CHICKEN DELI - BLANC NUE - GENERIC - SO-179</v>
      </c>
      <c r="C1554" t="s">
        <v>855</v>
      </c>
      <c r="D1554" t="s">
        <v>20</v>
      </c>
      <c r="E1554" t="s">
        <v>775</v>
      </c>
      <c r="F1554" t="s">
        <v>15</v>
      </c>
      <c r="G1554" t="s">
        <v>22</v>
      </c>
      <c r="H1554" t="s">
        <v>757</v>
      </c>
      <c r="I1554" t="s">
        <v>134</v>
      </c>
      <c r="J1554">
        <v>1</v>
      </c>
      <c r="K1554">
        <v>500</v>
      </c>
      <c r="L1554">
        <v>500</v>
      </c>
      <c r="M1554">
        <v>500</v>
      </c>
      <c r="N1554" t="s">
        <v>19</v>
      </c>
    </row>
    <row r="1555" spans="1:14" x14ac:dyDescent="0.25">
      <c r="A1555" t="str">
        <f>Table3[[#This Row],[Company Name]] &amp; " - " &amp; Table3[[#This Row],[Store Name]] &amp; " - " &amp; Table3[[#This Row],[Store Branch / Address]]</f>
        <v>CHICKEN DELI - FRANCESCO REST. - GENERIC</v>
      </c>
      <c r="B1555" t="str">
        <f>Table3[[#This Row],[Client ID]] &amp; " - " &amp; Table3[[#This Row],[SO Number]]</f>
        <v>CHICKEN DELI - FRANCESCO REST. - GENERIC - SO-180</v>
      </c>
      <c r="C1555" t="s">
        <v>859</v>
      </c>
      <c r="D1555" t="s">
        <v>20</v>
      </c>
      <c r="E1555" t="s">
        <v>860</v>
      </c>
      <c r="F1555" t="s">
        <v>15</v>
      </c>
      <c r="G1555" t="s">
        <v>22</v>
      </c>
      <c r="H1555" t="s">
        <v>861</v>
      </c>
      <c r="I1555" t="s">
        <v>91</v>
      </c>
      <c r="J1555">
        <v>1</v>
      </c>
      <c r="K1555">
        <v>3675</v>
      </c>
      <c r="L1555">
        <v>10500</v>
      </c>
      <c r="M1555">
        <v>10500</v>
      </c>
      <c r="N1555" t="s">
        <v>19</v>
      </c>
    </row>
    <row r="1556" spans="1:14" x14ac:dyDescent="0.25">
      <c r="A1556" t="str">
        <f>Table3[[#This Row],[Company Name]] &amp; " - " &amp; Table3[[#This Row],[Store Name]] &amp; " - " &amp; Table3[[#This Row],[Store Branch / Address]]</f>
        <v>CHICKEN DELI - FRANCESCO REST. - GENERIC</v>
      </c>
      <c r="B1556" t="str">
        <f>Table3[[#This Row],[Client ID]] &amp; " - " &amp; Table3[[#This Row],[SO Number]]</f>
        <v>CHICKEN DELI - FRANCESCO REST. - GENERIC - SO-180</v>
      </c>
      <c r="C1556" t="s">
        <v>859</v>
      </c>
      <c r="D1556" t="s">
        <v>20</v>
      </c>
      <c r="E1556" t="s">
        <v>860</v>
      </c>
      <c r="F1556" t="s">
        <v>15</v>
      </c>
      <c r="G1556" t="s">
        <v>22</v>
      </c>
      <c r="H1556" t="s">
        <v>861</v>
      </c>
      <c r="I1556" t="s">
        <v>25</v>
      </c>
      <c r="J1556">
        <v>1</v>
      </c>
      <c r="K1556">
        <v>12350</v>
      </c>
      <c r="L1556">
        <v>12350</v>
      </c>
      <c r="M1556">
        <v>12350</v>
      </c>
      <c r="N1556" t="s">
        <v>19</v>
      </c>
    </row>
    <row r="1557" spans="1:14" x14ac:dyDescent="0.25">
      <c r="A1557" t="str">
        <f>Table3[[#This Row],[Company Name]] &amp; " - " &amp; Table3[[#This Row],[Store Name]] &amp; " - " &amp; Table3[[#This Row],[Store Branch / Address]]</f>
        <v>CHICKEN DELI - FRANCESCO REST. - GENERIC</v>
      </c>
      <c r="B1557" t="str">
        <f>Table3[[#This Row],[Client ID]] &amp; " - " &amp; Table3[[#This Row],[SO Number]]</f>
        <v>CHICKEN DELI - FRANCESCO REST. - GENERIC - SO-180</v>
      </c>
      <c r="C1557" t="s">
        <v>859</v>
      </c>
      <c r="D1557" t="s">
        <v>20</v>
      </c>
      <c r="E1557" t="s">
        <v>860</v>
      </c>
      <c r="F1557" t="s">
        <v>15</v>
      </c>
      <c r="G1557" t="s">
        <v>22</v>
      </c>
      <c r="H1557" t="s">
        <v>861</v>
      </c>
      <c r="I1557" t="s">
        <v>24</v>
      </c>
      <c r="J1557">
        <v>1</v>
      </c>
      <c r="K1557">
        <v>12350</v>
      </c>
      <c r="L1557">
        <v>12350</v>
      </c>
      <c r="M1557">
        <v>12350</v>
      </c>
      <c r="N1557" t="s">
        <v>19</v>
      </c>
    </row>
    <row r="1558" spans="1:14" x14ac:dyDescent="0.25">
      <c r="A1558" t="str">
        <f>Table3[[#This Row],[Company Name]] &amp; " - " &amp; Table3[[#This Row],[Store Name]] &amp; " - " &amp; Table3[[#This Row],[Store Branch / Address]]</f>
        <v>CHICKEN DELI - FRANCESCO REST. - GENERIC</v>
      </c>
      <c r="B1558" t="str">
        <f>Table3[[#This Row],[Client ID]] &amp; " - " &amp; Table3[[#This Row],[SO Number]]</f>
        <v>CHICKEN DELI - FRANCESCO REST. - GENERIC - SO-180</v>
      </c>
      <c r="C1558" t="s">
        <v>859</v>
      </c>
      <c r="D1558" t="s">
        <v>20</v>
      </c>
      <c r="E1558" t="s">
        <v>860</v>
      </c>
      <c r="F1558" t="s">
        <v>15</v>
      </c>
      <c r="G1558" t="s">
        <v>22</v>
      </c>
      <c r="H1558" t="s">
        <v>861</v>
      </c>
      <c r="I1558" t="s">
        <v>134</v>
      </c>
      <c r="J1558">
        <v>1</v>
      </c>
      <c r="K1558">
        <v>500</v>
      </c>
      <c r="L1558">
        <v>500</v>
      </c>
      <c r="M1558">
        <v>500</v>
      </c>
      <c r="N1558" t="s">
        <v>19</v>
      </c>
    </row>
    <row r="1559" spans="1:14" x14ac:dyDescent="0.25">
      <c r="A1559" t="str">
        <f>Table3[[#This Row],[Company Name]] &amp; " - " &amp; Table3[[#This Row],[Store Name]] &amp; " - " &amp; Table3[[#This Row],[Store Branch / Address]]</f>
        <v>CHICKEN DELI - FRANCESCO REST. - GENERIC</v>
      </c>
      <c r="B1559" t="str">
        <f>Table3[[#This Row],[Client ID]] &amp; " - " &amp; Table3[[#This Row],[SO Number]]</f>
        <v>CHICKEN DELI - FRANCESCO REST. - GENERIC - SO-180</v>
      </c>
      <c r="C1559" t="s">
        <v>859</v>
      </c>
      <c r="D1559" t="s">
        <v>20</v>
      </c>
      <c r="E1559" t="s">
        <v>860</v>
      </c>
      <c r="F1559" t="s">
        <v>15</v>
      </c>
      <c r="G1559" t="s">
        <v>22</v>
      </c>
      <c r="H1559" t="s">
        <v>861</v>
      </c>
      <c r="I1559" t="s">
        <v>93</v>
      </c>
      <c r="J1559">
        <v>1</v>
      </c>
      <c r="K1559">
        <v>11000</v>
      </c>
      <c r="L1559">
        <v>16000</v>
      </c>
      <c r="M1559">
        <v>16000</v>
      </c>
      <c r="N1559" t="s">
        <v>19</v>
      </c>
    </row>
    <row r="1560" spans="1:14" x14ac:dyDescent="0.25">
      <c r="A1560" t="str">
        <f>Table3[[#This Row],[Company Name]] &amp; " - " &amp; Table3[[#This Row],[Store Name]] &amp; " - " &amp; Table3[[#This Row],[Store Branch / Address]]</f>
        <v>CHICKEN DELI - FRANCESCO REST. - GENERIC</v>
      </c>
      <c r="B1560" t="str">
        <f>Table3[[#This Row],[Client ID]] &amp; " - " &amp; Table3[[#This Row],[SO Number]]</f>
        <v>CHICKEN DELI - FRANCESCO REST. - GENERIC - SO-180</v>
      </c>
      <c r="C1560" t="s">
        <v>859</v>
      </c>
      <c r="D1560" t="s">
        <v>20</v>
      </c>
      <c r="E1560" t="s">
        <v>860</v>
      </c>
      <c r="F1560" t="s">
        <v>15</v>
      </c>
      <c r="G1560" t="s">
        <v>22</v>
      </c>
      <c r="H1560" t="s">
        <v>861</v>
      </c>
      <c r="I1560" t="s">
        <v>98</v>
      </c>
      <c r="J1560">
        <v>1</v>
      </c>
      <c r="K1560">
        <v>935</v>
      </c>
      <c r="L1560">
        <v>1300</v>
      </c>
      <c r="M1560">
        <v>1300</v>
      </c>
      <c r="N1560" t="s">
        <v>19</v>
      </c>
    </row>
    <row r="1561" spans="1:14" x14ac:dyDescent="0.25">
      <c r="A1561" t="str">
        <f>Table3[[#This Row],[Company Name]] &amp; " - " &amp; Table3[[#This Row],[Store Name]] &amp; " - " &amp; Table3[[#This Row],[Store Branch / Address]]</f>
        <v>CHICKEN DELI - FRANCESCO REST. - GENERIC</v>
      </c>
      <c r="B1561" t="str">
        <f>Table3[[#This Row],[Client ID]] &amp; " - " &amp; Table3[[#This Row],[SO Number]]</f>
        <v>CHICKEN DELI - FRANCESCO REST. - GENERIC - SO-180</v>
      </c>
      <c r="C1561" t="s">
        <v>859</v>
      </c>
      <c r="D1561" t="s">
        <v>20</v>
      </c>
      <c r="E1561" t="s">
        <v>860</v>
      </c>
      <c r="F1561" t="s">
        <v>15</v>
      </c>
      <c r="G1561" t="s">
        <v>22</v>
      </c>
      <c r="H1561" t="s">
        <v>861</v>
      </c>
      <c r="I1561" t="s">
        <v>862</v>
      </c>
      <c r="J1561">
        <v>1</v>
      </c>
      <c r="K1561">
        <v>22000</v>
      </c>
      <c r="L1561">
        <v>31500</v>
      </c>
      <c r="M1561">
        <v>31500</v>
      </c>
      <c r="N1561" t="s">
        <v>19</v>
      </c>
    </row>
    <row r="1562" spans="1:14" x14ac:dyDescent="0.25">
      <c r="A1562" t="str">
        <f>Table3[[#This Row],[Company Name]] &amp; " - " &amp; Table3[[#This Row],[Store Name]] &amp; " - " &amp; Table3[[#This Row],[Store Branch / Address]]</f>
        <v>CHICKEN DELI - FRANCESCO REST. - GENERIC</v>
      </c>
      <c r="B1562" t="str">
        <f>Table3[[#This Row],[Client ID]] &amp; " - " &amp; Table3[[#This Row],[SO Number]]</f>
        <v>CHICKEN DELI - FRANCESCO REST. - GENERIC - SO-180</v>
      </c>
      <c r="C1562" t="s">
        <v>859</v>
      </c>
      <c r="D1562" t="s">
        <v>20</v>
      </c>
      <c r="E1562" t="s">
        <v>860</v>
      </c>
      <c r="F1562" t="s">
        <v>15</v>
      </c>
      <c r="G1562" t="s">
        <v>22</v>
      </c>
      <c r="H1562" t="s">
        <v>861</v>
      </c>
      <c r="I1562" t="s">
        <v>99</v>
      </c>
      <c r="J1562">
        <v>1</v>
      </c>
      <c r="K1562">
        <v>2800</v>
      </c>
      <c r="L1562">
        <v>4000</v>
      </c>
      <c r="M1562">
        <v>4000</v>
      </c>
      <c r="N1562" t="s">
        <v>19</v>
      </c>
    </row>
    <row r="1563" spans="1:14" x14ac:dyDescent="0.25">
      <c r="A1563" t="str">
        <f>Table3[[#This Row],[Company Name]] &amp; " - " &amp; Table3[[#This Row],[Store Name]] &amp; " - " &amp; Table3[[#This Row],[Store Branch / Address]]</f>
        <v>CHICKEN DELI - FRANCESCO REST. - GENERIC</v>
      </c>
      <c r="B1563" t="str">
        <f>Table3[[#This Row],[Client ID]] &amp; " - " &amp; Table3[[#This Row],[SO Number]]</f>
        <v>CHICKEN DELI - FRANCESCO REST. - GENERIC - SO-180</v>
      </c>
      <c r="C1563" t="s">
        <v>859</v>
      </c>
      <c r="D1563" t="s">
        <v>20</v>
      </c>
      <c r="E1563" t="s">
        <v>860</v>
      </c>
      <c r="F1563" t="s">
        <v>15</v>
      </c>
      <c r="G1563" t="s">
        <v>22</v>
      </c>
      <c r="H1563" t="s">
        <v>861</v>
      </c>
      <c r="I1563" t="s">
        <v>76</v>
      </c>
      <c r="J1563">
        <v>1</v>
      </c>
      <c r="K1563">
        <v>500</v>
      </c>
      <c r="L1563">
        <v>500</v>
      </c>
      <c r="M1563">
        <v>500</v>
      </c>
      <c r="N1563" t="s">
        <v>19</v>
      </c>
    </row>
    <row r="1564" spans="1:14" x14ac:dyDescent="0.25">
      <c r="A1564" t="str">
        <f>Table3[[#This Row],[Company Name]] &amp; " - " &amp; Table3[[#This Row],[Store Name]] &amp; " - " &amp; Table3[[#This Row],[Store Branch / Address]]</f>
        <v>CHICKEN DELI - GONGCHA - GENERIC</v>
      </c>
      <c r="B1564" t="str">
        <f>Table3[[#This Row],[Client ID]] &amp; " - " &amp; Table3[[#This Row],[SO Number]]</f>
        <v>CHICKEN DELI - GONGCHA - GENERIC - SO-N/A</v>
      </c>
      <c r="C1564" t="s">
        <v>780</v>
      </c>
      <c r="D1564" t="s">
        <v>20</v>
      </c>
      <c r="E1564" t="s">
        <v>31</v>
      </c>
      <c r="F1564" t="s">
        <v>15</v>
      </c>
      <c r="G1564" t="s">
        <v>22</v>
      </c>
      <c r="H1564" t="s">
        <v>871</v>
      </c>
      <c r="I1564" t="s">
        <v>33</v>
      </c>
      <c r="J1564">
        <v>4</v>
      </c>
      <c r="K1564">
        <v>6500</v>
      </c>
      <c r="L1564">
        <v>6500</v>
      </c>
      <c r="M1564">
        <v>26000</v>
      </c>
      <c r="N1564" t="s">
        <v>19</v>
      </c>
    </row>
    <row r="1565" spans="1:14" x14ac:dyDescent="0.25">
      <c r="A1565" t="str">
        <f>Table3[[#This Row],[Company Name]] &amp; " - " &amp; Table3[[#This Row],[Store Name]] &amp; " - " &amp; Table3[[#This Row],[Store Branch / Address]]</f>
        <v>CHICKEN DELI - GONGCHA - GENERIC</v>
      </c>
      <c r="B1565" t="str">
        <f>Table3[[#This Row],[Client ID]] &amp; " - " &amp; Table3[[#This Row],[SO Number]]</f>
        <v>CHICKEN DELI - GONGCHA - GENERIC - SO-182</v>
      </c>
      <c r="C1565" t="s">
        <v>872</v>
      </c>
      <c r="D1565" t="s">
        <v>20</v>
      </c>
      <c r="E1565" t="s">
        <v>31</v>
      </c>
      <c r="F1565" t="s">
        <v>15</v>
      </c>
      <c r="G1565" t="s">
        <v>22</v>
      </c>
      <c r="H1565" t="s">
        <v>871</v>
      </c>
      <c r="I1565" t="s">
        <v>33</v>
      </c>
      <c r="J1565">
        <v>2</v>
      </c>
      <c r="K1565">
        <v>6500</v>
      </c>
      <c r="L1565">
        <v>6500</v>
      </c>
      <c r="M1565">
        <v>13000</v>
      </c>
      <c r="N1565" t="s">
        <v>19</v>
      </c>
    </row>
    <row r="1566" spans="1:14" x14ac:dyDescent="0.25">
      <c r="A1566" t="str">
        <f>Table3[[#This Row],[Company Name]] &amp; " - " &amp; Table3[[#This Row],[Store Name]] &amp; " - " &amp; Table3[[#This Row],[Store Branch / Address]]</f>
        <v>CHICKEN DELI - GONGCHA - GENERIC</v>
      </c>
      <c r="B1566" t="str">
        <f>Table3[[#This Row],[Client ID]] &amp; " - " &amp; Table3[[#This Row],[SO Number]]</f>
        <v>CHICKEN DELI - GONGCHA - GENERIC - SO-183</v>
      </c>
      <c r="C1566" t="s">
        <v>875</v>
      </c>
      <c r="D1566" t="s">
        <v>20</v>
      </c>
      <c r="E1566" t="s">
        <v>31</v>
      </c>
      <c r="F1566" t="s">
        <v>15</v>
      </c>
      <c r="G1566" t="s">
        <v>22</v>
      </c>
      <c r="H1566" t="s">
        <v>871</v>
      </c>
      <c r="I1566" t="s">
        <v>33</v>
      </c>
      <c r="J1566">
        <v>1</v>
      </c>
      <c r="K1566">
        <v>6500</v>
      </c>
      <c r="L1566">
        <v>6500</v>
      </c>
      <c r="M1566">
        <v>6500</v>
      </c>
      <c r="N1566" t="s">
        <v>19</v>
      </c>
    </row>
    <row r="1567" spans="1:14" x14ac:dyDescent="0.25">
      <c r="A1567" t="str">
        <f>Table3[[#This Row],[Company Name]] &amp; " - " &amp; Table3[[#This Row],[Store Name]] &amp; " - " &amp; Table3[[#This Row],[Store Branch / Address]]</f>
        <v>CHICKEN DELI - GONGCHA - GENERIC</v>
      </c>
      <c r="B1567" t="str">
        <f>Table3[[#This Row],[Client ID]] &amp; " - " &amp; Table3[[#This Row],[SO Number]]</f>
        <v>CHICKEN DELI - GONGCHA - GENERIC - SO-184</v>
      </c>
      <c r="C1567" t="s">
        <v>877</v>
      </c>
      <c r="D1567" t="s">
        <v>20</v>
      </c>
      <c r="E1567" t="s">
        <v>31</v>
      </c>
      <c r="F1567" t="s">
        <v>15</v>
      </c>
      <c r="G1567" t="s">
        <v>22</v>
      </c>
      <c r="H1567" t="s">
        <v>871</v>
      </c>
      <c r="I1567" t="s">
        <v>33</v>
      </c>
      <c r="J1567">
        <v>2</v>
      </c>
      <c r="K1567">
        <v>6500</v>
      </c>
      <c r="L1567">
        <v>6500</v>
      </c>
      <c r="M1567">
        <v>13000</v>
      </c>
      <c r="N1567" t="s">
        <v>19</v>
      </c>
    </row>
    <row r="1568" spans="1:14" x14ac:dyDescent="0.25">
      <c r="A1568" t="str">
        <f>Table3[[#This Row],[Company Name]] &amp; " - " &amp; Table3[[#This Row],[Store Name]] &amp; " - " &amp; Table3[[#This Row],[Store Branch / Address]]</f>
        <v>CHICKEN DELI - GONGCHA - GENERIC</v>
      </c>
      <c r="B1568" t="str">
        <f>Table3[[#This Row],[Client ID]] &amp; " - " &amp; Table3[[#This Row],[SO Number]]</f>
        <v>CHICKEN DELI - GONGCHA - GENERIC - SO-185</v>
      </c>
      <c r="C1568" t="s">
        <v>878</v>
      </c>
      <c r="D1568" t="s">
        <v>20</v>
      </c>
      <c r="E1568" t="s">
        <v>31</v>
      </c>
      <c r="F1568" t="s">
        <v>15</v>
      </c>
      <c r="G1568" t="s">
        <v>22</v>
      </c>
      <c r="H1568" t="s">
        <v>871</v>
      </c>
      <c r="I1568" t="s">
        <v>33</v>
      </c>
      <c r="J1568">
        <v>4</v>
      </c>
      <c r="K1568">
        <v>6500</v>
      </c>
      <c r="L1568">
        <v>6500</v>
      </c>
      <c r="M1568">
        <v>26000</v>
      </c>
      <c r="N1568" t="s">
        <v>19</v>
      </c>
    </row>
    <row r="1569" spans="1:14" x14ac:dyDescent="0.25">
      <c r="A1569" t="str">
        <f>Table3[[#This Row],[Company Name]] &amp; " - " &amp; Table3[[#This Row],[Store Name]] &amp; " - " &amp; Table3[[#This Row],[Store Branch / Address]]</f>
        <v>CHICKEN DELI - GONGCHA - GENERIC</v>
      </c>
      <c r="B1569" t="str">
        <f>Table3[[#This Row],[Client ID]] &amp; " - " &amp; Table3[[#This Row],[SO Number]]</f>
        <v>CHICKEN DELI - GONGCHA - GENERIC - SO-N/A</v>
      </c>
      <c r="C1569" t="s">
        <v>780</v>
      </c>
      <c r="D1569" t="s">
        <v>20</v>
      </c>
      <c r="E1569" t="s">
        <v>31</v>
      </c>
      <c r="F1569" t="s">
        <v>15</v>
      </c>
      <c r="G1569" t="s">
        <v>22</v>
      </c>
      <c r="H1569" t="s">
        <v>871</v>
      </c>
      <c r="I1569" t="s">
        <v>33</v>
      </c>
      <c r="J1569">
        <v>2</v>
      </c>
      <c r="K1569">
        <v>6500</v>
      </c>
      <c r="L1569">
        <v>6500</v>
      </c>
      <c r="M1569">
        <v>13000</v>
      </c>
      <c r="N1569" t="s">
        <v>19</v>
      </c>
    </row>
    <row r="1570" spans="1:14" x14ac:dyDescent="0.25">
      <c r="A1570" t="str">
        <f>Table3[[#This Row],[Company Name]] &amp; " - " &amp; Table3[[#This Row],[Store Name]] &amp; " - " &amp; Table3[[#This Row],[Store Branch / Address]]</f>
        <v>CHICKEN DELI - GONGCHA - GENERIC</v>
      </c>
      <c r="B1570" t="str">
        <f>Table3[[#This Row],[Client ID]] &amp; " - " &amp; Table3[[#This Row],[SO Number]]</f>
        <v>CHICKEN DELI - GONGCHA - GENERIC - SO-187</v>
      </c>
      <c r="C1570" t="s">
        <v>885</v>
      </c>
      <c r="D1570" t="s">
        <v>20</v>
      </c>
      <c r="E1570" t="s">
        <v>31</v>
      </c>
      <c r="F1570" t="s">
        <v>15</v>
      </c>
      <c r="G1570" t="s">
        <v>22</v>
      </c>
      <c r="H1570" t="s">
        <v>871</v>
      </c>
      <c r="I1570" t="s">
        <v>33</v>
      </c>
      <c r="J1570">
        <v>4</v>
      </c>
      <c r="K1570">
        <v>6500</v>
      </c>
      <c r="L1570">
        <v>6500</v>
      </c>
      <c r="M1570">
        <v>26000</v>
      </c>
      <c r="N1570" t="s">
        <v>19</v>
      </c>
    </row>
    <row r="1571" spans="1:14" x14ac:dyDescent="0.25">
      <c r="A1571" t="str">
        <f>Table3[[#This Row],[Company Name]] &amp; " - " &amp; Table3[[#This Row],[Store Name]] &amp; " - " &amp; Table3[[#This Row],[Store Branch / Address]]</f>
        <v>PENACERRADA CHRISTIAN DELA CRUZ - ISDANG PULO - GENERIC</v>
      </c>
      <c r="B1571" t="str">
        <f>Table3[[#This Row],[Client ID]] &amp; " - " &amp; Table3[[#This Row],[SO Number]]</f>
        <v>PENACERRADA CHRISTIAN DELA CRUZ - ISDANG PULO - GENERIC - SO-153</v>
      </c>
      <c r="C1571" t="s">
        <v>771</v>
      </c>
      <c r="D1571" t="s">
        <v>772</v>
      </c>
      <c r="E1571" t="s">
        <v>773</v>
      </c>
      <c r="F1571" t="s">
        <v>15</v>
      </c>
      <c r="G1571" t="s">
        <v>37</v>
      </c>
      <c r="H1571" t="s">
        <v>774</v>
      </c>
      <c r="I1571" t="s">
        <v>33</v>
      </c>
      <c r="J1571">
        <v>1</v>
      </c>
      <c r="K1571">
        <v>15000</v>
      </c>
      <c r="L1571">
        <v>15000</v>
      </c>
      <c r="M1571">
        <v>15000</v>
      </c>
      <c r="N1571" t="s">
        <v>19</v>
      </c>
    </row>
    <row r="1572" spans="1:14" x14ac:dyDescent="0.25">
      <c r="A1572" t="str">
        <f>Table3[[#This Row],[Company Name]] &amp; " - " &amp; Table3[[#This Row],[Store Name]] &amp; " - " &amp; Table3[[#This Row],[Store Branch / Address]]</f>
        <v>INSPIRA PRIME INTERNATIONAL CORPORATION - AQUAFLASK - GENERIC</v>
      </c>
      <c r="B1572" t="str">
        <f>Table3[[#This Row],[Client ID]] &amp; " - " &amp; Table3[[#This Row],[SO Number]]</f>
        <v>INSPIRA PRIME INTERNATIONAL CORPORATION - AQUAFLASK - GENERIC - SO-071</v>
      </c>
      <c r="C1572" t="s">
        <v>439</v>
      </c>
      <c r="D1572" t="s">
        <v>1117</v>
      </c>
      <c r="E1572" t="s">
        <v>1118</v>
      </c>
      <c r="F1572" t="s">
        <v>15</v>
      </c>
      <c r="G1572" t="s">
        <v>1024</v>
      </c>
      <c r="H1572" t="s">
        <v>774</v>
      </c>
      <c r="I1572" t="s">
        <v>1153</v>
      </c>
      <c r="J1572">
        <v>1</v>
      </c>
      <c r="K1572">
        <v>3675</v>
      </c>
      <c r="L1572">
        <v>10500</v>
      </c>
      <c r="M1572">
        <v>10500</v>
      </c>
      <c r="N1572" t="s">
        <v>19</v>
      </c>
    </row>
    <row r="1573" spans="1:14" x14ac:dyDescent="0.25">
      <c r="A1573" t="str">
        <f>Table3[[#This Row],[Company Name]] &amp; " - " &amp; Table3[[#This Row],[Store Name]] &amp; " - " &amp; Table3[[#This Row],[Store Branch / Address]]</f>
        <v>INSPIRA PRIME INTERNATIONAL CORPORATION - AQUAFLASK - GENERIC</v>
      </c>
      <c r="B1573" t="str">
        <f>Table3[[#This Row],[Client ID]] &amp; " - " &amp; Table3[[#This Row],[SO Number]]</f>
        <v>INSPIRA PRIME INTERNATIONAL CORPORATION - AQUAFLASK - GENERIC - SO-071</v>
      </c>
      <c r="C1573" t="s">
        <v>439</v>
      </c>
      <c r="D1573" t="s">
        <v>1117</v>
      </c>
      <c r="E1573" t="s">
        <v>1118</v>
      </c>
      <c r="F1573" t="s">
        <v>15</v>
      </c>
      <c r="G1573" t="s">
        <v>1024</v>
      </c>
      <c r="H1573" t="s">
        <v>774</v>
      </c>
      <c r="I1573" t="s">
        <v>1011</v>
      </c>
      <c r="J1573">
        <v>1</v>
      </c>
      <c r="K1573">
        <v>2450</v>
      </c>
      <c r="L1573">
        <v>7000</v>
      </c>
      <c r="M1573">
        <v>7000</v>
      </c>
      <c r="N1573" t="s">
        <v>19</v>
      </c>
    </row>
    <row r="1574" spans="1:14" x14ac:dyDescent="0.25">
      <c r="A1574" t="str">
        <f>Table3[[#This Row],[Company Name]] &amp; " - " &amp; Table3[[#This Row],[Store Name]] &amp; " - " &amp; Table3[[#This Row],[Store Branch / Address]]</f>
        <v>INSPIRA PRIME INTERNATIONAL CORPORATION - AQUAFLASK - GENERIC</v>
      </c>
      <c r="B1574" t="str">
        <f>Table3[[#This Row],[Client ID]] &amp; " - " &amp; Table3[[#This Row],[SO Number]]</f>
        <v>INSPIRA PRIME INTERNATIONAL CORPORATION - AQUAFLASK - GENERIC - SO-071</v>
      </c>
      <c r="C1574" t="s">
        <v>439</v>
      </c>
      <c r="D1574" t="s">
        <v>1117</v>
      </c>
      <c r="E1574" t="s">
        <v>1118</v>
      </c>
      <c r="F1574" t="s">
        <v>15</v>
      </c>
      <c r="G1574" t="s">
        <v>1024</v>
      </c>
      <c r="H1574" t="s">
        <v>774</v>
      </c>
      <c r="I1574" t="s">
        <v>24</v>
      </c>
      <c r="J1574">
        <v>1</v>
      </c>
      <c r="K1574">
        <v>2450</v>
      </c>
      <c r="L1574">
        <v>7000</v>
      </c>
      <c r="M1574">
        <v>7000</v>
      </c>
      <c r="N1574" t="s">
        <v>19</v>
      </c>
    </row>
    <row r="1575" spans="1:14" x14ac:dyDescent="0.25">
      <c r="A1575" t="str">
        <f>Table3[[#This Row],[Company Name]] &amp; " - " &amp; Table3[[#This Row],[Store Name]] &amp; " - " &amp; Table3[[#This Row],[Store Branch / Address]]</f>
        <v>INSPIRA PRIME INTERNATIONAL CORPORATION - AQUAFLASK - GENERIC</v>
      </c>
      <c r="B1575" t="str">
        <f>Table3[[#This Row],[Client ID]] &amp; " - " &amp; Table3[[#This Row],[SO Number]]</f>
        <v>INSPIRA PRIME INTERNATIONAL CORPORATION - AQUAFLASK - GENERIC - SO-071</v>
      </c>
      <c r="C1575" t="s">
        <v>439</v>
      </c>
      <c r="D1575" t="s">
        <v>1117</v>
      </c>
      <c r="E1575" t="s">
        <v>1118</v>
      </c>
      <c r="F1575" t="s">
        <v>15</v>
      </c>
      <c r="G1575" t="s">
        <v>1024</v>
      </c>
      <c r="H1575" t="s">
        <v>774</v>
      </c>
      <c r="I1575" t="s">
        <v>26</v>
      </c>
      <c r="J1575">
        <v>1</v>
      </c>
      <c r="K1575">
        <v>500</v>
      </c>
      <c r="L1575">
        <v>500</v>
      </c>
      <c r="M1575">
        <v>500</v>
      </c>
      <c r="N1575" t="s">
        <v>19</v>
      </c>
    </row>
    <row r="1576" spans="1:14" x14ac:dyDescent="0.25">
      <c r="A1576" t="str">
        <f>Table3[[#This Row],[Company Name]] &amp; " - " &amp; Table3[[#This Row],[Store Name]] &amp; " - " &amp; Table3[[#This Row],[Store Branch / Address]]</f>
        <v>INSPIRA PRIME INTERNATIONAL CORPORATION - AQUAFLASK - GENERIC</v>
      </c>
      <c r="B1576" t="str">
        <f>Table3[[#This Row],[Client ID]] &amp; " - " &amp; Table3[[#This Row],[SO Number]]</f>
        <v>INSPIRA PRIME INTERNATIONAL CORPORATION - AQUAFLASK - GENERIC - SO-071</v>
      </c>
      <c r="C1576" t="s">
        <v>439</v>
      </c>
      <c r="D1576" t="s">
        <v>1117</v>
      </c>
      <c r="E1576" t="s">
        <v>1118</v>
      </c>
      <c r="F1576" t="s">
        <v>15</v>
      </c>
      <c r="G1576" t="s">
        <v>1024</v>
      </c>
      <c r="H1576" t="s">
        <v>774</v>
      </c>
      <c r="I1576" t="s">
        <v>1119</v>
      </c>
      <c r="J1576">
        <v>1</v>
      </c>
      <c r="K1576">
        <v>20800</v>
      </c>
      <c r="L1576">
        <v>22500</v>
      </c>
      <c r="M1576">
        <v>22500</v>
      </c>
      <c r="N1576" t="s">
        <v>19</v>
      </c>
    </row>
    <row r="1577" spans="1:14" x14ac:dyDescent="0.25">
      <c r="A1577" t="str">
        <f>Table3[[#This Row],[Company Name]] &amp; " - " &amp; Table3[[#This Row],[Store Name]] &amp; " - " &amp; Table3[[#This Row],[Store Branch / Address]]</f>
        <v>INSPIRA PRIME INTERNATIONAL CORPORATION - AQUAFLASK - GENERIC</v>
      </c>
      <c r="B1577" t="str">
        <f>Table3[[#This Row],[Client ID]] &amp; " - " &amp; Table3[[#This Row],[SO Number]]</f>
        <v>INSPIRA PRIME INTERNATIONAL CORPORATION - AQUAFLASK - GENERIC - SO-071</v>
      </c>
      <c r="C1577" t="s">
        <v>439</v>
      </c>
      <c r="D1577" t="s">
        <v>1117</v>
      </c>
      <c r="E1577" t="s">
        <v>1118</v>
      </c>
      <c r="F1577" t="s">
        <v>15</v>
      </c>
      <c r="G1577" t="s">
        <v>1024</v>
      </c>
      <c r="H1577" t="s">
        <v>774</v>
      </c>
      <c r="I1577" t="s">
        <v>1120</v>
      </c>
      <c r="J1577">
        <v>1</v>
      </c>
      <c r="K1577">
        <v>2334</v>
      </c>
      <c r="L1577">
        <v>3200</v>
      </c>
      <c r="M1577">
        <v>3200</v>
      </c>
      <c r="N1577" t="s">
        <v>19</v>
      </c>
    </row>
    <row r="1578" spans="1:14" x14ac:dyDescent="0.25">
      <c r="A1578" t="str">
        <f>Table3[[#This Row],[Company Name]] &amp; " - " &amp; Table3[[#This Row],[Store Name]] &amp; " - " &amp; Table3[[#This Row],[Store Branch / Address]]</f>
        <v>INSPIRA PRIME INTERNATIONAL CORPORATION - AQUAFLASK - GENERIC</v>
      </c>
      <c r="B1578" t="str">
        <f>Table3[[#This Row],[Client ID]] &amp; " - " &amp; Table3[[#This Row],[SO Number]]</f>
        <v>INSPIRA PRIME INTERNATIONAL CORPORATION - AQUAFLASK - GENERIC - SO-071</v>
      </c>
      <c r="C1578" t="s">
        <v>439</v>
      </c>
      <c r="D1578" t="s">
        <v>1117</v>
      </c>
      <c r="E1578" t="s">
        <v>1118</v>
      </c>
      <c r="F1578" t="s">
        <v>15</v>
      </c>
      <c r="G1578" t="s">
        <v>1024</v>
      </c>
      <c r="H1578" t="s">
        <v>774</v>
      </c>
      <c r="I1578" t="s">
        <v>151</v>
      </c>
      <c r="J1578">
        <v>1</v>
      </c>
      <c r="K1578">
        <v>2800</v>
      </c>
      <c r="L1578">
        <v>3200</v>
      </c>
      <c r="M1578">
        <v>3200</v>
      </c>
      <c r="N1578" t="s">
        <v>19</v>
      </c>
    </row>
    <row r="1579" spans="1:14" x14ac:dyDescent="0.25">
      <c r="A1579" t="str">
        <f>Table3[[#This Row],[Company Name]] &amp; " - " &amp; Table3[[#This Row],[Store Name]] &amp; " - " &amp; Table3[[#This Row],[Store Branch / Address]]</f>
        <v>INSPIRA PRIME INTERNATIONAL CORPORATION - AQUAFLASK - GENERIC</v>
      </c>
      <c r="B1579" t="str">
        <f>Table3[[#This Row],[Client ID]] &amp; " - " &amp; Table3[[#This Row],[SO Number]]</f>
        <v>INSPIRA PRIME INTERNATIONAL CORPORATION - AQUAFLASK - GENERIC - SO-071</v>
      </c>
      <c r="C1579" t="s">
        <v>439</v>
      </c>
      <c r="D1579" t="s">
        <v>1117</v>
      </c>
      <c r="E1579" t="s">
        <v>1118</v>
      </c>
      <c r="F1579" t="s">
        <v>15</v>
      </c>
      <c r="G1579" t="s">
        <v>1024</v>
      </c>
      <c r="H1579" t="s">
        <v>774</v>
      </c>
      <c r="I1579" t="s">
        <v>189</v>
      </c>
      <c r="J1579">
        <v>1</v>
      </c>
      <c r="K1579">
        <v>500</v>
      </c>
      <c r="L1579">
        <v>600</v>
      </c>
      <c r="M1579">
        <v>600</v>
      </c>
      <c r="N1579" t="s">
        <v>19</v>
      </c>
    </row>
    <row r="1580" spans="1:14" x14ac:dyDescent="0.25">
      <c r="A1580" t="str">
        <f>Table3[[#This Row],[Company Name]] &amp; " - " &amp; Table3[[#This Row],[Store Name]] &amp; " - " &amp; Table3[[#This Row],[Store Branch / Address]]</f>
        <v>INSPIRA PRIME INTERNATIONAL CORPORATION - AQUAFLASK - GENERIC</v>
      </c>
      <c r="B1580" t="str">
        <f>Table3[[#This Row],[Client ID]] &amp; " - " &amp; Table3[[#This Row],[SO Number]]</f>
        <v>INSPIRA PRIME INTERNATIONAL CORPORATION - AQUAFLASK - GENERIC - SO-071</v>
      </c>
      <c r="C1580" t="s">
        <v>439</v>
      </c>
      <c r="D1580" t="s">
        <v>1117</v>
      </c>
      <c r="E1580" t="s">
        <v>1118</v>
      </c>
      <c r="F1580" t="s">
        <v>15</v>
      </c>
      <c r="G1580" t="s">
        <v>1024</v>
      </c>
      <c r="H1580" t="s">
        <v>774</v>
      </c>
      <c r="I1580" t="s">
        <v>1033</v>
      </c>
      <c r="J1580">
        <v>1</v>
      </c>
      <c r="K1580">
        <v>350</v>
      </c>
      <c r="L1580">
        <v>400</v>
      </c>
      <c r="M1580">
        <v>400</v>
      </c>
      <c r="N1580" t="s">
        <v>19</v>
      </c>
    </row>
    <row r="1581" spans="1:14" x14ac:dyDescent="0.25">
      <c r="A1581" t="str">
        <f>Table3[[#This Row],[Company Name]] &amp; " - " &amp; Table3[[#This Row],[Store Name]] &amp; " - " &amp; Table3[[#This Row],[Store Branch / Address]]</f>
        <v>INSPIRA PRIME INTERNATIONAL CORPORATION - AQUAFLASK - GENERIC</v>
      </c>
      <c r="B1581" t="str">
        <f>Table3[[#This Row],[Client ID]] &amp; " - " &amp; Table3[[#This Row],[SO Number]]</f>
        <v>INSPIRA PRIME INTERNATIONAL CORPORATION - AQUAFLASK - GENERIC - SO-071</v>
      </c>
      <c r="C1581" t="s">
        <v>439</v>
      </c>
      <c r="D1581" t="s">
        <v>1117</v>
      </c>
      <c r="E1581" t="s">
        <v>1118</v>
      </c>
      <c r="F1581" t="s">
        <v>15</v>
      </c>
      <c r="G1581" t="s">
        <v>1024</v>
      </c>
      <c r="H1581" t="s">
        <v>774</v>
      </c>
      <c r="I1581" t="s">
        <v>1014</v>
      </c>
      <c r="J1581">
        <v>1</v>
      </c>
      <c r="K1581">
        <v>970</v>
      </c>
      <c r="L1581">
        <v>1200</v>
      </c>
      <c r="M1581">
        <v>1200</v>
      </c>
      <c r="N1581" t="s">
        <v>19</v>
      </c>
    </row>
    <row r="1582" spans="1:14" x14ac:dyDescent="0.25">
      <c r="A1582" t="str">
        <f>Table3[[#This Row],[Company Name]] &amp; " - " &amp; Table3[[#This Row],[Store Name]] &amp; " - " &amp; Table3[[#This Row],[Store Branch / Address]]</f>
        <v>INSPIRA PRIME INTERNATIONAL CORPORATION - AQUAFLASK - GENERIC</v>
      </c>
      <c r="B1582" t="str">
        <f>Table3[[#This Row],[Client ID]] &amp; " - " &amp; Table3[[#This Row],[SO Number]]</f>
        <v>INSPIRA PRIME INTERNATIONAL CORPORATION - AQUAFLASK - GENERIC - SO-071</v>
      </c>
      <c r="C1582" t="s">
        <v>439</v>
      </c>
      <c r="D1582" t="s">
        <v>1117</v>
      </c>
      <c r="E1582" t="s">
        <v>1118</v>
      </c>
      <c r="F1582" t="s">
        <v>15</v>
      </c>
      <c r="G1582" t="s">
        <v>1024</v>
      </c>
      <c r="H1582" t="s">
        <v>774</v>
      </c>
      <c r="I1582" t="s">
        <v>1015</v>
      </c>
      <c r="J1582">
        <v>1</v>
      </c>
      <c r="K1582">
        <v>4250</v>
      </c>
      <c r="L1582">
        <v>4700</v>
      </c>
      <c r="M1582">
        <v>4700</v>
      </c>
      <c r="N1582" t="s">
        <v>19</v>
      </c>
    </row>
    <row r="1583" spans="1:14" x14ac:dyDescent="0.25">
      <c r="A1583" t="str">
        <f>Table3[[#This Row],[Company Name]] &amp; " - " &amp; Table3[[#This Row],[Store Name]] &amp; " - " &amp; Table3[[#This Row],[Store Branch / Address]]</f>
        <v>INSPIRA PRIME INTERNATIONAL CORPORATION - AQUAFLASK - GENERIC</v>
      </c>
      <c r="B1583" t="str">
        <f>Table3[[#This Row],[Client ID]] &amp; " - " &amp; Table3[[#This Row],[SO Number]]</f>
        <v>INSPIRA PRIME INTERNATIONAL CORPORATION - AQUAFLASK - GENERIC - SO-071</v>
      </c>
      <c r="C1583" t="s">
        <v>439</v>
      </c>
      <c r="D1583" t="s">
        <v>1117</v>
      </c>
      <c r="E1583" t="s">
        <v>1118</v>
      </c>
      <c r="F1583" t="s">
        <v>15</v>
      </c>
      <c r="G1583" t="s">
        <v>1024</v>
      </c>
      <c r="H1583" t="s">
        <v>774</v>
      </c>
      <c r="I1583" t="s">
        <v>85</v>
      </c>
      <c r="J1583">
        <v>1</v>
      </c>
      <c r="K1583">
        <v>1350</v>
      </c>
      <c r="L1583">
        <v>1700</v>
      </c>
      <c r="M1583">
        <v>1700</v>
      </c>
      <c r="N1583" t="s">
        <v>19</v>
      </c>
    </row>
    <row r="1584" spans="1:14" x14ac:dyDescent="0.25">
      <c r="A1584" t="str">
        <f>Table3[[#This Row],[Company Name]] &amp; " - " &amp; Table3[[#This Row],[Store Name]] &amp; " - " &amp; Table3[[#This Row],[Store Branch / Address]]</f>
        <v>INSPIRA PRIME INTERNATIONAL CORPORATION - AQUAFLASK - GENERIC</v>
      </c>
      <c r="B1584" t="str">
        <f>Table3[[#This Row],[Client ID]] &amp; " - " &amp; Table3[[#This Row],[SO Number]]</f>
        <v>INSPIRA PRIME INTERNATIONAL CORPORATION - AQUAFLASK - GENERIC - SO-071</v>
      </c>
      <c r="C1584" t="s">
        <v>439</v>
      </c>
      <c r="D1584" t="s">
        <v>1117</v>
      </c>
      <c r="E1584" t="s">
        <v>1118</v>
      </c>
      <c r="F1584" t="s">
        <v>15</v>
      </c>
      <c r="G1584" t="s">
        <v>1024</v>
      </c>
      <c r="H1584" t="s">
        <v>774</v>
      </c>
      <c r="I1584" t="s">
        <v>1016</v>
      </c>
      <c r="J1584">
        <v>1</v>
      </c>
      <c r="K1584">
        <v>8500</v>
      </c>
      <c r="L1584">
        <v>10000</v>
      </c>
      <c r="M1584">
        <v>10000</v>
      </c>
      <c r="N1584" t="s">
        <v>19</v>
      </c>
    </row>
    <row r="1585" spans="1:14" x14ac:dyDescent="0.25">
      <c r="A1585" t="str">
        <f>Table3[[#This Row],[Company Name]] &amp; " - " &amp; Table3[[#This Row],[Store Name]] &amp; " - " &amp; Table3[[#This Row],[Store Branch / Address]]</f>
        <v>INSPIRA PRIME INTERNATIONAL CORPORATION - AQUAFLASK - GENERIC</v>
      </c>
      <c r="B1585" t="str">
        <f>Table3[[#This Row],[Client ID]] &amp; " - " &amp; Table3[[#This Row],[SO Number]]</f>
        <v>INSPIRA PRIME INTERNATIONAL CORPORATION - AQUAFLASK - GENERIC - SO-071</v>
      </c>
      <c r="C1585" t="s">
        <v>439</v>
      </c>
      <c r="D1585" t="s">
        <v>1117</v>
      </c>
      <c r="E1585" t="s">
        <v>1118</v>
      </c>
      <c r="F1585" t="s">
        <v>15</v>
      </c>
      <c r="G1585" t="s">
        <v>1024</v>
      </c>
      <c r="H1585" t="s">
        <v>774</v>
      </c>
      <c r="I1585" t="s">
        <v>97</v>
      </c>
      <c r="J1585">
        <v>1</v>
      </c>
      <c r="K1585">
        <v>2200</v>
      </c>
      <c r="L1585">
        <v>3000</v>
      </c>
      <c r="M1585">
        <v>3000</v>
      </c>
      <c r="N1585" t="s">
        <v>19</v>
      </c>
    </row>
    <row r="1586" spans="1:14" x14ac:dyDescent="0.25">
      <c r="A1586" t="str">
        <f>Table3[[#This Row],[Company Name]] &amp; " - " &amp; Table3[[#This Row],[Store Name]] &amp; " - " &amp; Table3[[#This Row],[Store Branch / Address]]</f>
        <v>INSPIRA PRIME INTERNATIONAL CORPORATION - AQUAFLASK - GENERIC</v>
      </c>
      <c r="B1586" t="str">
        <f>Table3[[#This Row],[Client ID]] &amp; " - " &amp; Table3[[#This Row],[SO Number]]</f>
        <v>INSPIRA PRIME INTERNATIONAL CORPORATION - AQUAFLASK - GENERIC - SO-071</v>
      </c>
      <c r="C1586" t="s">
        <v>439</v>
      </c>
      <c r="D1586" t="s">
        <v>1117</v>
      </c>
      <c r="E1586" t="s">
        <v>1118</v>
      </c>
      <c r="F1586" t="s">
        <v>15</v>
      </c>
      <c r="G1586" t="s">
        <v>1024</v>
      </c>
      <c r="H1586" t="s">
        <v>774</v>
      </c>
      <c r="I1586" t="s">
        <v>1121</v>
      </c>
      <c r="J1586">
        <v>1</v>
      </c>
      <c r="K1586">
        <v>3000</v>
      </c>
      <c r="L1586">
        <v>4000</v>
      </c>
      <c r="M1586">
        <v>4000</v>
      </c>
      <c r="N1586" t="s">
        <v>19</v>
      </c>
    </row>
    <row r="1587" spans="1:14" x14ac:dyDescent="0.25">
      <c r="A1587" t="str">
        <f>Table3[[#This Row],[Company Name]] &amp; " - " &amp; Table3[[#This Row],[Store Name]] &amp; " - " &amp; Table3[[#This Row],[Store Branch / Address]]</f>
        <v>INSPIRA PRIME INTERNATIONAL CORPORATION - AQUAFLASK - GENERIC</v>
      </c>
      <c r="B1587" t="str">
        <f>Table3[[#This Row],[Client ID]] &amp; " - " &amp; Table3[[#This Row],[SO Number]]</f>
        <v>INSPIRA PRIME INTERNATIONAL CORPORATION - AQUAFLASK - GENERIC - SO-071</v>
      </c>
      <c r="C1587" t="s">
        <v>439</v>
      </c>
      <c r="D1587" t="s">
        <v>1117</v>
      </c>
      <c r="E1587" t="s">
        <v>1118</v>
      </c>
      <c r="F1587" t="s">
        <v>15</v>
      </c>
      <c r="G1587" t="s">
        <v>1024</v>
      </c>
      <c r="H1587" t="s">
        <v>774</v>
      </c>
      <c r="I1587" t="s">
        <v>393</v>
      </c>
      <c r="J1587">
        <v>1</v>
      </c>
      <c r="K1587">
        <v>500</v>
      </c>
      <c r="L1587">
        <v>500</v>
      </c>
      <c r="M1587">
        <v>500</v>
      </c>
      <c r="N1587" t="s">
        <v>19</v>
      </c>
    </row>
    <row r="1588" spans="1:14" x14ac:dyDescent="0.25">
      <c r="A1588" t="str">
        <f>Table3[[#This Row],[Company Name]] &amp; " - " &amp; Table3[[#This Row],[Store Name]] &amp; " - " &amp; Table3[[#This Row],[Store Branch / Address]]</f>
        <v>INSPIRA PRIME INTERNATIONAL CORPORATION - AQUAFLASK DESIGN - GENERIC</v>
      </c>
      <c r="B1588" t="str">
        <f>Table3[[#This Row],[Client ID]] &amp; " - " &amp; Table3[[#This Row],[SO Number]]</f>
        <v>INSPIRA PRIME INTERNATIONAL CORPORATION - AQUAFLASK DESIGN - GENERIC - SO-072</v>
      </c>
      <c r="C1588" t="s">
        <v>443</v>
      </c>
      <c r="D1588" t="s">
        <v>1117</v>
      </c>
      <c r="E1588" t="s">
        <v>1154</v>
      </c>
      <c r="F1588" t="s">
        <v>15</v>
      </c>
      <c r="G1588" t="s">
        <v>1024</v>
      </c>
      <c r="H1588" t="s">
        <v>774</v>
      </c>
      <c r="I1588" t="s">
        <v>1153</v>
      </c>
      <c r="J1588">
        <v>1</v>
      </c>
      <c r="K1588">
        <v>3675</v>
      </c>
      <c r="L1588">
        <v>10500</v>
      </c>
      <c r="M1588">
        <v>10500</v>
      </c>
      <c r="N1588" t="s">
        <v>19</v>
      </c>
    </row>
    <row r="1589" spans="1:14" x14ac:dyDescent="0.25">
      <c r="A1589" t="str">
        <f>Table3[[#This Row],[Company Name]] &amp; " - " &amp; Table3[[#This Row],[Store Name]] &amp; " - " &amp; Table3[[#This Row],[Store Branch / Address]]</f>
        <v>INSPIRA PRIME INTERNATIONAL CORPORATION - AQUAFLASK DESIGN - GENERIC</v>
      </c>
      <c r="B1589" t="str">
        <f>Table3[[#This Row],[Client ID]] &amp; " - " &amp; Table3[[#This Row],[SO Number]]</f>
        <v>INSPIRA PRIME INTERNATIONAL CORPORATION - AQUAFLASK DESIGN - GENERIC - SO-072</v>
      </c>
      <c r="C1589" t="s">
        <v>443</v>
      </c>
      <c r="D1589" t="s">
        <v>1117</v>
      </c>
      <c r="E1589" t="s">
        <v>1154</v>
      </c>
      <c r="F1589" t="s">
        <v>15</v>
      </c>
      <c r="G1589" t="s">
        <v>1024</v>
      </c>
      <c r="H1589" t="s">
        <v>774</v>
      </c>
      <c r="I1589" t="s">
        <v>1011</v>
      </c>
      <c r="J1589">
        <v>1</v>
      </c>
      <c r="K1589">
        <v>2450</v>
      </c>
      <c r="L1589">
        <v>7000</v>
      </c>
      <c r="M1589">
        <v>7000</v>
      </c>
      <c r="N1589" t="s">
        <v>19</v>
      </c>
    </row>
    <row r="1590" spans="1:14" x14ac:dyDescent="0.25">
      <c r="A1590" t="str">
        <f>Table3[[#This Row],[Company Name]] &amp; " - " &amp; Table3[[#This Row],[Store Name]] &amp; " - " &amp; Table3[[#This Row],[Store Branch / Address]]</f>
        <v>INSPIRA PRIME INTERNATIONAL CORPORATION - AQUAFLASK DESIGN - GENERIC</v>
      </c>
      <c r="B1590" t="str">
        <f>Table3[[#This Row],[Client ID]] &amp; " - " &amp; Table3[[#This Row],[SO Number]]</f>
        <v>INSPIRA PRIME INTERNATIONAL CORPORATION - AQUAFLASK DESIGN - GENERIC - SO-072</v>
      </c>
      <c r="C1590" t="s">
        <v>443</v>
      </c>
      <c r="D1590" t="s">
        <v>1117</v>
      </c>
      <c r="E1590" t="s">
        <v>1154</v>
      </c>
      <c r="F1590" t="s">
        <v>15</v>
      </c>
      <c r="G1590" t="s">
        <v>1024</v>
      </c>
      <c r="H1590" t="s">
        <v>774</v>
      </c>
      <c r="I1590" t="s">
        <v>24</v>
      </c>
      <c r="J1590">
        <v>1</v>
      </c>
      <c r="K1590">
        <v>2450</v>
      </c>
      <c r="L1590">
        <v>7000</v>
      </c>
      <c r="M1590">
        <v>7000</v>
      </c>
      <c r="N1590" t="s">
        <v>19</v>
      </c>
    </row>
    <row r="1591" spans="1:14" x14ac:dyDescent="0.25">
      <c r="A1591" t="str">
        <f>Table3[[#This Row],[Company Name]] &amp; " - " &amp; Table3[[#This Row],[Store Name]] &amp; " - " &amp; Table3[[#This Row],[Store Branch / Address]]</f>
        <v>INSPIRA PRIME INTERNATIONAL CORPORATION - AQUAFLASK DESIGN - GENERIC</v>
      </c>
      <c r="B1591" t="str">
        <f>Table3[[#This Row],[Client ID]] &amp; " - " &amp; Table3[[#This Row],[SO Number]]</f>
        <v>INSPIRA PRIME INTERNATIONAL CORPORATION - AQUAFLASK DESIGN - GENERIC - SO-072</v>
      </c>
      <c r="C1591" t="s">
        <v>443</v>
      </c>
      <c r="D1591" t="s">
        <v>1117</v>
      </c>
      <c r="E1591" t="s">
        <v>1154</v>
      </c>
      <c r="F1591" t="s">
        <v>15</v>
      </c>
      <c r="G1591" t="s">
        <v>1024</v>
      </c>
      <c r="H1591" t="s">
        <v>774</v>
      </c>
      <c r="I1591" t="s">
        <v>26</v>
      </c>
      <c r="J1591">
        <v>1</v>
      </c>
      <c r="K1591">
        <v>500</v>
      </c>
      <c r="L1591">
        <v>500</v>
      </c>
      <c r="M1591">
        <v>500</v>
      </c>
      <c r="N1591" t="s">
        <v>19</v>
      </c>
    </row>
    <row r="1592" spans="1:14" x14ac:dyDescent="0.25">
      <c r="A1592" t="str">
        <f>Table3[[#This Row],[Company Name]] &amp; " - " &amp; Table3[[#This Row],[Store Name]] &amp; " - " &amp; Table3[[#This Row],[Store Branch / Address]]</f>
        <v>INSPIRA PRIME INTERNATIONAL CORPORATION - AQUAFLASK DESIGN - GENERIC</v>
      </c>
      <c r="B1592" t="str">
        <f>Table3[[#This Row],[Client ID]] &amp; " - " &amp; Table3[[#This Row],[SO Number]]</f>
        <v>INSPIRA PRIME INTERNATIONAL CORPORATION - AQUAFLASK DESIGN - GENERIC - SO-072</v>
      </c>
      <c r="C1592" t="s">
        <v>443</v>
      </c>
      <c r="D1592" t="s">
        <v>1117</v>
      </c>
      <c r="E1592" t="s">
        <v>1154</v>
      </c>
      <c r="F1592" t="s">
        <v>15</v>
      </c>
      <c r="G1592" t="s">
        <v>1024</v>
      </c>
      <c r="H1592" t="s">
        <v>774</v>
      </c>
      <c r="I1592" t="s">
        <v>1119</v>
      </c>
      <c r="J1592">
        <v>1</v>
      </c>
      <c r="K1592">
        <v>20800</v>
      </c>
      <c r="L1592">
        <v>23000</v>
      </c>
      <c r="M1592">
        <v>23000</v>
      </c>
      <c r="N1592" t="s">
        <v>19</v>
      </c>
    </row>
    <row r="1593" spans="1:14" x14ac:dyDescent="0.25">
      <c r="A1593" t="str">
        <f>Table3[[#This Row],[Company Name]] &amp; " - " &amp; Table3[[#This Row],[Store Name]] &amp; " - " &amp; Table3[[#This Row],[Store Branch / Address]]</f>
        <v>INSPIRA PRIME INTERNATIONAL CORPORATION - AQUAFLASK DESIGN - GENERIC</v>
      </c>
      <c r="B1593" t="str">
        <f>Table3[[#This Row],[Client ID]] &amp; " - " &amp; Table3[[#This Row],[SO Number]]</f>
        <v>INSPIRA PRIME INTERNATIONAL CORPORATION - AQUAFLASK DESIGN - GENERIC - SO-072</v>
      </c>
      <c r="C1593" t="s">
        <v>443</v>
      </c>
      <c r="D1593" t="s">
        <v>1117</v>
      </c>
      <c r="E1593" t="s">
        <v>1154</v>
      </c>
      <c r="F1593" t="s">
        <v>15</v>
      </c>
      <c r="G1593" t="s">
        <v>1024</v>
      </c>
      <c r="H1593" t="s">
        <v>774</v>
      </c>
      <c r="I1593" t="s">
        <v>1120</v>
      </c>
      <c r="J1593">
        <v>1</v>
      </c>
      <c r="K1593">
        <v>2334</v>
      </c>
      <c r="L1593">
        <v>3200</v>
      </c>
      <c r="M1593">
        <v>3200</v>
      </c>
      <c r="N1593" t="s">
        <v>19</v>
      </c>
    </row>
    <row r="1594" spans="1:14" x14ac:dyDescent="0.25">
      <c r="A1594" t="str">
        <f>Table3[[#This Row],[Company Name]] &amp; " - " &amp; Table3[[#This Row],[Store Name]] &amp; " - " &amp; Table3[[#This Row],[Store Branch / Address]]</f>
        <v>INSPIRA PRIME INTERNATIONAL CORPORATION - AQUAFLASK DESIGN - GENERIC</v>
      </c>
      <c r="B1594" t="str">
        <f>Table3[[#This Row],[Client ID]] &amp; " - " &amp; Table3[[#This Row],[SO Number]]</f>
        <v>INSPIRA PRIME INTERNATIONAL CORPORATION - AQUAFLASK DESIGN - GENERIC - SO-072</v>
      </c>
      <c r="C1594" t="s">
        <v>443</v>
      </c>
      <c r="D1594" t="s">
        <v>1117</v>
      </c>
      <c r="E1594" t="s">
        <v>1154</v>
      </c>
      <c r="F1594" t="s">
        <v>15</v>
      </c>
      <c r="G1594" t="s">
        <v>1024</v>
      </c>
      <c r="H1594" t="s">
        <v>774</v>
      </c>
      <c r="I1594" t="s">
        <v>151</v>
      </c>
      <c r="J1594">
        <v>1</v>
      </c>
      <c r="K1594">
        <v>2800</v>
      </c>
      <c r="L1594">
        <v>3200</v>
      </c>
      <c r="M1594">
        <v>3200</v>
      </c>
      <c r="N1594" t="s">
        <v>19</v>
      </c>
    </row>
    <row r="1595" spans="1:14" x14ac:dyDescent="0.25">
      <c r="A1595" t="str">
        <f>Table3[[#This Row],[Company Name]] &amp; " - " &amp; Table3[[#This Row],[Store Name]] &amp; " - " &amp; Table3[[#This Row],[Store Branch / Address]]</f>
        <v>INSPIRA PRIME INTERNATIONAL CORPORATION - AQUAFLASK DESIGN - GENERIC</v>
      </c>
      <c r="B1595" t="str">
        <f>Table3[[#This Row],[Client ID]] &amp; " - " &amp; Table3[[#This Row],[SO Number]]</f>
        <v>INSPIRA PRIME INTERNATIONAL CORPORATION - AQUAFLASK DESIGN - GENERIC - SO-072</v>
      </c>
      <c r="C1595" t="s">
        <v>443</v>
      </c>
      <c r="D1595" t="s">
        <v>1117</v>
      </c>
      <c r="E1595" t="s">
        <v>1154</v>
      </c>
      <c r="F1595" t="s">
        <v>15</v>
      </c>
      <c r="G1595" t="s">
        <v>1024</v>
      </c>
      <c r="H1595" t="s">
        <v>774</v>
      </c>
      <c r="I1595" t="s">
        <v>189</v>
      </c>
      <c r="J1595">
        <v>1</v>
      </c>
      <c r="K1595">
        <v>500</v>
      </c>
      <c r="L1595">
        <v>600</v>
      </c>
      <c r="M1595">
        <v>600</v>
      </c>
      <c r="N1595" t="s">
        <v>19</v>
      </c>
    </row>
    <row r="1596" spans="1:14" x14ac:dyDescent="0.25">
      <c r="A1596" t="str">
        <f>Table3[[#This Row],[Company Name]] &amp; " - " &amp; Table3[[#This Row],[Store Name]] &amp; " - " &amp; Table3[[#This Row],[Store Branch / Address]]</f>
        <v>INSPIRA PRIME INTERNATIONAL CORPORATION - AQUAFLASK DESIGN - GENERIC</v>
      </c>
      <c r="B1596" t="str">
        <f>Table3[[#This Row],[Client ID]] &amp; " - " &amp; Table3[[#This Row],[SO Number]]</f>
        <v>INSPIRA PRIME INTERNATIONAL CORPORATION - AQUAFLASK DESIGN - GENERIC - SO-072</v>
      </c>
      <c r="C1596" t="s">
        <v>443</v>
      </c>
      <c r="D1596" t="s">
        <v>1117</v>
      </c>
      <c r="E1596" t="s">
        <v>1154</v>
      </c>
      <c r="F1596" t="s">
        <v>15</v>
      </c>
      <c r="G1596" t="s">
        <v>1024</v>
      </c>
      <c r="H1596" t="s">
        <v>774</v>
      </c>
      <c r="I1596" t="s">
        <v>1033</v>
      </c>
      <c r="J1596">
        <v>1</v>
      </c>
      <c r="K1596">
        <v>350</v>
      </c>
      <c r="L1596">
        <v>400</v>
      </c>
      <c r="M1596">
        <v>400</v>
      </c>
      <c r="N1596" t="s">
        <v>19</v>
      </c>
    </row>
    <row r="1597" spans="1:14" x14ac:dyDescent="0.25">
      <c r="A1597" t="str">
        <f>Table3[[#This Row],[Company Name]] &amp; " - " &amp; Table3[[#This Row],[Store Name]] &amp; " - " &amp; Table3[[#This Row],[Store Branch / Address]]</f>
        <v>INSPIRA PRIME INTERNATIONAL CORPORATION - AQUAFLASK DESIGN - GENERIC</v>
      </c>
      <c r="B1597" t="str">
        <f>Table3[[#This Row],[Client ID]] &amp; " - " &amp; Table3[[#This Row],[SO Number]]</f>
        <v>INSPIRA PRIME INTERNATIONAL CORPORATION - AQUAFLASK DESIGN - GENERIC - SO-072</v>
      </c>
      <c r="C1597" t="s">
        <v>443</v>
      </c>
      <c r="D1597" t="s">
        <v>1117</v>
      </c>
      <c r="E1597" t="s">
        <v>1154</v>
      </c>
      <c r="F1597" t="s">
        <v>15</v>
      </c>
      <c r="G1597" t="s">
        <v>1024</v>
      </c>
      <c r="H1597" t="s">
        <v>774</v>
      </c>
      <c r="I1597" t="s">
        <v>1014</v>
      </c>
      <c r="J1597">
        <v>1</v>
      </c>
      <c r="K1597">
        <v>970</v>
      </c>
      <c r="L1597">
        <v>1200</v>
      </c>
      <c r="M1597">
        <v>1200</v>
      </c>
      <c r="N1597" t="s">
        <v>19</v>
      </c>
    </row>
    <row r="1598" spans="1:14" x14ac:dyDescent="0.25">
      <c r="A1598" t="str">
        <f>Table3[[#This Row],[Company Name]] &amp; " - " &amp; Table3[[#This Row],[Store Name]] &amp; " - " &amp; Table3[[#This Row],[Store Branch / Address]]</f>
        <v>INSPIRA PRIME INTERNATIONAL CORPORATION - AQUAFLASK DESIGN - GENERIC</v>
      </c>
      <c r="B1598" t="str">
        <f>Table3[[#This Row],[Client ID]] &amp; " - " &amp; Table3[[#This Row],[SO Number]]</f>
        <v>INSPIRA PRIME INTERNATIONAL CORPORATION - AQUAFLASK DESIGN - GENERIC - SO-072</v>
      </c>
      <c r="C1598" t="s">
        <v>443</v>
      </c>
      <c r="D1598" t="s">
        <v>1117</v>
      </c>
      <c r="E1598" t="s">
        <v>1154</v>
      </c>
      <c r="F1598" t="s">
        <v>15</v>
      </c>
      <c r="G1598" t="s">
        <v>1024</v>
      </c>
      <c r="H1598" t="s">
        <v>774</v>
      </c>
      <c r="I1598" t="s">
        <v>1015</v>
      </c>
      <c r="J1598">
        <v>1</v>
      </c>
      <c r="K1598">
        <v>4250</v>
      </c>
      <c r="L1598">
        <v>4700</v>
      </c>
      <c r="M1598">
        <v>4700</v>
      </c>
      <c r="N1598" t="s">
        <v>19</v>
      </c>
    </row>
    <row r="1599" spans="1:14" x14ac:dyDescent="0.25">
      <c r="A1599" t="str">
        <f>Table3[[#This Row],[Company Name]] &amp; " - " &amp; Table3[[#This Row],[Store Name]] &amp; " - " &amp; Table3[[#This Row],[Store Branch / Address]]</f>
        <v>INSPIRA PRIME INTERNATIONAL CORPORATION - AQUAFLASK DESIGN - GENERIC</v>
      </c>
      <c r="B1599" t="str">
        <f>Table3[[#This Row],[Client ID]] &amp; " - " &amp; Table3[[#This Row],[SO Number]]</f>
        <v>INSPIRA PRIME INTERNATIONAL CORPORATION - AQUAFLASK DESIGN - GENERIC - SO-072</v>
      </c>
      <c r="C1599" t="s">
        <v>443</v>
      </c>
      <c r="D1599" t="s">
        <v>1117</v>
      </c>
      <c r="E1599" t="s">
        <v>1154</v>
      </c>
      <c r="F1599" t="s">
        <v>15</v>
      </c>
      <c r="G1599" t="s">
        <v>1024</v>
      </c>
      <c r="H1599" t="s">
        <v>774</v>
      </c>
      <c r="I1599" t="s">
        <v>85</v>
      </c>
      <c r="J1599">
        <v>1</v>
      </c>
      <c r="K1599">
        <v>1350</v>
      </c>
      <c r="L1599">
        <v>1700</v>
      </c>
      <c r="M1599">
        <v>1700</v>
      </c>
      <c r="N1599" t="s">
        <v>19</v>
      </c>
    </row>
    <row r="1600" spans="1:14" x14ac:dyDescent="0.25">
      <c r="A1600" t="str">
        <f>Table3[[#This Row],[Company Name]] &amp; " - " &amp; Table3[[#This Row],[Store Name]] &amp; " - " &amp; Table3[[#This Row],[Store Branch / Address]]</f>
        <v>INSPIRA PRIME INTERNATIONAL CORPORATION - AQUAFLASK DESIGN - GENERIC</v>
      </c>
      <c r="B1600" t="str">
        <f>Table3[[#This Row],[Client ID]] &amp; " - " &amp; Table3[[#This Row],[SO Number]]</f>
        <v>INSPIRA PRIME INTERNATIONAL CORPORATION - AQUAFLASK DESIGN - GENERIC - SO-072</v>
      </c>
      <c r="C1600" t="s">
        <v>443</v>
      </c>
      <c r="D1600" t="s">
        <v>1117</v>
      </c>
      <c r="E1600" t="s">
        <v>1154</v>
      </c>
      <c r="F1600" t="s">
        <v>15</v>
      </c>
      <c r="G1600" t="s">
        <v>1024</v>
      </c>
      <c r="H1600" t="s">
        <v>774</v>
      </c>
      <c r="I1600" t="s">
        <v>1016</v>
      </c>
      <c r="J1600">
        <v>1</v>
      </c>
      <c r="K1600">
        <v>8500</v>
      </c>
      <c r="L1600">
        <v>10000</v>
      </c>
      <c r="M1600">
        <v>10000</v>
      </c>
      <c r="N1600" t="s">
        <v>19</v>
      </c>
    </row>
    <row r="1601" spans="1:14" x14ac:dyDescent="0.25">
      <c r="A1601" t="str">
        <f>Table3[[#This Row],[Company Name]] &amp; " - " &amp; Table3[[#This Row],[Store Name]] &amp; " - " &amp; Table3[[#This Row],[Store Branch / Address]]</f>
        <v>INSPIRA PRIME INTERNATIONAL CORPORATION - AQUAFLASK DESIGN - GENERIC</v>
      </c>
      <c r="B1601" t="str">
        <f>Table3[[#This Row],[Client ID]] &amp; " - " &amp; Table3[[#This Row],[SO Number]]</f>
        <v>INSPIRA PRIME INTERNATIONAL CORPORATION - AQUAFLASK DESIGN - GENERIC - SO-072</v>
      </c>
      <c r="C1601" t="s">
        <v>443</v>
      </c>
      <c r="D1601" t="s">
        <v>1117</v>
      </c>
      <c r="E1601" t="s">
        <v>1154</v>
      </c>
      <c r="F1601" t="s">
        <v>15</v>
      </c>
      <c r="G1601" t="s">
        <v>1024</v>
      </c>
      <c r="H1601" t="s">
        <v>774</v>
      </c>
      <c r="I1601" t="s">
        <v>97</v>
      </c>
      <c r="J1601">
        <v>1</v>
      </c>
      <c r="K1601">
        <v>2200</v>
      </c>
      <c r="L1601">
        <v>3000</v>
      </c>
      <c r="M1601">
        <v>3000</v>
      </c>
      <c r="N1601" t="s">
        <v>19</v>
      </c>
    </row>
    <row r="1602" spans="1:14" x14ac:dyDescent="0.25">
      <c r="A1602" t="str">
        <f>Table3[[#This Row],[Company Name]] &amp; " - " &amp; Table3[[#This Row],[Store Name]] &amp; " - " &amp; Table3[[#This Row],[Store Branch / Address]]</f>
        <v>INSPIRA PRIME INTERNATIONAL CORPORATION - AQUAFLASK DESIGN - GENERIC</v>
      </c>
      <c r="B1602" t="str">
        <f>Table3[[#This Row],[Client ID]] &amp; " - " &amp; Table3[[#This Row],[SO Number]]</f>
        <v>INSPIRA PRIME INTERNATIONAL CORPORATION - AQUAFLASK DESIGN - GENERIC - SO-072</v>
      </c>
      <c r="C1602" t="s">
        <v>443</v>
      </c>
      <c r="D1602" t="s">
        <v>1117</v>
      </c>
      <c r="E1602" t="s">
        <v>1154</v>
      </c>
      <c r="F1602" t="s">
        <v>15</v>
      </c>
      <c r="G1602" t="s">
        <v>1024</v>
      </c>
      <c r="H1602" t="s">
        <v>774</v>
      </c>
      <c r="I1602" t="s">
        <v>1121</v>
      </c>
      <c r="J1602">
        <v>1</v>
      </c>
      <c r="K1602">
        <v>3000</v>
      </c>
      <c r="L1602">
        <v>4000</v>
      </c>
      <c r="M1602">
        <v>4000</v>
      </c>
      <c r="N1602" t="s">
        <v>19</v>
      </c>
    </row>
    <row r="1603" spans="1:14" x14ac:dyDescent="0.25">
      <c r="A1603" t="str">
        <f>Table3[[#This Row],[Company Name]] &amp; " - " &amp; Table3[[#This Row],[Store Name]] &amp; " - " &amp; Table3[[#This Row],[Store Branch / Address]]</f>
        <v>INSPIRA PRIME INTERNATIONAL CORPORATION - AQUAFLASK DESIGN - GENERIC</v>
      </c>
      <c r="B1603" t="str">
        <f>Table3[[#This Row],[Client ID]] &amp; " - " &amp; Table3[[#This Row],[SO Number]]</f>
        <v>INSPIRA PRIME INTERNATIONAL CORPORATION - AQUAFLASK DESIGN - GENERIC - SO-073</v>
      </c>
      <c r="C1603" t="s">
        <v>448</v>
      </c>
      <c r="D1603" t="s">
        <v>1117</v>
      </c>
      <c r="E1603" t="s">
        <v>1154</v>
      </c>
      <c r="F1603" t="s">
        <v>15</v>
      </c>
      <c r="G1603" t="s">
        <v>1024</v>
      </c>
      <c r="H1603" t="s">
        <v>774</v>
      </c>
      <c r="I1603" t="s">
        <v>1153</v>
      </c>
      <c r="J1603">
        <v>1</v>
      </c>
      <c r="K1603">
        <v>3675</v>
      </c>
      <c r="L1603">
        <v>10500</v>
      </c>
      <c r="M1603">
        <v>10500</v>
      </c>
      <c r="N1603" t="s">
        <v>19</v>
      </c>
    </row>
    <row r="1604" spans="1:14" x14ac:dyDescent="0.25">
      <c r="A1604" t="str">
        <f>Table3[[#This Row],[Company Name]] &amp; " - " &amp; Table3[[#This Row],[Store Name]] &amp; " - " &amp; Table3[[#This Row],[Store Branch / Address]]</f>
        <v>INSPIRA PRIME INTERNATIONAL CORPORATION - AQUAFLASK DESIGN - GENERIC</v>
      </c>
      <c r="B1604" t="str">
        <f>Table3[[#This Row],[Client ID]] &amp; " - " &amp; Table3[[#This Row],[SO Number]]</f>
        <v>INSPIRA PRIME INTERNATIONAL CORPORATION - AQUAFLASK DESIGN - GENERIC - SO-073</v>
      </c>
      <c r="C1604" t="s">
        <v>448</v>
      </c>
      <c r="D1604" t="s">
        <v>1117</v>
      </c>
      <c r="E1604" t="s">
        <v>1154</v>
      </c>
      <c r="F1604" t="s">
        <v>15</v>
      </c>
      <c r="G1604" t="s">
        <v>1024</v>
      </c>
      <c r="H1604" t="s">
        <v>774</v>
      </c>
      <c r="I1604" t="s">
        <v>1011</v>
      </c>
      <c r="J1604">
        <v>1</v>
      </c>
      <c r="K1604">
        <v>2450</v>
      </c>
      <c r="L1604">
        <v>7000</v>
      </c>
      <c r="M1604">
        <v>7000</v>
      </c>
      <c r="N1604" t="s">
        <v>19</v>
      </c>
    </row>
    <row r="1605" spans="1:14" x14ac:dyDescent="0.25">
      <c r="A1605" t="str">
        <f>Table3[[#This Row],[Company Name]] &amp; " - " &amp; Table3[[#This Row],[Store Name]] &amp; " - " &amp; Table3[[#This Row],[Store Branch / Address]]</f>
        <v>INSPIRA PRIME INTERNATIONAL CORPORATION - AQUAFLASK DESIGN - GENERIC</v>
      </c>
      <c r="B1605" t="str">
        <f>Table3[[#This Row],[Client ID]] &amp; " - " &amp; Table3[[#This Row],[SO Number]]</f>
        <v>INSPIRA PRIME INTERNATIONAL CORPORATION - AQUAFLASK DESIGN - GENERIC - SO-073</v>
      </c>
      <c r="C1605" t="s">
        <v>448</v>
      </c>
      <c r="D1605" t="s">
        <v>1117</v>
      </c>
      <c r="E1605" t="s">
        <v>1154</v>
      </c>
      <c r="F1605" t="s">
        <v>15</v>
      </c>
      <c r="G1605" t="s">
        <v>1024</v>
      </c>
      <c r="H1605" t="s">
        <v>774</v>
      </c>
      <c r="I1605" t="s">
        <v>24</v>
      </c>
      <c r="J1605">
        <v>1</v>
      </c>
      <c r="K1605">
        <v>2450</v>
      </c>
      <c r="L1605">
        <v>7000</v>
      </c>
      <c r="M1605">
        <v>7000</v>
      </c>
      <c r="N1605" t="s">
        <v>19</v>
      </c>
    </row>
    <row r="1606" spans="1:14" x14ac:dyDescent="0.25">
      <c r="A1606" t="str">
        <f>Table3[[#This Row],[Company Name]] &amp; " - " &amp; Table3[[#This Row],[Store Name]] &amp; " - " &amp; Table3[[#This Row],[Store Branch / Address]]</f>
        <v>INSPIRA PRIME INTERNATIONAL CORPORATION - AQUAFLASK DESIGN - GENERIC</v>
      </c>
      <c r="B1606" t="str">
        <f>Table3[[#This Row],[Client ID]] &amp; " - " &amp; Table3[[#This Row],[SO Number]]</f>
        <v>INSPIRA PRIME INTERNATIONAL CORPORATION - AQUAFLASK DESIGN - GENERIC - SO-073</v>
      </c>
      <c r="C1606" t="s">
        <v>448</v>
      </c>
      <c r="D1606" t="s">
        <v>1117</v>
      </c>
      <c r="E1606" t="s">
        <v>1154</v>
      </c>
      <c r="F1606" t="s">
        <v>15</v>
      </c>
      <c r="G1606" t="s">
        <v>1024</v>
      </c>
      <c r="H1606" t="s">
        <v>774</v>
      </c>
      <c r="I1606" t="s">
        <v>26</v>
      </c>
      <c r="J1606">
        <v>1</v>
      </c>
      <c r="K1606">
        <v>500</v>
      </c>
      <c r="L1606">
        <v>500</v>
      </c>
      <c r="M1606">
        <v>500</v>
      </c>
      <c r="N1606" t="s">
        <v>19</v>
      </c>
    </row>
    <row r="1607" spans="1:14" x14ac:dyDescent="0.25">
      <c r="A1607" t="str">
        <f>Table3[[#This Row],[Company Name]] &amp; " - " &amp; Table3[[#This Row],[Store Name]] &amp; " - " &amp; Table3[[#This Row],[Store Branch / Address]]</f>
        <v>INSPIRA PRIME INTERNATIONAL CORPORATION - AQUAFLASK DESIGN - GENERIC</v>
      </c>
      <c r="B1607" t="str">
        <f>Table3[[#This Row],[Client ID]] &amp; " - " &amp; Table3[[#This Row],[SO Number]]</f>
        <v>INSPIRA PRIME INTERNATIONAL CORPORATION - AQUAFLASK DESIGN - GENERIC - SO-073</v>
      </c>
      <c r="C1607" t="s">
        <v>448</v>
      </c>
      <c r="D1607" t="s">
        <v>1117</v>
      </c>
      <c r="E1607" t="s">
        <v>1154</v>
      </c>
      <c r="F1607" t="s">
        <v>15</v>
      </c>
      <c r="G1607" t="s">
        <v>1024</v>
      </c>
      <c r="H1607" t="s">
        <v>774</v>
      </c>
      <c r="I1607" t="s">
        <v>1119</v>
      </c>
      <c r="J1607">
        <v>1</v>
      </c>
      <c r="K1607">
        <v>20800</v>
      </c>
      <c r="L1607">
        <v>23000</v>
      </c>
      <c r="M1607">
        <v>23000</v>
      </c>
      <c r="N1607" t="s">
        <v>19</v>
      </c>
    </row>
    <row r="1608" spans="1:14" x14ac:dyDescent="0.25">
      <c r="A1608" t="str">
        <f>Table3[[#This Row],[Company Name]] &amp; " - " &amp; Table3[[#This Row],[Store Name]] &amp; " - " &amp; Table3[[#This Row],[Store Branch / Address]]</f>
        <v>INSPIRA PRIME INTERNATIONAL CORPORATION - AQUAFLASK DESIGN - GENERIC</v>
      </c>
      <c r="B1608" t="str">
        <f>Table3[[#This Row],[Client ID]] &amp; " - " &amp; Table3[[#This Row],[SO Number]]</f>
        <v>INSPIRA PRIME INTERNATIONAL CORPORATION - AQUAFLASK DESIGN - GENERIC - SO-073</v>
      </c>
      <c r="C1608" t="s">
        <v>448</v>
      </c>
      <c r="D1608" t="s">
        <v>1117</v>
      </c>
      <c r="E1608" t="s">
        <v>1154</v>
      </c>
      <c r="F1608" t="s">
        <v>15</v>
      </c>
      <c r="G1608" t="s">
        <v>1024</v>
      </c>
      <c r="H1608" t="s">
        <v>774</v>
      </c>
      <c r="I1608" t="s">
        <v>1120</v>
      </c>
      <c r="J1608">
        <v>1</v>
      </c>
      <c r="K1608">
        <v>2334</v>
      </c>
      <c r="L1608">
        <v>3200</v>
      </c>
      <c r="M1608">
        <v>3200</v>
      </c>
      <c r="N1608" t="s">
        <v>19</v>
      </c>
    </row>
    <row r="1609" spans="1:14" x14ac:dyDescent="0.25">
      <c r="A1609" t="str">
        <f>Table3[[#This Row],[Company Name]] &amp; " - " &amp; Table3[[#This Row],[Store Name]] &amp; " - " &amp; Table3[[#This Row],[Store Branch / Address]]</f>
        <v>INSPIRA PRIME INTERNATIONAL CORPORATION - AQUAFLASK DESIGN - GENERIC</v>
      </c>
      <c r="B1609" t="str">
        <f>Table3[[#This Row],[Client ID]] &amp; " - " &amp; Table3[[#This Row],[SO Number]]</f>
        <v>INSPIRA PRIME INTERNATIONAL CORPORATION - AQUAFLASK DESIGN - GENERIC - SO-073</v>
      </c>
      <c r="C1609" t="s">
        <v>448</v>
      </c>
      <c r="D1609" t="s">
        <v>1117</v>
      </c>
      <c r="E1609" t="s">
        <v>1154</v>
      </c>
      <c r="F1609" t="s">
        <v>15</v>
      </c>
      <c r="G1609" t="s">
        <v>1024</v>
      </c>
      <c r="H1609" t="s">
        <v>774</v>
      </c>
      <c r="I1609" t="s">
        <v>151</v>
      </c>
      <c r="J1609">
        <v>1</v>
      </c>
      <c r="K1609">
        <v>2800</v>
      </c>
      <c r="L1609">
        <v>3200</v>
      </c>
      <c r="M1609">
        <v>3200</v>
      </c>
      <c r="N1609" t="s">
        <v>19</v>
      </c>
    </row>
    <row r="1610" spans="1:14" x14ac:dyDescent="0.25">
      <c r="A1610" t="str">
        <f>Table3[[#This Row],[Company Name]] &amp; " - " &amp; Table3[[#This Row],[Store Name]] &amp; " - " &amp; Table3[[#This Row],[Store Branch / Address]]</f>
        <v>INSPIRA PRIME INTERNATIONAL CORPORATION - AQUAFLASK DESIGN - GENERIC</v>
      </c>
      <c r="B1610" t="str">
        <f>Table3[[#This Row],[Client ID]] &amp; " - " &amp; Table3[[#This Row],[SO Number]]</f>
        <v>INSPIRA PRIME INTERNATIONAL CORPORATION - AQUAFLASK DESIGN - GENERIC - SO-073</v>
      </c>
      <c r="C1610" t="s">
        <v>448</v>
      </c>
      <c r="D1610" t="s">
        <v>1117</v>
      </c>
      <c r="E1610" t="s">
        <v>1154</v>
      </c>
      <c r="F1610" t="s">
        <v>15</v>
      </c>
      <c r="G1610" t="s">
        <v>1024</v>
      </c>
      <c r="H1610" t="s">
        <v>774</v>
      </c>
      <c r="I1610" t="s">
        <v>189</v>
      </c>
      <c r="J1610">
        <v>1</v>
      </c>
      <c r="K1610">
        <v>500</v>
      </c>
      <c r="L1610">
        <v>600</v>
      </c>
      <c r="M1610">
        <v>600</v>
      </c>
      <c r="N1610" t="s">
        <v>19</v>
      </c>
    </row>
    <row r="1611" spans="1:14" x14ac:dyDescent="0.25">
      <c r="A1611" t="str">
        <f>Table3[[#This Row],[Company Name]] &amp; " - " &amp; Table3[[#This Row],[Store Name]] &amp; " - " &amp; Table3[[#This Row],[Store Branch / Address]]</f>
        <v>INSPIRA PRIME INTERNATIONAL CORPORATION - AQUAFLASK DESIGN - GENERIC</v>
      </c>
      <c r="B1611" t="str">
        <f>Table3[[#This Row],[Client ID]] &amp; " - " &amp; Table3[[#This Row],[SO Number]]</f>
        <v>INSPIRA PRIME INTERNATIONAL CORPORATION - AQUAFLASK DESIGN - GENERIC - SO-073</v>
      </c>
      <c r="C1611" t="s">
        <v>448</v>
      </c>
      <c r="D1611" t="s">
        <v>1117</v>
      </c>
      <c r="E1611" t="s">
        <v>1154</v>
      </c>
      <c r="F1611" t="s">
        <v>15</v>
      </c>
      <c r="G1611" t="s">
        <v>1024</v>
      </c>
      <c r="H1611" t="s">
        <v>774</v>
      </c>
      <c r="I1611" t="s">
        <v>1033</v>
      </c>
      <c r="J1611">
        <v>1</v>
      </c>
      <c r="K1611">
        <v>350</v>
      </c>
      <c r="L1611">
        <v>400</v>
      </c>
      <c r="M1611">
        <v>400</v>
      </c>
      <c r="N1611" t="s">
        <v>19</v>
      </c>
    </row>
    <row r="1612" spans="1:14" x14ac:dyDescent="0.25">
      <c r="A1612" t="str">
        <f>Table3[[#This Row],[Company Name]] &amp; " - " &amp; Table3[[#This Row],[Store Name]] &amp; " - " &amp; Table3[[#This Row],[Store Branch / Address]]</f>
        <v>INSPIRA PRIME INTERNATIONAL CORPORATION - AQUAFLASK DESIGN - GENERIC</v>
      </c>
      <c r="B1612" t="str">
        <f>Table3[[#This Row],[Client ID]] &amp; " - " &amp; Table3[[#This Row],[SO Number]]</f>
        <v>INSPIRA PRIME INTERNATIONAL CORPORATION - AQUAFLASK DESIGN - GENERIC - SO-073</v>
      </c>
      <c r="C1612" t="s">
        <v>448</v>
      </c>
      <c r="D1612" t="s">
        <v>1117</v>
      </c>
      <c r="E1612" t="s">
        <v>1154</v>
      </c>
      <c r="F1612" t="s">
        <v>15</v>
      </c>
      <c r="G1612" t="s">
        <v>1024</v>
      </c>
      <c r="H1612" t="s">
        <v>774</v>
      </c>
      <c r="I1612" t="s">
        <v>1014</v>
      </c>
      <c r="J1612">
        <v>1</v>
      </c>
      <c r="K1612">
        <v>970</v>
      </c>
      <c r="L1612">
        <v>1200</v>
      </c>
      <c r="M1612">
        <v>1200</v>
      </c>
      <c r="N1612" t="s">
        <v>19</v>
      </c>
    </row>
    <row r="1613" spans="1:14" x14ac:dyDescent="0.25">
      <c r="A1613" t="str">
        <f>Table3[[#This Row],[Company Name]] &amp; " - " &amp; Table3[[#This Row],[Store Name]] &amp; " - " &amp; Table3[[#This Row],[Store Branch / Address]]</f>
        <v>INSPIRA PRIME INTERNATIONAL CORPORATION - AQUAFLASK DESIGN - GENERIC</v>
      </c>
      <c r="B1613" t="str">
        <f>Table3[[#This Row],[Client ID]] &amp; " - " &amp; Table3[[#This Row],[SO Number]]</f>
        <v>INSPIRA PRIME INTERNATIONAL CORPORATION - AQUAFLASK DESIGN - GENERIC - SO-073</v>
      </c>
      <c r="C1613" t="s">
        <v>448</v>
      </c>
      <c r="D1613" t="s">
        <v>1117</v>
      </c>
      <c r="E1613" t="s">
        <v>1154</v>
      </c>
      <c r="F1613" t="s">
        <v>15</v>
      </c>
      <c r="G1613" t="s">
        <v>1024</v>
      </c>
      <c r="H1613" t="s">
        <v>774</v>
      </c>
      <c r="I1613" t="s">
        <v>1015</v>
      </c>
      <c r="J1613">
        <v>1</v>
      </c>
      <c r="K1613">
        <v>4250</v>
      </c>
      <c r="L1613">
        <v>4700</v>
      </c>
      <c r="M1613">
        <v>4700</v>
      </c>
      <c r="N1613" t="s">
        <v>19</v>
      </c>
    </row>
    <row r="1614" spans="1:14" x14ac:dyDescent="0.25">
      <c r="A1614" t="str">
        <f>Table3[[#This Row],[Company Name]] &amp; " - " &amp; Table3[[#This Row],[Store Name]] &amp; " - " &amp; Table3[[#This Row],[Store Branch / Address]]</f>
        <v>INSPIRA PRIME INTERNATIONAL CORPORATION - AQUAFLASK DESIGN - GENERIC</v>
      </c>
      <c r="B1614" t="str">
        <f>Table3[[#This Row],[Client ID]] &amp; " - " &amp; Table3[[#This Row],[SO Number]]</f>
        <v>INSPIRA PRIME INTERNATIONAL CORPORATION - AQUAFLASK DESIGN - GENERIC - SO-073</v>
      </c>
      <c r="C1614" t="s">
        <v>448</v>
      </c>
      <c r="D1614" t="s">
        <v>1117</v>
      </c>
      <c r="E1614" t="s">
        <v>1154</v>
      </c>
      <c r="F1614" t="s">
        <v>15</v>
      </c>
      <c r="G1614" t="s">
        <v>1024</v>
      </c>
      <c r="H1614" t="s">
        <v>774</v>
      </c>
      <c r="I1614" t="s">
        <v>85</v>
      </c>
      <c r="J1614">
        <v>1</v>
      </c>
      <c r="K1614">
        <v>1350</v>
      </c>
      <c r="L1614">
        <v>1700</v>
      </c>
      <c r="M1614">
        <v>1700</v>
      </c>
      <c r="N1614" t="s">
        <v>19</v>
      </c>
    </row>
    <row r="1615" spans="1:14" x14ac:dyDescent="0.25">
      <c r="A1615" t="str">
        <f>Table3[[#This Row],[Company Name]] &amp; " - " &amp; Table3[[#This Row],[Store Name]] &amp; " - " &amp; Table3[[#This Row],[Store Branch / Address]]</f>
        <v>INSPIRA PRIME INTERNATIONAL CORPORATION - AQUAFLASK DESIGN - GENERIC</v>
      </c>
      <c r="B1615" t="str">
        <f>Table3[[#This Row],[Client ID]] &amp; " - " &amp; Table3[[#This Row],[SO Number]]</f>
        <v>INSPIRA PRIME INTERNATIONAL CORPORATION - AQUAFLASK DESIGN - GENERIC - SO-073</v>
      </c>
      <c r="C1615" t="s">
        <v>448</v>
      </c>
      <c r="D1615" t="s">
        <v>1117</v>
      </c>
      <c r="E1615" t="s">
        <v>1154</v>
      </c>
      <c r="F1615" t="s">
        <v>15</v>
      </c>
      <c r="G1615" t="s">
        <v>1024</v>
      </c>
      <c r="H1615" t="s">
        <v>774</v>
      </c>
      <c r="I1615" t="s">
        <v>1016</v>
      </c>
      <c r="J1615">
        <v>1</v>
      </c>
      <c r="K1615">
        <v>8500</v>
      </c>
      <c r="L1615">
        <v>10000</v>
      </c>
      <c r="M1615">
        <v>10000</v>
      </c>
      <c r="N1615" t="s">
        <v>19</v>
      </c>
    </row>
    <row r="1616" spans="1:14" x14ac:dyDescent="0.25">
      <c r="A1616" t="str">
        <f>Table3[[#This Row],[Company Name]] &amp; " - " &amp; Table3[[#This Row],[Store Name]] &amp; " - " &amp; Table3[[#This Row],[Store Branch / Address]]</f>
        <v>INSPIRA PRIME INTERNATIONAL CORPORATION - AQUAFLASK DESIGN - GENERIC</v>
      </c>
      <c r="B1616" t="str">
        <f>Table3[[#This Row],[Client ID]] &amp; " - " &amp; Table3[[#This Row],[SO Number]]</f>
        <v>INSPIRA PRIME INTERNATIONAL CORPORATION - AQUAFLASK DESIGN - GENERIC - SO-073</v>
      </c>
      <c r="C1616" t="s">
        <v>448</v>
      </c>
      <c r="D1616" t="s">
        <v>1117</v>
      </c>
      <c r="E1616" t="s">
        <v>1154</v>
      </c>
      <c r="F1616" t="s">
        <v>15</v>
      </c>
      <c r="G1616" t="s">
        <v>1024</v>
      </c>
      <c r="H1616" t="s">
        <v>774</v>
      </c>
      <c r="I1616" t="s">
        <v>97</v>
      </c>
      <c r="J1616">
        <v>1</v>
      </c>
      <c r="K1616">
        <v>2200</v>
      </c>
      <c r="L1616">
        <v>3000</v>
      </c>
      <c r="M1616">
        <v>3000</v>
      </c>
      <c r="N1616" t="s">
        <v>19</v>
      </c>
    </row>
    <row r="1617" spans="1:14" x14ac:dyDescent="0.25">
      <c r="A1617" t="str">
        <f>Table3[[#This Row],[Company Name]] &amp; " - " &amp; Table3[[#This Row],[Store Name]] &amp; " - " &amp; Table3[[#This Row],[Store Branch / Address]]</f>
        <v>INSPIRA PRIME INTERNATIONAL CORPORATION - AQUAFLASK DESIGN - GENERIC</v>
      </c>
      <c r="B1617" t="str">
        <f>Table3[[#This Row],[Client ID]] &amp; " - " &amp; Table3[[#This Row],[SO Number]]</f>
        <v>INSPIRA PRIME INTERNATIONAL CORPORATION - AQUAFLASK DESIGN - GENERIC - SO-073</v>
      </c>
      <c r="C1617" t="s">
        <v>448</v>
      </c>
      <c r="D1617" t="s">
        <v>1117</v>
      </c>
      <c r="E1617" t="s">
        <v>1154</v>
      </c>
      <c r="F1617" t="s">
        <v>15</v>
      </c>
      <c r="G1617" t="s">
        <v>1024</v>
      </c>
      <c r="H1617" t="s">
        <v>774</v>
      </c>
      <c r="I1617" t="s">
        <v>1121</v>
      </c>
      <c r="J1617">
        <v>1</v>
      </c>
      <c r="K1617">
        <v>3000</v>
      </c>
      <c r="L1617">
        <v>4000</v>
      </c>
      <c r="M1617">
        <v>4000</v>
      </c>
      <c r="N1617" t="s">
        <v>19</v>
      </c>
    </row>
    <row r="1618" spans="1:14" x14ac:dyDescent="0.25">
      <c r="A1618" t="str">
        <f>Table3[[#This Row],[Company Name]] &amp; " - " &amp; Table3[[#This Row],[Store Name]] &amp; " - " &amp; Table3[[#This Row],[Store Branch / Address]]</f>
        <v>THE VALLEY STORE PH - THE VALLEY - AYALA MALLS THE 30TH</v>
      </c>
      <c r="B1618" t="str">
        <f>Table3[[#This Row],[Client ID]] &amp; " - " &amp; Table3[[#This Row],[SO Number]]</f>
        <v>THE VALLEY STORE PH - THE VALLEY - AYALA MALLS THE 30TH - SO-074</v>
      </c>
      <c r="C1618" t="s">
        <v>450</v>
      </c>
      <c r="D1618" t="s">
        <v>1155</v>
      </c>
      <c r="E1618" t="s">
        <v>1156</v>
      </c>
      <c r="F1618" t="s">
        <v>1157</v>
      </c>
      <c r="G1618" t="s">
        <v>1088</v>
      </c>
      <c r="H1618" t="s">
        <v>1158</v>
      </c>
      <c r="I1618" t="s">
        <v>850</v>
      </c>
      <c r="J1618">
        <v>1</v>
      </c>
      <c r="K1618">
        <v>3675</v>
      </c>
      <c r="L1618">
        <v>10500</v>
      </c>
      <c r="M1618">
        <v>10500</v>
      </c>
      <c r="N1618" t="s">
        <v>1010</v>
      </c>
    </row>
    <row r="1619" spans="1:14" x14ac:dyDescent="0.25">
      <c r="A1619" t="str">
        <f>Table3[[#This Row],[Company Name]] &amp; " - " &amp; Table3[[#This Row],[Store Name]] &amp; " - " &amp; Table3[[#This Row],[Store Branch / Address]]</f>
        <v>THE VALLEY STORE PH - THE VALLEY - AYALA MALLS THE 30TH</v>
      </c>
      <c r="B1619" t="str">
        <f>Table3[[#This Row],[Client ID]] &amp; " - " &amp; Table3[[#This Row],[SO Number]]</f>
        <v>THE VALLEY STORE PH - THE VALLEY - AYALA MALLS THE 30TH - SO-074</v>
      </c>
      <c r="C1619" t="s">
        <v>450</v>
      </c>
      <c r="D1619" t="s">
        <v>1155</v>
      </c>
      <c r="E1619" t="s">
        <v>1156</v>
      </c>
      <c r="F1619" t="s">
        <v>1157</v>
      </c>
      <c r="G1619" t="s">
        <v>1088</v>
      </c>
      <c r="H1619" t="s">
        <v>1158</v>
      </c>
      <c r="I1619" t="s">
        <v>26</v>
      </c>
      <c r="J1619">
        <v>1</v>
      </c>
      <c r="K1619">
        <v>500</v>
      </c>
      <c r="L1619">
        <v>500</v>
      </c>
      <c r="M1619">
        <v>500</v>
      </c>
      <c r="N1619" t="s">
        <v>1010</v>
      </c>
    </row>
    <row r="1620" spans="1:14" x14ac:dyDescent="0.25">
      <c r="A1620" t="str">
        <f>Table3[[#This Row],[Company Name]] &amp; " - " &amp; Table3[[#This Row],[Store Name]] &amp; " - " &amp; Table3[[#This Row],[Store Branch / Address]]</f>
        <v>THE VALLEY STORE PH - THE VALLEY - AYALA MALLS THE 30TH</v>
      </c>
      <c r="B1620" t="str">
        <f>Table3[[#This Row],[Client ID]] &amp; " - " &amp; Table3[[#This Row],[SO Number]]</f>
        <v>THE VALLEY STORE PH - THE VALLEY - AYALA MALLS THE 30TH - SO-074</v>
      </c>
      <c r="C1620" t="s">
        <v>450</v>
      </c>
      <c r="D1620" t="s">
        <v>1155</v>
      </c>
      <c r="E1620" t="s">
        <v>1156</v>
      </c>
      <c r="F1620" t="s">
        <v>1157</v>
      </c>
      <c r="G1620" t="s">
        <v>1088</v>
      </c>
      <c r="H1620" t="s">
        <v>1158</v>
      </c>
      <c r="I1620" t="s">
        <v>537</v>
      </c>
      <c r="J1620">
        <v>1</v>
      </c>
      <c r="K1620">
        <v>9500</v>
      </c>
      <c r="L1620">
        <v>9500</v>
      </c>
      <c r="M1620">
        <v>9500</v>
      </c>
      <c r="N1620" t="s">
        <v>1010</v>
      </c>
    </row>
    <row r="1621" spans="1:14" x14ac:dyDescent="0.25">
      <c r="A1621" t="str">
        <f>Table3[[#This Row],[Company Name]] &amp; " - " &amp; Table3[[#This Row],[Store Name]] &amp; " - " &amp; Table3[[#This Row],[Store Branch / Address]]</f>
        <v>THE VALLEY STORE PH - THE VALLEY - AYALA MALLS THE 30TH</v>
      </c>
      <c r="B1621" t="str">
        <f>Table3[[#This Row],[Client ID]] &amp; " - " &amp; Table3[[#This Row],[SO Number]]</f>
        <v>THE VALLEY STORE PH - THE VALLEY - AYALA MALLS THE 30TH - SO-074</v>
      </c>
      <c r="C1621" t="s">
        <v>450</v>
      </c>
      <c r="D1621" t="s">
        <v>1155</v>
      </c>
      <c r="E1621" t="s">
        <v>1156</v>
      </c>
      <c r="F1621" t="s">
        <v>1157</v>
      </c>
      <c r="G1621" t="s">
        <v>1088</v>
      </c>
      <c r="H1621" t="s">
        <v>1158</v>
      </c>
      <c r="I1621" t="s">
        <v>24</v>
      </c>
      <c r="J1621">
        <v>1</v>
      </c>
      <c r="K1621">
        <v>9500</v>
      </c>
      <c r="L1621">
        <v>9500</v>
      </c>
      <c r="M1621">
        <v>9500</v>
      </c>
      <c r="N1621" t="s">
        <v>1010</v>
      </c>
    </row>
    <row r="1622" spans="1:14" x14ac:dyDescent="0.25">
      <c r="A1622" t="str">
        <f>Table3[[#This Row],[Company Name]] &amp; " - " &amp; Table3[[#This Row],[Store Name]] &amp; " - " &amp; Table3[[#This Row],[Store Branch / Address]]</f>
        <v>CHICKEN DELI - APT8 - GENERIC</v>
      </c>
      <c r="B1622" t="str">
        <f>Table3[[#This Row],[Client ID]] &amp; " - " &amp; Table3[[#This Row],[SO Number]]</f>
        <v>CHICKEN DELI - APT8 - GENERIC - SO-188</v>
      </c>
      <c r="C1622" t="s">
        <v>887</v>
      </c>
      <c r="D1622" t="s">
        <v>20</v>
      </c>
      <c r="E1622" t="s">
        <v>168</v>
      </c>
      <c r="F1622" t="s">
        <v>15</v>
      </c>
      <c r="G1622" t="s">
        <v>22</v>
      </c>
      <c r="H1622" t="s">
        <v>889</v>
      </c>
      <c r="I1622" t="s">
        <v>264</v>
      </c>
      <c r="J1622">
        <v>1</v>
      </c>
      <c r="K1622">
        <v>1200</v>
      </c>
      <c r="L1622">
        <v>2000</v>
      </c>
      <c r="M1622">
        <v>2000</v>
      </c>
      <c r="N1622" t="s">
        <v>19</v>
      </c>
    </row>
    <row r="1623" spans="1:14" x14ac:dyDescent="0.25">
      <c r="A1623" t="str">
        <f>Table3[[#This Row],[Company Name]] &amp; " - " &amp; Table3[[#This Row],[Store Name]] &amp; " - " &amp; Table3[[#This Row],[Store Branch / Address]]</f>
        <v>CHICKEN DELI - PAOTSIN - GENERIC</v>
      </c>
      <c r="B1623" t="str">
        <f>Table3[[#This Row],[Client ID]] &amp; " - " &amp; Table3[[#This Row],[SO Number]]</f>
        <v>CHICKEN DELI - PAOTSIN - GENERIC - SO-189</v>
      </c>
      <c r="C1623" t="s">
        <v>890</v>
      </c>
      <c r="D1623" t="s">
        <v>20</v>
      </c>
      <c r="E1623" t="s">
        <v>623</v>
      </c>
      <c r="F1623" t="s">
        <v>15</v>
      </c>
      <c r="G1623" t="s">
        <v>22</v>
      </c>
      <c r="H1623" t="s">
        <v>889</v>
      </c>
      <c r="I1623" t="s">
        <v>33</v>
      </c>
      <c r="J1623">
        <v>1</v>
      </c>
      <c r="K1623">
        <v>10000</v>
      </c>
      <c r="L1623">
        <v>10000</v>
      </c>
      <c r="M1623">
        <v>10000</v>
      </c>
      <c r="N1623" t="s">
        <v>19</v>
      </c>
    </row>
    <row r="1624" spans="1:14" x14ac:dyDescent="0.25">
      <c r="A1624" t="str">
        <f>Table3[[#This Row],[Company Name]] &amp; " - " &amp; Table3[[#This Row],[Store Name]] &amp; " - " &amp; Table3[[#This Row],[Store Branch / Address]]</f>
        <v>OLAES CHRISTIAN GERALD TORRES - THE CRUNCH - GENERIC</v>
      </c>
      <c r="B1624" t="str">
        <f>Table3[[#This Row],[Client ID]] &amp; " - " &amp; Table3[[#This Row],[SO Number]]</f>
        <v>OLAES CHRISTIAN GERALD TORRES - THE CRUNCH - GENERIC - SO-075</v>
      </c>
      <c r="C1624" t="s">
        <v>457</v>
      </c>
      <c r="D1624" t="s">
        <v>1135</v>
      </c>
      <c r="E1624" t="s">
        <v>1136</v>
      </c>
      <c r="F1624" t="s">
        <v>15</v>
      </c>
      <c r="G1624" t="s">
        <v>1043</v>
      </c>
      <c r="H1624" t="s">
        <v>889</v>
      </c>
      <c r="I1624" t="s">
        <v>1159</v>
      </c>
      <c r="J1624">
        <v>1</v>
      </c>
      <c r="K1624">
        <v>8500</v>
      </c>
      <c r="L1624">
        <v>12500</v>
      </c>
      <c r="M1624">
        <v>12500</v>
      </c>
      <c r="N1624" t="s">
        <v>19</v>
      </c>
    </row>
    <row r="1625" spans="1:14" x14ac:dyDescent="0.25">
      <c r="A1625" t="str">
        <f>Table3[[#This Row],[Company Name]] &amp; " - " &amp; Table3[[#This Row],[Store Name]] &amp; " - " &amp; Table3[[#This Row],[Store Branch / Address]]</f>
        <v>OLAES CHRISTIAN GERALD TORRES - THE CRUNCH - GENERIC</v>
      </c>
      <c r="B1625" t="str">
        <f>Table3[[#This Row],[Client ID]] &amp; " - " &amp; Table3[[#This Row],[SO Number]]</f>
        <v>OLAES CHRISTIAN GERALD TORRES - THE CRUNCH - GENERIC - SO-075</v>
      </c>
      <c r="C1625" t="s">
        <v>457</v>
      </c>
      <c r="D1625" t="s">
        <v>1135</v>
      </c>
      <c r="E1625" t="s">
        <v>1136</v>
      </c>
      <c r="F1625" t="s">
        <v>15</v>
      </c>
      <c r="G1625" t="s">
        <v>1043</v>
      </c>
      <c r="H1625" t="s">
        <v>889</v>
      </c>
      <c r="I1625" t="s">
        <v>1147</v>
      </c>
      <c r="J1625">
        <v>14</v>
      </c>
      <c r="K1625">
        <v>17</v>
      </c>
      <c r="L1625">
        <v>25</v>
      </c>
      <c r="M1625">
        <v>350</v>
      </c>
      <c r="N1625" t="s">
        <v>19</v>
      </c>
    </row>
    <row r="1626" spans="1:14" x14ac:dyDescent="0.25">
      <c r="A1626" t="str">
        <f>Table3[[#This Row],[Company Name]] &amp; " - " &amp; Table3[[#This Row],[Store Name]] &amp; " - " &amp; Table3[[#This Row],[Store Branch / Address]]</f>
        <v>CORTEZ IAN CARL CORPUZ - FERINO'S CAFÉ - GENERIC</v>
      </c>
      <c r="B1626" t="str">
        <f>Table3[[#This Row],[Client ID]] &amp; " - " &amp; Table3[[#This Row],[SO Number]]</f>
        <v>CORTEZ IAN CARL CORPUZ - FERINO'S CAFÉ - GENERIC - SO-076</v>
      </c>
      <c r="C1626" t="s">
        <v>459</v>
      </c>
      <c r="D1626" t="s">
        <v>1141</v>
      </c>
      <c r="E1626" t="s">
        <v>1142</v>
      </c>
      <c r="F1626" t="s">
        <v>15</v>
      </c>
      <c r="G1626" t="s">
        <v>1027</v>
      </c>
      <c r="H1626" t="s">
        <v>889</v>
      </c>
      <c r="I1626" t="s">
        <v>501</v>
      </c>
      <c r="J1626">
        <v>2</v>
      </c>
      <c r="K1626">
        <v>75</v>
      </c>
      <c r="L1626">
        <v>250</v>
      </c>
      <c r="M1626">
        <v>500</v>
      </c>
      <c r="N1626" t="s">
        <v>19</v>
      </c>
    </row>
    <row r="1627" spans="1:14" x14ac:dyDescent="0.25">
      <c r="A1627" t="str">
        <f>Table3[[#This Row],[Company Name]] &amp; " - " &amp; Table3[[#This Row],[Store Name]] &amp; " - " &amp; Table3[[#This Row],[Store Branch / Address]]</f>
        <v>VISUAL MIX INC - BOOKSALE - GENERIC</v>
      </c>
      <c r="B1627" t="str">
        <f>Table3[[#This Row],[Client ID]] &amp; " - " &amp; Table3[[#This Row],[SO Number]]</f>
        <v>VISUAL MIX INC - BOOKSALE - GENERIC - SO-155</v>
      </c>
      <c r="C1627" t="s">
        <v>781</v>
      </c>
      <c r="D1627" t="s">
        <v>148</v>
      </c>
      <c r="E1627" t="s">
        <v>437</v>
      </c>
      <c r="F1627" t="s">
        <v>15</v>
      </c>
      <c r="G1627" t="s">
        <v>37</v>
      </c>
      <c r="H1627" t="s">
        <v>782</v>
      </c>
      <c r="I1627" t="s">
        <v>783</v>
      </c>
      <c r="J1627">
        <v>5</v>
      </c>
      <c r="K1627">
        <v>7500</v>
      </c>
      <c r="L1627">
        <v>7500</v>
      </c>
      <c r="M1627">
        <v>37500</v>
      </c>
      <c r="N1627" t="s">
        <v>39</v>
      </c>
    </row>
    <row r="1628" spans="1:14" x14ac:dyDescent="0.25">
      <c r="A1628" t="str">
        <f>Table3[[#This Row],[Company Name]] &amp; " - " &amp; Table3[[#This Row],[Store Name]] &amp; " - " &amp; Table3[[#This Row],[Store Branch / Address]]</f>
        <v>BOOKSALE CEBU INC - BOOKSALE - ES:</v>
      </c>
      <c r="B1628" t="str">
        <f>Table3[[#This Row],[Client ID]] &amp; " - " &amp; Table3[[#This Row],[SO Number]]</f>
        <v>BOOKSALE CEBU INC - BOOKSALE - ES: - SO-156</v>
      </c>
      <c r="C1628" t="s">
        <v>784</v>
      </c>
      <c r="D1628" t="s">
        <v>436</v>
      </c>
      <c r="E1628" t="s">
        <v>437</v>
      </c>
      <c r="F1628" t="s">
        <v>266</v>
      </c>
      <c r="G1628" t="s">
        <v>37</v>
      </c>
      <c r="H1628" t="s">
        <v>782</v>
      </c>
      <c r="I1628" t="s">
        <v>33</v>
      </c>
      <c r="J1628">
        <v>5</v>
      </c>
      <c r="K1628">
        <v>7500</v>
      </c>
      <c r="L1628">
        <v>7500</v>
      </c>
      <c r="M1628">
        <v>37500</v>
      </c>
      <c r="N1628" t="s">
        <v>19</v>
      </c>
    </row>
    <row r="1629" spans="1:14" x14ac:dyDescent="0.25">
      <c r="A1629" t="str">
        <f>Table3[[#This Row],[Company Name]] &amp; " - " &amp; Table3[[#This Row],[Store Name]] &amp; " - " &amp; Table3[[#This Row],[Store Branch / Address]]</f>
        <v>GREEN LIFE ECOBAGS INC - ZARAH JUAN - GENERIC</v>
      </c>
      <c r="B1629" t="str">
        <f>Table3[[#This Row],[Client ID]] &amp; " - " &amp; Table3[[#This Row],[SO Number]]</f>
        <v>GREEN LIFE ECOBAGS INC - ZARAH JUAN - GENERIC - SO-157</v>
      </c>
      <c r="C1629" t="s">
        <v>785</v>
      </c>
      <c r="D1629" t="s">
        <v>786</v>
      </c>
      <c r="E1629" t="s">
        <v>787</v>
      </c>
      <c r="F1629" t="s">
        <v>15</v>
      </c>
      <c r="G1629" t="s">
        <v>37</v>
      </c>
      <c r="H1629" t="s">
        <v>782</v>
      </c>
      <c r="I1629" t="s">
        <v>33</v>
      </c>
      <c r="J1629">
        <v>1</v>
      </c>
      <c r="K1629">
        <v>18000</v>
      </c>
      <c r="L1629">
        <v>18000</v>
      </c>
      <c r="M1629">
        <v>18000</v>
      </c>
      <c r="N1629" t="s">
        <v>19</v>
      </c>
    </row>
    <row r="1630" spans="1:14" x14ac:dyDescent="0.25">
      <c r="A1630" t="str">
        <f>Table3[[#This Row],[Company Name]] &amp; " - " &amp; Table3[[#This Row],[Store Name]] &amp; " - " &amp; Table3[[#This Row],[Store Branch / Address]]</f>
        <v>HUZZAH - HUZZAH - GENERIC</v>
      </c>
      <c r="B1630" t="str">
        <f>Table3[[#This Row],[Client ID]] &amp; " - " &amp; Table3[[#This Row],[SO Number]]</f>
        <v>HUZZAH - HUZZAH - GENERIC - SO-158</v>
      </c>
      <c r="C1630" t="s">
        <v>788</v>
      </c>
      <c r="D1630" t="s">
        <v>87</v>
      </c>
      <c r="E1630" t="s">
        <v>87</v>
      </c>
      <c r="F1630" t="s">
        <v>15</v>
      </c>
      <c r="G1630" t="s">
        <v>37</v>
      </c>
      <c r="H1630" t="s">
        <v>782</v>
      </c>
      <c r="I1630" t="s">
        <v>89</v>
      </c>
      <c r="J1630">
        <v>50</v>
      </c>
      <c r="K1630">
        <v>32</v>
      </c>
      <c r="L1630">
        <v>50</v>
      </c>
      <c r="M1630">
        <v>2500</v>
      </c>
      <c r="N1630" t="s">
        <v>39</v>
      </c>
    </row>
    <row r="1631" spans="1:14" x14ac:dyDescent="0.25">
      <c r="A1631" t="str">
        <f>Table3[[#This Row],[Company Name]] &amp; " - " &amp; Table3[[#This Row],[Store Name]] &amp; " - " &amp; Table3[[#This Row],[Store Branch / Address]]</f>
        <v>CHICKEN DELI - SUPERBOWL - GENERIC</v>
      </c>
      <c r="B1631" t="str">
        <f>Table3[[#This Row],[Client ID]] &amp; " - " &amp; Table3[[#This Row],[SO Number]]</f>
        <v>CHICKEN DELI - SUPERBOWL - GENERIC - SO-190</v>
      </c>
      <c r="C1631" t="s">
        <v>891</v>
      </c>
      <c r="D1631" t="s">
        <v>20</v>
      </c>
      <c r="E1631" t="s">
        <v>835</v>
      </c>
      <c r="F1631" t="s">
        <v>15</v>
      </c>
      <c r="G1631" t="s">
        <v>22</v>
      </c>
      <c r="H1631" t="s">
        <v>782</v>
      </c>
      <c r="I1631" t="s">
        <v>838</v>
      </c>
      <c r="J1631">
        <v>1</v>
      </c>
      <c r="K1631">
        <v>2975</v>
      </c>
      <c r="L1631">
        <v>8500</v>
      </c>
      <c r="M1631">
        <v>8500</v>
      </c>
      <c r="N1631" t="s">
        <v>19</v>
      </c>
    </row>
    <row r="1632" spans="1:14" x14ac:dyDescent="0.25">
      <c r="A1632" t="str">
        <f>Table3[[#This Row],[Company Name]] &amp; " - " &amp; Table3[[#This Row],[Store Name]] &amp; " - " &amp; Table3[[#This Row],[Store Branch / Address]]</f>
        <v>CHICKEN DELI - SUPERBOWL - GENERIC</v>
      </c>
      <c r="B1632" t="str">
        <f>Table3[[#This Row],[Client ID]] &amp; " - " &amp; Table3[[#This Row],[SO Number]]</f>
        <v>CHICKEN DELI - SUPERBOWL - GENERIC - SO-190</v>
      </c>
      <c r="C1632" t="s">
        <v>891</v>
      </c>
      <c r="D1632" t="s">
        <v>20</v>
      </c>
      <c r="E1632" t="s">
        <v>835</v>
      </c>
      <c r="F1632" t="s">
        <v>15</v>
      </c>
      <c r="G1632" t="s">
        <v>22</v>
      </c>
      <c r="H1632" t="s">
        <v>782</v>
      </c>
      <c r="I1632" t="s">
        <v>170</v>
      </c>
      <c r="J1632">
        <v>1</v>
      </c>
      <c r="K1632">
        <v>8000</v>
      </c>
      <c r="L1632">
        <v>8000</v>
      </c>
      <c r="M1632">
        <v>8000</v>
      </c>
      <c r="N1632" t="s">
        <v>19</v>
      </c>
    </row>
    <row r="1633" spans="1:14" x14ac:dyDescent="0.25">
      <c r="A1633" t="str">
        <f>Table3[[#This Row],[Company Name]] &amp; " - " &amp; Table3[[#This Row],[Store Name]] &amp; " - " &amp; Table3[[#This Row],[Store Branch / Address]]</f>
        <v>CHICKEN DELI - SUPERBOWL - GENERIC</v>
      </c>
      <c r="B1633" t="str">
        <f>Table3[[#This Row],[Client ID]] &amp; " - " &amp; Table3[[#This Row],[SO Number]]</f>
        <v>CHICKEN DELI - SUPERBOWL - GENERIC - SO-190</v>
      </c>
      <c r="C1633" t="s">
        <v>891</v>
      </c>
      <c r="D1633" t="s">
        <v>20</v>
      </c>
      <c r="E1633" t="s">
        <v>835</v>
      </c>
      <c r="F1633" t="s">
        <v>15</v>
      </c>
      <c r="G1633" t="s">
        <v>22</v>
      </c>
      <c r="H1633" t="s">
        <v>782</v>
      </c>
      <c r="I1633" t="s">
        <v>24</v>
      </c>
      <c r="J1633">
        <v>1</v>
      </c>
      <c r="K1633">
        <v>8000</v>
      </c>
      <c r="L1633">
        <v>8000</v>
      </c>
      <c r="M1633">
        <v>8000</v>
      </c>
      <c r="N1633" t="s">
        <v>19</v>
      </c>
    </row>
    <row r="1634" spans="1:14" x14ac:dyDescent="0.25">
      <c r="A1634" t="str">
        <f>Table3[[#This Row],[Company Name]] &amp; " - " &amp; Table3[[#This Row],[Store Name]] &amp; " - " &amp; Table3[[#This Row],[Store Branch / Address]]</f>
        <v>CHICKEN DELI - SUPERBOWL - GENERIC</v>
      </c>
      <c r="B1634" t="str">
        <f>Table3[[#This Row],[Client ID]] &amp; " - " &amp; Table3[[#This Row],[SO Number]]</f>
        <v>CHICKEN DELI - SUPERBOWL - GENERIC - SO-190</v>
      </c>
      <c r="C1634" t="s">
        <v>891</v>
      </c>
      <c r="D1634" t="s">
        <v>20</v>
      </c>
      <c r="E1634" t="s">
        <v>835</v>
      </c>
      <c r="F1634" t="s">
        <v>15</v>
      </c>
      <c r="G1634" t="s">
        <v>22</v>
      </c>
      <c r="H1634" t="s">
        <v>782</v>
      </c>
      <c r="I1634" t="s">
        <v>26</v>
      </c>
      <c r="J1634">
        <v>1</v>
      </c>
      <c r="K1634">
        <v>500</v>
      </c>
      <c r="L1634">
        <v>500</v>
      </c>
      <c r="M1634">
        <v>500</v>
      </c>
      <c r="N1634" t="s">
        <v>19</v>
      </c>
    </row>
    <row r="1635" spans="1:14" x14ac:dyDescent="0.25">
      <c r="A1635" t="str">
        <f>Table3[[#This Row],[Company Name]] &amp; " - " &amp; Table3[[#This Row],[Store Name]] &amp; " - " &amp; Table3[[#This Row],[Store Branch / Address]]</f>
        <v>STAR 360 PHILIPPINES INC - YANKEE CANDLES - SM MOA</v>
      </c>
      <c r="B1635" t="str">
        <f>Table3[[#This Row],[Client ID]] &amp; " - " &amp; Table3[[#This Row],[SO Number]]</f>
        <v>STAR 360 PHILIPPINES INC - YANKEE CANDLES - SM MOA - SO-077</v>
      </c>
      <c r="C1635" t="s">
        <v>466</v>
      </c>
      <c r="D1635" t="s">
        <v>1062</v>
      </c>
      <c r="E1635" t="s">
        <v>1063</v>
      </c>
      <c r="F1635" t="s">
        <v>201</v>
      </c>
      <c r="G1635" t="s">
        <v>1031</v>
      </c>
      <c r="H1635" t="s">
        <v>782</v>
      </c>
      <c r="I1635" t="s">
        <v>1153</v>
      </c>
      <c r="J1635">
        <v>1</v>
      </c>
      <c r="K1635">
        <v>3675</v>
      </c>
      <c r="L1635">
        <v>10500</v>
      </c>
      <c r="M1635">
        <v>10500</v>
      </c>
      <c r="N1635" t="s">
        <v>1010</v>
      </c>
    </row>
    <row r="1636" spans="1:14" x14ac:dyDescent="0.25">
      <c r="A1636" t="str">
        <f>Table3[[#This Row],[Company Name]] &amp; " - " &amp; Table3[[#This Row],[Store Name]] &amp; " - " &amp; Table3[[#This Row],[Store Branch / Address]]</f>
        <v>STAR 360 PHILIPPINES INC - YANKEE CANDLES - SM MOA</v>
      </c>
      <c r="B1636" t="str">
        <f>Table3[[#This Row],[Client ID]] &amp; " - " &amp; Table3[[#This Row],[SO Number]]</f>
        <v>STAR 360 PHILIPPINES INC - YANKEE CANDLES - SM MOA - SO-077</v>
      </c>
      <c r="C1636" t="s">
        <v>466</v>
      </c>
      <c r="D1636" t="s">
        <v>1062</v>
      </c>
      <c r="E1636" t="s">
        <v>1063</v>
      </c>
      <c r="F1636" t="s">
        <v>201</v>
      </c>
      <c r="G1636" t="s">
        <v>1031</v>
      </c>
      <c r="H1636" t="s">
        <v>782</v>
      </c>
      <c r="I1636" t="s">
        <v>1011</v>
      </c>
      <c r="J1636">
        <v>1</v>
      </c>
      <c r="K1636">
        <v>3500</v>
      </c>
      <c r="L1636">
        <v>10000</v>
      </c>
      <c r="M1636">
        <v>10000</v>
      </c>
      <c r="N1636" t="s">
        <v>1010</v>
      </c>
    </row>
    <row r="1637" spans="1:14" x14ac:dyDescent="0.25">
      <c r="A1637" t="str">
        <f>Table3[[#This Row],[Company Name]] &amp; " - " &amp; Table3[[#This Row],[Store Name]] &amp; " - " &amp; Table3[[#This Row],[Store Branch / Address]]</f>
        <v>STAR 360 PHILIPPINES INC - YANKEE CANDLES - SM MOA</v>
      </c>
      <c r="B1637" t="str">
        <f>Table3[[#This Row],[Client ID]] &amp; " - " &amp; Table3[[#This Row],[SO Number]]</f>
        <v>STAR 360 PHILIPPINES INC - YANKEE CANDLES - SM MOA - SO-077</v>
      </c>
      <c r="C1637" t="s">
        <v>466</v>
      </c>
      <c r="D1637" t="s">
        <v>1062</v>
      </c>
      <c r="E1637" t="s">
        <v>1063</v>
      </c>
      <c r="F1637" t="s">
        <v>201</v>
      </c>
      <c r="G1637" t="s">
        <v>1031</v>
      </c>
      <c r="H1637" t="s">
        <v>782</v>
      </c>
      <c r="I1637" t="s">
        <v>24</v>
      </c>
      <c r="J1637">
        <v>1</v>
      </c>
      <c r="K1637">
        <v>3500</v>
      </c>
      <c r="L1637">
        <v>10000</v>
      </c>
      <c r="M1637">
        <v>10000</v>
      </c>
      <c r="N1637" t="s">
        <v>1010</v>
      </c>
    </row>
    <row r="1638" spans="1:14" x14ac:dyDescent="0.25">
      <c r="A1638" t="str">
        <f>Table3[[#This Row],[Company Name]] &amp; " - " &amp; Table3[[#This Row],[Store Name]] &amp; " - " &amp; Table3[[#This Row],[Store Branch / Address]]</f>
        <v>STAR 360 PHILIPPINES INC - YANKEE CANDLES - SM MOA</v>
      </c>
      <c r="B1638" t="str">
        <f>Table3[[#This Row],[Client ID]] &amp; " - " &amp; Table3[[#This Row],[SO Number]]</f>
        <v>STAR 360 PHILIPPINES INC - YANKEE CANDLES - SM MOA - SO-077</v>
      </c>
      <c r="C1638" t="s">
        <v>466</v>
      </c>
      <c r="D1638" t="s">
        <v>1062</v>
      </c>
      <c r="E1638" t="s">
        <v>1063</v>
      </c>
      <c r="F1638" t="s">
        <v>201</v>
      </c>
      <c r="G1638" t="s">
        <v>1031</v>
      </c>
      <c r="H1638" t="s">
        <v>782</v>
      </c>
      <c r="I1638" t="s">
        <v>26</v>
      </c>
      <c r="J1638">
        <v>1</v>
      </c>
      <c r="K1638">
        <v>500</v>
      </c>
      <c r="L1638">
        <v>500</v>
      </c>
      <c r="M1638">
        <v>500</v>
      </c>
      <c r="N1638" t="s">
        <v>1010</v>
      </c>
    </row>
    <row r="1639" spans="1:14" x14ac:dyDescent="0.25">
      <c r="A1639" t="str">
        <f>Table3[[#This Row],[Company Name]] &amp; " - " &amp; Table3[[#This Row],[Store Name]] &amp; " - " &amp; Table3[[#This Row],[Store Branch / Address]]</f>
        <v>STAR 360 PHILIPPINES INC - YANKEE CANDLES - SM MOA</v>
      </c>
      <c r="B1639" t="str">
        <f>Table3[[#This Row],[Client ID]] &amp; " - " &amp; Table3[[#This Row],[SO Number]]</f>
        <v>STAR 360 PHILIPPINES INC - YANKEE CANDLES - SM MOA - SO-077</v>
      </c>
      <c r="C1639" t="s">
        <v>466</v>
      </c>
      <c r="D1639" t="s">
        <v>1062</v>
      </c>
      <c r="E1639" t="s">
        <v>1063</v>
      </c>
      <c r="F1639" t="s">
        <v>201</v>
      </c>
      <c r="G1639" t="s">
        <v>1031</v>
      </c>
      <c r="H1639" t="s">
        <v>782</v>
      </c>
      <c r="I1639" t="s">
        <v>1066</v>
      </c>
      <c r="J1639">
        <v>1</v>
      </c>
      <c r="K1639">
        <v>23450</v>
      </c>
      <c r="L1639">
        <v>30300</v>
      </c>
      <c r="M1639">
        <v>30300</v>
      </c>
      <c r="N1639" t="s">
        <v>1010</v>
      </c>
    </row>
    <row r="1640" spans="1:14" x14ac:dyDescent="0.25">
      <c r="A1640" t="str">
        <f>Table3[[#This Row],[Company Name]] &amp; " - " &amp; Table3[[#This Row],[Store Name]] &amp; " - " &amp; Table3[[#This Row],[Store Branch / Address]]</f>
        <v>STAR 360 PHILIPPINES INC - YANKEE CANDLES - SM MOA</v>
      </c>
      <c r="B1640" t="str">
        <f>Table3[[#This Row],[Client ID]] &amp; " - " &amp; Table3[[#This Row],[SO Number]]</f>
        <v>STAR 360 PHILIPPINES INC - YANKEE CANDLES - SM MOA - SO-077</v>
      </c>
      <c r="C1640" t="s">
        <v>466</v>
      </c>
      <c r="D1640" t="s">
        <v>1062</v>
      </c>
      <c r="E1640" t="s">
        <v>1063</v>
      </c>
      <c r="F1640" t="s">
        <v>201</v>
      </c>
      <c r="G1640" t="s">
        <v>1031</v>
      </c>
      <c r="H1640" t="s">
        <v>782</v>
      </c>
      <c r="I1640" t="s">
        <v>151</v>
      </c>
      <c r="J1640">
        <v>1</v>
      </c>
      <c r="K1640">
        <v>2000</v>
      </c>
      <c r="L1640">
        <v>4000</v>
      </c>
      <c r="M1640">
        <v>4000</v>
      </c>
      <c r="N1640" t="s">
        <v>1010</v>
      </c>
    </row>
    <row r="1641" spans="1:14" x14ac:dyDescent="0.25">
      <c r="A1641" t="str">
        <f>Table3[[#This Row],[Company Name]] &amp; " - " &amp; Table3[[#This Row],[Store Name]] &amp; " - " &amp; Table3[[#This Row],[Store Branch / Address]]</f>
        <v>STAR 360 PHILIPPINES INC - YANKEE CANDLES - SM MOA</v>
      </c>
      <c r="B1641" t="str">
        <f>Table3[[#This Row],[Client ID]] &amp; " - " &amp; Table3[[#This Row],[SO Number]]</f>
        <v>STAR 360 PHILIPPINES INC - YANKEE CANDLES - SM MOA - SO-077</v>
      </c>
      <c r="C1641" t="s">
        <v>466</v>
      </c>
      <c r="D1641" t="s">
        <v>1062</v>
      </c>
      <c r="E1641" t="s">
        <v>1063</v>
      </c>
      <c r="F1641" t="s">
        <v>201</v>
      </c>
      <c r="G1641" t="s">
        <v>1031</v>
      </c>
      <c r="H1641" t="s">
        <v>782</v>
      </c>
      <c r="I1641" t="s">
        <v>189</v>
      </c>
      <c r="J1641">
        <v>1</v>
      </c>
      <c r="K1641">
        <v>500</v>
      </c>
      <c r="L1641">
        <v>700</v>
      </c>
      <c r="M1641">
        <v>700</v>
      </c>
      <c r="N1641" t="s">
        <v>1010</v>
      </c>
    </row>
    <row r="1642" spans="1:14" x14ac:dyDescent="0.25">
      <c r="A1642" t="str">
        <f>Table3[[#This Row],[Company Name]] &amp; " - " &amp; Table3[[#This Row],[Store Name]] &amp; " - " &amp; Table3[[#This Row],[Store Branch / Address]]</f>
        <v>STAR 360 PHILIPPINES INC - YANKEE CANDLES - SM MOA</v>
      </c>
      <c r="B1642" t="str">
        <f>Table3[[#This Row],[Client ID]] &amp; " - " &amp; Table3[[#This Row],[SO Number]]</f>
        <v>STAR 360 PHILIPPINES INC - YANKEE CANDLES - SM MOA - SO-077</v>
      </c>
      <c r="C1642" t="s">
        <v>466</v>
      </c>
      <c r="D1642" t="s">
        <v>1062</v>
      </c>
      <c r="E1642" t="s">
        <v>1063</v>
      </c>
      <c r="F1642" t="s">
        <v>201</v>
      </c>
      <c r="G1642" t="s">
        <v>1031</v>
      </c>
      <c r="H1642" t="s">
        <v>782</v>
      </c>
      <c r="I1642" t="s">
        <v>1033</v>
      </c>
      <c r="J1642">
        <v>1</v>
      </c>
      <c r="K1642">
        <v>350</v>
      </c>
      <c r="L1642">
        <v>500</v>
      </c>
      <c r="M1642">
        <v>500</v>
      </c>
      <c r="N1642" t="s">
        <v>1010</v>
      </c>
    </row>
    <row r="1643" spans="1:14" x14ac:dyDescent="0.25">
      <c r="A1643" t="str">
        <f>Table3[[#This Row],[Company Name]] &amp; " - " &amp; Table3[[#This Row],[Store Name]] &amp; " - " &amp; Table3[[#This Row],[Store Branch / Address]]</f>
        <v>STAR 360 PHILIPPINES INC - YANKEE CANDLES - SM MOA</v>
      </c>
      <c r="B1643" t="str">
        <f>Table3[[#This Row],[Client ID]] &amp; " - " &amp; Table3[[#This Row],[SO Number]]</f>
        <v>STAR 360 PHILIPPINES INC - YANKEE CANDLES - SM MOA - SO-077</v>
      </c>
      <c r="C1643" t="s">
        <v>466</v>
      </c>
      <c r="D1643" t="s">
        <v>1062</v>
      </c>
      <c r="E1643" t="s">
        <v>1063</v>
      </c>
      <c r="F1643" t="s">
        <v>201</v>
      </c>
      <c r="G1643" t="s">
        <v>1031</v>
      </c>
      <c r="H1643" t="s">
        <v>782</v>
      </c>
      <c r="I1643" t="s">
        <v>1014</v>
      </c>
      <c r="J1643">
        <v>1</v>
      </c>
      <c r="K1643">
        <v>970</v>
      </c>
      <c r="L1643">
        <v>1500</v>
      </c>
      <c r="M1643">
        <v>1500</v>
      </c>
      <c r="N1643" t="s">
        <v>1010</v>
      </c>
    </row>
    <row r="1644" spans="1:14" x14ac:dyDescent="0.25">
      <c r="A1644" t="str">
        <f>Table3[[#This Row],[Company Name]] &amp; " - " &amp; Table3[[#This Row],[Store Name]] &amp; " - " &amp; Table3[[#This Row],[Store Branch / Address]]</f>
        <v>STAR 360 PHILIPPINES INC - YANKEE CANDLES - SM MOA</v>
      </c>
      <c r="B1644" t="str">
        <f>Table3[[#This Row],[Client ID]] &amp; " - " &amp; Table3[[#This Row],[SO Number]]</f>
        <v>STAR 360 PHILIPPINES INC - YANKEE CANDLES - SM MOA - SO-077</v>
      </c>
      <c r="C1644" t="s">
        <v>466</v>
      </c>
      <c r="D1644" t="s">
        <v>1062</v>
      </c>
      <c r="E1644" t="s">
        <v>1063</v>
      </c>
      <c r="F1644" t="s">
        <v>201</v>
      </c>
      <c r="G1644" t="s">
        <v>1031</v>
      </c>
      <c r="H1644" t="s">
        <v>782</v>
      </c>
      <c r="I1644" t="s">
        <v>1067</v>
      </c>
      <c r="J1644">
        <v>1</v>
      </c>
      <c r="K1644">
        <v>4250</v>
      </c>
      <c r="L1644">
        <v>6500</v>
      </c>
      <c r="M1644">
        <v>6500</v>
      </c>
      <c r="N1644" t="s">
        <v>1010</v>
      </c>
    </row>
    <row r="1645" spans="1:14" x14ac:dyDescent="0.25">
      <c r="A1645" t="str">
        <f>Table3[[#This Row],[Company Name]] &amp; " - " &amp; Table3[[#This Row],[Store Name]] &amp; " - " &amp; Table3[[#This Row],[Store Branch / Address]]</f>
        <v>STAR 360 PHILIPPINES INC - YANKEE CANDLES - SM MOA</v>
      </c>
      <c r="B1645" t="str">
        <f>Table3[[#This Row],[Client ID]] &amp; " - " &amp; Table3[[#This Row],[SO Number]]</f>
        <v>STAR 360 PHILIPPINES INC - YANKEE CANDLES - SM MOA - SO-077</v>
      </c>
      <c r="C1645" t="s">
        <v>466</v>
      </c>
      <c r="D1645" t="s">
        <v>1062</v>
      </c>
      <c r="E1645" t="s">
        <v>1063</v>
      </c>
      <c r="F1645" t="s">
        <v>201</v>
      </c>
      <c r="G1645" t="s">
        <v>1031</v>
      </c>
      <c r="H1645" t="s">
        <v>782</v>
      </c>
      <c r="I1645" t="s">
        <v>85</v>
      </c>
      <c r="J1645">
        <v>1</v>
      </c>
      <c r="K1645">
        <v>1350</v>
      </c>
      <c r="L1645">
        <v>2000</v>
      </c>
      <c r="M1645">
        <v>2000</v>
      </c>
      <c r="N1645" t="s">
        <v>1010</v>
      </c>
    </row>
    <row r="1646" spans="1:14" x14ac:dyDescent="0.25">
      <c r="A1646" t="str">
        <f>Table3[[#This Row],[Company Name]] &amp; " - " &amp; Table3[[#This Row],[Store Name]] &amp; " - " &amp; Table3[[#This Row],[Store Branch / Address]]</f>
        <v>STAR 360 PHILIPPINES INC - YANKEE CANDLES - SM MOA</v>
      </c>
      <c r="B1646" t="str">
        <f>Table3[[#This Row],[Client ID]] &amp; " - " &amp; Table3[[#This Row],[SO Number]]</f>
        <v>STAR 360 PHILIPPINES INC - YANKEE CANDLES - SM MOA - SO-077</v>
      </c>
      <c r="C1646" t="s">
        <v>466</v>
      </c>
      <c r="D1646" t="s">
        <v>1062</v>
      </c>
      <c r="E1646" t="s">
        <v>1063</v>
      </c>
      <c r="F1646" t="s">
        <v>201</v>
      </c>
      <c r="G1646" t="s">
        <v>1031</v>
      </c>
      <c r="H1646" t="s">
        <v>782</v>
      </c>
      <c r="I1646" t="s">
        <v>97</v>
      </c>
      <c r="J1646">
        <v>1</v>
      </c>
      <c r="K1646">
        <v>2200</v>
      </c>
      <c r="L1646">
        <v>3500</v>
      </c>
      <c r="M1646">
        <v>3500</v>
      </c>
      <c r="N1646" t="s">
        <v>1010</v>
      </c>
    </row>
    <row r="1647" spans="1:14" x14ac:dyDescent="0.25">
      <c r="A1647" t="str">
        <f>Table3[[#This Row],[Company Name]] &amp; " - " &amp; Table3[[#This Row],[Store Name]] &amp; " - " &amp; Table3[[#This Row],[Store Branch / Address]]</f>
        <v>STAR 360 PHILIPPINES INC - YANKEE CANDLES - SM MOA</v>
      </c>
      <c r="B1647" t="str">
        <f>Table3[[#This Row],[Client ID]] &amp; " - " &amp; Table3[[#This Row],[SO Number]]</f>
        <v>STAR 360 PHILIPPINES INC - YANKEE CANDLES - SM MOA - SO-077</v>
      </c>
      <c r="C1647" t="s">
        <v>466</v>
      </c>
      <c r="D1647" t="s">
        <v>1062</v>
      </c>
      <c r="E1647" t="s">
        <v>1063</v>
      </c>
      <c r="F1647" t="s">
        <v>201</v>
      </c>
      <c r="G1647" t="s">
        <v>1031</v>
      </c>
      <c r="H1647" t="s">
        <v>782</v>
      </c>
      <c r="I1647" t="s">
        <v>63</v>
      </c>
      <c r="J1647">
        <v>1</v>
      </c>
      <c r="K1647">
        <v>500</v>
      </c>
      <c r="L1647">
        <v>500</v>
      </c>
      <c r="M1647">
        <v>500</v>
      </c>
      <c r="N1647" t="s">
        <v>1010</v>
      </c>
    </row>
    <row r="1648" spans="1:14" x14ac:dyDescent="0.25">
      <c r="A1648" t="str">
        <f>Table3[[#This Row],[Company Name]] &amp; " - " &amp; Table3[[#This Row],[Store Name]] &amp; " - " &amp; Table3[[#This Row],[Store Branch / Address]]</f>
        <v>TIMELESS BAR AND RESTAURANT CONCEPTS INC - DILLINGER - GENERIC</v>
      </c>
      <c r="B1648" t="str">
        <f>Table3[[#This Row],[Client ID]] &amp; " - " &amp; Table3[[#This Row],[SO Number]]</f>
        <v>TIMELESS BAR AND RESTAURANT CONCEPTS INC - DILLINGER - GENERIC - SO-159</v>
      </c>
      <c r="C1648" t="s">
        <v>789</v>
      </c>
      <c r="D1648" t="s">
        <v>713</v>
      </c>
      <c r="E1648" t="s">
        <v>714</v>
      </c>
      <c r="F1648" t="s">
        <v>15</v>
      </c>
      <c r="G1648" t="s">
        <v>37</v>
      </c>
      <c r="H1648" t="s">
        <v>790</v>
      </c>
      <c r="I1648" t="s">
        <v>161</v>
      </c>
      <c r="J1648">
        <v>1</v>
      </c>
      <c r="K1648">
        <v>8500</v>
      </c>
      <c r="L1648">
        <v>12000</v>
      </c>
      <c r="M1648">
        <v>12000</v>
      </c>
      <c r="N1648" t="s">
        <v>19</v>
      </c>
    </row>
    <row r="1649" spans="1:14" x14ac:dyDescent="0.25">
      <c r="A1649" t="str">
        <f>Table3[[#This Row],[Company Name]] &amp; " - " &amp; Table3[[#This Row],[Store Name]] &amp; " - " &amp; Table3[[#This Row],[Store Branch / Address]]</f>
        <v>TIMELESS BAR AND RESTAURANT CONCEPTS INC - DILLINGER - GENERIC</v>
      </c>
      <c r="B1649" t="str">
        <f>Table3[[#This Row],[Client ID]] &amp; " - " &amp; Table3[[#This Row],[SO Number]]</f>
        <v>TIMELESS BAR AND RESTAURANT CONCEPTS INC - DILLINGER - GENERIC - SO-159</v>
      </c>
      <c r="C1649" t="s">
        <v>789</v>
      </c>
      <c r="D1649" t="s">
        <v>713</v>
      </c>
      <c r="E1649" t="s">
        <v>714</v>
      </c>
      <c r="F1649" t="s">
        <v>15</v>
      </c>
      <c r="G1649" t="s">
        <v>37</v>
      </c>
      <c r="H1649" t="s">
        <v>790</v>
      </c>
      <c r="I1649" t="s">
        <v>393</v>
      </c>
      <c r="J1649">
        <v>1</v>
      </c>
      <c r="K1649">
        <v>500</v>
      </c>
      <c r="L1649">
        <v>500</v>
      </c>
      <c r="M1649">
        <v>500</v>
      </c>
      <c r="N1649" t="s">
        <v>19</v>
      </c>
    </row>
    <row r="1650" spans="1:14" x14ac:dyDescent="0.25">
      <c r="A1650" t="str">
        <f>Table3[[#This Row],[Company Name]] &amp; " - " &amp; Table3[[#This Row],[Store Name]] &amp; " - " &amp; Table3[[#This Row],[Store Branch / Address]]</f>
        <v>CHICKEN DELI - OJO EYEWEAR - GENERIC</v>
      </c>
      <c r="B1650" t="str">
        <f>Table3[[#This Row],[Client ID]] &amp; " - " &amp; Table3[[#This Row],[SO Number]]</f>
        <v>CHICKEN DELI - OJO EYEWEAR - GENERIC - SO-191</v>
      </c>
      <c r="C1650" t="s">
        <v>895</v>
      </c>
      <c r="D1650" t="s">
        <v>20</v>
      </c>
      <c r="E1650" t="s">
        <v>70</v>
      </c>
      <c r="F1650" t="s">
        <v>15</v>
      </c>
      <c r="G1650" t="s">
        <v>22</v>
      </c>
      <c r="H1650" t="s">
        <v>790</v>
      </c>
      <c r="I1650" t="s">
        <v>715</v>
      </c>
      <c r="J1650">
        <v>200</v>
      </c>
      <c r="K1650">
        <v>17</v>
      </c>
      <c r="L1650">
        <v>25</v>
      </c>
      <c r="M1650">
        <v>5000</v>
      </c>
      <c r="N1650" t="s">
        <v>19</v>
      </c>
    </row>
    <row r="1651" spans="1:14" x14ac:dyDescent="0.25">
      <c r="A1651" t="str">
        <f>Table3[[#This Row],[Company Name]] &amp; " - " &amp; Table3[[#This Row],[Store Name]] &amp; " - " &amp; Table3[[#This Row],[Store Branch / Address]]</f>
        <v>CHICKEN DELI - THE VIEW REST. - GENERIC</v>
      </c>
      <c r="B1651" t="str">
        <f>Table3[[#This Row],[Client ID]] &amp; " - " &amp; Table3[[#This Row],[SO Number]]</f>
        <v>CHICKEN DELI - THE VIEW REST. - GENERIC - SO-192</v>
      </c>
      <c r="C1651" t="s">
        <v>897</v>
      </c>
      <c r="D1651" t="s">
        <v>20</v>
      </c>
      <c r="E1651" t="s">
        <v>901</v>
      </c>
      <c r="F1651" t="s">
        <v>15</v>
      </c>
      <c r="G1651" t="s">
        <v>22</v>
      </c>
      <c r="H1651" t="s">
        <v>902</v>
      </c>
      <c r="I1651" t="s">
        <v>91</v>
      </c>
      <c r="J1651">
        <v>1</v>
      </c>
      <c r="K1651">
        <v>3675</v>
      </c>
      <c r="L1651">
        <v>10500</v>
      </c>
      <c r="M1651">
        <v>10500</v>
      </c>
      <c r="N1651" t="s">
        <v>19</v>
      </c>
    </row>
    <row r="1652" spans="1:14" x14ac:dyDescent="0.25">
      <c r="A1652" t="str">
        <f>Table3[[#This Row],[Company Name]] &amp; " - " &amp; Table3[[#This Row],[Store Name]] &amp; " - " &amp; Table3[[#This Row],[Store Branch / Address]]</f>
        <v>CHICKEN DELI - THE VIEW REST. - GENERIC</v>
      </c>
      <c r="B1652" t="str">
        <f>Table3[[#This Row],[Client ID]] &amp; " - " &amp; Table3[[#This Row],[SO Number]]</f>
        <v>CHICKEN DELI - THE VIEW REST. - GENERIC - SO-192</v>
      </c>
      <c r="C1652" t="s">
        <v>897</v>
      </c>
      <c r="D1652" t="s">
        <v>20</v>
      </c>
      <c r="E1652" t="s">
        <v>901</v>
      </c>
      <c r="F1652" t="s">
        <v>15</v>
      </c>
      <c r="G1652" t="s">
        <v>22</v>
      </c>
      <c r="H1652" t="s">
        <v>902</v>
      </c>
      <c r="I1652" t="s">
        <v>25</v>
      </c>
      <c r="J1652">
        <v>1</v>
      </c>
      <c r="K1652">
        <v>10000</v>
      </c>
      <c r="L1652">
        <v>10000</v>
      </c>
      <c r="M1652">
        <v>10000</v>
      </c>
      <c r="N1652" t="s">
        <v>19</v>
      </c>
    </row>
    <row r="1653" spans="1:14" x14ac:dyDescent="0.25">
      <c r="A1653" t="str">
        <f>Table3[[#This Row],[Company Name]] &amp; " - " &amp; Table3[[#This Row],[Store Name]] &amp; " - " &amp; Table3[[#This Row],[Store Branch / Address]]</f>
        <v>CHICKEN DELI - THE VIEW REST. - GENERIC</v>
      </c>
      <c r="B1653" t="str">
        <f>Table3[[#This Row],[Client ID]] &amp; " - " &amp; Table3[[#This Row],[SO Number]]</f>
        <v>CHICKEN DELI - THE VIEW REST. - GENERIC - SO-192</v>
      </c>
      <c r="C1653" t="s">
        <v>897</v>
      </c>
      <c r="D1653" t="s">
        <v>20</v>
      </c>
      <c r="E1653" t="s">
        <v>901</v>
      </c>
      <c r="F1653" t="s">
        <v>15</v>
      </c>
      <c r="G1653" t="s">
        <v>22</v>
      </c>
      <c r="H1653" t="s">
        <v>902</v>
      </c>
      <c r="I1653" t="s">
        <v>24</v>
      </c>
      <c r="J1653">
        <v>1</v>
      </c>
      <c r="K1653">
        <v>10000</v>
      </c>
      <c r="L1653">
        <v>10000</v>
      </c>
      <c r="M1653">
        <v>10000</v>
      </c>
      <c r="N1653" t="s">
        <v>19</v>
      </c>
    </row>
    <row r="1654" spans="1:14" x14ac:dyDescent="0.25">
      <c r="A1654" t="str">
        <f>Table3[[#This Row],[Company Name]] &amp; " - " &amp; Table3[[#This Row],[Store Name]] &amp; " - " &amp; Table3[[#This Row],[Store Branch / Address]]</f>
        <v>CHICKEN DELI - THE VIEW REST. - GENERIC</v>
      </c>
      <c r="B1654" t="str">
        <f>Table3[[#This Row],[Client ID]] &amp; " - " &amp; Table3[[#This Row],[SO Number]]</f>
        <v>CHICKEN DELI - THE VIEW REST. - GENERIC - SO-192</v>
      </c>
      <c r="C1654" t="s">
        <v>897</v>
      </c>
      <c r="D1654" t="s">
        <v>20</v>
      </c>
      <c r="E1654" t="s">
        <v>901</v>
      </c>
      <c r="F1654" t="s">
        <v>15</v>
      </c>
      <c r="G1654" t="s">
        <v>22</v>
      </c>
      <c r="H1654" t="s">
        <v>902</v>
      </c>
      <c r="I1654" t="s">
        <v>134</v>
      </c>
      <c r="J1654">
        <v>1</v>
      </c>
      <c r="K1654">
        <v>500</v>
      </c>
      <c r="L1654">
        <v>500</v>
      </c>
      <c r="M1654">
        <v>500</v>
      </c>
      <c r="N1654" t="s">
        <v>19</v>
      </c>
    </row>
    <row r="1655" spans="1:14" x14ac:dyDescent="0.25">
      <c r="A1655" t="str">
        <f>Table3[[#This Row],[Company Name]] &amp; " - " &amp; Table3[[#This Row],[Store Name]] &amp; " - " &amp; Table3[[#This Row],[Store Branch / Address]]</f>
        <v>CHICKEN DELI - THE VIEW REST. - GENERIC</v>
      </c>
      <c r="B1655" t="str">
        <f>Table3[[#This Row],[Client ID]] &amp; " - " &amp; Table3[[#This Row],[SO Number]]</f>
        <v>CHICKEN DELI - THE VIEW REST. - GENERIC - SO-192</v>
      </c>
      <c r="C1655" t="s">
        <v>897</v>
      </c>
      <c r="D1655" t="s">
        <v>20</v>
      </c>
      <c r="E1655" t="s">
        <v>901</v>
      </c>
      <c r="F1655" t="s">
        <v>15</v>
      </c>
      <c r="G1655" t="s">
        <v>22</v>
      </c>
      <c r="H1655" t="s">
        <v>902</v>
      </c>
      <c r="I1655" t="s">
        <v>93</v>
      </c>
      <c r="J1655">
        <v>1</v>
      </c>
      <c r="K1655">
        <v>11000</v>
      </c>
      <c r="L1655">
        <v>15500</v>
      </c>
      <c r="M1655">
        <v>15500</v>
      </c>
      <c r="N1655" t="s">
        <v>19</v>
      </c>
    </row>
    <row r="1656" spans="1:14" x14ac:dyDescent="0.25">
      <c r="A1656" t="str">
        <f>Table3[[#This Row],[Company Name]] &amp; " - " &amp; Table3[[#This Row],[Store Name]] &amp; " - " &amp; Table3[[#This Row],[Store Branch / Address]]</f>
        <v>CHICKEN DELI - THE VIEW REST. - GENERIC</v>
      </c>
      <c r="B1656" t="str">
        <f>Table3[[#This Row],[Client ID]] &amp; " - " &amp; Table3[[#This Row],[SO Number]]</f>
        <v>CHICKEN DELI - THE VIEW REST. - GENERIC - SO-192</v>
      </c>
      <c r="C1656" t="s">
        <v>897</v>
      </c>
      <c r="D1656" t="s">
        <v>20</v>
      </c>
      <c r="E1656" t="s">
        <v>901</v>
      </c>
      <c r="F1656" t="s">
        <v>15</v>
      </c>
      <c r="G1656" t="s">
        <v>22</v>
      </c>
      <c r="H1656" t="s">
        <v>902</v>
      </c>
      <c r="I1656" t="s">
        <v>903</v>
      </c>
      <c r="J1656">
        <v>1</v>
      </c>
      <c r="K1656">
        <v>8500</v>
      </c>
      <c r="L1656">
        <v>12000</v>
      </c>
      <c r="M1656">
        <v>12000</v>
      </c>
      <c r="N1656" t="s">
        <v>19</v>
      </c>
    </row>
    <row r="1657" spans="1:14" x14ac:dyDescent="0.25">
      <c r="A1657" t="str">
        <f>Table3[[#This Row],[Company Name]] &amp; " - " &amp; Table3[[#This Row],[Store Name]] &amp; " - " &amp; Table3[[#This Row],[Store Branch / Address]]</f>
        <v>CHICKEN DELI - THE VIEW REST. - GENERIC</v>
      </c>
      <c r="B1657" t="str">
        <f>Table3[[#This Row],[Client ID]] &amp; " - " &amp; Table3[[#This Row],[SO Number]]</f>
        <v>CHICKEN DELI - THE VIEW REST. - GENERIC - SO-192</v>
      </c>
      <c r="C1657" t="s">
        <v>897</v>
      </c>
      <c r="D1657" t="s">
        <v>20</v>
      </c>
      <c r="E1657" t="s">
        <v>901</v>
      </c>
      <c r="F1657" t="s">
        <v>15</v>
      </c>
      <c r="G1657" t="s">
        <v>22</v>
      </c>
      <c r="H1657" t="s">
        <v>902</v>
      </c>
      <c r="I1657" t="s">
        <v>904</v>
      </c>
      <c r="J1657">
        <v>1</v>
      </c>
      <c r="K1657">
        <v>9500</v>
      </c>
      <c r="L1657">
        <v>13500</v>
      </c>
      <c r="M1657">
        <v>13500</v>
      </c>
      <c r="N1657" t="s">
        <v>19</v>
      </c>
    </row>
    <row r="1658" spans="1:14" x14ac:dyDescent="0.25">
      <c r="A1658" t="str">
        <f>Table3[[#This Row],[Company Name]] &amp; " - " &amp; Table3[[#This Row],[Store Name]] &amp; " - " &amp; Table3[[#This Row],[Store Branch / Address]]</f>
        <v>CHICKEN DELI - THE VIEW REST. - GENERIC</v>
      </c>
      <c r="B1658" t="str">
        <f>Table3[[#This Row],[Client ID]] &amp; " - " &amp; Table3[[#This Row],[SO Number]]</f>
        <v>CHICKEN DELI - THE VIEW REST. - GENERIC - SO-192</v>
      </c>
      <c r="C1658" t="s">
        <v>897</v>
      </c>
      <c r="D1658" t="s">
        <v>20</v>
      </c>
      <c r="E1658" t="s">
        <v>901</v>
      </c>
      <c r="F1658" t="s">
        <v>15</v>
      </c>
      <c r="G1658" t="s">
        <v>22</v>
      </c>
      <c r="H1658" t="s">
        <v>902</v>
      </c>
      <c r="I1658" t="s">
        <v>905</v>
      </c>
      <c r="J1658">
        <v>1</v>
      </c>
      <c r="K1658">
        <v>9500</v>
      </c>
      <c r="L1658">
        <v>13500</v>
      </c>
      <c r="M1658">
        <v>13500</v>
      </c>
      <c r="N1658" t="s">
        <v>19</v>
      </c>
    </row>
    <row r="1659" spans="1:14" x14ac:dyDescent="0.25">
      <c r="A1659" t="str">
        <f>Table3[[#This Row],[Company Name]] &amp; " - " &amp; Table3[[#This Row],[Store Name]] &amp; " - " &amp; Table3[[#This Row],[Store Branch / Address]]</f>
        <v>CHICKEN DELI - THE VIEW REST. - GENERIC</v>
      </c>
      <c r="B1659" t="str">
        <f>Table3[[#This Row],[Client ID]] &amp; " - " &amp; Table3[[#This Row],[SO Number]]</f>
        <v>CHICKEN DELI - THE VIEW REST. - GENERIC - SO-192</v>
      </c>
      <c r="C1659" t="s">
        <v>897</v>
      </c>
      <c r="D1659" t="s">
        <v>20</v>
      </c>
      <c r="E1659" t="s">
        <v>901</v>
      </c>
      <c r="F1659" t="s">
        <v>15</v>
      </c>
      <c r="G1659" t="s">
        <v>22</v>
      </c>
      <c r="H1659" t="s">
        <v>902</v>
      </c>
      <c r="I1659" t="s">
        <v>381</v>
      </c>
      <c r="J1659">
        <v>50</v>
      </c>
      <c r="K1659">
        <v>850</v>
      </c>
      <c r="L1659">
        <v>1250</v>
      </c>
      <c r="M1659">
        <v>62500</v>
      </c>
      <c r="N1659" t="s">
        <v>19</v>
      </c>
    </row>
    <row r="1660" spans="1:14" x14ac:dyDescent="0.25">
      <c r="A1660" t="str">
        <f>Table3[[#This Row],[Company Name]] &amp; " - " &amp; Table3[[#This Row],[Store Name]] &amp; " - " &amp; Table3[[#This Row],[Store Branch / Address]]</f>
        <v>CHICKEN DELI - THE VIEW REST. - GENERIC</v>
      </c>
      <c r="B1660" t="str">
        <f>Table3[[#This Row],[Client ID]] &amp; " - " &amp; Table3[[#This Row],[SO Number]]</f>
        <v>CHICKEN DELI - THE VIEW REST. - GENERIC - SO-192</v>
      </c>
      <c r="C1660" t="s">
        <v>897</v>
      </c>
      <c r="D1660" t="s">
        <v>20</v>
      </c>
      <c r="E1660" t="s">
        <v>901</v>
      </c>
      <c r="F1660" t="s">
        <v>15</v>
      </c>
      <c r="G1660" t="s">
        <v>22</v>
      </c>
      <c r="H1660" t="s">
        <v>902</v>
      </c>
      <c r="I1660" t="s">
        <v>501</v>
      </c>
      <c r="J1660">
        <v>3</v>
      </c>
      <c r="K1660">
        <v>201</v>
      </c>
      <c r="L1660">
        <v>750</v>
      </c>
      <c r="M1660">
        <v>2250</v>
      </c>
      <c r="N1660" t="s">
        <v>19</v>
      </c>
    </row>
    <row r="1661" spans="1:14" x14ac:dyDescent="0.25">
      <c r="A1661" t="str">
        <f>Table3[[#This Row],[Company Name]] &amp; " - " &amp; Table3[[#This Row],[Store Name]] &amp; " - " &amp; Table3[[#This Row],[Store Branch / Address]]</f>
        <v>CHICKEN DELI - THE VIEW REST. - GENERIC</v>
      </c>
      <c r="B1661" t="str">
        <f>Table3[[#This Row],[Client ID]] &amp; " - " &amp; Table3[[#This Row],[SO Number]]</f>
        <v>CHICKEN DELI - THE VIEW REST. - GENERIC - SO-192</v>
      </c>
      <c r="C1661" t="s">
        <v>897</v>
      </c>
      <c r="D1661" t="s">
        <v>20</v>
      </c>
      <c r="E1661" t="s">
        <v>901</v>
      </c>
      <c r="F1661" t="s">
        <v>15</v>
      </c>
      <c r="G1661" t="s">
        <v>22</v>
      </c>
      <c r="H1661" t="s">
        <v>902</v>
      </c>
      <c r="I1661" t="s">
        <v>85</v>
      </c>
      <c r="J1661">
        <v>1</v>
      </c>
      <c r="K1661">
        <v>1350</v>
      </c>
      <c r="L1661">
        <v>1900</v>
      </c>
      <c r="M1661">
        <v>1900</v>
      </c>
      <c r="N1661" t="s">
        <v>19</v>
      </c>
    </row>
    <row r="1662" spans="1:14" x14ac:dyDescent="0.25">
      <c r="A1662" t="str">
        <f>Table3[[#This Row],[Company Name]] &amp; " - " &amp; Table3[[#This Row],[Store Name]] &amp; " - " &amp; Table3[[#This Row],[Store Branch / Address]]</f>
        <v>CHICKEN DELI - THE VIEW REST. - GENERIC</v>
      </c>
      <c r="B1662" t="str">
        <f>Table3[[#This Row],[Client ID]] &amp; " - " &amp; Table3[[#This Row],[SO Number]]</f>
        <v>CHICKEN DELI - THE VIEW REST. - GENERIC - SO-192</v>
      </c>
      <c r="C1662" t="s">
        <v>897</v>
      </c>
      <c r="D1662" t="s">
        <v>20</v>
      </c>
      <c r="E1662" t="s">
        <v>901</v>
      </c>
      <c r="F1662" t="s">
        <v>15</v>
      </c>
      <c r="G1662" t="s">
        <v>22</v>
      </c>
      <c r="H1662" t="s">
        <v>902</v>
      </c>
      <c r="I1662" t="s">
        <v>82</v>
      </c>
      <c r="J1662">
        <v>1</v>
      </c>
      <c r="K1662">
        <v>2200</v>
      </c>
      <c r="L1662">
        <v>3100</v>
      </c>
      <c r="M1662">
        <v>3100</v>
      </c>
      <c r="N1662" t="s">
        <v>19</v>
      </c>
    </row>
    <row r="1663" spans="1:14" x14ac:dyDescent="0.25">
      <c r="A1663" t="str">
        <f>Table3[[#This Row],[Company Name]] &amp; " - " &amp; Table3[[#This Row],[Store Name]] &amp; " - " &amp; Table3[[#This Row],[Store Branch / Address]]</f>
        <v>CHICKEN DELI - THE VIEW REST. - GENERIC</v>
      </c>
      <c r="B1663" t="str">
        <f>Table3[[#This Row],[Client ID]] &amp; " - " &amp; Table3[[#This Row],[SO Number]]</f>
        <v>CHICKEN DELI - THE VIEW REST. - GENERIC - SO-192</v>
      </c>
      <c r="C1663" t="s">
        <v>897</v>
      </c>
      <c r="D1663" t="s">
        <v>20</v>
      </c>
      <c r="E1663" t="s">
        <v>901</v>
      </c>
      <c r="F1663" t="s">
        <v>15</v>
      </c>
      <c r="G1663" t="s">
        <v>22</v>
      </c>
      <c r="H1663" t="s">
        <v>902</v>
      </c>
      <c r="I1663" t="s">
        <v>98</v>
      </c>
      <c r="J1663">
        <v>1</v>
      </c>
      <c r="K1663">
        <v>935</v>
      </c>
      <c r="L1663">
        <v>1300</v>
      </c>
      <c r="M1663">
        <v>1300</v>
      </c>
      <c r="N1663" t="s">
        <v>19</v>
      </c>
    </row>
    <row r="1664" spans="1:14" x14ac:dyDescent="0.25">
      <c r="A1664" t="str">
        <f>Table3[[#This Row],[Company Name]] &amp; " - " &amp; Table3[[#This Row],[Store Name]] &amp; " - " &amp; Table3[[#This Row],[Store Branch / Address]]</f>
        <v>CHICKEN DELI - THE VIEW REST. - GENERIC</v>
      </c>
      <c r="B1664" t="str">
        <f>Table3[[#This Row],[Client ID]] &amp; " - " &amp; Table3[[#This Row],[SO Number]]</f>
        <v>CHICKEN DELI - THE VIEW REST. - GENERIC - SO-192</v>
      </c>
      <c r="C1664" t="s">
        <v>897</v>
      </c>
      <c r="D1664" t="s">
        <v>20</v>
      </c>
      <c r="E1664" t="s">
        <v>901</v>
      </c>
      <c r="F1664" t="s">
        <v>15</v>
      </c>
      <c r="G1664" t="s">
        <v>22</v>
      </c>
      <c r="H1664" t="s">
        <v>902</v>
      </c>
      <c r="I1664" t="s">
        <v>862</v>
      </c>
      <c r="J1664">
        <v>1</v>
      </c>
      <c r="K1664">
        <v>22000</v>
      </c>
      <c r="L1664">
        <v>31500</v>
      </c>
      <c r="M1664">
        <v>31500</v>
      </c>
      <c r="N1664" t="s">
        <v>19</v>
      </c>
    </row>
    <row r="1665" spans="1:14" x14ac:dyDescent="0.25">
      <c r="A1665" t="str">
        <f>Table3[[#This Row],[Company Name]] &amp; " - " &amp; Table3[[#This Row],[Store Name]] &amp; " - " &amp; Table3[[#This Row],[Store Branch / Address]]</f>
        <v>CHICKEN DELI - THE VIEW REST. - GENERIC</v>
      </c>
      <c r="B1665" t="str">
        <f>Table3[[#This Row],[Client ID]] &amp; " - " &amp; Table3[[#This Row],[SO Number]]</f>
        <v>CHICKEN DELI - THE VIEW REST. - GENERIC - SO-192</v>
      </c>
      <c r="C1665" t="s">
        <v>897</v>
      </c>
      <c r="D1665" t="s">
        <v>20</v>
      </c>
      <c r="E1665" t="s">
        <v>901</v>
      </c>
      <c r="F1665" t="s">
        <v>15</v>
      </c>
      <c r="G1665" t="s">
        <v>22</v>
      </c>
      <c r="H1665" t="s">
        <v>902</v>
      </c>
      <c r="I1665" t="s">
        <v>99</v>
      </c>
      <c r="J1665">
        <v>1</v>
      </c>
      <c r="K1665">
        <v>2000</v>
      </c>
      <c r="L1665">
        <v>2800</v>
      </c>
      <c r="M1665">
        <v>2800</v>
      </c>
      <c r="N1665" t="s">
        <v>19</v>
      </c>
    </row>
    <row r="1666" spans="1:14" x14ac:dyDescent="0.25">
      <c r="A1666" t="str">
        <f>Table3[[#This Row],[Company Name]] &amp; " - " &amp; Table3[[#This Row],[Store Name]] &amp; " - " &amp; Table3[[#This Row],[Store Branch / Address]]</f>
        <v>CHICKEN DELI - THE VIEW REST. - GENERIC</v>
      </c>
      <c r="B1666" t="str">
        <f>Table3[[#This Row],[Client ID]] &amp; " - " &amp; Table3[[#This Row],[SO Number]]</f>
        <v>CHICKEN DELI - THE VIEW REST. - GENERIC - SO-192</v>
      </c>
      <c r="C1666" t="s">
        <v>897</v>
      </c>
      <c r="D1666" t="s">
        <v>20</v>
      </c>
      <c r="E1666" t="s">
        <v>901</v>
      </c>
      <c r="F1666" t="s">
        <v>15</v>
      </c>
      <c r="G1666" t="s">
        <v>22</v>
      </c>
      <c r="H1666" t="s">
        <v>902</v>
      </c>
      <c r="I1666" t="s">
        <v>280</v>
      </c>
      <c r="J1666">
        <v>1</v>
      </c>
      <c r="K1666">
        <v>850</v>
      </c>
      <c r="L1666">
        <v>1200</v>
      </c>
      <c r="M1666">
        <v>1200</v>
      </c>
      <c r="N1666" t="s">
        <v>19</v>
      </c>
    </row>
    <row r="1667" spans="1:14" x14ac:dyDescent="0.25">
      <c r="A1667" t="str">
        <f>Table3[[#This Row],[Company Name]] &amp; " - " &amp; Table3[[#This Row],[Store Name]] &amp; " - " &amp; Table3[[#This Row],[Store Branch / Address]]</f>
        <v>CHICKEN DELI - THE VIEW REST. - GENERIC</v>
      </c>
      <c r="B1667" t="str">
        <f>Table3[[#This Row],[Client ID]] &amp; " - " &amp; Table3[[#This Row],[SO Number]]</f>
        <v>CHICKEN DELI - THE VIEW REST. - GENERIC - SO-192</v>
      </c>
      <c r="C1667" t="s">
        <v>897</v>
      </c>
      <c r="D1667" t="s">
        <v>20</v>
      </c>
      <c r="E1667" t="s">
        <v>901</v>
      </c>
      <c r="F1667" t="s">
        <v>15</v>
      </c>
      <c r="G1667" t="s">
        <v>22</v>
      </c>
      <c r="H1667" t="s">
        <v>902</v>
      </c>
      <c r="I1667" t="s">
        <v>906</v>
      </c>
      <c r="J1667">
        <v>1</v>
      </c>
      <c r="K1667">
        <v>5000</v>
      </c>
      <c r="L1667">
        <v>5000</v>
      </c>
      <c r="M1667">
        <v>5000</v>
      </c>
      <c r="N1667" t="s">
        <v>19</v>
      </c>
    </row>
    <row r="1668" spans="1:14" x14ac:dyDescent="0.25">
      <c r="A1668" t="str">
        <f>Table3[[#This Row],[Company Name]] &amp; " - " &amp; Table3[[#This Row],[Store Name]] &amp; " - " &amp; Table3[[#This Row],[Store Branch / Address]]</f>
        <v>CHICKEN DELI - PAPA DOMS BAR &amp; REST. - GENERIC</v>
      </c>
      <c r="B1668" t="str">
        <f>Table3[[#This Row],[Client ID]] &amp; " - " &amp; Table3[[#This Row],[SO Number]]</f>
        <v>CHICKEN DELI - PAPA DOMS BAR &amp; REST. - GENERIC - SO-193</v>
      </c>
      <c r="C1668" t="s">
        <v>907</v>
      </c>
      <c r="D1668" t="s">
        <v>20</v>
      </c>
      <c r="E1668" t="s">
        <v>908</v>
      </c>
      <c r="F1668" t="s">
        <v>15</v>
      </c>
      <c r="G1668" t="s">
        <v>22</v>
      </c>
      <c r="H1668" t="s">
        <v>902</v>
      </c>
      <c r="I1668" t="s">
        <v>91</v>
      </c>
      <c r="J1668">
        <v>1</v>
      </c>
      <c r="K1668">
        <v>3675</v>
      </c>
      <c r="L1668">
        <v>10500</v>
      </c>
      <c r="M1668">
        <v>10500</v>
      </c>
      <c r="N1668" t="s">
        <v>19</v>
      </c>
    </row>
    <row r="1669" spans="1:14" x14ac:dyDescent="0.25">
      <c r="A1669" t="str">
        <f>Table3[[#This Row],[Company Name]] &amp; " - " &amp; Table3[[#This Row],[Store Name]] &amp; " - " &amp; Table3[[#This Row],[Store Branch / Address]]</f>
        <v>CHICKEN DELI - PAPA DOMS BAR &amp; REST. - GENERIC</v>
      </c>
      <c r="B1669" t="str">
        <f>Table3[[#This Row],[Client ID]] &amp; " - " &amp; Table3[[#This Row],[SO Number]]</f>
        <v>CHICKEN DELI - PAPA DOMS BAR &amp; REST. - GENERIC - SO-193</v>
      </c>
      <c r="C1669" t="s">
        <v>907</v>
      </c>
      <c r="D1669" t="s">
        <v>20</v>
      </c>
      <c r="E1669" t="s">
        <v>908</v>
      </c>
      <c r="F1669" t="s">
        <v>15</v>
      </c>
      <c r="G1669" t="s">
        <v>22</v>
      </c>
      <c r="H1669" t="s">
        <v>902</v>
      </c>
      <c r="I1669" t="s">
        <v>25</v>
      </c>
      <c r="J1669">
        <v>1</v>
      </c>
      <c r="K1669">
        <v>11650</v>
      </c>
      <c r="L1669">
        <v>11650</v>
      </c>
      <c r="M1669">
        <v>11650</v>
      </c>
      <c r="N1669" t="s">
        <v>19</v>
      </c>
    </row>
    <row r="1670" spans="1:14" x14ac:dyDescent="0.25">
      <c r="A1670" t="str">
        <f>Table3[[#This Row],[Company Name]] &amp; " - " &amp; Table3[[#This Row],[Store Name]] &amp; " - " &amp; Table3[[#This Row],[Store Branch / Address]]</f>
        <v>CHICKEN DELI - PAPA DOMS BAR &amp; REST. - GENERIC</v>
      </c>
      <c r="B1670" t="str">
        <f>Table3[[#This Row],[Client ID]] &amp; " - " &amp; Table3[[#This Row],[SO Number]]</f>
        <v>CHICKEN DELI - PAPA DOMS BAR &amp; REST. - GENERIC - SO-193</v>
      </c>
      <c r="C1670" t="s">
        <v>907</v>
      </c>
      <c r="D1670" t="s">
        <v>20</v>
      </c>
      <c r="E1670" t="s">
        <v>908</v>
      </c>
      <c r="F1670" t="s">
        <v>15</v>
      </c>
      <c r="G1670" t="s">
        <v>22</v>
      </c>
      <c r="H1670" t="s">
        <v>902</v>
      </c>
      <c r="I1670" t="s">
        <v>24</v>
      </c>
      <c r="J1670">
        <v>1</v>
      </c>
      <c r="K1670">
        <v>11650</v>
      </c>
      <c r="L1670">
        <v>11650</v>
      </c>
      <c r="M1670">
        <v>11650</v>
      </c>
      <c r="N1670" t="s">
        <v>19</v>
      </c>
    </row>
    <row r="1671" spans="1:14" x14ac:dyDescent="0.25">
      <c r="A1671" t="str">
        <f>Table3[[#This Row],[Company Name]] &amp; " - " &amp; Table3[[#This Row],[Store Name]] &amp; " - " &amp; Table3[[#This Row],[Store Branch / Address]]</f>
        <v>CHICKEN DELI - PAPA DOMS BAR &amp; REST. - GENERIC</v>
      </c>
      <c r="B1671" t="str">
        <f>Table3[[#This Row],[Client ID]] &amp; " - " &amp; Table3[[#This Row],[SO Number]]</f>
        <v>CHICKEN DELI - PAPA DOMS BAR &amp; REST. - GENERIC - SO-193</v>
      </c>
      <c r="C1671" t="s">
        <v>907</v>
      </c>
      <c r="D1671" t="s">
        <v>20</v>
      </c>
      <c r="E1671" t="s">
        <v>908</v>
      </c>
      <c r="F1671" t="s">
        <v>15</v>
      </c>
      <c r="G1671" t="s">
        <v>22</v>
      </c>
      <c r="H1671" t="s">
        <v>902</v>
      </c>
      <c r="I1671" t="s">
        <v>134</v>
      </c>
      <c r="J1671">
        <v>1</v>
      </c>
      <c r="K1671">
        <v>500</v>
      </c>
      <c r="L1671">
        <v>500</v>
      </c>
      <c r="M1671">
        <v>500</v>
      </c>
      <c r="N1671" t="s">
        <v>19</v>
      </c>
    </row>
    <row r="1672" spans="1:14" x14ac:dyDescent="0.25">
      <c r="A1672" t="str">
        <f>Table3[[#This Row],[Company Name]] &amp; " - " &amp; Table3[[#This Row],[Store Name]] &amp; " - " &amp; Table3[[#This Row],[Store Branch / Address]]</f>
        <v>CHICKEN DELI - PAPA DOMS BAR &amp; REST. - GENERIC</v>
      </c>
      <c r="B1672" t="str">
        <f>Table3[[#This Row],[Client ID]] &amp; " - " &amp; Table3[[#This Row],[SO Number]]</f>
        <v>CHICKEN DELI - PAPA DOMS BAR &amp; REST. - GENERIC - SO-193</v>
      </c>
      <c r="C1672" t="s">
        <v>907</v>
      </c>
      <c r="D1672" t="s">
        <v>20</v>
      </c>
      <c r="E1672" t="s">
        <v>908</v>
      </c>
      <c r="F1672" t="s">
        <v>15</v>
      </c>
      <c r="G1672" t="s">
        <v>22</v>
      </c>
      <c r="H1672" t="s">
        <v>902</v>
      </c>
      <c r="I1672" t="s">
        <v>93</v>
      </c>
      <c r="J1672">
        <v>1</v>
      </c>
      <c r="K1672">
        <v>11000</v>
      </c>
      <c r="L1672">
        <v>15500</v>
      </c>
      <c r="M1672">
        <v>15500</v>
      </c>
      <c r="N1672" t="s">
        <v>19</v>
      </c>
    </row>
    <row r="1673" spans="1:14" x14ac:dyDescent="0.25">
      <c r="A1673" t="str">
        <f>Table3[[#This Row],[Company Name]] &amp; " - " &amp; Table3[[#This Row],[Store Name]] &amp; " - " &amp; Table3[[#This Row],[Store Branch / Address]]</f>
        <v>CHICKEN DELI - PAPA DOMS BAR &amp; REST. - GENERIC</v>
      </c>
      <c r="B1673" t="str">
        <f>Table3[[#This Row],[Client ID]] &amp; " - " &amp; Table3[[#This Row],[SO Number]]</f>
        <v>CHICKEN DELI - PAPA DOMS BAR &amp; REST. - GENERIC - SO-193</v>
      </c>
      <c r="C1673" t="s">
        <v>907</v>
      </c>
      <c r="D1673" t="s">
        <v>20</v>
      </c>
      <c r="E1673" t="s">
        <v>908</v>
      </c>
      <c r="F1673" t="s">
        <v>15</v>
      </c>
      <c r="G1673" t="s">
        <v>22</v>
      </c>
      <c r="H1673" t="s">
        <v>902</v>
      </c>
      <c r="I1673" t="s">
        <v>903</v>
      </c>
      <c r="J1673">
        <v>1</v>
      </c>
      <c r="K1673">
        <v>8500</v>
      </c>
      <c r="L1673">
        <v>12000</v>
      </c>
      <c r="M1673">
        <v>12000</v>
      </c>
      <c r="N1673" t="s">
        <v>19</v>
      </c>
    </row>
    <row r="1674" spans="1:14" x14ac:dyDescent="0.25">
      <c r="A1674" t="str">
        <f>Table3[[#This Row],[Company Name]] &amp; " - " &amp; Table3[[#This Row],[Store Name]] &amp; " - " &amp; Table3[[#This Row],[Store Branch / Address]]</f>
        <v>CHICKEN DELI - PAPA DOMS BAR &amp; REST. - GENERIC</v>
      </c>
      <c r="B1674" t="str">
        <f>Table3[[#This Row],[Client ID]] &amp; " - " &amp; Table3[[#This Row],[SO Number]]</f>
        <v>CHICKEN DELI - PAPA DOMS BAR &amp; REST. - GENERIC - SO-193</v>
      </c>
      <c r="C1674" t="s">
        <v>907</v>
      </c>
      <c r="D1674" t="s">
        <v>20</v>
      </c>
      <c r="E1674" t="s">
        <v>908</v>
      </c>
      <c r="F1674" t="s">
        <v>15</v>
      </c>
      <c r="G1674" t="s">
        <v>22</v>
      </c>
      <c r="H1674" t="s">
        <v>902</v>
      </c>
      <c r="I1674" t="s">
        <v>904</v>
      </c>
      <c r="J1674">
        <v>1</v>
      </c>
      <c r="K1674">
        <v>9500</v>
      </c>
      <c r="L1674">
        <v>13500</v>
      </c>
      <c r="M1674">
        <v>13500</v>
      </c>
      <c r="N1674" t="s">
        <v>19</v>
      </c>
    </row>
    <row r="1675" spans="1:14" x14ac:dyDescent="0.25">
      <c r="A1675" t="str">
        <f>Table3[[#This Row],[Company Name]] &amp; " - " &amp; Table3[[#This Row],[Store Name]] &amp; " - " &amp; Table3[[#This Row],[Store Branch / Address]]</f>
        <v>CHICKEN DELI - PAPA DOMS BAR &amp; REST. - GENERIC</v>
      </c>
      <c r="B1675" t="str">
        <f>Table3[[#This Row],[Client ID]] &amp; " - " &amp; Table3[[#This Row],[SO Number]]</f>
        <v>CHICKEN DELI - PAPA DOMS BAR &amp; REST. - GENERIC - SO-193</v>
      </c>
      <c r="C1675" t="s">
        <v>907</v>
      </c>
      <c r="D1675" t="s">
        <v>20</v>
      </c>
      <c r="E1675" t="s">
        <v>908</v>
      </c>
      <c r="F1675" t="s">
        <v>15</v>
      </c>
      <c r="G1675" t="s">
        <v>22</v>
      </c>
      <c r="H1675" t="s">
        <v>902</v>
      </c>
      <c r="I1675" t="s">
        <v>905</v>
      </c>
      <c r="J1675">
        <v>1</v>
      </c>
      <c r="K1675">
        <v>9500</v>
      </c>
      <c r="L1675">
        <v>13500</v>
      </c>
      <c r="M1675">
        <v>13500</v>
      </c>
      <c r="N1675" t="s">
        <v>19</v>
      </c>
    </row>
    <row r="1676" spans="1:14" x14ac:dyDescent="0.25">
      <c r="A1676" t="str">
        <f>Table3[[#This Row],[Company Name]] &amp; " - " &amp; Table3[[#This Row],[Store Name]] &amp; " - " &amp; Table3[[#This Row],[Store Branch / Address]]</f>
        <v>CHICKEN DELI - PAPA DOMS BAR &amp; REST. - GENERIC</v>
      </c>
      <c r="B1676" t="str">
        <f>Table3[[#This Row],[Client ID]] &amp; " - " &amp; Table3[[#This Row],[SO Number]]</f>
        <v>CHICKEN DELI - PAPA DOMS BAR &amp; REST. - GENERIC - SO-193</v>
      </c>
      <c r="C1676" t="s">
        <v>907</v>
      </c>
      <c r="D1676" t="s">
        <v>20</v>
      </c>
      <c r="E1676" t="s">
        <v>908</v>
      </c>
      <c r="F1676" t="s">
        <v>15</v>
      </c>
      <c r="G1676" t="s">
        <v>22</v>
      </c>
      <c r="H1676" t="s">
        <v>902</v>
      </c>
      <c r="I1676" t="s">
        <v>381</v>
      </c>
      <c r="J1676">
        <v>50</v>
      </c>
      <c r="K1676">
        <v>850</v>
      </c>
      <c r="L1676">
        <v>1250</v>
      </c>
      <c r="M1676">
        <v>62500</v>
      </c>
      <c r="N1676" t="s">
        <v>19</v>
      </c>
    </row>
    <row r="1677" spans="1:14" x14ac:dyDescent="0.25">
      <c r="A1677" t="str">
        <f>Table3[[#This Row],[Company Name]] &amp; " - " &amp; Table3[[#This Row],[Store Name]] &amp; " - " &amp; Table3[[#This Row],[Store Branch / Address]]</f>
        <v>CHICKEN DELI - PAPA DOMS BAR &amp; REST. - GENERIC</v>
      </c>
      <c r="B1677" t="str">
        <f>Table3[[#This Row],[Client ID]] &amp; " - " &amp; Table3[[#This Row],[SO Number]]</f>
        <v>CHICKEN DELI - PAPA DOMS BAR &amp; REST. - GENERIC - SO-193</v>
      </c>
      <c r="C1677" t="s">
        <v>907</v>
      </c>
      <c r="D1677" t="s">
        <v>20</v>
      </c>
      <c r="E1677" t="s">
        <v>908</v>
      </c>
      <c r="F1677" t="s">
        <v>15</v>
      </c>
      <c r="G1677" t="s">
        <v>22</v>
      </c>
      <c r="H1677" t="s">
        <v>902</v>
      </c>
      <c r="I1677" t="s">
        <v>501</v>
      </c>
      <c r="J1677">
        <v>3</v>
      </c>
      <c r="K1677">
        <v>201</v>
      </c>
      <c r="L1677">
        <v>750</v>
      </c>
      <c r="M1677">
        <v>2250</v>
      </c>
      <c r="N1677" t="s">
        <v>19</v>
      </c>
    </row>
    <row r="1678" spans="1:14" x14ac:dyDescent="0.25">
      <c r="A1678" t="str">
        <f>Table3[[#This Row],[Company Name]] &amp; " - " &amp; Table3[[#This Row],[Store Name]] &amp; " - " &amp; Table3[[#This Row],[Store Branch / Address]]</f>
        <v>CHICKEN DELI - PAPA DOMS BAR &amp; REST. - GENERIC</v>
      </c>
      <c r="B1678" t="str">
        <f>Table3[[#This Row],[Client ID]] &amp; " - " &amp; Table3[[#This Row],[SO Number]]</f>
        <v>CHICKEN DELI - PAPA DOMS BAR &amp; REST. - GENERIC - SO-193</v>
      </c>
      <c r="C1678" t="s">
        <v>907</v>
      </c>
      <c r="D1678" t="s">
        <v>20</v>
      </c>
      <c r="E1678" t="s">
        <v>908</v>
      </c>
      <c r="F1678" t="s">
        <v>15</v>
      </c>
      <c r="G1678" t="s">
        <v>22</v>
      </c>
      <c r="H1678" t="s">
        <v>902</v>
      </c>
      <c r="I1678" t="s">
        <v>85</v>
      </c>
      <c r="J1678">
        <v>1</v>
      </c>
      <c r="K1678">
        <v>1350</v>
      </c>
      <c r="L1678">
        <v>1900</v>
      </c>
      <c r="M1678">
        <v>1900</v>
      </c>
      <c r="N1678" t="s">
        <v>19</v>
      </c>
    </row>
    <row r="1679" spans="1:14" x14ac:dyDescent="0.25">
      <c r="A1679" t="str">
        <f>Table3[[#This Row],[Company Name]] &amp; " - " &amp; Table3[[#This Row],[Store Name]] &amp; " - " &amp; Table3[[#This Row],[Store Branch / Address]]</f>
        <v>CHICKEN DELI - PAPA DOMS BAR &amp; REST. - GENERIC</v>
      </c>
      <c r="B1679" t="str">
        <f>Table3[[#This Row],[Client ID]] &amp; " - " &amp; Table3[[#This Row],[SO Number]]</f>
        <v>CHICKEN DELI - PAPA DOMS BAR &amp; REST. - GENERIC - SO-193</v>
      </c>
      <c r="C1679" t="s">
        <v>907</v>
      </c>
      <c r="D1679" t="s">
        <v>20</v>
      </c>
      <c r="E1679" t="s">
        <v>908</v>
      </c>
      <c r="F1679" t="s">
        <v>15</v>
      </c>
      <c r="G1679" t="s">
        <v>22</v>
      </c>
      <c r="H1679" t="s">
        <v>902</v>
      </c>
      <c r="I1679" t="s">
        <v>82</v>
      </c>
      <c r="J1679">
        <v>1</v>
      </c>
      <c r="K1679">
        <v>2200</v>
      </c>
      <c r="L1679">
        <v>3100</v>
      </c>
      <c r="M1679">
        <v>3100</v>
      </c>
      <c r="N1679" t="s">
        <v>19</v>
      </c>
    </row>
    <row r="1680" spans="1:14" x14ac:dyDescent="0.25">
      <c r="A1680" t="str">
        <f>Table3[[#This Row],[Company Name]] &amp; " - " &amp; Table3[[#This Row],[Store Name]] &amp; " - " &amp; Table3[[#This Row],[Store Branch / Address]]</f>
        <v>CHICKEN DELI - PAPA DOMS BAR &amp; REST. - GENERIC</v>
      </c>
      <c r="B1680" t="str">
        <f>Table3[[#This Row],[Client ID]] &amp; " - " &amp; Table3[[#This Row],[SO Number]]</f>
        <v>CHICKEN DELI - PAPA DOMS BAR &amp; REST. - GENERIC - SO-193</v>
      </c>
      <c r="C1680" t="s">
        <v>907</v>
      </c>
      <c r="D1680" t="s">
        <v>20</v>
      </c>
      <c r="E1680" t="s">
        <v>908</v>
      </c>
      <c r="F1680" t="s">
        <v>15</v>
      </c>
      <c r="G1680" t="s">
        <v>22</v>
      </c>
      <c r="H1680" t="s">
        <v>902</v>
      </c>
      <c r="I1680" t="s">
        <v>98</v>
      </c>
      <c r="J1680">
        <v>1</v>
      </c>
      <c r="K1680">
        <v>935</v>
      </c>
      <c r="L1680">
        <v>1300</v>
      </c>
      <c r="M1680">
        <v>1300</v>
      </c>
      <c r="N1680" t="s">
        <v>19</v>
      </c>
    </row>
    <row r="1681" spans="1:14" x14ac:dyDescent="0.25">
      <c r="A1681" t="str">
        <f>Table3[[#This Row],[Company Name]] &amp; " - " &amp; Table3[[#This Row],[Store Name]] &amp; " - " &amp; Table3[[#This Row],[Store Branch / Address]]</f>
        <v>CHICKEN DELI - PAPA DOMS BAR &amp; REST. - GENERIC</v>
      </c>
      <c r="B1681" t="str">
        <f>Table3[[#This Row],[Client ID]] &amp; " - " &amp; Table3[[#This Row],[SO Number]]</f>
        <v>CHICKEN DELI - PAPA DOMS BAR &amp; REST. - GENERIC - SO-193</v>
      </c>
      <c r="C1681" t="s">
        <v>907</v>
      </c>
      <c r="D1681" t="s">
        <v>20</v>
      </c>
      <c r="E1681" t="s">
        <v>908</v>
      </c>
      <c r="F1681" t="s">
        <v>15</v>
      </c>
      <c r="G1681" t="s">
        <v>22</v>
      </c>
      <c r="H1681" t="s">
        <v>902</v>
      </c>
      <c r="I1681" t="s">
        <v>280</v>
      </c>
      <c r="J1681">
        <v>1</v>
      </c>
      <c r="K1681">
        <v>850</v>
      </c>
      <c r="L1681">
        <v>1200</v>
      </c>
      <c r="M1681">
        <v>1200</v>
      </c>
      <c r="N1681" t="s">
        <v>19</v>
      </c>
    </row>
    <row r="1682" spans="1:14" x14ac:dyDescent="0.25">
      <c r="A1682" t="str">
        <f>Table3[[#This Row],[Company Name]] &amp; " - " &amp; Table3[[#This Row],[Store Name]] &amp; " - " &amp; Table3[[#This Row],[Store Branch / Address]]</f>
        <v>CHICKEN DELI - MORIBIZ RESTAURANT - GENERIC</v>
      </c>
      <c r="B1682" t="str">
        <f>Table3[[#This Row],[Client ID]] &amp; " - " &amp; Table3[[#This Row],[SO Number]]</f>
        <v>CHICKEN DELI - MORIBIZ RESTAURANT - GENERIC - SO-194</v>
      </c>
      <c r="C1682" t="s">
        <v>909</v>
      </c>
      <c r="D1682" t="s">
        <v>20</v>
      </c>
      <c r="E1682" t="s">
        <v>910</v>
      </c>
      <c r="F1682" t="s">
        <v>15</v>
      </c>
      <c r="G1682" t="s">
        <v>22</v>
      </c>
      <c r="H1682" t="s">
        <v>902</v>
      </c>
      <c r="I1682" t="s">
        <v>91</v>
      </c>
      <c r="J1682">
        <v>1</v>
      </c>
      <c r="K1682">
        <v>3675</v>
      </c>
      <c r="L1682">
        <v>10500</v>
      </c>
      <c r="M1682">
        <v>10500</v>
      </c>
      <c r="N1682" t="s">
        <v>19</v>
      </c>
    </row>
    <row r="1683" spans="1:14" x14ac:dyDescent="0.25">
      <c r="A1683" t="str">
        <f>Table3[[#This Row],[Company Name]] &amp; " - " &amp; Table3[[#This Row],[Store Name]] &amp; " - " &amp; Table3[[#This Row],[Store Branch / Address]]</f>
        <v>CHICKEN DELI - MORIBIZ RESTAURANT - GENERIC</v>
      </c>
      <c r="B1683" t="str">
        <f>Table3[[#This Row],[Client ID]] &amp; " - " &amp; Table3[[#This Row],[SO Number]]</f>
        <v>CHICKEN DELI - MORIBIZ RESTAURANT - GENERIC - SO-194</v>
      </c>
      <c r="C1683" t="s">
        <v>909</v>
      </c>
      <c r="D1683" t="s">
        <v>20</v>
      </c>
      <c r="E1683" t="s">
        <v>910</v>
      </c>
      <c r="F1683" t="s">
        <v>15</v>
      </c>
      <c r="G1683" t="s">
        <v>22</v>
      </c>
      <c r="H1683" t="s">
        <v>902</v>
      </c>
      <c r="I1683" t="s">
        <v>25</v>
      </c>
      <c r="J1683">
        <v>1</v>
      </c>
      <c r="K1683">
        <v>11650</v>
      </c>
      <c r="L1683">
        <v>11650</v>
      </c>
      <c r="M1683">
        <v>11650</v>
      </c>
      <c r="N1683" t="s">
        <v>19</v>
      </c>
    </row>
    <row r="1684" spans="1:14" x14ac:dyDescent="0.25">
      <c r="A1684" t="str">
        <f>Table3[[#This Row],[Company Name]] &amp; " - " &amp; Table3[[#This Row],[Store Name]] &amp; " - " &amp; Table3[[#This Row],[Store Branch / Address]]</f>
        <v>CHICKEN DELI - MORIBIZ RESTAURANT - GENERIC</v>
      </c>
      <c r="B1684" t="str">
        <f>Table3[[#This Row],[Client ID]] &amp; " - " &amp; Table3[[#This Row],[SO Number]]</f>
        <v>CHICKEN DELI - MORIBIZ RESTAURANT - GENERIC - SO-194</v>
      </c>
      <c r="C1684" t="s">
        <v>909</v>
      </c>
      <c r="D1684" t="s">
        <v>20</v>
      </c>
      <c r="E1684" t="s">
        <v>910</v>
      </c>
      <c r="F1684" t="s">
        <v>15</v>
      </c>
      <c r="G1684" t="s">
        <v>22</v>
      </c>
      <c r="H1684" t="s">
        <v>902</v>
      </c>
      <c r="I1684" t="s">
        <v>24</v>
      </c>
      <c r="J1684">
        <v>1</v>
      </c>
      <c r="K1684">
        <v>11650</v>
      </c>
      <c r="L1684">
        <v>11650</v>
      </c>
      <c r="M1684">
        <v>11650</v>
      </c>
      <c r="N1684" t="s">
        <v>19</v>
      </c>
    </row>
    <row r="1685" spans="1:14" x14ac:dyDescent="0.25">
      <c r="A1685" t="str">
        <f>Table3[[#This Row],[Company Name]] &amp; " - " &amp; Table3[[#This Row],[Store Name]] &amp; " - " &amp; Table3[[#This Row],[Store Branch / Address]]</f>
        <v>CHICKEN DELI - MORIBIZ RESTAURANT - GENERIC</v>
      </c>
      <c r="B1685" t="str">
        <f>Table3[[#This Row],[Client ID]] &amp; " - " &amp; Table3[[#This Row],[SO Number]]</f>
        <v>CHICKEN DELI - MORIBIZ RESTAURANT - GENERIC - SO-194</v>
      </c>
      <c r="C1685" t="s">
        <v>909</v>
      </c>
      <c r="D1685" t="s">
        <v>20</v>
      </c>
      <c r="E1685" t="s">
        <v>910</v>
      </c>
      <c r="F1685" t="s">
        <v>15</v>
      </c>
      <c r="G1685" t="s">
        <v>22</v>
      </c>
      <c r="H1685" t="s">
        <v>902</v>
      </c>
      <c r="I1685" t="s">
        <v>134</v>
      </c>
      <c r="J1685">
        <v>1</v>
      </c>
      <c r="K1685">
        <v>500</v>
      </c>
      <c r="L1685">
        <v>500</v>
      </c>
      <c r="M1685">
        <v>500</v>
      </c>
      <c r="N1685" t="s">
        <v>19</v>
      </c>
    </row>
    <row r="1686" spans="1:14" x14ac:dyDescent="0.25">
      <c r="A1686" t="str">
        <f>Table3[[#This Row],[Company Name]] &amp; " - " &amp; Table3[[#This Row],[Store Name]] &amp; " - " &amp; Table3[[#This Row],[Store Branch / Address]]</f>
        <v>CHICKEN DELI - MORIBIZ RESTAURANT - GENERIC</v>
      </c>
      <c r="B1686" t="str">
        <f>Table3[[#This Row],[Client ID]] &amp; " - " &amp; Table3[[#This Row],[SO Number]]</f>
        <v>CHICKEN DELI - MORIBIZ RESTAURANT - GENERIC - SO-194</v>
      </c>
      <c r="C1686" t="s">
        <v>909</v>
      </c>
      <c r="D1686" t="s">
        <v>20</v>
      </c>
      <c r="E1686" t="s">
        <v>910</v>
      </c>
      <c r="F1686" t="s">
        <v>15</v>
      </c>
      <c r="G1686" t="s">
        <v>22</v>
      </c>
      <c r="H1686" t="s">
        <v>902</v>
      </c>
      <c r="I1686" t="s">
        <v>93</v>
      </c>
      <c r="J1686">
        <v>1</v>
      </c>
      <c r="K1686">
        <v>11000</v>
      </c>
      <c r="L1686">
        <v>15500</v>
      </c>
      <c r="M1686">
        <v>15500</v>
      </c>
      <c r="N1686" t="s">
        <v>19</v>
      </c>
    </row>
    <row r="1687" spans="1:14" x14ac:dyDescent="0.25">
      <c r="A1687" t="str">
        <f>Table3[[#This Row],[Company Name]] &amp; " - " &amp; Table3[[#This Row],[Store Name]] &amp; " - " &amp; Table3[[#This Row],[Store Branch / Address]]</f>
        <v>CHICKEN DELI - MORIBIZ RESTAURANT - GENERIC</v>
      </c>
      <c r="B1687" t="str">
        <f>Table3[[#This Row],[Client ID]] &amp; " - " &amp; Table3[[#This Row],[SO Number]]</f>
        <v>CHICKEN DELI - MORIBIZ RESTAURANT - GENERIC - SO-194</v>
      </c>
      <c r="C1687" t="s">
        <v>909</v>
      </c>
      <c r="D1687" t="s">
        <v>20</v>
      </c>
      <c r="E1687" t="s">
        <v>910</v>
      </c>
      <c r="F1687" t="s">
        <v>15</v>
      </c>
      <c r="G1687" t="s">
        <v>22</v>
      </c>
      <c r="H1687" t="s">
        <v>902</v>
      </c>
      <c r="I1687" t="s">
        <v>903</v>
      </c>
      <c r="J1687">
        <v>1</v>
      </c>
      <c r="K1687">
        <v>8500</v>
      </c>
      <c r="L1687">
        <v>12000</v>
      </c>
      <c r="M1687">
        <v>12000</v>
      </c>
      <c r="N1687" t="s">
        <v>19</v>
      </c>
    </row>
    <row r="1688" spans="1:14" x14ac:dyDescent="0.25">
      <c r="A1688" t="str">
        <f>Table3[[#This Row],[Company Name]] &amp; " - " &amp; Table3[[#This Row],[Store Name]] &amp; " - " &amp; Table3[[#This Row],[Store Branch / Address]]</f>
        <v>CHICKEN DELI - MORIBIZ RESTAURANT - GENERIC</v>
      </c>
      <c r="B1688" t="str">
        <f>Table3[[#This Row],[Client ID]] &amp; " - " &amp; Table3[[#This Row],[SO Number]]</f>
        <v>CHICKEN DELI - MORIBIZ RESTAURANT - GENERIC - SO-194</v>
      </c>
      <c r="C1688" t="s">
        <v>909</v>
      </c>
      <c r="D1688" t="s">
        <v>20</v>
      </c>
      <c r="E1688" t="s">
        <v>910</v>
      </c>
      <c r="F1688" t="s">
        <v>15</v>
      </c>
      <c r="G1688" t="s">
        <v>22</v>
      </c>
      <c r="H1688" t="s">
        <v>902</v>
      </c>
      <c r="I1688" t="s">
        <v>904</v>
      </c>
      <c r="J1688">
        <v>1</v>
      </c>
      <c r="K1688">
        <v>9500</v>
      </c>
      <c r="L1688">
        <v>13500</v>
      </c>
      <c r="M1688">
        <v>13500</v>
      </c>
      <c r="N1688" t="s">
        <v>19</v>
      </c>
    </row>
    <row r="1689" spans="1:14" x14ac:dyDescent="0.25">
      <c r="A1689" t="str">
        <f>Table3[[#This Row],[Company Name]] &amp; " - " &amp; Table3[[#This Row],[Store Name]] &amp; " - " &amp; Table3[[#This Row],[Store Branch / Address]]</f>
        <v>CHICKEN DELI - MORIBIZ RESTAURANT - GENERIC</v>
      </c>
      <c r="B1689" t="str">
        <f>Table3[[#This Row],[Client ID]] &amp; " - " &amp; Table3[[#This Row],[SO Number]]</f>
        <v>CHICKEN DELI - MORIBIZ RESTAURANT - GENERIC - SO-194</v>
      </c>
      <c r="C1689" t="s">
        <v>909</v>
      </c>
      <c r="D1689" t="s">
        <v>20</v>
      </c>
      <c r="E1689" t="s">
        <v>910</v>
      </c>
      <c r="F1689" t="s">
        <v>15</v>
      </c>
      <c r="G1689" t="s">
        <v>22</v>
      </c>
      <c r="H1689" t="s">
        <v>902</v>
      </c>
      <c r="I1689" t="s">
        <v>905</v>
      </c>
      <c r="J1689">
        <v>1</v>
      </c>
      <c r="K1689">
        <v>9500</v>
      </c>
      <c r="L1689">
        <v>13500</v>
      </c>
      <c r="M1689">
        <v>13500</v>
      </c>
      <c r="N1689" t="s">
        <v>19</v>
      </c>
    </row>
    <row r="1690" spans="1:14" x14ac:dyDescent="0.25">
      <c r="A1690" t="str">
        <f>Table3[[#This Row],[Company Name]] &amp; " - " &amp; Table3[[#This Row],[Store Name]] &amp; " - " &amp; Table3[[#This Row],[Store Branch / Address]]</f>
        <v>CHICKEN DELI - MORIBIZ RESTAURANT - GENERIC</v>
      </c>
      <c r="B1690" t="str">
        <f>Table3[[#This Row],[Client ID]] &amp; " - " &amp; Table3[[#This Row],[SO Number]]</f>
        <v>CHICKEN DELI - MORIBIZ RESTAURANT - GENERIC - SO-194</v>
      </c>
      <c r="C1690" t="s">
        <v>909</v>
      </c>
      <c r="D1690" t="s">
        <v>20</v>
      </c>
      <c r="E1690" t="s">
        <v>910</v>
      </c>
      <c r="F1690" t="s">
        <v>15</v>
      </c>
      <c r="G1690" t="s">
        <v>22</v>
      </c>
      <c r="H1690" t="s">
        <v>902</v>
      </c>
      <c r="I1690" t="s">
        <v>381</v>
      </c>
      <c r="J1690">
        <v>50</v>
      </c>
      <c r="K1690">
        <v>850</v>
      </c>
      <c r="L1690">
        <v>1250</v>
      </c>
      <c r="M1690">
        <v>62500</v>
      </c>
      <c r="N1690" t="s">
        <v>19</v>
      </c>
    </row>
    <row r="1691" spans="1:14" x14ac:dyDescent="0.25">
      <c r="A1691" t="str">
        <f>Table3[[#This Row],[Company Name]] &amp; " - " &amp; Table3[[#This Row],[Store Name]] &amp; " - " &amp; Table3[[#This Row],[Store Branch / Address]]</f>
        <v>CHICKEN DELI - MORIBIZ RESTAURANT - GENERIC</v>
      </c>
      <c r="B1691" t="str">
        <f>Table3[[#This Row],[Client ID]] &amp; " - " &amp; Table3[[#This Row],[SO Number]]</f>
        <v>CHICKEN DELI - MORIBIZ RESTAURANT - GENERIC - SO-194</v>
      </c>
      <c r="C1691" t="s">
        <v>909</v>
      </c>
      <c r="D1691" t="s">
        <v>20</v>
      </c>
      <c r="E1691" t="s">
        <v>910</v>
      </c>
      <c r="F1691" t="s">
        <v>15</v>
      </c>
      <c r="G1691" t="s">
        <v>22</v>
      </c>
      <c r="H1691" t="s">
        <v>902</v>
      </c>
      <c r="I1691" t="s">
        <v>501</v>
      </c>
      <c r="J1691">
        <v>3</v>
      </c>
      <c r="K1691">
        <v>201</v>
      </c>
      <c r="L1691">
        <v>750</v>
      </c>
      <c r="M1691">
        <v>2250</v>
      </c>
      <c r="N1691" t="s">
        <v>19</v>
      </c>
    </row>
    <row r="1692" spans="1:14" x14ac:dyDescent="0.25">
      <c r="A1692" t="str">
        <f>Table3[[#This Row],[Company Name]] &amp; " - " &amp; Table3[[#This Row],[Store Name]] &amp; " - " &amp; Table3[[#This Row],[Store Branch / Address]]</f>
        <v>CHICKEN DELI - MORIBIZ RESTAURANT - GENERIC</v>
      </c>
      <c r="B1692" t="str">
        <f>Table3[[#This Row],[Client ID]] &amp; " - " &amp; Table3[[#This Row],[SO Number]]</f>
        <v>CHICKEN DELI - MORIBIZ RESTAURANT - GENERIC - SO-194</v>
      </c>
      <c r="C1692" t="s">
        <v>909</v>
      </c>
      <c r="D1692" t="s">
        <v>20</v>
      </c>
      <c r="E1692" t="s">
        <v>910</v>
      </c>
      <c r="F1692" t="s">
        <v>15</v>
      </c>
      <c r="G1692" t="s">
        <v>22</v>
      </c>
      <c r="H1692" t="s">
        <v>902</v>
      </c>
      <c r="I1692" t="s">
        <v>85</v>
      </c>
      <c r="J1692">
        <v>1</v>
      </c>
      <c r="K1692">
        <v>1350</v>
      </c>
      <c r="L1692">
        <v>1900</v>
      </c>
      <c r="M1692">
        <v>1900</v>
      </c>
      <c r="N1692" t="s">
        <v>19</v>
      </c>
    </row>
    <row r="1693" spans="1:14" x14ac:dyDescent="0.25">
      <c r="A1693" t="str">
        <f>Table3[[#This Row],[Company Name]] &amp; " - " &amp; Table3[[#This Row],[Store Name]] &amp; " - " &amp; Table3[[#This Row],[Store Branch / Address]]</f>
        <v>CHICKEN DELI - MORIBIZ RESTAURANT - GENERIC</v>
      </c>
      <c r="B1693" t="str">
        <f>Table3[[#This Row],[Client ID]] &amp; " - " &amp; Table3[[#This Row],[SO Number]]</f>
        <v>CHICKEN DELI - MORIBIZ RESTAURANT - GENERIC - SO-194</v>
      </c>
      <c r="C1693" t="s">
        <v>909</v>
      </c>
      <c r="D1693" t="s">
        <v>20</v>
      </c>
      <c r="E1693" t="s">
        <v>910</v>
      </c>
      <c r="F1693" t="s">
        <v>15</v>
      </c>
      <c r="G1693" t="s">
        <v>22</v>
      </c>
      <c r="H1693" t="s">
        <v>902</v>
      </c>
      <c r="I1693" t="s">
        <v>82</v>
      </c>
      <c r="J1693">
        <v>1</v>
      </c>
      <c r="K1693">
        <v>2200</v>
      </c>
      <c r="L1693">
        <v>3100</v>
      </c>
      <c r="M1693">
        <v>3100</v>
      </c>
      <c r="N1693" t="s">
        <v>19</v>
      </c>
    </row>
    <row r="1694" spans="1:14" x14ac:dyDescent="0.25">
      <c r="A1694" t="str">
        <f>Table3[[#This Row],[Company Name]] &amp; " - " &amp; Table3[[#This Row],[Store Name]] &amp; " - " &amp; Table3[[#This Row],[Store Branch / Address]]</f>
        <v>CHICKEN DELI - MORIBIZ RESTAURANT - GENERIC</v>
      </c>
      <c r="B1694" t="str">
        <f>Table3[[#This Row],[Client ID]] &amp; " - " &amp; Table3[[#This Row],[SO Number]]</f>
        <v>CHICKEN DELI - MORIBIZ RESTAURANT - GENERIC - SO-194</v>
      </c>
      <c r="C1694" t="s">
        <v>909</v>
      </c>
      <c r="D1694" t="s">
        <v>20</v>
      </c>
      <c r="E1694" t="s">
        <v>910</v>
      </c>
      <c r="F1694" t="s">
        <v>15</v>
      </c>
      <c r="G1694" t="s">
        <v>22</v>
      </c>
      <c r="H1694" t="s">
        <v>902</v>
      </c>
      <c r="I1694" t="s">
        <v>98</v>
      </c>
      <c r="J1694">
        <v>1</v>
      </c>
      <c r="K1694">
        <v>935</v>
      </c>
      <c r="L1694">
        <v>1300</v>
      </c>
      <c r="M1694">
        <v>1300</v>
      </c>
      <c r="N1694" t="s">
        <v>19</v>
      </c>
    </row>
    <row r="1695" spans="1:14" x14ac:dyDescent="0.25">
      <c r="A1695" t="str">
        <f>Table3[[#This Row],[Company Name]] &amp; " - " &amp; Table3[[#This Row],[Store Name]] &amp; " - " &amp; Table3[[#This Row],[Store Branch / Address]]</f>
        <v>CHICKEN DELI - MORIBIZ RESTAURANT - GENERIC</v>
      </c>
      <c r="B1695" t="str">
        <f>Table3[[#This Row],[Client ID]] &amp; " - " &amp; Table3[[#This Row],[SO Number]]</f>
        <v>CHICKEN DELI - MORIBIZ RESTAURANT - GENERIC - SO-194</v>
      </c>
      <c r="C1695" t="s">
        <v>909</v>
      </c>
      <c r="D1695" t="s">
        <v>20</v>
      </c>
      <c r="E1695" t="s">
        <v>910</v>
      </c>
      <c r="F1695" t="s">
        <v>15</v>
      </c>
      <c r="G1695" t="s">
        <v>22</v>
      </c>
      <c r="H1695" t="s">
        <v>902</v>
      </c>
      <c r="I1695" t="s">
        <v>280</v>
      </c>
      <c r="J1695">
        <v>1</v>
      </c>
      <c r="K1695">
        <v>850</v>
      </c>
      <c r="L1695">
        <v>1200</v>
      </c>
      <c r="M1695">
        <v>1200</v>
      </c>
      <c r="N1695" t="s">
        <v>19</v>
      </c>
    </row>
    <row r="1696" spans="1:14" x14ac:dyDescent="0.25">
      <c r="A1696" t="str">
        <f>Table3[[#This Row],[Company Name]] &amp; " - " &amp; Table3[[#This Row],[Store Name]] &amp; " - " &amp; Table3[[#This Row],[Store Branch / Address]]</f>
        <v>DERMA 360 CORP - DERMA 360° - GENERIC</v>
      </c>
      <c r="B1696" t="str">
        <f>Table3[[#This Row],[Client ID]] &amp; " - " &amp; Table3[[#This Row],[SO Number]]</f>
        <v>DERMA 360 CORP - DERMA 360° - GENERIC - SO-078</v>
      </c>
      <c r="C1696" t="s">
        <v>470</v>
      </c>
      <c r="D1696" t="s">
        <v>1160</v>
      </c>
      <c r="E1696" t="s">
        <v>1095</v>
      </c>
      <c r="F1696" t="s">
        <v>15</v>
      </c>
      <c r="G1696" t="s">
        <v>37</v>
      </c>
      <c r="H1696" t="s">
        <v>902</v>
      </c>
      <c r="I1696" t="s">
        <v>1161</v>
      </c>
      <c r="J1696">
        <v>1</v>
      </c>
      <c r="K1696">
        <v>970</v>
      </c>
      <c r="L1696">
        <v>1500</v>
      </c>
      <c r="M1696">
        <v>1500</v>
      </c>
      <c r="N1696" t="s">
        <v>19</v>
      </c>
    </row>
    <row r="1697" spans="1:14" x14ac:dyDescent="0.25">
      <c r="A1697" t="str">
        <f>Table3[[#This Row],[Company Name]] &amp; " - " &amp; Table3[[#This Row],[Store Name]] &amp; " - " &amp; Table3[[#This Row],[Store Branch / Address]]</f>
        <v>THE DAYKEEPER INC - FRANKIE GENERAL STORE - GENERIC</v>
      </c>
      <c r="B1697" t="str">
        <f>Table3[[#This Row],[Client ID]] &amp; " - " &amp; Table3[[#This Row],[SO Number]]</f>
        <v>THE DAYKEEPER INC - FRANKIE GENERAL STORE - GENERIC - SO-079</v>
      </c>
      <c r="C1697" t="s">
        <v>474</v>
      </c>
      <c r="D1697" t="s">
        <v>1162</v>
      </c>
      <c r="E1697" t="s">
        <v>1151</v>
      </c>
      <c r="F1697" t="s">
        <v>15</v>
      </c>
      <c r="G1697" t="s">
        <v>37</v>
      </c>
      <c r="H1697" t="s">
        <v>902</v>
      </c>
      <c r="I1697" t="s">
        <v>33</v>
      </c>
      <c r="J1697">
        <v>1</v>
      </c>
      <c r="K1697">
        <v>18000</v>
      </c>
      <c r="L1697">
        <v>18000</v>
      </c>
      <c r="M1697">
        <v>18000</v>
      </c>
      <c r="N1697" t="s">
        <v>19</v>
      </c>
    </row>
    <row r="1698" spans="1:14" x14ac:dyDescent="0.25">
      <c r="A1698" t="str">
        <f>Table3[[#This Row],[Company Name]] &amp; " - " &amp; Table3[[#This Row],[Store Name]] &amp; " - " &amp; Table3[[#This Row],[Store Branch / Address]]</f>
        <v>DERMA 360 CORP - DERMA 360° - GENERIC</v>
      </c>
      <c r="B1698" t="str">
        <f>Table3[[#This Row],[Client ID]] &amp; " - " &amp; Table3[[#This Row],[SO Number]]</f>
        <v>DERMA 360 CORP - DERMA 360° - GENERIC - SO-080</v>
      </c>
      <c r="C1698" t="s">
        <v>477</v>
      </c>
      <c r="D1698" t="s">
        <v>1160</v>
      </c>
      <c r="E1698" t="s">
        <v>1095</v>
      </c>
      <c r="F1698" t="s">
        <v>15</v>
      </c>
      <c r="G1698" t="s">
        <v>37</v>
      </c>
      <c r="H1698" t="s">
        <v>902</v>
      </c>
      <c r="I1698" t="s">
        <v>1163</v>
      </c>
      <c r="J1698">
        <v>1</v>
      </c>
      <c r="K1698">
        <v>18000</v>
      </c>
      <c r="L1698">
        <v>18000</v>
      </c>
      <c r="M1698">
        <v>18000</v>
      </c>
      <c r="N1698" t="s">
        <v>19</v>
      </c>
    </row>
    <row r="1699" spans="1:14" x14ac:dyDescent="0.25">
      <c r="A1699" t="str">
        <f>Table3[[#This Row],[Company Name]] &amp; " - " &amp; Table3[[#This Row],[Store Name]] &amp; " - " &amp; Table3[[#This Row],[Store Branch / Address]]</f>
        <v>JUST SIMPLE BAKE HOUSE INC - LORD STOW'S BAKERY - GENERIC</v>
      </c>
      <c r="B1699" t="str">
        <f>Table3[[#This Row],[Client ID]] &amp; " - " &amp; Table3[[#This Row],[SO Number]]</f>
        <v>JUST SIMPLE BAKE HOUSE INC - LORD STOW'S BAKERY - GENERIC - SO-160</v>
      </c>
      <c r="C1699" t="s">
        <v>791</v>
      </c>
      <c r="D1699" t="s">
        <v>602</v>
      </c>
      <c r="E1699" t="s">
        <v>603</v>
      </c>
      <c r="F1699" t="s">
        <v>15</v>
      </c>
      <c r="G1699" t="s">
        <v>22</v>
      </c>
      <c r="H1699" t="s">
        <v>792</v>
      </c>
      <c r="I1699" t="s">
        <v>793</v>
      </c>
      <c r="J1699">
        <v>3</v>
      </c>
      <c r="K1699">
        <v>13500</v>
      </c>
      <c r="L1699">
        <v>13500</v>
      </c>
      <c r="M1699">
        <v>40500</v>
      </c>
      <c r="N1699" t="s">
        <v>39</v>
      </c>
    </row>
    <row r="1700" spans="1:14" x14ac:dyDescent="0.25">
      <c r="A1700" t="str">
        <f>Table3[[#This Row],[Company Name]] &amp; " - " &amp; Table3[[#This Row],[Store Name]] &amp; " - " &amp; Table3[[#This Row],[Store Branch / Address]]</f>
        <v>METROMART - METROMART - VERMOSA</v>
      </c>
      <c r="B1700" t="str">
        <f>Table3[[#This Row],[Client ID]] &amp; " - " &amp; Table3[[#This Row],[SO Number]]</f>
        <v>METROMART - METROMART - VERMOSA - SO-161</v>
      </c>
      <c r="C1700" t="s">
        <v>794</v>
      </c>
      <c r="D1700" t="s">
        <v>738</v>
      </c>
      <c r="E1700" t="s">
        <v>738</v>
      </c>
      <c r="F1700" t="s">
        <v>739</v>
      </c>
      <c r="G1700" t="s">
        <v>22</v>
      </c>
      <c r="H1700" t="s">
        <v>792</v>
      </c>
      <c r="I1700" t="s">
        <v>795</v>
      </c>
      <c r="J1700">
        <v>50</v>
      </c>
      <c r="K1700">
        <v>17</v>
      </c>
      <c r="L1700">
        <v>25</v>
      </c>
      <c r="M1700">
        <v>1250</v>
      </c>
      <c r="N1700" t="s">
        <v>39</v>
      </c>
    </row>
    <row r="1701" spans="1:14" x14ac:dyDescent="0.25">
      <c r="A1701" t="str">
        <f>Table3[[#This Row],[Company Name]] &amp; " - " &amp; Table3[[#This Row],[Store Name]] &amp; " - " &amp; Table3[[#This Row],[Store Branch / Address]]</f>
        <v>METROMART - METROMART - VERMOSA</v>
      </c>
      <c r="B1701" t="str">
        <f>Table3[[#This Row],[Client ID]] &amp; " - " &amp; Table3[[#This Row],[SO Number]]</f>
        <v>METROMART - METROMART - VERMOSA - SO-161</v>
      </c>
      <c r="C1701" t="s">
        <v>794</v>
      </c>
      <c r="D1701" t="s">
        <v>738</v>
      </c>
      <c r="E1701" t="s">
        <v>738</v>
      </c>
      <c r="F1701" t="s">
        <v>739</v>
      </c>
      <c r="G1701" t="s">
        <v>22</v>
      </c>
      <c r="H1701" t="s">
        <v>792</v>
      </c>
      <c r="I1701" t="s">
        <v>428</v>
      </c>
      <c r="J1701">
        <v>1</v>
      </c>
      <c r="K1701">
        <v>70</v>
      </c>
      <c r="L1701">
        <v>250</v>
      </c>
      <c r="M1701">
        <v>250</v>
      </c>
      <c r="N1701" t="s">
        <v>39</v>
      </c>
    </row>
    <row r="1702" spans="1:14" x14ac:dyDescent="0.25">
      <c r="A1702" t="str">
        <f>Table3[[#This Row],[Company Name]] &amp; " - " &amp; Table3[[#This Row],[Store Name]] &amp; " - " &amp; Table3[[#This Row],[Store Branch / Address]]</f>
        <v>CHICKEN DELI - GONGCHA - GENERIC</v>
      </c>
      <c r="B1702" t="str">
        <f>Table3[[#This Row],[Client ID]] &amp; " - " &amp; Table3[[#This Row],[SO Number]]</f>
        <v>CHICKEN DELI - GONGCHA - GENERIC - SO-195</v>
      </c>
      <c r="C1702" t="s">
        <v>911</v>
      </c>
      <c r="D1702" t="s">
        <v>20</v>
      </c>
      <c r="E1702" t="s">
        <v>31</v>
      </c>
      <c r="F1702" t="s">
        <v>15</v>
      </c>
      <c r="G1702" t="s">
        <v>22</v>
      </c>
      <c r="H1702" t="s">
        <v>792</v>
      </c>
      <c r="I1702" t="s">
        <v>912</v>
      </c>
      <c r="J1702">
        <v>1</v>
      </c>
      <c r="K1702">
        <v>25000</v>
      </c>
      <c r="L1702">
        <v>25000</v>
      </c>
      <c r="M1702">
        <v>25000</v>
      </c>
      <c r="N1702" t="s">
        <v>19</v>
      </c>
    </row>
    <row r="1703" spans="1:14" x14ac:dyDescent="0.25">
      <c r="A1703" t="str">
        <f>Table3[[#This Row],[Company Name]] &amp; " - " &amp; Table3[[#This Row],[Store Name]] &amp; " - " &amp; Table3[[#This Row],[Store Branch / Address]]</f>
        <v>AURORA CHARLIE FOOD VENTURES INC - MAMOU - GREENBELT 5</v>
      </c>
      <c r="B1703" t="str">
        <f>Table3[[#This Row],[Client ID]] &amp; " - " &amp; Table3[[#This Row],[SO Number]]</f>
        <v>AURORA CHARLIE FOOD VENTURES INC - MAMOU - GREENBELT 5 - SO-162</v>
      </c>
      <c r="C1703" t="s">
        <v>797</v>
      </c>
      <c r="D1703" t="s">
        <v>646</v>
      </c>
      <c r="E1703" t="s">
        <v>58</v>
      </c>
      <c r="F1703" t="s">
        <v>101</v>
      </c>
      <c r="G1703" t="s">
        <v>37</v>
      </c>
      <c r="H1703" t="s">
        <v>798</v>
      </c>
      <c r="I1703" t="s">
        <v>249</v>
      </c>
      <c r="J1703">
        <v>1</v>
      </c>
      <c r="K1703">
        <v>23450</v>
      </c>
      <c r="L1703">
        <v>31100</v>
      </c>
      <c r="M1703">
        <v>31100</v>
      </c>
      <c r="N1703" t="s">
        <v>39</v>
      </c>
    </row>
    <row r="1704" spans="1:14" x14ac:dyDescent="0.25">
      <c r="A1704" t="str">
        <f>Table3[[#This Row],[Company Name]] &amp; " - " &amp; Table3[[#This Row],[Store Name]] &amp; " - " &amp; Table3[[#This Row],[Store Branch / Address]]</f>
        <v>AURORA CHARLIE FOOD VENTURES INC - MAMOU - GREENBELT 5</v>
      </c>
      <c r="B1704" t="str">
        <f>Table3[[#This Row],[Client ID]] &amp; " - " &amp; Table3[[#This Row],[SO Number]]</f>
        <v>AURORA CHARLIE FOOD VENTURES INC - MAMOU - GREENBELT 5 - SO-162</v>
      </c>
      <c r="C1704" t="s">
        <v>797</v>
      </c>
      <c r="D1704" t="s">
        <v>646</v>
      </c>
      <c r="E1704" t="s">
        <v>58</v>
      </c>
      <c r="F1704" t="s">
        <v>101</v>
      </c>
      <c r="G1704" t="s">
        <v>37</v>
      </c>
      <c r="H1704" t="s">
        <v>798</v>
      </c>
      <c r="I1704" t="s">
        <v>210</v>
      </c>
      <c r="J1704">
        <v>1</v>
      </c>
      <c r="K1704">
        <v>0</v>
      </c>
      <c r="L1704">
        <v>0</v>
      </c>
      <c r="M1704">
        <v>0</v>
      </c>
      <c r="N1704" t="s">
        <v>39</v>
      </c>
    </row>
    <row r="1705" spans="1:14" x14ac:dyDescent="0.25">
      <c r="A1705" t="str">
        <f>Table3[[#This Row],[Company Name]] &amp; " - " &amp; Table3[[#This Row],[Store Name]] &amp; " - " &amp; Table3[[#This Row],[Store Branch / Address]]</f>
        <v>AURORA CHARLIE FOOD VENTURES INC - MAMOU - GREENBELT 5</v>
      </c>
      <c r="B1705" t="str">
        <f>Table3[[#This Row],[Client ID]] &amp; " - " &amp; Table3[[#This Row],[SO Number]]</f>
        <v>AURORA CHARLIE FOOD VENTURES INC - MAMOU - GREENBELT 5 - SO-162</v>
      </c>
      <c r="C1705" t="s">
        <v>797</v>
      </c>
      <c r="D1705" t="s">
        <v>646</v>
      </c>
      <c r="E1705" t="s">
        <v>58</v>
      </c>
      <c r="F1705" t="s">
        <v>101</v>
      </c>
      <c r="G1705" t="s">
        <v>37</v>
      </c>
      <c r="H1705" t="s">
        <v>798</v>
      </c>
      <c r="I1705" t="s">
        <v>151</v>
      </c>
      <c r="J1705">
        <v>1</v>
      </c>
      <c r="K1705">
        <v>2800</v>
      </c>
      <c r="L1705">
        <v>4000</v>
      </c>
      <c r="M1705">
        <v>4000</v>
      </c>
      <c r="N1705" t="s">
        <v>39</v>
      </c>
    </row>
    <row r="1706" spans="1:14" x14ac:dyDescent="0.25">
      <c r="A1706" t="str">
        <f>Table3[[#This Row],[Company Name]] &amp; " - " &amp; Table3[[#This Row],[Store Name]] &amp; " - " &amp; Table3[[#This Row],[Store Branch / Address]]</f>
        <v>AURORA CHARLIE FOOD VENTURES INC - MAMOU - GREENBELT 5</v>
      </c>
      <c r="B1706" t="str">
        <f>Table3[[#This Row],[Client ID]] &amp; " - " &amp; Table3[[#This Row],[SO Number]]</f>
        <v>AURORA CHARLIE FOOD VENTURES INC - MAMOU - GREENBELT 5 - SO-162</v>
      </c>
      <c r="C1706" t="s">
        <v>797</v>
      </c>
      <c r="D1706" t="s">
        <v>646</v>
      </c>
      <c r="E1706" t="s">
        <v>58</v>
      </c>
      <c r="F1706" t="s">
        <v>101</v>
      </c>
      <c r="G1706" t="s">
        <v>37</v>
      </c>
      <c r="H1706" t="s">
        <v>798</v>
      </c>
      <c r="I1706" t="s">
        <v>799</v>
      </c>
      <c r="J1706">
        <v>1</v>
      </c>
      <c r="K1706">
        <v>935</v>
      </c>
      <c r="L1706">
        <v>1500</v>
      </c>
      <c r="M1706">
        <v>1500</v>
      </c>
      <c r="N1706" t="s">
        <v>39</v>
      </c>
    </row>
    <row r="1707" spans="1:14" x14ac:dyDescent="0.25">
      <c r="A1707" t="str">
        <f>Table3[[#This Row],[Company Name]] &amp; " - " &amp; Table3[[#This Row],[Store Name]] &amp; " - " &amp; Table3[[#This Row],[Store Branch / Address]]</f>
        <v>AURORA CHARLIE FOOD VENTURES INC - MAMOU - GREENBELT 5</v>
      </c>
      <c r="B1707" t="str">
        <f>Table3[[#This Row],[Client ID]] &amp; " - " &amp; Table3[[#This Row],[SO Number]]</f>
        <v>AURORA CHARLIE FOOD VENTURES INC - MAMOU - GREENBELT 5 - SO-162</v>
      </c>
      <c r="C1707" t="s">
        <v>797</v>
      </c>
      <c r="D1707" t="s">
        <v>646</v>
      </c>
      <c r="E1707" t="s">
        <v>58</v>
      </c>
      <c r="F1707" t="s">
        <v>101</v>
      </c>
      <c r="G1707" t="s">
        <v>37</v>
      </c>
      <c r="H1707" t="s">
        <v>798</v>
      </c>
      <c r="I1707" t="s">
        <v>63</v>
      </c>
      <c r="J1707">
        <v>1</v>
      </c>
      <c r="K1707">
        <v>400</v>
      </c>
      <c r="L1707">
        <v>400</v>
      </c>
      <c r="M1707">
        <v>400</v>
      </c>
      <c r="N1707" t="s">
        <v>39</v>
      </c>
    </row>
    <row r="1708" spans="1:14" x14ac:dyDescent="0.25">
      <c r="A1708" t="str">
        <f>Table3[[#This Row],[Company Name]] &amp; " - " &amp; Table3[[#This Row],[Store Name]] &amp; " - " &amp; Table3[[#This Row],[Store Branch / Address]]</f>
        <v>CHICKEN DELI - GONGCHA - GENERIC</v>
      </c>
      <c r="B1708" t="str">
        <f>Table3[[#This Row],[Client ID]] &amp; " - " &amp; Table3[[#This Row],[SO Number]]</f>
        <v>CHICKEN DELI - GONGCHA - GENERIC - SO-196</v>
      </c>
      <c r="C1708" t="s">
        <v>914</v>
      </c>
      <c r="D1708" t="s">
        <v>20</v>
      </c>
      <c r="E1708" t="s">
        <v>31</v>
      </c>
      <c r="F1708" t="s">
        <v>15</v>
      </c>
      <c r="G1708" t="s">
        <v>22</v>
      </c>
      <c r="H1708" t="s">
        <v>798</v>
      </c>
      <c r="I1708" t="s">
        <v>154</v>
      </c>
      <c r="J1708">
        <v>5</v>
      </c>
      <c r="K1708">
        <v>965</v>
      </c>
      <c r="L1708">
        <v>1300</v>
      </c>
      <c r="M1708">
        <v>6500</v>
      </c>
      <c r="N1708" t="s">
        <v>19</v>
      </c>
    </row>
    <row r="1709" spans="1:14" x14ac:dyDescent="0.25">
      <c r="A1709" t="str">
        <f>Table3[[#This Row],[Company Name]] &amp; " - " &amp; Table3[[#This Row],[Store Name]] &amp; " - " &amp; Table3[[#This Row],[Store Branch / Address]]</f>
        <v>TATAY S GRILL INC - TATAY'S GRILL INC - GENERIC</v>
      </c>
      <c r="B1709" t="str">
        <f>Table3[[#This Row],[Client ID]] &amp; " - " &amp; Table3[[#This Row],[SO Number]]</f>
        <v>TATAY S GRILL INC - TATAY'S GRILL INC - GENERIC - SO-163</v>
      </c>
      <c r="C1709" t="s">
        <v>800</v>
      </c>
      <c r="D1709" t="s">
        <v>246</v>
      </c>
      <c r="E1709" t="s">
        <v>247</v>
      </c>
      <c r="F1709" t="s">
        <v>15</v>
      </c>
      <c r="G1709" t="s">
        <v>16</v>
      </c>
      <c r="H1709" t="s">
        <v>801</v>
      </c>
      <c r="I1709" t="s">
        <v>642</v>
      </c>
      <c r="J1709">
        <v>2</v>
      </c>
      <c r="K1709">
        <v>7350</v>
      </c>
      <c r="L1709">
        <v>10500</v>
      </c>
      <c r="M1709">
        <v>21000</v>
      </c>
      <c r="N1709" t="s">
        <v>19</v>
      </c>
    </row>
    <row r="1710" spans="1:14" x14ac:dyDescent="0.25">
      <c r="A1710" t="str">
        <f>Table3[[#This Row],[Company Name]] &amp; " - " &amp; Table3[[#This Row],[Store Name]] &amp; " - " &amp; Table3[[#This Row],[Store Branch / Address]]</f>
        <v>TATAY S GRILL INC - TATAY'S GRILL INC - GENERIC</v>
      </c>
      <c r="B1710" t="str">
        <f>Table3[[#This Row],[Client ID]] &amp; " - " &amp; Table3[[#This Row],[SO Number]]</f>
        <v>TATAY S GRILL INC - TATAY'S GRILL INC - GENERIC - SO-163</v>
      </c>
      <c r="C1710" t="s">
        <v>800</v>
      </c>
      <c r="D1710" t="s">
        <v>246</v>
      </c>
      <c r="E1710" t="s">
        <v>247</v>
      </c>
      <c r="F1710" t="s">
        <v>15</v>
      </c>
      <c r="G1710" t="s">
        <v>16</v>
      </c>
      <c r="H1710" t="s">
        <v>801</v>
      </c>
      <c r="I1710" t="s">
        <v>48</v>
      </c>
      <c r="J1710">
        <v>2</v>
      </c>
      <c r="K1710">
        <v>10750</v>
      </c>
      <c r="L1710">
        <v>11000</v>
      </c>
      <c r="M1710">
        <v>22000</v>
      </c>
      <c r="N1710" t="s">
        <v>19</v>
      </c>
    </row>
    <row r="1711" spans="1:14" x14ac:dyDescent="0.25">
      <c r="A1711" t="str">
        <f>Table3[[#This Row],[Company Name]] &amp; " - " &amp; Table3[[#This Row],[Store Name]] &amp; " - " &amp; Table3[[#This Row],[Store Branch / Address]]</f>
        <v>TATAY S GRILL INC - TATAY'S GRILL INC - GENERIC</v>
      </c>
      <c r="B1711" t="str">
        <f>Table3[[#This Row],[Client ID]] &amp; " - " &amp; Table3[[#This Row],[SO Number]]</f>
        <v>TATAY S GRILL INC - TATAY'S GRILL INC - GENERIC - SO-163</v>
      </c>
      <c r="C1711" t="s">
        <v>800</v>
      </c>
      <c r="D1711" t="s">
        <v>246</v>
      </c>
      <c r="E1711" t="s">
        <v>247</v>
      </c>
      <c r="F1711" t="s">
        <v>15</v>
      </c>
      <c r="G1711" t="s">
        <v>16</v>
      </c>
      <c r="H1711" t="s">
        <v>801</v>
      </c>
      <c r="I1711" t="s">
        <v>126</v>
      </c>
      <c r="J1711">
        <v>2</v>
      </c>
      <c r="K1711">
        <v>10750</v>
      </c>
      <c r="L1711">
        <v>11000</v>
      </c>
      <c r="M1711">
        <v>22000</v>
      </c>
      <c r="N1711" t="s">
        <v>19</v>
      </c>
    </row>
    <row r="1712" spans="1:14" x14ac:dyDescent="0.25">
      <c r="A1712" t="str">
        <f>Table3[[#This Row],[Company Name]] &amp; " - " &amp; Table3[[#This Row],[Store Name]] &amp; " - " &amp; Table3[[#This Row],[Store Branch / Address]]</f>
        <v>TATAY S GRILL INC - TATAY'S GRILL INC - GENERIC</v>
      </c>
      <c r="B1712" t="str">
        <f>Table3[[#This Row],[Client ID]] &amp; " - " &amp; Table3[[#This Row],[SO Number]]</f>
        <v>TATAY S GRILL INC - TATAY'S GRILL INC - GENERIC - SO-163</v>
      </c>
      <c r="C1712" t="s">
        <v>800</v>
      </c>
      <c r="D1712" t="s">
        <v>246</v>
      </c>
      <c r="E1712" t="s">
        <v>247</v>
      </c>
      <c r="F1712" t="s">
        <v>15</v>
      </c>
      <c r="G1712" t="s">
        <v>16</v>
      </c>
      <c r="H1712" t="s">
        <v>801</v>
      </c>
      <c r="I1712" t="s">
        <v>50</v>
      </c>
      <c r="J1712">
        <v>2</v>
      </c>
      <c r="K1712">
        <v>500</v>
      </c>
      <c r="L1712">
        <v>500</v>
      </c>
      <c r="M1712">
        <v>1000</v>
      </c>
      <c r="N1712" t="s">
        <v>19</v>
      </c>
    </row>
    <row r="1713" spans="1:14" x14ac:dyDescent="0.25">
      <c r="A1713" t="str">
        <f>Table3[[#This Row],[Company Name]] &amp; " - " &amp; Table3[[#This Row],[Store Name]] &amp; " - " &amp; Table3[[#This Row],[Store Branch / Address]]</f>
        <v>TATAY S GRILL INC - TATAY'S GRILL INC - GENERIC</v>
      </c>
      <c r="B1713" t="str">
        <f>Table3[[#This Row],[Client ID]] &amp; " - " &amp; Table3[[#This Row],[SO Number]]</f>
        <v>TATAY S GRILL INC - TATAY'S GRILL INC - GENERIC - SO-163</v>
      </c>
      <c r="C1713" t="s">
        <v>800</v>
      </c>
      <c r="D1713" t="s">
        <v>246</v>
      </c>
      <c r="E1713" t="s">
        <v>247</v>
      </c>
      <c r="F1713" t="s">
        <v>15</v>
      </c>
      <c r="G1713" t="s">
        <v>16</v>
      </c>
      <c r="H1713" t="s">
        <v>801</v>
      </c>
      <c r="I1713" t="s">
        <v>127</v>
      </c>
      <c r="J1713">
        <v>1</v>
      </c>
      <c r="K1713">
        <v>3500</v>
      </c>
      <c r="L1713">
        <v>10000</v>
      </c>
      <c r="M1713">
        <v>10000</v>
      </c>
      <c r="N1713" t="s">
        <v>19</v>
      </c>
    </row>
    <row r="1714" spans="1:14" x14ac:dyDescent="0.25">
      <c r="A1714" t="str">
        <f>Table3[[#This Row],[Company Name]] &amp; " - " &amp; Table3[[#This Row],[Store Name]] &amp; " - " &amp; Table3[[#This Row],[Store Branch / Address]]</f>
        <v>TATAY S GRILL INC - TATAY'S GRILL INC - GENERIC</v>
      </c>
      <c r="B1714" t="str">
        <f>Table3[[#This Row],[Client ID]] &amp; " - " &amp; Table3[[#This Row],[SO Number]]</f>
        <v>TATAY S GRILL INC - TATAY'S GRILL INC - GENERIC - SO-163</v>
      </c>
      <c r="C1714" t="s">
        <v>800</v>
      </c>
      <c r="D1714" t="s">
        <v>246</v>
      </c>
      <c r="E1714" t="s">
        <v>247</v>
      </c>
      <c r="F1714" t="s">
        <v>15</v>
      </c>
      <c r="G1714" t="s">
        <v>16</v>
      </c>
      <c r="H1714" t="s">
        <v>801</v>
      </c>
      <c r="I1714" t="s">
        <v>60</v>
      </c>
      <c r="J1714">
        <v>3</v>
      </c>
      <c r="K1714">
        <v>11000</v>
      </c>
      <c r="L1714">
        <v>16500</v>
      </c>
      <c r="M1714">
        <v>49500</v>
      </c>
      <c r="N1714" t="s">
        <v>19</v>
      </c>
    </row>
    <row r="1715" spans="1:14" x14ac:dyDescent="0.25">
      <c r="A1715" t="str">
        <f>Table3[[#This Row],[Company Name]] &amp; " - " &amp; Table3[[#This Row],[Store Name]] &amp; " - " &amp; Table3[[#This Row],[Store Branch / Address]]</f>
        <v>TATAY S GRILL INC - TATAY'S GRILL INC - GENERIC</v>
      </c>
      <c r="B1715" t="str">
        <f>Table3[[#This Row],[Client ID]] &amp; " - " &amp; Table3[[#This Row],[SO Number]]</f>
        <v>TATAY S GRILL INC - TATAY'S GRILL INC - GENERIC - SO-163</v>
      </c>
      <c r="C1715" t="s">
        <v>800</v>
      </c>
      <c r="D1715" t="s">
        <v>246</v>
      </c>
      <c r="E1715" t="s">
        <v>247</v>
      </c>
      <c r="F1715" t="s">
        <v>15</v>
      </c>
      <c r="G1715" t="s">
        <v>16</v>
      </c>
      <c r="H1715" t="s">
        <v>801</v>
      </c>
      <c r="I1715" t="s">
        <v>383</v>
      </c>
      <c r="J1715">
        <v>1</v>
      </c>
      <c r="K1715">
        <v>4250</v>
      </c>
      <c r="L1715">
        <v>6000</v>
      </c>
      <c r="M1715">
        <v>6000</v>
      </c>
      <c r="N1715" t="s">
        <v>19</v>
      </c>
    </row>
    <row r="1716" spans="1:14" x14ac:dyDescent="0.25">
      <c r="A1716" t="str">
        <f>Table3[[#This Row],[Company Name]] &amp; " - " &amp; Table3[[#This Row],[Store Name]] &amp; " - " &amp; Table3[[#This Row],[Store Branch / Address]]</f>
        <v>TATAY S GRILL INC - TATAY'S GRILL INC - GENERIC</v>
      </c>
      <c r="B1716" t="str">
        <f>Table3[[#This Row],[Client ID]] &amp; " - " &amp; Table3[[#This Row],[SO Number]]</f>
        <v>TATAY S GRILL INC - TATAY'S GRILL INC - GENERIC - SO-163</v>
      </c>
      <c r="C1716" t="s">
        <v>800</v>
      </c>
      <c r="D1716" t="s">
        <v>246</v>
      </c>
      <c r="E1716" t="s">
        <v>247</v>
      </c>
      <c r="F1716" t="s">
        <v>15</v>
      </c>
      <c r="G1716" t="s">
        <v>16</v>
      </c>
      <c r="H1716" t="s">
        <v>801</v>
      </c>
      <c r="I1716" t="s">
        <v>116</v>
      </c>
      <c r="J1716">
        <v>2</v>
      </c>
      <c r="K1716">
        <v>2185</v>
      </c>
      <c r="L1716">
        <v>3000</v>
      </c>
      <c r="M1716">
        <v>6000</v>
      </c>
      <c r="N1716" t="s">
        <v>19</v>
      </c>
    </row>
    <row r="1717" spans="1:14" x14ac:dyDescent="0.25">
      <c r="A1717" t="str">
        <f>Table3[[#This Row],[Company Name]] &amp; " - " &amp; Table3[[#This Row],[Store Name]] &amp; " - " &amp; Table3[[#This Row],[Store Branch / Address]]</f>
        <v>TATAY S GRILL INC - TATAY'S GRILL INC - GENERIC</v>
      </c>
      <c r="B1717" t="str">
        <f>Table3[[#This Row],[Client ID]] &amp; " - " &amp; Table3[[#This Row],[SO Number]]</f>
        <v>TATAY S GRILL INC - TATAY'S GRILL INC - GENERIC - SO-163</v>
      </c>
      <c r="C1717" t="s">
        <v>800</v>
      </c>
      <c r="D1717" t="s">
        <v>246</v>
      </c>
      <c r="E1717" t="s">
        <v>247</v>
      </c>
      <c r="F1717" t="s">
        <v>15</v>
      </c>
      <c r="G1717" t="s">
        <v>16</v>
      </c>
      <c r="H1717" t="s">
        <v>801</v>
      </c>
      <c r="I1717" t="s">
        <v>97</v>
      </c>
      <c r="J1717">
        <v>4</v>
      </c>
      <c r="K1717">
        <v>2200</v>
      </c>
      <c r="L1717">
        <v>3500</v>
      </c>
      <c r="M1717">
        <v>14000</v>
      </c>
      <c r="N1717" t="s">
        <v>19</v>
      </c>
    </row>
    <row r="1718" spans="1:14" x14ac:dyDescent="0.25">
      <c r="A1718" t="str">
        <f>Table3[[#This Row],[Company Name]] &amp; " - " &amp; Table3[[#This Row],[Store Name]] &amp; " - " &amp; Table3[[#This Row],[Store Branch / Address]]</f>
        <v>TATAY S GRILL INC - TATAY'S GRILL INC - GENERIC</v>
      </c>
      <c r="B1718" t="str">
        <f>Table3[[#This Row],[Client ID]] &amp; " - " &amp; Table3[[#This Row],[SO Number]]</f>
        <v>TATAY S GRILL INC - TATAY'S GRILL INC - GENERIC - SO-163</v>
      </c>
      <c r="C1718" t="s">
        <v>800</v>
      </c>
      <c r="D1718" t="s">
        <v>246</v>
      </c>
      <c r="E1718" t="s">
        <v>247</v>
      </c>
      <c r="F1718" t="s">
        <v>15</v>
      </c>
      <c r="G1718" t="s">
        <v>16</v>
      </c>
      <c r="H1718" t="s">
        <v>801</v>
      </c>
      <c r="I1718" t="s">
        <v>129</v>
      </c>
      <c r="J1718">
        <v>1</v>
      </c>
      <c r="K1718">
        <v>5740.5</v>
      </c>
      <c r="L1718">
        <v>8000</v>
      </c>
      <c r="M1718">
        <v>8000</v>
      </c>
      <c r="N1718" t="s">
        <v>19</v>
      </c>
    </row>
    <row r="1719" spans="1:14" x14ac:dyDescent="0.25">
      <c r="A1719" t="str">
        <f>Table3[[#This Row],[Company Name]] &amp; " - " &amp; Table3[[#This Row],[Store Name]] &amp; " - " &amp; Table3[[#This Row],[Store Branch / Address]]</f>
        <v>TATAY S GRILL INC - TATAY'S GRILL INC - GENERIC</v>
      </c>
      <c r="B1719" t="str">
        <f>Table3[[#This Row],[Client ID]] &amp; " - " &amp; Table3[[#This Row],[SO Number]]</f>
        <v>TATAY S GRILL INC - TATAY'S GRILL INC - GENERIC - SO-163</v>
      </c>
      <c r="C1719" t="s">
        <v>800</v>
      </c>
      <c r="D1719" t="s">
        <v>246</v>
      </c>
      <c r="E1719" t="s">
        <v>247</v>
      </c>
      <c r="F1719" t="s">
        <v>15</v>
      </c>
      <c r="G1719" t="s">
        <v>16</v>
      </c>
      <c r="H1719" t="s">
        <v>801</v>
      </c>
      <c r="I1719" t="s">
        <v>248</v>
      </c>
      <c r="J1719">
        <v>2</v>
      </c>
      <c r="K1719">
        <v>8500</v>
      </c>
      <c r="L1719">
        <v>12000</v>
      </c>
      <c r="M1719">
        <v>24000</v>
      </c>
      <c r="N1719" t="s">
        <v>19</v>
      </c>
    </row>
    <row r="1720" spans="1:14" x14ac:dyDescent="0.25">
      <c r="A1720" t="str">
        <f>Table3[[#This Row],[Company Name]] &amp; " - " &amp; Table3[[#This Row],[Store Name]] &amp; " - " &amp; Table3[[#This Row],[Store Branch / Address]]</f>
        <v>TATAY S GRILL INC - TATAY'S GRILL INC - GENERIC</v>
      </c>
      <c r="B1720" t="str">
        <f>Table3[[#This Row],[Client ID]] &amp; " - " &amp; Table3[[#This Row],[SO Number]]</f>
        <v>TATAY S GRILL INC - TATAY'S GRILL INC - GENERIC - SO-163</v>
      </c>
      <c r="C1720" t="s">
        <v>800</v>
      </c>
      <c r="D1720" t="s">
        <v>246</v>
      </c>
      <c r="E1720" t="s">
        <v>247</v>
      </c>
      <c r="F1720" t="s">
        <v>15</v>
      </c>
      <c r="G1720" t="s">
        <v>16</v>
      </c>
      <c r="H1720" t="s">
        <v>801</v>
      </c>
      <c r="I1720" t="s">
        <v>384</v>
      </c>
      <c r="J1720">
        <v>1</v>
      </c>
      <c r="K1720">
        <v>8500</v>
      </c>
      <c r="L1720">
        <v>12000</v>
      </c>
      <c r="M1720">
        <v>12000</v>
      </c>
      <c r="N1720" t="s">
        <v>19</v>
      </c>
    </row>
    <row r="1721" spans="1:14" x14ac:dyDescent="0.25">
      <c r="A1721" t="str">
        <f>Table3[[#This Row],[Company Name]] &amp; " - " &amp; Table3[[#This Row],[Store Name]] &amp; " - " &amp; Table3[[#This Row],[Store Branch / Address]]</f>
        <v>TATAY S GRILL INC - TATAY'S GRILL INC - GENERIC</v>
      </c>
      <c r="B1721" t="str">
        <f>Table3[[#This Row],[Client ID]] &amp; " - " &amp; Table3[[#This Row],[SO Number]]</f>
        <v>TATAY S GRILL INC - TATAY'S GRILL INC - GENERIC - SO-163</v>
      </c>
      <c r="C1721" t="s">
        <v>800</v>
      </c>
      <c r="D1721" t="s">
        <v>246</v>
      </c>
      <c r="E1721" t="s">
        <v>247</v>
      </c>
      <c r="F1721" t="s">
        <v>15</v>
      </c>
      <c r="G1721" t="s">
        <v>16</v>
      </c>
      <c r="H1721" t="s">
        <v>801</v>
      </c>
      <c r="I1721" t="s">
        <v>249</v>
      </c>
      <c r="J1721">
        <v>4</v>
      </c>
      <c r="K1721">
        <v>21500</v>
      </c>
      <c r="L1721">
        <v>31075</v>
      </c>
      <c r="M1721">
        <v>124300</v>
      </c>
      <c r="N1721" t="s">
        <v>19</v>
      </c>
    </row>
    <row r="1722" spans="1:14" x14ac:dyDescent="0.25">
      <c r="A1722" t="str">
        <f>Table3[[#This Row],[Company Name]] &amp; " - " &amp; Table3[[#This Row],[Store Name]] &amp; " - " &amp; Table3[[#This Row],[Store Branch / Address]]</f>
        <v>COCOON INC - NAIL SPA - GENERIC</v>
      </c>
      <c r="B1722" t="str">
        <f>Table3[[#This Row],[Client ID]] &amp; " - " &amp; Table3[[#This Row],[SO Number]]</f>
        <v>COCOON INC - NAIL SPA - GENERIC - SO-081</v>
      </c>
      <c r="C1722" t="s">
        <v>481</v>
      </c>
      <c r="D1722" t="s">
        <v>1164</v>
      </c>
      <c r="E1722" t="s">
        <v>1165</v>
      </c>
      <c r="F1722" t="s">
        <v>15</v>
      </c>
      <c r="G1722" t="s">
        <v>37</v>
      </c>
      <c r="H1722" t="s">
        <v>1166</v>
      </c>
      <c r="I1722" t="s">
        <v>1167</v>
      </c>
      <c r="J1722">
        <v>1</v>
      </c>
      <c r="K1722">
        <v>18000</v>
      </c>
      <c r="L1722">
        <v>18000</v>
      </c>
      <c r="M1722">
        <v>18000</v>
      </c>
      <c r="N1722" t="s">
        <v>19</v>
      </c>
    </row>
    <row r="1723" spans="1:14" x14ac:dyDescent="0.25">
      <c r="A1723" t="str">
        <f>Table3[[#This Row],[Company Name]] &amp; " - " &amp; Table3[[#This Row],[Store Name]] &amp; " - " &amp; Table3[[#This Row],[Store Branch / Address]]</f>
        <v>PUA JOHN PAUL BANGUG - SIZZLE MANIA (BOS' CHOW) - ROBINSONS PLACE TUGUEGARAO</v>
      </c>
      <c r="B1723" t="str">
        <f>Table3[[#This Row],[Client ID]] &amp; " - " &amp; Table3[[#This Row],[SO Number]]</f>
        <v>PUA JOHN PAUL BANGUG - SIZZLE MANIA (BOS' CHOW) - ROBINSONS PLACE TUGUEGARAO - SO-164</v>
      </c>
      <c r="C1723" t="s">
        <v>802</v>
      </c>
      <c r="D1723" t="s">
        <v>763</v>
      </c>
      <c r="E1723" t="s">
        <v>764</v>
      </c>
      <c r="F1723" t="s">
        <v>803</v>
      </c>
      <c r="G1723" t="s">
        <v>16</v>
      </c>
      <c r="H1723" t="s">
        <v>804</v>
      </c>
      <c r="I1723" t="s">
        <v>687</v>
      </c>
      <c r="J1723">
        <v>1</v>
      </c>
      <c r="K1723">
        <v>3675</v>
      </c>
      <c r="L1723">
        <v>10500</v>
      </c>
      <c r="M1723">
        <v>10500</v>
      </c>
      <c r="N1723" t="s">
        <v>39</v>
      </c>
    </row>
    <row r="1724" spans="1:14" x14ac:dyDescent="0.25">
      <c r="A1724" t="str">
        <f>Table3[[#This Row],[Company Name]] &amp; " - " &amp; Table3[[#This Row],[Store Name]] &amp; " - " &amp; Table3[[#This Row],[Store Branch / Address]]</f>
        <v>PUA JOHN PAUL BANGUG - SIZZLE MANIA (BOS' CHOW) - ROBINSONS PLACE TUGUEGARAO</v>
      </c>
      <c r="B1724" t="str">
        <f>Table3[[#This Row],[Client ID]] &amp; " - " &amp; Table3[[#This Row],[SO Number]]</f>
        <v>PUA JOHN PAUL BANGUG - SIZZLE MANIA (BOS' CHOW) - ROBINSONS PLACE TUGUEGARAO - SO-164</v>
      </c>
      <c r="C1724" t="s">
        <v>802</v>
      </c>
      <c r="D1724" t="s">
        <v>763</v>
      </c>
      <c r="E1724" t="s">
        <v>764</v>
      </c>
      <c r="F1724" t="s">
        <v>803</v>
      </c>
      <c r="G1724" t="s">
        <v>16</v>
      </c>
      <c r="H1724" t="s">
        <v>804</v>
      </c>
      <c r="I1724" t="s">
        <v>48</v>
      </c>
      <c r="J1724">
        <v>1</v>
      </c>
      <c r="K1724">
        <v>7700</v>
      </c>
      <c r="L1724">
        <v>22000</v>
      </c>
      <c r="M1724">
        <v>22000</v>
      </c>
      <c r="N1724" t="s">
        <v>39</v>
      </c>
    </row>
    <row r="1725" spans="1:14" x14ac:dyDescent="0.25">
      <c r="A1725" t="str">
        <f>Table3[[#This Row],[Company Name]] &amp; " - " &amp; Table3[[#This Row],[Store Name]] &amp; " - " &amp; Table3[[#This Row],[Store Branch / Address]]</f>
        <v>PUA JOHN PAUL BANGUG - SIZZLE MANIA (BOS' CHOW) - ROBINSONS PLACE TUGUEGARAO</v>
      </c>
      <c r="B1725" t="str">
        <f>Table3[[#This Row],[Client ID]] &amp; " - " &amp; Table3[[#This Row],[SO Number]]</f>
        <v>PUA JOHN PAUL BANGUG - SIZZLE MANIA (BOS' CHOW) - ROBINSONS PLACE TUGUEGARAO - SO-164</v>
      </c>
      <c r="C1725" t="s">
        <v>802</v>
      </c>
      <c r="D1725" t="s">
        <v>763</v>
      </c>
      <c r="E1725" t="s">
        <v>764</v>
      </c>
      <c r="F1725" t="s">
        <v>803</v>
      </c>
      <c r="G1725" t="s">
        <v>16</v>
      </c>
      <c r="H1725" t="s">
        <v>804</v>
      </c>
      <c r="I1725" t="s">
        <v>126</v>
      </c>
      <c r="J1725">
        <v>1</v>
      </c>
      <c r="K1725">
        <v>7700</v>
      </c>
      <c r="L1725">
        <v>22000</v>
      </c>
      <c r="M1725">
        <v>22000</v>
      </c>
      <c r="N1725" t="s">
        <v>39</v>
      </c>
    </row>
    <row r="1726" spans="1:14" x14ac:dyDescent="0.25">
      <c r="A1726" t="str">
        <f>Table3[[#This Row],[Company Name]] &amp; " - " &amp; Table3[[#This Row],[Store Name]] &amp; " - " &amp; Table3[[#This Row],[Store Branch / Address]]</f>
        <v>PUA JOHN PAUL BANGUG - SIZZLE MANIA (BOS' CHOW) - ROBINSONS PLACE TUGUEGARAO</v>
      </c>
      <c r="B1726" t="str">
        <f>Table3[[#This Row],[Client ID]] &amp; " - " &amp; Table3[[#This Row],[SO Number]]</f>
        <v>PUA JOHN PAUL BANGUG - SIZZLE MANIA (BOS' CHOW) - ROBINSONS PLACE TUGUEGARAO - SO-164</v>
      </c>
      <c r="C1726" t="s">
        <v>802</v>
      </c>
      <c r="D1726" t="s">
        <v>763</v>
      </c>
      <c r="E1726" t="s">
        <v>764</v>
      </c>
      <c r="F1726" t="s">
        <v>803</v>
      </c>
      <c r="G1726" t="s">
        <v>16</v>
      </c>
      <c r="H1726" t="s">
        <v>804</v>
      </c>
      <c r="I1726" t="s">
        <v>26</v>
      </c>
      <c r="J1726">
        <v>1</v>
      </c>
      <c r="K1726">
        <v>500</v>
      </c>
      <c r="L1726">
        <v>500</v>
      </c>
      <c r="M1726">
        <v>500</v>
      </c>
      <c r="N1726" t="s">
        <v>39</v>
      </c>
    </row>
    <row r="1727" spans="1:14" x14ac:dyDescent="0.25">
      <c r="A1727" t="str">
        <f>Table3[[#This Row],[Company Name]] &amp; " - " &amp; Table3[[#This Row],[Store Name]] &amp; " - " &amp; Table3[[#This Row],[Store Branch / Address]]</f>
        <v>PUA JOHN PAUL BANGUG - SIZZLE MANIA (BOS' CHOW) - ROBINSONS PLACE TUGUEGARAO</v>
      </c>
      <c r="B1727" t="str">
        <f>Table3[[#This Row],[Client ID]] &amp; " - " &amp; Table3[[#This Row],[SO Number]]</f>
        <v>PUA JOHN PAUL BANGUG - SIZZLE MANIA (BOS' CHOW) - ROBINSONS PLACE TUGUEGARAO - SO-164</v>
      </c>
      <c r="C1727" t="s">
        <v>802</v>
      </c>
      <c r="D1727" t="s">
        <v>763</v>
      </c>
      <c r="E1727" t="s">
        <v>764</v>
      </c>
      <c r="F1727" t="s">
        <v>803</v>
      </c>
      <c r="G1727" t="s">
        <v>16</v>
      </c>
      <c r="H1727" t="s">
        <v>804</v>
      </c>
      <c r="I1727" t="s">
        <v>97</v>
      </c>
      <c r="J1727">
        <v>1</v>
      </c>
      <c r="K1727">
        <v>2200</v>
      </c>
      <c r="L1727">
        <v>3500</v>
      </c>
      <c r="M1727">
        <v>3500</v>
      </c>
      <c r="N1727" t="s">
        <v>39</v>
      </c>
    </row>
    <row r="1728" spans="1:14" x14ac:dyDescent="0.25">
      <c r="A1728" t="str">
        <f>Table3[[#This Row],[Company Name]] &amp; " - " &amp; Table3[[#This Row],[Store Name]] &amp; " - " &amp; Table3[[#This Row],[Store Branch / Address]]</f>
        <v>PUA JOHN PAUL BANGUG - SIZZLE MANIA (BOS' CHOW) - ROBINSONS PLACE TUGUEGARAO</v>
      </c>
      <c r="B1728" t="str">
        <f>Table3[[#This Row],[Client ID]] &amp; " - " &amp; Table3[[#This Row],[SO Number]]</f>
        <v>PUA JOHN PAUL BANGUG - SIZZLE MANIA (BOS' CHOW) - ROBINSONS PLACE TUGUEGARAO - SO-164</v>
      </c>
      <c r="C1728" t="s">
        <v>802</v>
      </c>
      <c r="D1728" t="s">
        <v>763</v>
      </c>
      <c r="E1728" t="s">
        <v>764</v>
      </c>
      <c r="F1728" t="s">
        <v>803</v>
      </c>
      <c r="G1728" t="s">
        <v>16</v>
      </c>
      <c r="H1728" t="s">
        <v>804</v>
      </c>
      <c r="I1728" t="s">
        <v>93</v>
      </c>
      <c r="J1728">
        <v>1</v>
      </c>
      <c r="K1728">
        <v>11000</v>
      </c>
      <c r="L1728">
        <v>16500</v>
      </c>
      <c r="M1728">
        <v>16500</v>
      </c>
      <c r="N1728" t="s">
        <v>39</v>
      </c>
    </row>
    <row r="1729" spans="1:14" x14ac:dyDescent="0.25">
      <c r="A1729" t="str">
        <f>Table3[[#This Row],[Company Name]] &amp; " - " &amp; Table3[[#This Row],[Store Name]] &amp; " - " &amp; Table3[[#This Row],[Store Branch / Address]]</f>
        <v>PUA JOHN PAUL BANGUG - SIZZLE MANIA (BOS' CHOW) - ROBINSONS PLACE TUGUEGARAO</v>
      </c>
      <c r="B1729" t="str">
        <f>Table3[[#This Row],[Client ID]] &amp; " - " &amp; Table3[[#This Row],[SO Number]]</f>
        <v>PUA JOHN PAUL BANGUG - SIZZLE MANIA (BOS' CHOW) - ROBINSONS PLACE TUGUEGARAO - SO-164</v>
      </c>
      <c r="C1729" t="s">
        <v>802</v>
      </c>
      <c r="D1729" t="s">
        <v>763</v>
      </c>
      <c r="E1729" t="s">
        <v>764</v>
      </c>
      <c r="F1729" t="s">
        <v>803</v>
      </c>
      <c r="G1729" t="s">
        <v>16</v>
      </c>
      <c r="H1729" t="s">
        <v>804</v>
      </c>
      <c r="I1729" t="s">
        <v>116</v>
      </c>
      <c r="J1729">
        <v>1</v>
      </c>
      <c r="K1729">
        <v>2185</v>
      </c>
      <c r="L1729">
        <v>3500</v>
      </c>
      <c r="M1729">
        <v>3500</v>
      </c>
      <c r="N1729" t="s">
        <v>39</v>
      </c>
    </row>
    <row r="1730" spans="1:14" x14ac:dyDescent="0.25">
      <c r="A1730" t="str">
        <f>Table3[[#This Row],[Company Name]] &amp; " - " &amp; Table3[[#This Row],[Store Name]] &amp; " - " &amp; Table3[[#This Row],[Store Branch / Address]]</f>
        <v>PUA JOHN PAUL BANGUG - SIZZLE MANIA (BOS' CHOW) - ROBINSONS PLACE TUGUEGARAO</v>
      </c>
      <c r="B1730" t="str">
        <f>Table3[[#This Row],[Client ID]] &amp; " - " &amp; Table3[[#This Row],[SO Number]]</f>
        <v>PUA JOHN PAUL BANGUG - SIZZLE MANIA (BOS' CHOW) - ROBINSONS PLACE TUGUEGARAO - SO-164</v>
      </c>
      <c r="C1730" t="s">
        <v>802</v>
      </c>
      <c r="D1730" t="s">
        <v>763</v>
      </c>
      <c r="E1730" t="s">
        <v>764</v>
      </c>
      <c r="F1730" t="s">
        <v>803</v>
      </c>
      <c r="G1730" t="s">
        <v>16</v>
      </c>
      <c r="H1730" t="s">
        <v>804</v>
      </c>
      <c r="I1730" t="s">
        <v>177</v>
      </c>
      <c r="J1730">
        <v>1</v>
      </c>
      <c r="K1730">
        <v>9500</v>
      </c>
      <c r="L1730">
        <v>13500</v>
      </c>
      <c r="M1730">
        <v>13500</v>
      </c>
      <c r="N1730" t="s">
        <v>39</v>
      </c>
    </row>
    <row r="1731" spans="1:14" x14ac:dyDescent="0.25">
      <c r="A1731" t="str">
        <f>Table3[[#This Row],[Company Name]] &amp; " - " &amp; Table3[[#This Row],[Store Name]] &amp; " - " &amp; Table3[[#This Row],[Store Branch / Address]]</f>
        <v>PUA JOHN PAUL BANGUG - SIZZLE MANIA (BOS' CHOW) - ROBINSONS PLACE TUGUEGARAO</v>
      </c>
      <c r="B1731" t="str">
        <f>Table3[[#This Row],[Client ID]] &amp; " - " &amp; Table3[[#This Row],[SO Number]]</f>
        <v>PUA JOHN PAUL BANGUG - SIZZLE MANIA (BOS' CHOW) - ROBINSONS PLACE TUGUEGARAO - SO-164</v>
      </c>
      <c r="C1731" t="s">
        <v>802</v>
      </c>
      <c r="D1731" t="s">
        <v>763</v>
      </c>
      <c r="E1731" t="s">
        <v>764</v>
      </c>
      <c r="F1731" t="s">
        <v>803</v>
      </c>
      <c r="G1731" t="s">
        <v>16</v>
      </c>
      <c r="H1731" t="s">
        <v>804</v>
      </c>
      <c r="I1731" t="s">
        <v>249</v>
      </c>
      <c r="J1731">
        <v>1</v>
      </c>
      <c r="K1731">
        <v>23450</v>
      </c>
      <c r="L1731">
        <v>33900</v>
      </c>
      <c r="M1731">
        <v>33900</v>
      </c>
      <c r="N1731" t="s">
        <v>39</v>
      </c>
    </row>
    <row r="1732" spans="1:14" x14ac:dyDescent="0.25">
      <c r="A1732" t="str">
        <f>Table3[[#This Row],[Company Name]] &amp; " - " &amp; Table3[[#This Row],[Store Name]] &amp; " - " &amp; Table3[[#This Row],[Store Branch / Address]]</f>
        <v>PUA JOHN PAUL BANGUG - SIZZLE MANIA (BOS' CHOW) - ROBINSONS PLACE TUGUEGARAO</v>
      </c>
      <c r="B1732" t="str">
        <f>Table3[[#This Row],[Client ID]] &amp; " - " &amp; Table3[[#This Row],[SO Number]]</f>
        <v>PUA JOHN PAUL BANGUG - SIZZLE MANIA (BOS' CHOW) - ROBINSONS PLACE TUGUEGARAO - SO-164</v>
      </c>
      <c r="C1732" t="s">
        <v>802</v>
      </c>
      <c r="D1732" t="s">
        <v>763</v>
      </c>
      <c r="E1732" t="s">
        <v>764</v>
      </c>
      <c r="F1732" t="s">
        <v>803</v>
      </c>
      <c r="G1732" t="s">
        <v>16</v>
      </c>
      <c r="H1732" t="s">
        <v>804</v>
      </c>
      <c r="I1732" t="s">
        <v>210</v>
      </c>
      <c r="J1732">
        <v>1</v>
      </c>
      <c r="K1732">
        <v>0</v>
      </c>
      <c r="L1732">
        <v>0</v>
      </c>
      <c r="M1732">
        <v>0</v>
      </c>
      <c r="N1732" t="s">
        <v>39</v>
      </c>
    </row>
    <row r="1733" spans="1:14" x14ac:dyDescent="0.25">
      <c r="A1733" t="str">
        <f>Table3[[#This Row],[Company Name]] &amp; " - " &amp; Table3[[#This Row],[Store Name]] &amp; " - " &amp; Table3[[#This Row],[Store Branch / Address]]</f>
        <v>PUA JOHN PAUL BANGUG - SIZZLE MANIA (BOS' CHOW) - ROBINSONS PLACE TUGUEGARAO</v>
      </c>
      <c r="B1733" t="str">
        <f>Table3[[#This Row],[Client ID]] &amp; " - " &amp; Table3[[#This Row],[SO Number]]</f>
        <v>PUA JOHN PAUL BANGUG - SIZZLE MANIA (BOS' CHOW) - ROBINSONS PLACE TUGUEGARAO - SO-164</v>
      </c>
      <c r="C1733" t="s">
        <v>802</v>
      </c>
      <c r="D1733" t="s">
        <v>763</v>
      </c>
      <c r="E1733" t="s">
        <v>764</v>
      </c>
      <c r="F1733" t="s">
        <v>803</v>
      </c>
      <c r="G1733" t="s">
        <v>16</v>
      </c>
      <c r="H1733" t="s">
        <v>804</v>
      </c>
      <c r="I1733" t="s">
        <v>151</v>
      </c>
      <c r="J1733">
        <v>1</v>
      </c>
      <c r="K1733">
        <v>2800</v>
      </c>
      <c r="L1733">
        <v>4000</v>
      </c>
      <c r="M1733">
        <v>4000</v>
      </c>
      <c r="N1733" t="s">
        <v>39</v>
      </c>
    </row>
    <row r="1734" spans="1:14" x14ac:dyDescent="0.25">
      <c r="A1734" t="str">
        <f>Table3[[#This Row],[Company Name]] &amp; " - " &amp; Table3[[#This Row],[Store Name]] &amp; " - " &amp; Table3[[#This Row],[Store Branch / Address]]</f>
        <v>PUA JOHN PAUL BANGUG - SIZZLE MANIA (BOS' CHOW) - ROBINSONS PLACE TUGUEGARAO</v>
      </c>
      <c r="B1734" t="str">
        <f>Table3[[#This Row],[Client ID]] &amp; " - " &amp; Table3[[#This Row],[SO Number]]</f>
        <v>PUA JOHN PAUL BANGUG - SIZZLE MANIA (BOS' CHOW) - ROBINSONS PLACE TUGUEGARAO - SO-164</v>
      </c>
      <c r="C1734" t="s">
        <v>802</v>
      </c>
      <c r="D1734" t="s">
        <v>763</v>
      </c>
      <c r="E1734" t="s">
        <v>764</v>
      </c>
      <c r="F1734" t="s">
        <v>803</v>
      </c>
      <c r="G1734" t="s">
        <v>16</v>
      </c>
      <c r="H1734" t="s">
        <v>804</v>
      </c>
      <c r="I1734" t="s">
        <v>63</v>
      </c>
      <c r="J1734">
        <v>1</v>
      </c>
      <c r="K1734">
        <v>600</v>
      </c>
      <c r="L1734">
        <v>600</v>
      </c>
      <c r="M1734">
        <v>600</v>
      </c>
      <c r="N1734" t="s">
        <v>39</v>
      </c>
    </row>
    <row r="1735" spans="1:14" x14ac:dyDescent="0.25">
      <c r="A1735" t="str">
        <f>Table3[[#This Row],[Company Name]] &amp; " - " &amp; Table3[[#This Row],[Store Name]] &amp; " - " &amp; Table3[[#This Row],[Store Branch / Address]]</f>
        <v>BALDEVIA APRIL JOY LEDESMA - SAMU ADVERTISEMENT MARKETING - SM CITY BACOLOD</v>
      </c>
      <c r="B1735" t="str">
        <f>Table3[[#This Row],[Client ID]] &amp; " - " &amp; Table3[[#This Row],[SO Number]]</f>
        <v>BALDEVIA APRIL JOY LEDESMA - SAMU ADVERTISEMENT MARKETING - SM CITY BACOLOD - SO-165</v>
      </c>
      <c r="C1735" t="s">
        <v>805</v>
      </c>
      <c r="D1735" t="s">
        <v>806</v>
      </c>
      <c r="E1735" t="s">
        <v>807</v>
      </c>
      <c r="F1735" t="s">
        <v>808</v>
      </c>
      <c r="G1735" t="s">
        <v>22</v>
      </c>
      <c r="H1735" t="s">
        <v>804</v>
      </c>
      <c r="I1735" t="s">
        <v>512</v>
      </c>
      <c r="J1735">
        <v>1</v>
      </c>
      <c r="K1735">
        <v>2975</v>
      </c>
      <c r="L1735">
        <v>8500</v>
      </c>
      <c r="M1735">
        <v>8500</v>
      </c>
      <c r="N1735" t="s">
        <v>39</v>
      </c>
    </row>
    <row r="1736" spans="1:14" x14ac:dyDescent="0.25">
      <c r="A1736" t="str">
        <f>Table3[[#This Row],[Company Name]] &amp; " - " &amp; Table3[[#This Row],[Store Name]] &amp; " - " &amp; Table3[[#This Row],[Store Branch / Address]]</f>
        <v>BALDEVIA APRIL JOY LEDESMA - SAMU ADVERTISEMENT MARKETING - SM CITY BACOLOD</v>
      </c>
      <c r="B1736" t="str">
        <f>Table3[[#This Row],[Client ID]] &amp; " - " &amp; Table3[[#This Row],[SO Number]]</f>
        <v>BALDEVIA APRIL JOY LEDESMA - SAMU ADVERTISEMENT MARKETING - SM CITY BACOLOD - SO-165</v>
      </c>
      <c r="C1736" t="s">
        <v>805</v>
      </c>
      <c r="D1736" t="s">
        <v>806</v>
      </c>
      <c r="E1736" t="s">
        <v>807</v>
      </c>
      <c r="F1736" t="s">
        <v>808</v>
      </c>
      <c r="G1736" t="s">
        <v>22</v>
      </c>
      <c r="H1736" t="s">
        <v>804</v>
      </c>
      <c r="I1736" t="s">
        <v>48</v>
      </c>
      <c r="J1736">
        <v>1</v>
      </c>
      <c r="K1736">
        <v>2800</v>
      </c>
      <c r="L1736">
        <v>8000</v>
      </c>
      <c r="M1736">
        <v>8000</v>
      </c>
      <c r="N1736" t="s">
        <v>39</v>
      </c>
    </row>
    <row r="1737" spans="1:14" x14ac:dyDescent="0.25">
      <c r="A1737" t="str">
        <f>Table3[[#This Row],[Company Name]] &amp; " - " &amp; Table3[[#This Row],[Store Name]] &amp; " - " &amp; Table3[[#This Row],[Store Branch / Address]]</f>
        <v>BALDEVIA APRIL JOY LEDESMA - SAMU ADVERTISEMENT MARKETING - SM CITY BACOLOD</v>
      </c>
      <c r="B1737" t="str">
        <f>Table3[[#This Row],[Client ID]] &amp; " - " &amp; Table3[[#This Row],[SO Number]]</f>
        <v>BALDEVIA APRIL JOY LEDESMA - SAMU ADVERTISEMENT MARKETING - SM CITY BACOLOD - SO-165</v>
      </c>
      <c r="C1737" t="s">
        <v>805</v>
      </c>
      <c r="D1737" t="s">
        <v>806</v>
      </c>
      <c r="E1737" t="s">
        <v>807</v>
      </c>
      <c r="F1737" t="s">
        <v>808</v>
      </c>
      <c r="G1737" t="s">
        <v>22</v>
      </c>
      <c r="H1737" t="s">
        <v>804</v>
      </c>
      <c r="I1737" t="s">
        <v>24</v>
      </c>
      <c r="J1737">
        <v>1</v>
      </c>
      <c r="K1737">
        <v>2800</v>
      </c>
      <c r="L1737">
        <v>8000</v>
      </c>
      <c r="M1737">
        <v>8000</v>
      </c>
      <c r="N1737" t="s">
        <v>39</v>
      </c>
    </row>
    <row r="1738" spans="1:14" x14ac:dyDescent="0.25">
      <c r="A1738" t="str">
        <f>Table3[[#This Row],[Company Name]] &amp; " - " &amp; Table3[[#This Row],[Store Name]] &amp; " - " &amp; Table3[[#This Row],[Store Branch / Address]]</f>
        <v>BALDEVIA APRIL JOY LEDESMA - SAMU ADVERTISEMENT MARKETING - SM CITY BACOLOD</v>
      </c>
      <c r="B1738" t="str">
        <f>Table3[[#This Row],[Client ID]] &amp; " - " &amp; Table3[[#This Row],[SO Number]]</f>
        <v>BALDEVIA APRIL JOY LEDESMA - SAMU ADVERTISEMENT MARKETING - SM CITY BACOLOD - SO-165</v>
      </c>
      <c r="C1738" t="s">
        <v>805</v>
      </c>
      <c r="D1738" t="s">
        <v>806</v>
      </c>
      <c r="E1738" t="s">
        <v>807</v>
      </c>
      <c r="F1738" t="s">
        <v>808</v>
      </c>
      <c r="G1738" t="s">
        <v>22</v>
      </c>
      <c r="H1738" t="s">
        <v>804</v>
      </c>
      <c r="I1738" t="s">
        <v>26</v>
      </c>
      <c r="J1738">
        <v>1</v>
      </c>
      <c r="K1738">
        <v>500</v>
      </c>
      <c r="L1738">
        <v>500</v>
      </c>
      <c r="M1738">
        <v>500</v>
      </c>
      <c r="N1738" t="s">
        <v>39</v>
      </c>
    </row>
    <row r="1739" spans="1:14" x14ac:dyDescent="0.25">
      <c r="A1739" t="str">
        <f>Table3[[#This Row],[Company Name]] &amp; " - " &amp; Table3[[#This Row],[Store Name]] &amp; " - " &amp; Table3[[#This Row],[Store Branch / Address]]</f>
        <v>BALDEVIA APRIL JOY LEDESMA - SAMU ADVERTISEMENT MARKETING - SM CITY BACOLOD</v>
      </c>
      <c r="B1739" t="str">
        <f>Table3[[#This Row],[Client ID]] &amp; " - " &amp; Table3[[#This Row],[SO Number]]</f>
        <v>BALDEVIA APRIL JOY LEDESMA - SAMU ADVERTISEMENT MARKETING - SM CITY BACOLOD - SO-165</v>
      </c>
      <c r="C1739" t="s">
        <v>805</v>
      </c>
      <c r="D1739" t="s">
        <v>806</v>
      </c>
      <c r="E1739" t="s">
        <v>807</v>
      </c>
      <c r="F1739" t="s">
        <v>808</v>
      </c>
      <c r="G1739" t="s">
        <v>22</v>
      </c>
      <c r="H1739" t="s">
        <v>804</v>
      </c>
      <c r="I1739" t="s">
        <v>383</v>
      </c>
      <c r="J1739">
        <v>1</v>
      </c>
      <c r="K1739">
        <v>3195</v>
      </c>
      <c r="L1739">
        <v>7000</v>
      </c>
      <c r="M1739">
        <v>7000</v>
      </c>
      <c r="N1739" t="s">
        <v>39</v>
      </c>
    </row>
    <row r="1740" spans="1:14" x14ac:dyDescent="0.25">
      <c r="A1740" t="str">
        <f>Table3[[#This Row],[Company Name]] &amp; " - " &amp; Table3[[#This Row],[Store Name]] &amp; " - " &amp; Table3[[#This Row],[Store Branch / Address]]</f>
        <v>BALDEVIA APRIL JOY LEDESMA - SAMU ADVERTISEMENT MARKETING - SM CITY BACOLOD</v>
      </c>
      <c r="B1740" t="str">
        <f>Table3[[#This Row],[Client ID]] &amp; " - " &amp; Table3[[#This Row],[SO Number]]</f>
        <v>BALDEVIA APRIL JOY LEDESMA - SAMU ADVERTISEMENT MARKETING - SM CITY BACOLOD - SO-165</v>
      </c>
      <c r="C1740" t="s">
        <v>805</v>
      </c>
      <c r="D1740" t="s">
        <v>806</v>
      </c>
      <c r="E1740" t="s">
        <v>807</v>
      </c>
      <c r="F1740" t="s">
        <v>808</v>
      </c>
      <c r="G1740" t="s">
        <v>22</v>
      </c>
      <c r="H1740" t="s">
        <v>804</v>
      </c>
      <c r="I1740" t="s">
        <v>338</v>
      </c>
      <c r="J1740">
        <v>1</v>
      </c>
      <c r="K1740">
        <v>8500</v>
      </c>
      <c r="L1740">
        <v>12500</v>
      </c>
      <c r="M1740">
        <v>12500</v>
      </c>
      <c r="N1740" t="s">
        <v>39</v>
      </c>
    </row>
    <row r="1741" spans="1:14" x14ac:dyDescent="0.25">
      <c r="A1741" t="str">
        <f>Table3[[#This Row],[Company Name]] &amp; " - " &amp; Table3[[#This Row],[Store Name]] &amp; " - " &amp; Table3[[#This Row],[Store Branch / Address]]</f>
        <v>BALDEVIA APRIL JOY LEDESMA - SAMU ADVERTISEMENT MARKETING - SM CITY BACOLOD</v>
      </c>
      <c r="B1741" t="str">
        <f>Table3[[#This Row],[Client ID]] &amp; " - " &amp; Table3[[#This Row],[SO Number]]</f>
        <v>BALDEVIA APRIL JOY LEDESMA - SAMU ADVERTISEMENT MARKETING - SM CITY BACOLOD - SO-165</v>
      </c>
      <c r="C1741" t="s">
        <v>805</v>
      </c>
      <c r="D1741" t="s">
        <v>806</v>
      </c>
      <c r="E1741" t="s">
        <v>807</v>
      </c>
      <c r="F1741" t="s">
        <v>808</v>
      </c>
      <c r="G1741" t="s">
        <v>22</v>
      </c>
      <c r="H1741" t="s">
        <v>804</v>
      </c>
      <c r="I1741" t="s">
        <v>116</v>
      </c>
      <c r="J1741">
        <v>1</v>
      </c>
      <c r="K1741">
        <v>2185</v>
      </c>
      <c r="L1741">
        <v>3500</v>
      </c>
      <c r="M1741">
        <v>3500</v>
      </c>
      <c r="N1741" t="s">
        <v>39</v>
      </c>
    </row>
    <row r="1742" spans="1:14" x14ac:dyDescent="0.25">
      <c r="A1742" t="str">
        <f>Table3[[#This Row],[Company Name]] &amp; " - " &amp; Table3[[#This Row],[Store Name]] &amp; " - " &amp; Table3[[#This Row],[Store Branch / Address]]</f>
        <v>BALDEVIA APRIL JOY LEDESMA - SAMU ADVERTISEMENT MARKETING - SM CITY BACOLOD</v>
      </c>
      <c r="B1742" t="str">
        <f>Table3[[#This Row],[Client ID]] &amp; " - " &amp; Table3[[#This Row],[SO Number]]</f>
        <v>BALDEVIA APRIL JOY LEDESMA - SAMU ADVERTISEMENT MARKETING - SM CITY BACOLOD - SO-165</v>
      </c>
      <c r="C1742" t="s">
        <v>805</v>
      </c>
      <c r="D1742" t="s">
        <v>806</v>
      </c>
      <c r="E1742" t="s">
        <v>807</v>
      </c>
      <c r="F1742" t="s">
        <v>808</v>
      </c>
      <c r="G1742" t="s">
        <v>22</v>
      </c>
      <c r="H1742" t="s">
        <v>804</v>
      </c>
      <c r="I1742" t="s">
        <v>809</v>
      </c>
      <c r="J1742">
        <v>1</v>
      </c>
      <c r="K1742">
        <v>23450</v>
      </c>
      <c r="L1742">
        <v>30800</v>
      </c>
      <c r="M1742">
        <v>30800</v>
      </c>
      <c r="N1742" t="s">
        <v>39</v>
      </c>
    </row>
    <row r="1743" spans="1:14" x14ac:dyDescent="0.25">
      <c r="A1743" t="str">
        <f>Table3[[#This Row],[Company Name]] &amp; " - " &amp; Table3[[#This Row],[Store Name]] &amp; " - " &amp; Table3[[#This Row],[Store Branch / Address]]</f>
        <v>BALDEVIA APRIL JOY LEDESMA - SAMU ADVERTISEMENT MARKETING - SM CITY BACOLOD</v>
      </c>
      <c r="B1743" t="str">
        <f>Table3[[#This Row],[Client ID]] &amp; " - " &amp; Table3[[#This Row],[SO Number]]</f>
        <v>BALDEVIA APRIL JOY LEDESMA - SAMU ADVERTISEMENT MARKETING - SM CITY BACOLOD - SO-165</v>
      </c>
      <c r="C1743" t="s">
        <v>805</v>
      </c>
      <c r="D1743" t="s">
        <v>806</v>
      </c>
      <c r="E1743" t="s">
        <v>807</v>
      </c>
      <c r="F1743" t="s">
        <v>808</v>
      </c>
      <c r="G1743" t="s">
        <v>22</v>
      </c>
      <c r="H1743" t="s">
        <v>804</v>
      </c>
      <c r="I1743" t="s">
        <v>151</v>
      </c>
      <c r="J1743">
        <v>1</v>
      </c>
      <c r="K1743">
        <v>2000</v>
      </c>
      <c r="L1743">
        <v>4000</v>
      </c>
      <c r="M1743">
        <v>4000</v>
      </c>
      <c r="N1743" t="s">
        <v>39</v>
      </c>
    </row>
    <row r="1744" spans="1:14" x14ac:dyDescent="0.25">
      <c r="A1744" t="str">
        <f>Table3[[#This Row],[Company Name]] &amp; " - " &amp; Table3[[#This Row],[Store Name]] &amp; " - " &amp; Table3[[#This Row],[Store Branch / Address]]</f>
        <v>BALDEVIA APRIL JOY LEDESMA - SAMU ADVERTISEMENT MARKETING - SM CITY BACOLOD</v>
      </c>
      <c r="B1744" t="str">
        <f>Table3[[#This Row],[Client ID]] &amp; " - " &amp; Table3[[#This Row],[SO Number]]</f>
        <v>BALDEVIA APRIL JOY LEDESMA - SAMU ADVERTISEMENT MARKETING - SM CITY BACOLOD - SO-165</v>
      </c>
      <c r="C1744" t="s">
        <v>805</v>
      </c>
      <c r="D1744" t="s">
        <v>806</v>
      </c>
      <c r="E1744" t="s">
        <v>807</v>
      </c>
      <c r="F1744" t="s">
        <v>808</v>
      </c>
      <c r="G1744" t="s">
        <v>22</v>
      </c>
      <c r="H1744" t="s">
        <v>804</v>
      </c>
      <c r="I1744" t="s">
        <v>210</v>
      </c>
      <c r="J1744">
        <v>1</v>
      </c>
      <c r="K1744">
        <v>530</v>
      </c>
      <c r="L1744">
        <v>700</v>
      </c>
      <c r="M1744">
        <v>700</v>
      </c>
      <c r="N1744" t="s">
        <v>39</v>
      </c>
    </row>
    <row r="1745" spans="1:14" x14ac:dyDescent="0.25">
      <c r="A1745" t="str">
        <f>Table3[[#This Row],[Company Name]] &amp; " - " &amp; Table3[[#This Row],[Store Name]] &amp; " - " &amp; Table3[[#This Row],[Store Branch / Address]]</f>
        <v>BALDEVIA APRIL JOY LEDESMA - SAMU ADVERTISEMENT MARKETING - SM CITY BACOLOD</v>
      </c>
      <c r="B1745" t="str">
        <f>Table3[[#This Row],[Client ID]] &amp; " - " &amp; Table3[[#This Row],[SO Number]]</f>
        <v>BALDEVIA APRIL JOY LEDESMA - SAMU ADVERTISEMENT MARKETING - SM CITY BACOLOD - SO-165</v>
      </c>
      <c r="C1745" t="s">
        <v>805</v>
      </c>
      <c r="D1745" t="s">
        <v>806</v>
      </c>
      <c r="E1745" t="s">
        <v>807</v>
      </c>
      <c r="F1745" t="s">
        <v>808</v>
      </c>
      <c r="G1745" t="s">
        <v>22</v>
      </c>
      <c r="H1745" t="s">
        <v>804</v>
      </c>
      <c r="I1745" t="s">
        <v>211</v>
      </c>
      <c r="J1745">
        <v>1</v>
      </c>
      <c r="K1745">
        <v>350</v>
      </c>
      <c r="L1745">
        <v>500</v>
      </c>
      <c r="M1745">
        <v>500</v>
      </c>
      <c r="N1745" t="s">
        <v>39</v>
      </c>
    </row>
    <row r="1746" spans="1:14" x14ac:dyDescent="0.25">
      <c r="A1746" t="str">
        <f>Table3[[#This Row],[Company Name]] &amp; " - " &amp; Table3[[#This Row],[Store Name]] &amp; " - " &amp; Table3[[#This Row],[Store Branch / Address]]</f>
        <v>CHICKEN DELI - PAOTSIN - GENERIC</v>
      </c>
      <c r="B1746" t="str">
        <f>Table3[[#This Row],[Client ID]] &amp; " - " &amp; Table3[[#This Row],[SO Number]]</f>
        <v>CHICKEN DELI - PAOTSIN - GENERIC - SO-197</v>
      </c>
      <c r="C1746" t="s">
        <v>916</v>
      </c>
      <c r="D1746" t="s">
        <v>20</v>
      </c>
      <c r="E1746" t="s">
        <v>623</v>
      </c>
      <c r="F1746" t="s">
        <v>15</v>
      </c>
      <c r="G1746" t="s">
        <v>22</v>
      </c>
      <c r="H1746" t="s">
        <v>804</v>
      </c>
      <c r="I1746" t="s">
        <v>23</v>
      </c>
      <c r="J1746">
        <v>1</v>
      </c>
      <c r="K1746">
        <v>2975</v>
      </c>
      <c r="L1746">
        <v>8500</v>
      </c>
      <c r="M1746">
        <v>8500</v>
      </c>
      <c r="N1746" t="s">
        <v>19</v>
      </c>
    </row>
    <row r="1747" spans="1:14" x14ac:dyDescent="0.25">
      <c r="A1747" t="str">
        <f>Table3[[#This Row],[Company Name]] &amp; " - " &amp; Table3[[#This Row],[Store Name]] &amp; " - " &amp; Table3[[#This Row],[Store Branch / Address]]</f>
        <v>CHICKEN DELI - PAOTSIN - GENERIC</v>
      </c>
      <c r="B1747" t="str">
        <f>Table3[[#This Row],[Client ID]] &amp; " - " &amp; Table3[[#This Row],[SO Number]]</f>
        <v>CHICKEN DELI - PAOTSIN - GENERIC - SO-197</v>
      </c>
      <c r="C1747" t="s">
        <v>916</v>
      </c>
      <c r="D1747" t="s">
        <v>20</v>
      </c>
      <c r="E1747" t="s">
        <v>623</v>
      </c>
      <c r="F1747" t="s">
        <v>15</v>
      </c>
      <c r="G1747" t="s">
        <v>22</v>
      </c>
      <c r="H1747" t="s">
        <v>804</v>
      </c>
      <c r="I1747" t="s">
        <v>170</v>
      </c>
      <c r="J1747">
        <v>1</v>
      </c>
      <c r="K1747">
        <v>14000</v>
      </c>
      <c r="L1747">
        <v>14000</v>
      </c>
      <c r="M1747">
        <v>14000</v>
      </c>
      <c r="N1747" t="s">
        <v>19</v>
      </c>
    </row>
    <row r="1748" spans="1:14" x14ac:dyDescent="0.25">
      <c r="A1748" t="str">
        <f>Table3[[#This Row],[Company Name]] &amp; " - " &amp; Table3[[#This Row],[Store Name]] &amp; " - " &amp; Table3[[#This Row],[Store Branch / Address]]</f>
        <v>CHICKEN DELI - PAOTSIN - GENERIC</v>
      </c>
      <c r="B1748" t="str">
        <f>Table3[[#This Row],[Client ID]] &amp; " - " &amp; Table3[[#This Row],[SO Number]]</f>
        <v>CHICKEN DELI - PAOTSIN - GENERIC - SO-197</v>
      </c>
      <c r="C1748" t="s">
        <v>916</v>
      </c>
      <c r="D1748" t="s">
        <v>20</v>
      </c>
      <c r="E1748" t="s">
        <v>623</v>
      </c>
      <c r="F1748" t="s">
        <v>15</v>
      </c>
      <c r="G1748" t="s">
        <v>22</v>
      </c>
      <c r="H1748" t="s">
        <v>804</v>
      </c>
      <c r="I1748" t="s">
        <v>24</v>
      </c>
      <c r="J1748">
        <v>1</v>
      </c>
      <c r="K1748">
        <v>14000</v>
      </c>
      <c r="L1748">
        <v>14000</v>
      </c>
      <c r="M1748">
        <v>14000</v>
      </c>
      <c r="N1748" t="s">
        <v>19</v>
      </c>
    </row>
    <row r="1749" spans="1:14" x14ac:dyDescent="0.25">
      <c r="A1749" t="str">
        <f>Table3[[#This Row],[Company Name]] &amp; " - " &amp; Table3[[#This Row],[Store Name]] &amp; " - " &amp; Table3[[#This Row],[Store Branch / Address]]</f>
        <v>CHICKEN DELI - PAOTSIN - GENERIC</v>
      </c>
      <c r="B1749" t="str">
        <f>Table3[[#This Row],[Client ID]] &amp; " - " &amp; Table3[[#This Row],[SO Number]]</f>
        <v>CHICKEN DELI - PAOTSIN - GENERIC - SO-197</v>
      </c>
      <c r="C1749" t="s">
        <v>916</v>
      </c>
      <c r="D1749" t="s">
        <v>20</v>
      </c>
      <c r="E1749" t="s">
        <v>623</v>
      </c>
      <c r="F1749" t="s">
        <v>15</v>
      </c>
      <c r="G1749" t="s">
        <v>22</v>
      </c>
      <c r="H1749" t="s">
        <v>804</v>
      </c>
      <c r="I1749" t="s">
        <v>26</v>
      </c>
      <c r="J1749">
        <v>1</v>
      </c>
      <c r="K1749">
        <v>500</v>
      </c>
      <c r="L1749">
        <v>0</v>
      </c>
      <c r="M1749">
        <v>0</v>
      </c>
      <c r="N1749" t="s">
        <v>19</v>
      </c>
    </row>
    <row r="1750" spans="1:14" x14ac:dyDescent="0.25">
      <c r="A1750" t="str">
        <f>Table3[[#This Row],[Company Name]] &amp; " - " &amp; Table3[[#This Row],[Store Name]] &amp; " - " &amp; Table3[[#This Row],[Store Branch / Address]]</f>
        <v>CHICKEN DELI - PAOTSIN - GENERIC</v>
      </c>
      <c r="B1750" t="str">
        <f>Table3[[#This Row],[Client ID]] &amp; " - " &amp; Table3[[#This Row],[SO Number]]</f>
        <v>CHICKEN DELI - PAOTSIN - GENERIC - SO-197</v>
      </c>
      <c r="C1750" t="s">
        <v>916</v>
      </c>
      <c r="D1750" t="s">
        <v>20</v>
      </c>
      <c r="E1750" t="s">
        <v>623</v>
      </c>
      <c r="F1750" t="s">
        <v>15</v>
      </c>
      <c r="G1750" t="s">
        <v>22</v>
      </c>
      <c r="H1750" t="s">
        <v>804</v>
      </c>
      <c r="I1750" t="s">
        <v>93</v>
      </c>
      <c r="J1750">
        <v>1</v>
      </c>
      <c r="K1750">
        <v>11000</v>
      </c>
      <c r="L1750">
        <v>0</v>
      </c>
      <c r="M1750">
        <v>0</v>
      </c>
      <c r="N1750" t="s">
        <v>19</v>
      </c>
    </row>
    <row r="1751" spans="1:14" x14ac:dyDescent="0.25">
      <c r="A1751" t="str">
        <f>Table3[[#This Row],[Company Name]] &amp; " - " &amp; Table3[[#This Row],[Store Name]] &amp; " - " &amp; Table3[[#This Row],[Store Branch / Address]]</f>
        <v>CHICKEN DELI - PAOTSIN - GENERIC</v>
      </c>
      <c r="B1751" t="str">
        <f>Table3[[#This Row],[Client ID]] &amp; " - " &amp; Table3[[#This Row],[SO Number]]</f>
        <v>CHICKEN DELI - PAOTSIN - GENERIC - SO-197</v>
      </c>
      <c r="C1751" t="s">
        <v>916</v>
      </c>
      <c r="D1751" t="s">
        <v>20</v>
      </c>
      <c r="E1751" t="s">
        <v>623</v>
      </c>
      <c r="F1751" t="s">
        <v>15</v>
      </c>
      <c r="G1751" t="s">
        <v>22</v>
      </c>
      <c r="H1751" t="s">
        <v>804</v>
      </c>
      <c r="I1751" t="s">
        <v>338</v>
      </c>
      <c r="J1751">
        <v>1</v>
      </c>
      <c r="K1751">
        <v>8500</v>
      </c>
      <c r="L1751">
        <v>12100</v>
      </c>
      <c r="M1751">
        <v>12100</v>
      </c>
      <c r="N1751" t="s">
        <v>19</v>
      </c>
    </row>
    <row r="1752" spans="1:14" x14ac:dyDescent="0.25">
      <c r="A1752" t="str">
        <f>Table3[[#This Row],[Company Name]] &amp; " - " &amp; Table3[[#This Row],[Store Name]] &amp; " - " &amp; Table3[[#This Row],[Store Branch / Address]]</f>
        <v>CHICKEN DELI - PAOTSIN - GENERIC</v>
      </c>
      <c r="B1752" t="str">
        <f>Table3[[#This Row],[Client ID]] &amp; " - " &amp; Table3[[#This Row],[SO Number]]</f>
        <v>CHICKEN DELI - PAOTSIN - GENERIC - SO-197</v>
      </c>
      <c r="C1752" t="s">
        <v>916</v>
      </c>
      <c r="D1752" t="s">
        <v>20</v>
      </c>
      <c r="E1752" t="s">
        <v>623</v>
      </c>
      <c r="F1752" t="s">
        <v>15</v>
      </c>
      <c r="G1752" t="s">
        <v>22</v>
      </c>
      <c r="H1752" t="s">
        <v>804</v>
      </c>
      <c r="I1752" t="s">
        <v>85</v>
      </c>
      <c r="J1752">
        <v>1</v>
      </c>
      <c r="K1752">
        <v>1350</v>
      </c>
      <c r="L1752">
        <v>0</v>
      </c>
      <c r="M1752">
        <v>0</v>
      </c>
      <c r="N1752" t="s">
        <v>19</v>
      </c>
    </row>
    <row r="1753" spans="1:14" x14ac:dyDescent="0.25">
      <c r="A1753" t="str">
        <f>Table3[[#This Row],[Company Name]] &amp; " - " &amp; Table3[[#This Row],[Store Name]] &amp; " - " &amp; Table3[[#This Row],[Store Branch / Address]]</f>
        <v>CHICKEN DELI - PAOTSIN - GENERIC</v>
      </c>
      <c r="B1753" t="str">
        <f>Table3[[#This Row],[Client ID]] &amp; " - " &amp; Table3[[#This Row],[SO Number]]</f>
        <v>CHICKEN DELI - PAOTSIN - GENERIC - SO-197</v>
      </c>
      <c r="C1753" t="s">
        <v>916</v>
      </c>
      <c r="D1753" t="s">
        <v>20</v>
      </c>
      <c r="E1753" t="s">
        <v>623</v>
      </c>
      <c r="F1753" t="s">
        <v>15</v>
      </c>
      <c r="G1753" t="s">
        <v>22</v>
      </c>
      <c r="H1753" t="s">
        <v>804</v>
      </c>
      <c r="I1753" t="s">
        <v>236</v>
      </c>
      <c r="J1753">
        <v>1</v>
      </c>
      <c r="K1753">
        <v>2200</v>
      </c>
      <c r="L1753">
        <v>3100</v>
      </c>
      <c r="M1753">
        <v>3100</v>
      </c>
      <c r="N1753" t="s">
        <v>19</v>
      </c>
    </row>
    <row r="1754" spans="1:14" x14ac:dyDescent="0.25">
      <c r="A1754" t="str">
        <f>Table3[[#This Row],[Company Name]] &amp; " - " &amp; Table3[[#This Row],[Store Name]] &amp; " - " &amp; Table3[[#This Row],[Store Branch / Address]]</f>
        <v>CHICKEN DELI - PAOTSIN - GENERIC</v>
      </c>
      <c r="B1754" t="str">
        <f>Table3[[#This Row],[Client ID]] &amp; " - " &amp; Table3[[#This Row],[SO Number]]</f>
        <v>CHICKEN DELI - PAOTSIN - GENERIC - SO-197</v>
      </c>
      <c r="C1754" t="s">
        <v>916</v>
      </c>
      <c r="D1754" t="s">
        <v>20</v>
      </c>
      <c r="E1754" t="s">
        <v>623</v>
      </c>
      <c r="F1754" t="s">
        <v>15</v>
      </c>
      <c r="G1754" t="s">
        <v>22</v>
      </c>
      <c r="H1754" t="s">
        <v>804</v>
      </c>
      <c r="I1754" t="s">
        <v>98</v>
      </c>
      <c r="J1754">
        <v>1</v>
      </c>
      <c r="K1754">
        <v>935</v>
      </c>
      <c r="L1754">
        <v>0</v>
      </c>
      <c r="M1754">
        <v>0</v>
      </c>
      <c r="N1754" t="s">
        <v>19</v>
      </c>
    </row>
    <row r="1755" spans="1:14" x14ac:dyDescent="0.25">
      <c r="A1755" t="str">
        <f>Table3[[#This Row],[Company Name]] &amp; " - " &amp; Table3[[#This Row],[Store Name]] &amp; " - " &amp; Table3[[#This Row],[Store Branch / Address]]</f>
        <v>CHICKEN DELI - PAOTSIN - GENERIC</v>
      </c>
      <c r="B1755" t="str">
        <f>Table3[[#This Row],[Client ID]] &amp; " - " &amp; Table3[[#This Row],[SO Number]]</f>
        <v>CHICKEN DELI - PAOTSIN - GENERIC - SO-197</v>
      </c>
      <c r="C1755" t="s">
        <v>916</v>
      </c>
      <c r="D1755" t="s">
        <v>20</v>
      </c>
      <c r="E1755" t="s">
        <v>623</v>
      </c>
      <c r="F1755" t="s">
        <v>15</v>
      </c>
      <c r="G1755" t="s">
        <v>22</v>
      </c>
      <c r="H1755" t="s">
        <v>804</v>
      </c>
      <c r="I1755" t="s">
        <v>918</v>
      </c>
      <c r="J1755">
        <v>1</v>
      </c>
      <c r="K1755">
        <v>22500</v>
      </c>
      <c r="L1755">
        <v>32000</v>
      </c>
      <c r="M1755">
        <v>32000</v>
      </c>
      <c r="N1755" t="s">
        <v>19</v>
      </c>
    </row>
    <row r="1756" spans="1:14" x14ac:dyDescent="0.25">
      <c r="A1756" t="str">
        <f>Table3[[#This Row],[Company Name]] &amp; " - " &amp; Table3[[#This Row],[Store Name]] &amp; " - " &amp; Table3[[#This Row],[Store Branch / Address]]</f>
        <v>CHICKEN DELI - PAOTSIN - GENERIC</v>
      </c>
      <c r="B1756" t="str">
        <f>Table3[[#This Row],[Client ID]] &amp; " - " &amp; Table3[[#This Row],[SO Number]]</f>
        <v>CHICKEN DELI - PAOTSIN - GENERIC - SO-197</v>
      </c>
      <c r="C1756" t="s">
        <v>916</v>
      </c>
      <c r="D1756" t="s">
        <v>20</v>
      </c>
      <c r="E1756" t="s">
        <v>623</v>
      </c>
      <c r="F1756" t="s">
        <v>15</v>
      </c>
      <c r="G1756" t="s">
        <v>22</v>
      </c>
      <c r="H1756" t="s">
        <v>804</v>
      </c>
      <c r="I1756" t="s">
        <v>99</v>
      </c>
      <c r="J1756">
        <v>1</v>
      </c>
      <c r="K1756">
        <v>2000</v>
      </c>
      <c r="L1756">
        <v>0</v>
      </c>
      <c r="M1756">
        <v>0</v>
      </c>
      <c r="N1756" t="s">
        <v>19</v>
      </c>
    </row>
    <row r="1757" spans="1:14" x14ac:dyDescent="0.25">
      <c r="A1757" t="str">
        <f>Table3[[#This Row],[Company Name]] &amp; " - " &amp; Table3[[#This Row],[Store Name]] &amp; " - " &amp; Table3[[#This Row],[Store Branch / Address]]</f>
        <v>CHICKEN DELI - PAOTSIN - GENERIC</v>
      </c>
      <c r="B1757" t="str">
        <f>Table3[[#This Row],[Client ID]] &amp; " - " &amp; Table3[[#This Row],[SO Number]]</f>
        <v>CHICKEN DELI - PAOTSIN - GENERIC - SO-197</v>
      </c>
      <c r="C1757" t="s">
        <v>916</v>
      </c>
      <c r="D1757" t="s">
        <v>20</v>
      </c>
      <c r="E1757" t="s">
        <v>623</v>
      </c>
      <c r="F1757" t="s">
        <v>15</v>
      </c>
      <c r="G1757" t="s">
        <v>22</v>
      </c>
      <c r="H1757" t="s">
        <v>804</v>
      </c>
      <c r="I1757" t="s">
        <v>919</v>
      </c>
      <c r="J1757">
        <v>1</v>
      </c>
      <c r="K1757">
        <v>1000</v>
      </c>
      <c r="L1757">
        <v>1000</v>
      </c>
      <c r="M1757">
        <v>1000</v>
      </c>
      <c r="N1757" t="s">
        <v>19</v>
      </c>
    </row>
    <row r="1758" spans="1:14" x14ac:dyDescent="0.25">
      <c r="A1758" t="str">
        <f>Table3[[#This Row],[Company Name]] &amp; " - " &amp; Table3[[#This Row],[Store Name]] &amp; " - " &amp; Table3[[#This Row],[Store Branch / Address]]</f>
        <v>CHICKEN DELI - GONGCHA PHILS. - GENERIC</v>
      </c>
      <c r="B1758" t="str">
        <f>Table3[[#This Row],[Client ID]] &amp; " - " &amp; Table3[[#This Row],[SO Number]]</f>
        <v>CHICKEN DELI - GONGCHA PHILS. - GENERIC - SO-198</v>
      </c>
      <c r="C1758" t="s">
        <v>920</v>
      </c>
      <c r="D1758" t="s">
        <v>20</v>
      </c>
      <c r="E1758" t="s">
        <v>589</v>
      </c>
      <c r="F1758" t="s">
        <v>15</v>
      </c>
      <c r="G1758" t="s">
        <v>22</v>
      </c>
      <c r="H1758" t="s">
        <v>922</v>
      </c>
      <c r="I1758" t="s">
        <v>590</v>
      </c>
      <c r="J1758">
        <v>20</v>
      </c>
      <c r="K1758">
        <v>20</v>
      </c>
      <c r="L1758">
        <v>100</v>
      </c>
      <c r="M1758">
        <v>2000</v>
      </c>
      <c r="N1758" t="s">
        <v>19</v>
      </c>
    </row>
    <row r="1759" spans="1:14" x14ac:dyDescent="0.25">
      <c r="A1759" t="str">
        <f>Table3[[#This Row],[Company Name]] &amp; " - " &amp; Table3[[#This Row],[Store Name]] &amp; " - " &amp; Table3[[#This Row],[Store Branch / Address]]</f>
        <v>CHICKEN DELI - ROB.ERMITA - GENERIC</v>
      </c>
      <c r="B1759" t="str">
        <f>Table3[[#This Row],[Client ID]] &amp; " - " &amp; Table3[[#This Row],[SO Number]]</f>
        <v>CHICKEN DELI - ROB.ERMITA - GENERIC - SO-199</v>
      </c>
      <c r="C1759" t="s">
        <v>923</v>
      </c>
      <c r="D1759" t="s">
        <v>20</v>
      </c>
      <c r="E1759" t="s">
        <v>924</v>
      </c>
      <c r="F1759" t="s">
        <v>15</v>
      </c>
      <c r="G1759" t="s">
        <v>22</v>
      </c>
      <c r="H1759" t="s">
        <v>922</v>
      </c>
      <c r="I1759" t="s">
        <v>925</v>
      </c>
      <c r="J1759">
        <v>1</v>
      </c>
      <c r="K1759">
        <v>13000</v>
      </c>
      <c r="L1759">
        <v>15500</v>
      </c>
      <c r="M1759">
        <v>15500</v>
      </c>
      <c r="N1759" t="s">
        <v>19</v>
      </c>
    </row>
    <row r="1760" spans="1:14" x14ac:dyDescent="0.25">
      <c r="A1760" t="str">
        <f>Table3[[#This Row],[Company Name]] &amp; " - " &amp; Table3[[#This Row],[Store Name]] &amp; " - " &amp; Table3[[#This Row],[Store Branch / Address]]</f>
        <v>CHICKEN DELI - ROB.ERMITA - GENERIC</v>
      </c>
      <c r="B1760" t="str">
        <f>Table3[[#This Row],[Client ID]] &amp; " - " &amp; Table3[[#This Row],[SO Number]]</f>
        <v>CHICKEN DELI - ROB.ERMITA - GENERIC - SO-199</v>
      </c>
      <c r="C1760" t="s">
        <v>923</v>
      </c>
      <c r="D1760" t="s">
        <v>20</v>
      </c>
      <c r="E1760" t="s">
        <v>924</v>
      </c>
      <c r="F1760" t="s">
        <v>15</v>
      </c>
      <c r="G1760" t="s">
        <v>22</v>
      </c>
      <c r="H1760" t="s">
        <v>922</v>
      </c>
      <c r="I1760" t="s">
        <v>76</v>
      </c>
      <c r="J1760">
        <v>1</v>
      </c>
      <c r="K1760">
        <v>500</v>
      </c>
      <c r="L1760">
        <v>500</v>
      </c>
      <c r="M1760">
        <v>500</v>
      </c>
      <c r="N1760" t="s">
        <v>19</v>
      </c>
    </row>
    <row r="1761" spans="1:14" x14ac:dyDescent="0.25">
      <c r="A1761" t="str">
        <f>Table3[[#This Row],[Company Name]] &amp; " - " &amp; Table3[[#This Row],[Store Name]] &amp; " - " &amp; Table3[[#This Row],[Store Branch / Address]]</f>
        <v>CHICKEN DELI - BAGUIO - GENERIC</v>
      </c>
      <c r="B1761" t="str">
        <f>Table3[[#This Row],[Client ID]] &amp; " - " &amp; Table3[[#This Row],[SO Number]]</f>
        <v>CHICKEN DELI - BAGUIO - GENERIC - SO-200</v>
      </c>
      <c r="C1761" t="s">
        <v>928</v>
      </c>
      <c r="D1761" t="s">
        <v>20</v>
      </c>
      <c r="E1761" t="s">
        <v>933</v>
      </c>
      <c r="F1761" t="s">
        <v>15</v>
      </c>
      <c r="G1761" t="s">
        <v>22</v>
      </c>
      <c r="H1761" t="s">
        <v>922</v>
      </c>
      <c r="I1761" t="s">
        <v>934</v>
      </c>
      <c r="J1761">
        <v>1</v>
      </c>
      <c r="K1761">
        <v>13000</v>
      </c>
      <c r="L1761">
        <v>15500</v>
      </c>
      <c r="M1761">
        <v>15500</v>
      </c>
      <c r="N1761" t="s">
        <v>19</v>
      </c>
    </row>
    <row r="1762" spans="1:14" x14ac:dyDescent="0.25">
      <c r="A1762" t="str">
        <f>Table3[[#This Row],[Company Name]] &amp; " - " &amp; Table3[[#This Row],[Store Name]] &amp; " - " &amp; Table3[[#This Row],[Store Branch / Address]]</f>
        <v>CHICKEN DELI - BAGUIO - GENERIC</v>
      </c>
      <c r="B1762" t="str">
        <f>Table3[[#This Row],[Client ID]] &amp; " - " &amp; Table3[[#This Row],[SO Number]]</f>
        <v>CHICKEN DELI - BAGUIO - GENERIC - SO-200</v>
      </c>
      <c r="C1762" t="s">
        <v>928</v>
      </c>
      <c r="D1762" t="s">
        <v>20</v>
      </c>
      <c r="E1762" t="s">
        <v>933</v>
      </c>
      <c r="F1762" t="s">
        <v>15</v>
      </c>
      <c r="G1762" t="s">
        <v>22</v>
      </c>
      <c r="H1762" t="s">
        <v>922</v>
      </c>
      <c r="I1762" t="s">
        <v>76</v>
      </c>
      <c r="J1762">
        <v>1</v>
      </c>
      <c r="K1762">
        <v>500</v>
      </c>
      <c r="L1762">
        <v>500</v>
      </c>
      <c r="M1762">
        <v>500</v>
      </c>
      <c r="N1762" t="s">
        <v>19</v>
      </c>
    </row>
    <row r="1763" spans="1:14" x14ac:dyDescent="0.25">
      <c r="A1763" t="str">
        <f>Table3[[#This Row],[Company Name]] &amp; " - " &amp; Table3[[#This Row],[Store Name]] &amp; " - " &amp; Table3[[#This Row],[Store Branch / Address]]</f>
        <v>W R I WELLNESS RETAIL INNOVATIONS INC - DR. KONG - FAIVIEW TERRACES</v>
      </c>
      <c r="B1763" t="str">
        <f>Table3[[#This Row],[Client ID]] &amp; " - " &amp; Table3[[#This Row],[SO Number]]</f>
        <v>W R I WELLNESS RETAIL INNOVATIONS INC - DR. KONG - FAIVIEW TERRACES - SO-082</v>
      </c>
      <c r="C1763" t="s">
        <v>486</v>
      </c>
      <c r="D1763" t="s">
        <v>1055</v>
      </c>
      <c r="E1763" t="s">
        <v>1056</v>
      </c>
      <c r="F1763" t="s">
        <v>1168</v>
      </c>
      <c r="G1763" t="s">
        <v>37</v>
      </c>
      <c r="H1763" t="s">
        <v>1169</v>
      </c>
      <c r="I1763" t="s">
        <v>38</v>
      </c>
      <c r="J1763">
        <v>1</v>
      </c>
      <c r="K1763">
        <v>8500</v>
      </c>
      <c r="L1763">
        <v>12500</v>
      </c>
      <c r="M1763">
        <v>12500</v>
      </c>
      <c r="N1763" t="s">
        <v>1010</v>
      </c>
    </row>
    <row r="1764" spans="1:14" x14ac:dyDescent="0.25">
      <c r="A1764" t="str">
        <f>Table3[[#This Row],[Company Name]] &amp; " - " &amp; Table3[[#This Row],[Store Name]] &amp; " - " &amp; Table3[[#This Row],[Store Branch / Address]]</f>
        <v>W R I WELLNESS RETAIL INNOVATIONS INC - DR. KONG - FAIVIEW TERRACES</v>
      </c>
      <c r="B1764" t="str">
        <f>Table3[[#This Row],[Client ID]] &amp; " - " &amp; Table3[[#This Row],[SO Number]]</f>
        <v>W R I WELLNESS RETAIL INNOVATIONS INC - DR. KONG - FAIVIEW TERRACES - SO-082</v>
      </c>
      <c r="C1764" t="s">
        <v>486</v>
      </c>
      <c r="D1764" t="s">
        <v>1055</v>
      </c>
      <c r="E1764" t="s">
        <v>1056</v>
      </c>
      <c r="F1764" t="s">
        <v>1168</v>
      </c>
      <c r="G1764" t="s">
        <v>37</v>
      </c>
      <c r="H1764" t="s">
        <v>1169</v>
      </c>
      <c r="I1764" t="s">
        <v>137</v>
      </c>
      <c r="J1764">
        <v>1</v>
      </c>
      <c r="K1764">
        <v>2200</v>
      </c>
      <c r="L1764">
        <v>3250</v>
      </c>
      <c r="M1764">
        <v>3250</v>
      </c>
      <c r="N1764" t="s">
        <v>1010</v>
      </c>
    </row>
    <row r="1765" spans="1:14" x14ac:dyDescent="0.25">
      <c r="A1765" t="str">
        <f>Table3[[#This Row],[Company Name]] &amp; " - " &amp; Table3[[#This Row],[Store Name]] &amp; " - " &amp; Table3[[#This Row],[Store Branch / Address]]</f>
        <v>W R I WELLNESS RETAIL INNOVATIONS INC - DR. KONG - FAIVIEW TERRACES</v>
      </c>
      <c r="B1765" t="str">
        <f>Table3[[#This Row],[Client ID]] &amp; " - " &amp; Table3[[#This Row],[SO Number]]</f>
        <v>W R I WELLNESS RETAIL INNOVATIONS INC - DR. KONG - FAIVIEW TERRACES - SO-082</v>
      </c>
      <c r="C1765" t="s">
        <v>486</v>
      </c>
      <c r="D1765" t="s">
        <v>1055</v>
      </c>
      <c r="E1765" t="s">
        <v>1056</v>
      </c>
      <c r="F1765" t="s">
        <v>1168</v>
      </c>
      <c r="G1765" t="s">
        <v>37</v>
      </c>
      <c r="H1765" t="s">
        <v>1169</v>
      </c>
      <c r="I1765" t="s">
        <v>1057</v>
      </c>
      <c r="J1765">
        <v>1</v>
      </c>
      <c r="K1765">
        <v>5400</v>
      </c>
      <c r="L1765">
        <v>7000</v>
      </c>
      <c r="M1765">
        <v>7000</v>
      </c>
      <c r="N1765" t="s">
        <v>1010</v>
      </c>
    </row>
    <row r="1766" spans="1:14" x14ac:dyDescent="0.25">
      <c r="A1766" t="str">
        <f>Table3[[#This Row],[Company Name]] &amp; " - " &amp; Table3[[#This Row],[Store Name]] &amp; " - " &amp; Table3[[#This Row],[Store Branch / Address]]</f>
        <v>W R I WELLNESS RETAIL INNOVATIONS INC - DR. KONG - FAIVIEW TERRACES</v>
      </c>
      <c r="B1766" t="str">
        <f>Table3[[#This Row],[Client ID]] &amp; " - " &amp; Table3[[#This Row],[SO Number]]</f>
        <v>W R I WELLNESS RETAIL INNOVATIONS INC - DR. KONG - FAIVIEW TERRACES - SO-082</v>
      </c>
      <c r="C1766" t="s">
        <v>486</v>
      </c>
      <c r="D1766" t="s">
        <v>1055</v>
      </c>
      <c r="E1766" t="s">
        <v>1056</v>
      </c>
      <c r="F1766" t="s">
        <v>1168</v>
      </c>
      <c r="G1766" t="s">
        <v>37</v>
      </c>
      <c r="H1766" t="s">
        <v>1169</v>
      </c>
      <c r="I1766" t="s">
        <v>1021</v>
      </c>
      <c r="J1766">
        <v>1</v>
      </c>
      <c r="K1766">
        <v>2185</v>
      </c>
      <c r="L1766">
        <v>3250</v>
      </c>
      <c r="M1766">
        <v>3250</v>
      </c>
      <c r="N1766" t="s">
        <v>1010</v>
      </c>
    </row>
    <row r="1767" spans="1:14" x14ac:dyDescent="0.25">
      <c r="A1767" t="str">
        <f>Table3[[#This Row],[Company Name]] &amp; " - " &amp; Table3[[#This Row],[Store Name]] &amp; " - " &amp; Table3[[#This Row],[Store Branch / Address]]</f>
        <v>W R I WELLNESS RETAIL INNOVATIONS INC - DR. KONG - FAIVIEW TERRACES</v>
      </c>
      <c r="B1767" t="str">
        <f>Table3[[#This Row],[Client ID]] &amp; " - " &amp; Table3[[#This Row],[SO Number]]</f>
        <v>W R I WELLNESS RETAIL INNOVATIONS INC - DR. KONG - FAIVIEW TERRACES - SO-082</v>
      </c>
      <c r="C1767" t="s">
        <v>486</v>
      </c>
      <c r="D1767" t="s">
        <v>1055</v>
      </c>
      <c r="E1767" t="s">
        <v>1056</v>
      </c>
      <c r="F1767" t="s">
        <v>1168</v>
      </c>
      <c r="G1767" t="s">
        <v>37</v>
      </c>
      <c r="H1767" t="s">
        <v>1169</v>
      </c>
      <c r="I1767" t="s">
        <v>63</v>
      </c>
      <c r="J1767">
        <v>1</v>
      </c>
      <c r="K1767">
        <v>500</v>
      </c>
      <c r="L1767">
        <v>500</v>
      </c>
      <c r="M1767">
        <v>500</v>
      </c>
      <c r="N1767" t="s">
        <v>1010</v>
      </c>
    </row>
    <row r="1768" spans="1:14" x14ac:dyDescent="0.25">
      <c r="A1768" t="str">
        <f>Table3[[#This Row],[Company Name]] &amp; " - " &amp; Table3[[#This Row],[Store Name]] &amp; " - " &amp; Table3[[#This Row],[Store Branch / Address]]</f>
        <v>W R I WELLNESS RETAIL INNOVATIONS INC - DR. KONG - HEAD OFFICE</v>
      </c>
      <c r="B1768" t="str">
        <f>Table3[[#This Row],[Client ID]] &amp; " - " &amp; Table3[[#This Row],[SO Number]]</f>
        <v>W R I WELLNESS RETAIL INNOVATIONS INC - DR. KONG - HEAD OFFICE - SO-083</v>
      </c>
      <c r="C1768" t="s">
        <v>487</v>
      </c>
      <c r="D1768" t="s">
        <v>1055</v>
      </c>
      <c r="E1768" t="s">
        <v>1056</v>
      </c>
      <c r="F1768" t="s">
        <v>1133</v>
      </c>
      <c r="G1768" t="s">
        <v>1024</v>
      </c>
      <c r="H1768" t="s">
        <v>1169</v>
      </c>
      <c r="I1768" t="s">
        <v>1057</v>
      </c>
      <c r="J1768">
        <v>2</v>
      </c>
      <c r="K1768">
        <v>5400</v>
      </c>
      <c r="L1768">
        <v>7000</v>
      </c>
      <c r="M1768">
        <v>14000</v>
      </c>
      <c r="N1768" t="s">
        <v>1010</v>
      </c>
    </row>
    <row r="1769" spans="1:14" x14ac:dyDescent="0.25">
      <c r="A1769" t="str">
        <f>Table3[[#This Row],[Company Name]] &amp; " - " &amp; Table3[[#This Row],[Store Name]] &amp; " - " &amp; Table3[[#This Row],[Store Branch / Address]]</f>
        <v>W R I WELLNESS RETAIL INNOVATIONS INC - DR. KONG - MARKET MARKET</v>
      </c>
      <c r="B1769" t="str">
        <f>Table3[[#This Row],[Client ID]] &amp; " - " &amp; Table3[[#This Row],[SO Number]]</f>
        <v>W R I WELLNESS RETAIL INNOVATIONS INC - DR. KONG - MARKET MARKET - SO-084</v>
      </c>
      <c r="C1769" t="s">
        <v>492</v>
      </c>
      <c r="D1769" t="s">
        <v>1055</v>
      </c>
      <c r="E1769" t="s">
        <v>1056</v>
      </c>
      <c r="F1769" t="s">
        <v>879</v>
      </c>
      <c r="G1769" t="s">
        <v>37</v>
      </c>
      <c r="H1769" t="s">
        <v>1170</v>
      </c>
      <c r="I1769" t="s">
        <v>38</v>
      </c>
      <c r="J1769">
        <v>1</v>
      </c>
      <c r="K1769">
        <v>8500</v>
      </c>
      <c r="L1769">
        <v>12500</v>
      </c>
      <c r="M1769">
        <v>12500</v>
      </c>
      <c r="N1769" t="s">
        <v>1010</v>
      </c>
    </row>
    <row r="1770" spans="1:14" x14ac:dyDescent="0.25">
      <c r="A1770" t="str">
        <f>Table3[[#This Row],[Company Name]] &amp; " - " &amp; Table3[[#This Row],[Store Name]] &amp; " - " &amp; Table3[[#This Row],[Store Branch / Address]]</f>
        <v>W R I WELLNESS RETAIL INNOVATIONS INC - DR. KONG - MARKET MARKET</v>
      </c>
      <c r="B1770" t="str">
        <f>Table3[[#This Row],[Client ID]] &amp; " - " &amp; Table3[[#This Row],[SO Number]]</f>
        <v>W R I WELLNESS RETAIL INNOVATIONS INC - DR. KONG - MARKET MARKET - SO-084</v>
      </c>
      <c r="C1770" t="s">
        <v>492</v>
      </c>
      <c r="D1770" t="s">
        <v>1055</v>
      </c>
      <c r="E1770" t="s">
        <v>1056</v>
      </c>
      <c r="F1770" t="s">
        <v>879</v>
      </c>
      <c r="G1770" t="s">
        <v>37</v>
      </c>
      <c r="H1770" t="s">
        <v>1170</v>
      </c>
      <c r="I1770" t="s">
        <v>137</v>
      </c>
      <c r="J1770">
        <v>1</v>
      </c>
      <c r="K1770">
        <v>2200</v>
      </c>
      <c r="L1770">
        <v>3250</v>
      </c>
      <c r="M1770">
        <v>3250</v>
      </c>
      <c r="N1770" t="s">
        <v>1010</v>
      </c>
    </row>
    <row r="1771" spans="1:14" x14ac:dyDescent="0.25">
      <c r="A1771" t="str">
        <f>Table3[[#This Row],[Company Name]] &amp; " - " &amp; Table3[[#This Row],[Store Name]] &amp; " - " &amp; Table3[[#This Row],[Store Branch / Address]]</f>
        <v>W R I WELLNESS RETAIL INNOVATIONS INC - DR. KONG - MARKET MARKET</v>
      </c>
      <c r="B1771" t="str">
        <f>Table3[[#This Row],[Client ID]] &amp; " - " &amp; Table3[[#This Row],[SO Number]]</f>
        <v>W R I WELLNESS RETAIL INNOVATIONS INC - DR. KONG - MARKET MARKET - SO-084</v>
      </c>
      <c r="C1771" t="s">
        <v>492</v>
      </c>
      <c r="D1771" t="s">
        <v>1055</v>
      </c>
      <c r="E1771" t="s">
        <v>1056</v>
      </c>
      <c r="F1771" t="s">
        <v>879</v>
      </c>
      <c r="G1771" t="s">
        <v>37</v>
      </c>
      <c r="H1771" t="s">
        <v>1170</v>
      </c>
      <c r="I1771" t="s">
        <v>1057</v>
      </c>
      <c r="J1771">
        <v>1</v>
      </c>
      <c r="K1771">
        <v>5400</v>
      </c>
      <c r="L1771">
        <v>7000</v>
      </c>
      <c r="M1771">
        <v>7000</v>
      </c>
      <c r="N1771" t="s">
        <v>1010</v>
      </c>
    </row>
    <row r="1772" spans="1:14" x14ac:dyDescent="0.25">
      <c r="A1772" t="str">
        <f>Table3[[#This Row],[Company Name]] &amp; " - " &amp; Table3[[#This Row],[Store Name]] &amp; " - " &amp; Table3[[#This Row],[Store Branch / Address]]</f>
        <v>W R I WELLNESS RETAIL INNOVATIONS INC - DR. KONG - MARKET MARKET</v>
      </c>
      <c r="B1772" t="str">
        <f>Table3[[#This Row],[Client ID]] &amp; " - " &amp; Table3[[#This Row],[SO Number]]</f>
        <v>W R I WELLNESS RETAIL INNOVATIONS INC - DR. KONG - MARKET MARKET - SO-084</v>
      </c>
      <c r="C1772" t="s">
        <v>492</v>
      </c>
      <c r="D1772" t="s">
        <v>1055</v>
      </c>
      <c r="E1772" t="s">
        <v>1056</v>
      </c>
      <c r="F1772" t="s">
        <v>879</v>
      </c>
      <c r="G1772" t="s">
        <v>37</v>
      </c>
      <c r="H1772" t="s">
        <v>1170</v>
      </c>
      <c r="I1772" t="s">
        <v>1021</v>
      </c>
      <c r="J1772">
        <v>1</v>
      </c>
      <c r="K1772">
        <v>2185</v>
      </c>
      <c r="L1772">
        <v>3250</v>
      </c>
      <c r="M1772">
        <v>3250</v>
      </c>
      <c r="N1772" t="s">
        <v>1010</v>
      </c>
    </row>
    <row r="1773" spans="1:14" x14ac:dyDescent="0.25">
      <c r="A1773" t="str">
        <f>Table3[[#This Row],[Company Name]] &amp; " - " &amp; Table3[[#This Row],[Store Name]] &amp; " - " &amp; Table3[[#This Row],[Store Branch / Address]]</f>
        <v>W R I WELLNESS RETAIL INNOVATIONS INC - DR. KONG - MARKET MARKET</v>
      </c>
      <c r="B1773" t="str">
        <f>Table3[[#This Row],[Client ID]] &amp; " - " &amp; Table3[[#This Row],[SO Number]]</f>
        <v>W R I WELLNESS RETAIL INNOVATIONS INC - DR. KONG - MARKET MARKET - SO-084</v>
      </c>
      <c r="C1773" t="s">
        <v>492</v>
      </c>
      <c r="D1773" t="s">
        <v>1055</v>
      </c>
      <c r="E1773" t="s">
        <v>1056</v>
      </c>
      <c r="F1773" t="s">
        <v>879</v>
      </c>
      <c r="G1773" t="s">
        <v>37</v>
      </c>
      <c r="H1773" t="s">
        <v>1170</v>
      </c>
      <c r="I1773" t="s">
        <v>63</v>
      </c>
      <c r="J1773">
        <v>1</v>
      </c>
      <c r="K1773">
        <v>500</v>
      </c>
      <c r="L1773">
        <v>500</v>
      </c>
      <c r="M1773">
        <v>500</v>
      </c>
      <c r="N1773" t="s">
        <v>1010</v>
      </c>
    </row>
    <row r="1774" spans="1:14" x14ac:dyDescent="0.25">
      <c r="A1774" t="str">
        <f>Table3[[#This Row],[Company Name]] &amp; " - " &amp; Table3[[#This Row],[Store Name]] &amp; " - " &amp; Table3[[#This Row],[Store Branch / Address]]</f>
        <v>RRH FOOD GROUP INC - QUEENS AT BOLLYWOOD - GENERIC</v>
      </c>
      <c r="B1774" t="str">
        <f>Table3[[#This Row],[Client ID]] &amp; " - " &amp; Table3[[#This Row],[SO Number]]</f>
        <v>RRH FOOD GROUP INC - QUEENS AT BOLLYWOOD - GENERIC - SO-166</v>
      </c>
      <c r="C1774" t="s">
        <v>810</v>
      </c>
      <c r="D1774" t="s">
        <v>52</v>
      </c>
      <c r="E1774" t="s">
        <v>53</v>
      </c>
      <c r="F1774" t="s">
        <v>15</v>
      </c>
      <c r="G1774" t="s">
        <v>37</v>
      </c>
      <c r="H1774" t="s">
        <v>811</v>
      </c>
      <c r="I1774" t="s">
        <v>428</v>
      </c>
      <c r="J1774">
        <v>4</v>
      </c>
      <c r="K1774">
        <v>70</v>
      </c>
      <c r="L1774">
        <v>250</v>
      </c>
      <c r="M1774">
        <v>1000</v>
      </c>
      <c r="N1774" t="s">
        <v>39</v>
      </c>
    </row>
    <row r="1775" spans="1:14" x14ac:dyDescent="0.25">
      <c r="A1775" t="str">
        <f>Table3[[#This Row],[Company Name]] &amp; " - " &amp; Table3[[#This Row],[Store Name]] &amp; " - " &amp; Table3[[#This Row],[Store Branch / Address]]</f>
        <v>CHICKEN DELI - GONGCHA - GENERIC</v>
      </c>
      <c r="B1775" t="str">
        <f>Table3[[#This Row],[Client ID]] &amp; " - " &amp; Table3[[#This Row],[SO Number]]</f>
        <v>CHICKEN DELI - GONGCHA - GENERIC - SO-201</v>
      </c>
      <c r="C1775" t="s">
        <v>935</v>
      </c>
      <c r="D1775" t="s">
        <v>20</v>
      </c>
      <c r="E1775" t="s">
        <v>31</v>
      </c>
      <c r="F1775" t="s">
        <v>15</v>
      </c>
      <c r="G1775" t="s">
        <v>22</v>
      </c>
      <c r="H1775" t="s">
        <v>811</v>
      </c>
      <c r="I1775" t="s">
        <v>145</v>
      </c>
      <c r="J1775">
        <v>1</v>
      </c>
      <c r="K1775">
        <v>3675</v>
      </c>
      <c r="L1775">
        <v>10500</v>
      </c>
      <c r="M1775">
        <v>10500</v>
      </c>
      <c r="N1775" t="s">
        <v>19</v>
      </c>
    </row>
    <row r="1776" spans="1:14" x14ac:dyDescent="0.25">
      <c r="A1776" t="str">
        <f>Table3[[#This Row],[Company Name]] &amp; " - " &amp; Table3[[#This Row],[Store Name]] &amp; " - " &amp; Table3[[#This Row],[Store Branch / Address]]</f>
        <v>CHICKEN DELI - GONGCHA - GENERIC</v>
      </c>
      <c r="B1776" t="str">
        <f>Table3[[#This Row],[Client ID]] &amp; " - " &amp; Table3[[#This Row],[SO Number]]</f>
        <v>CHICKEN DELI - GONGCHA - GENERIC - SO-201</v>
      </c>
      <c r="C1776" t="s">
        <v>935</v>
      </c>
      <c r="D1776" t="s">
        <v>20</v>
      </c>
      <c r="E1776" t="s">
        <v>31</v>
      </c>
      <c r="F1776" t="s">
        <v>15</v>
      </c>
      <c r="G1776" t="s">
        <v>22</v>
      </c>
      <c r="H1776" t="s">
        <v>811</v>
      </c>
      <c r="I1776" t="s">
        <v>299</v>
      </c>
      <c r="J1776">
        <v>1</v>
      </c>
      <c r="K1776">
        <v>9500</v>
      </c>
      <c r="L1776">
        <v>9500</v>
      </c>
      <c r="M1776">
        <v>9500</v>
      </c>
      <c r="N1776" t="s">
        <v>19</v>
      </c>
    </row>
    <row r="1777" spans="1:14" x14ac:dyDescent="0.25">
      <c r="A1777" t="str">
        <f>Table3[[#This Row],[Company Name]] &amp; " - " &amp; Table3[[#This Row],[Store Name]] &amp; " - " &amp; Table3[[#This Row],[Store Branch / Address]]</f>
        <v>CHICKEN DELI - GONGCHA - GENERIC</v>
      </c>
      <c r="B1777" t="str">
        <f>Table3[[#This Row],[Client ID]] &amp; " - " &amp; Table3[[#This Row],[SO Number]]</f>
        <v>CHICKEN DELI - GONGCHA - GENERIC - SO-201</v>
      </c>
      <c r="C1777" t="s">
        <v>935</v>
      </c>
      <c r="D1777" t="s">
        <v>20</v>
      </c>
      <c r="E1777" t="s">
        <v>31</v>
      </c>
      <c r="F1777" t="s">
        <v>15</v>
      </c>
      <c r="G1777" t="s">
        <v>22</v>
      </c>
      <c r="H1777" t="s">
        <v>811</v>
      </c>
      <c r="I1777" t="s">
        <v>25</v>
      </c>
      <c r="J1777">
        <v>1</v>
      </c>
      <c r="K1777">
        <v>9500</v>
      </c>
      <c r="L1777">
        <v>9500</v>
      </c>
      <c r="M1777">
        <v>9500</v>
      </c>
      <c r="N1777" t="s">
        <v>19</v>
      </c>
    </row>
    <row r="1778" spans="1:14" x14ac:dyDescent="0.25">
      <c r="A1778" t="str">
        <f>Table3[[#This Row],[Company Name]] &amp; " - " &amp; Table3[[#This Row],[Store Name]] &amp; " - " &amp; Table3[[#This Row],[Store Branch / Address]]</f>
        <v>CHICKEN DELI - GONGCHA - GENERIC</v>
      </c>
      <c r="B1778" t="str">
        <f>Table3[[#This Row],[Client ID]] &amp; " - " &amp; Table3[[#This Row],[SO Number]]</f>
        <v>CHICKEN DELI - GONGCHA - GENERIC - SO-201</v>
      </c>
      <c r="C1778" t="s">
        <v>935</v>
      </c>
      <c r="D1778" t="s">
        <v>20</v>
      </c>
      <c r="E1778" t="s">
        <v>31</v>
      </c>
      <c r="F1778" t="s">
        <v>15</v>
      </c>
      <c r="G1778" t="s">
        <v>22</v>
      </c>
      <c r="H1778" t="s">
        <v>811</v>
      </c>
      <c r="I1778" t="s">
        <v>134</v>
      </c>
      <c r="J1778">
        <v>1</v>
      </c>
      <c r="K1778">
        <v>500</v>
      </c>
      <c r="L1778">
        <v>500</v>
      </c>
      <c r="M1778">
        <v>500</v>
      </c>
      <c r="N1778" t="s">
        <v>19</v>
      </c>
    </row>
    <row r="1779" spans="1:14" x14ac:dyDescent="0.25">
      <c r="A1779" t="str">
        <f>Table3[[#This Row],[Company Name]] &amp; " - " &amp; Table3[[#This Row],[Store Name]] &amp; " - " &amp; Table3[[#This Row],[Store Branch / Address]]</f>
        <v>CHICKEN DELI - GONGCHA - GENERIC</v>
      </c>
      <c r="B1779" t="str">
        <f>Table3[[#This Row],[Client ID]] &amp; " - " &amp; Table3[[#This Row],[SO Number]]</f>
        <v>CHICKEN DELI - GONGCHA - GENERIC - SO-202</v>
      </c>
      <c r="C1779" t="s">
        <v>940</v>
      </c>
      <c r="D1779" t="s">
        <v>20</v>
      </c>
      <c r="E1779" t="s">
        <v>31</v>
      </c>
      <c r="F1779" t="s">
        <v>15</v>
      </c>
      <c r="G1779" t="s">
        <v>22</v>
      </c>
      <c r="H1779" t="s">
        <v>811</v>
      </c>
      <c r="I1779" t="s">
        <v>145</v>
      </c>
      <c r="J1779">
        <v>1</v>
      </c>
      <c r="K1779">
        <v>3675</v>
      </c>
      <c r="L1779">
        <v>10500</v>
      </c>
      <c r="M1779">
        <v>10500</v>
      </c>
      <c r="N1779" t="s">
        <v>19</v>
      </c>
    </row>
    <row r="1780" spans="1:14" x14ac:dyDescent="0.25">
      <c r="A1780" t="str">
        <f>Table3[[#This Row],[Company Name]] &amp; " - " &amp; Table3[[#This Row],[Store Name]] &amp; " - " &amp; Table3[[#This Row],[Store Branch / Address]]</f>
        <v>CHICKEN DELI - GONGCHA - GENERIC</v>
      </c>
      <c r="B1780" t="str">
        <f>Table3[[#This Row],[Client ID]] &amp; " - " &amp; Table3[[#This Row],[SO Number]]</f>
        <v>CHICKEN DELI - GONGCHA - GENERIC - SO-202</v>
      </c>
      <c r="C1780" t="s">
        <v>940</v>
      </c>
      <c r="D1780" t="s">
        <v>20</v>
      </c>
      <c r="E1780" t="s">
        <v>31</v>
      </c>
      <c r="F1780" t="s">
        <v>15</v>
      </c>
      <c r="G1780" t="s">
        <v>22</v>
      </c>
      <c r="H1780" t="s">
        <v>811</v>
      </c>
      <c r="I1780" t="s">
        <v>299</v>
      </c>
      <c r="J1780">
        <v>1</v>
      </c>
      <c r="K1780">
        <v>9500</v>
      </c>
      <c r="L1780">
        <v>9500</v>
      </c>
      <c r="M1780">
        <v>9500</v>
      </c>
      <c r="N1780" t="s">
        <v>19</v>
      </c>
    </row>
    <row r="1781" spans="1:14" x14ac:dyDescent="0.25">
      <c r="A1781" t="str">
        <f>Table3[[#This Row],[Company Name]] &amp; " - " &amp; Table3[[#This Row],[Store Name]] &amp; " - " &amp; Table3[[#This Row],[Store Branch / Address]]</f>
        <v>CHICKEN DELI - GONGCHA - GENERIC</v>
      </c>
      <c r="B1781" t="str">
        <f>Table3[[#This Row],[Client ID]] &amp; " - " &amp; Table3[[#This Row],[SO Number]]</f>
        <v>CHICKEN DELI - GONGCHA - GENERIC - SO-202</v>
      </c>
      <c r="C1781" t="s">
        <v>940</v>
      </c>
      <c r="D1781" t="s">
        <v>20</v>
      </c>
      <c r="E1781" t="s">
        <v>31</v>
      </c>
      <c r="F1781" t="s">
        <v>15</v>
      </c>
      <c r="G1781" t="s">
        <v>22</v>
      </c>
      <c r="H1781" t="s">
        <v>811</v>
      </c>
      <c r="I1781" t="s">
        <v>25</v>
      </c>
      <c r="J1781">
        <v>1</v>
      </c>
      <c r="K1781">
        <v>9500</v>
      </c>
      <c r="L1781">
        <v>9500</v>
      </c>
      <c r="M1781">
        <v>9500</v>
      </c>
      <c r="N1781" t="s">
        <v>19</v>
      </c>
    </row>
    <row r="1782" spans="1:14" x14ac:dyDescent="0.25">
      <c r="A1782" t="str">
        <f>Table3[[#This Row],[Company Name]] &amp; " - " &amp; Table3[[#This Row],[Store Name]] &amp; " - " &amp; Table3[[#This Row],[Store Branch / Address]]</f>
        <v>CHICKEN DELI - GONGCHA - GENERIC</v>
      </c>
      <c r="B1782" t="str">
        <f>Table3[[#This Row],[Client ID]] &amp; " - " &amp; Table3[[#This Row],[SO Number]]</f>
        <v>CHICKEN DELI - GONGCHA - GENERIC - SO-202</v>
      </c>
      <c r="C1782" t="s">
        <v>940</v>
      </c>
      <c r="D1782" t="s">
        <v>20</v>
      </c>
      <c r="E1782" t="s">
        <v>31</v>
      </c>
      <c r="F1782" t="s">
        <v>15</v>
      </c>
      <c r="G1782" t="s">
        <v>22</v>
      </c>
      <c r="H1782" t="s">
        <v>811</v>
      </c>
      <c r="I1782" t="s">
        <v>134</v>
      </c>
      <c r="J1782">
        <v>1</v>
      </c>
      <c r="K1782">
        <v>500</v>
      </c>
      <c r="L1782">
        <v>500</v>
      </c>
      <c r="M1782">
        <v>500</v>
      </c>
      <c r="N1782" t="s">
        <v>19</v>
      </c>
    </row>
    <row r="1783" spans="1:14" x14ac:dyDescent="0.25">
      <c r="A1783" t="str">
        <f>Table3[[#This Row],[Company Name]] &amp; " - " &amp; Table3[[#This Row],[Store Name]] &amp; " - " &amp; Table3[[#This Row],[Store Branch / Address]]</f>
        <v>MY GOLDEN TEA LEAF INC - SERENITEA - GENERIC</v>
      </c>
      <c r="B1783" t="str">
        <f>Table3[[#This Row],[Client ID]] &amp; " - " &amp; Table3[[#This Row],[SO Number]]</f>
        <v>MY GOLDEN TEA LEAF INC - SERENITEA - GENERIC - SO-167</v>
      </c>
      <c r="C1783" t="s">
        <v>812</v>
      </c>
      <c r="D1783" t="s">
        <v>431</v>
      </c>
      <c r="E1783" t="s">
        <v>239</v>
      </c>
      <c r="F1783" t="s">
        <v>15</v>
      </c>
      <c r="G1783" t="s">
        <v>37</v>
      </c>
      <c r="H1783" t="s">
        <v>815</v>
      </c>
      <c r="I1783" t="s">
        <v>38</v>
      </c>
      <c r="J1783">
        <v>1</v>
      </c>
      <c r="K1783">
        <v>8500</v>
      </c>
      <c r="L1783">
        <v>12000</v>
      </c>
      <c r="M1783">
        <v>12000</v>
      </c>
      <c r="N1783" t="s">
        <v>19</v>
      </c>
    </row>
    <row r="1784" spans="1:14" x14ac:dyDescent="0.25">
      <c r="A1784" t="str">
        <f>Table3[[#This Row],[Company Name]] &amp; " - " &amp; Table3[[#This Row],[Store Name]] &amp; " - " &amp; Table3[[#This Row],[Store Branch / Address]]</f>
        <v>MY GOLDEN TEA LEAF INC - SERENITEA - GENERIC</v>
      </c>
      <c r="B1784" t="str">
        <f>Table3[[#This Row],[Client ID]] &amp; " - " &amp; Table3[[#This Row],[SO Number]]</f>
        <v>MY GOLDEN TEA LEAF INC - SERENITEA - GENERIC - SO-167</v>
      </c>
      <c r="C1784" t="s">
        <v>812</v>
      </c>
      <c r="D1784" t="s">
        <v>431</v>
      </c>
      <c r="E1784" t="s">
        <v>239</v>
      </c>
      <c r="F1784" t="s">
        <v>15</v>
      </c>
      <c r="G1784" t="s">
        <v>37</v>
      </c>
      <c r="H1784" t="s">
        <v>815</v>
      </c>
      <c r="I1784" t="s">
        <v>393</v>
      </c>
      <c r="J1784">
        <v>1</v>
      </c>
      <c r="K1784">
        <v>500</v>
      </c>
      <c r="L1784">
        <v>500</v>
      </c>
      <c r="M1784">
        <v>500</v>
      </c>
      <c r="N1784" t="s">
        <v>19</v>
      </c>
    </row>
    <row r="1785" spans="1:14" x14ac:dyDescent="0.25">
      <c r="A1785" t="str">
        <f>Table3[[#This Row],[Company Name]] &amp; " - " &amp; Table3[[#This Row],[Store Name]] &amp; " - " &amp; Table3[[#This Row],[Store Branch / Address]]</f>
        <v>MCMANA TRADING AND SERVICES INC - MCMANA TRADING - GENERIC</v>
      </c>
      <c r="B1785" t="str">
        <f>Table3[[#This Row],[Client ID]] &amp; " - " &amp; Table3[[#This Row],[SO Number]]</f>
        <v>MCMANA TRADING AND SERVICES INC - MCMANA TRADING - GENERIC - SO-168</v>
      </c>
      <c r="C1785" t="s">
        <v>816</v>
      </c>
      <c r="D1785" t="s">
        <v>817</v>
      </c>
      <c r="E1785" t="s">
        <v>818</v>
      </c>
      <c r="F1785" t="s">
        <v>15</v>
      </c>
      <c r="G1785" t="s">
        <v>16</v>
      </c>
      <c r="H1785" t="s">
        <v>819</v>
      </c>
      <c r="I1785" t="s">
        <v>79</v>
      </c>
      <c r="J1785">
        <v>1</v>
      </c>
      <c r="K1785">
        <v>11000</v>
      </c>
      <c r="L1785">
        <v>16000</v>
      </c>
      <c r="M1785">
        <v>16000</v>
      </c>
      <c r="N1785" t="s">
        <v>19</v>
      </c>
    </row>
    <row r="1786" spans="1:14" x14ac:dyDescent="0.25">
      <c r="A1786" t="str">
        <f>Table3[[#This Row],[Company Name]] &amp; " - " &amp; Table3[[#This Row],[Store Name]] &amp; " - " &amp; Table3[[#This Row],[Store Branch / Address]]</f>
        <v>MCMANA TRADING AND SERVICES INC - MCMANA TRADING - GENERIC</v>
      </c>
      <c r="B1786" t="str">
        <f>Table3[[#This Row],[Client ID]] &amp; " - " &amp; Table3[[#This Row],[SO Number]]</f>
        <v>MCMANA TRADING AND SERVICES INC - MCMANA TRADING - GENERIC - SO-168</v>
      </c>
      <c r="C1786" t="s">
        <v>816</v>
      </c>
      <c r="D1786" t="s">
        <v>817</v>
      </c>
      <c r="E1786" t="s">
        <v>818</v>
      </c>
      <c r="F1786" t="s">
        <v>15</v>
      </c>
      <c r="G1786" t="s">
        <v>16</v>
      </c>
      <c r="H1786" t="s">
        <v>819</v>
      </c>
      <c r="I1786" t="s">
        <v>130</v>
      </c>
      <c r="J1786">
        <v>1</v>
      </c>
      <c r="K1786">
        <v>9500</v>
      </c>
      <c r="L1786">
        <v>12500</v>
      </c>
      <c r="M1786">
        <v>12500</v>
      </c>
      <c r="N1786" t="s">
        <v>19</v>
      </c>
    </row>
    <row r="1787" spans="1:14" x14ac:dyDescent="0.25">
      <c r="A1787" t="str">
        <f>Table3[[#This Row],[Company Name]] &amp; " - " &amp; Table3[[#This Row],[Store Name]] &amp; " - " &amp; Table3[[#This Row],[Store Branch / Address]]</f>
        <v>MCMANA TRADING AND SERVICES INC - MCMANA TRADING - GENERIC</v>
      </c>
      <c r="B1787" t="str">
        <f>Table3[[#This Row],[Client ID]] &amp; " - " &amp; Table3[[#This Row],[SO Number]]</f>
        <v>MCMANA TRADING AND SERVICES INC - MCMANA TRADING - GENERIC - SO-168</v>
      </c>
      <c r="C1787" t="s">
        <v>816</v>
      </c>
      <c r="D1787" t="s">
        <v>817</v>
      </c>
      <c r="E1787" t="s">
        <v>818</v>
      </c>
      <c r="F1787" t="s">
        <v>15</v>
      </c>
      <c r="G1787" t="s">
        <v>16</v>
      </c>
      <c r="H1787" t="s">
        <v>819</v>
      </c>
      <c r="I1787" t="s">
        <v>131</v>
      </c>
      <c r="J1787">
        <v>1</v>
      </c>
      <c r="K1787">
        <v>9500</v>
      </c>
      <c r="L1787">
        <v>12500</v>
      </c>
      <c r="M1787">
        <v>12500</v>
      </c>
      <c r="N1787" t="s">
        <v>19</v>
      </c>
    </row>
    <row r="1788" spans="1:14" x14ac:dyDescent="0.25">
      <c r="A1788" t="str">
        <f>Table3[[#This Row],[Company Name]] &amp; " - " &amp; Table3[[#This Row],[Store Name]] &amp; " - " &amp; Table3[[#This Row],[Store Branch / Address]]</f>
        <v>MCMANA TRADING AND SERVICES INC - MCMANA TRADING - GENERIC</v>
      </c>
      <c r="B1788" t="str">
        <f>Table3[[#This Row],[Client ID]] &amp; " - " &amp; Table3[[#This Row],[SO Number]]</f>
        <v>MCMANA TRADING AND SERVICES INC - MCMANA TRADING - GENERIC - SO-168</v>
      </c>
      <c r="C1788" t="s">
        <v>816</v>
      </c>
      <c r="D1788" t="s">
        <v>817</v>
      </c>
      <c r="E1788" t="s">
        <v>818</v>
      </c>
      <c r="F1788" t="s">
        <v>15</v>
      </c>
      <c r="G1788" t="s">
        <v>16</v>
      </c>
      <c r="H1788" t="s">
        <v>819</v>
      </c>
      <c r="I1788" t="s">
        <v>187</v>
      </c>
      <c r="J1788">
        <v>1</v>
      </c>
      <c r="K1788">
        <v>850</v>
      </c>
      <c r="L1788">
        <v>1500</v>
      </c>
      <c r="M1788">
        <v>1500</v>
      </c>
      <c r="N1788" t="s">
        <v>19</v>
      </c>
    </row>
    <row r="1789" spans="1:14" x14ac:dyDescent="0.25">
      <c r="A1789" t="str">
        <f>Table3[[#This Row],[Company Name]] &amp; " - " &amp; Table3[[#This Row],[Store Name]] &amp; " - " &amp; Table3[[#This Row],[Store Branch / Address]]</f>
        <v>MCMANA TRADING AND SERVICES INC - MCMANA TRADING - GENERIC</v>
      </c>
      <c r="B1789" t="str">
        <f>Table3[[#This Row],[Client ID]] &amp; " - " &amp; Table3[[#This Row],[SO Number]]</f>
        <v>MCMANA TRADING AND SERVICES INC - MCMANA TRADING - GENERIC - SO-168</v>
      </c>
      <c r="C1789" t="s">
        <v>816</v>
      </c>
      <c r="D1789" t="s">
        <v>817</v>
      </c>
      <c r="E1789" t="s">
        <v>818</v>
      </c>
      <c r="F1789" t="s">
        <v>15</v>
      </c>
      <c r="G1789" t="s">
        <v>16</v>
      </c>
      <c r="H1789" t="s">
        <v>819</v>
      </c>
      <c r="I1789" t="s">
        <v>97</v>
      </c>
      <c r="J1789">
        <v>1</v>
      </c>
      <c r="K1789">
        <v>2200</v>
      </c>
      <c r="L1789">
        <v>3500</v>
      </c>
      <c r="M1789">
        <v>3500</v>
      </c>
      <c r="N1789" t="s">
        <v>19</v>
      </c>
    </row>
    <row r="1790" spans="1:14" x14ac:dyDescent="0.25">
      <c r="A1790" t="str">
        <f>Table3[[#This Row],[Company Name]] &amp; " - " &amp; Table3[[#This Row],[Store Name]] &amp; " - " &amp; Table3[[#This Row],[Store Branch / Address]]</f>
        <v>MCMANA TRADING AND SERVICES INC - MCMANA TRADING - GENERIC</v>
      </c>
      <c r="B1790" t="str">
        <f>Table3[[#This Row],[Client ID]] &amp; " - " &amp; Table3[[#This Row],[SO Number]]</f>
        <v>MCMANA TRADING AND SERVICES INC - MCMANA TRADING - GENERIC - SO-168</v>
      </c>
      <c r="C1790" t="s">
        <v>816</v>
      </c>
      <c r="D1790" t="s">
        <v>817</v>
      </c>
      <c r="E1790" t="s">
        <v>818</v>
      </c>
      <c r="F1790" t="s">
        <v>15</v>
      </c>
      <c r="G1790" t="s">
        <v>16</v>
      </c>
      <c r="H1790" t="s">
        <v>819</v>
      </c>
      <c r="I1790" t="s">
        <v>820</v>
      </c>
      <c r="J1790">
        <v>1</v>
      </c>
      <c r="K1790">
        <v>23450</v>
      </c>
      <c r="L1790">
        <v>30900</v>
      </c>
      <c r="M1790">
        <v>30900</v>
      </c>
      <c r="N1790" t="s">
        <v>19</v>
      </c>
    </row>
    <row r="1791" spans="1:14" x14ac:dyDescent="0.25">
      <c r="A1791" t="str">
        <f>Table3[[#This Row],[Company Name]] &amp; " - " &amp; Table3[[#This Row],[Store Name]] &amp; " - " &amp; Table3[[#This Row],[Store Branch / Address]]</f>
        <v>MCMANA TRADING AND SERVICES INC - MCMANA TRADING - GENERIC</v>
      </c>
      <c r="B1791" t="str">
        <f>Table3[[#This Row],[Client ID]] &amp; " - " &amp; Table3[[#This Row],[SO Number]]</f>
        <v>MCMANA TRADING AND SERVICES INC - MCMANA TRADING - GENERIC - SO-168</v>
      </c>
      <c r="C1791" t="s">
        <v>816</v>
      </c>
      <c r="D1791" t="s">
        <v>817</v>
      </c>
      <c r="E1791" t="s">
        <v>818</v>
      </c>
      <c r="F1791" t="s">
        <v>15</v>
      </c>
      <c r="G1791" t="s">
        <v>16</v>
      </c>
      <c r="H1791" t="s">
        <v>819</v>
      </c>
      <c r="I1791" t="s">
        <v>189</v>
      </c>
      <c r="J1791">
        <v>1</v>
      </c>
      <c r="K1791">
        <v>500</v>
      </c>
      <c r="L1791">
        <v>700</v>
      </c>
      <c r="M1791">
        <v>700</v>
      </c>
      <c r="N1791" t="s">
        <v>19</v>
      </c>
    </row>
    <row r="1792" spans="1:14" x14ac:dyDescent="0.25">
      <c r="A1792" t="str">
        <f>Table3[[#This Row],[Company Name]] &amp; " - " &amp; Table3[[#This Row],[Store Name]] &amp; " - " &amp; Table3[[#This Row],[Store Branch / Address]]</f>
        <v>MCMANA TRADING AND SERVICES INC - MCMANA TRADING - GENERIC</v>
      </c>
      <c r="B1792" t="str">
        <f>Table3[[#This Row],[Client ID]] &amp; " - " &amp; Table3[[#This Row],[SO Number]]</f>
        <v>MCMANA TRADING AND SERVICES INC - MCMANA TRADING - GENERIC - SO-168</v>
      </c>
      <c r="C1792" t="s">
        <v>816</v>
      </c>
      <c r="D1792" t="s">
        <v>817</v>
      </c>
      <c r="E1792" t="s">
        <v>818</v>
      </c>
      <c r="F1792" t="s">
        <v>15</v>
      </c>
      <c r="G1792" t="s">
        <v>16</v>
      </c>
      <c r="H1792" t="s">
        <v>819</v>
      </c>
      <c r="I1792" t="s">
        <v>190</v>
      </c>
      <c r="J1792">
        <v>1</v>
      </c>
      <c r="K1792">
        <v>350</v>
      </c>
      <c r="L1792">
        <v>500</v>
      </c>
      <c r="M1792">
        <v>500</v>
      </c>
      <c r="N1792" t="s">
        <v>19</v>
      </c>
    </row>
    <row r="1793" spans="1:14" x14ac:dyDescent="0.25">
      <c r="A1793" t="str">
        <f>Table3[[#This Row],[Company Name]] &amp; " - " &amp; Table3[[#This Row],[Store Name]] &amp; " - " &amp; Table3[[#This Row],[Store Branch / Address]]</f>
        <v>MCMANA TRADING AND SERVICES INC - MCMANA TRADING - GENERIC</v>
      </c>
      <c r="B1793" t="str">
        <f>Table3[[#This Row],[Client ID]] &amp; " - " &amp; Table3[[#This Row],[SO Number]]</f>
        <v>MCMANA TRADING AND SERVICES INC - MCMANA TRADING - GENERIC - SO-168</v>
      </c>
      <c r="C1793" t="s">
        <v>816</v>
      </c>
      <c r="D1793" t="s">
        <v>817</v>
      </c>
      <c r="E1793" t="s">
        <v>818</v>
      </c>
      <c r="F1793" t="s">
        <v>15</v>
      </c>
      <c r="G1793" t="s">
        <v>16</v>
      </c>
      <c r="H1793" t="s">
        <v>819</v>
      </c>
      <c r="I1793" t="s">
        <v>151</v>
      </c>
      <c r="J1793">
        <v>1</v>
      </c>
      <c r="K1793">
        <v>2000</v>
      </c>
      <c r="L1793">
        <v>3000</v>
      </c>
      <c r="M1793">
        <v>3000</v>
      </c>
      <c r="N1793" t="s">
        <v>19</v>
      </c>
    </row>
    <row r="1794" spans="1:14" x14ac:dyDescent="0.25">
      <c r="A1794" t="str">
        <f>Table3[[#This Row],[Company Name]] &amp; " - " &amp; Table3[[#This Row],[Store Name]] &amp; " - " &amp; Table3[[#This Row],[Store Branch / Address]]</f>
        <v>MCMANA TRADING AND SERVICES INC - MCMANA TRADING - GENERIC</v>
      </c>
      <c r="B1794" t="str">
        <f>Table3[[#This Row],[Client ID]] &amp; " - " &amp; Table3[[#This Row],[SO Number]]</f>
        <v>MCMANA TRADING AND SERVICES INC - MCMANA TRADING - GENERIC - SO-168</v>
      </c>
      <c r="C1794" t="s">
        <v>816</v>
      </c>
      <c r="D1794" t="s">
        <v>817</v>
      </c>
      <c r="E1794" t="s">
        <v>818</v>
      </c>
      <c r="F1794" t="s">
        <v>15</v>
      </c>
      <c r="G1794" t="s">
        <v>16</v>
      </c>
      <c r="H1794" t="s">
        <v>819</v>
      </c>
      <c r="I1794" t="s">
        <v>63</v>
      </c>
      <c r="J1794">
        <v>1</v>
      </c>
      <c r="K1794">
        <v>400</v>
      </c>
      <c r="L1794">
        <v>400</v>
      </c>
      <c r="M1794">
        <v>400</v>
      </c>
      <c r="N1794" t="s">
        <v>19</v>
      </c>
    </row>
    <row r="1795" spans="1:14" x14ac:dyDescent="0.25">
      <c r="A1795" t="str">
        <f>Table3[[#This Row],[Company Name]] &amp; " - " &amp; Table3[[#This Row],[Store Name]] &amp; " - " &amp; Table3[[#This Row],[Store Branch / Address]]</f>
        <v>MCMANA TRADING AND SERVICES INC - MCMANA TRADING - MANILA GOLD COUNTRY CLUB (S LOUNGE)</v>
      </c>
      <c r="B1795" t="str">
        <f>Table3[[#This Row],[Client ID]] &amp; " - " &amp; Table3[[#This Row],[SO Number]]</f>
        <v>MCMANA TRADING AND SERVICES INC - MCMANA TRADING - MANILA GOLD COUNTRY CLUB (S LOUNGE) - SO-169</v>
      </c>
      <c r="C1795" t="s">
        <v>822</v>
      </c>
      <c r="D1795" t="s">
        <v>817</v>
      </c>
      <c r="E1795" t="s">
        <v>818</v>
      </c>
      <c r="F1795" t="s">
        <v>823</v>
      </c>
      <c r="G1795" t="s">
        <v>16</v>
      </c>
      <c r="H1795" t="s">
        <v>819</v>
      </c>
      <c r="I1795" t="s">
        <v>79</v>
      </c>
      <c r="J1795">
        <v>1</v>
      </c>
      <c r="K1795">
        <v>11000</v>
      </c>
      <c r="L1795">
        <v>16000</v>
      </c>
      <c r="M1795">
        <v>16000</v>
      </c>
      <c r="N1795" t="s">
        <v>39</v>
      </c>
    </row>
    <row r="1796" spans="1:14" x14ac:dyDescent="0.25">
      <c r="A1796" t="str">
        <f>Table3[[#This Row],[Company Name]] &amp; " - " &amp; Table3[[#This Row],[Store Name]] &amp; " - " &amp; Table3[[#This Row],[Store Branch / Address]]</f>
        <v>MCMANA TRADING AND SERVICES INC - MCMANA TRADING - MANILA GOLD COUNTRY CLUB (S LOUNGE)</v>
      </c>
      <c r="B1796" t="str">
        <f>Table3[[#This Row],[Client ID]] &amp; " - " &amp; Table3[[#This Row],[SO Number]]</f>
        <v>MCMANA TRADING AND SERVICES INC - MCMANA TRADING - MANILA GOLD COUNTRY CLUB (S LOUNGE) - SO-169</v>
      </c>
      <c r="C1796" t="s">
        <v>822</v>
      </c>
      <c r="D1796" t="s">
        <v>817</v>
      </c>
      <c r="E1796" t="s">
        <v>818</v>
      </c>
      <c r="F1796" t="s">
        <v>823</v>
      </c>
      <c r="G1796" t="s">
        <v>16</v>
      </c>
      <c r="H1796" t="s">
        <v>819</v>
      </c>
      <c r="I1796" t="s">
        <v>130</v>
      </c>
      <c r="J1796">
        <v>1</v>
      </c>
      <c r="K1796">
        <v>9500</v>
      </c>
      <c r="L1796">
        <v>12500</v>
      </c>
      <c r="M1796">
        <v>12500</v>
      </c>
      <c r="N1796" t="s">
        <v>39</v>
      </c>
    </row>
    <row r="1797" spans="1:14" x14ac:dyDescent="0.25">
      <c r="A1797" t="str">
        <f>Table3[[#This Row],[Company Name]] &amp; " - " &amp; Table3[[#This Row],[Store Name]] &amp; " - " &amp; Table3[[#This Row],[Store Branch / Address]]</f>
        <v>MCMANA TRADING AND SERVICES INC - MCMANA TRADING - MANILA GOLD COUNTRY CLUB (S LOUNGE)</v>
      </c>
      <c r="B1797" t="str">
        <f>Table3[[#This Row],[Client ID]] &amp; " - " &amp; Table3[[#This Row],[SO Number]]</f>
        <v>MCMANA TRADING AND SERVICES INC - MCMANA TRADING - MANILA GOLD COUNTRY CLUB (S LOUNGE) - SO-169</v>
      </c>
      <c r="C1797" t="s">
        <v>822</v>
      </c>
      <c r="D1797" t="s">
        <v>817</v>
      </c>
      <c r="E1797" t="s">
        <v>818</v>
      </c>
      <c r="F1797" t="s">
        <v>823</v>
      </c>
      <c r="G1797" t="s">
        <v>16</v>
      </c>
      <c r="H1797" t="s">
        <v>819</v>
      </c>
      <c r="I1797" t="s">
        <v>97</v>
      </c>
      <c r="J1797">
        <v>1</v>
      </c>
      <c r="K1797">
        <v>2200</v>
      </c>
      <c r="L1797">
        <v>3500</v>
      </c>
      <c r="M1797">
        <v>3500</v>
      </c>
      <c r="N1797" t="s">
        <v>39</v>
      </c>
    </row>
    <row r="1798" spans="1:14" x14ac:dyDescent="0.25">
      <c r="A1798" t="str">
        <f>Table3[[#This Row],[Company Name]] &amp; " - " &amp; Table3[[#This Row],[Store Name]] &amp; " - " &amp; Table3[[#This Row],[Store Branch / Address]]</f>
        <v>MCMANA TRADING AND SERVICES INC - MCMANA TRADING - MANILA GOLD COUNTRY CLUB (S LOUNGE)</v>
      </c>
      <c r="B1798" t="str">
        <f>Table3[[#This Row],[Client ID]] &amp; " - " &amp; Table3[[#This Row],[SO Number]]</f>
        <v>MCMANA TRADING AND SERVICES INC - MCMANA TRADING - MANILA GOLD COUNTRY CLUB (S LOUNGE) - SO-169</v>
      </c>
      <c r="C1798" t="s">
        <v>822</v>
      </c>
      <c r="D1798" t="s">
        <v>817</v>
      </c>
      <c r="E1798" t="s">
        <v>818</v>
      </c>
      <c r="F1798" t="s">
        <v>823</v>
      </c>
      <c r="G1798" t="s">
        <v>16</v>
      </c>
      <c r="H1798" t="s">
        <v>819</v>
      </c>
      <c r="I1798" t="s">
        <v>820</v>
      </c>
      <c r="J1798">
        <v>1</v>
      </c>
      <c r="K1798">
        <v>23450</v>
      </c>
      <c r="L1798">
        <v>30900</v>
      </c>
      <c r="M1798">
        <v>30900</v>
      </c>
      <c r="N1798" t="s">
        <v>39</v>
      </c>
    </row>
    <row r="1799" spans="1:14" x14ac:dyDescent="0.25">
      <c r="A1799" t="str">
        <f>Table3[[#This Row],[Company Name]] &amp; " - " &amp; Table3[[#This Row],[Store Name]] &amp; " - " &amp; Table3[[#This Row],[Store Branch / Address]]</f>
        <v>MCMANA TRADING AND SERVICES INC - MCMANA TRADING - MANILA GOLD COUNTRY CLUB (S LOUNGE)</v>
      </c>
      <c r="B1799" t="str">
        <f>Table3[[#This Row],[Client ID]] &amp; " - " &amp; Table3[[#This Row],[SO Number]]</f>
        <v>MCMANA TRADING AND SERVICES INC - MCMANA TRADING - MANILA GOLD COUNTRY CLUB (S LOUNGE) - SO-169</v>
      </c>
      <c r="C1799" t="s">
        <v>822</v>
      </c>
      <c r="D1799" t="s">
        <v>817</v>
      </c>
      <c r="E1799" t="s">
        <v>818</v>
      </c>
      <c r="F1799" t="s">
        <v>823</v>
      </c>
      <c r="G1799" t="s">
        <v>16</v>
      </c>
      <c r="H1799" t="s">
        <v>819</v>
      </c>
      <c r="I1799" t="s">
        <v>189</v>
      </c>
      <c r="J1799">
        <v>1</v>
      </c>
      <c r="K1799">
        <v>500</v>
      </c>
      <c r="L1799">
        <v>700</v>
      </c>
      <c r="M1799">
        <v>700</v>
      </c>
      <c r="N1799" t="s">
        <v>39</v>
      </c>
    </row>
    <row r="1800" spans="1:14" x14ac:dyDescent="0.25">
      <c r="A1800" t="str">
        <f>Table3[[#This Row],[Company Name]] &amp; " - " &amp; Table3[[#This Row],[Store Name]] &amp; " - " &amp; Table3[[#This Row],[Store Branch / Address]]</f>
        <v>MCMANA TRADING AND SERVICES INC - MCMANA TRADING - MANILA GOLD COUNTRY CLUB (S LOUNGE)</v>
      </c>
      <c r="B1800" t="str">
        <f>Table3[[#This Row],[Client ID]] &amp; " - " &amp; Table3[[#This Row],[SO Number]]</f>
        <v>MCMANA TRADING AND SERVICES INC - MCMANA TRADING - MANILA GOLD COUNTRY CLUB (S LOUNGE) - SO-169</v>
      </c>
      <c r="C1800" t="s">
        <v>822</v>
      </c>
      <c r="D1800" t="s">
        <v>817</v>
      </c>
      <c r="E1800" t="s">
        <v>818</v>
      </c>
      <c r="F1800" t="s">
        <v>823</v>
      </c>
      <c r="G1800" t="s">
        <v>16</v>
      </c>
      <c r="H1800" t="s">
        <v>819</v>
      </c>
      <c r="I1800" t="s">
        <v>190</v>
      </c>
      <c r="J1800">
        <v>1</v>
      </c>
      <c r="K1800">
        <v>350</v>
      </c>
      <c r="L1800">
        <v>500</v>
      </c>
      <c r="M1800">
        <v>500</v>
      </c>
      <c r="N1800" t="s">
        <v>39</v>
      </c>
    </row>
    <row r="1801" spans="1:14" x14ac:dyDescent="0.25">
      <c r="A1801" t="str">
        <f>Table3[[#This Row],[Company Name]] &amp; " - " &amp; Table3[[#This Row],[Store Name]] &amp; " - " &amp; Table3[[#This Row],[Store Branch / Address]]</f>
        <v>MCMANA TRADING AND SERVICES INC - MCMANA TRADING - MANILA GOLD COUNTRY CLUB (S LOUNGE)</v>
      </c>
      <c r="B1801" t="str">
        <f>Table3[[#This Row],[Client ID]] &amp; " - " &amp; Table3[[#This Row],[SO Number]]</f>
        <v>MCMANA TRADING AND SERVICES INC - MCMANA TRADING - MANILA GOLD COUNTRY CLUB (S LOUNGE) - SO-169</v>
      </c>
      <c r="C1801" t="s">
        <v>822</v>
      </c>
      <c r="D1801" t="s">
        <v>817</v>
      </c>
      <c r="E1801" t="s">
        <v>818</v>
      </c>
      <c r="F1801" t="s">
        <v>823</v>
      </c>
      <c r="G1801" t="s">
        <v>16</v>
      </c>
      <c r="H1801" t="s">
        <v>819</v>
      </c>
      <c r="I1801" t="s">
        <v>151</v>
      </c>
      <c r="J1801">
        <v>1</v>
      </c>
      <c r="K1801">
        <v>2000</v>
      </c>
      <c r="L1801">
        <v>3000</v>
      </c>
      <c r="M1801">
        <v>3000</v>
      </c>
      <c r="N1801" t="s">
        <v>39</v>
      </c>
    </row>
    <row r="1802" spans="1:14" x14ac:dyDescent="0.25">
      <c r="A1802" t="str">
        <f>Table3[[#This Row],[Company Name]] &amp; " - " &amp; Table3[[#This Row],[Store Name]] &amp; " - " &amp; Table3[[#This Row],[Store Branch / Address]]</f>
        <v>MCMANA TRADING AND SERVICES INC - MCMANA TRADING - MANILA GOLD COUNTRY CLUB (S LOUNGE)</v>
      </c>
      <c r="B1802" t="str">
        <f>Table3[[#This Row],[Client ID]] &amp; " - " &amp; Table3[[#This Row],[SO Number]]</f>
        <v>MCMANA TRADING AND SERVICES INC - MCMANA TRADING - MANILA GOLD COUNTRY CLUB (S LOUNGE) - SO-169</v>
      </c>
      <c r="C1802" t="s">
        <v>822</v>
      </c>
      <c r="D1802" t="s">
        <v>817</v>
      </c>
      <c r="E1802" t="s">
        <v>818</v>
      </c>
      <c r="F1802" t="s">
        <v>823</v>
      </c>
      <c r="G1802" t="s">
        <v>16</v>
      </c>
      <c r="H1802" t="s">
        <v>819</v>
      </c>
      <c r="I1802" t="s">
        <v>63</v>
      </c>
      <c r="J1802">
        <v>1</v>
      </c>
      <c r="K1802">
        <v>400</v>
      </c>
      <c r="L1802">
        <v>400</v>
      </c>
      <c r="M1802">
        <v>400</v>
      </c>
      <c r="N1802" t="s">
        <v>39</v>
      </c>
    </row>
    <row r="1803" spans="1:14" x14ac:dyDescent="0.25">
      <c r="A1803" t="str">
        <f>Table3[[#This Row],[Company Name]] &amp; " - " &amp; Table3[[#This Row],[Store Name]] &amp; " - " &amp; Table3[[#This Row],[Store Branch / Address]]</f>
        <v>MCMANA TRADING AND SERVICES INC - MCMANA TRADING - MANILA GOLD COUNTRY CLUB</v>
      </c>
      <c r="B1803" t="str">
        <f>Table3[[#This Row],[Client ID]] &amp; " - " &amp; Table3[[#This Row],[SO Number]]</f>
        <v>MCMANA TRADING AND SERVICES INC - MCMANA TRADING - MANILA GOLD COUNTRY CLUB - SO-170</v>
      </c>
      <c r="C1803" t="s">
        <v>825</v>
      </c>
      <c r="D1803" t="s">
        <v>817</v>
      </c>
      <c r="E1803" t="s">
        <v>818</v>
      </c>
      <c r="F1803" t="s">
        <v>826</v>
      </c>
      <c r="G1803" t="s">
        <v>16</v>
      </c>
      <c r="H1803" t="s">
        <v>819</v>
      </c>
      <c r="I1803" t="s">
        <v>827</v>
      </c>
      <c r="J1803">
        <v>2</v>
      </c>
      <c r="K1803">
        <v>15000</v>
      </c>
      <c r="L1803">
        <v>15000</v>
      </c>
      <c r="M1803">
        <v>30000</v>
      </c>
      <c r="N1803" t="s">
        <v>39</v>
      </c>
    </row>
    <row r="1804" spans="1:14" x14ac:dyDescent="0.25">
      <c r="A1804" t="str">
        <f>Table3[[#This Row],[Company Name]] &amp; " - " &amp; Table3[[#This Row],[Store Name]] &amp; " - " &amp; Table3[[#This Row],[Store Branch / Address]]</f>
        <v>M W TOWNSTORE - M &amp; W - GENERIC</v>
      </c>
      <c r="B1804" t="str">
        <f>Table3[[#This Row],[Client ID]] &amp; " - " &amp; Table3[[#This Row],[SO Number]]</f>
        <v>M W TOWNSTORE - M &amp; W - GENERIC - SO-203</v>
      </c>
      <c r="C1804" t="s">
        <v>943</v>
      </c>
      <c r="D1804" t="s">
        <v>191</v>
      </c>
      <c r="E1804" t="s">
        <v>192</v>
      </c>
      <c r="F1804" t="s">
        <v>15</v>
      </c>
      <c r="G1804" t="s">
        <v>22</v>
      </c>
      <c r="H1804" t="s">
        <v>819</v>
      </c>
      <c r="I1804" t="s">
        <v>581</v>
      </c>
      <c r="J1804">
        <v>1</v>
      </c>
      <c r="K1804">
        <v>9500</v>
      </c>
      <c r="L1804">
        <v>13500</v>
      </c>
      <c r="M1804">
        <v>13500</v>
      </c>
      <c r="N1804" t="s">
        <v>19</v>
      </c>
    </row>
    <row r="1805" spans="1:14" x14ac:dyDescent="0.25">
      <c r="A1805" t="str">
        <f>Table3[[#This Row],[Company Name]] &amp; " - " &amp; Table3[[#This Row],[Store Name]] &amp; " - " &amp; Table3[[#This Row],[Store Branch / Address]]</f>
        <v>M W TOWNSTORE - M &amp; W - GENERIC</v>
      </c>
      <c r="B1805" t="str">
        <f>Table3[[#This Row],[Client ID]] &amp; " - " &amp; Table3[[#This Row],[SO Number]]</f>
        <v>M W TOWNSTORE - M &amp; W - GENERIC - SO-203</v>
      </c>
      <c r="C1805" t="s">
        <v>943</v>
      </c>
      <c r="D1805" t="s">
        <v>191</v>
      </c>
      <c r="E1805" t="s">
        <v>192</v>
      </c>
      <c r="F1805" t="s">
        <v>15</v>
      </c>
      <c r="G1805" t="s">
        <v>22</v>
      </c>
      <c r="H1805" t="s">
        <v>819</v>
      </c>
      <c r="I1805" t="s">
        <v>76</v>
      </c>
      <c r="J1805">
        <v>1</v>
      </c>
      <c r="K1805">
        <v>1500</v>
      </c>
      <c r="L1805">
        <v>1500</v>
      </c>
      <c r="M1805">
        <v>1500</v>
      </c>
      <c r="N1805" t="s">
        <v>19</v>
      </c>
    </row>
    <row r="1806" spans="1:14" x14ac:dyDescent="0.25">
      <c r="A1806" t="str">
        <f>Table3[[#This Row],[Company Name]] &amp; " - " &amp; Table3[[#This Row],[Store Name]] &amp; " - " &amp; Table3[[#This Row],[Store Branch / Address]]</f>
        <v>CHICKEN DELI - MN+LA APPAREL - GENERIC</v>
      </c>
      <c r="B1806" t="str">
        <f>Table3[[#This Row],[Client ID]] &amp; " - " &amp; Table3[[#This Row],[SO Number]]</f>
        <v>CHICKEN DELI - MN+LA APPAREL - GENERIC - SO-204</v>
      </c>
      <c r="C1806" t="s">
        <v>944</v>
      </c>
      <c r="D1806" t="s">
        <v>20</v>
      </c>
      <c r="E1806" t="s">
        <v>119</v>
      </c>
      <c r="F1806" t="s">
        <v>15</v>
      </c>
      <c r="G1806" t="s">
        <v>22</v>
      </c>
      <c r="H1806" t="s">
        <v>819</v>
      </c>
      <c r="I1806" t="s">
        <v>121</v>
      </c>
      <c r="J1806">
        <v>50</v>
      </c>
      <c r="K1806">
        <v>32</v>
      </c>
      <c r="L1806">
        <v>50</v>
      </c>
      <c r="M1806">
        <v>2500</v>
      </c>
      <c r="N1806" t="s">
        <v>19</v>
      </c>
    </row>
    <row r="1807" spans="1:14" x14ac:dyDescent="0.25">
      <c r="A1807" t="str">
        <f>Table3[[#This Row],[Company Name]] &amp; " - " &amp; Table3[[#This Row],[Store Name]] &amp; " - " &amp; Table3[[#This Row],[Store Branch / Address]]</f>
        <v>CHICKEN DELI - MN+LA APPAREL - GENERIC</v>
      </c>
      <c r="B1807" t="str">
        <f>Table3[[#This Row],[Client ID]] &amp; " - " &amp; Table3[[#This Row],[SO Number]]</f>
        <v>CHICKEN DELI - MN+LA APPAREL - GENERIC - SO-009</v>
      </c>
      <c r="C1807" t="s">
        <v>72</v>
      </c>
      <c r="D1807" t="s">
        <v>20</v>
      </c>
      <c r="E1807" t="s">
        <v>119</v>
      </c>
      <c r="F1807" t="s">
        <v>15</v>
      </c>
      <c r="G1807" t="s">
        <v>22</v>
      </c>
      <c r="H1807" t="s">
        <v>819</v>
      </c>
      <c r="I1807" t="s">
        <v>121</v>
      </c>
      <c r="J1807">
        <v>50</v>
      </c>
      <c r="K1807">
        <v>32</v>
      </c>
      <c r="L1807">
        <v>50</v>
      </c>
      <c r="M1807">
        <v>2500</v>
      </c>
      <c r="N1807" t="s">
        <v>19</v>
      </c>
    </row>
    <row r="1808" spans="1:14" x14ac:dyDescent="0.25">
      <c r="A1808" t="str">
        <f>Table3[[#This Row],[Company Name]] &amp; " - " &amp; Table3[[#This Row],[Store Name]] &amp; " - " &amp; Table3[[#This Row],[Store Branch / Address]]</f>
        <v>ROCKWELL LAND CORPORATION - ROCKWELL LAND CORPORATION - ROCKWELL MAKATI</v>
      </c>
      <c r="B1808" t="str">
        <f>Table3[[#This Row],[Client ID]] &amp; " - " &amp; Table3[[#This Row],[SO Number]]</f>
        <v>ROCKWELL LAND CORPORATION - ROCKWELL LAND CORPORATION - ROCKWELL MAKATI - SO-171</v>
      </c>
      <c r="C1808" t="s">
        <v>829</v>
      </c>
      <c r="D1808" t="s">
        <v>296</v>
      </c>
      <c r="E1808" t="s">
        <v>296</v>
      </c>
      <c r="F1808" t="s">
        <v>830</v>
      </c>
      <c r="G1808" t="s">
        <v>831</v>
      </c>
      <c r="H1808" t="s">
        <v>832</v>
      </c>
      <c r="I1808" t="s">
        <v>116</v>
      </c>
      <c r="J1808">
        <v>10</v>
      </c>
      <c r="K1808">
        <v>2185</v>
      </c>
      <c r="L1808">
        <v>3000</v>
      </c>
      <c r="M1808">
        <v>30000</v>
      </c>
      <c r="N1808" t="s">
        <v>39</v>
      </c>
    </row>
    <row r="1809" spans="1:14" x14ac:dyDescent="0.25">
      <c r="A1809" t="str">
        <f>Table3[[#This Row],[Company Name]] &amp; " - " &amp; Table3[[#This Row],[Store Name]] &amp; " - " &amp; Table3[[#This Row],[Store Branch / Address]]</f>
        <v>ROCKWELL LAND CORPORATION - ROCKWELL LAND CORPORATION - ROCKWELL MAKATI</v>
      </c>
      <c r="B1809" t="str">
        <f>Table3[[#This Row],[Client ID]] &amp; " - " &amp; Table3[[#This Row],[SO Number]]</f>
        <v>ROCKWELL LAND CORPORATION - ROCKWELL LAND CORPORATION - ROCKWELL MAKATI - SO-171</v>
      </c>
      <c r="C1809" t="s">
        <v>829</v>
      </c>
      <c r="D1809" t="s">
        <v>296</v>
      </c>
      <c r="E1809" t="s">
        <v>296</v>
      </c>
      <c r="F1809" t="s">
        <v>830</v>
      </c>
      <c r="G1809" t="s">
        <v>831</v>
      </c>
      <c r="H1809" t="s">
        <v>832</v>
      </c>
      <c r="I1809" t="s">
        <v>93</v>
      </c>
      <c r="J1809">
        <v>2</v>
      </c>
      <c r="K1809">
        <v>11000</v>
      </c>
      <c r="L1809">
        <v>15250</v>
      </c>
      <c r="M1809">
        <v>30500</v>
      </c>
      <c r="N1809" t="s">
        <v>39</v>
      </c>
    </row>
    <row r="1810" spans="1:14" x14ac:dyDescent="0.25">
      <c r="A1810" t="str">
        <f>Table3[[#This Row],[Company Name]] &amp; " - " &amp; Table3[[#This Row],[Store Name]] &amp; " - " &amp; Table3[[#This Row],[Store Branch / Address]]</f>
        <v>ROCKWELL LAND CORPORATION - ROCKWELL LAND CORPORATION - ROCKWELL MAKATI</v>
      </c>
      <c r="B1810" t="str">
        <f>Table3[[#This Row],[Client ID]] &amp; " - " &amp; Table3[[#This Row],[SO Number]]</f>
        <v>ROCKWELL LAND CORPORATION - ROCKWELL LAND CORPORATION - ROCKWELL MAKATI - SO-171</v>
      </c>
      <c r="C1810" t="s">
        <v>829</v>
      </c>
      <c r="D1810" t="s">
        <v>296</v>
      </c>
      <c r="E1810" t="s">
        <v>296</v>
      </c>
      <c r="F1810" t="s">
        <v>830</v>
      </c>
      <c r="G1810" t="s">
        <v>831</v>
      </c>
      <c r="H1810" t="s">
        <v>832</v>
      </c>
      <c r="I1810" t="s">
        <v>76</v>
      </c>
      <c r="J1810">
        <v>1</v>
      </c>
      <c r="K1810">
        <v>500</v>
      </c>
      <c r="L1810">
        <v>500</v>
      </c>
      <c r="M1810">
        <v>500</v>
      </c>
      <c r="N1810" t="s">
        <v>39</v>
      </c>
    </row>
    <row r="1811" spans="1:14" x14ac:dyDescent="0.25">
      <c r="A1811" t="str">
        <f>Table3[[#This Row],[Company Name]] &amp; " - " &amp; Table3[[#This Row],[Store Name]] &amp; " - " &amp; Table3[[#This Row],[Store Branch / Address]]</f>
        <v>PARAW RESTAURANT INC - MOLAVE - EL NIDO PALAWAN</v>
      </c>
      <c r="B1811" t="str">
        <f>Table3[[#This Row],[Client ID]] &amp; " - " &amp; Table3[[#This Row],[SO Number]]</f>
        <v>PARAW RESTAURANT INC - MOLAVE - EL NIDO PALAWAN - SO-177</v>
      </c>
      <c r="C1811" t="s">
        <v>846</v>
      </c>
      <c r="D1811" t="s">
        <v>224</v>
      </c>
      <c r="E1811" t="s">
        <v>225</v>
      </c>
      <c r="F1811" t="s">
        <v>226</v>
      </c>
      <c r="G1811" t="s">
        <v>37</v>
      </c>
      <c r="H1811" t="s">
        <v>847</v>
      </c>
      <c r="I1811" t="s">
        <v>331</v>
      </c>
      <c r="J1811">
        <v>1</v>
      </c>
      <c r="K1811">
        <v>21000</v>
      </c>
      <c r="L1811">
        <v>21000</v>
      </c>
      <c r="M1811">
        <v>21000</v>
      </c>
      <c r="N1811" t="s">
        <v>39</v>
      </c>
    </row>
    <row r="1812" spans="1:14" x14ac:dyDescent="0.25">
      <c r="A1812" t="str">
        <f>Table3[[#This Row],[Company Name]] &amp; " - " &amp; Table3[[#This Row],[Store Name]] &amp; " - " &amp; Table3[[#This Row],[Store Branch / Address]]</f>
        <v>PARAW RESTAURANT INC - MOLAVE - EL NIDO PALAWAN</v>
      </c>
      <c r="B1812" t="str">
        <f>Table3[[#This Row],[Client ID]] &amp; " - " &amp; Table3[[#This Row],[SO Number]]</f>
        <v>PARAW RESTAURANT INC - MOLAVE - EL NIDO PALAWAN - SO-177</v>
      </c>
      <c r="C1812" t="s">
        <v>846</v>
      </c>
      <c r="D1812" t="s">
        <v>224</v>
      </c>
      <c r="E1812" t="s">
        <v>225</v>
      </c>
      <c r="F1812" t="s">
        <v>226</v>
      </c>
      <c r="G1812" t="s">
        <v>37</v>
      </c>
      <c r="H1812" t="s">
        <v>847</v>
      </c>
      <c r="I1812" t="s">
        <v>848</v>
      </c>
      <c r="J1812">
        <v>1</v>
      </c>
      <c r="K1812">
        <v>15000</v>
      </c>
      <c r="L1812">
        <v>15000</v>
      </c>
      <c r="M1812">
        <v>15000</v>
      </c>
      <c r="N1812" t="s">
        <v>39</v>
      </c>
    </row>
    <row r="1813" spans="1:14" x14ac:dyDescent="0.25">
      <c r="A1813" t="str">
        <f>Table3[[#This Row],[Company Name]] &amp; " - " &amp; Table3[[#This Row],[Store Name]] &amp; " - " &amp; Table3[[#This Row],[Store Branch / Address]]</f>
        <v>DAN S BIKESHOP INC - DAN'S BIKESHOP - GENERIC</v>
      </c>
      <c r="B1813" t="str">
        <f>Table3[[#This Row],[Client ID]] &amp; " - " &amp; Table3[[#This Row],[SO Number]]</f>
        <v>DAN S BIKESHOP INC - DAN'S BIKESHOP - GENERIC - SO-085</v>
      </c>
      <c r="C1813" t="s">
        <v>495</v>
      </c>
      <c r="D1813" t="s">
        <v>1171</v>
      </c>
      <c r="E1813" t="s">
        <v>1172</v>
      </c>
      <c r="F1813" t="s">
        <v>15</v>
      </c>
      <c r="G1813" t="s">
        <v>1043</v>
      </c>
      <c r="H1813" t="s">
        <v>1173</v>
      </c>
      <c r="I1813" t="s">
        <v>1110</v>
      </c>
      <c r="J1813">
        <v>1</v>
      </c>
      <c r="K1813">
        <v>3675</v>
      </c>
      <c r="L1813">
        <v>10500</v>
      </c>
      <c r="M1813">
        <v>10500</v>
      </c>
      <c r="N1813" t="s">
        <v>19</v>
      </c>
    </row>
    <row r="1814" spans="1:14" x14ac:dyDescent="0.25">
      <c r="A1814" t="str">
        <f>Table3[[#This Row],[Company Name]] &amp; " - " &amp; Table3[[#This Row],[Store Name]] &amp; " - " &amp; Table3[[#This Row],[Store Branch / Address]]</f>
        <v>DAN S BIKESHOP INC - DAN'S BIKESHOP - GENERIC</v>
      </c>
      <c r="B1814" t="str">
        <f>Table3[[#This Row],[Client ID]] &amp; " - " &amp; Table3[[#This Row],[SO Number]]</f>
        <v>DAN S BIKESHOP INC - DAN'S BIKESHOP - GENERIC - SO-085</v>
      </c>
      <c r="C1814" t="s">
        <v>495</v>
      </c>
      <c r="D1814" t="s">
        <v>1171</v>
      </c>
      <c r="E1814" t="s">
        <v>1172</v>
      </c>
      <c r="F1814" t="s">
        <v>15</v>
      </c>
      <c r="G1814" t="s">
        <v>1043</v>
      </c>
      <c r="H1814" t="s">
        <v>1173</v>
      </c>
      <c r="I1814" t="s">
        <v>1011</v>
      </c>
      <c r="J1814">
        <v>1</v>
      </c>
      <c r="K1814">
        <v>9500</v>
      </c>
      <c r="L1814">
        <v>9500</v>
      </c>
      <c r="M1814">
        <v>9500</v>
      </c>
      <c r="N1814" t="s">
        <v>19</v>
      </c>
    </row>
    <row r="1815" spans="1:14" x14ac:dyDescent="0.25">
      <c r="A1815" t="str">
        <f>Table3[[#This Row],[Company Name]] &amp; " - " &amp; Table3[[#This Row],[Store Name]] &amp; " - " &amp; Table3[[#This Row],[Store Branch / Address]]</f>
        <v>DAN S BIKESHOP INC - DAN'S BIKESHOP - GENERIC</v>
      </c>
      <c r="B1815" t="str">
        <f>Table3[[#This Row],[Client ID]] &amp; " - " &amp; Table3[[#This Row],[SO Number]]</f>
        <v>DAN S BIKESHOP INC - DAN'S BIKESHOP - GENERIC - SO-085</v>
      </c>
      <c r="C1815" t="s">
        <v>495</v>
      </c>
      <c r="D1815" t="s">
        <v>1171</v>
      </c>
      <c r="E1815" t="s">
        <v>1172</v>
      </c>
      <c r="F1815" t="s">
        <v>15</v>
      </c>
      <c r="G1815" t="s">
        <v>1043</v>
      </c>
      <c r="H1815" t="s">
        <v>1173</v>
      </c>
      <c r="I1815" t="s">
        <v>24</v>
      </c>
      <c r="J1815">
        <v>1</v>
      </c>
      <c r="K1815">
        <v>9000</v>
      </c>
      <c r="L1815">
        <v>9000</v>
      </c>
      <c r="M1815">
        <v>9000</v>
      </c>
      <c r="N1815" t="s">
        <v>19</v>
      </c>
    </row>
    <row r="1816" spans="1:14" x14ac:dyDescent="0.25">
      <c r="A1816" t="str">
        <f>Table3[[#This Row],[Company Name]] &amp; " - " &amp; Table3[[#This Row],[Store Name]] &amp; " - " &amp; Table3[[#This Row],[Store Branch / Address]]</f>
        <v>DAN S BIKESHOP INC - DAN'S BIKESHOP - GENERIC</v>
      </c>
      <c r="B1816" t="str">
        <f>Table3[[#This Row],[Client ID]] &amp; " - " &amp; Table3[[#This Row],[SO Number]]</f>
        <v>DAN S BIKESHOP INC - DAN'S BIKESHOP - GENERIC - SO-085</v>
      </c>
      <c r="C1816" t="s">
        <v>495</v>
      </c>
      <c r="D1816" t="s">
        <v>1171</v>
      </c>
      <c r="E1816" t="s">
        <v>1172</v>
      </c>
      <c r="F1816" t="s">
        <v>15</v>
      </c>
      <c r="G1816" t="s">
        <v>1043</v>
      </c>
      <c r="H1816" t="s">
        <v>1173</v>
      </c>
      <c r="I1816" t="s">
        <v>26</v>
      </c>
      <c r="J1816">
        <v>1</v>
      </c>
      <c r="K1816">
        <v>500</v>
      </c>
      <c r="L1816">
        <v>500</v>
      </c>
      <c r="M1816">
        <v>500</v>
      </c>
      <c r="N1816" t="s">
        <v>19</v>
      </c>
    </row>
    <row r="1817" spans="1:14" x14ac:dyDescent="0.25">
      <c r="A1817" t="str">
        <f>Table3[[#This Row],[Company Name]] &amp; " - " &amp; Table3[[#This Row],[Store Name]] &amp; " - " &amp; Table3[[#This Row],[Store Branch / Address]]</f>
        <v>DAN S BIKESHOP INC - DAN'S BIKESHOP - GENERIC</v>
      </c>
      <c r="B1817" t="str">
        <f>Table3[[#This Row],[Client ID]] &amp; " - " &amp; Table3[[#This Row],[SO Number]]</f>
        <v>DAN S BIKESHOP INC - DAN'S BIKESHOP - GENERIC - SO-085</v>
      </c>
      <c r="C1817" t="s">
        <v>495</v>
      </c>
      <c r="D1817" t="s">
        <v>1171</v>
      </c>
      <c r="E1817" t="s">
        <v>1172</v>
      </c>
      <c r="F1817" t="s">
        <v>15</v>
      </c>
      <c r="G1817" t="s">
        <v>1043</v>
      </c>
      <c r="H1817" t="s">
        <v>1173</v>
      </c>
      <c r="I1817" t="s">
        <v>1119</v>
      </c>
      <c r="J1817">
        <v>1</v>
      </c>
      <c r="K1817">
        <v>20800</v>
      </c>
      <c r="L1817">
        <v>26000</v>
      </c>
      <c r="M1817">
        <v>26000</v>
      </c>
      <c r="N1817" t="s">
        <v>19</v>
      </c>
    </row>
    <row r="1818" spans="1:14" x14ac:dyDescent="0.25">
      <c r="A1818" t="str">
        <f>Table3[[#This Row],[Company Name]] &amp; " - " &amp; Table3[[#This Row],[Store Name]] &amp; " - " &amp; Table3[[#This Row],[Store Branch / Address]]</f>
        <v>DAN S BIKESHOP INC - DAN'S BIKESHOP - GENERIC</v>
      </c>
      <c r="B1818" t="str">
        <f>Table3[[#This Row],[Client ID]] &amp; " - " &amp; Table3[[#This Row],[SO Number]]</f>
        <v>DAN S BIKESHOP INC - DAN'S BIKESHOP - GENERIC - SO-085</v>
      </c>
      <c r="C1818" t="s">
        <v>495</v>
      </c>
      <c r="D1818" t="s">
        <v>1171</v>
      </c>
      <c r="E1818" t="s">
        <v>1172</v>
      </c>
      <c r="F1818" t="s">
        <v>15</v>
      </c>
      <c r="G1818" t="s">
        <v>1043</v>
      </c>
      <c r="H1818" t="s">
        <v>1173</v>
      </c>
      <c r="I1818" t="s">
        <v>1120</v>
      </c>
      <c r="J1818">
        <v>1</v>
      </c>
      <c r="K1818">
        <v>2334</v>
      </c>
      <c r="L1818">
        <v>4000</v>
      </c>
      <c r="M1818">
        <v>4000</v>
      </c>
      <c r="N1818" t="s">
        <v>19</v>
      </c>
    </row>
    <row r="1819" spans="1:14" x14ac:dyDescent="0.25">
      <c r="A1819" t="str">
        <f>Table3[[#This Row],[Company Name]] &amp; " - " &amp; Table3[[#This Row],[Store Name]] &amp; " - " &amp; Table3[[#This Row],[Store Branch / Address]]</f>
        <v>DAN S BIKESHOP INC - DAN'S BIKESHOP - GENERIC</v>
      </c>
      <c r="B1819" t="str">
        <f>Table3[[#This Row],[Client ID]] &amp; " - " &amp; Table3[[#This Row],[SO Number]]</f>
        <v>DAN S BIKESHOP INC - DAN'S BIKESHOP - GENERIC - SO-085</v>
      </c>
      <c r="C1819" t="s">
        <v>495</v>
      </c>
      <c r="D1819" t="s">
        <v>1171</v>
      </c>
      <c r="E1819" t="s">
        <v>1172</v>
      </c>
      <c r="F1819" t="s">
        <v>15</v>
      </c>
      <c r="G1819" t="s">
        <v>1043</v>
      </c>
      <c r="H1819" t="s">
        <v>1173</v>
      </c>
      <c r="I1819" t="s">
        <v>151</v>
      </c>
      <c r="J1819">
        <v>1</v>
      </c>
      <c r="K1819">
        <v>2000</v>
      </c>
      <c r="L1819">
        <v>4000</v>
      </c>
      <c r="M1819">
        <v>4000</v>
      </c>
      <c r="N1819" t="s">
        <v>19</v>
      </c>
    </row>
    <row r="1820" spans="1:14" x14ac:dyDescent="0.25">
      <c r="A1820" t="str">
        <f>Table3[[#This Row],[Company Name]] &amp; " - " &amp; Table3[[#This Row],[Store Name]] &amp; " - " &amp; Table3[[#This Row],[Store Branch / Address]]</f>
        <v>DAN S BIKESHOP INC - DAN'S BIKESHOP - GENERIC</v>
      </c>
      <c r="B1820" t="str">
        <f>Table3[[#This Row],[Client ID]] &amp; " - " &amp; Table3[[#This Row],[SO Number]]</f>
        <v>DAN S BIKESHOP INC - DAN'S BIKESHOP - GENERIC - SO-085</v>
      </c>
      <c r="C1820" t="s">
        <v>495</v>
      </c>
      <c r="D1820" t="s">
        <v>1171</v>
      </c>
      <c r="E1820" t="s">
        <v>1172</v>
      </c>
      <c r="F1820" t="s">
        <v>15</v>
      </c>
      <c r="G1820" t="s">
        <v>1043</v>
      </c>
      <c r="H1820" t="s">
        <v>1173</v>
      </c>
      <c r="I1820" t="s">
        <v>189</v>
      </c>
      <c r="J1820">
        <v>1</v>
      </c>
      <c r="K1820">
        <v>500</v>
      </c>
      <c r="L1820">
        <v>600</v>
      </c>
      <c r="M1820">
        <v>600</v>
      </c>
      <c r="N1820" t="s">
        <v>19</v>
      </c>
    </row>
    <row r="1821" spans="1:14" x14ac:dyDescent="0.25">
      <c r="A1821" t="str">
        <f>Table3[[#This Row],[Company Name]] &amp; " - " &amp; Table3[[#This Row],[Store Name]] &amp; " - " &amp; Table3[[#This Row],[Store Branch / Address]]</f>
        <v>DAN S BIKESHOP INC - DAN'S BIKESHOP - GENERIC</v>
      </c>
      <c r="B1821" t="str">
        <f>Table3[[#This Row],[Client ID]] &amp; " - " &amp; Table3[[#This Row],[SO Number]]</f>
        <v>DAN S BIKESHOP INC - DAN'S BIKESHOP - GENERIC - SO-085</v>
      </c>
      <c r="C1821" t="s">
        <v>495</v>
      </c>
      <c r="D1821" t="s">
        <v>1171</v>
      </c>
      <c r="E1821" t="s">
        <v>1172</v>
      </c>
      <c r="F1821" t="s">
        <v>15</v>
      </c>
      <c r="G1821" t="s">
        <v>1043</v>
      </c>
      <c r="H1821" t="s">
        <v>1173</v>
      </c>
      <c r="I1821" t="s">
        <v>1033</v>
      </c>
      <c r="J1821">
        <v>1</v>
      </c>
      <c r="K1821">
        <v>350</v>
      </c>
      <c r="L1821">
        <v>400</v>
      </c>
      <c r="M1821">
        <v>400</v>
      </c>
      <c r="N1821" t="s">
        <v>19</v>
      </c>
    </row>
    <row r="1822" spans="1:14" x14ac:dyDescent="0.25">
      <c r="A1822" t="str">
        <f>Table3[[#This Row],[Company Name]] &amp; " - " &amp; Table3[[#This Row],[Store Name]] &amp; " - " &amp; Table3[[#This Row],[Store Branch / Address]]</f>
        <v>DAN S BIKESHOP INC - DAN'S BIKESHOP - GENERIC</v>
      </c>
      <c r="B1822" t="str">
        <f>Table3[[#This Row],[Client ID]] &amp; " - " &amp; Table3[[#This Row],[SO Number]]</f>
        <v>DAN S BIKESHOP INC - DAN'S BIKESHOP - GENERIC - SO-085</v>
      </c>
      <c r="C1822" t="s">
        <v>495</v>
      </c>
      <c r="D1822" t="s">
        <v>1171</v>
      </c>
      <c r="E1822" t="s">
        <v>1172</v>
      </c>
      <c r="F1822" t="s">
        <v>15</v>
      </c>
      <c r="G1822" t="s">
        <v>1043</v>
      </c>
      <c r="H1822" t="s">
        <v>1173</v>
      </c>
      <c r="I1822" t="s">
        <v>1174</v>
      </c>
      <c r="J1822">
        <v>1</v>
      </c>
      <c r="K1822">
        <v>3000</v>
      </c>
      <c r="L1822">
        <v>4500</v>
      </c>
      <c r="M1822">
        <v>4500</v>
      </c>
      <c r="N1822" t="s">
        <v>19</v>
      </c>
    </row>
    <row r="1823" spans="1:14" x14ac:dyDescent="0.25">
      <c r="A1823" t="str">
        <f>Table3[[#This Row],[Company Name]] &amp; " - " &amp; Table3[[#This Row],[Store Name]] &amp; " - " &amp; Table3[[#This Row],[Store Branch / Address]]</f>
        <v>DAN S BIKESHOP INC - DAN'S BIKESHOP - GENERIC</v>
      </c>
      <c r="B1823" t="str">
        <f>Table3[[#This Row],[Client ID]] &amp; " - " &amp; Table3[[#This Row],[SO Number]]</f>
        <v>DAN S BIKESHOP INC - DAN'S BIKESHOP - GENERIC - SO-085</v>
      </c>
      <c r="C1823" t="s">
        <v>495</v>
      </c>
      <c r="D1823" t="s">
        <v>1171</v>
      </c>
      <c r="E1823" t="s">
        <v>1172</v>
      </c>
      <c r="F1823" t="s">
        <v>15</v>
      </c>
      <c r="G1823" t="s">
        <v>1043</v>
      </c>
      <c r="H1823" t="s">
        <v>1173</v>
      </c>
      <c r="I1823" t="s">
        <v>1015</v>
      </c>
      <c r="J1823">
        <v>1</v>
      </c>
      <c r="K1823">
        <v>4250</v>
      </c>
      <c r="L1823">
        <v>6000</v>
      </c>
      <c r="M1823">
        <v>6000</v>
      </c>
      <c r="N1823" t="s">
        <v>19</v>
      </c>
    </row>
    <row r="1824" spans="1:14" x14ac:dyDescent="0.25">
      <c r="A1824" t="str">
        <f>Table3[[#This Row],[Company Name]] &amp; " - " &amp; Table3[[#This Row],[Store Name]] &amp; " - " &amp; Table3[[#This Row],[Store Branch / Address]]</f>
        <v>DAN S BIKESHOP INC - DAN'S BIKESHOP - GENERIC</v>
      </c>
      <c r="B1824" t="str">
        <f>Table3[[#This Row],[Client ID]] &amp; " - " &amp; Table3[[#This Row],[SO Number]]</f>
        <v>DAN S BIKESHOP INC - DAN'S BIKESHOP - GENERIC - SO-085</v>
      </c>
      <c r="C1824" t="s">
        <v>495</v>
      </c>
      <c r="D1824" t="s">
        <v>1171</v>
      </c>
      <c r="E1824" t="s">
        <v>1172</v>
      </c>
      <c r="F1824" t="s">
        <v>15</v>
      </c>
      <c r="G1824" t="s">
        <v>1043</v>
      </c>
      <c r="H1824" t="s">
        <v>1173</v>
      </c>
      <c r="I1824" t="s">
        <v>116</v>
      </c>
      <c r="J1824">
        <v>1</v>
      </c>
      <c r="K1824">
        <v>2185</v>
      </c>
      <c r="L1824">
        <v>3000</v>
      </c>
      <c r="M1824">
        <v>3000</v>
      </c>
      <c r="N1824" t="s">
        <v>19</v>
      </c>
    </row>
    <row r="1825" spans="1:14" x14ac:dyDescent="0.25">
      <c r="A1825" t="str">
        <f>Table3[[#This Row],[Company Name]] &amp; " - " &amp; Table3[[#This Row],[Store Name]] &amp; " - " &amp; Table3[[#This Row],[Store Branch / Address]]</f>
        <v>DAN S BIKESHOP INC - DAN'S BIKESHOP - GENERIC</v>
      </c>
      <c r="B1825" t="str">
        <f>Table3[[#This Row],[Client ID]] &amp; " - " &amp; Table3[[#This Row],[SO Number]]</f>
        <v>DAN S BIKESHOP INC - DAN'S BIKESHOP - GENERIC - SO-085</v>
      </c>
      <c r="C1825" t="s">
        <v>495</v>
      </c>
      <c r="D1825" t="s">
        <v>1171</v>
      </c>
      <c r="E1825" t="s">
        <v>1172</v>
      </c>
      <c r="F1825" t="s">
        <v>15</v>
      </c>
      <c r="G1825" t="s">
        <v>1043</v>
      </c>
      <c r="H1825" t="s">
        <v>1173</v>
      </c>
      <c r="I1825" t="s">
        <v>1016</v>
      </c>
      <c r="J1825">
        <v>1</v>
      </c>
      <c r="K1825">
        <v>8500</v>
      </c>
      <c r="L1825">
        <v>12000</v>
      </c>
      <c r="M1825">
        <v>12000</v>
      </c>
      <c r="N1825" t="s">
        <v>19</v>
      </c>
    </row>
    <row r="1826" spans="1:14" x14ac:dyDescent="0.25">
      <c r="A1826" t="str">
        <f>Table3[[#This Row],[Company Name]] &amp; " - " &amp; Table3[[#This Row],[Store Name]] &amp; " - " &amp; Table3[[#This Row],[Store Branch / Address]]</f>
        <v>DAN S BIKESHOP INC - DAN'S BIKESHOP - GENERIC</v>
      </c>
      <c r="B1826" t="str">
        <f>Table3[[#This Row],[Client ID]] &amp; " - " &amp; Table3[[#This Row],[SO Number]]</f>
        <v>DAN S BIKESHOP INC - DAN'S BIKESHOP - GENERIC - SO-085</v>
      </c>
      <c r="C1826" t="s">
        <v>495</v>
      </c>
      <c r="D1826" t="s">
        <v>1171</v>
      </c>
      <c r="E1826" t="s">
        <v>1172</v>
      </c>
      <c r="F1826" t="s">
        <v>15</v>
      </c>
      <c r="G1826" t="s">
        <v>1043</v>
      </c>
      <c r="H1826" t="s">
        <v>1173</v>
      </c>
      <c r="I1826" t="s">
        <v>97</v>
      </c>
      <c r="J1826">
        <v>1</v>
      </c>
      <c r="K1826">
        <v>2200</v>
      </c>
      <c r="L1826">
        <v>3500</v>
      </c>
      <c r="M1826">
        <v>3500</v>
      </c>
      <c r="N1826" t="s">
        <v>19</v>
      </c>
    </row>
    <row r="1827" spans="1:14" x14ac:dyDescent="0.25">
      <c r="A1827" t="str">
        <f>Table3[[#This Row],[Company Name]] &amp; " - " &amp; Table3[[#This Row],[Store Name]] &amp; " - " &amp; Table3[[#This Row],[Store Branch / Address]]</f>
        <v>DAN S BIKESHOP INC - DAN'S BIKESHOP - GENERIC</v>
      </c>
      <c r="B1827" t="str">
        <f>Table3[[#This Row],[Client ID]] &amp; " - " &amp; Table3[[#This Row],[SO Number]]</f>
        <v>DAN S BIKESHOP INC - DAN'S BIKESHOP - GENERIC - SO-085</v>
      </c>
      <c r="C1827" t="s">
        <v>495</v>
      </c>
      <c r="D1827" t="s">
        <v>1171</v>
      </c>
      <c r="E1827" t="s">
        <v>1172</v>
      </c>
      <c r="F1827" t="s">
        <v>15</v>
      </c>
      <c r="G1827" t="s">
        <v>1043</v>
      </c>
      <c r="H1827" t="s">
        <v>1173</v>
      </c>
      <c r="I1827" t="s">
        <v>63</v>
      </c>
      <c r="J1827">
        <v>1</v>
      </c>
      <c r="K1827">
        <v>500</v>
      </c>
      <c r="L1827">
        <v>500</v>
      </c>
      <c r="M1827">
        <v>500</v>
      </c>
      <c r="N1827" t="s">
        <v>19</v>
      </c>
    </row>
    <row r="1828" spans="1:14" x14ac:dyDescent="0.25">
      <c r="A1828" t="str">
        <f>Table3[[#This Row],[Company Name]] &amp; " - " &amp; Table3[[#This Row],[Store Name]] &amp; " - " &amp; Table3[[#This Row],[Store Branch / Address]]</f>
        <v>TATAY S GRILL INC - TATAY'S GRILL INC - GENERIC</v>
      </c>
      <c r="B1828" t="str">
        <f>Table3[[#This Row],[Client ID]] &amp; " - " &amp; Table3[[#This Row],[SO Number]]</f>
        <v>TATAY S GRILL INC - TATAY'S GRILL INC - GENERIC - SO-172</v>
      </c>
      <c r="C1828" t="s">
        <v>833</v>
      </c>
      <c r="D1828" t="s">
        <v>246</v>
      </c>
      <c r="E1828" t="s">
        <v>247</v>
      </c>
      <c r="F1828" t="s">
        <v>15</v>
      </c>
      <c r="G1828" t="s">
        <v>16</v>
      </c>
      <c r="H1828" t="s">
        <v>834</v>
      </c>
      <c r="I1828" t="s">
        <v>129</v>
      </c>
      <c r="J1828">
        <v>1</v>
      </c>
      <c r="K1828">
        <v>5740.5</v>
      </c>
      <c r="L1828">
        <v>8000</v>
      </c>
      <c r="M1828">
        <v>8000</v>
      </c>
      <c r="N1828" t="s">
        <v>19</v>
      </c>
    </row>
    <row r="1829" spans="1:14" x14ac:dyDescent="0.25">
      <c r="A1829" t="str">
        <f>Table3[[#This Row],[Company Name]] &amp; " - " &amp; Table3[[#This Row],[Store Name]] &amp; " - " &amp; Table3[[#This Row],[Store Branch / Address]]</f>
        <v>CHICKEN DELI - GONGCHA - GENERIC</v>
      </c>
      <c r="B1829" t="str">
        <f>Table3[[#This Row],[Client ID]] &amp; " - " &amp; Table3[[#This Row],[SO Number]]</f>
        <v>CHICKEN DELI - GONGCHA - GENERIC - SO-206</v>
      </c>
      <c r="C1829" t="s">
        <v>948</v>
      </c>
      <c r="D1829" t="s">
        <v>20</v>
      </c>
      <c r="E1829" t="s">
        <v>31</v>
      </c>
      <c r="F1829" t="s">
        <v>15</v>
      </c>
      <c r="G1829" t="s">
        <v>22</v>
      </c>
      <c r="H1829" t="s">
        <v>834</v>
      </c>
      <c r="I1829" t="s">
        <v>154</v>
      </c>
      <c r="J1829">
        <v>5</v>
      </c>
      <c r="K1829">
        <v>965</v>
      </c>
      <c r="L1829">
        <v>1300</v>
      </c>
      <c r="M1829">
        <v>6500</v>
      </c>
      <c r="N1829" t="s">
        <v>19</v>
      </c>
    </row>
    <row r="1830" spans="1:14" x14ac:dyDescent="0.25">
      <c r="A1830" t="str">
        <f>Table3[[#This Row],[Company Name]] &amp; " - " &amp; Table3[[#This Row],[Store Name]] &amp; " - " &amp; Table3[[#This Row],[Store Branch / Address]]</f>
        <v>MY GOLDEN TEA LEAF INC - SERENITEA - GENERIC</v>
      </c>
      <c r="B1830" t="str">
        <f>Table3[[#This Row],[Client ID]] &amp; " - " &amp; Table3[[#This Row],[SO Number]]</f>
        <v>MY GOLDEN TEA LEAF INC - SERENITEA - GENERIC - SO-173</v>
      </c>
      <c r="C1830" t="s">
        <v>836</v>
      </c>
      <c r="D1830" t="s">
        <v>431</v>
      </c>
      <c r="E1830" t="s">
        <v>239</v>
      </c>
      <c r="F1830" t="s">
        <v>15</v>
      </c>
      <c r="G1830" t="s">
        <v>37</v>
      </c>
      <c r="H1830" t="s">
        <v>837</v>
      </c>
      <c r="I1830" t="s">
        <v>154</v>
      </c>
      <c r="J1830">
        <v>1</v>
      </c>
      <c r="K1830">
        <v>1100</v>
      </c>
      <c r="L1830">
        <v>1300</v>
      </c>
      <c r="M1830">
        <v>1300</v>
      </c>
      <c r="N1830" t="s">
        <v>19</v>
      </c>
    </row>
    <row r="1831" spans="1:14" x14ac:dyDescent="0.25">
      <c r="A1831" t="str">
        <f>Table3[[#This Row],[Company Name]] &amp; " - " &amp; Table3[[#This Row],[Store Name]] &amp; " - " &amp; Table3[[#This Row],[Store Branch / Address]]</f>
        <v>MY GOLDEN TEA LEAF INC - SERENITEA - GENERIC</v>
      </c>
      <c r="B1831" t="str">
        <f>Table3[[#This Row],[Client ID]] &amp; " - " &amp; Table3[[#This Row],[SO Number]]</f>
        <v>MY GOLDEN TEA LEAF INC - SERENITEA - GENERIC - SO-173</v>
      </c>
      <c r="C1831" t="s">
        <v>836</v>
      </c>
      <c r="D1831" t="s">
        <v>431</v>
      </c>
      <c r="E1831" t="s">
        <v>239</v>
      </c>
      <c r="F1831" t="s">
        <v>15</v>
      </c>
      <c r="G1831" t="s">
        <v>37</v>
      </c>
      <c r="H1831" t="s">
        <v>837</v>
      </c>
      <c r="I1831" t="s">
        <v>333</v>
      </c>
      <c r="J1831">
        <v>1</v>
      </c>
      <c r="K1831">
        <v>20</v>
      </c>
      <c r="L1831">
        <v>100</v>
      </c>
      <c r="M1831">
        <v>100</v>
      </c>
      <c r="N1831" t="s">
        <v>19</v>
      </c>
    </row>
    <row r="1832" spans="1:14" x14ac:dyDescent="0.25">
      <c r="A1832" t="str">
        <f>Table3[[#This Row],[Company Name]] &amp; " - " &amp; Table3[[#This Row],[Store Name]] &amp; " - " &amp; Table3[[#This Row],[Store Branch / Address]]</f>
        <v>CANELLE FOOD CORPORATION - CINNABON - GENERIC</v>
      </c>
      <c r="B1832" t="str">
        <f>Table3[[#This Row],[Client ID]] &amp; " - " &amp; Table3[[#This Row],[SO Number]]</f>
        <v>CANELLE FOOD CORPORATION - CINNABON - GENERIC - SO-174</v>
      </c>
      <c r="C1832" t="s">
        <v>839</v>
      </c>
      <c r="D1832" t="s">
        <v>363</v>
      </c>
      <c r="E1832" t="s">
        <v>364</v>
      </c>
      <c r="F1832" t="s">
        <v>15</v>
      </c>
      <c r="G1832" t="s">
        <v>37</v>
      </c>
      <c r="H1832" t="s">
        <v>837</v>
      </c>
      <c r="I1832" t="s">
        <v>38</v>
      </c>
      <c r="J1832">
        <v>1</v>
      </c>
      <c r="K1832">
        <v>8500</v>
      </c>
      <c r="L1832">
        <v>11600</v>
      </c>
      <c r="M1832">
        <v>11600</v>
      </c>
      <c r="N1832" t="s">
        <v>19</v>
      </c>
    </row>
    <row r="1833" spans="1:14" x14ac:dyDescent="0.25">
      <c r="A1833" t="str">
        <f>Table3[[#This Row],[Company Name]] &amp; " - " &amp; Table3[[#This Row],[Store Name]] &amp; " - " &amp; Table3[[#This Row],[Store Branch / Address]]</f>
        <v>CANELLE FOOD CORPORATION - CINNABON - GENERIC</v>
      </c>
      <c r="B1833" t="str">
        <f>Table3[[#This Row],[Client ID]] &amp; " - " &amp; Table3[[#This Row],[SO Number]]</f>
        <v>CANELLE FOOD CORPORATION - CINNABON - GENERIC - SO-174</v>
      </c>
      <c r="C1833" t="s">
        <v>839</v>
      </c>
      <c r="D1833" t="s">
        <v>363</v>
      </c>
      <c r="E1833" t="s">
        <v>364</v>
      </c>
      <c r="F1833" t="s">
        <v>15</v>
      </c>
      <c r="G1833" t="s">
        <v>37</v>
      </c>
      <c r="H1833" t="s">
        <v>837</v>
      </c>
      <c r="I1833" t="s">
        <v>63</v>
      </c>
      <c r="J1833">
        <v>1</v>
      </c>
      <c r="K1833">
        <v>400</v>
      </c>
      <c r="L1833">
        <v>400</v>
      </c>
      <c r="M1833">
        <v>400</v>
      </c>
      <c r="N1833" t="s">
        <v>19</v>
      </c>
    </row>
    <row r="1834" spans="1:14" x14ac:dyDescent="0.25">
      <c r="A1834" t="str">
        <f>Table3[[#This Row],[Company Name]] &amp; " - " &amp; Table3[[#This Row],[Store Name]] &amp; " - " &amp; Table3[[#This Row],[Store Branch / Address]]</f>
        <v>SWEET STOP STATION INC - CINNABON - GENERIC</v>
      </c>
      <c r="B1834" t="str">
        <f>Table3[[#This Row],[Client ID]] &amp; " - " &amp; Table3[[#This Row],[SO Number]]</f>
        <v>SWEET STOP STATION INC - CINNABON - GENERIC - SO-175</v>
      </c>
      <c r="C1834" t="s">
        <v>842</v>
      </c>
      <c r="D1834" t="s">
        <v>706</v>
      </c>
      <c r="E1834" t="s">
        <v>364</v>
      </c>
      <c r="F1834" t="s">
        <v>15</v>
      </c>
      <c r="G1834" t="s">
        <v>37</v>
      </c>
      <c r="H1834" t="s">
        <v>837</v>
      </c>
      <c r="I1834" t="s">
        <v>38</v>
      </c>
      <c r="J1834">
        <v>1</v>
      </c>
      <c r="K1834">
        <v>8500</v>
      </c>
      <c r="L1834">
        <v>11600</v>
      </c>
      <c r="M1834">
        <v>11600</v>
      </c>
      <c r="N1834" t="s">
        <v>19</v>
      </c>
    </row>
    <row r="1835" spans="1:14" x14ac:dyDescent="0.25">
      <c r="A1835" t="str">
        <f>Table3[[#This Row],[Company Name]] &amp; " - " &amp; Table3[[#This Row],[Store Name]] &amp; " - " &amp; Table3[[#This Row],[Store Branch / Address]]</f>
        <v>SWEET STOP STATION INC - CINNABON - GENERIC</v>
      </c>
      <c r="B1835" t="str">
        <f>Table3[[#This Row],[Client ID]] &amp; " - " &amp; Table3[[#This Row],[SO Number]]</f>
        <v>SWEET STOP STATION INC - CINNABON - GENERIC - SO-175</v>
      </c>
      <c r="C1835" t="s">
        <v>842</v>
      </c>
      <c r="D1835" t="s">
        <v>706</v>
      </c>
      <c r="E1835" t="s">
        <v>364</v>
      </c>
      <c r="F1835" t="s">
        <v>15</v>
      </c>
      <c r="G1835" t="s">
        <v>37</v>
      </c>
      <c r="H1835" t="s">
        <v>837</v>
      </c>
      <c r="I1835" t="s">
        <v>63</v>
      </c>
      <c r="J1835">
        <v>1</v>
      </c>
      <c r="K1835">
        <v>400</v>
      </c>
      <c r="L1835">
        <v>400</v>
      </c>
      <c r="M1835">
        <v>400</v>
      </c>
      <c r="N1835" t="s">
        <v>19</v>
      </c>
    </row>
    <row r="1836" spans="1:14" x14ac:dyDescent="0.25">
      <c r="A1836" t="str">
        <f>Table3[[#This Row],[Company Name]] &amp; " - " &amp; Table3[[#This Row],[Store Name]] &amp; " - " &amp; Table3[[#This Row],[Store Branch / Address]]</f>
        <v>LJ ROMANTIC RESTAURANT CORPORATION - ROMANTIC BABOY - GENERIC</v>
      </c>
      <c r="B1836" t="str">
        <f>Table3[[#This Row],[Client ID]] &amp; " - " &amp; Table3[[#This Row],[SO Number]]</f>
        <v>LJ ROMANTIC RESTAURANT CORPORATION - ROMANTIC BABOY - GENERIC - SO-176</v>
      </c>
      <c r="C1836" t="s">
        <v>843</v>
      </c>
      <c r="D1836" t="s">
        <v>844</v>
      </c>
      <c r="E1836" t="s">
        <v>845</v>
      </c>
      <c r="F1836" t="s">
        <v>15</v>
      </c>
      <c r="G1836" t="s">
        <v>22</v>
      </c>
      <c r="H1836" t="s">
        <v>837</v>
      </c>
      <c r="I1836" t="s">
        <v>33</v>
      </c>
      <c r="J1836">
        <v>1</v>
      </c>
      <c r="K1836">
        <v>18000</v>
      </c>
      <c r="L1836">
        <v>18000</v>
      </c>
      <c r="M1836">
        <v>18000</v>
      </c>
      <c r="N1836" t="s">
        <v>19</v>
      </c>
    </row>
    <row r="1837" spans="1:14" x14ac:dyDescent="0.25">
      <c r="A1837" t="str">
        <f>Table3[[#This Row],[Company Name]] &amp; " - " &amp; Table3[[#This Row],[Store Name]] &amp; " - " &amp; Table3[[#This Row],[Store Branch / Address]]</f>
        <v>CHICKEN DELI - MAGOOS - GENERIC</v>
      </c>
      <c r="B1837" t="str">
        <f>Table3[[#This Row],[Client ID]] &amp; " - " &amp; Table3[[#This Row],[SO Number]]</f>
        <v>CHICKEN DELI - MAGOOS - GENERIC - SO-207</v>
      </c>
      <c r="C1837" t="s">
        <v>949</v>
      </c>
      <c r="D1837" t="s">
        <v>20</v>
      </c>
      <c r="E1837" t="s">
        <v>73</v>
      </c>
      <c r="F1837" t="s">
        <v>15</v>
      </c>
      <c r="G1837" t="s">
        <v>22</v>
      </c>
      <c r="H1837" t="s">
        <v>837</v>
      </c>
      <c r="I1837" t="s">
        <v>838</v>
      </c>
      <c r="J1837">
        <v>1</v>
      </c>
      <c r="K1837">
        <v>2975</v>
      </c>
      <c r="L1837">
        <v>8500</v>
      </c>
      <c r="M1837">
        <v>8500</v>
      </c>
      <c r="N1837" t="s">
        <v>19</v>
      </c>
    </row>
    <row r="1838" spans="1:14" x14ac:dyDescent="0.25">
      <c r="A1838" t="str">
        <f>Table3[[#This Row],[Company Name]] &amp; " - " &amp; Table3[[#This Row],[Store Name]] &amp; " - " &amp; Table3[[#This Row],[Store Branch / Address]]</f>
        <v>CHICKEN DELI - MAGOOS - GENERIC</v>
      </c>
      <c r="B1838" t="str">
        <f>Table3[[#This Row],[Client ID]] &amp; " - " &amp; Table3[[#This Row],[SO Number]]</f>
        <v>CHICKEN DELI - MAGOOS - GENERIC - SO-207</v>
      </c>
      <c r="C1838" t="s">
        <v>949</v>
      </c>
      <c r="D1838" t="s">
        <v>20</v>
      </c>
      <c r="E1838" t="s">
        <v>73</v>
      </c>
      <c r="F1838" t="s">
        <v>15</v>
      </c>
      <c r="G1838" t="s">
        <v>22</v>
      </c>
      <c r="H1838" t="s">
        <v>837</v>
      </c>
      <c r="I1838" t="s">
        <v>170</v>
      </c>
      <c r="J1838">
        <v>1</v>
      </c>
      <c r="K1838">
        <v>8250</v>
      </c>
      <c r="L1838">
        <v>8250</v>
      </c>
      <c r="M1838">
        <v>8250</v>
      </c>
      <c r="N1838" t="s">
        <v>19</v>
      </c>
    </row>
    <row r="1839" spans="1:14" x14ac:dyDescent="0.25">
      <c r="A1839" t="str">
        <f>Table3[[#This Row],[Company Name]] &amp; " - " &amp; Table3[[#This Row],[Store Name]] &amp; " - " &amp; Table3[[#This Row],[Store Branch / Address]]</f>
        <v>CHICKEN DELI - MAGOOS - GENERIC</v>
      </c>
      <c r="B1839" t="str">
        <f>Table3[[#This Row],[Client ID]] &amp; " - " &amp; Table3[[#This Row],[SO Number]]</f>
        <v>CHICKEN DELI - MAGOOS - GENERIC - SO-207</v>
      </c>
      <c r="C1839" t="s">
        <v>949</v>
      </c>
      <c r="D1839" t="s">
        <v>20</v>
      </c>
      <c r="E1839" t="s">
        <v>73</v>
      </c>
      <c r="F1839" t="s">
        <v>15</v>
      </c>
      <c r="G1839" t="s">
        <v>22</v>
      </c>
      <c r="H1839" t="s">
        <v>837</v>
      </c>
      <c r="I1839" t="s">
        <v>24</v>
      </c>
      <c r="J1839">
        <v>1</v>
      </c>
      <c r="K1839">
        <v>8250</v>
      </c>
      <c r="L1839">
        <v>8250</v>
      </c>
      <c r="M1839">
        <v>8250</v>
      </c>
      <c r="N1839" t="s">
        <v>19</v>
      </c>
    </row>
    <row r="1840" spans="1:14" x14ac:dyDescent="0.25">
      <c r="A1840" t="str">
        <f>Table3[[#This Row],[Company Name]] &amp; " - " &amp; Table3[[#This Row],[Store Name]] &amp; " - " &amp; Table3[[#This Row],[Store Branch / Address]]</f>
        <v>CHICKEN DELI - MAGOOS - GENERIC</v>
      </c>
      <c r="B1840" t="str">
        <f>Table3[[#This Row],[Client ID]] &amp; " - " &amp; Table3[[#This Row],[SO Number]]</f>
        <v>CHICKEN DELI - MAGOOS - GENERIC - SO-207</v>
      </c>
      <c r="C1840" t="s">
        <v>949</v>
      </c>
      <c r="D1840" t="s">
        <v>20</v>
      </c>
      <c r="E1840" t="s">
        <v>73</v>
      </c>
      <c r="F1840" t="s">
        <v>15</v>
      </c>
      <c r="G1840" t="s">
        <v>22</v>
      </c>
      <c r="H1840" t="s">
        <v>837</v>
      </c>
      <c r="I1840" t="s">
        <v>26</v>
      </c>
      <c r="J1840">
        <v>1</v>
      </c>
      <c r="K1840">
        <v>500</v>
      </c>
      <c r="L1840">
        <v>500</v>
      </c>
      <c r="M1840">
        <v>500</v>
      </c>
      <c r="N1840" t="s">
        <v>19</v>
      </c>
    </row>
    <row r="1841" spans="1:14" x14ac:dyDescent="0.25">
      <c r="A1841" t="str">
        <f>Table3[[#This Row],[Company Name]] &amp; " - " &amp; Table3[[#This Row],[Store Name]] &amp; " - " &amp; Table3[[#This Row],[Store Branch / Address]]</f>
        <v>CHICKEN DELI - MAGOOS - GENERIC</v>
      </c>
      <c r="B1841" t="str">
        <f>Table3[[#This Row],[Client ID]] &amp; " - " &amp; Table3[[#This Row],[SO Number]]</f>
        <v>CHICKEN DELI - MAGOOS - GENERIC - SO-207</v>
      </c>
      <c r="C1841" t="s">
        <v>949</v>
      </c>
      <c r="D1841" t="s">
        <v>20</v>
      </c>
      <c r="E1841" t="s">
        <v>73</v>
      </c>
      <c r="F1841" t="s">
        <v>15</v>
      </c>
      <c r="G1841" t="s">
        <v>22</v>
      </c>
      <c r="H1841" t="s">
        <v>837</v>
      </c>
      <c r="I1841" t="s">
        <v>951</v>
      </c>
      <c r="J1841">
        <v>1</v>
      </c>
      <c r="K1841">
        <v>13000</v>
      </c>
      <c r="L1841">
        <v>16000</v>
      </c>
      <c r="M1841">
        <v>16000</v>
      </c>
      <c r="N1841" t="s">
        <v>19</v>
      </c>
    </row>
    <row r="1842" spans="1:14" x14ac:dyDescent="0.25">
      <c r="A1842" t="str">
        <f>Table3[[#This Row],[Company Name]] &amp; " - " &amp; Table3[[#This Row],[Store Name]] &amp; " - " &amp; Table3[[#This Row],[Store Branch / Address]]</f>
        <v>CHICKEN DELI - MAGOOS - GENERIC</v>
      </c>
      <c r="B1842" t="str">
        <f>Table3[[#This Row],[Client ID]] &amp; " - " &amp; Table3[[#This Row],[SO Number]]</f>
        <v>CHICKEN DELI - MAGOOS - GENERIC - SO-207</v>
      </c>
      <c r="C1842" t="s">
        <v>949</v>
      </c>
      <c r="D1842" t="s">
        <v>20</v>
      </c>
      <c r="E1842" t="s">
        <v>73</v>
      </c>
      <c r="F1842" t="s">
        <v>15</v>
      </c>
      <c r="G1842" t="s">
        <v>22</v>
      </c>
      <c r="H1842" t="s">
        <v>837</v>
      </c>
      <c r="I1842" t="s">
        <v>96</v>
      </c>
      <c r="J1842">
        <v>1</v>
      </c>
      <c r="K1842">
        <v>1350</v>
      </c>
      <c r="L1842">
        <v>2100</v>
      </c>
      <c r="M1842">
        <v>2100</v>
      </c>
      <c r="N1842" t="s">
        <v>19</v>
      </c>
    </row>
    <row r="1843" spans="1:14" x14ac:dyDescent="0.25">
      <c r="A1843" t="str">
        <f>Table3[[#This Row],[Company Name]] &amp; " - " &amp; Table3[[#This Row],[Store Name]] &amp; " - " &amp; Table3[[#This Row],[Store Branch / Address]]</f>
        <v>CHICKEN DELI - MAGOOS - GENERIC</v>
      </c>
      <c r="B1843" t="str">
        <f>Table3[[#This Row],[Client ID]] &amp; " - " &amp; Table3[[#This Row],[SO Number]]</f>
        <v>CHICKEN DELI - MAGOOS - GENERIC - SO-207</v>
      </c>
      <c r="C1843" t="s">
        <v>949</v>
      </c>
      <c r="D1843" t="s">
        <v>20</v>
      </c>
      <c r="E1843" t="s">
        <v>73</v>
      </c>
      <c r="F1843" t="s">
        <v>15</v>
      </c>
      <c r="G1843" t="s">
        <v>22</v>
      </c>
      <c r="H1843" t="s">
        <v>837</v>
      </c>
      <c r="I1843" t="s">
        <v>76</v>
      </c>
      <c r="J1843">
        <v>1</v>
      </c>
      <c r="K1843">
        <v>500</v>
      </c>
      <c r="L1843">
        <v>500</v>
      </c>
      <c r="M1843">
        <v>500</v>
      </c>
      <c r="N1843" t="s">
        <v>19</v>
      </c>
    </row>
    <row r="1844" spans="1:14" x14ac:dyDescent="0.25">
      <c r="A1844" t="str">
        <f>Table3[[#This Row],[Company Name]] &amp; " - " &amp; Table3[[#This Row],[Store Name]] &amp; " - " &amp; Table3[[#This Row],[Store Branch / Address]]</f>
        <v>CHICKEN DELI - GONGCHA - GENERIC</v>
      </c>
      <c r="B1844" t="str">
        <f>Table3[[#This Row],[Client ID]] &amp; " - " &amp; Table3[[#This Row],[SO Number]]</f>
        <v>CHICKEN DELI - GONGCHA - GENERIC - SO-208</v>
      </c>
      <c r="C1844" t="s">
        <v>952</v>
      </c>
      <c r="D1844" t="s">
        <v>20</v>
      </c>
      <c r="E1844" t="s">
        <v>31</v>
      </c>
      <c r="F1844" t="s">
        <v>15</v>
      </c>
      <c r="G1844" t="s">
        <v>22</v>
      </c>
      <c r="H1844" t="s">
        <v>837</v>
      </c>
      <c r="I1844" t="s">
        <v>33</v>
      </c>
      <c r="J1844">
        <v>5</v>
      </c>
      <c r="K1844">
        <v>6500</v>
      </c>
      <c r="L1844">
        <v>6500</v>
      </c>
      <c r="M1844">
        <v>32500</v>
      </c>
      <c r="N1844" t="s">
        <v>19</v>
      </c>
    </row>
    <row r="1845" spans="1:14" x14ac:dyDescent="0.25">
      <c r="A1845" t="str">
        <f>Table3[[#This Row],[Company Name]] &amp; " - " &amp; Table3[[#This Row],[Store Name]] &amp; " - " &amp; Table3[[#This Row],[Store Branch / Address]]</f>
        <v>CHICKEN DELI - GONGCHA - GENERIC</v>
      </c>
      <c r="B1845" t="str">
        <f>Table3[[#This Row],[Client ID]] &amp; " - " &amp; Table3[[#This Row],[SO Number]]</f>
        <v>CHICKEN DELI - GONGCHA - GENERIC - SO-209</v>
      </c>
      <c r="C1845" t="s">
        <v>954</v>
      </c>
      <c r="D1845" t="s">
        <v>20</v>
      </c>
      <c r="E1845" t="s">
        <v>31</v>
      </c>
      <c r="F1845" t="s">
        <v>15</v>
      </c>
      <c r="G1845" t="s">
        <v>22</v>
      </c>
      <c r="H1845" t="s">
        <v>837</v>
      </c>
      <c r="I1845" t="s">
        <v>33</v>
      </c>
      <c r="J1845">
        <v>1</v>
      </c>
      <c r="K1845">
        <v>6500</v>
      </c>
      <c r="L1845">
        <v>6500</v>
      </c>
      <c r="M1845">
        <v>6500</v>
      </c>
      <c r="N1845" t="s">
        <v>19</v>
      </c>
    </row>
    <row r="1846" spans="1:14" x14ac:dyDescent="0.25">
      <c r="A1846" t="str">
        <f>Table3[[#This Row],[Company Name]] &amp; " - " &amp; Table3[[#This Row],[Store Name]] &amp; " - " &amp; Table3[[#This Row],[Store Branch / Address]]</f>
        <v>CHICKEN DELI - GONGCHA - GENERIC</v>
      </c>
      <c r="B1846" t="str">
        <f>Table3[[#This Row],[Client ID]] &amp; " - " &amp; Table3[[#This Row],[SO Number]]</f>
        <v>CHICKEN DELI - GONGCHA - GENERIC - SO-210</v>
      </c>
      <c r="C1846" t="s">
        <v>956</v>
      </c>
      <c r="D1846" t="s">
        <v>20</v>
      </c>
      <c r="E1846" t="s">
        <v>31</v>
      </c>
      <c r="F1846" t="s">
        <v>15</v>
      </c>
      <c r="G1846" t="s">
        <v>22</v>
      </c>
      <c r="H1846" t="s">
        <v>837</v>
      </c>
      <c r="I1846" t="s">
        <v>33</v>
      </c>
      <c r="J1846">
        <v>2</v>
      </c>
      <c r="K1846">
        <v>6500</v>
      </c>
      <c r="L1846">
        <v>6500</v>
      </c>
      <c r="M1846">
        <v>13000</v>
      </c>
      <c r="N1846" t="s">
        <v>19</v>
      </c>
    </row>
    <row r="1847" spans="1:14" x14ac:dyDescent="0.25">
      <c r="A1847" t="str">
        <f>Table3[[#This Row],[Company Name]] &amp; " - " &amp; Table3[[#This Row],[Store Name]] &amp; " - " &amp; Table3[[#This Row],[Store Branch / Address]]</f>
        <v>CHICKEN DELI - GONGCHA - GENERIC</v>
      </c>
      <c r="B1847" t="str">
        <f>Table3[[#This Row],[Client ID]] &amp; " - " &amp; Table3[[#This Row],[SO Number]]</f>
        <v>CHICKEN DELI - GONGCHA - GENERIC - SO-211</v>
      </c>
      <c r="C1847" t="s">
        <v>958</v>
      </c>
      <c r="D1847" t="s">
        <v>20</v>
      </c>
      <c r="E1847" t="s">
        <v>31</v>
      </c>
      <c r="F1847" t="s">
        <v>15</v>
      </c>
      <c r="G1847" t="s">
        <v>22</v>
      </c>
      <c r="H1847" t="s">
        <v>837</v>
      </c>
      <c r="I1847" t="s">
        <v>33</v>
      </c>
      <c r="J1847">
        <v>1</v>
      </c>
      <c r="K1847">
        <v>6500</v>
      </c>
      <c r="L1847">
        <v>6500</v>
      </c>
      <c r="M1847">
        <v>6500</v>
      </c>
      <c r="N1847" t="s">
        <v>19</v>
      </c>
    </row>
    <row r="1848" spans="1:14" x14ac:dyDescent="0.25">
      <c r="A1848" t="str">
        <f>Table3[[#This Row],[Company Name]] &amp; " - " &amp; Table3[[#This Row],[Store Name]] &amp; " - " &amp; Table3[[#This Row],[Store Branch / Address]]</f>
        <v>CHICKEN DELI - GONGCHA - GENERIC</v>
      </c>
      <c r="B1848" t="str">
        <f>Table3[[#This Row],[Client ID]] &amp; " - " &amp; Table3[[#This Row],[SO Number]]</f>
        <v>CHICKEN DELI - GONGCHA - GENERIC - SO-212</v>
      </c>
      <c r="C1848" t="s">
        <v>960</v>
      </c>
      <c r="D1848" t="s">
        <v>20</v>
      </c>
      <c r="E1848" t="s">
        <v>31</v>
      </c>
      <c r="F1848" t="s">
        <v>15</v>
      </c>
      <c r="G1848" t="s">
        <v>22</v>
      </c>
      <c r="H1848" t="s">
        <v>837</v>
      </c>
      <c r="I1848" t="s">
        <v>33</v>
      </c>
      <c r="J1848">
        <v>1</v>
      </c>
      <c r="K1848">
        <v>6500</v>
      </c>
      <c r="L1848">
        <v>6500</v>
      </c>
      <c r="M1848">
        <v>6500</v>
      </c>
      <c r="N1848" t="s">
        <v>19</v>
      </c>
    </row>
    <row r="1849" spans="1:14" x14ac:dyDescent="0.25">
      <c r="A1849" t="str">
        <f>Table3[[#This Row],[Company Name]] &amp; " - " &amp; Table3[[#This Row],[Store Name]] &amp; " - " &amp; Table3[[#This Row],[Store Branch / Address]]</f>
        <v>CHICKEN DELI - GONGCHA - GENERIC</v>
      </c>
      <c r="B1849" t="str">
        <f>Table3[[#This Row],[Client ID]] &amp; " - " &amp; Table3[[#This Row],[SO Number]]</f>
        <v>CHICKEN DELI - GONGCHA - GENERIC - SO-213</v>
      </c>
      <c r="C1849" t="s">
        <v>962</v>
      </c>
      <c r="D1849" t="s">
        <v>20</v>
      </c>
      <c r="E1849" t="s">
        <v>31</v>
      </c>
      <c r="F1849" t="s">
        <v>15</v>
      </c>
      <c r="G1849" t="s">
        <v>22</v>
      </c>
      <c r="H1849" t="s">
        <v>837</v>
      </c>
      <c r="I1849" t="s">
        <v>33</v>
      </c>
      <c r="J1849">
        <v>2</v>
      </c>
      <c r="K1849">
        <v>6500</v>
      </c>
      <c r="L1849">
        <v>6500</v>
      </c>
      <c r="M1849">
        <v>13000</v>
      </c>
      <c r="N1849" t="s">
        <v>19</v>
      </c>
    </row>
    <row r="1850" spans="1:14" x14ac:dyDescent="0.25">
      <c r="A1850" t="str">
        <f>Table3[[#This Row],[Company Name]] &amp; " - " &amp; Table3[[#This Row],[Store Name]] &amp; " - " &amp; Table3[[#This Row],[Store Branch / Address]]</f>
        <v>CHICKEN DELI - GONGCHA - GENERIC</v>
      </c>
      <c r="B1850" t="str">
        <f>Table3[[#This Row],[Client ID]] &amp; " - " &amp; Table3[[#This Row],[SO Number]]</f>
        <v>CHICKEN DELI - GONGCHA - GENERIC - SO-214</v>
      </c>
      <c r="C1850" t="s">
        <v>964</v>
      </c>
      <c r="D1850" t="s">
        <v>20</v>
      </c>
      <c r="E1850" t="s">
        <v>31</v>
      </c>
      <c r="F1850" t="s">
        <v>15</v>
      </c>
      <c r="G1850" t="s">
        <v>22</v>
      </c>
      <c r="H1850" t="s">
        <v>837</v>
      </c>
      <c r="I1850" t="s">
        <v>33</v>
      </c>
      <c r="J1850">
        <v>1</v>
      </c>
      <c r="K1850">
        <v>6500</v>
      </c>
      <c r="L1850">
        <v>6500</v>
      </c>
      <c r="M1850">
        <v>6500</v>
      </c>
      <c r="N1850" t="s">
        <v>19</v>
      </c>
    </row>
    <row r="1851" spans="1:14" x14ac:dyDescent="0.25">
      <c r="A1851" t="str">
        <f>Table3[[#This Row],[Company Name]] &amp; " - " &amp; Table3[[#This Row],[Store Name]] &amp; " - " &amp; Table3[[#This Row],[Store Branch / Address]]</f>
        <v>ROCKWELL LAND CORPORATION - ROCKWELL LAND CORPORATION - ROCKWELL MAKATI</v>
      </c>
      <c r="B1851" t="str">
        <f>Table3[[#This Row],[Client ID]] &amp; " - " &amp; Table3[[#This Row],[SO Number]]</f>
        <v>ROCKWELL LAND CORPORATION - ROCKWELL LAND CORPORATION - ROCKWELL MAKATI - SO-178</v>
      </c>
      <c r="C1851" t="s">
        <v>852</v>
      </c>
      <c r="D1851" t="s">
        <v>296</v>
      </c>
      <c r="E1851" t="s">
        <v>296</v>
      </c>
      <c r="F1851" t="s">
        <v>830</v>
      </c>
      <c r="G1851" t="s">
        <v>831</v>
      </c>
      <c r="H1851" t="s">
        <v>853</v>
      </c>
      <c r="I1851" t="s">
        <v>854</v>
      </c>
      <c r="J1851">
        <v>3</v>
      </c>
      <c r="K1851">
        <v>56500</v>
      </c>
      <c r="L1851">
        <v>76200</v>
      </c>
      <c r="M1851">
        <v>228600</v>
      </c>
      <c r="N1851" t="s">
        <v>39</v>
      </c>
    </row>
    <row r="1852" spans="1:14" x14ac:dyDescent="0.25">
      <c r="A1852" t="str">
        <f>Table3[[#This Row],[Company Name]] &amp; " - " &amp; Table3[[#This Row],[Store Name]] &amp; " - " &amp; Table3[[#This Row],[Store Branch / Address]]</f>
        <v>ROCKWELL LAND CORPORATION - ROCKWELL LAND CORPORATION - ROCKWELL MAKATI</v>
      </c>
      <c r="B1852" t="str">
        <f>Table3[[#This Row],[Client ID]] &amp; " - " &amp; Table3[[#This Row],[SO Number]]</f>
        <v>ROCKWELL LAND CORPORATION - ROCKWELL LAND CORPORATION - ROCKWELL MAKATI - SO-178</v>
      </c>
      <c r="C1852" t="s">
        <v>852</v>
      </c>
      <c r="D1852" t="s">
        <v>296</v>
      </c>
      <c r="E1852" t="s">
        <v>296</v>
      </c>
      <c r="F1852" t="s">
        <v>830</v>
      </c>
      <c r="G1852" t="s">
        <v>831</v>
      </c>
      <c r="H1852" t="s">
        <v>853</v>
      </c>
      <c r="I1852" t="s">
        <v>189</v>
      </c>
      <c r="J1852">
        <v>3</v>
      </c>
      <c r="K1852">
        <v>0</v>
      </c>
      <c r="L1852">
        <v>0</v>
      </c>
      <c r="M1852">
        <v>0</v>
      </c>
      <c r="N1852" t="s">
        <v>39</v>
      </c>
    </row>
    <row r="1853" spans="1:14" x14ac:dyDescent="0.25">
      <c r="A1853" t="str">
        <f>Table3[[#This Row],[Company Name]] &amp; " - " &amp; Table3[[#This Row],[Store Name]] &amp; " - " &amp; Table3[[#This Row],[Store Branch / Address]]</f>
        <v>ROCKWELL LAND CORPORATION - ROCKWELL LAND CORPORATION - ROCKWELL MAKATI</v>
      </c>
      <c r="B1853" t="str">
        <f>Table3[[#This Row],[Client ID]] &amp; " - " &amp; Table3[[#This Row],[SO Number]]</f>
        <v>ROCKWELL LAND CORPORATION - ROCKWELL LAND CORPORATION - ROCKWELL MAKATI - SO-178</v>
      </c>
      <c r="C1853" t="s">
        <v>852</v>
      </c>
      <c r="D1853" t="s">
        <v>296</v>
      </c>
      <c r="E1853" t="s">
        <v>296</v>
      </c>
      <c r="F1853" t="s">
        <v>830</v>
      </c>
      <c r="G1853" t="s">
        <v>831</v>
      </c>
      <c r="H1853" t="s">
        <v>853</v>
      </c>
      <c r="I1853" t="s">
        <v>76</v>
      </c>
      <c r="J1853">
        <v>1</v>
      </c>
      <c r="K1853">
        <v>900</v>
      </c>
      <c r="L1853">
        <v>900</v>
      </c>
      <c r="M1853">
        <v>900</v>
      </c>
      <c r="N1853" t="s">
        <v>39</v>
      </c>
    </row>
    <row r="1854" spans="1:14" x14ac:dyDescent="0.25">
      <c r="A1854" t="str">
        <f>Table3[[#This Row],[Company Name]] &amp; " - " &amp; Table3[[#This Row],[Store Name]] &amp; " - " &amp; Table3[[#This Row],[Store Branch / Address]]</f>
        <v>SENA MA DIANNE ABIGAIL GAMBOA - YOOHOO - GENERIC</v>
      </c>
      <c r="B1854" t="str">
        <f>Table3[[#This Row],[Client ID]] &amp; " - " &amp; Table3[[#This Row],[SO Number]]</f>
        <v>SENA MA DIANNE ABIGAIL GAMBOA - YOOHOO - GENERIC - SO-179</v>
      </c>
      <c r="C1854" t="s">
        <v>855</v>
      </c>
      <c r="D1854" t="s">
        <v>856</v>
      </c>
      <c r="E1854" t="s">
        <v>857</v>
      </c>
      <c r="F1854" t="s">
        <v>15</v>
      </c>
      <c r="G1854" t="s">
        <v>16</v>
      </c>
      <c r="H1854" t="s">
        <v>853</v>
      </c>
      <c r="I1854" t="s">
        <v>858</v>
      </c>
      <c r="J1854">
        <v>1</v>
      </c>
      <c r="K1854">
        <v>3675</v>
      </c>
      <c r="L1854">
        <v>10500</v>
      </c>
      <c r="M1854">
        <v>10500</v>
      </c>
      <c r="N1854" t="s">
        <v>19</v>
      </c>
    </row>
    <row r="1855" spans="1:14" x14ac:dyDescent="0.25">
      <c r="A1855" t="str">
        <f>Table3[[#This Row],[Company Name]] &amp; " - " &amp; Table3[[#This Row],[Store Name]] &amp; " - " &amp; Table3[[#This Row],[Store Branch / Address]]</f>
        <v>HUZZAH - HUZZAH - GENERIC</v>
      </c>
      <c r="B1855" t="str">
        <f>Table3[[#This Row],[Client ID]] &amp; " - " &amp; Table3[[#This Row],[SO Number]]</f>
        <v>HUZZAH - HUZZAH - GENERIC - SO-180</v>
      </c>
      <c r="C1855" t="s">
        <v>859</v>
      </c>
      <c r="D1855" t="s">
        <v>87</v>
      </c>
      <c r="E1855" t="s">
        <v>87</v>
      </c>
      <c r="F1855" t="s">
        <v>15</v>
      </c>
      <c r="G1855" t="s">
        <v>37</v>
      </c>
      <c r="H1855" t="s">
        <v>853</v>
      </c>
      <c r="I1855" t="s">
        <v>89</v>
      </c>
      <c r="J1855">
        <v>50</v>
      </c>
      <c r="K1855">
        <v>32</v>
      </c>
      <c r="L1855">
        <v>50</v>
      </c>
      <c r="M1855">
        <v>2500</v>
      </c>
      <c r="N1855" t="s">
        <v>39</v>
      </c>
    </row>
    <row r="1856" spans="1:14" x14ac:dyDescent="0.25">
      <c r="A1856" t="str">
        <f>Table3[[#This Row],[Company Name]] &amp; " - " &amp; Table3[[#This Row],[Store Name]] &amp; " - " &amp; Table3[[#This Row],[Store Branch / Address]]</f>
        <v>CHICKEN DELI - GOOD MOLECULES - GENERIC</v>
      </c>
      <c r="B1856" t="str">
        <f>Table3[[#This Row],[Client ID]] &amp; " - " &amp; Table3[[#This Row],[SO Number]]</f>
        <v>CHICKEN DELI - GOOD MOLECULES - GENERIC - SO-215</v>
      </c>
      <c r="C1856" t="s">
        <v>966</v>
      </c>
      <c r="D1856" t="s">
        <v>20</v>
      </c>
      <c r="E1856" t="s">
        <v>244</v>
      </c>
      <c r="F1856" t="s">
        <v>15</v>
      </c>
      <c r="G1856" t="s">
        <v>22</v>
      </c>
      <c r="H1856" t="s">
        <v>853</v>
      </c>
      <c r="I1856" t="s">
        <v>385</v>
      </c>
      <c r="J1856">
        <v>30</v>
      </c>
      <c r="K1856">
        <v>960</v>
      </c>
      <c r="L1856">
        <v>1500</v>
      </c>
      <c r="M1856">
        <v>45000</v>
      </c>
      <c r="N1856" t="s">
        <v>19</v>
      </c>
    </row>
    <row r="1857" spans="1:14" x14ac:dyDescent="0.25">
      <c r="A1857" t="str">
        <f>Table3[[#This Row],[Company Name]] &amp; " - " &amp; Table3[[#This Row],[Store Name]] &amp; " - " &amp; Table3[[#This Row],[Store Branch / Address]]</f>
        <v>CHICKEN DELI - KARIMADON - GENERIC</v>
      </c>
      <c r="B1857" t="str">
        <f>Table3[[#This Row],[Client ID]] &amp; " - " &amp; Table3[[#This Row],[SO Number]]</f>
        <v>CHICKEN DELI - KARIMADON - GENERIC - SO-216</v>
      </c>
      <c r="C1857" t="s">
        <v>968</v>
      </c>
      <c r="D1857" t="s">
        <v>20</v>
      </c>
      <c r="E1857" t="s">
        <v>263</v>
      </c>
      <c r="F1857" t="s">
        <v>15</v>
      </c>
      <c r="G1857" t="s">
        <v>22</v>
      </c>
      <c r="H1857" t="s">
        <v>969</v>
      </c>
      <c r="I1857" t="s">
        <v>96</v>
      </c>
      <c r="J1857">
        <v>1</v>
      </c>
      <c r="K1857">
        <v>1350</v>
      </c>
      <c r="L1857">
        <v>2600</v>
      </c>
      <c r="M1857">
        <v>2600</v>
      </c>
      <c r="N1857" t="s">
        <v>19</v>
      </c>
    </row>
    <row r="1858" spans="1:14" x14ac:dyDescent="0.25">
      <c r="A1858" t="str">
        <f>Table3[[#This Row],[Company Name]] &amp; " - " &amp; Table3[[#This Row],[Store Name]] &amp; " - " &amp; Table3[[#This Row],[Store Branch / Address]]</f>
        <v>CHICKEN DELI - KARIMADON - GENERIC</v>
      </c>
      <c r="B1858" t="str">
        <f>Table3[[#This Row],[Client ID]] &amp; " - " &amp; Table3[[#This Row],[SO Number]]</f>
        <v>CHICKEN DELI - KARIMADON - GENERIC - SO-216</v>
      </c>
      <c r="C1858" t="s">
        <v>968</v>
      </c>
      <c r="D1858" t="s">
        <v>20</v>
      </c>
      <c r="E1858" t="s">
        <v>263</v>
      </c>
      <c r="F1858" t="s">
        <v>15</v>
      </c>
      <c r="G1858" t="s">
        <v>22</v>
      </c>
      <c r="H1858" t="s">
        <v>969</v>
      </c>
      <c r="I1858" t="s">
        <v>76</v>
      </c>
      <c r="J1858">
        <v>1</v>
      </c>
      <c r="K1858">
        <v>500</v>
      </c>
      <c r="L1858">
        <v>500</v>
      </c>
      <c r="M1858">
        <v>500</v>
      </c>
      <c r="N1858" t="s">
        <v>19</v>
      </c>
    </row>
    <row r="1859" spans="1:14" x14ac:dyDescent="0.25">
      <c r="A1859" t="str">
        <f>Table3[[#This Row],[Company Name]] &amp; " - " &amp; Table3[[#This Row],[Store Name]] &amp; " - " &amp; Table3[[#This Row],[Store Branch / Address]]</f>
        <v>CHICKEN DELI - GONGCHA - GENERIC</v>
      </c>
      <c r="B1859" t="str">
        <f>Table3[[#This Row],[Client ID]] &amp; " - " &amp; Table3[[#This Row],[SO Number]]</f>
        <v>CHICKEN DELI - GONGCHA - GENERIC - SO-217</v>
      </c>
      <c r="C1859" t="s">
        <v>970</v>
      </c>
      <c r="D1859" t="s">
        <v>20</v>
      </c>
      <c r="E1859" t="s">
        <v>31</v>
      </c>
      <c r="F1859" t="s">
        <v>15</v>
      </c>
      <c r="G1859" t="s">
        <v>22</v>
      </c>
      <c r="H1859" t="s">
        <v>969</v>
      </c>
      <c r="I1859" t="s">
        <v>338</v>
      </c>
      <c r="J1859">
        <v>2</v>
      </c>
      <c r="K1859">
        <v>8500</v>
      </c>
      <c r="L1859">
        <v>11600</v>
      </c>
      <c r="M1859">
        <v>23200</v>
      </c>
      <c r="N1859" t="s">
        <v>19</v>
      </c>
    </row>
    <row r="1860" spans="1:14" x14ac:dyDescent="0.25">
      <c r="A1860" t="str">
        <f>Table3[[#This Row],[Company Name]] &amp; " - " &amp; Table3[[#This Row],[Store Name]] &amp; " - " &amp; Table3[[#This Row],[Store Branch / Address]]</f>
        <v>CHICKEN DELI - GONGCHA - GENERIC</v>
      </c>
      <c r="B1860" t="str">
        <f>Table3[[#This Row],[Client ID]] &amp; " - " &amp; Table3[[#This Row],[SO Number]]</f>
        <v>CHICKEN DELI - GONGCHA - GENERIC - SO-217</v>
      </c>
      <c r="C1860" t="s">
        <v>970</v>
      </c>
      <c r="D1860" t="s">
        <v>20</v>
      </c>
      <c r="E1860" t="s">
        <v>31</v>
      </c>
      <c r="F1860" t="s">
        <v>15</v>
      </c>
      <c r="G1860" t="s">
        <v>22</v>
      </c>
      <c r="H1860" t="s">
        <v>969</v>
      </c>
      <c r="I1860" t="s">
        <v>76</v>
      </c>
      <c r="J1860">
        <v>2</v>
      </c>
      <c r="K1860">
        <v>500</v>
      </c>
      <c r="L1860">
        <v>500</v>
      </c>
      <c r="M1860">
        <v>1000</v>
      </c>
      <c r="N1860" t="s">
        <v>19</v>
      </c>
    </row>
    <row r="1861" spans="1:14" x14ac:dyDescent="0.25">
      <c r="A1861" t="str">
        <f>Table3[[#This Row],[Company Name]] &amp; " - " &amp; Table3[[#This Row],[Store Name]] &amp; " - " &amp; Table3[[#This Row],[Store Branch / Address]]</f>
        <v>CHICKEN DELI - GONGCHA - GENERIC</v>
      </c>
      <c r="B1861" t="str">
        <f>Table3[[#This Row],[Client ID]] &amp; " - " &amp; Table3[[#This Row],[SO Number]]</f>
        <v>CHICKEN DELI - GONGCHA - GENERIC - SO-218</v>
      </c>
      <c r="C1861" t="s">
        <v>972</v>
      </c>
      <c r="D1861" t="s">
        <v>20</v>
      </c>
      <c r="E1861" t="s">
        <v>31</v>
      </c>
      <c r="F1861" t="s">
        <v>15</v>
      </c>
      <c r="G1861" t="s">
        <v>22</v>
      </c>
      <c r="H1861" t="s">
        <v>969</v>
      </c>
      <c r="I1861" t="s">
        <v>338</v>
      </c>
      <c r="J1861">
        <v>6</v>
      </c>
      <c r="K1861">
        <v>8500</v>
      </c>
      <c r="L1861">
        <v>12100</v>
      </c>
      <c r="M1861">
        <v>72600</v>
      </c>
      <c r="N1861" t="s">
        <v>19</v>
      </c>
    </row>
    <row r="1862" spans="1:14" x14ac:dyDescent="0.25">
      <c r="A1862" t="str">
        <f>Table3[[#This Row],[Company Name]] &amp; " - " &amp; Table3[[#This Row],[Store Name]] &amp; " - " &amp; Table3[[#This Row],[Store Branch / Address]]</f>
        <v>CHICKEN DELI - GONGCHA - GENERIC</v>
      </c>
      <c r="B1862" t="str">
        <f>Table3[[#This Row],[Client ID]] &amp; " - " &amp; Table3[[#This Row],[SO Number]]</f>
        <v>CHICKEN DELI - GONGCHA - GENERIC - SO-218</v>
      </c>
      <c r="C1862" t="s">
        <v>972</v>
      </c>
      <c r="D1862" t="s">
        <v>20</v>
      </c>
      <c r="E1862" t="s">
        <v>31</v>
      </c>
      <c r="F1862" t="s">
        <v>15</v>
      </c>
      <c r="G1862" t="s">
        <v>22</v>
      </c>
      <c r="H1862" t="s">
        <v>969</v>
      </c>
      <c r="I1862" t="s">
        <v>93</v>
      </c>
      <c r="J1862">
        <v>1</v>
      </c>
      <c r="K1862">
        <v>11000</v>
      </c>
      <c r="L1862">
        <v>16500</v>
      </c>
      <c r="M1862">
        <v>16500</v>
      </c>
      <c r="N1862" t="s">
        <v>19</v>
      </c>
    </row>
    <row r="1863" spans="1:14" x14ac:dyDescent="0.25">
      <c r="A1863" t="str">
        <f>Table3[[#This Row],[Company Name]] &amp; " - " &amp; Table3[[#This Row],[Store Name]] &amp; " - " &amp; Table3[[#This Row],[Store Branch / Address]]</f>
        <v>CHICKEN DELI - GONGCHA - GENERIC</v>
      </c>
      <c r="B1863" t="str">
        <f>Table3[[#This Row],[Client ID]] &amp; " - " &amp; Table3[[#This Row],[SO Number]]</f>
        <v>CHICKEN DELI - GONGCHA - GENERIC - SO-218</v>
      </c>
      <c r="C1863" t="s">
        <v>972</v>
      </c>
      <c r="D1863" t="s">
        <v>20</v>
      </c>
      <c r="E1863" t="s">
        <v>31</v>
      </c>
      <c r="F1863" t="s">
        <v>15</v>
      </c>
      <c r="G1863" t="s">
        <v>22</v>
      </c>
      <c r="H1863" t="s">
        <v>969</v>
      </c>
      <c r="I1863" t="s">
        <v>76</v>
      </c>
      <c r="J1863">
        <v>1</v>
      </c>
      <c r="K1863">
        <v>500</v>
      </c>
      <c r="L1863">
        <v>500</v>
      </c>
      <c r="M1863">
        <v>500</v>
      </c>
      <c r="N1863" t="s">
        <v>19</v>
      </c>
    </row>
    <row r="1864" spans="1:14" x14ac:dyDescent="0.25">
      <c r="A1864" t="str">
        <f>Table3[[#This Row],[Company Name]] &amp; " - " &amp; Table3[[#This Row],[Store Name]] &amp; " - " &amp; Table3[[#This Row],[Store Branch / Address]]</f>
        <v>JIBRILS SPECIALTY FOODS INC - JSFI CHICKEN BACOLOD - GLORIETTA 4</v>
      </c>
      <c r="B1864" t="str">
        <f>Table3[[#This Row],[Client ID]] &amp; " - " &amp; Table3[[#This Row],[SO Number]]</f>
        <v>JIBRILS SPECIALTY FOODS INC - JSFI CHICKEN BACOLOD - GLORIETTA 4 - SO-181</v>
      </c>
      <c r="C1864" t="s">
        <v>863</v>
      </c>
      <c r="D1864" t="s">
        <v>864</v>
      </c>
      <c r="E1864" t="s">
        <v>865</v>
      </c>
      <c r="F1864" t="s">
        <v>866</v>
      </c>
      <c r="G1864" t="s">
        <v>16</v>
      </c>
      <c r="H1864" t="s">
        <v>867</v>
      </c>
      <c r="I1864" t="s">
        <v>868</v>
      </c>
      <c r="J1864">
        <v>1</v>
      </c>
      <c r="K1864">
        <v>2975</v>
      </c>
      <c r="L1864">
        <v>8500</v>
      </c>
      <c r="M1864">
        <v>8500</v>
      </c>
      <c r="N1864" t="s">
        <v>39</v>
      </c>
    </row>
    <row r="1865" spans="1:14" x14ac:dyDescent="0.25">
      <c r="A1865" t="str">
        <f>Table3[[#This Row],[Company Name]] &amp; " - " &amp; Table3[[#This Row],[Store Name]] &amp; " - " &amp; Table3[[#This Row],[Store Branch / Address]]</f>
        <v>JIBRILS SPECIALTY FOODS INC - JSFI CHICKEN BACOLOD - GLORIETTA 4</v>
      </c>
      <c r="B1865" t="str">
        <f>Table3[[#This Row],[Client ID]] &amp; " - " &amp; Table3[[#This Row],[SO Number]]</f>
        <v>JIBRILS SPECIALTY FOODS INC - JSFI CHICKEN BACOLOD - GLORIETTA 4 - SO-181</v>
      </c>
      <c r="C1865" t="s">
        <v>863</v>
      </c>
      <c r="D1865" t="s">
        <v>864</v>
      </c>
      <c r="E1865" t="s">
        <v>865</v>
      </c>
      <c r="F1865" t="s">
        <v>866</v>
      </c>
      <c r="G1865" t="s">
        <v>16</v>
      </c>
      <c r="H1865" t="s">
        <v>867</v>
      </c>
      <c r="I1865" t="s">
        <v>48</v>
      </c>
      <c r="J1865">
        <v>1</v>
      </c>
      <c r="K1865">
        <v>8000</v>
      </c>
      <c r="L1865">
        <v>8000</v>
      </c>
      <c r="M1865">
        <v>8000</v>
      </c>
      <c r="N1865" t="s">
        <v>39</v>
      </c>
    </row>
    <row r="1866" spans="1:14" x14ac:dyDescent="0.25">
      <c r="A1866" t="str">
        <f>Table3[[#This Row],[Company Name]] &amp; " - " &amp; Table3[[#This Row],[Store Name]] &amp; " - " &amp; Table3[[#This Row],[Store Branch / Address]]</f>
        <v>JIBRILS SPECIALTY FOODS INC - JSFI CHICKEN BACOLOD - GLORIETTA 4</v>
      </c>
      <c r="B1866" t="str">
        <f>Table3[[#This Row],[Client ID]] &amp; " - " &amp; Table3[[#This Row],[SO Number]]</f>
        <v>JIBRILS SPECIALTY FOODS INC - JSFI CHICKEN BACOLOD - GLORIETTA 4 - SO-181</v>
      </c>
      <c r="C1866" t="s">
        <v>863</v>
      </c>
      <c r="D1866" t="s">
        <v>864</v>
      </c>
      <c r="E1866" t="s">
        <v>865</v>
      </c>
      <c r="F1866" t="s">
        <v>866</v>
      </c>
      <c r="G1866" t="s">
        <v>16</v>
      </c>
      <c r="H1866" t="s">
        <v>867</v>
      </c>
      <c r="I1866" t="s">
        <v>126</v>
      </c>
      <c r="J1866">
        <v>1</v>
      </c>
      <c r="K1866">
        <v>8000</v>
      </c>
      <c r="L1866">
        <v>8000</v>
      </c>
      <c r="M1866">
        <v>8000</v>
      </c>
      <c r="N1866" t="s">
        <v>39</v>
      </c>
    </row>
    <row r="1867" spans="1:14" x14ac:dyDescent="0.25">
      <c r="A1867" t="str">
        <f>Table3[[#This Row],[Company Name]] &amp; " - " &amp; Table3[[#This Row],[Store Name]] &amp; " - " &amp; Table3[[#This Row],[Store Branch / Address]]</f>
        <v>JIBRILS SPECIALTY FOODS INC - JSFI CHICKEN BACOLOD - GLORIETTA 4</v>
      </c>
      <c r="B1867" t="str">
        <f>Table3[[#This Row],[Client ID]] &amp; " - " &amp; Table3[[#This Row],[SO Number]]</f>
        <v>JIBRILS SPECIALTY FOODS INC - JSFI CHICKEN BACOLOD - GLORIETTA 4 - SO-181</v>
      </c>
      <c r="C1867" t="s">
        <v>863</v>
      </c>
      <c r="D1867" t="s">
        <v>864</v>
      </c>
      <c r="E1867" t="s">
        <v>865</v>
      </c>
      <c r="F1867" t="s">
        <v>866</v>
      </c>
      <c r="G1867" t="s">
        <v>16</v>
      </c>
      <c r="H1867" t="s">
        <v>867</v>
      </c>
      <c r="I1867" t="s">
        <v>26</v>
      </c>
      <c r="J1867">
        <v>1</v>
      </c>
      <c r="K1867">
        <v>500</v>
      </c>
      <c r="L1867">
        <v>500</v>
      </c>
      <c r="M1867">
        <v>500</v>
      </c>
      <c r="N1867" t="s">
        <v>39</v>
      </c>
    </row>
    <row r="1868" spans="1:14" x14ac:dyDescent="0.25">
      <c r="A1868" t="str">
        <f>Table3[[#This Row],[Company Name]] &amp; " - " &amp; Table3[[#This Row],[Store Name]] &amp; " - " &amp; Table3[[#This Row],[Store Branch / Address]]</f>
        <v>JIBRILS SPECIALTY FOODS INC - JSFI CHICKEN BACOLOD - GLORIETTA 4</v>
      </c>
      <c r="B1868" t="str">
        <f>Table3[[#This Row],[Client ID]] &amp; " - " &amp; Table3[[#This Row],[SO Number]]</f>
        <v>JIBRILS SPECIALTY FOODS INC - JSFI CHICKEN BACOLOD - GLORIETTA 4 - SO-181</v>
      </c>
      <c r="C1868" t="s">
        <v>863</v>
      </c>
      <c r="D1868" t="s">
        <v>864</v>
      </c>
      <c r="E1868" t="s">
        <v>865</v>
      </c>
      <c r="F1868" t="s">
        <v>866</v>
      </c>
      <c r="G1868" t="s">
        <v>16</v>
      </c>
      <c r="H1868" t="s">
        <v>867</v>
      </c>
      <c r="I1868" t="s">
        <v>116</v>
      </c>
      <c r="J1868">
        <v>1</v>
      </c>
      <c r="K1868">
        <v>2185</v>
      </c>
      <c r="L1868">
        <v>3500</v>
      </c>
      <c r="M1868">
        <v>3500</v>
      </c>
      <c r="N1868" t="s">
        <v>39</v>
      </c>
    </row>
    <row r="1869" spans="1:14" x14ac:dyDescent="0.25">
      <c r="A1869" t="str">
        <f>Table3[[#This Row],[Company Name]] &amp; " - " &amp; Table3[[#This Row],[Store Name]] &amp; " - " &amp; Table3[[#This Row],[Store Branch / Address]]</f>
        <v>JIBRILS SPECIALTY FOODS INC - JSFI CHICKEN BACOLOD - GLORIETTA 4</v>
      </c>
      <c r="B1869" t="str">
        <f>Table3[[#This Row],[Client ID]] &amp; " - " &amp; Table3[[#This Row],[SO Number]]</f>
        <v>JIBRILS SPECIALTY FOODS INC - JSFI CHICKEN BACOLOD - GLORIETTA 4 - SO-181</v>
      </c>
      <c r="C1869" t="s">
        <v>863</v>
      </c>
      <c r="D1869" t="s">
        <v>864</v>
      </c>
      <c r="E1869" t="s">
        <v>865</v>
      </c>
      <c r="F1869" t="s">
        <v>866</v>
      </c>
      <c r="G1869" t="s">
        <v>16</v>
      </c>
      <c r="H1869" t="s">
        <v>867</v>
      </c>
      <c r="I1869" t="s">
        <v>38</v>
      </c>
      <c r="J1869">
        <v>1</v>
      </c>
      <c r="K1869">
        <v>8500</v>
      </c>
      <c r="L1869">
        <v>12500</v>
      </c>
      <c r="M1869">
        <v>12500</v>
      </c>
      <c r="N1869" t="s">
        <v>39</v>
      </c>
    </row>
    <row r="1870" spans="1:14" x14ac:dyDescent="0.25">
      <c r="A1870" t="str">
        <f>Table3[[#This Row],[Company Name]] &amp; " - " &amp; Table3[[#This Row],[Store Name]] &amp; " - " &amp; Table3[[#This Row],[Store Branch / Address]]</f>
        <v>JIBRILS SPECIALTY FOODS INC - JSFI CHICKEN BACOLOD - GLORIETTA 4</v>
      </c>
      <c r="B1870" t="str">
        <f>Table3[[#This Row],[Client ID]] &amp; " - " &amp; Table3[[#This Row],[SO Number]]</f>
        <v>JIBRILS SPECIALTY FOODS INC - JSFI CHICKEN BACOLOD - GLORIETTA 4 - SO-181</v>
      </c>
      <c r="C1870" t="s">
        <v>863</v>
      </c>
      <c r="D1870" t="s">
        <v>864</v>
      </c>
      <c r="E1870" t="s">
        <v>865</v>
      </c>
      <c r="F1870" t="s">
        <v>866</v>
      </c>
      <c r="G1870" t="s">
        <v>16</v>
      </c>
      <c r="H1870" t="s">
        <v>867</v>
      </c>
      <c r="I1870" t="s">
        <v>97</v>
      </c>
      <c r="J1870">
        <v>1</v>
      </c>
      <c r="K1870">
        <v>2200</v>
      </c>
      <c r="L1870">
        <v>3500</v>
      </c>
      <c r="M1870">
        <v>3500</v>
      </c>
      <c r="N1870" t="s">
        <v>39</v>
      </c>
    </row>
    <row r="1871" spans="1:14" x14ac:dyDescent="0.25">
      <c r="A1871" t="str">
        <f>Table3[[#This Row],[Company Name]] &amp; " - " &amp; Table3[[#This Row],[Store Name]] &amp; " - " &amp; Table3[[#This Row],[Store Branch / Address]]</f>
        <v>JIBRILS SPECIALTY FOODS INC - JSFI CHICKEN BACOLOD - GLORIETTA 4</v>
      </c>
      <c r="B1871" t="str">
        <f>Table3[[#This Row],[Client ID]] &amp; " - " &amp; Table3[[#This Row],[SO Number]]</f>
        <v>JIBRILS SPECIALTY FOODS INC - JSFI CHICKEN BACOLOD - GLORIETTA 4 - SO-181</v>
      </c>
      <c r="C1871" t="s">
        <v>863</v>
      </c>
      <c r="D1871" t="s">
        <v>864</v>
      </c>
      <c r="E1871" t="s">
        <v>865</v>
      </c>
      <c r="F1871" t="s">
        <v>866</v>
      </c>
      <c r="G1871" t="s">
        <v>16</v>
      </c>
      <c r="H1871" t="s">
        <v>867</v>
      </c>
      <c r="I1871" t="s">
        <v>79</v>
      </c>
      <c r="J1871">
        <v>1</v>
      </c>
      <c r="K1871">
        <v>11000</v>
      </c>
      <c r="L1871">
        <v>16500</v>
      </c>
      <c r="M1871">
        <v>16500</v>
      </c>
      <c r="N1871" t="s">
        <v>39</v>
      </c>
    </row>
    <row r="1872" spans="1:14" x14ac:dyDescent="0.25">
      <c r="A1872" t="str">
        <f>Table3[[#This Row],[Company Name]] &amp; " - " &amp; Table3[[#This Row],[Store Name]] &amp; " - " &amp; Table3[[#This Row],[Store Branch / Address]]</f>
        <v>JIBRILS SPECIALTY FOODS INC - JSFI CHICKEN BACOLOD - GLORIETTA 4</v>
      </c>
      <c r="B1872" t="str">
        <f>Table3[[#This Row],[Client ID]] &amp; " - " &amp; Table3[[#This Row],[SO Number]]</f>
        <v>JIBRILS SPECIALTY FOODS INC - JSFI CHICKEN BACOLOD - GLORIETTA 4 - SO-181</v>
      </c>
      <c r="C1872" t="s">
        <v>863</v>
      </c>
      <c r="D1872" t="s">
        <v>864</v>
      </c>
      <c r="E1872" t="s">
        <v>865</v>
      </c>
      <c r="F1872" t="s">
        <v>866</v>
      </c>
      <c r="G1872" t="s">
        <v>16</v>
      </c>
      <c r="H1872" t="s">
        <v>867</v>
      </c>
      <c r="I1872" t="s">
        <v>869</v>
      </c>
      <c r="J1872">
        <v>1</v>
      </c>
      <c r="K1872">
        <v>21500</v>
      </c>
      <c r="L1872">
        <v>31000</v>
      </c>
      <c r="M1872">
        <v>31000</v>
      </c>
      <c r="N1872" t="s">
        <v>39</v>
      </c>
    </row>
    <row r="1873" spans="1:14" x14ac:dyDescent="0.25">
      <c r="A1873" t="str">
        <f>Table3[[#This Row],[Company Name]] &amp; " - " &amp; Table3[[#This Row],[Store Name]] &amp; " - " &amp; Table3[[#This Row],[Store Branch / Address]]</f>
        <v>JIBRILS SPECIALTY FOODS INC - JSFI CHICKEN BACOLOD - GLORIETTA 4</v>
      </c>
      <c r="B1873" t="str">
        <f>Table3[[#This Row],[Client ID]] &amp; " - " &amp; Table3[[#This Row],[SO Number]]</f>
        <v>JIBRILS SPECIALTY FOODS INC - JSFI CHICKEN BACOLOD - GLORIETTA 4 - SO-181</v>
      </c>
      <c r="C1873" t="s">
        <v>863</v>
      </c>
      <c r="D1873" t="s">
        <v>864</v>
      </c>
      <c r="E1873" t="s">
        <v>865</v>
      </c>
      <c r="F1873" t="s">
        <v>866</v>
      </c>
      <c r="G1873" t="s">
        <v>16</v>
      </c>
      <c r="H1873" t="s">
        <v>867</v>
      </c>
      <c r="I1873" t="s">
        <v>870</v>
      </c>
      <c r="J1873">
        <v>1</v>
      </c>
      <c r="K1873">
        <v>2000</v>
      </c>
      <c r="L1873">
        <v>3500</v>
      </c>
      <c r="M1873">
        <v>3500</v>
      </c>
      <c r="N1873" t="s">
        <v>39</v>
      </c>
    </row>
    <row r="1874" spans="1:14" x14ac:dyDescent="0.25">
      <c r="A1874" t="str">
        <f>Table3[[#This Row],[Company Name]] &amp; " - " &amp; Table3[[#This Row],[Store Name]] &amp; " - " &amp; Table3[[#This Row],[Store Branch / Address]]</f>
        <v>JIBRILS SPECIALTY FOODS INC - JSFI CHICKEN BACOLOD - GLORIETTA 4</v>
      </c>
      <c r="B1874" t="str">
        <f>Table3[[#This Row],[Client ID]] &amp; " - " &amp; Table3[[#This Row],[SO Number]]</f>
        <v>JIBRILS SPECIALTY FOODS INC - JSFI CHICKEN BACOLOD - GLORIETTA 4 - SO-181</v>
      </c>
      <c r="C1874" t="s">
        <v>863</v>
      </c>
      <c r="D1874" t="s">
        <v>864</v>
      </c>
      <c r="E1874" t="s">
        <v>865</v>
      </c>
      <c r="F1874" t="s">
        <v>866</v>
      </c>
      <c r="G1874" t="s">
        <v>16</v>
      </c>
      <c r="H1874" t="s">
        <v>867</v>
      </c>
      <c r="I1874" t="s">
        <v>63</v>
      </c>
      <c r="J1874">
        <v>1</v>
      </c>
      <c r="K1874">
        <v>500</v>
      </c>
      <c r="L1874">
        <v>500</v>
      </c>
      <c r="M1874">
        <v>500</v>
      </c>
      <c r="N1874" t="s">
        <v>39</v>
      </c>
    </row>
    <row r="1875" spans="1:14" x14ac:dyDescent="0.25">
      <c r="A1875" t="str">
        <f>Table3[[#This Row],[Company Name]] &amp; " - " &amp; Table3[[#This Row],[Store Name]] &amp; " - " &amp; Table3[[#This Row],[Store Branch / Address]]</f>
        <v>CRUZ MIRAFLOR DOMINGO - ARTISAN EMPORIUM - GENERIC</v>
      </c>
      <c r="B1875" t="str">
        <f>Table3[[#This Row],[Client ID]] &amp; " - " &amp; Table3[[#This Row],[SO Number]]</f>
        <v>CRUZ MIRAFLOR DOMINGO - ARTISAN EMPORIUM - GENERIC - SO-182</v>
      </c>
      <c r="C1875" t="s">
        <v>872</v>
      </c>
      <c r="D1875" t="s">
        <v>873</v>
      </c>
      <c r="E1875" t="s">
        <v>874</v>
      </c>
      <c r="F1875" t="s">
        <v>15</v>
      </c>
      <c r="G1875" t="s">
        <v>37</v>
      </c>
      <c r="H1875" t="s">
        <v>867</v>
      </c>
      <c r="I1875" t="s">
        <v>151</v>
      </c>
      <c r="J1875">
        <v>1</v>
      </c>
      <c r="K1875">
        <v>2200</v>
      </c>
      <c r="L1875">
        <v>4000</v>
      </c>
      <c r="M1875">
        <v>4000</v>
      </c>
      <c r="N1875" t="s">
        <v>19</v>
      </c>
    </row>
    <row r="1876" spans="1:14" x14ac:dyDescent="0.25">
      <c r="A1876" t="str">
        <f>Table3[[#This Row],[Company Name]] &amp; " - " &amp; Table3[[#This Row],[Store Name]] &amp; " - " &amp; Table3[[#This Row],[Store Branch / Address]]</f>
        <v>LIPA GRILLE RESTAURANT CO - LIPA GRILLE - GENERIC</v>
      </c>
      <c r="B1876" t="str">
        <f>Table3[[#This Row],[Client ID]] &amp; " - " &amp; Table3[[#This Row],[SO Number]]</f>
        <v>LIPA GRILLE RESTAURANT CO - LIPA GRILLE - GENERIC - SO-183</v>
      </c>
      <c r="C1876" t="s">
        <v>875</v>
      </c>
      <c r="D1876" t="s">
        <v>123</v>
      </c>
      <c r="E1876" t="s">
        <v>124</v>
      </c>
      <c r="F1876" t="s">
        <v>15</v>
      </c>
      <c r="G1876" t="s">
        <v>16</v>
      </c>
      <c r="H1876" t="s">
        <v>876</v>
      </c>
      <c r="I1876" t="s">
        <v>249</v>
      </c>
      <c r="J1876">
        <v>1</v>
      </c>
      <c r="K1876">
        <v>21500</v>
      </c>
      <c r="L1876">
        <v>31000</v>
      </c>
      <c r="M1876">
        <v>31000</v>
      </c>
      <c r="N1876" t="s">
        <v>19</v>
      </c>
    </row>
    <row r="1877" spans="1:14" x14ac:dyDescent="0.25">
      <c r="A1877" t="str">
        <f>Table3[[#This Row],[Company Name]] &amp; " - " &amp; Table3[[#This Row],[Store Name]] &amp; " - " &amp; Table3[[#This Row],[Store Branch / Address]]</f>
        <v>LIPA GRILLE RESTAURANT CO - LIPA GRILLE - GENERIC</v>
      </c>
      <c r="B1877" t="str">
        <f>Table3[[#This Row],[Client ID]] &amp; " - " &amp; Table3[[#This Row],[SO Number]]</f>
        <v>LIPA GRILLE RESTAURANT CO - LIPA GRILLE - GENERIC - SO-184</v>
      </c>
      <c r="C1877" t="s">
        <v>877</v>
      </c>
      <c r="D1877" t="s">
        <v>123</v>
      </c>
      <c r="E1877" t="s">
        <v>124</v>
      </c>
      <c r="F1877" t="s">
        <v>15</v>
      </c>
      <c r="G1877" t="s">
        <v>16</v>
      </c>
      <c r="H1877" t="s">
        <v>876</v>
      </c>
      <c r="I1877" t="s">
        <v>249</v>
      </c>
      <c r="J1877">
        <v>1</v>
      </c>
      <c r="K1877">
        <v>21500</v>
      </c>
      <c r="L1877">
        <v>31000</v>
      </c>
      <c r="M1877">
        <v>31000</v>
      </c>
      <c r="N1877" t="s">
        <v>19</v>
      </c>
    </row>
    <row r="1878" spans="1:14" x14ac:dyDescent="0.25">
      <c r="A1878" t="str">
        <f>Table3[[#This Row],[Company Name]] &amp; " - " &amp; Table3[[#This Row],[Store Name]] &amp; " - " &amp; Table3[[#This Row],[Store Branch / Address]]</f>
        <v>TIONG BAHRU PHILIPPINES INC - TIONG BAHRU - GENERIC</v>
      </c>
      <c r="B1878" t="str">
        <f>Table3[[#This Row],[Client ID]] &amp; " - " &amp; Table3[[#This Row],[SO Number]]</f>
        <v>TIONG BAHRU PHILIPPINES INC - TIONG BAHRU - GENERIC - SO-086</v>
      </c>
      <c r="C1878" t="s">
        <v>496</v>
      </c>
      <c r="D1878" t="s">
        <v>1022</v>
      </c>
      <c r="E1878" t="s">
        <v>1023</v>
      </c>
      <c r="F1878" t="s">
        <v>15</v>
      </c>
      <c r="G1878" t="s">
        <v>1076</v>
      </c>
      <c r="H1878" t="s">
        <v>1175</v>
      </c>
      <c r="I1878" t="s">
        <v>1176</v>
      </c>
      <c r="J1878">
        <v>1</v>
      </c>
      <c r="K1878">
        <v>9500</v>
      </c>
      <c r="L1878">
        <v>13300</v>
      </c>
      <c r="M1878">
        <v>13300</v>
      </c>
      <c r="N1878" t="s">
        <v>19</v>
      </c>
    </row>
    <row r="1879" spans="1:14" x14ac:dyDescent="0.25">
      <c r="A1879" t="str">
        <f>Table3[[#This Row],[Company Name]] &amp; " - " &amp; Table3[[#This Row],[Store Name]] &amp; " - " &amp; Table3[[#This Row],[Store Branch / Address]]</f>
        <v>TIONG BAHRU PHILIPPINES INC - TIONG BAHRU - GENERIC</v>
      </c>
      <c r="B1879" t="str">
        <f>Table3[[#This Row],[Client ID]] &amp; " - " &amp; Table3[[#This Row],[SO Number]]</f>
        <v>TIONG BAHRU PHILIPPINES INC - TIONG BAHRU - GENERIC - SO-086</v>
      </c>
      <c r="C1879" t="s">
        <v>496</v>
      </c>
      <c r="D1879" t="s">
        <v>1022</v>
      </c>
      <c r="E1879" t="s">
        <v>1023</v>
      </c>
      <c r="F1879" t="s">
        <v>15</v>
      </c>
      <c r="G1879" t="s">
        <v>1076</v>
      </c>
      <c r="H1879" t="s">
        <v>1175</v>
      </c>
      <c r="I1879" t="s">
        <v>63</v>
      </c>
      <c r="J1879">
        <v>1</v>
      </c>
      <c r="K1879">
        <v>200</v>
      </c>
      <c r="L1879">
        <v>200</v>
      </c>
      <c r="M1879">
        <v>200</v>
      </c>
      <c r="N1879" t="s">
        <v>19</v>
      </c>
    </row>
    <row r="1880" spans="1:14" x14ac:dyDescent="0.25">
      <c r="A1880" t="str">
        <f>Table3[[#This Row],[Company Name]] &amp; " - " &amp; Table3[[#This Row],[Store Name]] &amp; " - " &amp; Table3[[#This Row],[Store Branch / Address]]</f>
        <v>JIBRILS SPECIALTY FOODS INC - JSFI CHICKEN BACOLOD - MARKET MARKET</v>
      </c>
      <c r="B1880" t="str">
        <f>Table3[[#This Row],[Client ID]] &amp; " - " &amp; Table3[[#This Row],[SO Number]]</f>
        <v>JIBRILS SPECIALTY FOODS INC - JSFI CHICKEN BACOLOD - MARKET MARKET - SO-185</v>
      </c>
      <c r="C1880" t="s">
        <v>878</v>
      </c>
      <c r="D1880" t="s">
        <v>864</v>
      </c>
      <c r="E1880" t="s">
        <v>865</v>
      </c>
      <c r="F1880" t="s">
        <v>879</v>
      </c>
      <c r="G1880" t="s">
        <v>37</v>
      </c>
      <c r="H1880" t="s">
        <v>880</v>
      </c>
      <c r="I1880" t="s">
        <v>881</v>
      </c>
      <c r="J1880">
        <v>1</v>
      </c>
      <c r="K1880">
        <v>15000</v>
      </c>
      <c r="L1880">
        <v>15000</v>
      </c>
      <c r="M1880">
        <v>15000</v>
      </c>
      <c r="N1880" t="s">
        <v>39</v>
      </c>
    </row>
    <row r="1881" spans="1:14" x14ac:dyDescent="0.25">
      <c r="A1881" t="str">
        <f>Table3[[#This Row],[Company Name]] &amp; " - " &amp; Table3[[#This Row],[Store Name]] &amp; " - " &amp; Table3[[#This Row],[Store Branch / Address]]</f>
        <v>JUST SIMPLE BAKE HOUSE INC - LORD STOW'S BAKERY - TRINOMA</v>
      </c>
      <c r="B1881" t="str">
        <f>Table3[[#This Row],[Client ID]] &amp; " - " &amp; Table3[[#This Row],[SO Number]]</f>
        <v>JUST SIMPLE BAKE HOUSE INC - LORD STOW'S BAKERY - TRINOMA - SO-186</v>
      </c>
      <c r="C1881" t="s">
        <v>882</v>
      </c>
      <c r="D1881" t="s">
        <v>602</v>
      </c>
      <c r="E1881" t="s">
        <v>603</v>
      </c>
      <c r="F1881" t="s">
        <v>883</v>
      </c>
      <c r="G1881" t="s">
        <v>22</v>
      </c>
      <c r="H1881" t="s">
        <v>880</v>
      </c>
      <c r="I1881" t="s">
        <v>151</v>
      </c>
      <c r="J1881">
        <v>1</v>
      </c>
      <c r="K1881">
        <v>2000</v>
      </c>
      <c r="L1881">
        <v>3000</v>
      </c>
      <c r="M1881">
        <v>3000</v>
      </c>
      <c r="N1881" t="s">
        <v>39</v>
      </c>
    </row>
    <row r="1882" spans="1:14" x14ac:dyDescent="0.25">
      <c r="A1882" t="str">
        <f>Table3[[#This Row],[Company Name]] &amp; " - " &amp; Table3[[#This Row],[Store Name]] &amp; " - " &amp; Table3[[#This Row],[Store Branch / Address]]</f>
        <v>JUST SIMPLE BAKE HOUSE INC - LORD STOW'S BAKERY - TRINOMA</v>
      </c>
      <c r="B1882" t="str">
        <f>Table3[[#This Row],[Client ID]] &amp; " - " &amp; Table3[[#This Row],[SO Number]]</f>
        <v>JUST SIMPLE BAKE HOUSE INC - LORD STOW'S BAKERY - TRINOMA - SO-186</v>
      </c>
      <c r="C1882" t="s">
        <v>882</v>
      </c>
      <c r="D1882" t="s">
        <v>602</v>
      </c>
      <c r="E1882" t="s">
        <v>603</v>
      </c>
      <c r="F1882" t="s">
        <v>883</v>
      </c>
      <c r="G1882" t="s">
        <v>22</v>
      </c>
      <c r="H1882" t="s">
        <v>880</v>
      </c>
      <c r="I1882" t="s">
        <v>884</v>
      </c>
      <c r="J1882">
        <v>1</v>
      </c>
      <c r="K1882">
        <v>2650</v>
      </c>
      <c r="L1882">
        <v>4000</v>
      </c>
      <c r="M1882">
        <v>4000</v>
      </c>
      <c r="N1882" t="s">
        <v>39</v>
      </c>
    </row>
    <row r="1883" spans="1:14" x14ac:dyDescent="0.25">
      <c r="A1883" t="str">
        <f>Table3[[#This Row],[Company Name]] &amp; " - " &amp; Table3[[#This Row],[Store Name]] &amp; " - " &amp; Table3[[#This Row],[Store Branch / Address]]</f>
        <v>CHICKEN DELI - GONGCHA - GENERIC</v>
      </c>
      <c r="B1883" t="str">
        <f>Table3[[#This Row],[Client ID]] &amp; " - " &amp; Table3[[#This Row],[SO Number]]</f>
        <v>CHICKEN DELI - GONGCHA - GENERIC - SO-219</v>
      </c>
      <c r="C1883" t="s">
        <v>975</v>
      </c>
      <c r="D1883" t="s">
        <v>20</v>
      </c>
      <c r="E1883" t="s">
        <v>31</v>
      </c>
      <c r="F1883" t="s">
        <v>15</v>
      </c>
      <c r="G1883" t="s">
        <v>22</v>
      </c>
      <c r="H1883" t="s">
        <v>976</v>
      </c>
      <c r="I1883" t="s">
        <v>33</v>
      </c>
      <c r="J1883">
        <v>1</v>
      </c>
      <c r="K1883">
        <v>6500</v>
      </c>
      <c r="L1883">
        <v>6500</v>
      </c>
      <c r="M1883">
        <v>6500</v>
      </c>
      <c r="N1883" t="s">
        <v>19</v>
      </c>
    </row>
    <row r="1884" spans="1:14" x14ac:dyDescent="0.25">
      <c r="A1884" t="str">
        <f>Table3[[#This Row],[Company Name]] &amp; " - " &amp; Table3[[#This Row],[Store Name]] &amp; " - " &amp; Table3[[#This Row],[Store Branch / Address]]</f>
        <v>CHICKEN DELI - GONGCHA - GENERIC</v>
      </c>
      <c r="B1884" t="str">
        <f>Table3[[#This Row],[Client ID]] &amp; " - " &amp; Table3[[#This Row],[SO Number]]</f>
        <v>CHICKEN DELI - GONGCHA - GENERIC - SO-219</v>
      </c>
      <c r="C1884" t="s">
        <v>975</v>
      </c>
      <c r="D1884" t="s">
        <v>20</v>
      </c>
      <c r="E1884" t="s">
        <v>31</v>
      </c>
      <c r="F1884" t="s">
        <v>15</v>
      </c>
      <c r="G1884" t="s">
        <v>22</v>
      </c>
      <c r="H1884" t="s">
        <v>976</v>
      </c>
      <c r="I1884" t="s">
        <v>977</v>
      </c>
      <c r="J1884">
        <v>1</v>
      </c>
      <c r="K1884">
        <v>1000</v>
      </c>
      <c r="L1884">
        <v>1000</v>
      </c>
      <c r="M1884">
        <v>1000</v>
      </c>
      <c r="N1884" t="s">
        <v>19</v>
      </c>
    </row>
    <row r="1885" spans="1:14" x14ac:dyDescent="0.25">
      <c r="A1885" t="str">
        <f>Table3[[#This Row],[Company Name]] &amp; " - " &amp; Table3[[#This Row],[Store Name]] &amp; " - " &amp; Table3[[#This Row],[Store Branch / Address]]</f>
        <v>FRANKIE GENERAL STORE - FRANKIE GENERAL STORE - GENERIC</v>
      </c>
      <c r="B1885" t="str">
        <f>Table3[[#This Row],[Client ID]] &amp; " - " &amp; Table3[[#This Row],[SO Number]]</f>
        <v>FRANKIE GENERAL STORE - FRANKIE GENERAL STORE - GENERIC - SO-087</v>
      </c>
      <c r="C1885" t="s">
        <v>502</v>
      </c>
      <c r="D1885" t="s">
        <v>1151</v>
      </c>
      <c r="E1885" t="s">
        <v>1151</v>
      </c>
      <c r="F1885" t="s">
        <v>15</v>
      </c>
      <c r="G1885" t="s">
        <v>1043</v>
      </c>
      <c r="H1885" t="s">
        <v>976</v>
      </c>
      <c r="I1885" t="s">
        <v>1177</v>
      </c>
      <c r="J1885">
        <v>1</v>
      </c>
      <c r="K1885">
        <v>2650</v>
      </c>
      <c r="L1885">
        <v>4500</v>
      </c>
      <c r="M1885">
        <v>4500</v>
      </c>
      <c r="N1885" t="s">
        <v>19</v>
      </c>
    </row>
    <row r="1886" spans="1:14" x14ac:dyDescent="0.25">
      <c r="A1886" t="str">
        <f>Table3[[#This Row],[Company Name]] &amp; " - " &amp; Table3[[#This Row],[Store Name]] &amp; " - " &amp; Table3[[#This Row],[Store Branch / Address]]</f>
        <v>FRANKIE GENERAL STORE - FRANKIE GENERAL STORE - GENERIC</v>
      </c>
      <c r="B1886" t="str">
        <f>Table3[[#This Row],[Client ID]] &amp; " - " &amp; Table3[[#This Row],[SO Number]]</f>
        <v>FRANKIE GENERAL STORE - FRANKIE GENERAL STORE - GENERIC - SO-087</v>
      </c>
      <c r="C1886" t="s">
        <v>502</v>
      </c>
      <c r="D1886" t="s">
        <v>1151</v>
      </c>
      <c r="E1886" t="s">
        <v>1151</v>
      </c>
      <c r="F1886" t="s">
        <v>15</v>
      </c>
      <c r="G1886" t="s">
        <v>1043</v>
      </c>
      <c r="H1886" t="s">
        <v>976</v>
      </c>
      <c r="I1886" t="s">
        <v>99</v>
      </c>
      <c r="J1886">
        <v>1</v>
      </c>
      <c r="K1886">
        <v>2000</v>
      </c>
      <c r="L1886">
        <v>3000</v>
      </c>
      <c r="M1886">
        <v>3000</v>
      </c>
      <c r="N1886" t="s">
        <v>19</v>
      </c>
    </row>
    <row r="1887" spans="1:14" x14ac:dyDescent="0.25">
      <c r="A1887" t="str">
        <f>Table3[[#This Row],[Company Name]] &amp; " - " &amp; Table3[[#This Row],[Store Name]] &amp; " - " &amp; Table3[[#This Row],[Store Branch / Address]]</f>
        <v>MY GOLDEN TEA LEAF INC - SERENITEA - ROB. MANILA</v>
      </c>
      <c r="B1887" t="str">
        <f>Table3[[#This Row],[Client ID]] &amp; " - " &amp; Table3[[#This Row],[SO Number]]</f>
        <v>MY GOLDEN TEA LEAF INC - SERENITEA - ROB. MANILA - SO-187</v>
      </c>
      <c r="C1887" t="s">
        <v>885</v>
      </c>
      <c r="D1887" t="s">
        <v>431</v>
      </c>
      <c r="E1887" t="s">
        <v>239</v>
      </c>
      <c r="F1887" t="s">
        <v>710</v>
      </c>
      <c r="G1887" t="s">
        <v>22</v>
      </c>
      <c r="H1887" t="s">
        <v>886</v>
      </c>
      <c r="I1887" t="s">
        <v>151</v>
      </c>
      <c r="J1887">
        <v>1</v>
      </c>
      <c r="K1887">
        <v>2000</v>
      </c>
      <c r="L1887">
        <v>3500</v>
      </c>
      <c r="M1887">
        <v>3500</v>
      </c>
      <c r="N1887" t="s">
        <v>39</v>
      </c>
    </row>
    <row r="1888" spans="1:14" x14ac:dyDescent="0.25">
      <c r="A1888" t="str">
        <f>Table3[[#This Row],[Company Name]] &amp; " - " &amp; Table3[[#This Row],[Store Name]] &amp; " - " &amp; Table3[[#This Row],[Store Branch / Address]]</f>
        <v>MY GOLDEN TEA LEAF INC - SERENITEA - ROB. MANILA</v>
      </c>
      <c r="B1888" t="str">
        <f>Table3[[#This Row],[Client ID]] &amp; " - " &amp; Table3[[#This Row],[SO Number]]</f>
        <v>MY GOLDEN TEA LEAF INC - SERENITEA - ROB. MANILA - SO-187</v>
      </c>
      <c r="C1888" t="s">
        <v>885</v>
      </c>
      <c r="D1888" t="s">
        <v>431</v>
      </c>
      <c r="E1888" t="s">
        <v>239</v>
      </c>
      <c r="F1888" t="s">
        <v>710</v>
      </c>
      <c r="G1888" t="s">
        <v>22</v>
      </c>
      <c r="H1888" t="s">
        <v>886</v>
      </c>
      <c r="I1888" t="s">
        <v>884</v>
      </c>
      <c r="J1888">
        <v>1</v>
      </c>
      <c r="K1888">
        <v>2650</v>
      </c>
      <c r="L1888">
        <v>4000</v>
      </c>
      <c r="M1888">
        <v>4000</v>
      </c>
      <c r="N1888" t="s">
        <v>39</v>
      </c>
    </row>
    <row r="1889" spans="1:14" x14ac:dyDescent="0.25">
      <c r="A1889" t="str">
        <f>Table3[[#This Row],[Company Name]] &amp; " - " &amp; Table3[[#This Row],[Store Name]] &amp; " - " &amp; Table3[[#This Row],[Store Branch / Address]]</f>
        <v>AURORA CHARLIE FOOD VENTURES INC - MAMOU - GREENBELT 5</v>
      </c>
      <c r="B1889" t="str">
        <f>Table3[[#This Row],[Client ID]] &amp; " - " &amp; Table3[[#This Row],[SO Number]]</f>
        <v>AURORA CHARLIE FOOD VENTURES INC - MAMOU - GREENBELT 5 - SO-188</v>
      </c>
      <c r="C1889" t="s">
        <v>887</v>
      </c>
      <c r="D1889" t="s">
        <v>646</v>
      </c>
      <c r="E1889" t="s">
        <v>58</v>
      </c>
      <c r="F1889" t="s">
        <v>101</v>
      </c>
      <c r="G1889" t="s">
        <v>37</v>
      </c>
      <c r="H1889" t="s">
        <v>888</v>
      </c>
      <c r="I1889" t="s">
        <v>116</v>
      </c>
      <c r="J1889">
        <v>1</v>
      </c>
      <c r="K1889">
        <v>2185</v>
      </c>
      <c r="L1889">
        <v>3200</v>
      </c>
      <c r="M1889">
        <v>3200</v>
      </c>
      <c r="N1889" t="s">
        <v>39</v>
      </c>
    </row>
    <row r="1890" spans="1:14" x14ac:dyDescent="0.25">
      <c r="A1890" t="str">
        <f>Table3[[#This Row],[Company Name]] &amp; " - " &amp; Table3[[#This Row],[Store Name]] &amp; " - " &amp; Table3[[#This Row],[Store Branch / Address]]</f>
        <v>AURORA CHARLIE FOOD VENTURES INC - MAMOU - GREENBELT 5</v>
      </c>
      <c r="B1890" t="str">
        <f>Table3[[#This Row],[Client ID]] &amp; " - " &amp; Table3[[#This Row],[SO Number]]</f>
        <v>AURORA CHARLIE FOOD VENTURES INC - MAMOU - GREENBELT 5 - SO-188</v>
      </c>
      <c r="C1890" t="s">
        <v>887</v>
      </c>
      <c r="D1890" t="s">
        <v>646</v>
      </c>
      <c r="E1890" t="s">
        <v>58</v>
      </c>
      <c r="F1890" t="s">
        <v>101</v>
      </c>
      <c r="G1890" t="s">
        <v>37</v>
      </c>
      <c r="H1890" t="s">
        <v>888</v>
      </c>
      <c r="I1890" t="s">
        <v>63</v>
      </c>
      <c r="J1890">
        <v>1</v>
      </c>
      <c r="K1890">
        <v>300</v>
      </c>
      <c r="L1890">
        <v>300</v>
      </c>
      <c r="M1890">
        <v>300</v>
      </c>
      <c r="N1890" t="s">
        <v>39</v>
      </c>
    </row>
    <row r="1891" spans="1:14" x14ac:dyDescent="0.25">
      <c r="A1891" t="str">
        <f>Table3[[#This Row],[Company Name]] &amp; " - " &amp; Table3[[#This Row],[Store Name]] &amp; " - " &amp; Table3[[#This Row],[Store Branch / Address]]</f>
        <v>SJ SHAW FOOD CORP - FAMOUS AMOS - GENERIC</v>
      </c>
      <c r="B1891" t="str">
        <f>Table3[[#This Row],[Client ID]] &amp; " - " &amp; Table3[[#This Row],[SO Number]]</f>
        <v>SJ SHAW FOOD CORP - FAMOUS AMOS - GENERIC - SO-189</v>
      </c>
      <c r="C1891" t="s">
        <v>890</v>
      </c>
      <c r="D1891" t="s">
        <v>340</v>
      </c>
      <c r="E1891" t="s">
        <v>341</v>
      </c>
      <c r="F1891" t="s">
        <v>15</v>
      </c>
      <c r="G1891" t="s">
        <v>37</v>
      </c>
      <c r="H1891" t="s">
        <v>888</v>
      </c>
      <c r="I1891" t="s">
        <v>143</v>
      </c>
      <c r="J1891">
        <v>1</v>
      </c>
      <c r="K1891">
        <v>2975</v>
      </c>
      <c r="L1891">
        <v>8500</v>
      </c>
      <c r="M1891">
        <v>8500</v>
      </c>
      <c r="N1891" t="s">
        <v>19</v>
      </c>
    </row>
    <row r="1892" spans="1:14" x14ac:dyDescent="0.25">
      <c r="A1892" t="str">
        <f>Table3[[#This Row],[Company Name]] &amp; " - " &amp; Table3[[#This Row],[Store Name]] &amp; " - " &amp; Table3[[#This Row],[Store Branch / Address]]</f>
        <v>CHICKEN DELI - GONGCHA - GENERIC</v>
      </c>
      <c r="B1892" t="str">
        <f>Table3[[#This Row],[Client ID]] &amp; " - " &amp; Table3[[#This Row],[SO Number]]</f>
        <v>CHICKEN DELI - GONGCHA - GENERIC - SO-221</v>
      </c>
      <c r="C1892" t="s">
        <v>979</v>
      </c>
      <c r="D1892" t="s">
        <v>20</v>
      </c>
      <c r="E1892" t="s">
        <v>31</v>
      </c>
      <c r="F1892" t="s">
        <v>15</v>
      </c>
      <c r="G1892" t="s">
        <v>22</v>
      </c>
      <c r="H1892" t="s">
        <v>888</v>
      </c>
      <c r="I1892" t="s">
        <v>33</v>
      </c>
      <c r="J1892">
        <v>9</v>
      </c>
      <c r="K1892">
        <v>6500</v>
      </c>
      <c r="L1892">
        <v>6500</v>
      </c>
      <c r="M1892">
        <v>58500</v>
      </c>
      <c r="N1892" t="s">
        <v>19</v>
      </c>
    </row>
    <row r="1893" spans="1:14" x14ac:dyDescent="0.25">
      <c r="A1893" t="str">
        <f>Table3[[#This Row],[Company Name]] &amp; " - " &amp; Table3[[#This Row],[Store Name]] &amp; " - " &amp; Table3[[#This Row],[Store Branch / Address]]</f>
        <v>CHICKEN DELI - GONGCHA - GENERIC</v>
      </c>
      <c r="B1893" t="str">
        <f>Table3[[#This Row],[Client ID]] &amp; " - " &amp; Table3[[#This Row],[SO Number]]</f>
        <v>CHICKEN DELI - GONGCHA - GENERIC - SO-223</v>
      </c>
      <c r="C1893" t="s">
        <v>982</v>
      </c>
      <c r="D1893" t="s">
        <v>20</v>
      </c>
      <c r="E1893" t="s">
        <v>31</v>
      </c>
      <c r="F1893" t="s">
        <v>15</v>
      </c>
      <c r="G1893" t="s">
        <v>22</v>
      </c>
      <c r="H1893" t="s">
        <v>888</v>
      </c>
      <c r="I1893" t="s">
        <v>33</v>
      </c>
      <c r="J1893">
        <v>2</v>
      </c>
      <c r="K1893">
        <v>6500</v>
      </c>
      <c r="L1893">
        <v>6500</v>
      </c>
      <c r="M1893">
        <v>13000</v>
      </c>
      <c r="N1893" t="s">
        <v>19</v>
      </c>
    </row>
    <row r="1894" spans="1:14" x14ac:dyDescent="0.25">
      <c r="A1894" t="str">
        <f>Table3[[#This Row],[Company Name]] &amp; " - " &amp; Table3[[#This Row],[Store Name]] &amp; " - " &amp; Table3[[#This Row],[Store Branch / Address]]</f>
        <v>CHICKEN DELI - GONGCHA - GENERIC</v>
      </c>
      <c r="B1894" t="str">
        <f>Table3[[#This Row],[Client ID]] &amp; " - " &amp; Table3[[#This Row],[SO Number]]</f>
        <v>CHICKEN DELI - GONGCHA - GENERIC - SO-224</v>
      </c>
      <c r="C1894" t="s">
        <v>983</v>
      </c>
      <c r="D1894" t="s">
        <v>20</v>
      </c>
      <c r="E1894" t="s">
        <v>31</v>
      </c>
      <c r="F1894" t="s">
        <v>15</v>
      </c>
      <c r="G1894" t="s">
        <v>22</v>
      </c>
      <c r="H1894" t="s">
        <v>888</v>
      </c>
      <c r="I1894" t="s">
        <v>33</v>
      </c>
      <c r="J1894">
        <v>2</v>
      </c>
      <c r="K1894">
        <v>6500</v>
      </c>
      <c r="L1894">
        <v>6500</v>
      </c>
      <c r="M1894">
        <v>13000</v>
      </c>
      <c r="N1894" t="s">
        <v>19</v>
      </c>
    </row>
    <row r="1895" spans="1:14" x14ac:dyDescent="0.25">
      <c r="A1895" t="str">
        <f>Table3[[#This Row],[Company Name]] &amp; " - " &amp; Table3[[#This Row],[Store Name]] &amp; " - " &amp; Table3[[#This Row],[Store Branch / Address]]</f>
        <v>CHICKEN DELI - GONGCHA - GENERIC</v>
      </c>
      <c r="B1895" t="str">
        <f>Table3[[#This Row],[Client ID]] &amp; " - " &amp; Table3[[#This Row],[SO Number]]</f>
        <v>CHICKEN DELI - GONGCHA - GENERIC - SO-225</v>
      </c>
      <c r="C1895" t="s">
        <v>984</v>
      </c>
      <c r="D1895" t="s">
        <v>20</v>
      </c>
      <c r="E1895" t="s">
        <v>31</v>
      </c>
      <c r="F1895" t="s">
        <v>15</v>
      </c>
      <c r="G1895" t="s">
        <v>22</v>
      </c>
      <c r="H1895" t="s">
        <v>888</v>
      </c>
      <c r="I1895" t="s">
        <v>33</v>
      </c>
      <c r="J1895">
        <v>5</v>
      </c>
      <c r="K1895">
        <v>6500</v>
      </c>
      <c r="L1895">
        <v>6500</v>
      </c>
      <c r="M1895">
        <v>32500</v>
      </c>
      <c r="N1895" t="s">
        <v>19</v>
      </c>
    </row>
    <row r="1896" spans="1:14" x14ac:dyDescent="0.25">
      <c r="A1896" t="str">
        <f>Table3[[#This Row],[Company Name]] &amp; " - " &amp; Table3[[#This Row],[Store Name]] &amp; " - " &amp; Table3[[#This Row],[Store Branch / Address]]</f>
        <v>CHICKEN DELI - GONGCHA - GENERIC</v>
      </c>
      <c r="B1896" t="str">
        <f>Table3[[#This Row],[Client ID]] &amp; " - " &amp; Table3[[#This Row],[SO Number]]</f>
        <v>CHICKEN DELI - GONGCHA - GENERIC - SO-226</v>
      </c>
      <c r="C1896" t="s">
        <v>985</v>
      </c>
      <c r="D1896" t="s">
        <v>20</v>
      </c>
      <c r="E1896" t="s">
        <v>31</v>
      </c>
      <c r="F1896" t="s">
        <v>15</v>
      </c>
      <c r="G1896" t="s">
        <v>22</v>
      </c>
      <c r="H1896" t="s">
        <v>888</v>
      </c>
      <c r="I1896" t="s">
        <v>33</v>
      </c>
      <c r="J1896">
        <v>11</v>
      </c>
      <c r="K1896">
        <v>6500</v>
      </c>
      <c r="L1896">
        <v>6500</v>
      </c>
      <c r="M1896">
        <v>71500</v>
      </c>
      <c r="N1896" t="s">
        <v>19</v>
      </c>
    </row>
    <row r="1897" spans="1:14" x14ac:dyDescent="0.25">
      <c r="A1897" t="str">
        <f>Table3[[#This Row],[Company Name]] &amp; " - " &amp; Table3[[#This Row],[Store Name]] &amp; " - " &amp; Table3[[#This Row],[Store Branch / Address]]</f>
        <v>CHICKEN DELI - GONGCHA - GENERIC</v>
      </c>
      <c r="B1897" t="str">
        <f>Table3[[#This Row],[Client ID]] &amp; " - " &amp; Table3[[#This Row],[SO Number]]</f>
        <v>CHICKEN DELI - GONGCHA - GENERIC - SO-227</v>
      </c>
      <c r="C1897" t="s">
        <v>986</v>
      </c>
      <c r="D1897" t="s">
        <v>20</v>
      </c>
      <c r="E1897" t="s">
        <v>31</v>
      </c>
      <c r="F1897" t="s">
        <v>15</v>
      </c>
      <c r="G1897" t="s">
        <v>22</v>
      </c>
      <c r="H1897" t="s">
        <v>888</v>
      </c>
      <c r="I1897" t="s">
        <v>33</v>
      </c>
      <c r="J1897">
        <v>7</v>
      </c>
      <c r="K1897">
        <v>6500</v>
      </c>
      <c r="L1897">
        <v>6500</v>
      </c>
      <c r="M1897">
        <v>45500</v>
      </c>
      <c r="N1897" t="s">
        <v>19</v>
      </c>
    </row>
    <row r="1898" spans="1:14" x14ac:dyDescent="0.25">
      <c r="A1898" t="str">
        <f>Table3[[#This Row],[Company Name]] &amp; " - " &amp; Table3[[#This Row],[Store Name]] &amp; " - " &amp; Table3[[#This Row],[Store Branch / Address]]</f>
        <v>BERTULFO NEIL AGUILAR - NEIL'S LECHON CEBU - GENERIC</v>
      </c>
      <c r="B1898" t="str">
        <f>Table3[[#This Row],[Client ID]] &amp; " - " &amp; Table3[[#This Row],[SO Number]]</f>
        <v>BERTULFO NEIL AGUILAR - NEIL'S LECHON CEBU - GENERIC - SO-190</v>
      </c>
      <c r="C1898" t="s">
        <v>891</v>
      </c>
      <c r="D1898" t="s">
        <v>892</v>
      </c>
      <c r="E1898" t="s">
        <v>893</v>
      </c>
      <c r="F1898" t="s">
        <v>15</v>
      </c>
      <c r="G1898" t="s">
        <v>37</v>
      </c>
      <c r="H1898" t="s">
        <v>894</v>
      </c>
      <c r="I1898" t="s">
        <v>154</v>
      </c>
      <c r="J1898">
        <v>1</v>
      </c>
      <c r="K1898">
        <v>1100</v>
      </c>
      <c r="L1898">
        <v>1400</v>
      </c>
      <c r="M1898">
        <v>1400</v>
      </c>
      <c r="N1898" t="s">
        <v>19</v>
      </c>
    </row>
    <row r="1899" spans="1:14" x14ac:dyDescent="0.25">
      <c r="A1899" t="str">
        <f>Table3[[#This Row],[Company Name]] &amp; " - " &amp; Table3[[#This Row],[Store Name]] &amp; " - " &amp; Table3[[#This Row],[Store Branch / Address]]</f>
        <v>BERTULFO NEIL AGUILAR - NEIL'S LECHON CEBU - GENERIC</v>
      </c>
      <c r="B1899" t="str">
        <f>Table3[[#This Row],[Client ID]] &amp; " - " &amp; Table3[[#This Row],[SO Number]]</f>
        <v>BERTULFO NEIL AGUILAR - NEIL'S LECHON CEBU - GENERIC - SO-190</v>
      </c>
      <c r="C1899" t="s">
        <v>891</v>
      </c>
      <c r="D1899" t="s">
        <v>892</v>
      </c>
      <c r="E1899" t="s">
        <v>893</v>
      </c>
      <c r="F1899" t="s">
        <v>15</v>
      </c>
      <c r="G1899" t="s">
        <v>37</v>
      </c>
      <c r="H1899" t="s">
        <v>894</v>
      </c>
      <c r="I1899" t="s">
        <v>333</v>
      </c>
      <c r="J1899">
        <v>1</v>
      </c>
      <c r="K1899">
        <v>20</v>
      </c>
      <c r="L1899">
        <v>100</v>
      </c>
      <c r="M1899">
        <v>100</v>
      </c>
      <c r="N1899" t="s">
        <v>19</v>
      </c>
    </row>
    <row r="1900" spans="1:14" x14ac:dyDescent="0.25">
      <c r="A1900" t="str">
        <f>Table3[[#This Row],[Company Name]] &amp; " - " &amp; Table3[[#This Row],[Store Name]] &amp; " - " &amp; Table3[[#This Row],[Store Branch / Address]]</f>
        <v>HUZZAH - HUZZAH - GENERIC</v>
      </c>
      <c r="B1900" t="str">
        <f>Table3[[#This Row],[Client ID]] &amp; " - " &amp; Table3[[#This Row],[SO Number]]</f>
        <v>HUZZAH - HUZZAH - GENERIC - SO-191</v>
      </c>
      <c r="C1900" t="s">
        <v>895</v>
      </c>
      <c r="D1900" t="s">
        <v>87</v>
      </c>
      <c r="E1900" t="s">
        <v>87</v>
      </c>
      <c r="F1900" t="s">
        <v>15</v>
      </c>
      <c r="G1900" t="s">
        <v>37</v>
      </c>
      <c r="H1900" t="s">
        <v>896</v>
      </c>
      <c r="I1900" t="s">
        <v>89</v>
      </c>
      <c r="J1900">
        <v>50</v>
      </c>
      <c r="K1900">
        <v>32</v>
      </c>
      <c r="L1900">
        <v>50</v>
      </c>
      <c r="M1900">
        <v>2500</v>
      </c>
      <c r="N1900" t="s">
        <v>39</v>
      </c>
    </row>
    <row r="1901" spans="1:14" x14ac:dyDescent="0.25">
      <c r="A1901" t="str">
        <f>Table3[[#This Row],[Company Name]] &amp; " - " &amp; Table3[[#This Row],[Store Name]] &amp; " - " &amp; Table3[[#This Row],[Store Branch / Address]]</f>
        <v>M W TOWNSTORE - M &amp; W - GENERIC</v>
      </c>
      <c r="B1901" t="str">
        <f>Table3[[#This Row],[Client ID]] &amp; " - " &amp; Table3[[#This Row],[SO Number]]</f>
        <v>M W TOWNSTORE - M &amp; W - GENERIC - SO-228</v>
      </c>
      <c r="C1901" t="s">
        <v>987</v>
      </c>
      <c r="D1901" t="s">
        <v>191</v>
      </c>
      <c r="E1901" t="s">
        <v>192</v>
      </c>
      <c r="F1901" t="s">
        <v>15</v>
      </c>
      <c r="G1901" t="s">
        <v>22</v>
      </c>
      <c r="H1901" t="s">
        <v>896</v>
      </c>
      <c r="I1901" t="s">
        <v>581</v>
      </c>
      <c r="J1901">
        <v>3</v>
      </c>
      <c r="K1901">
        <v>11000</v>
      </c>
      <c r="L1901">
        <v>15500</v>
      </c>
      <c r="M1901">
        <v>46500</v>
      </c>
      <c r="N1901" t="s">
        <v>19</v>
      </c>
    </row>
    <row r="1902" spans="1:14" x14ac:dyDescent="0.25">
      <c r="A1902" t="str">
        <f>Table3[[#This Row],[Company Name]] &amp; " - " &amp; Table3[[#This Row],[Store Name]] &amp; " - " &amp; Table3[[#This Row],[Store Branch / Address]]</f>
        <v>M W TOWNSTORE - M &amp; W - GENERIC</v>
      </c>
      <c r="B1902" t="str">
        <f>Table3[[#This Row],[Client ID]] &amp; " - " &amp; Table3[[#This Row],[SO Number]]</f>
        <v>M W TOWNSTORE - M &amp; W - GENERIC - SO-228</v>
      </c>
      <c r="C1902" t="s">
        <v>987</v>
      </c>
      <c r="D1902" t="s">
        <v>191</v>
      </c>
      <c r="E1902" t="s">
        <v>192</v>
      </c>
      <c r="F1902" t="s">
        <v>15</v>
      </c>
      <c r="G1902" t="s">
        <v>22</v>
      </c>
      <c r="H1902" t="s">
        <v>896</v>
      </c>
      <c r="I1902" t="s">
        <v>392</v>
      </c>
      <c r="J1902">
        <v>1</v>
      </c>
      <c r="K1902">
        <v>3360</v>
      </c>
      <c r="L1902">
        <v>5800</v>
      </c>
      <c r="M1902">
        <v>5800</v>
      </c>
      <c r="N1902" t="s">
        <v>19</v>
      </c>
    </row>
    <row r="1903" spans="1:14" x14ac:dyDescent="0.25">
      <c r="A1903" t="str">
        <f>Table3[[#This Row],[Company Name]] &amp; " - " &amp; Table3[[#This Row],[Store Name]] &amp; " - " &amp; Table3[[#This Row],[Store Branch / Address]]</f>
        <v>M W TOWNSTORE - M &amp; W - GENERIC</v>
      </c>
      <c r="B1903" t="str">
        <f>Table3[[#This Row],[Client ID]] &amp; " - " &amp; Table3[[#This Row],[SO Number]]</f>
        <v>M W TOWNSTORE - M &amp; W - GENERIC - SO-228</v>
      </c>
      <c r="C1903" t="s">
        <v>987</v>
      </c>
      <c r="D1903" t="s">
        <v>191</v>
      </c>
      <c r="E1903" t="s">
        <v>192</v>
      </c>
      <c r="F1903" t="s">
        <v>15</v>
      </c>
      <c r="G1903" t="s">
        <v>22</v>
      </c>
      <c r="H1903" t="s">
        <v>896</v>
      </c>
      <c r="I1903" t="s">
        <v>76</v>
      </c>
      <c r="J1903">
        <v>1</v>
      </c>
      <c r="K1903">
        <v>1500</v>
      </c>
      <c r="L1903">
        <v>1500</v>
      </c>
      <c r="M1903">
        <v>1500</v>
      </c>
      <c r="N1903" t="s">
        <v>19</v>
      </c>
    </row>
    <row r="1904" spans="1:14" x14ac:dyDescent="0.25">
      <c r="A1904" t="str">
        <f>Table3[[#This Row],[Company Name]] &amp; " - " &amp; Table3[[#This Row],[Store Name]] &amp; " - " &amp; Table3[[#This Row],[Store Branch / Address]]</f>
        <v>CHICKEN DELI - UMBO KUSINA - GENERIC</v>
      </c>
      <c r="B1904" t="str">
        <f>Table3[[#This Row],[Client ID]] &amp; " - " &amp; Table3[[#This Row],[SO Number]]</f>
        <v>CHICKEN DELI - UMBO KUSINA - GENERIC - SO-229</v>
      </c>
      <c r="C1904" t="s">
        <v>988</v>
      </c>
      <c r="D1904" t="s">
        <v>20</v>
      </c>
      <c r="E1904" t="s">
        <v>989</v>
      </c>
      <c r="F1904" t="s">
        <v>15</v>
      </c>
      <c r="G1904" t="s">
        <v>22</v>
      </c>
      <c r="H1904" t="s">
        <v>896</v>
      </c>
      <c r="I1904" t="s">
        <v>322</v>
      </c>
      <c r="J1904">
        <v>1</v>
      </c>
      <c r="K1904">
        <v>2975</v>
      </c>
      <c r="L1904">
        <v>8500</v>
      </c>
      <c r="M1904">
        <v>8500</v>
      </c>
      <c r="N1904" t="s">
        <v>19</v>
      </c>
    </row>
    <row r="1905" spans="1:14" x14ac:dyDescent="0.25">
      <c r="A1905" t="str">
        <f>Table3[[#This Row],[Company Name]] &amp; " - " &amp; Table3[[#This Row],[Store Name]] &amp; " - " &amp; Table3[[#This Row],[Store Branch / Address]]</f>
        <v>CHICKEN DELI - UMBO KUSINA - GENERIC</v>
      </c>
      <c r="B1905" t="str">
        <f>Table3[[#This Row],[Client ID]] &amp; " - " &amp; Table3[[#This Row],[SO Number]]</f>
        <v>CHICKEN DELI - UMBO KUSINA - GENERIC - SO-229</v>
      </c>
      <c r="C1905" t="s">
        <v>988</v>
      </c>
      <c r="D1905" t="s">
        <v>20</v>
      </c>
      <c r="E1905" t="s">
        <v>989</v>
      </c>
      <c r="F1905" t="s">
        <v>15</v>
      </c>
      <c r="G1905" t="s">
        <v>22</v>
      </c>
      <c r="H1905" t="s">
        <v>896</v>
      </c>
      <c r="I1905" t="s">
        <v>575</v>
      </c>
      <c r="J1905">
        <v>1</v>
      </c>
      <c r="K1905">
        <v>4550</v>
      </c>
      <c r="L1905">
        <v>4550</v>
      </c>
      <c r="M1905">
        <v>4550</v>
      </c>
      <c r="N1905" t="s">
        <v>19</v>
      </c>
    </row>
    <row r="1906" spans="1:14" x14ac:dyDescent="0.25">
      <c r="A1906" t="str">
        <f>Table3[[#This Row],[Company Name]] &amp; " - " &amp; Table3[[#This Row],[Store Name]] &amp; " - " &amp; Table3[[#This Row],[Store Branch / Address]]</f>
        <v>CHICKEN DELI - UMBO KUSINA - GENERIC</v>
      </c>
      <c r="B1906" t="str">
        <f>Table3[[#This Row],[Client ID]] &amp; " - " &amp; Table3[[#This Row],[SO Number]]</f>
        <v>CHICKEN DELI - UMBO KUSINA - GENERIC - SO-229</v>
      </c>
      <c r="C1906" t="s">
        <v>988</v>
      </c>
      <c r="D1906" t="s">
        <v>20</v>
      </c>
      <c r="E1906" t="s">
        <v>989</v>
      </c>
      <c r="F1906" t="s">
        <v>15</v>
      </c>
      <c r="G1906" t="s">
        <v>22</v>
      </c>
      <c r="H1906" t="s">
        <v>896</v>
      </c>
      <c r="I1906" t="s">
        <v>24</v>
      </c>
      <c r="J1906">
        <v>1</v>
      </c>
      <c r="K1906">
        <v>4550</v>
      </c>
      <c r="L1906">
        <v>4550</v>
      </c>
      <c r="M1906">
        <v>4550</v>
      </c>
      <c r="N1906" t="s">
        <v>19</v>
      </c>
    </row>
    <row r="1907" spans="1:14" x14ac:dyDescent="0.25">
      <c r="A1907" t="str">
        <f>Table3[[#This Row],[Company Name]] &amp; " - " &amp; Table3[[#This Row],[Store Name]] &amp; " - " &amp; Table3[[#This Row],[Store Branch / Address]]</f>
        <v>CHICKEN DELI - UMBO KUSINA - GENERIC</v>
      </c>
      <c r="B1907" t="str">
        <f>Table3[[#This Row],[Client ID]] &amp; " - " &amp; Table3[[#This Row],[SO Number]]</f>
        <v>CHICKEN DELI - UMBO KUSINA - GENERIC - SO-229</v>
      </c>
      <c r="C1907" t="s">
        <v>988</v>
      </c>
      <c r="D1907" t="s">
        <v>20</v>
      </c>
      <c r="E1907" t="s">
        <v>989</v>
      </c>
      <c r="F1907" t="s">
        <v>15</v>
      </c>
      <c r="G1907" t="s">
        <v>22</v>
      </c>
      <c r="H1907" t="s">
        <v>896</v>
      </c>
      <c r="I1907" t="s">
        <v>576</v>
      </c>
      <c r="J1907">
        <v>1</v>
      </c>
      <c r="K1907">
        <v>21000</v>
      </c>
      <c r="L1907">
        <v>30000</v>
      </c>
      <c r="M1907">
        <v>30000</v>
      </c>
      <c r="N1907" t="s">
        <v>19</v>
      </c>
    </row>
    <row r="1908" spans="1:14" x14ac:dyDescent="0.25">
      <c r="A1908" t="str">
        <f>Table3[[#This Row],[Company Name]] &amp; " - " &amp; Table3[[#This Row],[Store Name]] &amp; " - " &amp; Table3[[#This Row],[Store Branch / Address]]</f>
        <v>CHICKEN DELI - UMBO KUSINA - GENERIC</v>
      </c>
      <c r="B1908" t="str">
        <f>Table3[[#This Row],[Client ID]] &amp; " - " &amp; Table3[[#This Row],[SO Number]]</f>
        <v>CHICKEN DELI - UMBO KUSINA - GENERIC - SO-229</v>
      </c>
      <c r="C1908" t="s">
        <v>988</v>
      </c>
      <c r="D1908" t="s">
        <v>20</v>
      </c>
      <c r="E1908" t="s">
        <v>989</v>
      </c>
      <c r="F1908" t="s">
        <v>15</v>
      </c>
      <c r="G1908" t="s">
        <v>22</v>
      </c>
      <c r="H1908" t="s">
        <v>896</v>
      </c>
      <c r="I1908" t="s">
        <v>577</v>
      </c>
      <c r="J1908">
        <v>1</v>
      </c>
      <c r="K1908">
        <v>11700</v>
      </c>
      <c r="L1908">
        <v>16500</v>
      </c>
      <c r="M1908">
        <v>16500</v>
      </c>
      <c r="N1908" t="s">
        <v>19</v>
      </c>
    </row>
    <row r="1909" spans="1:14" x14ac:dyDescent="0.25">
      <c r="A1909" t="str">
        <f>Table3[[#This Row],[Company Name]] &amp; " - " &amp; Table3[[#This Row],[Store Name]] &amp; " - " &amp; Table3[[#This Row],[Store Branch / Address]]</f>
        <v>CHICKEN DELI - UMBO KUSINA - GENERIC</v>
      </c>
      <c r="B1909" t="str">
        <f>Table3[[#This Row],[Client ID]] &amp; " - " &amp; Table3[[#This Row],[SO Number]]</f>
        <v>CHICKEN DELI - UMBO KUSINA - GENERIC - SO-229</v>
      </c>
      <c r="C1909" t="s">
        <v>988</v>
      </c>
      <c r="D1909" t="s">
        <v>20</v>
      </c>
      <c r="E1909" t="s">
        <v>989</v>
      </c>
      <c r="F1909" t="s">
        <v>15</v>
      </c>
      <c r="G1909" t="s">
        <v>22</v>
      </c>
      <c r="H1909" t="s">
        <v>896</v>
      </c>
      <c r="I1909" t="s">
        <v>236</v>
      </c>
      <c r="J1909">
        <v>1</v>
      </c>
      <c r="K1909">
        <v>2200</v>
      </c>
      <c r="L1909">
        <v>3100</v>
      </c>
      <c r="M1909">
        <v>3100</v>
      </c>
      <c r="N1909" t="s">
        <v>19</v>
      </c>
    </row>
    <row r="1910" spans="1:14" x14ac:dyDescent="0.25">
      <c r="A1910" t="str">
        <f>Table3[[#This Row],[Company Name]] &amp; " - " &amp; Table3[[#This Row],[Store Name]] &amp; " - " &amp; Table3[[#This Row],[Store Branch / Address]]</f>
        <v>CHICKEN DELI - UMBO KUSINA - GENERIC</v>
      </c>
      <c r="B1910" t="str">
        <f>Table3[[#This Row],[Client ID]] &amp; " - " &amp; Table3[[#This Row],[SO Number]]</f>
        <v>CHICKEN DELI - UMBO KUSINA - GENERIC - SO-229</v>
      </c>
      <c r="C1910" t="s">
        <v>988</v>
      </c>
      <c r="D1910" t="s">
        <v>20</v>
      </c>
      <c r="E1910" t="s">
        <v>989</v>
      </c>
      <c r="F1910" t="s">
        <v>15</v>
      </c>
      <c r="G1910" t="s">
        <v>22</v>
      </c>
      <c r="H1910" t="s">
        <v>896</v>
      </c>
      <c r="I1910" t="s">
        <v>96</v>
      </c>
      <c r="J1910">
        <v>1</v>
      </c>
      <c r="K1910">
        <v>1350</v>
      </c>
      <c r="L1910">
        <v>2000</v>
      </c>
      <c r="M1910">
        <v>2000</v>
      </c>
      <c r="N1910" t="s">
        <v>19</v>
      </c>
    </row>
    <row r="1911" spans="1:14" x14ac:dyDescent="0.25">
      <c r="A1911" t="str">
        <f>Table3[[#This Row],[Company Name]] &amp; " - " &amp; Table3[[#This Row],[Store Name]] &amp; " - " &amp; Table3[[#This Row],[Store Branch / Address]]</f>
        <v>CHICKEN DELI - UMBO KUSINA - GENERIC</v>
      </c>
      <c r="B1911" t="str">
        <f>Table3[[#This Row],[Client ID]] &amp; " - " &amp; Table3[[#This Row],[SO Number]]</f>
        <v>CHICKEN DELI - UMBO KUSINA - GENERIC - SO-229</v>
      </c>
      <c r="C1911" t="s">
        <v>988</v>
      </c>
      <c r="D1911" t="s">
        <v>20</v>
      </c>
      <c r="E1911" t="s">
        <v>989</v>
      </c>
      <c r="F1911" t="s">
        <v>15</v>
      </c>
      <c r="G1911" t="s">
        <v>22</v>
      </c>
      <c r="H1911" t="s">
        <v>896</v>
      </c>
      <c r="I1911" t="s">
        <v>171</v>
      </c>
      <c r="J1911">
        <v>1</v>
      </c>
      <c r="K1911">
        <v>500</v>
      </c>
      <c r="L1911">
        <v>500</v>
      </c>
      <c r="M1911">
        <v>500</v>
      </c>
      <c r="N1911" t="s">
        <v>19</v>
      </c>
    </row>
    <row r="1912" spans="1:14" x14ac:dyDescent="0.25">
      <c r="A1912" t="str">
        <f>Table3[[#This Row],[Company Name]] &amp; " - " &amp; Table3[[#This Row],[Store Name]] &amp; " - " &amp; Table3[[#This Row],[Store Branch / Address]]</f>
        <v>CHICKEN DELI - UMBO KUSINA - GENERIC</v>
      </c>
      <c r="B1912" t="str">
        <f>Table3[[#This Row],[Client ID]] &amp; " - " &amp; Table3[[#This Row],[SO Number]]</f>
        <v>CHICKEN DELI - UMBO KUSINA - GENERIC - SO-229</v>
      </c>
      <c r="C1912" t="s">
        <v>988</v>
      </c>
      <c r="D1912" t="s">
        <v>20</v>
      </c>
      <c r="E1912" t="s">
        <v>989</v>
      </c>
      <c r="F1912" t="s">
        <v>15</v>
      </c>
      <c r="G1912" t="s">
        <v>22</v>
      </c>
      <c r="H1912" t="s">
        <v>896</v>
      </c>
      <c r="I1912" t="s">
        <v>393</v>
      </c>
      <c r="J1912">
        <v>1</v>
      </c>
      <c r="K1912">
        <v>500</v>
      </c>
      <c r="L1912">
        <v>500</v>
      </c>
      <c r="M1912">
        <v>500</v>
      </c>
      <c r="N1912" t="s">
        <v>19</v>
      </c>
    </row>
    <row r="1913" spans="1:14" x14ac:dyDescent="0.25">
      <c r="A1913" t="str">
        <f>Table3[[#This Row],[Company Name]] &amp; " - " &amp; Table3[[#This Row],[Store Name]] &amp; " - " &amp; Table3[[#This Row],[Store Branch / Address]]</f>
        <v>CHICKEN DELI - UMBO KUSINA - GENERIC</v>
      </c>
      <c r="B1913" t="str">
        <f>Table3[[#This Row],[Client ID]] &amp; " - " &amp; Table3[[#This Row],[SO Number]]</f>
        <v>CHICKEN DELI - UMBO KUSINA - GENERIC - SO-229</v>
      </c>
      <c r="C1913" t="s">
        <v>988</v>
      </c>
      <c r="D1913" t="s">
        <v>20</v>
      </c>
      <c r="E1913" t="s">
        <v>989</v>
      </c>
      <c r="F1913" t="s">
        <v>15</v>
      </c>
      <c r="G1913" t="s">
        <v>22</v>
      </c>
      <c r="H1913" t="s">
        <v>896</v>
      </c>
      <c r="I1913" t="s">
        <v>990</v>
      </c>
      <c r="J1913">
        <v>1</v>
      </c>
      <c r="K1913">
        <v>550</v>
      </c>
      <c r="L1913">
        <v>800</v>
      </c>
      <c r="M1913">
        <v>800</v>
      </c>
      <c r="N1913" t="s">
        <v>19</v>
      </c>
    </row>
    <row r="1914" spans="1:14" x14ac:dyDescent="0.25">
      <c r="A1914" t="str">
        <f>Table3[[#This Row],[Company Name]] &amp; " - " &amp; Table3[[#This Row],[Store Name]] &amp; " - " &amp; Table3[[#This Row],[Store Branch / Address]]</f>
        <v>CHICKEN DELI - COSTA SOLANA - GENERIC</v>
      </c>
      <c r="B1914" t="str">
        <f>Table3[[#This Row],[Client ID]] &amp; " - " &amp; Table3[[#This Row],[SO Number]]</f>
        <v>CHICKEN DELI - COSTA SOLANA - GENERIC - SO-230</v>
      </c>
      <c r="C1914" t="s">
        <v>991</v>
      </c>
      <c r="D1914" t="s">
        <v>20</v>
      </c>
      <c r="E1914" t="s">
        <v>992</v>
      </c>
      <c r="F1914" t="s">
        <v>15</v>
      </c>
      <c r="G1914" t="s">
        <v>22</v>
      </c>
      <c r="H1914" t="s">
        <v>896</v>
      </c>
      <c r="I1914" t="s">
        <v>322</v>
      </c>
      <c r="J1914">
        <v>1</v>
      </c>
      <c r="K1914">
        <v>3675</v>
      </c>
      <c r="L1914">
        <v>10500</v>
      </c>
      <c r="M1914">
        <v>10500</v>
      </c>
      <c r="N1914" t="s">
        <v>19</v>
      </c>
    </row>
    <row r="1915" spans="1:14" x14ac:dyDescent="0.25">
      <c r="A1915" t="str">
        <f>Table3[[#This Row],[Company Name]] &amp; " - " &amp; Table3[[#This Row],[Store Name]] &amp; " - " &amp; Table3[[#This Row],[Store Branch / Address]]</f>
        <v>CHICKEN DELI - COSTA SOLANA - GENERIC</v>
      </c>
      <c r="B1915" t="str">
        <f>Table3[[#This Row],[Client ID]] &amp; " - " &amp; Table3[[#This Row],[SO Number]]</f>
        <v>CHICKEN DELI - COSTA SOLANA - GENERIC - SO-230</v>
      </c>
      <c r="C1915" t="s">
        <v>991</v>
      </c>
      <c r="D1915" t="s">
        <v>20</v>
      </c>
      <c r="E1915" t="s">
        <v>992</v>
      </c>
      <c r="F1915" t="s">
        <v>15</v>
      </c>
      <c r="G1915" t="s">
        <v>22</v>
      </c>
      <c r="H1915" t="s">
        <v>896</v>
      </c>
      <c r="I1915" t="s">
        <v>170</v>
      </c>
      <c r="J1915">
        <v>1</v>
      </c>
      <c r="K1915">
        <v>13750</v>
      </c>
      <c r="L1915">
        <v>13750</v>
      </c>
      <c r="M1915">
        <v>13750</v>
      </c>
      <c r="N1915" t="s">
        <v>19</v>
      </c>
    </row>
    <row r="1916" spans="1:14" x14ac:dyDescent="0.25">
      <c r="A1916" t="str">
        <f>Table3[[#This Row],[Company Name]] &amp; " - " &amp; Table3[[#This Row],[Store Name]] &amp; " - " &amp; Table3[[#This Row],[Store Branch / Address]]</f>
        <v>CHICKEN DELI - COSTA SOLANA - GENERIC</v>
      </c>
      <c r="B1916" t="str">
        <f>Table3[[#This Row],[Client ID]] &amp; " - " &amp; Table3[[#This Row],[SO Number]]</f>
        <v>CHICKEN DELI - COSTA SOLANA - GENERIC - SO-230</v>
      </c>
      <c r="C1916" t="s">
        <v>991</v>
      </c>
      <c r="D1916" t="s">
        <v>20</v>
      </c>
      <c r="E1916" t="s">
        <v>992</v>
      </c>
      <c r="F1916" t="s">
        <v>15</v>
      </c>
      <c r="G1916" t="s">
        <v>22</v>
      </c>
      <c r="H1916" t="s">
        <v>896</v>
      </c>
      <c r="I1916" t="s">
        <v>24</v>
      </c>
      <c r="J1916">
        <v>1</v>
      </c>
      <c r="K1916">
        <v>13750</v>
      </c>
      <c r="L1916">
        <v>13750</v>
      </c>
      <c r="M1916">
        <v>13750</v>
      </c>
      <c r="N1916" t="s">
        <v>19</v>
      </c>
    </row>
    <row r="1917" spans="1:14" x14ac:dyDescent="0.25">
      <c r="A1917" t="str">
        <f>Table3[[#This Row],[Company Name]] &amp; " - " &amp; Table3[[#This Row],[Store Name]] &amp; " - " &amp; Table3[[#This Row],[Store Branch / Address]]</f>
        <v>CHICKEN DELI - COSTA SOLANA - GENERIC</v>
      </c>
      <c r="B1917" t="str">
        <f>Table3[[#This Row],[Client ID]] &amp; " - " &amp; Table3[[#This Row],[SO Number]]</f>
        <v>CHICKEN DELI - COSTA SOLANA - GENERIC - SO-230</v>
      </c>
      <c r="C1917" t="s">
        <v>991</v>
      </c>
      <c r="D1917" t="s">
        <v>20</v>
      </c>
      <c r="E1917" t="s">
        <v>992</v>
      </c>
      <c r="F1917" t="s">
        <v>15</v>
      </c>
      <c r="G1917" t="s">
        <v>22</v>
      </c>
      <c r="H1917" t="s">
        <v>896</v>
      </c>
      <c r="I1917" t="s">
        <v>316</v>
      </c>
      <c r="J1917">
        <v>1</v>
      </c>
      <c r="K1917">
        <v>500</v>
      </c>
      <c r="L1917">
        <v>500</v>
      </c>
      <c r="M1917">
        <v>500</v>
      </c>
      <c r="N1917" t="s">
        <v>19</v>
      </c>
    </row>
    <row r="1918" spans="1:14" x14ac:dyDescent="0.25">
      <c r="A1918" t="str">
        <f>Table3[[#This Row],[Company Name]] &amp; " - " &amp; Table3[[#This Row],[Store Name]] &amp; " - " &amp; Table3[[#This Row],[Store Branch / Address]]</f>
        <v>CHICKEN DELI - COSTA SOLANA - GENERIC</v>
      </c>
      <c r="B1918" t="str">
        <f>Table3[[#This Row],[Client ID]] &amp; " - " &amp; Table3[[#This Row],[SO Number]]</f>
        <v>CHICKEN DELI - COSTA SOLANA - GENERIC - SO-230</v>
      </c>
      <c r="C1918" t="s">
        <v>991</v>
      </c>
      <c r="D1918" t="s">
        <v>20</v>
      </c>
      <c r="E1918" t="s">
        <v>992</v>
      </c>
      <c r="F1918" t="s">
        <v>15</v>
      </c>
      <c r="G1918" t="s">
        <v>22</v>
      </c>
      <c r="H1918" t="s">
        <v>896</v>
      </c>
      <c r="I1918" t="s">
        <v>323</v>
      </c>
      <c r="J1918">
        <v>1</v>
      </c>
      <c r="K1918">
        <v>3500</v>
      </c>
      <c r="L1918">
        <v>10000</v>
      </c>
      <c r="M1918">
        <v>10000</v>
      </c>
      <c r="N1918" t="s">
        <v>19</v>
      </c>
    </row>
    <row r="1919" spans="1:14" x14ac:dyDescent="0.25">
      <c r="A1919" t="str">
        <f>Table3[[#This Row],[Company Name]] &amp; " - " &amp; Table3[[#This Row],[Store Name]] &amp; " - " &amp; Table3[[#This Row],[Store Branch / Address]]</f>
        <v>CHICKEN DELI - COSTA SOLANA - GENERIC</v>
      </c>
      <c r="B1919" t="str">
        <f>Table3[[#This Row],[Client ID]] &amp; " - " &amp; Table3[[#This Row],[SO Number]]</f>
        <v>CHICKEN DELI - COSTA SOLANA - GENERIC - SO-230</v>
      </c>
      <c r="C1919" t="s">
        <v>991</v>
      </c>
      <c r="D1919" t="s">
        <v>20</v>
      </c>
      <c r="E1919" t="s">
        <v>992</v>
      </c>
      <c r="F1919" t="s">
        <v>15</v>
      </c>
      <c r="G1919" t="s">
        <v>22</v>
      </c>
      <c r="H1919" t="s">
        <v>896</v>
      </c>
      <c r="I1919" t="s">
        <v>324</v>
      </c>
      <c r="J1919">
        <v>1</v>
      </c>
      <c r="K1919">
        <v>17500</v>
      </c>
      <c r="L1919">
        <v>50000</v>
      </c>
      <c r="M1919">
        <v>50000</v>
      </c>
      <c r="N1919" t="s">
        <v>19</v>
      </c>
    </row>
    <row r="1920" spans="1:14" x14ac:dyDescent="0.25">
      <c r="A1920" t="str">
        <f>Table3[[#This Row],[Company Name]] &amp; " - " &amp; Table3[[#This Row],[Store Name]] &amp; " - " &amp; Table3[[#This Row],[Store Branch / Address]]</f>
        <v>CHICKEN DELI - COSTA SOLANA - GENERIC</v>
      </c>
      <c r="B1920" t="str">
        <f>Table3[[#This Row],[Client ID]] &amp; " - " &amp; Table3[[#This Row],[SO Number]]</f>
        <v>CHICKEN DELI - COSTA SOLANA - GENERIC - SO-230</v>
      </c>
      <c r="C1920" t="s">
        <v>991</v>
      </c>
      <c r="D1920" t="s">
        <v>20</v>
      </c>
      <c r="E1920" t="s">
        <v>992</v>
      </c>
      <c r="F1920" t="s">
        <v>15</v>
      </c>
      <c r="G1920" t="s">
        <v>22</v>
      </c>
      <c r="H1920" t="s">
        <v>896</v>
      </c>
      <c r="I1920" t="s">
        <v>170</v>
      </c>
      <c r="J1920">
        <v>1</v>
      </c>
      <c r="K1920">
        <v>22950</v>
      </c>
      <c r="L1920">
        <v>22950</v>
      </c>
      <c r="M1920">
        <v>22950</v>
      </c>
      <c r="N1920" t="s">
        <v>19</v>
      </c>
    </row>
    <row r="1921" spans="1:14" x14ac:dyDescent="0.25">
      <c r="A1921" t="str">
        <f>Table3[[#This Row],[Company Name]] &amp; " - " &amp; Table3[[#This Row],[Store Name]] &amp; " - " &amp; Table3[[#This Row],[Store Branch / Address]]</f>
        <v>CHICKEN DELI - COSTA SOLANA - GENERIC</v>
      </c>
      <c r="B1921" t="str">
        <f>Table3[[#This Row],[Client ID]] &amp; " - " &amp; Table3[[#This Row],[SO Number]]</f>
        <v>CHICKEN DELI - COSTA SOLANA - GENERIC - SO-230</v>
      </c>
      <c r="C1921" t="s">
        <v>991</v>
      </c>
      <c r="D1921" t="s">
        <v>20</v>
      </c>
      <c r="E1921" t="s">
        <v>992</v>
      </c>
      <c r="F1921" t="s">
        <v>15</v>
      </c>
      <c r="G1921" t="s">
        <v>22</v>
      </c>
      <c r="H1921" t="s">
        <v>896</v>
      </c>
      <c r="I1921" t="s">
        <v>24</v>
      </c>
      <c r="J1921">
        <v>1</v>
      </c>
      <c r="K1921">
        <v>22950</v>
      </c>
      <c r="L1921">
        <v>22950</v>
      </c>
      <c r="M1921">
        <v>22950</v>
      </c>
      <c r="N1921" t="s">
        <v>19</v>
      </c>
    </row>
    <row r="1922" spans="1:14" x14ac:dyDescent="0.25">
      <c r="A1922" t="str">
        <f>Table3[[#This Row],[Company Name]] &amp; " - " &amp; Table3[[#This Row],[Store Name]] &amp; " - " &amp; Table3[[#This Row],[Store Branch / Address]]</f>
        <v>CHICKEN DELI - COSTA SOLANA - GENERIC</v>
      </c>
      <c r="B1922" t="str">
        <f>Table3[[#This Row],[Client ID]] &amp; " - " &amp; Table3[[#This Row],[SO Number]]</f>
        <v>CHICKEN DELI - COSTA SOLANA - GENERIC - SO-230</v>
      </c>
      <c r="C1922" t="s">
        <v>991</v>
      </c>
      <c r="D1922" t="s">
        <v>20</v>
      </c>
      <c r="E1922" t="s">
        <v>992</v>
      </c>
      <c r="F1922" t="s">
        <v>15</v>
      </c>
      <c r="G1922" t="s">
        <v>22</v>
      </c>
      <c r="H1922" t="s">
        <v>896</v>
      </c>
      <c r="I1922" t="s">
        <v>325</v>
      </c>
      <c r="J1922">
        <v>1</v>
      </c>
      <c r="K1922">
        <v>21500</v>
      </c>
      <c r="L1922">
        <v>31000</v>
      </c>
      <c r="M1922">
        <v>31000</v>
      </c>
      <c r="N1922" t="s">
        <v>19</v>
      </c>
    </row>
    <row r="1923" spans="1:14" x14ac:dyDescent="0.25">
      <c r="A1923" t="str">
        <f>Table3[[#This Row],[Company Name]] &amp; " - " &amp; Table3[[#This Row],[Store Name]] &amp; " - " &amp; Table3[[#This Row],[Store Branch / Address]]</f>
        <v>CHICKEN DELI - COSTA SOLANA - GENERIC</v>
      </c>
      <c r="B1923" t="str">
        <f>Table3[[#This Row],[Client ID]] &amp; " - " &amp; Table3[[#This Row],[SO Number]]</f>
        <v>CHICKEN DELI - COSTA SOLANA - GENERIC - SO-230</v>
      </c>
      <c r="C1923" t="s">
        <v>991</v>
      </c>
      <c r="D1923" t="s">
        <v>20</v>
      </c>
      <c r="E1923" t="s">
        <v>992</v>
      </c>
      <c r="F1923" t="s">
        <v>15</v>
      </c>
      <c r="G1923" t="s">
        <v>22</v>
      </c>
      <c r="H1923" t="s">
        <v>896</v>
      </c>
      <c r="I1923" t="s">
        <v>326</v>
      </c>
      <c r="J1923">
        <v>2</v>
      </c>
      <c r="K1923">
        <v>18500</v>
      </c>
      <c r="L1923">
        <v>26500</v>
      </c>
      <c r="M1923">
        <v>53000</v>
      </c>
      <c r="N1923" t="s">
        <v>19</v>
      </c>
    </row>
    <row r="1924" spans="1:14" x14ac:dyDescent="0.25">
      <c r="A1924" t="str">
        <f>Table3[[#This Row],[Company Name]] &amp; " - " &amp; Table3[[#This Row],[Store Name]] &amp; " - " &amp; Table3[[#This Row],[Store Branch / Address]]</f>
        <v>CHICKEN DELI - COSTA SOLANA - GENERIC</v>
      </c>
      <c r="B1924" t="str">
        <f>Table3[[#This Row],[Client ID]] &amp; " - " &amp; Table3[[#This Row],[SO Number]]</f>
        <v>CHICKEN DELI - COSTA SOLANA - GENERIC - SO-230</v>
      </c>
      <c r="C1924" t="s">
        <v>991</v>
      </c>
      <c r="D1924" t="s">
        <v>20</v>
      </c>
      <c r="E1924" t="s">
        <v>992</v>
      </c>
      <c r="F1924" t="s">
        <v>15</v>
      </c>
      <c r="G1924" t="s">
        <v>22</v>
      </c>
      <c r="H1924" t="s">
        <v>896</v>
      </c>
      <c r="I1924" t="s">
        <v>993</v>
      </c>
      <c r="J1924">
        <v>2</v>
      </c>
      <c r="K1924">
        <v>3000</v>
      </c>
      <c r="L1924">
        <v>4200</v>
      </c>
      <c r="M1924">
        <v>8400</v>
      </c>
      <c r="N1924" t="s">
        <v>19</v>
      </c>
    </row>
    <row r="1925" spans="1:14" x14ac:dyDescent="0.25">
      <c r="A1925" t="str">
        <f>Table3[[#This Row],[Company Name]] &amp; " - " &amp; Table3[[#This Row],[Store Name]] &amp; " - " &amp; Table3[[#This Row],[Store Branch / Address]]</f>
        <v>CHICKEN DELI - COSTA SOLANA - GENERIC</v>
      </c>
      <c r="B1925" t="str">
        <f>Table3[[#This Row],[Client ID]] &amp; " - " &amp; Table3[[#This Row],[SO Number]]</f>
        <v>CHICKEN DELI - COSTA SOLANA - GENERIC - SO-230</v>
      </c>
      <c r="C1925" t="s">
        <v>991</v>
      </c>
      <c r="D1925" t="s">
        <v>20</v>
      </c>
      <c r="E1925" t="s">
        <v>992</v>
      </c>
      <c r="F1925" t="s">
        <v>15</v>
      </c>
      <c r="G1925" t="s">
        <v>22</v>
      </c>
      <c r="H1925" t="s">
        <v>896</v>
      </c>
      <c r="I1925" t="s">
        <v>116</v>
      </c>
      <c r="J1925">
        <v>1</v>
      </c>
      <c r="K1925">
        <v>1350</v>
      </c>
      <c r="L1925">
        <v>2000</v>
      </c>
      <c r="M1925">
        <v>2000</v>
      </c>
      <c r="N1925" t="s">
        <v>19</v>
      </c>
    </row>
    <row r="1926" spans="1:14" x14ac:dyDescent="0.25">
      <c r="A1926" t="str">
        <f>Table3[[#This Row],[Company Name]] &amp; " - " &amp; Table3[[#This Row],[Store Name]] &amp; " - " &amp; Table3[[#This Row],[Store Branch / Address]]</f>
        <v>CHICKEN DELI - COSTA SOLANA - GENERIC</v>
      </c>
      <c r="B1926" t="str">
        <f>Table3[[#This Row],[Client ID]] &amp; " - " &amp; Table3[[#This Row],[SO Number]]</f>
        <v>CHICKEN DELI - COSTA SOLANA - GENERIC - SO-230</v>
      </c>
      <c r="C1926" t="s">
        <v>991</v>
      </c>
      <c r="D1926" t="s">
        <v>20</v>
      </c>
      <c r="E1926" t="s">
        <v>992</v>
      </c>
      <c r="F1926" t="s">
        <v>15</v>
      </c>
      <c r="G1926" t="s">
        <v>22</v>
      </c>
      <c r="H1926" t="s">
        <v>896</v>
      </c>
      <c r="I1926" t="s">
        <v>814</v>
      </c>
      <c r="J1926">
        <v>2</v>
      </c>
      <c r="K1926">
        <v>7500</v>
      </c>
      <c r="L1926">
        <v>11500</v>
      </c>
      <c r="M1926">
        <v>23000</v>
      </c>
      <c r="N1926" t="s">
        <v>19</v>
      </c>
    </row>
    <row r="1927" spans="1:14" x14ac:dyDescent="0.25">
      <c r="A1927" t="str">
        <f>Table3[[#This Row],[Company Name]] &amp; " - " &amp; Table3[[#This Row],[Store Name]] &amp; " - " &amp; Table3[[#This Row],[Store Branch / Address]]</f>
        <v>CHICKEN DELI - COSTA SOLANA - GENERIC</v>
      </c>
      <c r="B1927" t="str">
        <f>Table3[[#This Row],[Client ID]] &amp; " - " &amp; Table3[[#This Row],[SO Number]]</f>
        <v>CHICKEN DELI - COSTA SOLANA - GENERIC - SO-230</v>
      </c>
      <c r="C1927" t="s">
        <v>991</v>
      </c>
      <c r="D1927" t="s">
        <v>20</v>
      </c>
      <c r="E1927" t="s">
        <v>992</v>
      </c>
      <c r="F1927" t="s">
        <v>15</v>
      </c>
      <c r="G1927" t="s">
        <v>22</v>
      </c>
      <c r="H1927" t="s">
        <v>896</v>
      </c>
      <c r="I1927" t="s">
        <v>328</v>
      </c>
      <c r="J1927">
        <v>1</v>
      </c>
      <c r="K1927">
        <v>24330</v>
      </c>
      <c r="L1927">
        <v>34000</v>
      </c>
      <c r="M1927">
        <v>34000</v>
      </c>
      <c r="N1927" t="s">
        <v>19</v>
      </c>
    </row>
    <row r="1928" spans="1:14" x14ac:dyDescent="0.25">
      <c r="A1928" t="str">
        <f>Table3[[#This Row],[Company Name]] &amp; " - " &amp; Table3[[#This Row],[Store Name]] &amp; " - " &amp; Table3[[#This Row],[Store Branch / Address]]</f>
        <v>CHICKEN DELI - COSTA SOLANA - GENERIC</v>
      </c>
      <c r="B1928" t="str">
        <f>Table3[[#This Row],[Client ID]] &amp; " - " &amp; Table3[[#This Row],[SO Number]]</f>
        <v>CHICKEN DELI - COSTA SOLANA - GENERIC - SO-230</v>
      </c>
      <c r="C1928" t="s">
        <v>991</v>
      </c>
      <c r="D1928" t="s">
        <v>20</v>
      </c>
      <c r="E1928" t="s">
        <v>992</v>
      </c>
      <c r="F1928" t="s">
        <v>15</v>
      </c>
      <c r="G1928" t="s">
        <v>22</v>
      </c>
      <c r="H1928" t="s">
        <v>896</v>
      </c>
      <c r="I1928" t="s">
        <v>329</v>
      </c>
      <c r="J1928">
        <v>1</v>
      </c>
      <c r="K1928">
        <v>4250</v>
      </c>
      <c r="L1928">
        <v>6000</v>
      </c>
      <c r="M1928">
        <v>6000</v>
      </c>
      <c r="N1928" t="s">
        <v>19</v>
      </c>
    </row>
    <row r="1929" spans="1:14" x14ac:dyDescent="0.25">
      <c r="A1929" t="str">
        <f>Table3[[#This Row],[Company Name]] &amp; " - " &amp; Table3[[#This Row],[Store Name]] &amp; " - " &amp; Table3[[#This Row],[Store Branch / Address]]</f>
        <v>CHICKEN DELI - COSTA SOLANA - GENERIC</v>
      </c>
      <c r="B1929" t="str">
        <f>Table3[[#This Row],[Client ID]] &amp; " - " &amp; Table3[[#This Row],[SO Number]]</f>
        <v>CHICKEN DELI - COSTA SOLANA - GENERIC - SO-230</v>
      </c>
      <c r="C1929" t="s">
        <v>991</v>
      </c>
      <c r="D1929" t="s">
        <v>20</v>
      </c>
      <c r="E1929" t="s">
        <v>992</v>
      </c>
      <c r="F1929" t="s">
        <v>15</v>
      </c>
      <c r="G1929" t="s">
        <v>22</v>
      </c>
      <c r="H1929" t="s">
        <v>896</v>
      </c>
      <c r="I1929" t="s">
        <v>76</v>
      </c>
      <c r="J1929">
        <v>1</v>
      </c>
      <c r="K1929">
        <v>1100</v>
      </c>
      <c r="L1929">
        <v>1100</v>
      </c>
      <c r="M1929">
        <v>1100</v>
      </c>
      <c r="N1929" t="s">
        <v>19</v>
      </c>
    </row>
    <row r="1930" spans="1:14" x14ac:dyDescent="0.25">
      <c r="A1930" t="str">
        <f>Table3[[#This Row],[Company Name]] &amp; " - " &amp; Table3[[#This Row],[Store Name]] &amp; " - " &amp; Table3[[#This Row],[Store Branch / Address]]</f>
        <v>CHICKEN DELI - COSTA SOLANA - GENERIC</v>
      </c>
      <c r="B1930" t="str">
        <f>Table3[[#This Row],[Client ID]] &amp; " - " &amp; Table3[[#This Row],[SO Number]]</f>
        <v>CHICKEN DELI - COSTA SOLANA - GENERIC - SO-230</v>
      </c>
      <c r="C1930" t="s">
        <v>991</v>
      </c>
      <c r="D1930" t="s">
        <v>20</v>
      </c>
      <c r="E1930" t="s">
        <v>992</v>
      </c>
      <c r="F1930" t="s">
        <v>15</v>
      </c>
      <c r="G1930" t="s">
        <v>22</v>
      </c>
      <c r="H1930" t="s">
        <v>896</v>
      </c>
      <c r="I1930" t="s">
        <v>331</v>
      </c>
      <c r="J1930">
        <v>1</v>
      </c>
      <c r="K1930">
        <v>40000</v>
      </c>
      <c r="L1930">
        <v>40000</v>
      </c>
      <c r="M1930">
        <v>40000</v>
      </c>
      <c r="N1930" t="s">
        <v>19</v>
      </c>
    </row>
    <row r="1931" spans="1:14" x14ac:dyDescent="0.25">
      <c r="A1931" t="str">
        <f>Table3[[#This Row],[Company Name]] &amp; " - " &amp; Table3[[#This Row],[Store Name]] &amp; " - " &amp; Table3[[#This Row],[Store Branch / Address]]</f>
        <v>CHICKEN DELI - COSTA SOLANA - GENERIC</v>
      </c>
      <c r="B1931" t="str">
        <f>Table3[[#This Row],[Client ID]] &amp; " - " &amp; Table3[[#This Row],[SO Number]]</f>
        <v>CHICKEN DELI - COSTA SOLANA - GENERIC - SO-230</v>
      </c>
      <c r="C1931" t="s">
        <v>991</v>
      </c>
      <c r="D1931" t="s">
        <v>20</v>
      </c>
      <c r="E1931" t="s">
        <v>992</v>
      </c>
      <c r="F1931" t="s">
        <v>15</v>
      </c>
      <c r="G1931" t="s">
        <v>22</v>
      </c>
      <c r="H1931" t="s">
        <v>896</v>
      </c>
      <c r="I1931" t="s">
        <v>692</v>
      </c>
      <c r="J1931">
        <v>2</v>
      </c>
      <c r="K1931">
        <v>550</v>
      </c>
      <c r="L1931">
        <v>800</v>
      </c>
      <c r="M1931">
        <v>1600</v>
      </c>
      <c r="N1931" t="s">
        <v>19</v>
      </c>
    </row>
    <row r="1932" spans="1:14" x14ac:dyDescent="0.25">
      <c r="A1932" t="str">
        <f>Table3[[#This Row],[Company Name]] &amp; " - " &amp; Table3[[#This Row],[Store Name]] &amp; " - " &amp; Table3[[#This Row],[Store Branch / Address]]</f>
        <v>TEA CRAFT CORP - YIFANG TAIWAN FRUIT TEA - GENERIC</v>
      </c>
      <c r="B1932" t="str">
        <f>Table3[[#This Row],[Client ID]] &amp; " - " &amp; Table3[[#This Row],[SO Number]]</f>
        <v>TEA CRAFT CORP - YIFANG TAIWAN FRUIT TEA - GENERIC - SO-192</v>
      </c>
      <c r="C1932" t="s">
        <v>897</v>
      </c>
      <c r="D1932" t="s">
        <v>898</v>
      </c>
      <c r="E1932" t="s">
        <v>899</v>
      </c>
      <c r="F1932" t="s">
        <v>15</v>
      </c>
      <c r="G1932" t="s">
        <v>37</v>
      </c>
      <c r="H1932" t="s">
        <v>900</v>
      </c>
      <c r="I1932" t="s">
        <v>241</v>
      </c>
      <c r="J1932">
        <v>1</v>
      </c>
      <c r="K1932">
        <v>8000</v>
      </c>
      <c r="L1932">
        <v>11350</v>
      </c>
      <c r="M1932">
        <v>11350</v>
      </c>
      <c r="N1932" t="s">
        <v>19</v>
      </c>
    </row>
    <row r="1933" spans="1:14" x14ac:dyDescent="0.25">
      <c r="A1933" t="str">
        <f>Table3[[#This Row],[Company Name]] &amp; " - " &amp; Table3[[#This Row],[Store Name]] &amp; " - " &amp; Table3[[#This Row],[Store Branch / Address]]</f>
        <v>TEA CRAFT CORP - YIFANG TAIWAN FRUIT TEA - GENERIC</v>
      </c>
      <c r="B1933" t="str">
        <f>Table3[[#This Row],[Client ID]] &amp; " - " &amp; Table3[[#This Row],[SO Number]]</f>
        <v>TEA CRAFT CORP - YIFANG TAIWAN FRUIT TEA - GENERIC - SO-192</v>
      </c>
      <c r="C1933" t="s">
        <v>897</v>
      </c>
      <c r="D1933" t="s">
        <v>898</v>
      </c>
      <c r="E1933" t="s">
        <v>899</v>
      </c>
      <c r="F1933" t="s">
        <v>15</v>
      </c>
      <c r="G1933" t="s">
        <v>37</v>
      </c>
      <c r="H1933" t="s">
        <v>900</v>
      </c>
      <c r="I1933" t="s">
        <v>242</v>
      </c>
      <c r="J1933">
        <v>3</v>
      </c>
      <c r="K1933">
        <v>30</v>
      </c>
      <c r="L1933">
        <v>45</v>
      </c>
      <c r="M1933">
        <v>135</v>
      </c>
      <c r="N1933" t="s">
        <v>19</v>
      </c>
    </row>
    <row r="1934" spans="1:14" x14ac:dyDescent="0.25">
      <c r="A1934" t="str">
        <f>Table3[[#This Row],[Company Name]] &amp; " - " &amp; Table3[[#This Row],[Store Name]] &amp; " - " &amp; Table3[[#This Row],[Store Branch / Address]]</f>
        <v>TEA CRAFT CORP - YIFANG TAIWAN FRUIT TEA - GENERIC</v>
      </c>
      <c r="B1934" t="str">
        <f>Table3[[#This Row],[Client ID]] &amp; " - " &amp; Table3[[#This Row],[SO Number]]</f>
        <v>TEA CRAFT CORP - YIFANG TAIWAN FRUIT TEA - GENERIC - SO-192</v>
      </c>
      <c r="C1934" t="s">
        <v>897</v>
      </c>
      <c r="D1934" t="s">
        <v>898</v>
      </c>
      <c r="E1934" t="s">
        <v>899</v>
      </c>
      <c r="F1934" t="s">
        <v>15</v>
      </c>
      <c r="G1934" t="s">
        <v>37</v>
      </c>
      <c r="H1934" t="s">
        <v>900</v>
      </c>
      <c r="I1934" t="s">
        <v>63</v>
      </c>
      <c r="J1934">
        <v>1</v>
      </c>
      <c r="K1934">
        <v>500</v>
      </c>
      <c r="L1934">
        <v>500</v>
      </c>
      <c r="M1934">
        <v>500</v>
      </c>
      <c r="N1934" t="s">
        <v>19</v>
      </c>
    </row>
    <row r="1935" spans="1:14" x14ac:dyDescent="0.25">
      <c r="A1935" t="str">
        <f>Table3[[#This Row],[Company Name]] &amp; " - " &amp; Table3[[#This Row],[Store Name]] &amp; " - " &amp; Table3[[#This Row],[Store Branch / Address]]</f>
        <v>VISUAL MIX INC - BOOKSALE - GENERIC</v>
      </c>
      <c r="B1935" t="str">
        <f>Table3[[#This Row],[Client ID]] &amp; " - " &amp; Table3[[#This Row],[SO Number]]</f>
        <v>VISUAL MIX INC - BOOKSALE - GENERIC - SO-193</v>
      </c>
      <c r="C1935" t="s">
        <v>907</v>
      </c>
      <c r="D1935" t="s">
        <v>148</v>
      </c>
      <c r="E1935" t="s">
        <v>437</v>
      </c>
      <c r="F1935" t="s">
        <v>15</v>
      </c>
      <c r="G1935" t="s">
        <v>16</v>
      </c>
      <c r="H1935" t="s">
        <v>900</v>
      </c>
      <c r="I1935" t="s">
        <v>422</v>
      </c>
      <c r="J1935">
        <v>1</v>
      </c>
      <c r="K1935">
        <v>3675</v>
      </c>
      <c r="L1935">
        <v>10500</v>
      </c>
      <c r="M1935">
        <v>10500</v>
      </c>
      <c r="N1935" t="s">
        <v>19</v>
      </c>
    </row>
    <row r="1936" spans="1:14" x14ac:dyDescent="0.25">
      <c r="A1936" t="str">
        <f>Table3[[#This Row],[Company Name]] &amp; " - " &amp; Table3[[#This Row],[Store Name]] &amp; " - " &amp; Table3[[#This Row],[Store Branch / Address]]</f>
        <v>VISUAL MIX INC - BOOKSALE - GENERIC</v>
      </c>
      <c r="B1936" t="str">
        <f>Table3[[#This Row],[Client ID]] &amp; " - " &amp; Table3[[#This Row],[SO Number]]</f>
        <v>VISUAL MIX INC - BOOKSALE - GENERIC - SO-193</v>
      </c>
      <c r="C1936" t="s">
        <v>907</v>
      </c>
      <c r="D1936" t="s">
        <v>148</v>
      </c>
      <c r="E1936" t="s">
        <v>437</v>
      </c>
      <c r="F1936" t="s">
        <v>15</v>
      </c>
      <c r="G1936" t="s">
        <v>16</v>
      </c>
      <c r="H1936" t="s">
        <v>900</v>
      </c>
      <c r="I1936" t="s">
        <v>48</v>
      </c>
      <c r="J1936">
        <v>1</v>
      </c>
      <c r="K1936">
        <v>3675</v>
      </c>
      <c r="L1936">
        <v>10500</v>
      </c>
      <c r="M1936">
        <v>10500</v>
      </c>
      <c r="N1936" t="s">
        <v>19</v>
      </c>
    </row>
    <row r="1937" spans="1:14" x14ac:dyDescent="0.25">
      <c r="A1937" t="str">
        <f>Table3[[#This Row],[Company Name]] &amp; " - " &amp; Table3[[#This Row],[Store Name]] &amp; " - " &amp; Table3[[#This Row],[Store Branch / Address]]</f>
        <v>VISUAL MIX INC - BOOKSALE - GENERIC</v>
      </c>
      <c r="B1937" t="str">
        <f>Table3[[#This Row],[Client ID]] &amp; " - " &amp; Table3[[#This Row],[SO Number]]</f>
        <v>VISUAL MIX INC - BOOKSALE - GENERIC - SO-193</v>
      </c>
      <c r="C1937" t="s">
        <v>907</v>
      </c>
      <c r="D1937" t="s">
        <v>148</v>
      </c>
      <c r="E1937" t="s">
        <v>437</v>
      </c>
      <c r="F1937" t="s">
        <v>15</v>
      </c>
      <c r="G1937" t="s">
        <v>16</v>
      </c>
      <c r="H1937" t="s">
        <v>900</v>
      </c>
      <c r="I1937" t="s">
        <v>24</v>
      </c>
      <c r="J1937">
        <v>1</v>
      </c>
      <c r="K1937">
        <v>3675</v>
      </c>
      <c r="L1937">
        <v>10500</v>
      </c>
      <c r="M1937">
        <v>10500</v>
      </c>
      <c r="N1937" t="s">
        <v>19</v>
      </c>
    </row>
    <row r="1938" spans="1:14" x14ac:dyDescent="0.25">
      <c r="A1938" t="str">
        <f>Table3[[#This Row],[Company Name]] &amp; " - " &amp; Table3[[#This Row],[Store Name]] &amp; " - " &amp; Table3[[#This Row],[Store Branch / Address]]</f>
        <v>VISUAL MIX INC - BOOKSALE - GENERIC</v>
      </c>
      <c r="B1938" t="str">
        <f>Table3[[#This Row],[Client ID]] &amp; " - " &amp; Table3[[#This Row],[SO Number]]</f>
        <v>VISUAL MIX INC - BOOKSALE - GENERIC - SO-193</v>
      </c>
      <c r="C1938" t="s">
        <v>907</v>
      </c>
      <c r="D1938" t="s">
        <v>148</v>
      </c>
      <c r="E1938" t="s">
        <v>437</v>
      </c>
      <c r="F1938" t="s">
        <v>15</v>
      </c>
      <c r="G1938" t="s">
        <v>16</v>
      </c>
      <c r="H1938" t="s">
        <v>900</v>
      </c>
      <c r="I1938" t="s">
        <v>26</v>
      </c>
      <c r="J1938">
        <v>1</v>
      </c>
      <c r="K1938">
        <v>500</v>
      </c>
      <c r="L1938">
        <v>500</v>
      </c>
      <c r="M1938">
        <v>500</v>
      </c>
      <c r="N1938" t="s">
        <v>19</v>
      </c>
    </row>
    <row r="1939" spans="1:14" x14ac:dyDescent="0.25">
      <c r="A1939" t="str">
        <f>Table3[[#This Row],[Company Name]] &amp; " - " &amp; Table3[[#This Row],[Store Name]] &amp; " - " &amp; Table3[[#This Row],[Store Branch / Address]]</f>
        <v>VISUAL MIX INC - BOOKSALE - GENERIC</v>
      </c>
      <c r="B1939" t="str">
        <f>Table3[[#This Row],[Client ID]] &amp; " - " &amp; Table3[[#This Row],[SO Number]]</f>
        <v>VISUAL MIX INC - BOOKSALE - GENERIC - SO-193</v>
      </c>
      <c r="C1939" t="s">
        <v>907</v>
      </c>
      <c r="D1939" t="s">
        <v>148</v>
      </c>
      <c r="E1939" t="s">
        <v>437</v>
      </c>
      <c r="F1939" t="s">
        <v>15</v>
      </c>
      <c r="G1939" t="s">
        <v>16</v>
      </c>
      <c r="H1939" t="s">
        <v>900</v>
      </c>
      <c r="I1939" t="s">
        <v>151</v>
      </c>
      <c r="J1939">
        <v>1</v>
      </c>
      <c r="K1939">
        <v>2000</v>
      </c>
      <c r="L1939">
        <v>3000</v>
      </c>
      <c r="M1939">
        <v>3000</v>
      </c>
      <c r="N1939" t="s">
        <v>19</v>
      </c>
    </row>
    <row r="1940" spans="1:14" x14ac:dyDescent="0.25">
      <c r="A1940" t="str">
        <f>Table3[[#This Row],[Company Name]] &amp; " - " &amp; Table3[[#This Row],[Store Name]] &amp; " - " &amp; Table3[[#This Row],[Store Branch / Address]]</f>
        <v>VISUAL MIX INC - BOOKSALE - GENERIC</v>
      </c>
      <c r="B1940" t="str">
        <f>Table3[[#This Row],[Client ID]] &amp; " - " &amp; Table3[[#This Row],[SO Number]]</f>
        <v>VISUAL MIX INC - BOOKSALE - GENERIC - SO-193</v>
      </c>
      <c r="C1940" t="s">
        <v>907</v>
      </c>
      <c r="D1940" t="s">
        <v>148</v>
      </c>
      <c r="E1940" t="s">
        <v>437</v>
      </c>
      <c r="F1940" t="s">
        <v>15</v>
      </c>
      <c r="G1940" t="s">
        <v>16</v>
      </c>
      <c r="H1940" t="s">
        <v>900</v>
      </c>
      <c r="I1940" t="s">
        <v>884</v>
      </c>
      <c r="J1940">
        <v>1</v>
      </c>
      <c r="K1940">
        <v>2650</v>
      </c>
      <c r="L1940">
        <v>3500</v>
      </c>
      <c r="M1940">
        <v>3500</v>
      </c>
      <c r="N1940" t="s">
        <v>19</v>
      </c>
    </row>
    <row r="1941" spans="1:14" x14ac:dyDescent="0.25">
      <c r="A1941" t="str">
        <f>Table3[[#This Row],[Company Name]] &amp; " - " &amp; Table3[[#This Row],[Store Name]] &amp; " - " &amp; Table3[[#This Row],[Store Branch / Address]]</f>
        <v>ELEVATED FOOD RECIPE INC - HEALTHY SHABUSHABU - GENERIC</v>
      </c>
      <c r="B1941" t="str">
        <f>Table3[[#This Row],[Client ID]] &amp; " - " &amp; Table3[[#This Row],[SO Number]]</f>
        <v>ELEVATED FOOD RECIPE INC - HEALTHY SHABUSHABU - GENERIC - SO-194</v>
      </c>
      <c r="C1941" t="s">
        <v>909</v>
      </c>
      <c r="D1941" t="s">
        <v>34</v>
      </c>
      <c r="E1941" t="s">
        <v>35</v>
      </c>
      <c r="F1941" t="s">
        <v>15</v>
      </c>
      <c r="G1941" t="s">
        <v>37</v>
      </c>
      <c r="H1941" t="s">
        <v>900</v>
      </c>
      <c r="I1941" t="s">
        <v>209</v>
      </c>
      <c r="J1941">
        <v>1</v>
      </c>
      <c r="K1941">
        <v>23450</v>
      </c>
      <c r="L1941">
        <v>30500</v>
      </c>
      <c r="M1941">
        <v>30500</v>
      </c>
      <c r="N1941" t="s">
        <v>19</v>
      </c>
    </row>
    <row r="1942" spans="1:14" x14ac:dyDescent="0.25">
      <c r="A1942" t="str">
        <f>Table3[[#This Row],[Company Name]] &amp; " - " &amp; Table3[[#This Row],[Store Name]] &amp; " - " &amp; Table3[[#This Row],[Store Branch / Address]]</f>
        <v>ELEVATED FOOD RECIPE INC - HEALTHY SHABUSHABU - GENERIC</v>
      </c>
      <c r="B1942" t="str">
        <f>Table3[[#This Row],[Client ID]] &amp; " - " &amp; Table3[[#This Row],[SO Number]]</f>
        <v>ELEVATED FOOD RECIPE INC - HEALTHY SHABUSHABU - GENERIC - SO-194</v>
      </c>
      <c r="C1942" t="s">
        <v>909</v>
      </c>
      <c r="D1942" t="s">
        <v>34</v>
      </c>
      <c r="E1942" t="s">
        <v>35</v>
      </c>
      <c r="F1942" t="s">
        <v>15</v>
      </c>
      <c r="G1942" t="s">
        <v>37</v>
      </c>
      <c r="H1942" t="s">
        <v>900</v>
      </c>
      <c r="I1942" t="s">
        <v>151</v>
      </c>
      <c r="J1942">
        <v>1</v>
      </c>
      <c r="K1942">
        <v>2000</v>
      </c>
      <c r="L1942">
        <v>3500</v>
      </c>
      <c r="M1942">
        <v>3500</v>
      </c>
      <c r="N1942" t="s">
        <v>19</v>
      </c>
    </row>
    <row r="1943" spans="1:14" x14ac:dyDescent="0.25">
      <c r="A1943" t="str">
        <f>Table3[[#This Row],[Company Name]] &amp; " - " &amp; Table3[[#This Row],[Store Name]] &amp; " - " &amp; Table3[[#This Row],[Store Branch / Address]]</f>
        <v>ELEVATED FOOD RECIPE INC - HEALTHY SHABUSHABU - GENERIC</v>
      </c>
      <c r="B1943" t="str">
        <f>Table3[[#This Row],[Client ID]] &amp; " - " &amp; Table3[[#This Row],[SO Number]]</f>
        <v>ELEVATED FOOD RECIPE INC - HEALTHY SHABUSHABU - GENERIC - SO-194</v>
      </c>
      <c r="C1943" t="s">
        <v>909</v>
      </c>
      <c r="D1943" t="s">
        <v>34</v>
      </c>
      <c r="E1943" t="s">
        <v>35</v>
      </c>
      <c r="F1943" t="s">
        <v>15</v>
      </c>
      <c r="G1943" t="s">
        <v>37</v>
      </c>
      <c r="H1943" t="s">
        <v>900</v>
      </c>
      <c r="I1943" t="s">
        <v>210</v>
      </c>
      <c r="J1943">
        <v>1</v>
      </c>
      <c r="K1943">
        <v>530</v>
      </c>
      <c r="L1943">
        <v>700</v>
      </c>
      <c r="M1943">
        <v>700</v>
      </c>
      <c r="N1943" t="s">
        <v>19</v>
      </c>
    </row>
    <row r="1944" spans="1:14" x14ac:dyDescent="0.25">
      <c r="A1944" t="str">
        <f>Table3[[#This Row],[Company Name]] &amp; " - " &amp; Table3[[#This Row],[Store Name]] &amp; " - " &amp; Table3[[#This Row],[Store Branch / Address]]</f>
        <v>ELEVATED FOOD RECIPE INC - HEALTHY SHABUSHABU - GENERIC</v>
      </c>
      <c r="B1944" t="str">
        <f>Table3[[#This Row],[Client ID]] &amp; " - " &amp; Table3[[#This Row],[SO Number]]</f>
        <v>ELEVATED FOOD RECIPE INC - HEALTHY SHABUSHABU - GENERIC - SO-194</v>
      </c>
      <c r="C1944" t="s">
        <v>909</v>
      </c>
      <c r="D1944" t="s">
        <v>34</v>
      </c>
      <c r="E1944" t="s">
        <v>35</v>
      </c>
      <c r="F1944" t="s">
        <v>15</v>
      </c>
      <c r="G1944" t="s">
        <v>37</v>
      </c>
      <c r="H1944" t="s">
        <v>900</v>
      </c>
      <c r="I1944" t="s">
        <v>211</v>
      </c>
      <c r="J1944">
        <v>1</v>
      </c>
      <c r="K1944">
        <v>350</v>
      </c>
      <c r="L1944">
        <v>500</v>
      </c>
      <c r="M1944">
        <v>500</v>
      </c>
      <c r="N1944" t="s">
        <v>19</v>
      </c>
    </row>
    <row r="1945" spans="1:14" x14ac:dyDescent="0.25">
      <c r="A1945" t="str">
        <f>Table3[[#This Row],[Company Name]] &amp; " - " &amp; Table3[[#This Row],[Store Name]] &amp; " - " &amp; Table3[[#This Row],[Store Branch / Address]]</f>
        <v>ELEVATED FOOD RECIPE INC - HEALTHY SHABUSHABU - GENERIC</v>
      </c>
      <c r="B1945" t="str">
        <f>Table3[[#This Row],[Client ID]] &amp; " - " &amp; Table3[[#This Row],[SO Number]]</f>
        <v>ELEVATED FOOD RECIPE INC - HEALTHY SHABUSHABU - GENERIC - SO-194</v>
      </c>
      <c r="C1945" t="s">
        <v>909</v>
      </c>
      <c r="D1945" t="s">
        <v>34</v>
      </c>
      <c r="E1945" t="s">
        <v>35</v>
      </c>
      <c r="F1945" t="s">
        <v>15</v>
      </c>
      <c r="G1945" t="s">
        <v>37</v>
      </c>
      <c r="H1945" t="s">
        <v>900</v>
      </c>
      <c r="I1945" t="s">
        <v>50</v>
      </c>
      <c r="J1945">
        <v>1</v>
      </c>
      <c r="K1945">
        <v>500</v>
      </c>
      <c r="L1945">
        <v>500</v>
      </c>
      <c r="M1945">
        <v>500</v>
      </c>
      <c r="N1945" t="s">
        <v>19</v>
      </c>
    </row>
    <row r="1946" spans="1:14" x14ac:dyDescent="0.25">
      <c r="A1946" t="str">
        <f>Table3[[#This Row],[Company Name]] &amp; " - " &amp; Table3[[#This Row],[Store Name]] &amp; " - " &amp; Table3[[#This Row],[Store Branch / Address]]</f>
        <v>ELEVATED FOOD RECIPE INC - HEALTHY SHABUSHABU - GENERIC</v>
      </c>
      <c r="B1946" t="str">
        <f>Table3[[#This Row],[Client ID]] &amp; " - " &amp; Table3[[#This Row],[SO Number]]</f>
        <v>ELEVATED FOOD RECIPE INC - HEALTHY SHABUSHABU - GENERIC - SO-194</v>
      </c>
      <c r="C1946" t="s">
        <v>909</v>
      </c>
      <c r="D1946" t="s">
        <v>34</v>
      </c>
      <c r="E1946" t="s">
        <v>35</v>
      </c>
      <c r="F1946" t="s">
        <v>15</v>
      </c>
      <c r="G1946" t="s">
        <v>37</v>
      </c>
      <c r="H1946" t="s">
        <v>900</v>
      </c>
      <c r="I1946" t="s">
        <v>63</v>
      </c>
      <c r="J1946">
        <v>1</v>
      </c>
      <c r="K1946">
        <v>300</v>
      </c>
      <c r="L1946">
        <v>300</v>
      </c>
      <c r="M1946">
        <v>300</v>
      </c>
      <c r="N1946" t="s">
        <v>19</v>
      </c>
    </row>
    <row r="1947" spans="1:14" x14ac:dyDescent="0.25">
      <c r="A1947" t="str">
        <f>Table3[[#This Row],[Company Name]] &amp; " - " &amp; Table3[[#This Row],[Store Name]] &amp; " - " &amp; Table3[[#This Row],[Store Branch / Address]]</f>
        <v>ELEVATED FOOD RECIPE INC - HEALTHY SHABUSHABU - GENERIC</v>
      </c>
      <c r="B1947" t="str">
        <f>Table3[[#This Row],[Client ID]] &amp; " - " &amp; Table3[[#This Row],[SO Number]]</f>
        <v>ELEVATED FOOD RECIPE INC - HEALTHY SHABUSHABU - GENERIC - SO-195</v>
      </c>
      <c r="C1947" t="s">
        <v>911</v>
      </c>
      <c r="D1947" t="s">
        <v>34</v>
      </c>
      <c r="E1947" t="s">
        <v>35</v>
      </c>
      <c r="F1947" t="s">
        <v>15</v>
      </c>
      <c r="G1947" t="s">
        <v>37</v>
      </c>
      <c r="H1947" t="s">
        <v>913</v>
      </c>
      <c r="I1947" t="s">
        <v>38</v>
      </c>
      <c r="J1947">
        <v>1</v>
      </c>
      <c r="K1947">
        <v>8500</v>
      </c>
      <c r="L1947">
        <v>12200</v>
      </c>
      <c r="M1947">
        <v>12200</v>
      </c>
      <c r="N1947" t="s">
        <v>19</v>
      </c>
    </row>
    <row r="1948" spans="1:14" x14ac:dyDescent="0.25">
      <c r="A1948" t="str">
        <f>Table3[[#This Row],[Company Name]] &amp; " - " &amp; Table3[[#This Row],[Store Name]] &amp; " - " &amp; Table3[[#This Row],[Store Branch / Address]]</f>
        <v>ELEVATED FOOD RECIPE INC - HEALTHY SHABUSHABU - GENERIC</v>
      </c>
      <c r="B1948" t="str">
        <f>Table3[[#This Row],[Client ID]] &amp; " - " &amp; Table3[[#This Row],[SO Number]]</f>
        <v>ELEVATED FOOD RECIPE INC - HEALTHY SHABUSHABU - GENERIC - SO-195</v>
      </c>
      <c r="C1948" t="s">
        <v>911</v>
      </c>
      <c r="D1948" t="s">
        <v>34</v>
      </c>
      <c r="E1948" t="s">
        <v>35</v>
      </c>
      <c r="F1948" t="s">
        <v>15</v>
      </c>
      <c r="G1948" t="s">
        <v>37</v>
      </c>
      <c r="H1948" t="s">
        <v>913</v>
      </c>
      <c r="I1948" t="s">
        <v>393</v>
      </c>
      <c r="J1948">
        <v>1</v>
      </c>
      <c r="K1948">
        <v>300</v>
      </c>
      <c r="L1948">
        <v>300</v>
      </c>
      <c r="M1948">
        <v>300</v>
      </c>
      <c r="N1948" t="s">
        <v>19</v>
      </c>
    </row>
    <row r="1949" spans="1:14" x14ac:dyDescent="0.25">
      <c r="A1949" t="str">
        <f>Table3[[#This Row],[Company Name]] &amp; " - " &amp; Table3[[#This Row],[Store Name]] &amp; " - " &amp; Table3[[#This Row],[Store Branch / Address]]</f>
        <v>CHICKEN DELI - GONGCHA - GENERIC</v>
      </c>
      <c r="B1949" t="str">
        <f>Table3[[#This Row],[Client ID]] &amp; " - " &amp; Table3[[#This Row],[SO Number]]</f>
        <v>CHICKEN DELI - GONGCHA - GENERIC - SO-231</v>
      </c>
      <c r="C1949" t="s">
        <v>994</v>
      </c>
      <c r="D1949" t="s">
        <v>20</v>
      </c>
      <c r="E1949" t="s">
        <v>31</v>
      </c>
      <c r="F1949" t="s">
        <v>15</v>
      </c>
      <c r="G1949" t="s">
        <v>22</v>
      </c>
      <c r="H1949" t="s">
        <v>913</v>
      </c>
      <c r="I1949" t="s">
        <v>995</v>
      </c>
      <c r="J1949">
        <v>1</v>
      </c>
      <c r="K1949">
        <v>5073</v>
      </c>
      <c r="L1949">
        <v>7000</v>
      </c>
      <c r="M1949">
        <v>7000</v>
      </c>
      <c r="N1949" t="s">
        <v>19</v>
      </c>
    </row>
    <row r="1950" spans="1:14" x14ac:dyDescent="0.25">
      <c r="A1950" t="str">
        <f>Table3[[#This Row],[Company Name]] &amp; " - " &amp; Table3[[#This Row],[Store Name]] &amp; " - " &amp; Table3[[#This Row],[Store Branch / Address]]</f>
        <v>CHICKEN DELI - GONGCHA - GENERIC</v>
      </c>
      <c r="B1950" t="str">
        <f>Table3[[#This Row],[Client ID]] &amp; " - " &amp; Table3[[#This Row],[SO Number]]</f>
        <v>CHICKEN DELI - GONGCHA - GENERIC - SO-231</v>
      </c>
      <c r="C1950" t="s">
        <v>994</v>
      </c>
      <c r="D1950" t="s">
        <v>20</v>
      </c>
      <c r="E1950" t="s">
        <v>31</v>
      </c>
      <c r="F1950" t="s">
        <v>15</v>
      </c>
      <c r="G1950" t="s">
        <v>22</v>
      </c>
      <c r="H1950" t="s">
        <v>913</v>
      </c>
      <c r="I1950" t="s">
        <v>93</v>
      </c>
      <c r="J1950">
        <v>1</v>
      </c>
      <c r="K1950">
        <v>11000</v>
      </c>
      <c r="L1950">
        <v>16700</v>
      </c>
      <c r="M1950">
        <v>16700</v>
      </c>
      <c r="N1950" t="s">
        <v>19</v>
      </c>
    </row>
    <row r="1951" spans="1:14" x14ac:dyDescent="0.25">
      <c r="A1951" t="str">
        <f>Table3[[#This Row],[Company Name]] &amp; " - " &amp; Table3[[#This Row],[Store Name]] &amp; " - " &amp; Table3[[#This Row],[Store Branch / Address]]</f>
        <v>CHICKEN DELI - GONGCHA - GENERIC</v>
      </c>
      <c r="B1951" t="str">
        <f>Table3[[#This Row],[Client ID]] &amp; " - " &amp; Table3[[#This Row],[SO Number]]</f>
        <v>CHICKEN DELI - GONGCHA - GENERIC - SO-231</v>
      </c>
      <c r="C1951" t="s">
        <v>994</v>
      </c>
      <c r="D1951" t="s">
        <v>20</v>
      </c>
      <c r="E1951" t="s">
        <v>31</v>
      </c>
      <c r="F1951" t="s">
        <v>15</v>
      </c>
      <c r="G1951" t="s">
        <v>22</v>
      </c>
      <c r="H1951" t="s">
        <v>913</v>
      </c>
      <c r="I1951" t="s">
        <v>76</v>
      </c>
      <c r="J1951">
        <v>1</v>
      </c>
      <c r="K1951">
        <v>300</v>
      </c>
      <c r="L1951">
        <v>300</v>
      </c>
      <c r="M1951">
        <v>300</v>
      </c>
      <c r="N1951" t="s">
        <v>19</v>
      </c>
    </row>
    <row r="1952" spans="1:14" x14ac:dyDescent="0.25">
      <c r="A1952" t="str">
        <f>Table3[[#This Row],[Company Name]] &amp; " - " &amp; Table3[[#This Row],[Store Name]] &amp; " - " &amp; Table3[[#This Row],[Store Branch / Address]]</f>
        <v>CHICKEN DELI - GONGCHA - GENERIC</v>
      </c>
      <c r="B1952" t="str">
        <f>Table3[[#This Row],[Client ID]] &amp; " - " &amp; Table3[[#This Row],[SO Number]]</f>
        <v>CHICKEN DELI - GONGCHA - GENERIC - SO-232</v>
      </c>
      <c r="C1952" t="s">
        <v>996</v>
      </c>
      <c r="D1952" t="s">
        <v>20</v>
      </c>
      <c r="E1952" t="s">
        <v>31</v>
      </c>
      <c r="F1952" t="s">
        <v>15</v>
      </c>
      <c r="G1952" t="s">
        <v>22</v>
      </c>
      <c r="H1952" t="s">
        <v>913</v>
      </c>
      <c r="I1952" t="s">
        <v>93</v>
      </c>
      <c r="J1952">
        <v>1</v>
      </c>
      <c r="K1952">
        <v>11000</v>
      </c>
      <c r="L1952">
        <v>16700</v>
      </c>
      <c r="M1952">
        <v>16700</v>
      </c>
      <c r="N1952" t="s">
        <v>19</v>
      </c>
    </row>
    <row r="1953" spans="1:14" x14ac:dyDescent="0.25">
      <c r="A1953" t="str">
        <f>Table3[[#This Row],[Company Name]] &amp; " - " &amp; Table3[[#This Row],[Store Name]] &amp; " - " &amp; Table3[[#This Row],[Store Branch / Address]]</f>
        <v>CHICKEN DELI - GONGCHA - GENERIC</v>
      </c>
      <c r="B1953" t="str">
        <f>Table3[[#This Row],[Client ID]] &amp; " - " &amp; Table3[[#This Row],[SO Number]]</f>
        <v>CHICKEN DELI - GONGCHA - GENERIC - SO-232</v>
      </c>
      <c r="C1953" t="s">
        <v>996</v>
      </c>
      <c r="D1953" t="s">
        <v>20</v>
      </c>
      <c r="E1953" t="s">
        <v>31</v>
      </c>
      <c r="F1953" t="s">
        <v>15</v>
      </c>
      <c r="G1953" t="s">
        <v>22</v>
      </c>
      <c r="H1953" t="s">
        <v>913</v>
      </c>
      <c r="I1953" t="s">
        <v>76</v>
      </c>
      <c r="J1953">
        <v>1</v>
      </c>
      <c r="K1953">
        <v>300</v>
      </c>
      <c r="L1953">
        <v>300</v>
      </c>
      <c r="M1953">
        <v>300</v>
      </c>
      <c r="N1953" t="s">
        <v>19</v>
      </c>
    </row>
    <row r="1954" spans="1:14" x14ac:dyDescent="0.25">
      <c r="A1954" t="str">
        <f>Table3[[#This Row],[Company Name]] &amp; " - " &amp; Table3[[#This Row],[Store Name]] &amp; " - " &amp; Table3[[#This Row],[Store Branch / Address]]</f>
        <v>TIONG BAHRU PHILIPPINES INC - TIONG BAHRU - GENERIC</v>
      </c>
      <c r="B1954" t="str">
        <f>Table3[[#This Row],[Client ID]] &amp; " - " &amp; Table3[[#This Row],[SO Number]]</f>
        <v>TIONG BAHRU PHILIPPINES INC - TIONG BAHRU - GENERIC - SO-088</v>
      </c>
      <c r="C1954" t="s">
        <v>509</v>
      </c>
      <c r="D1954" t="s">
        <v>1022</v>
      </c>
      <c r="E1954" t="s">
        <v>1023</v>
      </c>
      <c r="F1954" t="s">
        <v>15</v>
      </c>
      <c r="G1954" t="s">
        <v>1076</v>
      </c>
      <c r="H1954" t="s">
        <v>913</v>
      </c>
      <c r="I1954" t="s">
        <v>1176</v>
      </c>
      <c r="J1954">
        <v>1</v>
      </c>
      <c r="K1954">
        <v>9500</v>
      </c>
      <c r="L1954">
        <v>13000</v>
      </c>
      <c r="M1954">
        <v>13000</v>
      </c>
      <c r="N1954" t="s">
        <v>19</v>
      </c>
    </row>
    <row r="1955" spans="1:14" x14ac:dyDescent="0.25">
      <c r="A1955" t="str">
        <f>Table3[[#This Row],[Company Name]] &amp; " - " &amp; Table3[[#This Row],[Store Name]] &amp; " - " &amp; Table3[[#This Row],[Store Branch / Address]]</f>
        <v>WHITE PERUGIA OPC - RHETT EALA - ROCKWELL</v>
      </c>
      <c r="B1955" t="str">
        <f>Table3[[#This Row],[Client ID]] &amp; " - " &amp; Table3[[#This Row],[SO Number]]</f>
        <v>WHITE PERUGIA OPC - RHETT EALA - ROCKWELL - SO-089</v>
      </c>
      <c r="C1955" t="s">
        <v>515</v>
      </c>
      <c r="D1955" t="s">
        <v>1178</v>
      </c>
      <c r="E1955" t="s">
        <v>1026</v>
      </c>
      <c r="F1955" t="s">
        <v>36</v>
      </c>
      <c r="G1955" t="s">
        <v>37</v>
      </c>
      <c r="H1955" t="s">
        <v>913</v>
      </c>
      <c r="I1955" t="s">
        <v>264</v>
      </c>
      <c r="J1955">
        <v>1</v>
      </c>
      <c r="K1955">
        <v>850</v>
      </c>
      <c r="L1955">
        <v>2500</v>
      </c>
      <c r="M1955">
        <v>2500</v>
      </c>
      <c r="N1955" t="s">
        <v>1010</v>
      </c>
    </row>
    <row r="1956" spans="1:14" x14ac:dyDescent="0.25">
      <c r="A1956" t="str">
        <f>Table3[[#This Row],[Company Name]] &amp; " - " &amp; Table3[[#This Row],[Store Name]] &amp; " - " &amp; Table3[[#This Row],[Store Branch / Address]]</f>
        <v>SARI SARI AI CORPORATION - TOMORO - PAVILLION MALL LAGUNA</v>
      </c>
      <c r="B1956" t="str">
        <f>Table3[[#This Row],[Client ID]] &amp; " - " &amp; Table3[[#This Row],[SO Number]]</f>
        <v>SARI SARI AI CORPORATION - TOMORO - PAVILLION MALL LAGUNA - SO-196</v>
      </c>
      <c r="C1956" t="s">
        <v>914</v>
      </c>
      <c r="D1956" t="s">
        <v>748</v>
      </c>
      <c r="E1956" t="s">
        <v>749</v>
      </c>
      <c r="F1956" t="s">
        <v>750</v>
      </c>
      <c r="G1956" t="s">
        <v>22</v>
      </c>
      <c r="H1956" t="s">
        <v>915</v>
      </c>
      <c r="I1956" t="s">
        <v>61</v>
      </c>
      <c r="J1956">
        <v>1</v>
      </c>
      <c r="K1956">
        <v>7500</v>
      </c>
      <c r="L1956">
        <v>12500</v>
      </c>
      <c r="M1956">
        <v>12500</v>
      </c>
      <c r="N1956" t="s">
        <v>39</v>
      </c>
    </row>
    <row r="1957" spans="1:14" x14ac:dyDescent="0.25">
      <c r="A1957" t="str">
        <f>Table3[[#This Row],[Company Name]] &amp; " - " &amp; Table3[[#This Row],[Store Name]] &amp; " - " &amp; Table3[[#This Row],[Store Branch / Address]]</f>
        <v>SARI SARI AI CORPORATION - TOMORO - PAVILLION MALL LAGUNA</v>
      </c>
      <c r="B1957" t="str">
        <f>Table3[[#This Row],[Client ID]] &amp; " - " &amp; Table3[[#This Row],[SO Number]]</f>
        <v>SARI SARI AI CORPORATION - TOMORO - PAVILLION MALL LAGUNA - SO-196</v>
      </c>
      <c r="C1957" t="s">
        <v>914</v>
      </c>
      <c r="D1957" t="s">
        <v>748</v>
      </c>
      <c r="E1957" t="s">
        <v>749</v>
      </c>
      <c r="F1957" t="s">
        <v>750</v>
      </c>
      <c r="G1957" t="s">
        <v>22</v>
      </c>
      <c r="H1957" t="s">
        <v>915</v>
      </c>
      <c r="I1957" t="s">
        <v>63</v>
      </c>
      <c r="J1957">
        <v>1</v>
      </c>
      <c r="K1957">
        <v>500</v>
      </c>
      <c r="L1957">
        <v>500</v>
      </c>
      <c r="M1957">
        <v>500</v>
      </c>
      <c r="N1957" t="s">
        <v>39</v>
      </c>
    </row>
    <row r="1958" spans="1:14" x14ac:dyDescent="0.25">
      <c r="A1958" t="str">
        <f>Table3[[#This Row],[Company Name]] &amp; " - " &amp; Table3[[#This Row],[Store Name]] &amp; " - " &amp; Table3[[#This Row],[Store Branch / Address]]</f>
        <v>ALLURE EMPIRE CORPORATION - CHU CHU BEAUTY - MARKET! MARKET!</v>
      </c>
      <c r="B1958" t="str">
        <f>Table3[[#This Row],[Client ID]] &amp; " - " &amp; Table3[[#This Row],[SO Number]]</f>
        <v>ALLURE EMPIRE CORPORATION - CHU CHU BEAUTY - MARKET! MARKET! - SO-090</v>
      </c>
      <c r="C1958" t="s">
        <v>517</v>
      </c>
      <c r="D1958" t="s">
        <v>1124</v>
      </c>
      <c r="E1958" t="s">
        <v>1129</v>
      </c>
      <c r="F1958" t="s">
        <v>1179</v>
      </c>
      <c r="G1958" t="s">
        <v>1088</v>
      </c>
      <c r="H1958" t="s">
        <v>1180</v>
      </c>
      <c r="I1958" t="s">
        <v>1130</v>
      </c>
      <c r="J1958">
        <v>1</v>
      </c>
      <c r="K1958">
        <v>3675</v>
      </c>
      <c r="L1958">
        <v>10500</v>
      </c>
      <c r="M1958">
        <v>10500</v>
      </c>
      <c r="N1958" t="s">
        <v>1010</v>
      </c>
    </row>
    <row r="1959" spans="1:14" x14ac:dyDescent="0.25">
      <c r="A1959" t="str">
        <f>Table3[[#This Row],[Company Name]] &amp; " - " &amp; Table3[[#This Row],[Store Name]] &amp; " - " &amp; Table3[[#This Row],[Store Branch / Address]]</f>
        <v>ALLURE EMPIRE CORPORATION - CHU CHU BEAUTY - MARKET! MARKET!</v>
      </c>
      <c r="B1959" t="str">
        <f>Table3[[#This Row],[Client ID]] &amp; " - " &amp; Table3[[#This Row],[SO Number]]</f>
        <v>ALLURE EMPIRE CORPORATION - CHU CHU BEAUTY - MARKET! MARKET! - SO-090</v>
      </c>
      <c r="C1959" t="s">
        <v>517</v>
      </c>
      <c r="D1959" t="s">
        <v>1124</v>
      </c>
      <c r="E1959" t="s">
        <v>1129</v>
      </c>
      <c r="F1959" t="s">
        <v>1179</v>
      </c>
      <c r="G1959" t="s">
        <v>1088</v>
      </c>
      <c r="H1959" t="s">
        <v>1180</v>
      </c>
      <c r="I1959" t="s">
        <v>26</v>
      </c>
      <c r="J1959">
        <v>1</v>
      </c>
      <c r="K1959">
        <v>500</v>
      </c>
      <c r="L1959">
        <v>500</v>
      </c>
      <c r="M1959">
        <v>500</v>
      </c>
      <c r="N1959" t="s">
        <v>1010</v>
      </c>
    </row>
    <row r="1960" spans="1:14" x14ac:dyDescent="0.25">
      <c r="A1960" t="str">
        <f>Table3[[#This Row],[Company Name]] &amp; " - " &amp; Table3[[#This Row],[Store Name]] &amp; " - " &amp; Table3[[#This Row],[Store Branch / Address]]</f>
        <v>ALLURE EMPIRE CORPORATION - CHU CHU BEAUTY - MARKET! MARKET!</v>
      </c>
      <c r="B1960" t="str">
        <f>Table3[[#This Row],[Client ID]] &amp; " - " &amp; Table3[[#This Row],[SO Number]]</f>
        <v>ALLURE EMPIRE CORPORATION - CHU CHU BEAUTY - MARKET! MARKET! - SO-090</v>
      </c>
      <c r="C1960" t="s">
        <v>517</v>
      </c>
      <c r="D1960" t="s">
        <v>1124</v>
      </c>
      <c r="E1960" t="s">
        <v>1129</v>
      </c>
      <c r="F1960" t="s">
        <v>1179</v>
      </c>
      <c r="G1960" t="s">
        <v>1088</v>
      </c>
      <c r="H1960" t="s">
        <v>1180</v>
      </c>
      <c r="I1960" t="s">
        <v>537</v>
      </c>
      <c r="J1960">
        <v>1</v>
      </c>
      <c r="K1960">
        <v>9500</v>
      </c>
      <c r="L1960">
        <v>9500</v>
      </c>
      <c r="M1960">
        <v>9500</v>
      </c>
      <c r="N1960" t="s">
        <v>1010</v>
      </c>
    </row>
    <row r="1961" spans="1:14" x14ac:dyDescent="0.25">
      <c r="A1961" t="str">
        <f>Table3[[#This Row],[Company Name]] &amp; " - " &amp; Table3[[#This Row],[Store Name]] &amp; " - " &amp; Table3[[#This Row],[Store Branch / Address]]</f>
        <v>ALLURE EMPIRE CORPORATION - CHU CHU BEAUTY - MARKET! MARKET!</v>
      </c>
      <c r="B1961" t="str">
        <f>Table3[[#This Row],[Client ID]] &amp; " - " &amp; Table3[[#This Row],[SO Number]]</f>
        <v>ALLURE EMPIRE CORPORATION - CHU CHU BEAUTY - MARKET! MARKET! - SO-090</v>
      </c>
      <c r="C1961" t="s">
        <v>517</v>
      </c>
      <c r="D1961" t="s">
        <v>1124</v>
      </c>
      <c r="E1961" t="s">
        <v>1129</v>
      </c>
      <c r="F1961" t="s">
        <v>1179</v>
      </c>
      <c r="G1961" t="s">
        <v>1088</v>
      </c>
      <c r="H1961" t="s">
        <v>1180</v>
      </c>
      <c r="I1961" t="s">
        <v>24</v>
      </c>
      <c r="J1961">
        <v>1</v>
      </c>
      <c r="K1961">
        <v>9500</v>
      </c>
      <c r="L1961">
        <v>9500</v>
      </c>
      <c r="M1961">
        <v>9500</v>
      </c>
      <c r="N1961" t="s">
        <v>1010</v>
      </c>
    </row>
    <row r="1962" spans="1:14" x14ac:dyDescent="0.25">
      <c r="A1962" t="str">
        <f>Table3[[#This Row],[Company Name]] &amp; " - " &amp; Table3[[#This Row],[Store Name]] &amp; " - " &amp; Table3[[#This Row],[Store Branch / Address]]</f>
        <v>CHICKEN DELI - GONGCHA - GENERIC</v>
      </c>
      <c r="B1962" t="str">
        <f>Table3[[#This Row],[Client ID]] &amp; " - " &amp; Table3[[#This Row],[SO Number]]</f>
        <v>CHICKEN DELI - GONGCHA - GENERIC - SO-222</v>
      </c>
      <c r="C1962" t="s">
        <v>980</v>
      </c>
      <c r="D1962" t="s">
        <v>20</v>
      </c>
      <c r="E1962" t="s">
        <v>31</v>
      </c>
      <c r="F1962" t="s">
        <v>15</v>
      </c>
      <c r="G1962" t="s">
        <v>22</v>
      </c>
      <c r="H1962" t="s">
        <v>981</v>
      </c>
      <c r="I1962" t="s">
        <v>33</v>
      </c>
      <c r="J1962">
        <v>7</v>
      </c>
      <c r="K1962">
        <v>6500</v>
      </c>
      <c r="L1962">
        <v>6500</v>
      </c>
      <c r="M1962">
        <v>45500</v>
      </c>
      <c r="N1962" t="s">
        <v>19</v>
      </c>
    </row>
    <row r="1963" spans="1:14" x14ac:dyDescent="0.25">
      <c r="A1963" t="str">
        <f>Table3[[#This Row],[Company Name]] &amp; " - " &amp; Table3[[#This Row],[Store Name]] &amp; " - " &amp; Table3[[#This Row],[Store Branch / Address]]</f>
        <v>CHICKEN DELI - KITCHEN CITY - GENERIC</v>
      </c>
      <c r="B1963" t="str">
        <f>Table3[[#This Row],[Client ID]] &amp; " - " &amp; Table3[[#This Row],[SO Number]]</f>
        <v>CHICKEN DELI - KITCHEN CITY - GENERIC - SO-233</v>
      </c>
      <c r="C1963" t="s">
        <v>997</v>
      </c>
      <c r="D1963" t="s">
        <v>20</v>
      </c>
      <c r="E1963" t="s">
        <v>21</v>
      </c>
      <c r="F1963" t="s">
        <v>15</v>
      </c>
      <c r="G1963" t="s">
        <v>22</v>
      </c>
      <c r="H1963" t="s">
        <v>981</v>
      </c>
      <c r="I1963" t="s">
        <v>93</v>
      </c>
      <c r="J1963">
        <v>15</v>
      </c>
      <c r="K1963">
        <v>11000</v>
      </c>
      <c r="L1963">
        <v>253900</v>
      </c>
      <c r="M1963">
        <v>3808500</v>
      </c>
      <c r="N1963" t="s">
        <v>19</v>
      </c>
    </row>
    <row r="1964" spans="1:14" x14ac:dyDescent="0.25">
      <c r="A1964" t="str">
        <f>Table3[[#This Row],[Company Name]] &amp; " - " &amp; Table3[[#This Row],[Store Name]] &amp; " - " &amp; Table3[[#This Row],[Store Branch / Address]]</f>
        <v>CHICKEN DELI - KITCHEN CITY - GENERIC</v>
      </c>
      <c r="B1964" t="str">
        <f>Table3[[#This Row],[Client ID]] &amp; " - " &amp; Table3[[#This Row],[SO Number]]</f>
        <v>CHICKEN DELI - KITCHEN CITY - GENERIC - SO-233</v>
      </c>
      <c r="C1964" t="s">
        <v>997</v>
      </c>
      <c r="D1964" t="s">
        <v>20</v>
      </c>
      <c r="E1964" t="s">
        <v>21</v>
      </c>
      <c r="F1964" t="s">
        <v>15</v>
      </c>
      <c r="G1964" t="s">
        <v>22</v>
      </c>
      <c r="H1964" t="s">
        <v>981</v>
      </c>
      <c r="I1964" t="s">
        <v>76</v>
      </c>
      <c r="J1964">
        <v>1</v>
      </c>
      <c r="K1964">
        <v>1100</v>
      </c>
      <c r="L1964">
        <v>1100</v>
      </c>
      <c r="M1964">
        <v>1100</v>
      </c>
      <c r="N1964" t="s">
        <v>19</v>
      </c>
    </row>
    <row r="1965" spans="1:14" x14ac:dyDescent="0.25">
      <c r="A1965" t="str">
        <f>Table3[[#This Row],[Company Name]] &amp; " - " &amp; Table3[[#This Row],[Store Name]] &amp; " - " &amp; Table3[[#This Row],[Store Branch / Address]]</f>
        <v>HOUSE OF OBAGI - HOUSE OF OBAGI - ROBINSONS PLACE MANILA</v>
      </c>
      <c r="B1965" t="str">
        <f>Table3[[#This Row],[Client ID]] &amp; " - " &amp; Table3[[#This Row],[SO Number]]</f>
        <v>HOUSE OF OBAGI - HOUSE OF OBAGI - ROBINSONS PLACE MANILA - SO-091</v>
      </c>
      <c r="C1965" t="s">
        <v>519</v>
      </c>
      <c r="D1965" t="s">
        <v>1081</v>
      </c>
      <c r="E1965" t="s">
        <v>1081</v>
      </c>
      <c r="F1965" t="s">
        <v>1082</v>
      </c>
      <c r="G1965" t="s">
        <v>1043</v>
      </c>
      <c r="H1965" t="s">
        <v>981</v>
      </c>
      <c r="I1965" t="s">
        <v>1159</v>
      </c>
      <c r="J1965">
        <v>1</v>
      </c>
      <c r="K1965">
        <v>8500</v>
      </c>
      <c r="L1965">
        <v>11000</v>
      </c>
      <c r="M1965">
        <v>11000</v>
      </c>
      <c r="N1965" t="s">
        <v>1010</v>
      </c>
    </row>
    <row r="1966" spans="1:14" x14ac:dyDescent="0.25">
      <c r="A1966" t="str">
        <f>Table3[[#This Row],[Company Name]] &amp; " - " &amp; Table3[[#This Row],[Store Name]] &amp; " - " &amp; Table3[[#This Row],[Store Branch / Address]]</f>
        <v>CRUZ MIRAFLOR DOMINGO - ARTISAN EMPORIUM - GENERIC</v>
      </c>
      <c r="B1966" t="str">
        <f>Table3[[#This Row],[Client ID]] &amp; " - " &amp; Table3[[#This Row],[SO Number]]</f>
        <v>CRUZ MIRAFLOR DOMINGO - ARTISAN EMPORIUM - GENERIC - SO-197</v>
      </c>
      <c r="C1966" t="s">
        <v>916</v>
      </c>
      <c r="D1966" t="s">
        <v>873</v>
      </c>
      <c r="E1966" t="s">
        <v>874</v>
      </c>
      <c r="F1966" t="s">
        <v>15</v>
      </c>
      <c r="G1966" t="s">
        <v>37</v>
      </c>
      <c r="H1966" t="s">
        <v>917</v>
      </c>
      <c r="I1966" t="s">
        <v>209</v>
      </c>
      <c r="J1966">
        <v>1</v>
      </c>
      <c r="K1966">
        <v>23450</v>
      </c>
      <c r="L1966">
        <v>29500</v>
      </c>
      <c r="M1966">
        <v>29500</v>
      </c>
      <c r="N1966" t="s">
        <v>19</v>
      </c>
    </row>
    <row r="1967" spans="1:14" x14ac:dyDescent="0.25">
      <c r="A1967" t="str">
        <f>Table3[[#This Row],[Company Name]] &amp; " - " &amp; Table3[[#This Row],[Store Name]] &amp; " - " &amp; Table3[[#This Row],[Store Branch / Address]]</f>
        <v>CRUZ MIRAFLOR DOMINGO - ARTISAN EMPORIUM - GENERIC</v>
      </c>
      <c r="B1967" t="str">
        <f>Table3[[#This Row],[Client ID]] &amp; " - " &amp; Table3[[#This Row],[SO Number]]</f>
        <v>CRUZ MIRAFLOR DOMINGO - ARTISAN EMPORIUM - GENERIC - SO-197</v>
      </c>
      <c r="C1967" t="s">
        <v>916</v>
      </c>
      <c r="D1967" t="s">
        <v>873</v>
      </c>
      <c r="E1967" t="s">
        <v>874</v>
      </c>
      <c r="F1967" t="s">
        <v>15</v>
      </c>
      <c r="G1967" t="s">
        <v>37</v>
      </c>
      <c r="H1967" t="s">
        <v>917</v>
      </c>
      <c r="I1967" t="s">
        <v>151</v>
      </c>
      <c r="J1967">
        <v>1</v>
      </c>
      <c r="K1967">
        <v>2000</v>
      </c>
      <c r="L1967">
        <v>3500</v>
      </c>
      <c r="M1967">
        <v>3500</v>
      </c>
      <c r="N1967" t="s">
        <v>19</v>
      </c>
    </row>
    <row r="1968" spans="1:14" x14ac:dyDescent="0.25">
      <c r="A1968" t="str">
        <f>Table3[[#This Row],[Company Name]] &amp; " - " &amp; Table3[[#This Row],[Store Name]] &amp; " - " &amp; Table3[[#This Row],[Store Branch / Address]]</f>
        <v>CRUZ MIRAFLOR DOMINGO - ARTISAN EMPORIUM - GENERIC</v>
      </c>
      <c r="B1968" t="str">
        <f>Table3[[#This Row],[Client ID]] &amp; " - " &amp; Table3[[#This Row],[SO Number]]</f>
        <v>CRUZ MIRAFLOR DOMINGO - ARTISAN EMPORIUM - GENERIC - SO-197</v>
      </c>
      <c r="C1968" t="s">
        <v>916</v>
      </c>
      <c r="D1968" t="s">
        <v>873</v>
      </c>
      <c r="E1968" t="s">
        <v>874</v>
      </c>
      <c r="F1968" t="s">
        <v>15</v>
      </c>
      <c r="G1968" t="s">
        <v>37</v>
      </c>
      <c r="H1968" t="s">
        <v>917</v>
      </c>
      <c r="I1968" t="s">
        <v>210</v>
      </c>
      <c r="J1968">
        <v>1</v>
      </c>
      <c r="K1968">
        <v>530</v>
      </c>
      <c r="L1968">
        <v>700</v>
      </c>
      <c r="M1968">
        <v>700</v>
      </c>
      <c r="N1968" t="s">
        <v>19</v>
      </c>
    </row>
    <row r="1969" spans="1:14" x14ac:dyDescent="0.25">
      <c r="A1969" t="str">
        <f>Table3[[#This Row],[Company Name]] &amp; " - " &amp; Table3[[#This Row],[Store Name]] &amp; " - " &amp; Table3[[#This Row],[Store Branch / Address]]</f>
        <v>CRUZ MIRAFLOR DOMINGO - ARTISAN EMPORIUM - GENERIC</v>
      </c>
      <c r="B1969" t="str">
        <f>Table3[[#This Row],[Client ID]] &amp; " - " &amp; Table3[[#This Row],[SO Number]]</f>
        <v>CRUZ MIRAFLOR DOMINGO - ARTISAN EMPORIUM - GENERIC - SO-197</v>
      </c>
      <c r="C1969" t="s">
        <v>916</v>
      </c>
      <c r="D1969" t="s">
        <v>873</v>
      </c>
      <c r="E1969" t="s">
        <v>874</v>
      </c>
      <c r="F1969" t="s">
        <v>15</v>
      </c>
      <c r="G1969" t="s">
        <v>37</v>
      </c>
      <c r="H1969" t="s">
        <v>917</v>
      </c>
      <c r="I1969" t="s">
        <v>211</v>
      </c>
      <c r="J1969">
        <v>1</v>
      </c>
      <c r="K1969">
        <v>350</v>
      </c>
      <c r="L1969">
        <v>500</v>
      </c>
      <c r="M1969">
        <v>500</v>
      </c>
      <c r="N1969" t="s">
        <v>19</v>
      </c>
    </row>
    <row r="1970" spans="1:14" x14ac:dyDescent="0.25">
      <c r="A1970" t="str">
        <f>Table3[[#This Row],[Company Name]] &amp; " - " &amp; Table3[[#This Row],[Store Name]] &amp; " - " &amp; Table3[[#This Row],[Store Branch / Address]]</f>
        <v>CRUZ MIRAFLOR DOMINGO - ARTISAN EMPORIUM - GENERIC</v>
      </c>
      <c r="B1970" t="str">
        <f>Table3[[#This Row],[Client ID]] &amp; " - " &amp; Table3[[#This Row],[SO Number]]</f>
        <v>CRUZ MIRAFLOR DOMINGO - ARTISAN EMPORIUM - GENERIC - SO-197</v>
      </c>
      <c r="C1970" t="s">
        <v>916</v>
      </c>
      <c r="D1970" t="s">
        <v>873</v>
      </c>
      <c r="E1970" t="s">
        <v>874</v>
      </c>
      <c r="F1970" t="s">
        <v>15</v>
      </c>
      <c r="G1970" t="s">
        <v>37</v>
      </c>
      <c r="H1970" t="s">
        <v>917</v>
      </c>
      <c r="I1970" t="s">
        <v>50</v>
      </c>
      <c r="J1970">
        <v>1</v>
      </c>
      <c r="K1970">
        <v>500</v>
      </c>
      <c r="L1970">
        <v>500</v>
      </c>
      <c r="M1970">
        <v>500</v>
      </c>
      <c r="N1970" t="s">
        <v>19</v>
      </c>
    </row>
    <row r="1971" spans="1:14" x14ac:dyDescent="0.25">
      <c r="A1971" t="str">
        <f>Table3[[#This Row],[Company Name]] &amp; " - " &amp; Table3[[#This Row],[Store Name]] &amp; " - " &amp; Table3[[#This Row],[Store Branch / Address]]</f>
        <v>CRUZ MIRAFLOR DOMINGO - ARTISAN EMPORIUM - GENERIC</v>
      </c>
      <c r="B1971" t="str">
        <f>Table3[[#This Row],[Client ID]] &amp; " - " &amp; Table3[[#This Row],[SO Number]]</f>
        <v>CRUZ MIRAFLOR DOMINGO - ARTISAN EMPORIUM - GENERIC - SO-197</v>
      </c>
      <c r="C1971" t="s">
        <v>916</v>
      </c>
      <c r="D1971" t="s">
        <v>873</v>
      </c>
      <c r="E1971" t="s">
        <v>874</v>
      </c>
      <c r="F1971" t="s">
        <v>15</v>
      </c>
      <c r="G1971" t="s">
        <v>37</v>
      </c>
      <c r="H1971" t="s">
        <v>917</v>
      </c>
      <c r="I1971" t="s">
        <v>63</v>
      </c>
      <c r="J1971">
        <v>1</v>
      </c>
      <c r="K1971">
        <v>300</v>
      </c>
      <c r="L1971">
        <v>300</v>
      </c>
      <c r="M1971">
        <v>300</v>
      </c>
      <c r="N1971" t="s">
        <v>19</v>
      </c>
    </row>
    <row r="1972" spans="1:14" x14ac:dyDescent="0.25">
      <c r="A1972" t="str">
        <f>Table3[[#This Row],[Company Name]] &amp; " - " &amp; Table3[[#This Row],[Store Name]] &amp; " - " &amp; Table3[[#This Row],[Store Branch / Address]]</f>
        <v>JIBRILS SPECIALTY FOODS INC - JSFI CHICKEN BACOLOD - NORTH EXCHANGE</v>
      </c>
      <c r="B1972" t="str">
        <f>Table3[[#This Row],[Client ID]] &amp; " - " &amp; Table3[[#This Row],[SO Number]]</f>
        <v>JIBRILS SPECIALTY FOODS INC - JSFI CHICKEN BACOLOD - NORTH EXCHANGE - SO-198</v>
      </c>
      <c r="C1972" t="s">
        <v>920</v>
      </c>
      <c r="D1972" t="s">
        <v>864</v>
      </c>
      <c r="E1972" t="s">
        <v>865</v>
      </c>
      <c r="F1972" t="s">
        <v>921</v>
      </c>
      <c r="G1972" t="s">
        <v>37</v>
      </c>
      <c r="H1972" t="s">
        <v>917</v>
      </c>
      <c r="I1972" t="s">
        <v>383</v>
      </c>
      <c r="J1972">
        <v>1</v>
      </c>
      <c r="K1972">
        <v>4250</v>
      </c>
      <c r="L1972">
        <v>6000</v>
      </c>
      <c r="M1972">
        <v>6000</v>
      </c>
      <c r="N1972" t="s">
        <v>39</v>
      </c>
    </row>
    <row r="1973" spans="1:14" x14ac:dyDescent="0.25">
      <c r="A1973" t="str">
        <f>Table3[[#This Row],[Company Name]] &amp; " - " &amp; Table3[[#This Row],[Store Name]] &amp; " - " &amp; Table3[[#This Row],[Store Branch / Address]]</f>
        <v>ROKUGROUP INC - NARA THAI - GENERIC</v>
      </c>
      <c r="B1973" t="str">
        <f>Table3[[#This Row],[Client ID]] &amp; " - " &amp; Table3[[#This Row],[SO Number]]</f>
        <v>ROKUGROUP INC - NARA THAI - GENERIC - SO-199</v>
      </c>
      <c r="C1973" t="s">
        <v>923</v>
      </c>
      <c r="D1973" t="s">
        <v>926</v>
      </c>
      <c r="E1973" t="s">
        <v>927</v>
      </c>
      <c r="F1973" t="s">
        <v>15</v>
      </c>
      <c r="G1973" t="s">
        <v>37</v>
      </c>
      <c r="H1973" t="s">
        <v>917</v>
      </c>
      <c r="I1973" t="s">
        <v>38</v>
      </c>
      <c r="J1973">
        <v>1</v>
      </c>
      <c r="K1973">
        <v>8500</v>
      </c>
      <c r="L1973">
        <v>12200</v>
      </c>
      <c r="M1973">
        <v>12200</v>
      </c>
      <c r="N1973" t="s">
        <v>19</v>
      </c>
    </row>
    <row r="1974" spans="1:14" x14ac:dyDescent="0.25">
      <c r="A1974" t="str">
        <f>Table3[[#This Row],[Company Name]] &amp; " - " &amp; Table3[[#This Row],[Store Name]] &amp; " - " &amp; Table3[[#This Row],[Store Branch / Address]]</f>
        <v>ROKUGROUP INC - NARA THAI - GENERIC</v>
      </c>
      <c r="B1974" t="str">
        <f>Table3[[#This Row],[Client ID]] &amp; " - " &amp; Table3[[#This Row],[SO Number]]</f>
        <v>ROKUGROUP INC - NARA THAI - GENERIC - SO-199</v>
      </c>
      <c r="C1974" t="s">
        <v>923</v>
      </c>
      <c r="D1974" t="s">
        <v>926</v>
      </c>
      <c r="E1974" t="s">
        <v>927</v>
      </c>
      <c r="F1974" t="s">
        <v>15</v>
      </c>
      <c r="G1974" t="s">
        <v>37</v>
      </c>
      <c r="H1974" t="s">
        <v>917</v>
      </c>
      <c r="I1974" t="s">
        <v>393</v>
      </c>
      <c r="J1974">
        <v>1</v>
      </c>
      <c r="K1974">
        <v>300</v>
      </c>
      <c r="L1974">
        <v>300</v>
      </c>
      <c r="M1974">
        <v>300</v>
      </c>
      <c r="N1974" t="s">
        <v>19</v>
      </c>
    </row>
    <row r="1975" spans="1:14" x14ac:dyDescent="0.25">
      <c r="A1975" t="str">
        <f>Table3[[#This Row],[Company Name]] &amp; " - " &amp; Table3[[#This Row],[Store Name]] &amp; " - " &amp; Table3[[#This Row],[Store Branch / Address]]</f>
        <v>ARTHUR S PRIME MANILA INC - ARTHUR'S PRIME MANILA INC. - MANILA GOLF FAIRWAYS</v>
      </c>
      <c r="B1975" t="str">
        <f>Table3[[#This Row],[Client ID]] &amp; " - " &amp; Table3[[#This Row],[SO Number]]</f>
        <v>ARTHUR S PRIME MANILA INC - ARTHUR'S PRIME MANILA INC. - MANILA GOLF FAIRWAYS - SO-200</v>
      </c>
      <c r="C1975" t="s">
        <v>928</v>
      </c>
      <c r="D1975" t="s">
        <v>929</v>
      </c>
      <c r="E1975" t="s">
        <v>930</v>
      </c>
      <c r="F1975" t="s">
        <v>931</v>
      </c>
      <c r="G1975" t="s">
        <v>37</v>
      </c>
      <c r="H1975" t="s">
        <v>917</v>
      </c>
      <c r="I1975" t="s">
        <v>932</v>
      </c>
      <c r="J1975">
        <v>1</v>
      </c>
      <c r="K1975">
        <v>15000</v>
      </c>
      <c r="L1975">
        <v>15000</v>
      </c>
      <c r="M1975">
        <v>15000</v>
      </c>
      <c r="N1975" t="s">
        <v>39</v>
      </c>
    </row>
    <row r="1976" spans="1:14" x14ac:dyDescent="0.25">
      <c r="A1976" t="str">
        <f>Table3[[#This Row],[Company Name]] &amp; " - " &amp; Table3[[#This Row],[Store Name]] &amp; " - " &amp; Table3[[#This Row],[Store Branch / Address]]</f>
        <v>CHICKEN DELI - GONGCHA - GENERIC</v>
      </c>
      <c r="B1976" t="str">
        <f>Table3[[#This Row],[Client ID]] &amp; " - " &amp; Table3[[#This Row],[SO Number]]</f>
        <v>CHICKEN DELI - GONGCHA - GENERIC - SO-234</v>
      </c>
      <c r="C1976" t="s">
        <v>998</v>
      </c>
      <c r="D1976" t="s">
        <v>20</v>
      </c>
      <c r="E1976" t="s">
        <v>31</v>
      </c>
      <c r="F1976" t="s">
        <v>15</v>
      </c>
      <c r="G1976" t="s">
        <v>22</v>
      </c>
      <c r="H1976" t="s">
        <v>917</v>
      </c>
      <c r="I1976" t="s">
        <v>154</v>
      </c>
      <c r="J1976">
        <v>5</v>
      </c>
      <c r="K1976">
        <v>1100</v>
      </c>
      <c r="L1976">
        <v>1700</v>
      </c>
      <c r="M1976">
        <v>8500</v>
      </c>
      <c r="N1976" t="s">
        <v>19</v>
      </c>
    </row>
    <row r="1977" spans="1:14" x14ac:dyDescent="0.25">
      <c r="A1977" t="str">
        <f>Table3[[#This Row],[Company Name]] &amp; " - " &amp; Table3[[#This Row],[Store Name]] &amp; " - " &amp; Table3[[#This Row],[Store Branch / Address]]</f>
        <v>CHICKEN DELI - THE VIEW REST. - GENERIC</v>
      </c>
      <c r="B1977" t="str">
        <f>Table3[[#This Row],[Client ID]] &amp; " - " &amp; Table3[[#This Row],[SO Number]]</f>
        <v>CHICKEN DELI - THE VIEW REST. - GENERIC - SO-235</v>
      </c>
      <c r="C1977" t="s">
        <v>999</v>
      </c>
      <c r="D1977" t="s">
        <v>20</v>
      </c>
      <c r="E1977" t="s">
        <v>901</v>
      </c>
      <c r="F1977" t="s">
        <v>15</v>
      </c>
      <c r="G1977" t="s">
        <v>22</v>
      </c>
      <c r="H1977" t="s">
        <v>917</v>
      </c>
      <c r="I1977" t="s">
        <v>1000</v>
      </c>
      <c r="J1977">
        <v>100</v>
      </c>
      <c r="K1977">
        <v>32</v>
      </c>
      <c r="L1977">
        <v>50</v>
      </c>
      <c r="M1977">
        <v>5000</v>
      </c>
      <c r="N1977" t="s">
        <v>19</v>
      </c>
    </row>
    <row r="1978" spans="1:14" x14ac:dyDescent="0.25">
      <c r="A1978" t="str">
        <f>Table3[[#This Row],[Company Name]] &amp; " - " &amp; Table3[[#This Row],[Store Name]] &amp; " - " &amp; Table3[[#This Row],[Store Branch / Address]]</f>
        <v>ALLURE EMPIRE CORPORATION - CHU CHU BEAUTY - ARCA SOUTH</v>
      </c>
      <c r="B1978" t="str">
        <f>Table3[[#This Row],[Client ID]] &amp; " - " &amp; Table3[[#This Row],[SO Number]]</f>
        <v>ALLURE EMPIRE CORPORATION - CHU CHU BEAUTY - ARCA SOUTH - SO-092</v>
      </c>
      <c r="C1978" t="s">
        <v>522</v>
      </c>
      <c r="D1978" t="s">
        <v>1124</v>
      </c>
      <c r="E1978" t="s">
        <v>1129</v>
      </c>
      <c r="F1978" t="s">
        <v>1181</v>
      </c>
      <c r="G1978" t="s">
        <v>1088</v>
      </c>
      <c r="H1978" t="s">
        <v>917</v>
      </c>
      <c r="I1978" t="s">
        <v>1130</v>
      </c>
      <c r="J1978">
        <v>1</v>
      </c>
      <c r="K1978">
        <v>3675</v>
      </c>
      <c r="L1978">
        <v>10500</v>
      </c>
      <c r="M1978">
        <v>10500</v>
      </c>
      <c r="N1978" t="s">
        <v>1010</v>
      </c>
    </row>
    <row r="1979" spans="1:14" x14ac:dyDescent="0.25">
      <c r="A1979" t="str">
        <f>Table3[[#This Row],[Company Name]] &amp; " - " &amp; Table3[[#This Row],[Store Name]] &amp; " - " &amp; Table3[[#This Row],[Store Branch / Address]]</f>
        <v>ALLURE EMPIRE CORPORATION - CHU CHU BEAUTY - ARCA SOUTH</v>
      </c>
      <c r="B1979" t="str">
        <f>Table3[[#This Row],[Client ID]] &amp; " - " &amp; Table3[[#This Row],[SO Number]]</f>
        <v>ALLURE EMPIRE CORPORATION - CHU CHU BEAUTY - ARCA SOUTH - SO-092</v>
      </c>
      <c r="C1979" t="s">
        <v>522</v>
      </c>
      <c r="D1979" t="s">
        <v>1124</v>
      </c>
      <c r="E1979" t="s">
        <v>1129</v>
      </c>
      <c r="F1979" t="s">
        <v>1181</v>
      </c>
      <c r="G1979" t="s">
        <v>1088</v>
      </c>
      <c r="H1979" t="s">
        <v>917</v>
      </c>
      <c r="I1979" t="s">
        <v>26</v>
      </c>
      <c r="J1979">
        <v>1</v>
      </c>
      <c r="K1979">
        <v>500</v>
      </c>
      <c r="L1979">
        <v>500</v>
      </c>
      <c r="M1979">
        <v>500</v>
      </c>
      <c r="N1979" t="s">
        <v>1010</v>
      </c>
    </row>
    <row r="1980" spans="1:14" x14ac:dyDescent="0.25">
      <c r="A1980" t="str">
        <f>Table3[[#This Row],[Company Name]] &amp; " - " &amp; Table3[[#This Row],[Store Name]] &amp; " - " &amp; Table3[[#This Row],[Store Branch / Address]]</f>
        <v>ALLURE EMPIRE CORPORATION - CHU CHU BEAUTY - ARCA SOUTH</v>
      </c>
      <c r="B1980" t="str">
        <f>Table3[[#This Row],[Client ID]] &amp; " - " &amp; Table3[[#This Row],[SO Number]]</f>
        <v>ALLURE EMPIRE CORPORATION - CHU CHU BEAUTY - ARCA SOUTH - SO-092</v>
      </c>
      <c r="C1980" t="s">
        <v>522</v>
      </c>
      <c r="D1980" t="s">
        <v>1124</v>
      </c>
      <c r="E1980" t="s">
        <v>1129</v>
      </c>
      <c r="F1980" t="s">
        <v>1181</v>
      </c>
      <c r="G1980" t="s">
        <v>1088</v>
      </c>
      <c r="H1980" t="s">
        <v>917</v>
      </c>
      <c r="I1980" t="s">
        <v>537</v>
      </c>
      <c r="J1980">
        <v>1</v>
      </c>
      <c r="K1980">
        <v>9500</v>
      </c>
      <c r="L1980">
        <v>9500</v>
      </c>
      <c r="M1980">
        <v>9500</v>
      </c>
      <c r="N1980" t="s">
        <v>1010</v>
      </c>
    </row>
    <row r="1981" spans="1:14" x14ac:dyDescent="0.25">
      <c r="A1981" t="str">
        <f>Table3[[#This Row],[Company Name]] &amp; " - " &amp; Table3[[#This Row],[Store Name]] &amp; " - " &amp; Table3[[#This Row],[Store Branch / Address]]</f>
        <v>ALLURE EMPIRE CORPORATION - CHU CHU BEAUTY - ARCA SOUTH</v>
      </c>
      <c r="B1981" t="str">
        <f>Table3[[#This Row],[Client ID]] &amp; " - " &amp; Table3[[#This Row],[SO Number]]</f>
        <v>ALLURE EMPIRE CORPORATION - CHU CHU BEAUTY - ARCA SOUTH - SO-092</v>
      </c>
      <c r="C1981" t="s">
        <v>522</v>
      </c>
      <c r="D1981" t="s">
        <v>1124</v>
      </c>
      <c r="E1981" t="s">
        <v>1129</v>
      </c>
      <c r="F1981" t="s">
        <v>1181</v>
      </c>
      <c r="G1981" t="s">
        <v>1088</v>
      </c>
      <c r="H1981" t="s">
        <v>917</v>
      </c>
      <c r="I1981" t="s">
        <v>24</v>
      </c>
      <c r="J1981">
        <v>1</v>
      </c>
      <c r="K1981">
        <v>9500</v>
      </c>
      <c r="L1981">
        <v>9500</v>
      </c>
      <c r="M1981">
        <v>9500</v>
      </c>
      <c r="N1981" t="s">
        <v>1010</v>
      </c>
    </row>
    <row r="1982" spans="1:14" x14ac:dyDescent="0.25">
      <c r="A1982" t="str">
        <f>Table3[[#This Row],[Company Name]] &amp; " - " &amp; Table3[[#This Row],[Store Name]] &amp; " - " &amp; Table3[[#This Row],[Store Branch / Address]]</f>
        <v>ETHERNAL BRIGHT SANCTUARY INC - LALA'S RESTAURANT - GENERIC</v>
      </c>
      <c r="B1982" t="str">
        <f>Table3[[#This Row],[Client ID]] &amp; " - " &amp; Table3[[#This Row],[SO Number]]</f>
        <v>ETHERNAL BRIGHT SANCTUARY INC - LALA'S RESTAURANT - GENERIC - SO-201</v>
      </c>
      <c r="C1982" t="s">
        <v>935</v>
      </c>
      <c r="D1982" t="s">
        <v>936</v>
      </c>
      <c r="E1982" t="s">
        <v>937</v>
      </c>
      <c r="F1982" t="s">
        <v>15</v>
      </c>
      <c r="G1982" t="s">
        <v>22</v>
      </c>
      <c r="H1982" t="s">
        <v>938</v>
      </c>
      <c r="I1982" t="s">
        <v>642</v>
      </c>
      <c r="J1982">
        <v>1</v>
      </c>
      <c r="K1982">
        <v>3675</v>
      </c>
      <c r="L1982">
        <v>10500</v>
      </c>
      <c r="M1982">
        <v>10500</v>
      </c>
      <c r="N1982" t="s">
        <v>19</v>
      </c>
    </row>
    <row r="1983" spans="1:14" x14ac:dyDescent="0.25">
      <c r="A1983" t="str">
        <f>Table3[[#This Row],[Company Name]] &amp; " - " &amp; Table3[[#This Row],[Store Name]] &amp; " - " &amp; Table3[[#This Row],[Store Branch / Address]]</f>
        <v>ETHERNAL BRIGHT SANCTUARY INC - LALA'S RESTAURANT - GENERIC</v>
      </c>
      <c r="B1983" t="str">
        <f>Table3[[#This Row],[Client ID]] &amp; " - " &amp; Table3[[#This Row],[SO Number]]</f>
        <v>ETHERNAL BRIGHT SANCTUARY INC - LALA'S RESTAURANT - GENERIC - SO-201</v>
      </c>
      <c r="C1983" t="s">
        <v>935</v>
      </c>
      <c r="D1983" t="s">
        <v>936</v>
      </c>
      <c r="E1983" t="s">
        <v>937</v>
      </c>
      <c r="F1983" t="s">
        <v>15</v>
      </c>
      <c r="G1983" t="s">
        <v>22</v>
      </c>
      <c r="H1983" t="s">
        <v>938</v>
      </c>
      <c r="I1983" t="s">
        <v>48</v>
      </c>
      <c r="J1983">
        <v>1</v>
      </c>
      <c r="K1983">
        <v>14500</v>
      </c>
      <c r="L1983">
        <v>14500</v>
      </c>
      <c r="M1983">
        <v>14500</v>
      </c>
      <c r="N1983" t="s">
        <v>19</v>
      </c>
    </row>
    <row r="1984" spans="1:14" x14ac:dyDescent="0.25">
      <c r="A1984" t="str">
        <f>Table3[[#This Row],[Company Name]] &amp; " - " &amp; Table3[[#This Row],[Store Name]] &amp; " - " &amp; Table3[[#This Row],[Store Branch / Address]]</f>
        <v>ETHERNAL BRIGHT SANCTUARY INC - LALA'S RESTAURANT - GENERIC</v>
      </c>
      <c r="B1984" t="str">
        <f>Table3[[#This Row],[Client ID]] &amp; " - " &amp; Table3[[#This Row],[SO Number]]</f>
        <v>ETHERNAL BRIGHT SANCTUARY INC - LALA'S RESTAURANT - GENERIC - SO-201</v>
      </c>
      <c r="C1984" t="s">
        <v>935</v>
      </c>
      <c r="D1984" t="s">
        <v>936</v>
      </c>
      <c r="E1984" t="s">
        <v>937</v>
      </c>
      <c r="F1984" t="s">
        <v>15</v>
      </c>
      <c r="G1984" t="s">
        <v>22</v>
      </c>
      <c r="H1984" t="s">
        <v>938</v>
      </c>
      <c r="I1984" t="s">
        <v>126</v>
      </c>
      <c r="J1984">
        <v>1</v>
      </c>
      <c r="K1984">
        <v>14500</v>
      </c>
      <c r="L1984">
        <v>14500</v>
      </c>
      <c r="M1984">
        <v>14500</v>
      </c>
      <c r="N1984" t="s">
        <v>19</v>
      </c>
    </row>
    <row r="1985" spans="1:14" x14ac:dyDescent="0.25">
      <c r="A1985" t="str">
        <f>Table3[[#This Row],[Company Name]] &amp; " - " &amp; Table3[[#This Row],[Store Name]] &amp; " - " &amp; Table3[[#This Row],[Store Branch / Address]]</f>
        <v>ETHERNAL BRIGHT SANCTUARY INC - LALA'S RESTAURANT - GENERIC</v>
      </c>
      <c r="B1985" t="str">
        <f>Table3[[#This Row],[Client ID]] &amp; " - " &amp; Table3[[#This Row],[SO Number]]</f>
        <v>ETHERNAL BRIGHT SANCTUARY INC - LALA'S RESTAURANT - GENERIC - SO-201</v>
      </c>
      <c r="C1985" t="s">
        <v>935</v>
      </c>
      <c r="D1985" t="s">
        <v>936</v>
      </c>
      <c r="E1985" t="s">
        <v>937</v>
      </c>
      <c r="F1985" t="s">
        <v>15</v>
      </c>
      <c r="G1985" t="s">
        <v>22</v>
      </c>
      <c r="H1985" t="s">
        <v>938</v>
      </c>
      <c r="I1985" t="s">
        <v>50</v>
      </c>
      <c r="J1985">
        <v>1</v>
      </c>
      <c r="K1985">
        <v>500</v>
      </c>
      <c r="L1985">
        <v>500</v>
      </c>
      <c r="M1985">
        <v>500</v>
      </c>
      <c r="N1985" t="s">
        <v>19</v>
      </c>
    </row>
    <row r="1986" spans="1:14" x14ac:dyDescent="0.25">
      <c r="A1986" t="str">
        <f>Table3[[#This Row],[Company Name]] &amp; " - " &amp; Table3[[#This Row],[Store Name]] &amp; " - " &amp; Table3[[#This Row],[Store Branch / Address]]</f>
        <v>ETHERNAL BRIGHT SANCTUARY INC - LALA'S RESTAURANT - GENERIC</v>
      </c>
      <c r="B1986" t="str">
        <f>Table3[[#This Row],[Client ID]] &amp; " - " &amp; Table3[[#This Row],[SO Number]]</f>
        <v>ETHERNAL BRIGHT SANCTUARY INC - LALA'S RESTAURANT - GENERIC - SO-201</v>
      </c>
      <c r="C1986" t="s">
        <v>935</v>
      </c>
      <c r="D1986" t="s">
        <v>936</v>
      </c>
      <c r="E1986" t="s">
        <v>937</v>
      </c>
      <c r="F1986" t="s">
        <v>15</v>
      </c>
      <c r="G1986" t="s">
        <v>22</v>
      </c>
      <c r="H1986" t="s">
        <v>938</v>
      </c>
      <c r="I1986" t="s">
        <v>127</v>
      </c>
      <c r="J1986">
        <v>1</v>
      </c>
      <c r="K1986">
        <v>3500</v>
      </c>
      <c r="L1986">
        <v>10000</v>
      </c>
      <c r="M1986">
        <v>10000</v>
      </c>
      <c r="N1986" t="s">
        <v>19</v>
      </c>
    </row>
    <row r="1987" spans="1:14" x14ac:dyDescent="0.25">
      <c r="A1987" t="str">
        <f>Table3[[#This Row],[Company Name]] &amp; " - " &amp; Table3[[#This Row],[Store Name]] &amp; " - " &amp; Table3[[#This Row],[Store Branch / Address]]</f>
        <v>ETHERNAL BRIGHT SANCTUARY INC - LALA'S RESTAURANT - GENERIC</v>
      </c>
      <c r="B1987" t="str">
        <f>Table3[[#This Row],[Client ID]] &amp; " - " &amp; Table3[[#This Row],[SO Number]]</f>
        <v>ETHERNAL BRIGHT SANCTUARY INC - LALA'S RESTAURANT - GENERIC - SO-201</v>
      </c>
      <c r="C1987" t="s">
        <v>935</v>
      </c>
      <c r="D1987" t="s">
        <v>936</v>
      </c>
      <c r="E1987" t="s">
        <v>937</v>
      </c>
      <c r="F1987" t="s">
        <v>15</v>
      </c>
      <c r="G1987" t="s">
        <v>22</v>
      </c>
      <c r="H1987" t="s">
        <v>938</v>
      </c>
      <c r="I1987" t="s">
        <v>60</v>
      </c>
      <c r="J1987">
        <v>2</v>
      </c>
      <c r="K1987">
        <v>11000</v>
      </c>
      <c r="L1987">
        <v>15500</v>
      </c>
      <c r="M1987">
        <v>31000</v>
      </c>
      <c r="N1987" t="s">
        <v>19</v>
      </c>
    </row>
    <row r="1988" spans="1:14" x14ac:dyDescent="0.25">
      <c r="A1988" t="str">
        <f>Table3[[#This Row],[Company Name]] &amp; " - " &amp; Table3[[#This Row],[Store Name]] &amp; " - " &amp; Table3[[#This Row],[Store Branch / Address]]</f>
        <v>ETHERNAL BRIGHT SANCTUARY INC - LALA'S RESTAURANT - GENERIC</v>
      </c>
      <c r="B1988" t="str">
        <f>Table3[[#This Row],[Client ID]] &amp; " - " &amp; Table3[[#This Row],[SO Number]]</f>
        <v>ETHERNAL BRIGHT SANCTUARY INC - LALA'S RESTAURANT - GENERIC - SO-201</v>
      </c>
      <c r="C1988" t="s">
        <v>935</v>
      </c>
      <c r="D1988" t="s">
        <v>936</v>
      </c>
      <c r="E1988" t="s">
        <v>937</v>
      </c>
      <c r="F1988" t="s">
        <v>15</v>
      </c>
      <c r="G1988" t="s">
        <v>22</v>
      </c>
      <c r="H1988" t="s">
        <v>938</v>
      </c>
      <c r="I1988" t="s">
        <v>116</v>
      </c>
      <c r="J1988">
        <v>1</v>
      </c>
      <c r="K1988">
        <v>2185</v>
      </c>
      <c r="L1988">
        <v>3000</v>
      </c>
      <c r="M1988">
        <v>3000</v>
      </c>
      <c r="N1988" t="s">
        <v>19</v>
      </c>
    </row>
    <row r="1989" spans="1:14" x14ac:dyDescent="0.25">
      <c r="A1989" t="str">
        <f>Table3[[#This Row],[Company Name]] &amp; " - " &amp; Table3[[#This Row],[Store Name]] &amp; " - " &amp; Table3[[#This Row],[Store Branch / Address]]</f>
        <v>ETHERNAL BRIGHT SANCTUARY INC - LALA'S RESTAURANT - GENERIC</v>
      </c>
      <c r="B1989" t="str">
        <f>Table3[[#This Row],[Client ID]] &amp; " - " &amp; Table3[[#This Row],[SO Number]]</f>
        <v>ETHERNAL BRIGHT SANCTUARY INC - LALA'S RESTAURANT - GENERIC - SO-201</v>
      </c>
      <c r="C1989" t="s">
        <v>935</v>
      </c>
      <c r="D1989" t="s">
        <v>936</v>
      </c>
      <c r="E1989" t="s">
        <v>937</v>
      </c>
      <c r="F1989" t="s">
        <v>15</v>
      </c>
      <c r="G1989" t="s">
        <v>22</v>
      </c>
      <c r="H1989" t="s">
        <v>938</v>
      </c>
      <c r="I1989" t="s">
        <v>97</v>
      </c>
      <c r="J1989">
        <v>2</v>
      </c>
      <c r="K1989">
        <v>2200</v>
      </c>
      <c r="L1989">
        <v>3000</v>
      </c>
      <c r="M1989">
        <v>6000</v>
      </c>
      <c r="N1989" t="s">
        <v>19</v>
      </c>
    </row>
    <row r="1990" spans="1:14" x14ac:dyDescent="0.25">
      <c r="A1990" t="str">
        <f>Table3[[#This Row],[Company Name]] &amp; " - " &amp; Table3[[#This Row],[Store Name]] &amp; " - " &amp; Table3[[#This Row],[Store Branch / Address]]</f>
        <v>ETHERNAL BRIGHT SANCTUARY INC - LALA'S RESTAURANT - GENERIC</v>
      </c>
      <c r="B1990" t="str">
        <f>Table3[[#This Row],[Client ID]] &amp; " - " &amp; Table3[[#This Row],[SO Number]]</f>
        <v>ETHERNAL BRIGHT SANCTUARY INC - LALA'S RESTAURANT - GENERIC - SO-201</v>
      </c>
      <c r="C1990" t="s">
        <v>935</v>
      </c>
      <c r="D1990" t="s">
        <v>936</v>
      </c>
      <c r="E1990" t="s">
        <v>937</v>
      </c>
      <c r="F1990" t="s">
        <v>15</v>
      </c>
      <c r="G1990" t="s">
        <v>22</v>
      </c>
      <c r="H1990" t="s">
        <v>938</v>
      </c>
      <c r="I1990" t="s">
        <v>248</v>
      </c>
      <c r="J1990">
        <v>1</v>
      </c>
      <c r="K1990">
        <v>8500</v>
      </c>
      <c r="L1990">
        <v>12000</v>
      </c>
      <c r="M1990">
        <v>12000</v>
      </c>
      <c r="N1990" t="s">
        <v>19</v>
      </c>
    </row>
    <row r="1991" spans="1:14" x14ac:dyDescent="0.25">
      <c r="A1991" t="str">
        <f>Table3[[#This Row],[Company Name]] &amp; " - " &amp; Table3[[#This Row],[Store Name]] &amp; " - " &amp; Table3[[#This Row],[Store Branch / Address]]</f>
        <v>ETHERNAL BRIGHT SANCTUARY INC - LALA'S RESTAURANT - GENERIC</v>
      </c>
      <c r="B1991" t="str">
        <f>Table3[[#This Row],[Client ID]] &amp; " - " &amp; Table3[[#This Row],[SO Number]]</f>
        <v>ETHERNAL BRIGHT SANCTUARY INC - LALA'S RESTAURANT - GENERIC - SO-201</v>
      </c>
      <c r="C1991" t="s">
        <v>935</v>
      </c>
      <c r="D1991" t="s">
        <v>936</v>
      </c>
      <c r="E1991" t="s">
        <v>937</v>
      </c>
      <c r="F1991" t="s">
        <v>15</v>
      </c>
      <c r="G1991" t="s">
        <v>22</v>
      </c>
      <c r="H1991" t="s">
        <v>938</v>
      </c>
      <c r="I1991" t="s">
        <v>939</v>
      </c>
      <c r="J1991">
        <v>4</v>
      </c>
      <c r="K1991">
        <v>9850</v>
      </c>
      <c r="L1991">
        <v>12500</v>
      </c>
      <c r="M1991">
        <v>50000</v>
      </c>
      <c r="N1991" t="s">
        <v>19</v>
      </c>
    </row>
    <row r="1992" spans="1:14" x14ac:dyDescent="0.25">
      <c r="A1992" t="str">
        <f>Table3[[#This Row],[Company Name]] &amp; " - " &amp; Table3[[#This Row],[Store Name]] &amp; " - " &amp; Table3[[#This Row],[Store Branch / Address]]</f>
        <v>ETHERNAL BRIGHT SANCTUARY INC - LALA'S RESTAURANT - GENERIC</v>
      </c>
      <c r="B1992" t="str">
        <f>Table3[[#This Row],[Client ID]] &amp; " - " &amp; Table3[[#This Row],[SO Number]]</f>
        <v>ETHERNAL BRIGHT SANCTUARY INC - LALA'S RESTAURANT - GENERIC - SO-201</v>
      </c>
      <c r="C1992" t="s">
        <v>935</v>
      </c>
      <c r="D1992" t="s">
        <v>936</v>
      </c>
      <c r="E1992" t="s">
        <v>937</v>
      </c>
      <c r="F1992" t="s">
        <v>15</v>
      </c>
      <c r="G1992" t="s">
        <v>22</v>
      </c>
      <c r="H1992" t="s">
        <v>938</v>
      </c>
      <c r="I1992" t="s">
        <v>249</v>
      </c>
      <c r="J1992">
        <v>2</v>
      </c>
      <c r="K1992">
        <v>21500</v>
      </c>
      <c r="L1992">
        <v>30250</v>
      </c>
      <c r="M1992">
        <v>60500</v>
      </c>
      <c r="N1992" t="s">
        <v>19</v>
      </c>
    </row>
    <row r="1993" spans="1:14" x14ac:dyDescent="0.25">
      <c r="A1993" t="str">
        <f>Table3[[#This Row],[Company Name]] &amp; " - " &amp; Table3[[#This Row],[Store Name]] &amp; " - " &amp; Table3[[#This Row],[Store Branch / Address]]</f>
        <v>THREE STARS VENTURES INC - FLUFF PANCAKES &amp;  COFFEE - ROB. MANILA</v>
      </c>
      <c r="B1993" t="str">
        <f>Table3[[#This Row],[Client ID]] &amp; " - " &amp; Table3[[#This Row],[SO Number]]</f>
        <v>THREE STARS VENTURES INC - FLUFF PANCAKES &amp;  COFFEE - ROB. MANILA - SO-202</v>
      </c>
      <c r="C1993" t="s">
        <v>940</v>
      </c>
      <c r="D1993" t="s">
        <v>941</v>
      </c>
      <c r="E1993" t="s">
        <v>942</v>
      </c>
      <c r="F1993" t="s">
        <v>710</v>
      </c>
      <c r="G1993" t="s">
        <v>22</v>
      </c>
      <c r="H1993" t="s">
        <v>938</v>
      </c>
      <c r="I1993" t="s">
        <v>151</v>
      </c>
      <c r="J1993">
        <v>1</v>
      </c>
      <c r="K1993">
        <v>2000</v>
      </c>
      <c r="L1993">
        <v>3000</v>
      </c>
      <c r="M1993">
        <v>3000</v>
      </c>
      <c r="N1993" t="s">
        <v>39</v>
      </c>
    </row>
    <row r="1994" spans="1:14" x14ac:dyDescent="0.25">
      <c r="A1994" t="str">
        <f>Table3[[#This Row],[Company Name]] &amp; " - " &amp; Table3[[#This Row],[Store Name]] &amp; " - " &amp; Table3[[#This Row],[Store Branch / Address]]</f>
        <v>THREE STARS VENTURES INC - FLUFF PANCAKES &amp;  COFFEE - ROB. MANILA</v>
      </c>
      <c r="B1994" t="str">
        <f>Table3[[#This Row],[Client ID]] &amp; " - " &amp; Table3[[#This Row],[SO Number]]</f>
        <v>THREE STARS VENTURES INC - FLUFF PANCAKES &amp;  COFFEE - ROB. MANILA - SO-202</v>
      </c>
      <c r="C1994" t="s">
        <v>940</v>
      </c>
      <c r="D1994" t="s">
        <v>941</v>
      </c>
      <c r="E1994" t="s">
        <v>942</v>
      </c>
      <c r="F1994" t="s">
        <v>710</v>
      </c>
      <c r="G1994" t="s">
        <v>22</v>
      </c>
      <c r="H1994" t="s">
        <v>938</v>
      </c>
      <c r="I1994" t="s">
        <v>884</v>
      </c>
      <c r="J1994">
        <v>1</v>
      </c>
      <c r="K1994">
        <v>2650</v>
      </c>
      <c r="L1994">
        <v>4000</v>
      </c>
      <c r="M1994">
        <v>4000</v>
      </c>
      <c r="N1994" t="s">
        <v>39</v>
      </c>
    </row>
    <row r="1995" spans="1:14" x14ac:dyDescent="0.25">
      <c r="A1995" t="str">
        <f>Table3[[#This Row],[Company Name]] &amp; " - " &amp; Table3[[#This Row],[Store Name]] &amp; " - " &amp; Table3[[#This Row],[Store Branch / Address]]</f>
        <v>DAGDAGAN MICHAEL ENRICO SY - KALBROS BAR AND RESTAURANT - GENERIC</v>
      </c>
      <c r="B1995" t="str">
        <f>Table3[[#This Row],[Client ID]] &amp; " - " &amp; Table3[[#This Row],[SO Number]]</f>
        <v>DAGDAGAN MICHAEL ENRICO SY - KALBROS BAR AND RESTAURANT - GENERIC - SO-203</v>
      </c>
      <c r="C1995" t="s">
        <v>943</v>
      </c>
      <c r="D1995" t="s">
        <v>488</v>
      </c>
      <c r="E1995" t="s">
        <v>489</v>
      </c>
      <c r="F1995" t="s">
        <v>15</v>
      </c>
      <c r="G1995" t="s">
        <v>22</v>
      </c>
      <c r="H1995" t="s">
        <v>938</v>
      </c>
      <c r="I1995" t="s">
        <v>795</v>
      </c>
      <c r="J1995">
        <v>50</v>
      </c>
      <c r="K1995">
        <v>17</v>
      </c>
      <c r="L1995">
        <v>30</v>
      </c>
      <c r="M1995">
        <v>1500</v>
      </c>
      <c r="N1995" t="s">
        <v>19</v>
      </c>
    </row>
    <row r="1996" spans="1:14" x14ac:dyDescent="0.25">
      <c r="A1996" t="str">
        <f>Table3[[#This Row],[Company Name]] &amp; " - " &amp; Table3[[#This Row],[Store Name]] &amp; " - " &amp; Table3[[#This Row],[Store Branch / Address]]</f>
        <v>CANELLE FOOD CORPORATION - CINNABON - ES:</v>
      </c>
      <c r="B1996" t="str">
        <f>Table3[[#This Row],[Client ID]] &amp; " - " &amp; Table3[[#This Row],[SO Number]]</f>
        <v>CANELLE FOOD CORPORATION - CINNABON - ES: - SO-204</v>
      </c>
      <c r="C1996" t="s">
        <v>944</v>
      </c>
      <c r="D1996" t="s">
        <v>363</v>
      </c>
      <c r="E1996" t="s">
        <v>364</v>
      </c>
      <c r="F1996" t="s">
        <v>266</v>
      </c>
      <c r="G1996" t="s">
        <v>22</v>
      </c>
      <c r="H1996" t="s">
        <v>938</v>
      </c>
      <c r="I1996" t="s">
        <v>33</v>
      </c>
      <c r="J1996">
        <v>26</v>
      </c>
      <c r="K1996">
        <v>10000</v>
      </c>
      <c r="L1996">
        <v>10000</v>
      </c>
      <c r="M1996">
        <v>260000</v>
      </c>
      <c r="N1996" t="s">
        <v>19</v>
      </c>
    </row>
    <row r="1997" spans="1:14" x14ac:dyDescent="0.25">
      <c r="A1997" t="str">
        <f>Table3[[#This Row],[Company Name]] &amp; " - " &amp; Table3[[#This Row],[Store Name]] &amp; " - " &amp; Table3[[#This Row],[Store Branch / Address]]</f>
        <v>2SWR GROUPS INC - CINNABON - ES:</v>
      </c>
      <c r="B1997" t="str">
        <f>Table3[[#This Row],[Client ID]] &amp; " - " &amp; Table3[[#This Row],[SO Number]]</f>
        <v>2SWR GROUPS INC - CINNABON - ES: - SO-205</v>
      </c>
      <c r="C1997" t="s">
        <v>945</v>
      </c>
      <c r="D1997" t="s">
        <v>946</v>
      </c>
      <c r="E1997" t="s">
        <v>364</v>
      </c>
      <c r="F1997" t="s">
        <v>266</v>
      </c>
      <c r="G1997" t="s">
        <v>22</v>
      </c>
      <c r="H1997" t="s">
        <v>938</v>
      </c>
      <c r="I1997" t="s">
        <v>33</v>
      </c>
      <c r="J1997">
        <v>1</v>
      </c>
      <c r="K1997">
        <v>10000</v>
      </c>
      <c r="L1997">
        <v>10000</v>
      </c>
      <c r="M1997">
        <v>10000</v>
      </c>
      <c r="N1997" t="s">
        <v>19</v>
      </c>
    </row>
    <row r="1998" spans="1:14" x14ac:dyDescent="0.25">
      <c r="A1998" t="str">
        <f>Table3[[#This Row],[Company Name]] &amp; " - " &amp; Table3[[#This Row],[Store Name]] &amp; " - " &amp; Table3[[#This Row],[Store Branch / Address]]</f>
        <v>CINNALAND FOOD CORPORATION - CINNABON - ES:</v>
      </c>
      <c r="B1998" t="str">
        <f>Table3[[#This Row],[Client ID]] &amp; " - " &amp; Table3[[#This Row],[SO Number]]</f>
        <v>CINNALAND FOOD CORPORATION - CINNABON - ES: - SO-206</v>
      </c>
      <c r="C1998" t="s">
        <v>948</v>
      </c>
      <c r="D1998" t="s">
        <v>685</v>
      </c>
      <c r="E1998" t="s">
        <v>364</v>
      </c>
      <c r="F1998" t="s">
        <v>266</v>
      </c>
      <c r="G1998" t="s">
        <v>22</v>
      </c>
      <c r="H1998" t="s">
        <v>938</v>
      </c>
      <c r="I1998" t="s">
        <v>33</v>
      </c>
      <c r="J1998">
        <v>1</v>
      </c>
      <c r="K1998">
        <v>10000</v>
      </c>
      <c r="L1998">
        <v>10000</v>
      </c>
      <c r="M1998">
        <v>10000</v>
      </c>
      <c r="N1998" t="s">
        <v>19</v>
      </c>
    </row>
    <row r="1999" spans="1:14" x14ac:dyDescent="0.25">
      <c r="A1999" t="str">
        <f>Table3[[#This Row],[Company Name]] &amp; " - " &amp; Table3[[#This Row],[Store Name]] &amp; " - " &amp; Table3[[#This Row],[Store Branch / Address]]</f>
        <v>CINNAROLL BAKERY CORPORATION - CINNABON - ES:</v>
      </c>
      <c r="B1999" t="str">
        <f>Table3[[#This Row],[Client ID]] &amp; " - " &amp; Table3[[#This Row],[SO Number]]</f>
        <v>CINNAROLL BAKERY CORPORATION - CINNABON - ES: - SO-207</v>
      </c>
      <c r="C1999" t="s">
        <v>949</v>
      </c>
      <c r="D1999" t="s">
        <v>950</v>
      </c>
      <c r="E1999" t="s">
        <v>364</v>
      </c>
      <c r="F1999" t="s">
        <v>266</v>
      </c>
      <c r="G1999" t="s">
        <v>22</v>
      </c>
      <c r="H1999" t="s">
        <v>938</v>
      </c>
      <c r="I1999" t="s">
        <v>33</v>
      </c>
      <c r="J1999">
        <v>1</v>
      </c>
      <c r="K1999">
        <v>10000</v>
      </c>
      <c r="L1999">
        <v>10000</v>
      </c>
      <c r="M1999">
        <v>10000</v>
      </c>
      <c r="N1999" t="s">
        <v>19</v>
      </c>
    </row>
    <row r="2000" spans="1:14" x14ac:dyDescent="0.25">
      <c r="A2000" t="str">
        <f>Table3[[#This Row],[Company Name]] &amp; " - " &amp; Table3[[#This Row],[Store Name]] &amp; " - " &amp; Table3[[#This Row],[Store Branch / Address]]</f>
        <v>FROSTED BAKED BUNS CORP - CINNABON - ES:</v>
      </c>
      <c r="B2000" t="str">
        <f>Table3[[#This Row],[Client ID]] &amp; " - " &amp; Table3[[#This Row],[SO Number]]</f>
        <v>FROSTED BAKED BUNS CORP - CINNABON - ES: - SO-208</v>
      </c>
      <c r="C2000" t="s">
        <v>952</v>
      </c>
      <c r="D2000" t="s">
        <v>953</v>
      </c>
      <c r="E2000" t="s">
        <v>364</v>
      </c>
      <c r="F2000" t="s">
        <v>266</v>
      </c>
      <c r="G2000" t="s">
        <v>22</v>
      </c>
      <c r="H2000" t="s">
        <v>938</v>
      </c>
      <c r="I2000" t="s">
        <v>33</v>
      </c>
      <c r="J2000">
        <v>1</v>
      </c>
      <c r="K2000">
        <v>10000</v>
      </c>
      <c r="L2000">
        <v>10000</v>
      </c>
      <c r="M2000">
        <v>10000</v>
      </c>
      <c r="N2000" t="s">
        <v>19</v>
      </c>
    </row>
    <row r="2001" spans="1:14" x14ac:dyDescent="0.25">
      <c r="A2001" t="str">
        <f>Table3[[#This Row],[Company Name]] &amp; " - " &amp; Table3[[#This Row],[Store Name]] &amp; " - " &amp; Table3[[#This Row],[Store Branch / Address]]</f>
        <v>FROSTED ROLLS INC - CINNABON - ES:</v>
      </c>
      <c r="B2001" t="str">
        <f>Table3[[#This Row],[Client ID]] &amp; " - " &amp; Table3[[#This Row],[SO Number]]</f>
        <v>FROSTED ROLLS INC - CINNABON - ES: - SO-209</v>
      </c>
      <c r="C2001" t="s">
        <v>954</v>
      </c>
      <c r="D2001" t="s">
        <v>955</v>
      </c>
      <c r="E2001" t="s">
        <v>364</v>
      </c>
      <c r="F2001" t="s">
        <v>266</v>
      </c>
      <c r="G2001" t="s">
        <v>22</v>
      </c>
      <c r="H2001" t="s">
        <v>938</v>
      </c>
      <c r="I2001" t="s">
        <v>33</v>
      </c>
      <c r="J2001">
        <v>1</v>
      </c>
      <c r="K2001">
        <v>10000</v>
      </c>
      <c r="L2001">
        <v>10000</v>
      </c>
      <c r="M2001">
        <v>10000</v>
      </c>
      <c r="N2001" t="s">
        <v>19</v>
      </c>
    </row>
    <row r="2002" spans="1:14" x14ac:dyDescent="0.25">
      <c r="A2002" t="str">
        <f>Table3[[#This Row],[Company Name]] &amp; " - " &amp; Table3[[#This Row],[Store Name]] &amp; " - " &amp; Table3[[#This Row],[Store Branch / Address]]</f>
        <v>FROSTING ON ROLLS INC - CINNABON - ES:</v>
      </c>
      <c r="B2002" t="str">
        <f>Table3[[#This Row],[Client ID]] &amp; " - " &amp; Table3[[#This Row],[SO Number]]</f>
        <v>FROSTING ON ROLLS INC - CINNABON - ES: - SO-210</v>
      </c>
      <c r="C2002" t="s">
        <v>956</v>
      </c>
      <c r="D2002" t="s">
        <v>957</v>
      </c>
      <c r="E2002" t="s">
        <v>364</v>
      </c>
      <c r="F2002" t="s">
        <v>266</v>
      </c>
      <c r="G2002" t="s">
        <v>22</v>
      </c>
      <c r="H2002" t="s">
        <v>938</v>
      </c>
      <c r="I2002" t="s">
        <v>33</v>
      </c>
      <c r="J2002">
        <v>1</v>
      </c>
      <c r="K2002">
        <v>10000</v>
      </c>
      <c r="L2002">
        <v>10000</v>
      </c>
      <c r="M2002">
        <v>10000</v>
      </c>
      <c r="N2002" t="s">
        <v>19</v>
      </c>
    </row>
    <row r="2003" spans="1:14" x14ac:dyDescent="0.25">
      <c r="A2003" t="str">
        <f>Table3[[#This Row],[Company Name]] &amp; " - " &amp; Table3[[#This Row],[Store Name]] &amp; " - " &amp; Table3[[#This Row],[Store Branch / Address]]</f>
        <v>IGO WAFU FOOD CORP - CINNABON - ES:</v>
      </c>
      <c r="B2003" t="str">
        <f>Table3[[#This Row],[Client ID]] &amp; " - " &amp; Table3[[#This Row],[SO Number]]</f>
        <v>IGO WAFU FOOD CORP - CINNABON - ES: - SO-211</v>
      </c>
      <c r="C2003" t="s">
        <v>958</v>
      </c>
      <c r="D2003" t="s">
        <v>959</v>
      </c>
      <c r="E2003" t="s">
        <v>364</v>
      </c>
      <c r="F2003" t="s">
        <v>266</v>
      </c>
      <c r="G2003" t="s">
        <v>22</v>
      </c>
      <c r="H2003" t="s">
        <v>938</v>
      </c>
      <c r="I2003" t="s">
        <v>33</v>
      </c>
      <c r="J2003">
        <v>1</v>
      </c>
      <c r="K2003">
        <v>10000</v>
      </c>
      <c r="L2003">
        <v>10000</v>
      </c>
      <c r="M2003">
        <v>10000</v>
      </c>
      <c r="N2003" t="s">
        <v>19</v>
      </c>
    </row>
    <row r="2004" spans="1:14" x14ac:dyDescent="0.25">
      <c r="A2004" t="str">
        <f>Table3[[#This Row],[Company Name]] &amp; " - " &amp; Table3[[#This Row],[Store Name]] &amp; " - " &amp; Table3[[#This Row],[Store Branch / Address]]</f>
        <v>ILO CANELLA FOOD CORPORATION - CINNABON - ES:</v>
      </c>
      <c r="B2004" t="str">
        <f>Table3[[#This Row],[Client ID]] &amp; " - " &amp; Table3[[#This Row],[SO Number]]</f>
        <v>ILO CANELLA FOOD CORPORATION - CINNABON - ES: - SO-212</v>
      </c>
      <c r="C2004" t="s">
        <v>960</v>
      </c>
      <c r="D2004" t="s">
        <v>961</v>
      </c>
      <c r="E2004" t="s">
        <v>364</v>
      </c>
      <c r="F2004" t="s">
        <v>266</v>
      </c>
      <c r="G2004" t="s">
        <v>22</v>
      </c>
      <c r="H2004" t="s">
        <v>938</v>
      </c>
      <c r="I2004" t="s">
        <v>33</v>
      </c>
      <c r="J2004">
        <v>1</v>
      </c>
      <c r="K2004">
        <v>10000</v>
      </c>
      <c r="L2004">
        <v>10000</v>
      </c>
      <c r="M2004">
        <v>10000</v>
      </c>
      <c r="N2004" t="s">
        <v>19</v>
      </c>
    </row>
    <row r="2005" spans="1:14" x14ac:dyDescent="0.25">
      <c r="A2005" t="str">
        <f>Table3[[#This Row],[Company Name]] &amp; " - " &amp; Table3[[#This Row],[Store Name]] &amp; " - " &amp; Table3[[#This Row],[Store Branch / Address]]</f>
        <v>LNF FOOD INC - CINNABON - ES:</v>
      </c>
      <c r="B2005" t="str">
        <f>Table3[[#This Row],[Client ID]] &amp; " - " &amp; Table3[[#This Row],[SO Number]]</f>
        <v>LNF FOOD INC - CINNABON - ES: - SO-213</v>
      </c>
      <c r="C2005" t="s">
        <v>962</v>
      </c>
      <c r="D2005" t="s">
        <v>963</v>
      </c>
      <c r="E2005" t="s">
        <v>364</v>
      </c>
      <c r="F2005" t="s">
        <v>266</v>
      </c>
      <c r="G2005" t="s">
        <v>22</v>
      </c>
      <c r="H2005" t="s">
        <v>938</v>
      </c>
      <c r="I2005" t="s">
        <v>33</v>
      </c>
      <c r="J2005">
        <v>1</v>
      </c>
      <c r="K2005">
        <v>10000</v>
      </c>
      <c r="L2005">
        <v>10000</v>
      </c>
      <c r="M2005">
        <v>10000</v>
      </c>
      <c r="N2005" t="s">
        <v>19</v>
      </c>
    </row>
    <row r="2006" spans="1:14" x14ac:dyDescent="0.25">
      <c r="A2006" t="str">
        <f>Table3[[#This Row],[Company Name]] &amp; " - " &amp; Table3[[#This Row],[Store Name]] &amp; " - " &amp; Table3[[#This Row],[Store Branch / Address]]</f>
        <v>ROADSIDE ROLLS FOOD CORP - CINNABON - ES:</v>
      </c>
      <c r="B2006" t="str">
        <f>Table3[[#This Row],[Client ID]] &amp; " - " &amp; Table3[[#This Row],[SO Number]]</f>
        <v>ROADSIDE ROLLS FOOD CORP - CINNABON - ES: - SO-214</v>
      </c>
      <c r="C2006" t="s">
        <v>964</v>
      </c>
      <c r="D2006" t="s">
        <v>965</v>
      </c>
      <c r="E2006" t="s">
        <v>364</v>
      </c>
      <c r="F2006" t="s">
        <v>266</v>
      </c>
      <c r="G2006" t="s">
        <v>22</v>
      </c>
      <c r="H2006" t="s">
        <v>938</v>
      </c>
      <c r="I2006" t="s">
        <v>33</v>
      </c>
      <c r="J2006">
        <v>1</v>
      </c>
      <c r="K2006">
        <v>10000</v>
      </c>
      <c r="L2006">
        <v>10000</v>
      </c>
      <c r="M2006">
        <v>10000</v>
      </c>
      <c r="N2006" t="s">
        <v>19</v>
      </c>
    </row>
    <row r="2007" spans="1:14" x14ac:dyDescent="0.25">
      <c r="A2007" t="str">
        <f>Table3[[#This Row],[Company Name]] &amp; " - " &amp; Table3[[#This Row],[Store Name]] &amp; " - " &amp; Table3[[#This Row],[Store Branch / Address]]</f>
        <v>SWEET AND FROSTED INC - CINNABON - ES:</v>
      </c>
      <c r="B2007" t="str">
        <f>Table3[[#This Row],[Client ID]] &amp; " - " &amp; Table3[[#This Row],[SO Number]]</f>
        <v>SWEET AND FROSTED INC - CINNABON - ES: - SO-215</v>
      </c>
      <c r="C2007" t="s">
        <v>966</v>
      </c>
      <c r="D2007" t="s">
        <v>967</v>
      </c>
      <c r="E2007" t="s">
        <v>364</v>
      </c>
      <c r="F2007" t="s">
        <v>266</v>
      </c>
      <c r="G2007" t="s">
        <v>22</v>
      </c>
      <c r="H2007" t="s">
        <v>938</v>
      </c>
      <c r="I2007" t="s">
        <v>33</v>
      </c>
      <c r="J2007">
        <v>1</v>
      </c>
      <c r="K2007">
        <v>10000</v>
      </c>
      <c r="L2007">
        <v>10000</v>
      </c>
      <c r="M2007">
        <v>10000</v>
      </c>
      <c r="N2007" t="s">
        <v>19</v>
      </c>
    </row>
    <row r="2008" spans="1:14" x14ac:dyDescent="0.25">
      <c r="A2008" t="str">
        <f>Table3[[#This Row],[Company Name]] &amp; " - " &amp; Table3[[#This Row],[Store Name]] &amp; " - " &amp; Table3[[#This Row],[Store Branch / Address]]</f>
        <v>SWEET STOP STATION INC - CINNABON - ES:</v>
      </c>
      <c r="B2008" t="str">
        <f>Table3[[#This Row],[Client ID]] &amp; " - " &amp; Table3[[#This Row],[SO Number]]</f>
        <v>SWEET STOP STATION INC - CINNABON - ES: - SO-216</v>
      </c>
      <c r="C2008" t="s">
        <v>968</v>
      </c>
      <c r="D2008" t="s">
        <v>706</v>
      </c>
      <c r="E2008" t="s">
        <v>364</v>
      </c>
      <c r="F2008" t="s">
        <v>266</v>
      </c>
      <c r="G2008" t="s">
        <v>22</v>
      </c>
      <c r="H2008" t="s">
        <v>938</v>
      </c>
      <c r="I2008" t="s">
        <v>33</v>
      </c>
      <c r="J2008">
        <v>1</v>
      </c>
      <c r="K2008">
        <v>10000</v>
      </c>
      <c r="L2008">
        <v>10000</v>
      </c>
      <c r="M2008">
        <v>10000</v>
      </c>
      <c r="N2008" t="s">
        <v>19</v>
      </c>
    </row>
    <row r="2009" spans="1:14" x14ac:dyDescent="0.25">
      <c r="A2009" t="str">
        <f>Table3[[#This Row],[Company Name]] &amp; " - " &amp; Table3[[#This Row],[Store Name]] &amp; " - " &amp; Table3[[#This Row],[Store Branch / Address]]</f>
        <v>SYM2PLY DELICIOUS CORP - CINNABON - ES:</v>
      </c>
      <c r="B2009" t="str">
        <f>Table3[[#This Row],[Client ID]] &amp; " - " &amp; Table3[[#This Row],[SO Number]]</f>
        <v>SYM2PLY DELICIOUS CORP - CINNABON - ES: - SO-217</v>
      </c>
      <c r="C2009" t="s">
        <v>970</v>
      </c>
      <c r="D2009" t="s">
        <v>971</v>
      </c>
      <c r="E2009" t="s">
        <v>364</v>
      </c>
      <c r="F2009" t="s">
        <v>266</v>
      </c>
      <c r="G2009" t="s">
        <v>22</v>
      </c>
      <c r="H2009" t="s">
        <v>938</v>
      </c>
      <c r="I2009" t="s">
        <v>33</v>
      </c>
      <c r="J2009">
        <v>1</v>
      </c>
      <c r="K2009">
        <v>10000</v>
      </c>
      <c r="L2009">
        <v>10000</v>
      </c>
      <c r="M2009">
        <v>10000</v>
      </c>
      <c r="N2009" t="s">
        <v>19</v>
      </c>
    </row>
    <row r="2010" spans="1:14" x14ac:dyDescent="0.25">
      <c r="A2010" t="str">
        <f>Table3[[#This Row],[Company Name]] &amp; " - " &amp; Table3[[#This Row],[Store Name]] &amp; " - " &amp; Table3[[#This Row],[Store Branch / Address]]</f>
        <v>CHICKEN DELI - SM MASINAG - GENERIC</v>
      </c>
      <c r="B2010" t="str">
        <f>Table3[[#This Row],[Client ID]] &amp; " - " &amp; Table3[[#This Row],[SO Number]]</f>
        <v>CHICKEN DELI - SM MASINAG - GENERIC - SO-236</v>
      </c>
      <c r="C2010" t="s">
        <v>1001</v>
      </c>
      <c r="D2010" t="s">
        <v>20</v>
      </c>
      <c r="E2010" t="s">
        <v>379</v>
      </c>
      <c r="F2010" t="s">
        <v>15</v>
      </c>
      <c r="G2010" t="s">
        <v>22</v>
      </c>
      <c r="H2010" t="s">
        <v>1002</v>
      </c>
      <c r="I2010" t="s">
        <v>381</v>
      </c>
      <c r="J2010">
        <v>1</v>
      </c>
      <c r="K2010">
        <v>17</v>
      </c>
      <c r="L2010">
        <v>1250</v>
      </c>
      <c r="M2010">
        <v>1250</v>
      </c>
      <c r="N2010" t="s">
        <v>19</v>
      </c>
    </row>
    <row r="2011" spans="1:14" x14ac:dyDescent="0.25">
      <c r="A2011" t="str">
        <f>Table3[[#This Row],[Company Name]] &amp; " - " &amp; Table3[[#This Row],[Store Name]] &amp; " - " &amp; Table3[[#This Row],[Store Branch / Address]]</f>
        <v>CHICKEN DELI - PAOTSIN - GENERIC</v>
      </c>
      <c r="B2011" t="str">
        <f>Table3[[#This Row],[Client ID]] &amp; " - " &amp; Table3[[#This Row],[SO Number]]</f>
        <v>CHICKEN DELI - PAOTSIN - GENERIC - SO-237</v>
      </c>
      <c r="C2011" t="s">
        <v>1003</v>
      </c>
      <c r="D2011" t="s">
        <v>20</v>
      </c>
      <c r="E2011" t="s">
        <v>623</v>
      </c>
      <c r="F2011" t="s">
        <v>15</v>
      </c>
      <c r="G2011" t="s">
        <v>22</v>
      </c>
      <c r="H2011" t="s">
        <v>1002</v>
      </c>
      <c r="I2011" t="s">
        <v>761</v>
      </c>
      <c r="J2011">
        <v>1</v>
      </c>
      <c r="K2011">
        <v>8500</v>
      </c>
      <c r="L2011">
        <v>12000</v>
      </c>
      <c r="M2011">
        <v>12000</v>
      </c>
      <c r="N2011" t="s">
        <v>19</v>
      </c>
    </row>
    <row r="2012" spans="1:14" x14ac:dyDescent="0.25">
      <c r="A2012" t="str">
        <f>Table3[[#This Row],[Company Name]] &amp; " - " &amp; Table3[[#This Row],[Store Name]] &amp; " - " &amp; Table3[[#This Row],[Store Branch / Address]]</f>
        <v>CHICKEN DELI - PAOTSIN - GENERIC</v>
      </c>
      <c r="B2012" t="str">
        <f>Table3[[#This Row],[Client ID]] &amp; " - " &amp; Table3[[#This Row],[SO Number]]</f>
        <v>CHICKEN DELI - PAOTSIN - GENERIC - SO-237</v>
      </c>
      <c r="C2012" t="s">
        <v>1003</v>
      </c>
      <c r="D2012" t="s">
        <v>20</v>
      </c>
      <c r="E2012" t="s">
        <v>623</v>
      </c>
      <c r="F2012" t="s">
        <v>15</v>
      </c>
      <c r="G2012" t="s">
        <v>22</v>
      </c>
      <c r="H2012" t="s">
        <v>1002</v>
      </c>
      <c r="I2012" t="s">
        <v>76</v>
      </c>
      <c r="J2012">
        <v>1</v>
      </c>
      <c r="K2012">
        <v>500</v>
      </c>
      <c r="L2012">
        <v>500</v>
      </c>
      <c r="M2012">
        <v>500</v>
      </c>
      <c r="N2012" t="s">
        <v>19</v>
      </c>
    </row>
    <row r="2013" spans="1:14" x14ac:dyDescent="0.25">
      <c r="A2013" t="str">
        <f>Table3[[#This Row],[Company Name]] &amp; " - " &amp; Table3[[#This Row],[Store Name]] &amp; " - " &amp; Table3[[#This Row],[Store Branch / Address]]</f>
        <v>M W TOWNSTORE - M &amp; W - GENERIC</v>
      </c>
      <c r="B2013" t="str">
        <f>Table3[[#This Row],[Client ID]] &amp; " - " &amp; Table3[[#This Row],[SO Number]]</f>
        <v>M W TOWNSTORE - M &amp; W - GENERIC - SO-238</v>
      </c>
      <c r="C2013" t="s">
        <v>1004</v>
      </c>
      <c r="D2013" t="s">
        <v>191</v>
      </c>
      <c r="E2013" t="s">
        <v>192</v>
      </c>
      <c r="F2013" t="s">
        <v>15</v>
      </c>
      <c r="G2013" t="s">
        <v>22</v>
      </c>
      <c r="H2013" t="s">
        <v>1002</v>
      </c>
      <c r="I2013" t="s">
        <v>581</v>
      </c>
      <c r="J2013">
        <v>2</v>
      </c>
      <c r="K2013">
        <v>11000</v>
      </c>
      <c r="L2013">
        <v>15500</v>
      </c>
      <c r="M2013">
        <v>31000</v>
      </c>
      <c r="N2013" t="s">
        <v>19</v>
      </c>
    </row>
    <row r="2014" spans="1:14" x14ac:dyDescent="0.25">
      <c r="A2014" t="str">
        <f>Table3[[#This Row],[Company Name]] &amp; " - " &amp; Table3[[#This Row],[Store Name]] &amp; " - " &amp; Table3[[#This Row],[Store Branch / Address]]</f>
        <v>M W TOWNSTORE - M &amp; W - GENERIC</v>
      </c>
      <c r="B2014" t="str">
        <f>Table3[[#This Row],[Client ID]] &amp; " - " &amp; Table3[[#This Row],[SO Number]]</f>
        <v>M W TOWNSTORE - M &amp; W - GENERIC - SO-238</v>
      </c>
      <c r="C2014" t="s">
        <v>1004</v>
      </c>
      <c r="D2014" t="s">
        <v>191</v>
      </c>
      <c r="E2014" t="s">
        <v>192</v>
      </c>
      <c r="F2014" t="s">
        <v>15</v>
      </c>
      <c r="G2014" t="s">
        <v>22</v>
      </c>
      <c r="H2014" t="s">
        <v>1002</v>
      </c>
      <c r="I2014" t="s">
        <v>76</v>
      </c>
      <c r="J2014">
        <v>1</v>
      </c>
      <c r="K2014">
        <v>1500</v>
      </c>
      <c r="L2014">
        <v>1500</v>
      </c>
      <c r="M2014">
        <v>1500</v>
      </c>
      <c r="N2014" t="s">
        <v>19</v>
      </c>
    </row>
    <row r="2015" spans="1:14" x14ac:dyDescent="0.25">
      <c r="A2015" t="str">
        <f>Table3[[#This Row],[Company Name]] &amp; " - " &amp; Table3[[#This Row],[Store Name]] &amp; " - " &amp; Table3[[#This Row],[Store Branch / Address]]</f>
        <v>VILLAVIZ CORPORATION - BACOLOD CHICKEN - GENERIC</v>
      </c>
      <c r="B2015" t="str">
        <f>Table3[[#This Row],[Client ID]] &amp; " - " &amp; Table3[[#This Row],[SO Number]]</f>
        <v>VILLAVIZ CORPORATION - BACOLOD CHICKEN - GENERIC - SO-218</v>
      </c>
      <c r="C2015" t="s">
        <v>972</v>
      </c>
      <c r="D2015" t="s">
        <v>973</v>
      </c>
      <c r="E2015" t="s">
        <v>311</v>
      </c>
      <c r="F2015" t="s">
        <v>15</v>
      </c>
      <c r="G2015" t="s">
        <v>22</v>
      </c>
      <c r="H2015" t="s">
        <v>974</v>
      </c>
      <c r="I2015" t="s">
        <v>114</v>
      </c>
      <c r="J2015">
        <v>1</v>
      </c>
      <c r="K2015">
        <v>3675</v>
      </c>
      <c r="L2015">
        <v>10500</v>
      </c>
      <c r="M2015">
        <v>10500</v>
      </c>
      <c r="N2015" t="s">
        <v>19</v>
      </c>
    </row>
    <row r="2016" spans="1:14" x14ac:dyDescent="0.25">
      <c r="A2016" t="str">
        <f>Table3[[#This Row],[Company Name]] &amp; " - " &amp; Table3[[#This Row],[Store Name]] &amp; " - " &amp; Table3[[#This Row],[Store Branch / Address]]</f>
        <v>AURORA CHARLIE FOOD VENTURES INC - MAMOU - GREENBELT 5</v>
      </c>
      <c r="B2016" t="str">
        <f>Table3[[#This Row],[Client ID]] &amp; " - " &amp; Table3[[#This Row],[SO Number]]</f>
        <v>AURORA CHARLIE FOOD VENTURES INC - MAMOU - GREENBELT 5 - SO-220</v>
      </c>
      <c r="C2016" t="s">
        <v>978</v>
      </c>
      <c r="D2016" t="s">
        <v>646</v>
      </c>
      <c r="E2016" t="s">
        <v>58</v>
      </c>
      <c r="F2016" t="s">
        <v>101</v>
      </c>
      <c r="G2016" t="s">
        <v>37</v>
      </c>
      <c r="H2016" t="s">
        <v>974</v>
      </c>
      <c r="I2016" t="s">
        <v>284</v>
      </c>
      <c r="J2016">
        <v>1</v>
      </c>
      <c r="K2016">
        <v>11000</v>
      </c>
      <c r="L2016">
        <v>16200</v>
      </c>
      <c r="M2016">
        <v>16200</v>
      </c>
      <c r="N2016" t="s">
        <v>39</v>
      </c>
    </row>
    <row r="2017" spans="1:14" x14ac:dyDescent="0.25">
      <c r="A2017" t="str">
        <f>Table3[[#This Row],[Company Name]] &amp; " - " &amp; Table3[[#This Row],[Store Name]] &amp; " - " &amp; Table3[[#This Row],[Store Branch / Address]]</f>
        <v>AURORA CHARLIE FOOD VENTURES INC - MAMOU - GREENBELT 5</v>
      </c>
      <c r="B2017" t="str">
        <f>Table3[[#This Row],[Client ID]] &amp; " - " &amp; Table3[[#This Row],[SO Number]]</f>
        <v>AURORA CHARLIE FOOD VENTURES INC - MAMOU - GREENBELT 5 - SO-220</v>
      </c>
      <c r="C2017" t="s">
        <v>978</v>
      </c>
      <c r="D2017" t="s">
        <v>646</v>
      </c>
      <c r="E2017" t="s">
        <v>58</v>
      </c>
      <c r="F2017" t="s">
        <v>101</v>
      </c>
      <c r="G2017" t="s">
        <v>37</v>
      </c>
      <c r="H2017" t="s">
        <v>974</v>
      </c>
      <c r="I2017" t="s">
        <v>63</v>
      </c>
      <c r="J2017">
        <v>1</v>
      </c>
      <c r="K2017">
        <v>300</v>
      </c>
      <c r="L2017">
        <v>300</v>
      </c>
      <c r="M2017">
        <v>300</v>
      </c>
      <c r="N2017" t="s">
        <v>39</v>
      </c>
    </row>
    <row r="2018" spans="1:14" x14ac:dyDescent="0.25">
      <c r="A2018" t="str">
        <f>Table3[[#This Row],[Company Name]] &amp; " - " &amp; Table3[[#This Row],[Store Name]] &amp; " - " &amp; Table3[[#This Row],[Store Branch / Address]]</f>
        <v>PHARMASAFE INC - MUSTELA - SM MEGAMALL</v>
      </c>
      <c r="B2018" t="str">
        <f>Table3[[#This Row],[Client ID]] &amp; " - " &amp; Table3[[#This Row],[SO Number]]</f>
        <v>PHARMASAFE INC - MUSTELA - SM MEGAMALL - SO-093</v>
      </c>
      <c r="C2018" t="s">
        <v>524</v>
      </c>
      <c r="D2018" t="s">
        <v>1099</v>
      </c>
      <c r="E2018" t="s">
        <v>1100</v>
      </c>
      <c r="F2018" t="s">
        <v>420</v>
      </c>
      <c r="G2018" t="s">
        <v>1043</v>
      </c>
      <c r="H2018" t="s">
        <v>1182</v>
      </c>
      <c r="I2018" t="s">
        <v>1159</v>
      </c>
      <c r="J2018">
        <v>1</v>
      </c>
      <c r="K2018">
        <v>8500</v>
      </c>
      <c r="L2018">
        <v>12200</v>
      </c>
      <c r="M2018">
        <v>12200</v>
      </c>
      <c r="N2018" t="s">
        <v>1010</v>
      </c>
    </row>
    <row r="2019" spans="1:14" x14ac:dyDescent="0.25">
      <c r="A2019" t="str">
        <f>Table3[[#This Row],[Company Name]] &amp; " - " &amp; Table3[[#This Row],[Store Name]] &amp; " - " &amp; Table3[[#This Row],[Store Branch / Address]]</f>
        <v>PHARMASAFE INC - MUSTELA - SM MEGAMALL</v>
      </c>
      <c r="B2019" t="str">
        <f>Table3[[#This Row],[Client ID]] &amp; " - " &amp; Table3[[#This Row],[SO Number]]</f>
        <v>PHARMASAFE INC - MUSTELA - SM MEGAMALL - SO-093</v>
      </c>
      <c r="C2019" t="s">
        <v>524</v>
      </c>
      <c r="D2019" t="s">
        <v>1099</v>
      </c>
      <c r="E2019" t="s">
        <v>1100</v>
      </c>
      <c r="F2019" t="s">
        <v>420</v>
      </c>
      <c r="G2019" t="s">
        <v>1043</v>
      </c>
      <c r="H2019" t="s">
        <v>1182</v>
      </c>
      <c r="I2019" t="s">
        <v>85</v>
      </c>
      <c r="J2019">
        <v>1</v>
      </c>
      <c r="K2019">
        <v>1350</v>
      </c>
      <c r="L2019">
        <v>2000</v>
      </c>
      <c r="M2019">
        <v>2000</v>
      </c>
      <c r="N2019" t="s">
        <v>1010</v>
      </c>
    </row>
    <row r="2020" spans="1:14" x14ac:dyDescent="0.25">
      <c r="A2020" t="str">
        <f>Table3[[#This Row],[Company Name]] &amp; " - " &amp; Table3[[#This Row],[Store Name]] &amp; " - " &amp; Table3[[#This Row],[Store Branch / Address]]</f>
        <v>PHARMASAFE INC - MUSTELA - SM MEGAMALL</v>
      </c>
      <c r="B2020" t="str">
        <f>Table3[[#This Row],[Client ID]] &amp; " - " &amp; Table3[[#This Row],[SO Number]]</f>
        <v>PHARMASAFE INC - MUSTELA - SM MEGAMALL - SO-093</v>
      </c>
      <c r="C2020" t="s">
        <v>524</v>
      </c>
      <c r="D2020" t="s">
        <v>1099</v>
      </c>
      <c r="E2020" t="s">
        <v>1100</v>
      </c>
      <c r="F2020" t="s">
        <v>420</v>
      </c>
      <c r="G2020" t="s">
        <v>1043</v>
      </c>
      <c r="H2020" t="s">
        <v>1182</v>
      </c>
      <c r="I2020" t="s">
        <v>63</v>
      </c>
      <c r="J2020">
        <v>1</v>
      </c>
      <c r="K2020">
        <v>300</v>
      </c>
      <c r="L2020">
        <v>300</v>
      </c>
      <c r="M2020">
        <v>300</v>
      </c>
      <c r="N2020" t="s">
        <v>1010</v>
      </c>
    </row>
    <row r="2021" spans="1:14" x14ac:dyDescent="0.25">
      <c r="A2021" t="str">
        <f>Table3[[#This Row],[Company Name]] &amp; " - " &amp; Table3[[#This Row],[Store Name]] &amp; " - " &amp; Table3[[#This Row],[Store Branch / Address]]</f>
        <v>PHARMASAFE INC - MUSTELA - SM MOA</v>
      </c>
      <c r="B2021" t="str">
        <f>Table3[[#This Row],[Client ID]] &amp; " - " &amp; Table3[[#This Row],[SO Number]]</f>
        <v>PHARMASAFE INC - MUSTELA - SM MOA - SO-094</v>
      </c>
      <c r="C2021" t="s">
        <v>535</v>
      </c>
      <c r="D2021" t="s">
        <v>1099</v>
      </c>
      <c r="E2021" t="s">
        <v>1100</v>
      </c>
      <c r="F2021" t="s">
        <v>201</v>
      </c>
      <c r="G2021" t="s">
        <v>1043</v>
      </c>
      <c r="H2021" t="s">
        <v>1182</v>
      </c>
      <c r="I2021" t="s">
        <v>1159</v>
      </c>
      <c r="J2021">
        <v>1</v>
      </c>
      <c r="K2021">
        <v>8500</v>
      </c>
      <c r="L2021">
        <v>12200</v>
      </c>
      <c r="M2021">
        <v>12200</v>
      </c>
      <c r="N2021" t="s">
        <v>1010</v>
      </c>
    </row>
    <row r="2022" spans="1:14" x14ac:dyDescent="0.25">
      <c r="A2022" t="str">
        <f>Table3[[#This Row],[Company Name]] &amp; " - " &amp; Table3[[#This Row],[Store Name]] &amp; " - " &amp; Table3[[#This Row],[Store Branch / Address]]</f>
        <v>PHARMASAFE INC - MUSTELA - SM MOA</v>
      </c>
      <c r="B2022" t="str">
        <f>Table3[[#This Row],[Client ID]] &amp; " - " &amp; Table3[[#This Row],[SO Number]]</f>
        <v>PHARMASAFE INC - MUSTELA - SM MOA - SO-094</v>
      </c>
      <c r="C2022" t="s">
        <v>535</v>
      </c>
      <c r="D2022" t="s">
        <v>1099</v>
      </c>
      <c r="E2022" t="s">
        <v>1100</v>
      </c>
      <c r="F2022" t="s">
        <v>201</v>
      </c>
      <c r="G2022" t="s">
        <v>1043</v>
      </c>
      <c r="H2022" t="s">
        <v>1182</v>
      </c>
      <c r="I2022" t="s">
        <v>85</v>
      </c>
      <c r="J2022">
        <v>1</v>
      </c>
      <c r="K2022">
        <v>1350</v>
      </c>
      <c r="L2022">
        <v>2000</v>
      </c>
      <c r="M2022">
        <v>2000</v>
      </c>
      <c r="N2022" t="s">
        <v>1010</v>
      </c>
    </row>
    <row r="2023" spans="1:14" x14ac:dyDescent="0.25">
      <c r="A2023" t="str">
        <f>Table3[[#This Row],[Company Name]] &amp; " - " &amp; Table3[[#This Row],[Store Name]] &amp; " - " &amp; Table3[[#This Row],[Store Branch / Address]]</f>
        <v>PHARMASAFE INC - MUSTELA - SM MOA</v>
      </c>
      <c r="B2023" t="str">
        <f>Table3[[#This Row],[Client ID]] &amp; " - " &amp; Table3[[#This Row],[SO Number]]</f>
        <v>PHARMASAFE INC - MUSTELA - SM MOA - SO-094</v>
      </c>
      <c r="C2023" t="s">
        <v>535</v>
      </c>
      <c r="D2023" t="s">
        <v>1099</v>
      </c>
      <c r="E2023" t="s">
        <v>1100</v>
      </c>
      <c r="F2023" t="s">
        <v>201</v>
      </c>
      <c r="G2023" t="s">
        <v>1043</v>
      </c>
      <c r="H2023" t="s">
        <v>1182</v>
      </c>
      <c r="I2023" t="s">
        <v>63</v>
      </c>
      <c r="J2023">
        <v>1</v>
      </c>
      <c r="K2023">
        <v>300</v>
      </c>
      <c r="L2023">
        <v>300</v>
      </c>
      <c r="M2023">
        <v>300</v>
      </c>
      <c r="N2023" t="s">
        <v>1010</v>
      </c>
    </row>
    <row r="2024" spans="1:14" x14ac:dyDescent="0.25">
      <c r="A2024" t="str">
        <f>Table3[[#This Row],[Company Name]] &amp; " - " &amp; Table3[[#This Row],[Store Name]] &amp; " - " &amp; Table3[[#This Row],[Store Branch / Address]]</f>
        <v>TRE FIL HOLDINGS CORPORATION - COLONIAL CREAMERY - AYALA MALLS MANILA BAY</v>
      </c>
      <c r="B2024" t="str">
        <f>Table3[[#This Row],[Client ID]] &amp; " - " &amp; Table3[[#This Row],[SO Number]]</f>
        <v>TRE FIL HOLDINGS CORPORATION - COLONIAL CREAMERY - AYALA MALLS MANILA BAY - SO-001</v>
      </c>
      <c r="C2024" t="s">
        <v>12</v>
      </c>
      <c r="D2024" t="s">
        <v>497</v>
      </c>
      <c r="E2024" t="s">
        <v>498</v>
      </c>
      <c r="F2024" t="s">
        <v>1089</v>
      </c>
      <c r="G2024" t="s">
        <v>16</v>
      </c>
      <c r="H2024" t="s">
        <v>1183</v>
      </c>
      <c r="I2024" t="s">
        <v>1184</v>
      </c>
      <c r="J2024">
        <v>1</v>
      </c>
      <c r="K2024">
        <v>3675</v>
      </c>
      <c r="L2024">
        <v>10500</v>
      </c>
      <c r="M2024">
        <v>10500</v>
      </c>
      <c r="N2024" t="s">
        <v>39</v>
      </c>
    </row>
    <row r="2025" spans="1:14" x14ac:dyDescent="0.25">
      <c r="A2025" t="str">
        <f>Table3[[#This Row],[Company Name]] &amp; " - " &amp; Table3[[#This Row],[Store Name]] &amp; " - " &amp; Table3[[#This Row],[Store Branch / Address]]</f>
        <v>TRE FIL HOLDINGS CORPORATION - COLONIAL CREAMERY - AYALA MALLS MANILA BAY</v>
      </c>
      <c r="B2025" t="str">
        <f>Table3[[#This Row],[Client ID]] &amp; " - " &amp; Table3[[#This Row],[SO Number]]</f>
        <v>TRE FIL HOLDINGS CORPORATION - COLONIAL CREAMERY - AYALA MALLS MANILA BAY - SO-001</v>
      </c>
      <c r="C2025" t="s">
        <v>12</v>
      </c>
      <c r="D2025" t="s">
        <v>497</v>
      </c>
      <c r="E2025" t="s">
        <v>498</v>
      </c>
      <c r="F2025" t="s">
        <v>1089</v>
      </c>
      <c r="G2025" t="s">
        <v>16</v>
      </c>
      <c r="H2025" t="s">
        <v>1183</v>
      </c>
      <c r="I2025" t="s">
        <v>48</v>
      </c>
      <c r="J2025">
        <v>1</v>
      </c>
      <c r="K2025">
        <v>9200</v>
      </c>
      <c r="L2025">
        <v>9200</v>
      </c>
      <c r="M2025">
        <v>9200</v>
      </c>
      <c r="N2025" t="s">
        <v>39</v>
      </c>
    </row>
    <row r="2026" spans="1:14" x14ac:dyDescent="0.25">
      <c r="A2026" t="str">
        <f>Table3[[#This Row],[Company Name]] &amp; " - " &amp; Table3[[#This Row],[Store Name]] &amp; " - " &amp; Table3[[#This Row],[Store Branch / Address]]</f>
        <v>TRE FIL HOLDINGS CORPORATION - COLONIAL CREAMERY - AYALA MALLS MANILA BAY</v>
      </c>
      <c r="B2026" t="str">
        <f>Table3[[#This Row],[Client ID]] &amp; " - " &amp; Table3[[#This Row],[SO Number]]</f>
        <v>TRE FIL HOLDINGS CORPORATION - COLONIAL CREAMERY - AYALA MALLS MANILA BAY - SO-001</v>
      </c>
      <c r="C2026" t="s">
        <v>12</v>
      </c>
      <c r="D2026" t="s">
        <v>497</v>
      </c>
      <c r="E2026" t="s">
        <v>498</v>
      </c>
      <c r="F2026" t="s">
        <v>1089</v>
      </c>
      <c r="G2026" t="s">
        <v>16</v>
      </c>
      <c r="H2026" t="s">
        <v>1183</v>
      </c>
      <c r="I2026" t="s">
        <v>126</v>
      </c>
      <c r="J2026">
        <v>1</v>
      </c>
      <c r="K2026">
        <v>9200</v>
      </c>
      <c r="L2026">
        <v>9200</v>
      </c>
      <c r="M2026">
        <v>9200</v>
      </c>
      <c r="N2026" t="s">
        <v>39</v>
      </c>
    </row>
    <row r="2027" spans="1:14" x14ac:dyDescent="0.25">
      <c r="A2027" t="str">
        <f>Table3[[#This Row],[Company Name]] &amp; " - " &amp; Table3[[#This Row],[Store Name]] &amp; " - " &amp; Table3[[#This Row],[Store Branch / Address]]</f>
        <v>TRE FIL HOLDINGS CORPORATION - COLONIAL CREAMERY - AYALA MALLS MANILA BAY</v>
      </c>
      <c r="B2027" t="str">
        <f>Table3[[#This Row],[Client ID]] &amp; " - " &amp; Table3[[#This Row],[SO Number]]</f>
        <v>TRE FIL HOLDINGS CORPORATION - COLONIAL CREAMERY - AYALA MALLS MANILA BAY - SO-001</v>
      </c>
      <c r="C2027" t="s">
        <v>12</v>
      </c>
      <c r="D2027" t="s">
        <v>497</v>
      </c>
      <c r="E2027" t="s">
        <v>498</v>
      </c>
      <c r="F2027" t="s">
        <v>1089</v>
      </c>
      <c r="G2027" t="s">
        <v>16</v>
      </c>
      <c r="H2027" t="s">
        <v>1183</v>
      </c>
      <c r="I2027" t="s">
        <v>38</v>
      </c>
      <c r="J2027">
        <v>1</v>
      </c>
      <c r="K2027">
        <v>8500</v>
      </c>
      <c r="L2027">
        <v>12000</v>
      </c>
      <c r="M2027">
        <v>12000</v>
      </c>
      <c r="N2027" t="s">
        <v>39</v>
      </c>
    </row>
    <row r="2028" spans="1:14" x14ac:dyDescent="0.25">
      <c r="A2028" t="str">
        <f>Table3[[#This Row],[Company Name]] &amp; " - " &amp; Table3[[#This Row],[Store Name]] &amp; " - " &amp; Table3[[#This Row],[Store Branch / Address]]</f>
        <v>TRE FIL HOLDINGS CORPORATION - COLONIAL CREAMERY - AYALA MALLS MANILA BAY</v>
      </c>
      <c r="B2028" t="str">
        <f>Table3[[#This Row],[Client ID]] &amp; " - " &amp; Table3[[#This Row],[SO Number]]</f>
        <v>TRE FIL HOLDINGS CORPORATION - COLONIAL CREAMERY - AYALA MALLS MANILA BAY - SO-001</v>
      </c>
      <c r="C2028" t="s">
        <v>12</v>
      </c>
      <c r="D2028" t="s">
        <v>497</v>
      </c>
      <c r="E2028" t="s">
        <v>498</v>
      </c>
      <c r="F2028" t="s">
        <v>1089</v>
      </c>
      <c r="G2028" t="s">
        <v>16</v>
      </c>
      <c r="H2028" t="s">
        <v>1183</v>
      </c>
      <c r="I2028" t="s">
        <v>97</v>
      </c>
      <c r="J2028">
        <v>1</v>
      </c>
      <c r="K2028">
        <v>2200</v>
      </c>
      <c r="L2028">
        <v>3000</v>
      </c>
      <c r="M2028">
        <v>3000</v>
      </c>
      <c r="N2028" t="s">
        <v>39</v>
      </c>
    </row>
    <row r="2029" spans="1:14" x14ac:dyDescent="0.25">
      <c r="A2029" t="str">
        <f>Table3[[#This Row],[Company Name]] &amp; " - " &amp; Table3[[#This Row],[Store Name]] &amp; " - " &amp; Table3[[#This Row],[Store Branch / Address]]</f>
        <v>TRE FIL HOLDINGS CORPORATION - COLONIAL CREAMERY - AYALA MALLS MANILA BAY</v>
      </c>
      <c r="B2029" t="str">
        <f>Table3[[#This Row],[Client ID]] &amp; " - " &amp; Table3[[#This Row],[SO Number]]</f>
        <v>TRE FIL HOLDINGS CORPORATION - COLONIAL CREAMERY - AYALA MALLS MANILA BAY - SO-001</v>
      </c>
      <c r="C2029" t="s">
        <v>12</v>
      </c>
      <c r="D2029" t="s">
        <v>497</v>
      </c>
      <c r="E2029" t="s">
        <v>498</v>
      </c>
      <c r="F2029" t="s">
        <v>1089</v>
      </c>
      <c r="G2029" t="s">
        <v>16</v>
      </c>
      <c r="H2029" t="s">
        <v>1183</v>
      </c>
      <c r="I2029" t="s">
        <v>284</v>
      </c>
      <c r="J2029">
        <v>1</v>
      </c>
      <c r="K2029">
        <v>11000</v>
      </c>
      <c r="L2029">
        <v>15000</v>
      </c>
      <c r="M2029">
        <v>15000</v>
      </c>
      <c r="N2029" t="s">
        <v>39</v>
      </c>
    </row>
    <row r="2030" spans="1:14" x14ac:dyDescent="0.25">
      <c r="A2030" t="str">
        <f>Table3[[#This Row],[Company Name]] &amp; " - " &amp; Table3[[#This Row],[Store Name]] &amp; " - " &amp; Table3[[#This Row],[Store Branch / Address]]</f>
        <v>TRE FIL HOLDINGS CORPORATION - COLONIAL CREAMERY - AYALA MALLS MANILA BAY</v>
      </c>
      <c r="B2030" t="str">
        <f>Table3[[#This Row],[Client ID]] &amp; " - " &amp; Table3[[#This Row],[SO Number]]</f>
        <v>TRE FIL HOLDINGS CORPORATION - COLONIAL CREAMERY - AYALA MALLS MANILA BAY - SO-001</v>
      </c>
      <c r="C2030" t="s">
        <v>12</v>
      </c>
      <c r="D2030" t="s">
        <v>497</v>
      </c>
      <c r="E2030" t="s">
        <v>498</v>
      </c>
      <c r="F2030" t="s">
        <v>1089</v>
      </c>
      <c r="G2030" t="s">
        <v>16</v>
      </c>
      <c r="H2030" t="s">
        <v>1183</v>
      </c>
      <c r="I2030" t="s">
        <v>85</v>
      </c>
      <c r="J2030">
        <v>1</v>
      </c>
      <c r="K2030">
        <v>1350</v>
      </c>
      <c r="L2030">
        <v>2500</v>
      </c>
      <c r="M2030">
        <v>2500</v>
      </c>
      <c r="N2030" t="s">
        <v>39</v>
      </c>
    </row>
    <row r="2031" spans="1:14" x14ac:dyDescent="0.25">
      <c r="A2031" t="str">
        <f>Table3[[#This Row],[Company Name]] &amp; " - " &amp; Table3[[#This Row],[Store Name]] &amp; " - " &amp; Table3[[#This Row],[Store Branch / Address]]</f>
        <v>TRE FIL HOLDINGS CORPORATION - COLONIAL CREAMERY - AYALA MALLS MANILA BAY</v>
      </c>
      <c r="B2031" t="str">
        <f>Table3[[#This Row],[Client ID]] &amp; " - " &amp; Table3[[#This Row],[SO Number]]</f>
        <v>TRE FIL HOLDINGS CORPORATION - COLONIAL CREAMERY - AYALA MALLS MANILA BAY - SO-001</v>
      </c>
      <c r="C2031" t="s">
        <v>12</v>
      </c>
      <c r="D2031" t="s">
        <v>497</v>
      </c>
      <c r="E2031" t="s">
        <v>498</v>
      </c>
      <c r="F2031" t="s">
        <v>1089</v>
      </c>
      <c r="G2031" t="s">
        <v>16</v>
      </c>
      <c r="H2031" t="s">
        <v>1183</v>
      </c>
      <c r="I2031" t="s">
        <v>249</v>
      </c>
      <c r="J2031">
        <v>1</v>
      </c>
      <c r="K2031">
        <v>21500</v>
      </c>
      <c r="L2031">
        <v>33400</v>
      </c>
      <c r="M2031">
        <v>33400</v>
      </c>
      <c r="N2031" t="s">
        <v>39</v>
      </c>
    </row>
    <row r="2032" spans="1:14" x14ac:dyDescent="0.25">
      <c r="A2032" t="str">
        <f>Table3[[#This Row],[Company Name]] &amp; " - " &amp; Table3[[#This Row],[Store Name]] &amp; " - " &amp; Table3[[#This Row],[Store Branch / Address]]</f>
        <v>TRE FIL HOLDINGS CORPORATION - COLONIAL CREAMERY - AYALA MALLS MANILA BAY</v>
      </c>
      <c r="B2032" t="str">
        <f>Table3[[#This Row],[Client ID]] &amp; " - " &amp; Table3[[#This Row],[SO Number]]</f>
        <v>TRE FIL HOLDINGS CORPORATION - COLONIAL CREAMERY - AYALA MALLS MANILA BAY - SO-001</v>
      </c>
      <c r="C2032" t="s">
        <v>12</v>
      </c>
      <c r="D2032" t="s">
        <v>497</v>
      </c>
      <c r="E2032" t="s">
        <v>498</v>
      </c>
      <c r="F2032" t="s">
        <v>1089</v>
      </c>
      <c r="G2032" t="s">
        <v>16</v>
      </c>
      <c r="H2032" t="s">
        <v>1183</v>
      </c>
      <c r="I2032" t="s">
        <v>210</v>
      </c>
      <c r="J2032">
        <v>1</v>
      </c>
      <c r="K2032">
        <v>0</v>
      </c>
      <c r="L2032">
        <v>0</v>
      </c>
      <c r="M2032">
        <v>0</v>
      </c>
      <c r="N2032" t="s">
        <v>39</v>
      </c>
    </row>
    <row r="2033" spans="1:14" x14ac:dyDescent="0.25">
      <c r="A2033" t="str">
        <f>Table3[[#This Row],[Company Name]] &amp; " - " &amp; Table3[[#This Row],[Store Name]] &amp; " - " &amp; Table3[[#This Row],[Store Branch / Address]]</f>
        <v>TRE FIL HOLDINGS CORPORATION - COLONIAL CREAMERY - AYALA MALLS MANILA BAY</v>
      </c>
      <c r="B2033" t="str">
        <f>Table3[[#This Row],[Client ID]] &amp; " - " &amp; Table3[[#This Row],[SO Number]]</f>
        <v>TRE FIL HOLDINGS CORPORATION - COLONIAL CREAMERY - AYALA MALLS MANILA BAY - SO-001</v>
      </c>
      <c r="C2033" t="s">
        <v>12</v>
      </c>
      <c r="D2033" t="s">
        <v>497</v>
      </c>
      <c r="E2033" t="s">
        <v>498</v>
      </c>
      <c r="F2033" t="s">
        <v>1089</v>
      </c>
      <c r="G2033" t="s">
        <v>16</v>
      </c>
      <c r="H2033" t="s">
        <v>1183</v>
      </c>
      <c r="I2033" t="s">
        <v>151</v>
      </c>
      <c r="J2033">
        <v>1</v>
      </c>
      <c r="K2033">
        <v>2000</v>
      </c>
      <c r="L2033">
        <v>4000</v>
      </c>
      <c r="M2033">
        <v>4000</v>
      </c>
      <c r="N2033" t="s">
        <v>39</v>
      </c>
    </row>
    <row r="2034" spans="1:14" x14ac:dyDescent="0.25">
      <c r="A2034" t="str">
        <f>Table3[[#This Row],[Company Name]] &amp; " - " &amp; Table3[[#This Row],[Store Name]] &amp; " - " &amp; Table3[[#This Row],[Store Branch / Address]]</f>
        <v>TRE FIL HOLDINGS CORPORATION - COLONIAL CREAMERY - AYALA MALLS MANILA BAY</v>
      </c>
      <c r="B2034" t="str">
        <f>Table3[[#This Row],[Client ID]] &amp; " - " &amp; Table3[[#This Row],[SO Number]]</f>
        <v>TRE FIL HOLDINGS CORPORATION - COLONIAL CREAMERY - AYALA MALLS MANILA BAY - SO-001</v>
      </c>
      <c r="C2034" t="s">
        <v>12</v>
      </c>
      <c r="D2034" t="s">
        <v>497</v>
      </c>
      <c r="E2034" t="s">
        <v>498</v>
      </c>
      <c r="F2034" t="s">
        <v>1089</v>
      </c>
      <c r="G2034" t="s">
        <v>16</v>
      </c>
      <c r="H2034" t="s">
        <v>1183</v>
      </c>
      <c r="I2034" t="s">
        <v>26</v>
      </c>
      <c r="J2034">
        <v>1</v>
      </c>
      <c r="K2034">
        <v>500</v>
      </c>
      <c r="L2034">
        <v>500</v>
      </c>
      <c r="M2034">
        <v>500</v>
      </c>
      <c r="N2034" t="s">
        <v>39</v>
      </c>
    </row>
    <row r="2035" spans="1:14" x14ac:dyDescent="0.25">
      <c r="A2035" t="str">
        <f>Table3[[#This Row],[Company Name]] &amp; " - " &amp; Table3[[#This Row],[Store Name]] &amp; " - " &amp; Table3[[#This Row],[Store Branch / Address]]</f>
        <v>TRE FIL HOLDINGS CORPORATION - COLONIAL CREAMERY - AYALA MALLS MANILA BAY</v>
      </c>
      <c r="B2035" t="str">
        <f>Table3[[#This Row],[Client ID]] &amp; " - " &amp; Table3[[#This Row],[SO Number]]</f>
        <v>TRE FIL HOLDINGS CORPORATION - COLONIAL CREAMERY - AYALA MALLS MANILA BAY - SO-001</v>
      </c>
      <c r="C2035" t="s">
        <v>12</v>
      </c>
      <c r="D2035" t="s">
        <v>497</v>
      </c>
      <c r="E2035" t="s">
        <v>498</v>
      </c>
      <c r="F2035" t="s">
        <v>1089</v>
      </c>
      <c r="G2035" t="s">
        <v>16</v>
      </c>
      <c r="H2035" t="s">
        <v>1183</v>
      </c>
      <c r="I2035" t="s">
        <v>63</v>
      </c>
      <c r="J2035">
        <v>1</v>
      </c>
      <c r="K2035">
        <v>700</v>
      </c>
      <c r="L2035">
        <v>700</v>
      </c>
      <c r="M2035">
        <v>700</v>
      </c>
      <c r="N2035" t="s">
        <v>39</v>
      </c>
    </row>
    <row r="2036" spans="1:14" x14ac:dyDescent="0.25">
      <c r="A2036" t="str">
        <f>Table3[[#This Row],[Company Name]] &amp; " - " &amp; Table3[[#This Row],[Store Name]] &amp; " - " &amp; Table3[[#This Row],[Store Branch / Address]]</f>
        <v>CHICKEN DELI - GONGCHA - GENERIC</v>
      </c>
      <c r="B2036" t="str">
        <f>Table3[[#This Row],[Client ID]] &amp; " - " &amp; Table3[[#This Row],[SO Number]]</f>
        <v>CHICKEN DELI - GONGCHA - GENERIC - SO-001</v>
      </c>
      <c r="C2036" t="s">
        <v>12</v>
      </c>
      <c r="D2036" t="s">
        <v>20</v>
      </c>
      <c r="E2036" t="s">
        <v>31</v>
      </c>
      <c r="F2036" t="s">
        <v>15</v>
      </c>
      <c r="G2036" t="s">
        <v>22</v>
      </c>
      <c r="H2036" t="s">
        <v>1183</v>
      </c>
      <c r="I2036" t="s">
        <v>33</v>
      </c>
      <c r="J2036">
        <v>1</v>
      </c>
      <c r="K2036">
        <v>6500</v>
      </c>
      <c r="L2036">
        <v>6500</v>
      </c>
      <c r="M2036">
        <v>6500</v>
      </c>
      <c r="N2036" t="s">
        <v>19</v>
      </c>
    </row>
    <row r="2037" spans="1:14" x14ac:dyDescent="0.25">
      <c r="A2037" t="str">
        <f>Table3[[#This Row],[Company Name]] &amp; " - " &amp; Table3[[#This Row],[Store Name]] &amp; " - " &amp; Table3[[#This Row],[Store Branch / Address]]</f>
        <v>VILLSIBS INC - POTATO CORNER - GENERIC</v>
      </c>
      <c r="B2037" t="str">
        <f>Table3[[#This Row],[Client ID]] &amp; " - " &amp; Table3[[#This Row],[SO Number]]</f>
        <v>VILLSIBS INC - POTATO CORNER - GENERIC - SO-002</v>
      </c>
      <c r="C2037" t="s">
        <v>30</v>
      </c>
      <c r="D2037" t="s">
        <v>451</v>
      </c>
      <c r="E2037" t="s">
        <v>452</v>
      </c>
      <c r="F2037" t="s">
        <v>15</v>
      </c>
      <c r="G2037" t="s">
        <v>37</v>
      </c>
      <c r="H2037" t="s">
        <v>1183</v>
      </c>
      <c r="I2037" t="s">
        <v>453</v>
      </c>
      <c r="J2037">
        <v>50</v>
      </c>
      <c r="K2037">
        <v>17</v>
      </c>
      <c r="L2037">
        <v>25</v>
      </c>
      <c r="M2037">
        <v>1250</v>
      </c>
      <c r="N2037" t="s">
        <v>19</v>
      </c>
    </row>
    <row r="2038" spans="1:14" x14ac:dyDescent="0.25">
      <c r="A2038" t="str">
        <f>Table3[[#This Row],[Company Name]] &amp; " - " &amp; Table3[[#This Row],[Store Name]] &amp; " - " &amp; Table3[[#This Row],[Store Branch / Address]]</f>
        <v>CHICKEN DELI - GONGCHA - GENERIC</v>
      </c>
      <c r="B2038" t="str">
        <f>Table3[[#This Row],[Client ID]] &amp; " - " &amp; Table3[[#This Row],[SO Number]]</f>
        <v>CHICKEN DELI - GONGCHA - GENERIC - SO-002</v>
      </c>
      <c r="C2038" t="s">
        <v>30</v>
      </c>
      <c r="D2038" t="s">
        <v>20</v>
      </c>
      <c r="E2038" t="s">
        <v>31</v>
      </c>
      <c r="F2038" t="s">
        <v>15</v>
      </c>
      <c r="G2038" t="s">
        <v>22</v>
      </c>
      <c r="H2038" t="s">
        <v>1183</v>
      </c>
      <c r="I2038" t="s">
        <v>33</v>
      </c>
      <c r="J2038">
        <v>1</v>
      </c>
      <c r="K2038">
        <v>6500</v>
      </c>
      <c r="L2038">
        <v>6500</v>
      </c>
      <c r="M2038">
        <v>6500</v>
      </c>
      <c r="N2038" t="s">
        <v>19</v>
      </c>
    </row>
    <row r="2039" spans="1:14" x14ac:dyDescent="0.25">
      <c r="A2039" t="str">
        <f>Table3[[#This Row],[Company Name]] &amp; " - " &amp; Table3[[#This Row],[Store Name]] &amp; " - " &amp; Table3[[#This Row],[Store Branch / Address]]</f>
        <v>HUZZAH - HUZZAH - GENERIC</v>
      </c>
      <c r="B2039" t="str">
        <f>Table3[[#This Row],[Client ID]] &amp; " - " &amp; Table3[[#This Row],[SO Number]]</f>
        <v>HUZZAH - HUZZAH - GENERIC - SO-003</v>
      </c>
      <c r="C2039" t="s">
        <v>40</v>
      </c>
      <c r="D2039" t="s">
        <v>87</v>
      </c>
      <c r="E2039" t="s">
        <v>87</v>
      </c>
      <c r="F2039" t="s">
        <v>15</v>
      </c>
      <c r="G2039" t="s">
        <v>37</v>
      </c>
      <c r="H2039" t="s">
        <v>1183</v>
      </c>
      <c r="I2039" t="s">
        <v>89</v>
      </c>
      <c r="J2039">
        <v>50</v>
      </c>
      <c r="K2039">
        <v>32</v>
      </c>
      <c r="L2039">
        <v>50</v>
      </c>
      <c r="M2039">
        <v>2500</v>
      </c>
      <c r="N2039" t="s">
        <v>39</v>
      </c>
    </row>
    <row r="2040" spans="1:14" x14ac:dyDescent="0.25">
      <c r="A2040" t="str">
        <f>Table3[[#This Row],[Company Name]] &amp; " - " &amp; Table3[[#This Row],[Store Name]] &amp; " - " &amp; Table3[[#This Row],[Store Branch / Address]]</f>
        <v>CHICKEN DELI - GONGCHA - GENERIC</v>
      </c>
      <c r="B2040" t="str">
        <f>Table3[[#This Row],[Client ID]] &amp; " - " &amp; Table3[[#This Row],[SO Number]]</f>
        <v>CHICKEN DELI - GONGCHA - GENERIC - SO-003</v>
      </c>
      <c r="C2040" t="s">
        <v>40</v>
      </c>
      <c r="D2040" t="s">
        <v>20</v>
      </c>
      <c r="E2040" t="s">
        <v>31</v>
      </c>
      <c r="F2040" t="s">
        <v>15</v>
      </c>
      <c r="G2040" t="s">
        <v>22</v>
      </c>
      <c r="H2040" t="s">
        <v>1183</v>
      </c>
      <c r="I2040" t="s">
        <v>33</v>
      </c>
      <c r="J2040">
        <v>2</v>
      </c>
      <c r="K2040">
        <v>6500</v>
      </c>
      <c r="L2040">
        <v>13000</v>
      </c>
      <c r="M2040">
        <v>26000</v>
      </c>
      <c r="N2040" t="s">
        <v>19</v>
      </c>
    </row>
    <row r="2041" spans="1:14" x14ac:dyDescent="0.25">
      <c r="A2041" t="str">
        <f>Table3[[#This Row],[Company Name]] &amp; " - " &amp; Table3[[#This Row],[Store Name]] &amp; " - " &amp; Table3[[#This Row],[Store Branch / Address]]</f>
        <v>CHICKEN DELI - GONGCHA - GENERIC</v>
      </c>
      <c r="B2041" t="str">
        <f>Table3[[#This Row],[Client ID]] &amp; " - " &amp; Table3[[#This Row],[SO Number]]</f>
        <v>CHICKEN DELI - GONGCHA - GENERIC - SO-004</v>
      </c>
      <c r="C2041" t="s">
        <v>44</v>
      </c>
      <c r="D2041" t="s">
        <v>20</v>
      </c>
      <c r="E2041" t="s">
        <v>31</v>
      </c>
      <c r="F2041" t="s">
        <v>15</v>
      </c>
      <c r="G2041" t="s">
        <v>22</v>
      </c>
      <c r="H2041" t="s">
        <v>1183</v>
      </c>
      <c r="I2041" t="s">
        <v>33</v>
      </c>
      <c r="J2041">
        <v>2</v>
      </c>
      <c r="K2041">
        <v>6500</v>
      </c>
      <c r="L2041">
        <v>6500</v>
      </c>
      <c r="M2041">
        <v>13000</v>
      </c>
      <c r="N2041" t="s">
        <v>19</v>
      </c>
    </row>
    <row r="2042" spans="1:14" x14ac:dyDescent="0.25">
      <c r="A2042" t="str">
        <f>Table3[[#This Row],[Company Name]] &amp; " - " &amp; Table3[[#This Row],[Store Name]] &amp; " - " &amp; Table3[[#This Row],[Store Branch / Address]]</f>
        <v>CHICKEN DELI - GONGCHA - GENERIC</v>
      </c>
      <c r="B2042" t="str">
        <f>Table3[[#This Row],[Client ID]] &amp; " - " &amp; Table3[[#This Row],[SO Number]]</f>
        <v>CHICKEN DELI - GONGCHA - GENERIC - SO-005</v>
      </c>
      <c r="C2042" t="s">
        <v>51</v>
      </c>
      <c r="D2042" t="s">
        <v>20</v>
      </c>
      <c r="E2042" t="s">
        <v>31</v>
      </c>
      <c r="F2042" t="s">
        <v>15</v>
      </c>
      <c r="G2042" t="s">
        <v>22</v>
      </c>
      <c r="H2042" t="s">
        <v>1183</v>
      </c>
      <c r="I2042" t="s">
        <v>33</v>
      </c>
      <c r="J2042">
        <v>2</v>
      </c>
      <c r="K2042">
        <v>6500</v>
      </c>
      <c r="L2042">
        <v>6500</v>
      </c>
      <c r="M2042">
        <v>13000</v>
      </c>
      <c r="N2042" t="s">
        <v>19</v>
      </c>
    </row>
    <row r="2043" spans="1:14" x14ac:dyDescent="0.25">
      <c r="A2043" t="str">
        <f>Table3[[#This Row],[Company Name]] &amp; " - " &amp; Table3[[#This Row],[Store Name]] &amp; " - " &amp; Table3[[#This Row],[Store Branch / Address]]</f>
        <v>CHUA BEVERLY SANTOS - HOMIE PET - GENERIC</v>
      </c>
      <c r="B2043" t="str">
        <f>Table3[[#This Row],[Client ID]] &amp; " - " &amp; Table3[[#This Row],[SO Number]]</f>
        <v>CHUA BEVERLY SANTOS - HOMIE PET - GENERIC - SO-26-004</v>
      </c>
      <c r="C2043" t="s">
        <v>1185</v>
      </c>
      <c r="D2043" t="s">
        <v>1186</v>
      </c>
      <c r="E2043" t="s">
        <v>1187</v>
      </c>
      <c r="F2043" t="s">
        <v>15</v>
      </c>
      <c r="G2043" t="s">
        <v>37</v>
      </c>
      <c r="H2043" t="s">
        <v>1188</v>
      </c>
      <c r="I2043" t="s">
        <v>1189</v>
      </c>
      <c r="J2043">
        <v>200</v>
      </c>
      <c r="K2043">
        <v>47</v>
      </c>
      <c r="L2043">
        <v>66</v>
      </c>
      <c r="M2043">
        <v>13200</v>
      </c>
      <c r="N2043" t="s">
        <v>39</v>
      </c>
    </row>
    <row r="2044" spans="1:14" x14ac:dyDescent="0.25">
      <c r="A2044" t="str">
        <f>Table3[[#This Row],[Company Name]] &amp; " - " &amp; Table3[[#This Row],[Store Name]] &amp; " - " &amp; Table3[[#This Row],[Store Branch / Address]]</f>
        <v>GENMAICHA TEA CORPORATION - SERENITEA - NLEX</v>
      </c>
      <c r="B2044" t="str">
        <f>Table3[[#This Row],[Client ID]] &amp; " - " &amp; Table3[[#This Row],[SO Number]]</f>
        <v>GENMAICHA TEA CORPORATION - SERENITEA - NLEX - SO-005</v>
      </c>
      <c r="C2044" t="s">
        <v>51</v>
      </c>
      <c r="D2044" t="s">
        <v>483</v>
      </c>
      <c r="E2044" t="s">
        <v>239</v>
      </c>
      <c r="F2044" t="s">
        <v>1190</v>
      </c>
      <c r="G2044" t="s">
        <v>37</v>
      </c>
      <c r="H2044" t="s">
        <v>1188</v>
      </c>
      <c r="I2044" t="s">
        <v>366</v>
      </c>
      <c r="J2044">
        <v>1</v>
      </c>
      <c r="K2044">
        <v>65</v>
      </c>
      <c r="L2044">
        <v>200</v>
      </c>
      <c r="M2044">
        <v>200</v>
      </c>
      <c r="N2044" t="s">
        <v>39</v>
      </c>
    </row>
    <row r="2045" spans="1:14" x14ac:dyDescent="0.25">
      <c r="A2045" t="str">
        <f>Table3[[#This Row],[Company Name]] &amp; " - " &amp; Table3[[#This Row],[Store Name]] &amp; " - " &amp; Table3[[#This Row],[Store Branch / Address]]</f>
        <v>CHICKEN DELI - VICE COSMETICS - GENERIC</v>
      </c>
      <c r="B2045" t="str">
        <f>Table3[[#This Row],[Client ID]] &amp; " - " &amp; Table3[[#This Row],[SO Number]]</f>
        <v>CHICKEN DELI - VICE COSMETICS - GENERIC - SO-007</v>
      </c>
      <c r="C2045" t="s">
        <v>64</v>
      </c>
      <c r="D2045" t="s">
        <v>20</v>
      </c>
      <c r="E2045" t="s">
        <v>1195</v>
      </c>
      <c r="F2045" t="s">
        <v>15</v>
      </c>
      <c r="G2045" t="s">
        <v>22</v>
      </c>
      <c r="H2045" t="s">
        <v>1188</v>
      </c>
      <c r="I2045" t="s">
        <v>33</v>
      </c>
      <c r="J2045">
        <v>1</v>
      </c>
      <c r="K2045">
        <v>18000</v>
      </c>
      <c r="L2045">
        <v>18000</v>
      </c>
      <c r="M2045">
        <v>18000</v>
      </c>
      <c r="N2045" t="s">
        <v>19</v>
      </c>
    </row>
    <row r="2046" spans="1:14" x14ac:dyDescent="0.25">
      <c r="A2046" t="str">
        <f>Table3[[#This Row],[Company Name]] &amp; " - " &amp; Table3[[#This Row],[Store Name]] &amp; " - " &amp; Table3[[#This Row],[Store Branch / Address]]</f>
        <v>CHICKEN DELI - VICE COSMETICS - GENERIC</v>
      </c>
      <c r="B2046" t="str">
        <f>Table3[[#This Row],[Client ID]] &amp; " - " &amp; Table3[[#This Row],[SO Number]]</f>
        <v>CHICKEN DELI - VICE COSMETICS - GENERIC - SO-007</v>
      </c>
      <c r="C2046" t="s">
        <v>64</v>
      </c>
      <c r="D2046" t="s">
        <v>20</v>
      </c>
      <c r="E2046" t="s">
        <v>1195</v>
      </c>
      <c r="F2046" t="s">
        <v>15</v>
      </c>
      <c r="G2046" t="s">
        <v>22</v>
      </c>
      <c r="H2046" t="s">
        <v>1188</v>
      </c>
      <c r="I2046" t="s">
        <v>26</v>
      </c>
      <c r="J2046">
        <v>1</v>
      </c>
      <c r="K2046">
        <v>1000</v>
      </c>
      <c r="L2046">
        <v>1000</v>
      </c>
      <c r="M2046">
        <v>1000</v>
      </c>
      <c r="N2046" t="s">
        <v>19</v>
      </c>
    </row>
    <row r="2047" spans="1:14" x14ac:dyDescent="0.25">
      <c r="A2047" t="str">
        <f>Table3[[#This Row],[Company Name]] &amp; " - " &amp; Table3[[#This Row],[Store Name]] &amp; " - " &amp; Table3[[#This Row],[Store Branch / Address]]</f>
        <v>CHICKEN DELI - MAGOOS - GENERIC</v>
      </c>
      <c r="B2047" t="str">
        <f>Table3[[#This Row],[Client ID]] &amp; " - " &amp; Table3[[#This Row],[SO Number]]</f>
        <v>CHICKEN DELI - MAGOOS - GENERIC - SO-008</v>
      </c>
      <c r="C2047" t="s">
        <v>66</v>
      </c>
      <c r="D2047" t="s">
        <v>20</v>
      </c>
      <c r="E2047" t="s">
        <v>73</v>
      </c>
      <c r="F2047" t="s">
        <v>15</v>
      </c>
      <c r="G2047" t="s">
        <v>22</v>
      </c>
      <c r="H2047" t="s">
        <v>1188</v>
      </c>
      <c r="I2047" t="s">
        <v>96</v>
      </c>
      <c r="J2047">
        <v>1</v>
      </c>
      <c r="K2047">
        <v>1350</v>
      </c>
      <c r="L2047">
        <v>2600</v>
      </c>
      <c r="M2047">
        <v>2600</v>
      </c>
      <c r="N2047" t="s">
        <v>19</v>
      </c>
    </row>
    <row r="2048" spans="1:14" x14ac:dyDescent="0.25">
      <c r="A2048" t="str">
        <f>Table3[[#This Row],[Company Name]] &amp; " - " &amp; Table3[[#This Row],[Store Name]] &amp; " - " &amp; Table3[[#This Row],[Store Branch / Address]]</f>
        <v>CHICKEN DELI - MAGOOS - GENERIC</v>
      </c>
      <c r="B2048" t="str">
        <f>Table3[[#This Row],[Client ID]] &amp; " - " &amp; Table3[[#This Row],[SO Number]]</f>
        <v>CHICKEN DELI - MAGOOS - GENERIC - SO-008</v>
      </c>
      <c r="C2048" t="s">
        <v>66</v>
      </c>
      <c r="D2048" t="s">
        <v>20</v>
      </c>
      <c r="E2048" t="s">
        <v>73</v>
      </c>
      <c r="F2048" t="s">
        <v>15</v>
      </c>
      <c r="G2048" t="s">
        <v>22</v>
      </c>
      <c r="H2048" t="s">
        <v>1188</v>
      </c>
      <c r="I2048" t="s">
        <v>76</v>
      </c>
      <c r="J2048">
        <v>1</v>
      </c>
      <c r="K2048">
        <v>500</v>
      </c>
      <c r="L2048">
        <v>500</v>
      </c>
      <c r="M2048">
        <v>500</v>
      </c>
      <c r="N2048" t="s">
        <v>19</v>
      </c>
    </row>
    <row r="2049" spans="1:14" x14ac:dyDescent="0.25">
      <c r="A2049" t="str">
        <f>Table3[[#This Row],[Company Name]] &amp; " - " &amp; Table3[[#This Row],[Store Name]] &amp; " - " &amp; Table3[[#This Row],[Store Branch / Address]]</f>
        <v>CCGC TRADING CORPORATION - LIGHTERS GALORE - GATEWAY</v>
      </c>
      <c r="B2049" t="str">
        <f>Table3[[#This Row],[Client ID]] &amp; " - " &amp; Table3[[#This Row],[SO Number]]</f>
        <v>CCGC TRADING CORPORATION - LIGHTERS GALORE - GATEWAY - SO-26-001</v>
      </c>
      <c r="C2049" t="s">
        <v>1380</v>
      </c>
      <c r="D2049" t="s">
        <v>1134</v>
      </c>
      <c r="E2049" t="s">
        <v>1037</v>
      </c>
      <c r="F2049" t="s">
        <v>647</v>
      </c>
      <c r="G2049" t="s">
        <v>37</v>
      </c>
      <c r="H2049" t="s">
        <v>1381</v>
      </c>
      <c r="I2049" t="s">
        <v>501</v>
      </c>
      <c r="J2049">
        <v>4</v>
      </c>
      <c r="K2049">
        <v>70</v>
      </c>
      <c r="L2049">
        <v>250</v>
      </c>
      <c r="M2049">
        <v>1000</v>
      </c>
      <c r="N2049" t="s">
        <v>1010</v>
      </c>
    </row>
    <row r="2050" spans="1:14" x14ac:dyDescent="0.25">
      <c r="A2050" t="str">
        <f>Table3[[#This Row],[Company Name]] &amp; " - " &amp; Table3[[#This Row],[Store Name]] &amp; " - " &amp; Table3[[#This Row],[Store Branch / Address]]</f>
        <v>VERONES CAROLYN GONZALEZ - VA BENE PASTA DELI - BGC</v>
      </c>
      <c r="B2050" t="str">
        <f>Table3[[#This Row],[Client ID]] &amp; " - " &amp; Table3[[#This Row],[SO Number]]</f>
        <v>VERONES CAROLYN GONZALEZ - VA BENE PASTA DELI - BGC - SO-26-006</v>
      </c>
      <c r="C2050" t="s">
        <v>1191</v>
      </c>
      <c r="D2050" t="s">
        <v>650</v>
      </c>
      <c r="E2050" t="s">
        <v>411</v>
      </c>
      <c r="F2050" t="s">
        <v>651</v>
      </c>
      <c r="G2050" t="s">
        <v>16</v>
      </c>
      <c r="H2050" t="s">
        <v>1192</v>
      </c>
      <c r="I2050" t="s">
        <v>284</v>
      </c>
      <c r="J2050">
        <v>1</v>
      </c>
      <c r="K2050">
        <v>11000</v>
      </c>
      <c r="L2050">
        <v>16200</v>
      </c>
      <c r="M2050">
        <v>16200</v>
      </c>
      <c r="N2050" t="s">
        <v>39</v>
      </c>
    </row>
    <row r="2051" spans="1:14" x14ac:dyDescent="0.25">
      <c r="A2051" t="str">
        <f>Table3[[#This Row],[Company Name]] &amp; " - " &amp; Table3[[#This Row],[Store Name]] &amp; " - " &amp; Table3[[#This Row],[Store Branch / Address]]</f>
        <v>VERONES CAROLYN GONZALEZ - VA BENE PASTA DELI - BGC</v>
      </c>
      <c r="B2051" t="str">
        <f>Table3[[#This Row],[Client ID]] &amp; " - " &amp; Table3[[#This Row],[SO Number]]</f>
        <v>VERONES CAROLYN GONZALEZ - VA BENE PASTA DELI - BGC - SO-26-006</v>
      </c>
      <c r="C2051" t="s">
        <v>1191</v>
      </c>
      <c r="D2051" t="s">
        <v>650</v>
      </c>
      <c r="E2051" t="s">
        <v>411</v>
      </c>
      <c r="F2051" t="s">
        <v>651</v>
      </c>
      <c r="G2051" t="s">
        <v>16</v>
      </c>
      <c r="H2051" t="s">
        <v>1192</v>
      </c>
      <c r="I2051" t="s">
        <v>63</v>
      </c>
      <c r="J2051">
        <v>1</v>
      </c>
      <c r="K2051">
        <v>300</v>
      </c>
      <c r="L2051">
        <v>300</v>
      </c>
      <c r="M2051">
        <v>300</v>
      </c>
      <c r="N2051" t="s">
        <v>39</v>
      </c>
    </row>
    <row r="2052" spans="1:14" x14ac:dyDescent="0.25">
      <c r="A2052" t="str">
        <f>Table3[[#This Row],[Company Name]] &amp; " - " &amp; Table3[[#This Row],[Store Name]] &amp; " - " &amp; Table3[[#This Row],[Store Branch / Address]]</f>
        <v>CHICKEN DELI - KITCHEN CITY - GENERIC</v>
      </c>
      <c r="B2052" t="str">
        <f>Table3[[#This Row],[Client ID]] &amp; " - " &amp; Table3[[#This Row],[SO Number]]</f>
        <v>CHICKEN DELI - KITCHEN CITY - GENERIC - SO-010</v>
      </c>
      <c r="C2052" t="s">
        <v>80</v>
      </c>
      <c r="D2052" t="s">
        <v>20</v>
      </c>
      <c r="E2052" t="s">
        <v>21</v>
      </c>
      <c r="F2052" t="s">
        <v>15</v>
      </c>
      <c r="G2052" t="s">
        <v>22</v>
      </c>
      <c r="H2052" t="s">
        <v>1192</v>
      </c>
      <c r="I2052" t="s">
        <v>71</v>
      </c>
      <c r="J2052">
        <v>1</v>
      </c>
      <c r="K2052">
        <v>1200</v>
      </c>
      <c r="L2052">
        <v>2500</v>
      </c>
      <c r="M2052">
        <v>2500</v>
      </c>
      <c r="N2052" t="s">
        <v>19</v>
      </c>
    </row>
    <row r="2053" spans="1:14" x14ac:dyDescent="0.25">
      <c r="A2053" t="str">
        <f>Table3[[#This Row],[Company Name]] &amp; " - " &amp; Table3[[#This Row],[Store Name]] &amp; " - " &amp; Table3[[#This Row],[Store Branch / Address]]</f>
        <v>SAINT MICHAEL FOODS OPC - DANIELITO'S HOME KITCHEN - GENERIC</v>
      </c>
      <c r="B2053" t="str">
        <f>Table3[[#This Row],[Client ID]] &amp; " - " &amp; Table3[[#This Row],[SO Number]]</f>
        <v>SAINT MICHAEL FOODS OPC - DANIELITO'S HOME KITCHEN - GENERIC - SO-26-007</v>
      </c>
      <c r="C2053" t="s">
        <v>1193</v>
      </c>
      <c r="D2053" t="s">
        <v>544</v>
      </c>
      <c r="E2053" t="s">
        <v>547</v>
      </c>
      <c r="F2053" t="s">
        <v>15</v>
      </c>
      <c r="G2053" t="s">
        <v>37</v>
      </c>
      <c r="H2053" t="s">
        <v>1194</v>
      </c>
      <c r="I2053" t="s">
        <v>97</v>
      </c>
      <c r="J2053">
        <v>1</v>
      </c>
      <c r="K2053">
        <v>2200</v>
      </c>
      <c r="L2053">
        <v>3500</v>
      </c>
      <c r="M2053">
        <v>3500</v>
      </c>
      <c r="N2053" t="s">
        <v>19</v>
      </c>
    </row>
    <row r="2054" spans="1:14" x14ac:dyDescent="0.25">
      <c r="A2054" t="str">
        <f>Table3[[#This Row],[Company Name]] &amp; " - " &amp; Table3[[#This Row],[Store Name]] &amp; " - " &amp; Table3[[#This Row],[Store Branch / Address]]</f>
        <v>MYHAPPYHOME LIFESTYLE WARES TRADING - MY HAPPY HOME - GREENHILLS</v>
      </c>
      <c r="B2054" t="str">
        <f>Table3[[#This Row],[Client ID]] &amp; " - " &amp; Table3[[#This Row],[SO Number]]</f>
        <v>MYHAPPYHOME LIFESTYLE WARES TRADING - MY HAPPY HOME - GREENHILLS - SO-26-008</v>
      </c>
      <c r="C2054" t="s">
        <v>1196</v>
      </c>
      <c r="D2054" t="s">
        <v>292</v>
      </c>
      <c r="E2054" t="s">
        <v>293</v>
      </c>
      <c r="F2054" t="s">
        <v>294</v>
      </c>
      <c r="G2054" t="s">
        <v>37</v>
      </c>
      <c r="H2054" t="s">
        <v>1197</v>
      </c>
      <c r="I2054" t="s">
        <v>89</v>
      </c>
      <c r="J2054">
        <v>10</v>
      </c>
      <c r="K2054">
        <v>32</v>
      </c>
      <c r="L2054">
        <v>50</v>
      </c>
      <c r="M2054">
        <v>500</v>
      </c>
      <c r="N2054" t="s">
        <v>39</v>
      </c>
    </row>
    <row r="2055" spans="1:14" x14ac:dyDescent="0.25">
      <c r="A2055" t="str">
        <f>Table3[[#This Row],[Company Name]] &amp; " - " &amp; Table3[[#This Row],[Store Name]] &amp; " - " &amp; Table3[[#This Row],[Store Branch / Address]]</f>
        <v>CHICKEN DELI - KITCHEN CITY - GENERIC</v>
      </c>
      <c r="B2055" t="str">
        <f>Table3[[#This Row],[Client ID]] &amp; " - " &amp; Table3[[#This Row],[SO Number]]</f>
        <v>CHICKEN DELI - KITCHEN CITY - GENERIC - SO-011</v>
      </c>
      <c r="C2055" t="s">
        <v>86</v>
      </c>
      <c r="D2055" t="s">
        <v>20</v>
      </c>
      <c r="E2055" t="s">
        <v>21</v>
      </c>
      <c r="F2055" t="s">
        <v>15</v>
      </c>
      <c r="G2055" t="s">
        <v>22</v>
      </c>
      <c r="H2055" t="s">
        <v>1207</v>
      </c>
      <c r="I2055" t="s">
        <v>93</v>
      </c>
      <c r="J2055">
        <v>3</v>
      </c>
      <c r="K2055">
        <v>11000</v>
      </c>
      <c r="L2055">
        <v>50400</v>
      </c>
      <c r="M2055">
        <v>151200</v>
      </c>
      <c r="N2055" t="s">
        <v>19</v>
      </c>
    </row>
    <row r="2056" spans="1:14" x14ac:dyDescent="0.25">
      <c r="A2056" t="str">
        <f>Table3[[#This Row],[Company Name]] &amp; " - " &amp; Table3[[#This Row],[Store Name]] &amp; " - " &amp; Table3[[#This Row],[Store Branch / Address]]</f>
        <v>CHICKEN DELI - KITCHEN CITY - GENERIC</v>
      </c>
      <c r="B2056" t="str">
        <f>Table3[[#This Row],[Client ID]] &amp; " - " &amp; Table3[[#This Row],[SO Number]]</f>
        <v>CHICKEN DELI - KITCHEN CITY - GENERIC - SO-011</v>
      </c>
      <c r="C2056" t="s">
        <v>86</v>
      </c>
      <c r="D2056" t="s">
        <v>20</v>
      </c>
      <c r="E2056" t="s">
        <v>21</v>
      </c>
      <c r="F2056" t="s">
        <v>15</v>
      </c>
      <c r="G2056" t="s">
        <v>22</v>
      </c>
      <c r="H2056" t="s">
        <v>1207</v>
      </c>
      <c r="I2056" t="s">
        <v>76</v>
      </c>
      <c r="J2056">
        <v>1</v>
      </c>
      <c r="K2056">
        <v>600</v>
      </c>
      <c r="L2056">
        <v>600</v>
      </c>
      <c r="M2056">
        <v>600</v>
      </c>
      <c r="N2056" t="s">
        <v>19</v>
      </c>
    </row>
    <row r="2057" spans="1:14" x14ac:dyDescent="0.25">
      <c r="A2057" t="str">
        <f>Table3[[#This Row],[Company Name]] &amp; " - " &amp; Table3[[#This Row],[Store Name]] &amp; " - " &amp; Table3[[#This Row],[Store Branch / Address]]</f>
        <v>HET STROOPWAFEL HUIS - STROOP &amp; ZO - OBINSONS GALLERIA</v>
      </c>
      <c r="B2057" t="str">
        <f>Table3[[#This Row],[Client ID]] &amp; " - " &amp; Table3[[#This Row],[SO Number]]</f>
        <v>HET STROOPWAFEL HUIS - STROOP &amp; ZO - OBINSONS GALLERIA - SO-26-002</v>
      </c>
      <c r="C2057" t="s">
        <v>1382</v>
      </c>
      <c r="D2057" t="s">
        <v>1070</v>
      </c>
      <c r="E2057" t="s">
        <v>1383</v>
      </c>
      <c r="F2057" t="s">
        <v>1384</v>
      </c>
      <c r="G2057" t="s">
        <v>1076</v>
      </c>
      <c r="H2057" t="s">
        <v>1385</v>
      </c>
      <c r="I2057" t="s">
        <v>1167</v>
      </c>
      <c r="J2057">
        <v>1</v>
      </c>
      <c r="K2057">
        <v>18000</v>
      </c>
      <c r="L2057">
        <v>17000</v>
      </c>
      <c r="M2057">
        <v>17000</v>
      </c>
      <c r="N2057" t="s">
        <v>1010</v>
      </c>
    </row>
    <row r="2058" spans="1:14" x14ac:dyDescent="0.25">
      <c r="A2058" t="str">
        <f>Table3[[#This Row],[Company Name]] &amp; " - " &amp; Table3[[#This Row],[Store Name]] &amp; " - " &amp; Table3[[#This Row],[Store Branch / Address]]</f>
        <v>HET STROOPWAFEL HUIS - STROOP &amp; ZO - OBINSONS GALLERIA</v>
      </c>
      <c r="B2058" t="str">
        <f>Table3[[#This Row],[Client ID]] &amp; " - " &amp; Table3[[#This Row],[SO Number]]</f>
        <v>HET STROOPWAFEL HUIS - STROOP &amp; ZO - OBINSONS GALLERIA - SO-26-002</v>
      </c>
      <c r="C2058" t="s">
        <v>1382</v>
      </c>
      <c r="D2058" t="s">
        <v>1070</v>
      </c>
      <c r="E2058" t="s">
        <v>1383</v>
      </c>
      <c r="F2058" t="s">
        <v>1384</v>
      </c>
      <c r="G2058" t="s">
        <v>1076</v>
      </c>
      <c r="H2058" t="s">
        <v>1385</v>
      </c>
      <c r="I2058" t="s">
        <v>1032</v>
      </c>
      <c r="J2058">
        <v>1</v>
      </c>
      <c r="K2058">
        <v>26250</v>
      </c>
      <c r="L2058">
        <v>31800</v>
      </c>
      <c r="M2058">
        <v>31800</v>
      </c>
      <c r="N2058" t="s">
        <v>1010</v>
      </c>
    </row>
    <row r="2059" spans="1:14" x14ac:dyDescent="0.25">
      <c r="A2059" t="str">
        <f>Table3[[#This Row],[Company Name]] &amp; " - " &amp; Table3[[#This Row],[Store Name]] &amp; " - " &amp; Table3[[#This Row],[Store Branch / Address]]</f>
        <v>HET STROOPWAFEL HUIS - STROOP &amp; ZO - OBINSONS GALLERIA</v>
      </c>
      <c r="B2059" t="str">
        <f>Table3[[#This Row],[Client ID]] &amp; " - " &amp; Table3[[#This Row],[SO Number]]</f>
        <v>HET STROOPWAFEL HUIS - STROOP &amp; ZO - OBINSONS GALLERIA - SO-26-002</v>
      </c>
      <c r="C2059" t="s">
        <v>1382</v>
      </c>
      <c r="D2059" t="s">
        <v>1070</v>
      </c>
      <c r="E2059" t="s">
        <v>1383</v>
      </c>
      <c r="F2059" t="s">
        <v>1384</v>
      </c>
      <c r="G2059" t="s">
        <v>1076</v>
      </c>
      <c r="H2059" t="s">
        <v>1385</v>
      </c>
      <c r="I2059" t="s">
        <v>151</v>
      </c>
      <c r="J2059">
        <v>1</v>
      </c>
      <c r="K2059">
        <v>2000</v>
      </c>
      <c r="L2059">
        <v>3000</v>
      </c>
      <c r="M2059">
        <v>3000</v>
      </c>
      <c r="N2059" t="s">
        <v>1010</v>
      </c>
    </row>
    <row r="2060" spans="1:14" x14ac:dyDescent="0.25">
      <c r="A2060" t="str">
        <f>Table3[[#This Row],[Company Name]] &amp; " - " &amp; Table3[[#This Row],[Store Name]] &amp; " - " &amp; Table3[[#This Row],[Store Branch / Address]]</f>
        <v>HET STROOPWAFEL HUIS - STROOP &amp; ZO - OBINSONS GALLERIA</v>
      </c>
      <c r="B2060" t="str">
        <f>Table3[[#This Row],[Client ID]] &amp; " - " &amp; Table3[[#This Row],[SO Number]]</f>
        <v>HET STROOPWAFEL HUIS - STROOP &amp; ZO - OBINSONS GALLERIA - SO-26-002</v>
      </c>
      <c r="C2060" t="s">
        <v>1382</v>
      </c>
      <c r="D2060" t="s">
        <v>1070</v>
      </c>
      <c r="E2060" t="s">
        <v>1383</v>
      </c>
      <c r="F2060" t="s">
        <v>1384</v>
      </c>
      <c r="G2060" t="s">
        <v>1076</v>
      </c>
      <c r="H2060" t="s">
        <v>1385</v>
      </c>
      <c r="I2060" t="s">
        <v>1051</v>
      </c>
      <c r="J2060">
        <v>1</v>
      </c>
      <c r="K2060">
        <v>935</v>
      </c>
      <c r="L2060">
        <v>1500</v>
      </c>
      <c r="M2060">
        <v>1500</v>
      </c>
      <c r="N2060" t="s">
        <v>1010</v>
      </c>
    </row>
    <row r="2061" spans="1:14" x14ac:dyDescent="0.25">
      <c r="A2061" t="str">
        <f>Table3[[#This Row],[Company Name]] &amp; " - " &amp; Table3[[#This Row],[Store Name]] &amp; " - " &amp; Table3[[#This Row],[Store Branch / Address]]</f>
        <v>HET STROOPWAFEL HUIS - STROOP &amp; ZO - OBINSONS GALLERIA</v>
      </c>
      <c r="B2061" t="str">
        <f>Table3[[#This Row],[Client ID]] &amp; " - " &amp; Table3[[#This Row],[SO Number]]</f>
        <v>HET STROOPWAFEL HUIS - STROOP &amp; ZO - OBINSONS GALLERIA - SO-26-002</v>
      </c>
      <c r="C2061" t="s">
        <v>1382</v>
      </c>
      <c r="D2061" t="s">
        <v>1070</v>
      </c>
      <c r="E2061" t="s">
        <v>1383</v>
      </c>
      <c r="F2061" t="s">
        <v>1384</v>
      </c>
      <c r="G2061" t="s">
        <v>1076</v>
      </c>
      <c r="H2061" t="s">
        <v>1385</v>
      </c>
      <c r="I2061" t="s">
        <v>189</v>
      </c>
      <c r="J2061">
        <v>1</v>
      </c>
      <c r="K2061">
        <v>500</v>
      </c>
      <c r="L2061">
        <v>700</v>
      </c>
      <c r="M2061">
        <v>700</v>
      </c>
      <c r="N2061" t="s">
        <v>1010</v>
      </c>
    </row>
    <row r="2062" spans="1:14" x14ac:dyDescent="0.25">
      <c r="A2062" t="str">
        <f>Table3[[#This Row],[Company Name]] &amp; " - " &amp; Table3[[#This Row],[Store Name]] &amp; " - " &amp; Table3[[#This Row],[Store Branch / Address]]</f>
        <v>HET STROOPWAFEL HUIS - STROOP &amp; ZO - OBINSONS GALLERIA</v>
      </c>
      <c r="B2062" t="str">
        <f>Table3[[#This Row],[Client ID]] &amp; " - " &amp; Table3[[#This Row],[SO Number]]</f>
        <v>HET STROOPWAFEL HUIS - STROOP &amp; ZO - OBINSONS GALLERIA - SO-26-002</v>
      </c>
      <c r="C2062" t="s">
        <v>1382</v>
      </c>
      <c r="D2062" t="s">
        <v>1070</v>
      </c>
      <c r="E2062" t="s">
        <v>1383</v>
      </c>
      <c r="F2062" t="s">
        <v>1384</v>
      </c>
      <c r="G2062" t="s">
        <v>1076</v>
      </c>
      <c r="H2062" t="s">
        <v>1385</v>
      </c>
      <c r="I2062" t="s">
        <v>1033</v>
      </c>
      <c r="J2062">
        <v>1</v>
      </c>
      <c r="K2062">
        <v>350</v>
      </c>
      <c r="L2062">
        <v>500</v>
      </c>
      <c r="M2062">
        <v>500</v>
      </c>
      <c r="N2062" t="s">
        <v>1010</v>
      </c>
    </row>
    <row r="2063" spans="1:14" x14ac:dyDescent="0.25">
      <c r="A2063" t="str">
        <f>Table3[[#This Row],[Company Name]] &amp; " - " &amp; Table3[[#This Row],[Store Name]] &amp; " - " &amp; Table3[[#This Row],[Store Branch / Address]]</f>
        <v>SEVILLA MARLON JR GUANO - MASTER SIOMAI - GENERIC</v>
      </c>
      <c r="B2063" t="str">
        <f>Table3[[#This Row],[Client ID]] &amp; " - " &amp; Table3[[#This Row],[SO Number]]</f>
        <v>SEVILLA MARLON JR GUANO - MASTER SIOMAI - GENERIC - SO-26-009</v>
      </c>
      <c r="C2063" t="s">
        <v>1198</v>
      </c>
      <c r="D2063" t="s">
        <v>1199</v>
      </c>
      <c r="E2063" t="s">
        <v>1200</v>
      </c>
      <c r="F2063" t="s">
        <v>15</v>
      </c>
      <c r="G2063" t="s">
        <v>37</v>
      </c>
      <c r="H2063" t="s">
        <v>1201</v>
      </c>
      <c r="I2063" t="s">
        <v>209</v>
      </c>
      <c r="J2063">
        <v>1</v>
      </c>
      <c r="K2063">
        <v>26250</v>
      </c>
      <c r="L2063">
        <v>30300</v>
      </c>
      <c r="M2063">
        <v>30300</v>
      </c>
      <c r="N2063" t="s">
        <v>19</v>
      </c>
    </row>
    <row r="2064" spans="1:14" x14ac:dyDescent="0.25">
      <c r="A2064" t="str">
        <f>Table3[[#This Row],[Company Name]] &amp; " - " &amp; Table3[[#This Row],[Store Name]] &amp; " - " &amp; Table3[[#This Row],[Store Branch / Address]]</f>
        <v>SEVILLA MARLON JR GUANO - MASTER SIOMAI - GENERIC</v>
      </c>
      <c r="B2064" t="str">
        <f>Table3[[#This Row],[Client ID]] &amp; " - " &amp; Table3[[#This Row],[SO Number]]</f>
        <v>SEVILLA MARLON JR GUANO - MASTER SIOMAI - GENERIC - SO-26-009</v>
      </c>
      <c r="C2064" t="s">
        <v>1198</v>
      </c>
      <c r="D2064" t="s">
        <v>1199</v>
      </c>
      <c r="E2064" t="s">
        <v>1200</v>
      </c>
      <c r="F2064" t="s">
        <v>15</v>
      </c>
      <c r="G2064" t="s">
        <v>37</v>
      </c>
      <c r="H2064" t="s">
        <v>1201</v>
      </c>
      <c r="I2064" t="s">
        <v>151</v>
      </c>
      <c r="J2064">
        <v>1</v>
      </c>
      <c r="K2064">
        <v>2000</v>
      </c>
      <c r="L2064">
        <v>3000</v>
      </c>
      <c r="M2064">
        <v>3000</v>
      </c>
      <c r="N2064" t="s">
        <v>19</v>
      </c>
    </row>
    <row r="2065" spans="1:14" x14ac:dyDescent="0.25">
      <c r="A2065" t="str">
        <f>Table3[[#This Row],[Company Name]] &amp; " - " &amp; Table3[[#This Row],[Store Name]] &amp; " - " &amp; Table3[[#This Row],[Store Branch / Address]]</f>
        <v>SEVILLA MARLON JR GUANO - MASTER SIOMAI - GENERIC</v>
      </c>
      <c r="B2065" t="str">
        <f>Table3[[#This Row],[Client ID]] &amp; " - " &amp; Table3[[#This Row],[SO Number]]</f>
        <v>SEVILLA MARLON JR GUANO - MASTER SIOMAI - GENERIC - SO-26-009</v>
      </c>
      <c r="C2065" t="s">
        <v>1198</v>
      </c>
      <c r="D2065" t="s">
        <v>1199</v>
      </c>
      <c r="E2065" t="s">
        <v>1200</v>
      </c>
      <c r="F2065" t="s">
        <v>15</v>
      </c>
      <c r="G2065" t="s">
        <v>37</v>
      </c>
      <c r="H2065" t="s">
        <v>1201</v>
      </c>
      <c r="I2065" t="s">
        <v>210</v>
      </c>
      <c r="J2065">
        <v>1</v>
      </c>
      <c r="K2065">
        <v>530</v>
      </c>
      <c r="L2065">
        <v>700</v>
      </c>
      <c r="M2065">
        <v>700</v>
      </c>
      <c r="N2065" t="s">
        <v>19</v>
      </c>
    </row>
    <row r="2066" spans="1:14" x14ac:dyDescent="0.25">
      <c r="A2066" t="str">
        <f>Table3[[#This Row],[Company Name]] &amp; " - " &amp; Table3[[#This Row],[Store Name]] &amp; " - " &amp; Table3[[#This Row],[Store Branch / Address]]</f>
        <v>SEVILLA MARLON JR GUANO - MASTER SIOMAI - GENERIC</v>
      </c>
      <c r="B2066" t="str">
        <f>Table3[[#This Row],[Client ID]] &amp; " - " &amp; Table3[[#This Row],[SO Number]]</f>
        <v>SEVILLA MARLON JR GUANO - MASTER SIOMAI - GENERIC - SO-26-009</v>
      </c>
      <c r="C2066" t="s">
        <v>1198</v>
      </c>
      <c r="D2066" t="s">
        <v>1199</v>
      </c>
      <c r="E2066" t="s">
        <v>1200</v>
      </c>
      <c r="F2066" t="s">
        <v>15</v>
      </c>
      <c r="G2066" t="s">
        <v>37</v>
      </c>
      <c r="H2066" t="s">
        <v>1201</v>
      </c>
      <c r="I2066" t="s">
        <v>211</v>
      </c>
      <c r="J2066">
        <v>1</v>
      </c>
      <c r="K2066">
        <v>350</v>
      </c>
      <c r="L2066">
        <v>500</v>
      </c>
      <c r="M2066">
        <v>500</v>
      </c>
      <c r="N2066" t="s">
        <v>19</v>
      </c>
    </row>
    <row r="2067" spans="1:14" x14ac:dyDescent="0.25">
      <c r="A2067" t="str">
        <f>Table3[[#This Row],[Company Name]] &amp; " - " &amp; Table3[[#This Row],[Store Name]] &amp; " - " &amp; Table3[[#This Row],[Store Branch / Address]]</f>
        <v>TAN CHARISSE MESINA - THE ECO SHIFT - ATC</v>
      </c>
      <c r="B2067" t="str">
        <f>Table3[[#This Row],[Client ID]] &amp; " - " &amp; Table3[[#This Row],[SO Number]]</f>
        <v>TAN CHARISSE MESINA - THE ECO SHIFT - ATC - SO-26-003</v>
      </c>
      <c r="C2067" t="s">
        <v>1386</v>
      </c>
      <c r="D2067" t="s">
        <v>1387</v>
      </c>
      <c r="E2067" t="s">
        <v>1388</v>
      </c>
      <c r="F2067" t="s">
        <v>1058</v>
      </c>
      <c r="G2067" t="s">
        <v>1024</v>
      </c>
      <c r="H2067" t="s">
        <v>1201</v>
      </c>
      <c r="I2067" t="s">
        <v>1153</v>
      </c>
      <c r="J2067">
        <v>1</v>
      </c>
      <c r="K2067">
        <v>3675</v>
      </c>
      <c r="L2067">
        <v>10500</v>
      </c>
      <c r="M2067">
        <v>10500</v>
      </c>
      <c r="N2067" t="s">
        <v>1010</v>
      </c>
    </row>
    <row r="2068" spans="1:14" x14ac:dyDescent="0.25">
      <c r="A2068" t="str">
        <f>Table3[[#This Row],[Company Name]] &amp; " - " &amp; Table3[[#This Row],[Store Name]] &amp; " - " &amp; Table3[[#This Row],[Store Branch / Address]]</f>
        <v>TAN CHARISSE MESINA - THE ECO SHIFT - ATC</v>
      </c>
      <c r="B2068" t="str">
        <f>Table3[[#This Row],[Client ID]] &amp; " - " &amp; Table3[[#This Row],[SO Number]]</f>
        <v>TAN CHARISSE MESINA - THE ECO SHIFT - ATC - SO-26-003</v>
      </c>
      <c r="C2068" t="s">
        <v>1386</v>
      </c>
      <c r="D2068" t="s">
        <v>1387</v>
      </c>
      <c r="E2068" t="s">
        <v>1388</v>
      </c>
      <c r="F2068" t="s">
        <v>1058</v>
      </c>
      <c r="G2068" t="s">
        <v>1024</v>
      </c>
      <c r="H2068" t="s">
        <v>1201</v>
      </c>
      <c r="I2068" t="s">
        <v>1011</v>
      </c>
      <c r="J2068">
        <v>1</v>
      </c>
      <c r="K2068">
        <v>9000</v>
      </c>
      <c r="L2068">
        <v>9000</v>
      </c>
      <c r="M2068">
        <v>9000</v>
      </c>
      <c r="N2068" t="s">
        <v>1010</v>
      </c>
    </row>
    <row r="2069" spans="1:14" x14ac:dyDescent="0.25">
      <c r="A2069" t="str">
        <f>Table3[[#This Row],[Company Name]] &amp; " - " &amp; Table3[[#This Row],[Store Name]] &amp; " - " &amp; Table3[[#This Row],[Store Branch / Address]]</f>
        <v>TAN CHARISSE MESINA - THE ECO SHIFT - ATC</v>
      </c>
      <c r="B2069" t="str">
        <f>Table3[[#This Row],[Client ID]] &amp; " - " &amp; Table3[[#This Row],[SO Number]]</f>
        <v>TAN CHARISSE MESINA - THE ECO SHIFT - ATC - SO-26-003</v>
      </c>
      <c r="C2069" t="s">
        <v>1386</v>
      </c>
      <c r="D2069" t="s">
        <v>1387</v>
      </c>
      <c r="E2069" t="s">
        <v>1388</v>
      </c>
      <c r="F2069" t="s">
        <v>1058</v>
      </c>
      <c r="G2069" t="s">
        <v>1024</v>
      </c>
      <c r="H2069" t="s">
        <v>1201</v>
      </c>
      <c r="I2069" t="s">
        <v>24</v>
      </c>
      <c r="J2069">
        <v>1</v>
      </c>
      <c r="K2069">
        <v>9000</v>
      </c>
      <c r="L2069">
        <v>9000</v>
      </c>
      <c r="M2069">
        <v>9000</v>
      </c>
      <c r="N2069" t="s">
        <v>1010</v>
      </c>
    </row>
    <row r="2070" spans="1:14" x14ac:dyDescent="0.25">
      <c r="A2070" t="str">
        <f>Table3[[#This Row],[Company Name]] &amp; " - " &amp; Table3[[#This Row],[Store Name]] &amp; " - " &amp; Table3[[#This Row],[Store Branch / Address]]</f>
        <v>TAN CHARISSE MESINA - THE ECO SHIFT - ATC</v>
      </c>
      <c r="B2070" t="str">
        <f>Table3[[#This Row],[Client ID]] &amp; " - " &amp; Table3[[#This Row],[SO Number]]</f>
        <v>TAN CHARISSE MESINA - THE ECO SHIFT - ATC - SO-26-003</v>
      </c>
      <c r="C2070" t="s">
        <v>1386</v>
      </c>
      <c r="D2070" t="s">
        <v>1387</v>
      </c>
      <c r="E2070" t="s">
        <v>1388</v>
      </c>
      <c r="F2070" t="s">
        <v>1058</v>
      </c>
      <c r="G2070" t="s">
        <v>1024</v>
      </c>
      <c r="H2070" t="s">
        <v>1201</v>
      </c>
      <c r="I2070" t="s">
        <v>26</v>
      </c>
      <c r="J2070">
        <v>1</v>
      </c>
      <c r="K2070">
        <v>500</v>
      </c>
      <c r="L2070">
        <v>500</v>
      </c>
      <c r="M2070">
        <v>500</v>
      </c>
      <c r="N2070" t="s">
        <v>1010</v>
      </c>
    </row>
    <row r="2071" spans="1:14" x14ac:dyDescent="0.25">
      <c r="A2071" t="str">
        <f>Table3[[#This Row],[Company Name]] &amp; " - " &amp; Table3[[#This Row],[Store Name]] &amp; " - " &amp; Table3[[#This Row],[Store Branch / Address]]</f>
        <v>TAN CHARISSE MESINA - THE ECO SHIFT - ATC</v>
      </c>
      <c r="B2071" t="str">
        <f>Table3[[#This Row],[Client ID]] &amp; " - " &amp; Table3[[#This Row],[SO Number]]</f>
        <v>TAN CHARISSE MESINA - THE ECO SHIFT - ATC - SO-26-003</v>
      </c>
      <c r="C2071" t="s">
        <v>1386</v>
      </c>
      <c r="D2071" t="s">
        <v>1387</v>
      </c>
      <c r="E2071" t="s">
        <v>1388</v>
      </c>
      <c r="F2071" t="s">
        <v>1058</v>
      </c>
      <c r="G2071" t="s">
        <v>1024</v>
      </c>
      <c r="H2071" t="s">
        <v>1201</v>
      </c>
      <c r="I2071" t="s">
        <v>1389</v>
      </c>
      <c r="J2071">
        <v>1</v>
      </c>
      <c r="K2071">
        <v>24640</v>
      </c>
      <c r="L2071">
        <v>35700</v>
      </c>
      <c r="M2071">
        <v>35700</v>
      </c>
      <c r="N2071" t="s">
        <v>1010</v>
      </c>
    </row>
    <row r="2072" spans="1:14" x14ac:dyDescent="0.25">
      <c r="A2072" t="str">
        <f>Table3[[#This Row],[Company Name]] &amp; " - " &amp; Table3[[#This Row],[Store Name]] &amp; " - " &amp; Table3[[#This Row],[Store Branch / Address]]</f>
        <v>TAN CHARISSE MESINA - THE ECO SHIFT - ATC</v>
      </c>
      <c r="B2072" t="str">
        <f>Table3[[#This Row],[Client ID]] &amp; " - " &amp; Table3[[#This Row],[SO Number]]</f>
        <v>TAN CHARISSE MESINA - THE ECO SHIFT - ATC - SO-26-003</v>
      </c>
      <c r="C2072" t="s">
        <v>1386</v>
      </c>
      <c r="D2072" t="s">
        <v>1387</v>
      </c>
      <c r="E2072" t="s">
        <v>1388</v>
      </c>
      <c r="F2072" t="s">
        <v>1058</v>
      </c>
      <c r="G2072" t="s">
        <v>1024</v>
      </c>
      <c r="H2072" t="s">
        <v>1201</v>
      </c>
      <c r="I2072" t="s">
        <v>189</v>
      </c>
      <c r="J2072">
        <v>1</v>
      </c>
      <c r="K2072">
        <v>500</v>
      </c>
      <c r="L2072">
        <v>600</v>
      </c>
      <c r="M2072">
        <v>600</v>
      </c>
      <c r="N2072" t="s">
        <v>1010</v>
      </c>
    </row>
    <row r="2073" spans="1:14" x14ac:dyDescent="0.25">
      <c r="A2073" t="str">
        <f>Table3[[#This Row],[Company Name]] &amp; " - " &amp; Table3[[#This Row],[Store Name]] &amp; " - " &amp; Table3[[#This Row],[Store Branch / Address]]</f>
        <v>TAN CHARISSE MESINA - THE ECO SHIFT - ATC</v>
      </c>
      <c r="B2073" t="str">
        <f>Table3[[#This Row],[Client ID]] &amp; " - " &amp; Table3[[#This Row],[SO Number]]</f>
        <v>TAN CHARISSE MESINA - THE ECO SHIFT - ATC - SO-26-003</v>
      </c>
      <c r="C2073" t="s">
        <v>1386</v>
      </c>
      <c r="D2073" t="s">
        <v>1387</v>
      </c>
      <c r="E2073" t="s">
        <v>1388</v>
      </c>
      <c r="F2073" t="s">
        <v>1058</v>
      </c>
      <c r="G2073" t="s">
        <v>1024</v>
      </c>
      <c r="H2073" t="s">
        <v>1201</v>
      </c>
      <c r="I2073" t="s">
        <v>85</v>
      </c>
      <c r="J2073">
        <v>1</v>
      </c>
      <c r="K2073">
        <v>1350</v>
      </c>
      <c r="L2073">
        <v>1700</v>
      </c>
      <c r="M2073">
        <v>1700</v>
      </c>
      <c r="N2073" t="s">
        <v>1010</v>
      </c>
    </row>
    <row r="2074" spans="1:14" x14ac:dyDescent="0.25">
      <c r="A2074" t="str">
        <f>Table3[[#This Row],[Company Name]] &amp; " - " &amp; Table3[[#This Row],[Store Name]] &amp; " - " &amp; Table3[[#This Row],[Store Branch / Address]]</f>
        <v>TAN CHARISSE MESINA - THE ECO SHIFT - ATC</v>
      </c>
      <c r="B2074" t="str">
        <f>Table3[[#This Row],[Client ID]] &amp; " - " &amp; Table3[[#This Row],[SO Number]]</f>
        <v>TAN CHARISSE MESINA - THE ECO SHIFT - ATC - SO-26-003</v>
      </c>
      <c r="C2074" t="s">
        <v>1386</v>
      </c>
      <c r="D2074" t="s">
        <v>1387</v>
      </c>
      <c r="E2074" t="s">
        <v>1388</v>
      </c>
      <c r="F2074" t="s">
        <v>1058</v>
      </c>
      <c r="G2074" t="s">
        <v>1024</v>
      </c>
      <c r="H2074" t="s">
        <v>1201</v>
      </c>
      <c r="I2074" t="s">
        <v>1390</v>
      </c>
      <c r="J2074">
        <v>1</v>
      </c>
      <c r="K2074">
        <v>4088</v>
      </c>
      <c r="L2074">
        <v>6500</v>
      </c>
      <c r="M2074">
        <v>6500</v>
      </c>
      <c r="N2074" t="s">
        <v>1010</v>
      </c>
    </row>
    <row r="2075" spans="1:14" x14ac:dyDescent="0.25">
      <c r="A2075" t="str">
        <f>Table3[[#This Row],[Company Name]] &amp; " - " &amp; Table3[[#This Row],[Store Name]] &amp; " - " &amp; Table3[[#This Row],[Store Branch / Address]]</f>
        <v>TAN CHARISSE MESINA - THE ECO SHIFT - ATC</v>
      </c>
      <c r="B2075" t="str">
        <f>Table3[[#This Row],[Client ID]] &amp; " - " &amp; Table3[[#This Row],[SO Number]]</f>
        <v>TAN CHARISSE MESINA - THE ECO SHIFT - ATC - SO-26-003</v>
      </c>
      <c r="C2075" t="s">
        <v>1386</v>
      </c>
      <c r="D2075" t="s">
        <v>1387</v>
      </c>
      <c r="E2075" t="s">
        <v>1388</v>
      </c>
      <c r="F2075" t="s">
        <v>1058</v>
      </c>
      <c r="G2075" t="s">
        <v>1024</v>
      </c>
      <c r="H2075" t="s">
        <v>1201</v>
      </c>
      <c r="I2075" t="s">
        <v>97</v>
      </c>
      <c r="J2075">
        <v>1</v>
      </c>
      <c r="K2075">
        <v>2200</v>
      </c>
      <c r="L2075">
        <v>3000</v>
      </c>
      <c r="M2075">
        <v>3000</v>
      </c>
      <c r="N2075" t="s">
        <v>1010</v>
      </c>
    </row>
    <row r="2076" spans="1:14" x14ac:dyDescent="0.25">
      <c r="A2076" t="str">
        <f>Table3[[#This Row],[Company Name]] &amp; " - " &amp; Table3[[#This Row],[Store Name]] &amp; " - " &amp; Table3[[#This Row],[Store Branch / Address]]</f>
        <v>TAN CHARISSE MESINA - THE ECO SHIFT - ATC</v>
      </c>
      <c r="B2076" t="str">
        <f>Table3[[#This Row],[Client ID]] &amp; " - " &amp; Table3[[#This Row],[SO Number]]</f>
        <v>TAN CHARISSE MESINA - THE ECO SHIFT - ATC - SO-26-003</v>
      </c>
      <c r="C2076" t="s">
        <v>1386</v>
      </c>
      <c r="D2076" t="s">
        <v>1387</v>
      </c>
      <c r="E2076" t="s">
        <v>1388</v>
      </c>
      <c r="F2076" t="s">
        <v>1058</v>
      </c>
      <c r="G2076" t="s">
        <v>1024</v>
      </c>
      <c r="H2076" t="s">
        <v>1201</v>
      </c>
      <c r="I2076" t="s">
        <v>393</v>
      </c>
      <c r="J2076">
        <v>1</v>
      </c>
      <c r="K2076">
        <v>1000</v>
      </c>
      <c r="L2076">
        <v>1000</v>
      </c>
      <c r="M2076">
        <v>1000</v>
      </c>
      <c r="N2076" t="s">
        <v>1010</v>
      </c>
    </row>
    <row r="2077" spans="1:14" x14ac:dyDescent="0.25">
      <c r="A2077" t="str">
        <f>Table3[[#This Row],[Company Name]] &amp; " - " &amp; Table3[[#This Row],[Store Name]] &amp; " - " &amp; Table3[[#This Row],[Store Branch / Address]]</f>
        <v>SHIN CLARA FOOD CORPORATION - SHIN CLARA FOOD CORP. - MARKET! MARKET!</v>
      </c>
      <c r="B2077" t="str">
        <f>Table3[[#This Row],[Client ID]] &amp; " - " &amp; Table3[[#This Row],[SO Number]]</f>
        <v>SHIN CLARA FOOD CORPORATION - SHIN CLARA FOOD CORP. - MARKET! MARKET! - SO-26-010</v>
      </c>
      <c r="C2077" t="s">
        <v>1202</v>
      </c>
      <c r="D2077" t="s">
        <v>658</v>
      </c>
      <c r="E2077" t="s">
        <v>659</v>
      </c>
      <c r="F2077" t="s">
        <v>1179</v>
      </c>
      <c r="G2077" t="s">
        <v>22</v>
      </c>
      <c r="H2077" t="s">
        <v>1203</v>
      </c>
      <c r="I2077" t="s">
        <v>1204</v>
      </c>
      <c r="J2077">
        <v>1</v>
      </c>
      <c r="K2077">
        <v>5000</v>
      </c>
      <c r="L2077">
        <v>5000</v>
      </c>
      <c r="M2077">
        <v>5000</v>
      </c>
      <c r="N2077" t="s">
        <v>39</v>
      </c>
    </row>
    <row r="2078" spans="1:14" x14ac:dyDescent="0.25">
      <c r="A2078" t="str">
        <f>Table3[[#This Row],[Company Name]] &amp; " - " &amp; Table3[[#This Row],[Store Name]] &amp; " - " &amp; Table3[[#This Row],[Store Branch / Address]]</f>
        <v>CHICKEN DELI - PAOTSIN ERMITA - GENERIC</v>
      </c>
      <c r="B2078" t="str">
        <f>Table3[[#This Row],[Client ID]] &amp; " - " &amp; Table3[[#This Row],[SO Number]]</f>
        <v>CHICKEN DELI - PAOTSIN ERMITA - GENERIC - SO-012</v>
      </c>
      <c r="C2078" t="s">
        <v>100</v>
      </c>
      <c r="D2078" t="s">
        <v>20</v>
      </c>
      <c r="E2078" t="s">
        <v>1208</v>
      </c>
      <c r="F2078" t="s">
        <v>15</v>
      </c>
      <c r="G2078" t="s">
        <v>22</v>
      </c>
      <c r="H2078" t="s">
        <v>1203</v>
      </c>
      <c r="I2078" t="s">
        <v>669</v>
      </c>
      <c r="J2078">
        <v>1</v>
      </c>
      <c r="K2078">
        <v>650</v>
      </c>
      <c r="L2078">
        <v>1500</v>
      </c>
      <c r="M2078">
        <v>1500</v>
      </c>
      <c r="N2078" t="s">
        <v>19</v>
      </c>
    </row>
    <row r="2079" spans="1:14" x14ac:dyDescent="0.25">
      <c r="A2079" t="str">
        <f>Table3[[#This Row],[Company Name]] &amp; " - " &amp; Table3[[#This Row],[Store Name]] &amp; " - " &amp; Table3[[#This Row],[Store Branch / Address]]</f>
        <v>CHICKEN DELI - GONGCHA - GENERIC</v>
      </c>
      <c r="B2079" t="str">
        <f>Table3[[#This Row],[Client ID]] &amp; " - " &amp; Table3[[#This Row],[SO Number]]</f>
        <v>CHICKEN DELI - GONGCHA - GENERIC - SO-013</v>
      </c>
      <c r="C2079" t="s">
        <v>104</v>
      </c>
      <c r="D2079" t="s">
        <v>20</v>
      </c>
      <c r="E2079" t="s">
        <v>31</v>
      </c>
      <c r="F2079" t="s">
        <v>15</v>
      </c>
      <c r="G2079" t="s">
        <v>22</v>
      </c>
      <c r="H2079" t="s">
        <v>1203</v>
      </c>
      <c r="I2079" t="s">
        <v>145</v>
      </c>
      <c r="J2079">
        <v>1</v>
      </c>
      <c r="K2079">
        <v>3675</v>
      </c>
      <c r="L2079">
        <v>10500</v>
      </c>
      <c r="M2079">
        <v>10500</v>
      </c>
      <c r="N2079" t="s">
        <v>19</v>
      </c>
    </row>
    <row r="2080" spans="1:14" x14ac:dyDescent="0.25">
      <c r="A2080" t="str">
        <f>Table3[[#This Row],[Company Name]] &amp; " - " &amp; Table3[[#This Row],[Store Name]] &amp; " - " &amp; Table3[[#This Row],[Store Branch / Address]]</f>
        <v>CHICKEN DELI - GONGCHA - GENERIC</v>
      </c>
      <c r="B2080" t="str">
        <f>Table3[[#This Row],[Client ID]] &amp; " - " &amp; Table3[[#This Row],[SO Number]]</f>
        <v>CHICKEN DELI - GONGCHA - GENERIC - SO-013</v>
      </c>
      <c r="C2080" t="s">
        <v>104</v>
      </c>
      <c r="D2080" t="s">
        <v>20</v>
      </c>
      <c r="E2080" t="s">
        <v>31</v>
      </c>
      <c r="F2080" t="s">
        <v>15</v>
      </c>
      <c r="G2080" t="s">
        <v>22</v>
      </c>
      <c r="H2080" t="s">
        <v>1203</v>
      </c>
      <c r="I2080" t="s">
        <v>299</v>
      </c>
      <c r="J2080">
        <v>1</v>
      </c>
      <c r="K2080">
        <v>9500</v>
      </c>
      <c r="L2080">
        <v>9500</v>
      </c>
      <c r="M2080">
        <v>9500</v>
      </c>
      <c r="N2080" t="s">
        <v>19</v>
      </c>
    </row>
    <row r="2081" spans="1:14" x14ac:dyDescent="0.25">
      <c r="A2081" t="str">
        <f>Table3[[#This Row],[Company Name]] &amp; " - " &amp; Table3[[#This Row],[Store Name]] &amp; " - " &amp; Table3[[#This Row],[Store Branch / Address]]</f>
        <v>CHICKEN DELI - GONGCHA - GENERIC</v>
      </c>
      <c r="B2081" t="str">
        <f>Table3[[#This Row],[Client ID]] &amp; " - " &amp; Table3[[#This Row],[SO Number]]</f>
        <v>CHICKEN DELI - GONGCHA - GENERIC - SO-013</v>
      </c>
      <c r="C2081" t="s">
        <v>104</v>
      </c>
      <c r="D2081" t="s">
        <v>20</v>
      </c>
      <c r="E2081" t="s">
        <v>31</v>
      </c>
      <c r="F2081" t="s">
        <v>15</v>
      </c>
      <c r="G2081" t="s">
        <v>22</v>
      </c>
      <c r="H2081" t="s">
        <v>1203</v>
      </c>
      <c r="I2081" t="s">
        <v>25</v>
      </c>
      <c r="J2081">
        <v>1</v>
      </c>
      <c r="K2081">
        <v>9500</v>
      </c>
      <c r="L2081">
        <v>9500</v>
      </c>
      <c r="M2081">
        <v>9500</v>
      </c>
      <c r="N2081" t="s">
        <v>19</v>
      </c>
    </row>
    <row r="2082" spans="1:14" x14ac:dyDescent="0.25">
      <c r="A2082" t="str">
        <f>Table3[[#This Row],[Company Name]] &amp; " - " &amp; Table3[[#This Row],[Store Name]] &amp; " - " &amp; Table3[[#This Row],[Store Branch / Address]]</f>
        <v>CHICKEN DELI - GONGCHA - GENERIC</v>
      </c>
      <c r="B2082" t="str">
        <f>Table3[[#This Row],[Client ID]] &amp; " - " &amp; Table3[[#This Row],[SO Number]]</f>
        <v>CHICKEN DELI - GONGCHA - GENERIC - SO-013</v>
      </c>
      <c r="C2082" t="s">
        <v>104</v>
      </c>
      <c r="D2082" t="s">
        <v>20</v>
      </c>
      <c r="E2082" t="s">
        <v>31</v>
      </c>
      <c r="F2082" t="s">
        <v>15</v>
      </c>
      <c r="G2082" t="s">
        <v>22</v>
      </c>
      <c r="H2082" t="s">
        <v>1203</v>
      </c>
      <c r="I2082" t="s">
        <v>134</v>
      </c>
      <c r="J2082">
        <v>1</v>
      </c>
      <c r="K2082">
        <v>500</v>
      </c>
      <c r="L2082">
        <v>500</v>
      </c>
      <c r="M2082">
        <v>500</v>
      </c>
      <c r="N2082" t="s">
        <v>19</v>
      </c>
    </row>
    <row r="2083" spans="1:14" x14ac:dyDescent="0.25">
      <c r="A2083" t="str">
        <f>Table3[[#This Row],[Company Name]] &amp; " - " &amp; Table3[[#This Row],[Store Name]] &amp; " - " &amp; Table3[[#This Row],[Store Branch / Address]]</f>
        <v>CHICKEN DELI - GONGCHA - GENERIC</v>
      </c>
      <c r="B2083" t="str">
        <f>Table3[[#This Row],[Client ID]] &amp; " - " &amp; Table3[[#This Row],[SO Number]]</f>
        <v>CHICKEN DELI - GONGCHA - GENERIC - SO-N/A</v>
      </c>
      <c r="C2083" t="s">
        <v>780</v>
      </c>
      <c r="D2083" t="s">
        <v>20</v>
      </c>
      <c r="E2083" t="s">
        <v>31</v>
      </c>
      <c r="F2083" t="s">
        <v>15</v>
      </c>
      <c r="G2083" t="s">
        <v>22</v>
      </c>
      <c r="H2083" t="s">
        <v>1203</v>
      </c>
      <c r="I2083" t="s">
        <v>145</v>
      </c>
      <c r="J2083">
        <v>1</v>
      </c>
      <c r="K2083">
        <v>3675</v>
      </c>
      <c r="L2083">
        <v>10500</v>
      </c>
      <c r="M2083">
        <v>10500</v>
      </c>
      <c r="N2083" t="s">
        <v>19</v>
      </c>
    </row>
    <row r="2084" spans="1:14" x14ac:dyDescent="0.25">
      <c r="A2084" t="str">
        <f>Table3[[#This Row],[Company Name]] &amp; " - " &amp; Table3[[#This Row],[Store Name]] &amp; " - " &amp; Table3[[#This Row],[Store Branch / Address]]</f>
        <v>CHICKEN DELI - GONGCHA - GENERIC</v>
      </c>
      <c r="B2084" t="str">
        <f>Table3[[#This Row],[Client ID]] &amp; " - " &amp; Table3[[#This Row],[SO Number]]</f>
        <v>CHICKEN DELI - GONGCHA - GENERIC - SO-N/A</v>
      </c>
      <c r="C2084" t="s">
        <v>780</v>
      </c>
      <c r="D2084" t="s">
        <v>20</v>
      </c>
      <c r="E2084" t="s">
        <v>31</v>
      </c>
      <c r="F2084" t="s">
        <v>15</v>
      </c>
      <c r="G2084" t="s">
        <v>22</v>
      </c>
      <c r="H2084" t="s">
        <v>1203</v>
      </c>
      <c r="I2084" t="s">
        <v>299</v>
      </c>
      <c r="J2084">
        <v>1</v>
      </c>
      <c r="K2084">
        <v>9500</v>
      </c>
      <c r="L2084">
        <v>9500</v>
      </c>
      <c r="M2084">
        <v>9500</v>
      </c>
      <c r="N2084" t="s">
        <v>19</v>
      </c>
    </row>
    <row r="2085" spans="1:14" x14ac:dyDescent="0.25">
      <c r="A2085" t="str">
        <f>Table3[[#This Row],[Company Name]] &amp; " - " &amp; Table3[[#This Row],[Store Name]] &amp; " - " &amp; Table3[[#This Row],[Store Branch / Address]]</f>
        <v>CHICKEN DELI - GONGCHA - GENERIC</v>
      </c>
      <c r="B2085" t="str">
        <f>Table3[[#This Row],[Client ID]] &amp; " - " &amp; Table3[[#This Row],[SO Number]]</f>
        <v>CHICKEN DELI - GONGCHA - GENERIC - SO-N/A</v>
      </c>
      <c r="C2085" t="s">
        <v>780</v>
      </c>
      <c r="D2085" t="s">
        <v>20</v>
      </c>
      <c r="E2085" t="s">
        <v>31</v>
      </c>
      <c r="F2085" t="s">
        <v>15</v>
      </c>
      <c r="G2085" t="s">
        <v>22</v>
      </c>
      <c r="H2085" t="s">
        <v>1203</v>
      </c>
      <c r="I2085" t="s">
        <v>25</v>
      </c>
      <c r="J2085">
        <v>1</v>
      </c>
      <c r="K2085">
        <v>9500</v>
      </c>
      <c r="L2085">
        <v>9500</v>
      </c>
      <c r="M2085">
        <v>9500</v>
      </c>
      <c r="N2085" t="s">
        <v>19</v>
      </c>
    </row>
    <row r="2086" spans="1:14" x14ac:dyDescent="0.25">
      <c r="A2086" t="str">
        <f>Table3[[#This Row],[Company Name]] &amp; " - " &amp; Table3[[#This Row],[Store Name]] &amp; " - " &amp; Table3[[#This Row],[Store Branch / Address]]</f>
        <v>CHICKEN DELI - GONGCHA - GENERIC</v>
      </c>
      <c r="B2086" t="str">
        <f>Table3[[#This Row],[Client ID]] &amp; " - " &amp; Table3[[#This Row],[SO Number]]</f>
        <v>CHICKEN DELI - GONGCHA - GENERIC - SO-N/A</v>
      </c>
      <c r="C2086" t="s">
        <v>780</v>
      </c>
      <c r="D2086" t="s">
        <v>20</v>
      </c>
      <c r="E2086" t="s">
        <v>31</v>
      </c>
      <c r="F2086" t="s">
        <v>15</v>
      </c>
      <c r="G2086" t="s">
        <v>22</v>
      </c>
      <c r="H2086" t="s">
        <v>1203</v>
      </c>
      <c r="I2086" t="s">
        <v>134</v>
      </c>
      <c r="J2086">
        <v>1</v>
      </c>
      <c r="K2086">
        <v>500</v>
      </c>
      <c r="L2086">
        <v>500</v>
      </c>
      <c r="M2086">
        <v>500</v>
      </c>
      <c r="N2086" t="s">
        <v>19</v>
      </c>
    </row>
    <row r="2087" spans="1:14" x14ac:dyDescent="0.25">
      <c r="A2087" t="str">
        <f>Table3[[#This Row],[Company Name]] &amp; " - " &amp; Table3[[#This Row],[Store Name]] &amp; " - " &amp; Table3[[#This Row],[Store Branch / Address]]</f>
        <v>HUZZAH - HUZZAH - GENERIC</v>
      </c>
      <c r="B2087" t="str">
        <f>Table3[[#This Row],[Client ID]] &amp; " - " &amp; Table3[[#This Row],[SO Number]]</f>
        <v>HUZZAH - HUZZAH - GENERIC - SO-26-011</v>
      </c>
      <c r="C2087" t="s">
        <v>1205</v>
      </c>
      <c r="D2087" t="s">
        <v>87</v>
      </c>
      <c r="E2087" t="s">
        <v>87</v>
      </c>
      <c r="F2087" t="s">
        <v>15</v>
      </c>
      <c r="G2087" t="s">
        <v>37</v>
      </c>
      <c r="H2087" t="s">
        <v>1206</v>
      </c>
      <c r="I2087" t="s">
        <v>89</v>
      </c>
      <c r="J2087">
        <v>50</v>
      </c>
      <c r="K2087">
        <v>32</v>
      </c>
      <c r="L2087">
        <v>50</v>
      </c>
      <c r="M2087">
        <v>2500</v>
      </c>
      <c r="N2087" t="s">
        <v>39</v>
      </c>
    </row>
    <row r="2088" spans="1:14" x14ac:dyDescent="0.25">
      <c r="A2088" t="str">
        <f>Table3[[#This Row],[Company Name]] &amp; " - " &amp; Table3[[#This Row],[Store Name]] &amp; " - " &amp; Table3[[#This Row],[Store Branch / Address]]</f>
        <v>TAN CHARISSE MESINA - THE ECO SHIFT - ATC</v>
      </c>
      <c r="B2088" t="str">
        <f>Table3[[#This Row],[Client ID]] &amp; " - " &amp; Table3[[#This Row],[SO Number]]</f>
        <v>TAN CHARISSE MESINA - THE ECO SHIFT - ATC - SO-26-004</v>
      </c>
      <c r="C2088" t="s">
        <v>1185</v>
      </c>
      <c r="D2088" t="s">
        <v>1387</v>
      </c>
      <c r="E2088" t="s">
        <v>1388</v>
      </c>
      <c r="F2088" t="s">
        <v>1058</v>
      </c>
      <c r="G2088" t="s">
        <v>1024</v>
      </c>
      <c r="H2088" t="s">
        <v>1206</v>
      </c>
      <c r="I2088" t="s">
        <v>62</v>
      </c>
      <c r="J2088">
        <v>5</v>
      </c>
      <c r="K2088">
        <v>47</v>
      </c>
      <c r="L2088">
        <v>80</v>
      </c>
      <c r="M2088">
        <v>400</v>
      </c>
      <c r="N2088" t="s">
        <v>1010</v>
      </c>
    </row>
    <row r="2089" spans="1:14" x14ac:dyDescent="0.25">
      <c r="A2089" t="str">
        <f>Table3[[#This Row],[Company Name]] &amp; " - " &amp; Table3[[#This Row],[Store Name]] &amp; " - " &amp; Table3[[#This Row],[Store Branch / Address]]</f>
        <v>ELEVATED FOOD RECIPES INC - HEALTHY SHABU SHABU - GENERIC</v>
      </c>
      <c r="B2089" t="str">
        <f>Table3[[#This Row],[Client ID]] &amp; " - " &amp; Table3[[#This Row],[SO Number]]</f>
        <v>ELEVATED FOOD RECIPES INC - HEALTHY SHABU SHABU - GENERIC - SO-26-012</v>
      </c>
      <c r="C2089" t="s">
        <v>1209</v>
      </c>
      <c r="D2089" t="s">
        <v>179</v>
      </c>
      <c r="E2089" t="s">
        <v>180</v>
      </c>
      <c r="F2089" t="s">
        <v>15</v>
      </c>
      <c r="G2089" t="s">
        <v>22</v>
      </c>
      <c r="H2089" t="s">
        <v>1210</v>
      </c>
      <c r="I2089" t="s">
        <v>1211</v>
      </c>
      <c r="J2089">
        <v>6</v>
      </c>
      <c r="K2089">
        <v>8000</v>
      </c>
      <c r="L2089">
        <v>8000</v>
      </c>
      <c r="M2089">
        <v>48000</v>
      </c>
      <c r="N2089" t="s">
        <v>39</v>
      </c>
    </row>
    <row r="2090" spans="1:14" x14ac:dyDescent="0.25">
      <c r="A2090" t="str">
        <f>Table3[[#This Row],[Company Name]] &amp; " - " &amp; Table3[[#This Row],[Store Name]] &amp; " - " &amp; Table3[[#This Row],[Store Branch / Address]]</f>
        <v>ARTWORK INCORPORATED - ARTWORK INCORPORATED - ES:</v>
      </c>
      <c r="B2090" t="str">
        <f>Table3[[#This Row],[Client ID]] &amp; " - " &amp; Table3[[#This Row],[SO Number]]</f>
        <v>ARTWORK INCORPORATED - ARTWORK INCORPORATED - ES: - SO-26-013</v>
      </c>
      <c r="C2090" t="s">
        <v>1212</v>
      </c>
      <c r="D2090" t="s">
        <v>256</v>
      </c>
      <c r="E2090" t="s">
        <v>256</v>
      </c>
      <c r="F2090" t="s">
        <v>266</v>
      </c>
      <c r="G2090" t="s">
        <v>22</v>
      </c>
      <c r="H2090" t="s">
        <v>1210</v>
      </c>
      <c r="I2090" t="s">
        <v>267</v>
      </c>
      <c r="J2090">
        <v>19</v>
      </c>
      <c r="K2090">
        <v>8000</v>
      </c>
      <c r="L2090">
        <v>8000</v>
      </c>
      <c r="M2090">
        <v>152000</v>
      </c>
      <c r="N2090" t="s">
        <v>19</v>
      </c>
    </row>
    <row r="2091" spans="1:14" x14ac:dyDescent="0.25">
      <c r="A2091" t="str">
        <f>Table3[[#This Row],[Company Name]] &amp; " - " &amp; Table3[[#This Row],[Store Name]] &amp; " - " &amp; Table3[[#This Row],[Store Branch / Address]]</f>
        <v>KCC HTS PTE LTP CORP NO COR YET - KAJIKEN - GENERIC</v>
      </c>
      <c r="B2091" t="str">
        <f>Table3[[#This Row],[Client ID]] &amp; " - " &amp; Table3[[#This Row],[SO Number]]</f>
        <v>KCC HTS PTE LTP CORP NO COR YET - KAJIKEN - GENERIC - SO-26-014</v>
      </c>
      <c r="C2091" t="s">
        <v>1213</v>
      </c>
      <c r="D2091" t="s">
        <v>1214</v>
      </c>
      <c r="E2091" t="s">
        <v>1215</v>
      </c>
      <c r="F2091" t="s">
        <v>15</v>
      </c>
      <c r="G2091" t="s">
        <v>16</v>
      </c>
      <c r="H2091" t="s">
        <v>1216</v>
      </c>
      <c r="I2091" t="s">
        <v>1217</v>
      </c>
      <c r="J2091">
        <v>1</v>
      </c>
      <c r="K2091">
        <v>3675</v>
      </c>
      <c r="L2091">
        <v>10500</v>
      </c>
      <c r="M2091">
        <v>10500</v>
      </c>
      <c r="N2091" t="s">
        <v>19</v>
      </c>
    </row>
    <row r="2092" spans="1:14" x14ac:dyDescent="0.25">
      <c r="A2092" t="str">
        <f>Table3[[#This Row],[Company Name]] &amp; " - " &amp; Table3[[#This Row],[Store Name]] &amp; " - " &amp; Table3[[#This Row],[Store Branch / Address]]</f>
        <v>KCC HTS PTE LTP CORP NO COR YET - KAJIKEN - GENERIC</v>
      </c>
      <c r="B2092" t="str">
        <f>Table3[[#This Row],[Client ID]] &amp; " - " &amp; Table3[[#This Row],[SO Number]]</f>
        <v>KCC HTS PTE LTP CORP NO COR YET - KAJIKEN - GENERIC - SO-26-014</v>
      </c>
      <c r="C2092" t="s">
        <v>1213</v>
      </c>
      <c r="D2092" t="s">
        <v>1214</v>
      </c>
      <c r="E2092" t="s">
        <v>1215</v>
      </c>
      <c r="F2092" t="s">
        <v>15</v>
      </c>
      <c r="G2092" t="s">
        <v>16</v>
      </c>
      <c r="H2092" t="s">
        <v>1216</v>
      </c>
      <c r="I2092" t="s">
        <v>48</v>
      </c>
      <c r="J2092">
        <v>1</v>
      </c>
      <c r="K2092">
        <v>12000</v>
      </c>
      <c r="L2092">
        <v>12000</v>
      </c>
      <c r="M2092">
        <v>12000</v>
      </c>
      <c r="N2092" t="s">
        <v>19</v>
      </c>
    </row>
    <row r="2093" spans="1:14" x14ac:dyDescent="0.25">
      <c r="A2093" t="str">
        <f>Table3[[#This Row],[Company Name]] &amp; " - " &amp; Table3[[#This Row],[Store Name]] &amp; " - " &amp; Table3[[#This Row],[Store Branch / Address]]</f>
        <v>KCC HTS PTE LTP CORP NO COR YET - KAJIKEN - GENERIC</v>
      </c>
      <c r="B2093" t="str">
        <f>Table3[[#This Row],[Client ID]] &amp; " - " &amp; Table3[[#This Row],[SO Number]]</f>
        <v>KCC HTS PTE LTP CORP NO COR YET - KAJIKEN - GENERIC - SO-26-014</v>
      </c>
      <c r="C2093" t="s">
        <v>1213</v>
      </c>
      <c r="D2093" t="s">
        <v>1214</v>
      </c>
      <c r="E2093" t="s">
        <v>1215</v>
      </c>
      <c r="F2093" t="s">
        <v>15</v>
      </c>
      <c r="G2093" t="s">
        <v>16</v>
      </c>
      <c r="H2093" t="s">
        <v>1216</v>
      </c>
      <c r="I2093" t="s">
        <v>126</v>
      </c>
      <c r="J2093">
        <v>1</v>
      </c>
      <c r="K2093">
        <v>12000</v>
      </c>
      <c r="L2093">
        <v>12000</v>
      </c>
      <c r="M2093">
        <v>12000</v>
      </c>
      <c r="N2093" t="s">
        <v>19</v>
      </c>
    </row>
    <row r="2094" spans="1:14" x14ac:dyDescent="0.25">
      <c r="A2094" t="str">
        <f>Table3[[#This Row],[Company Name]] &amp; " - " &amp; Table3[[#This Row],[Store Name]] &amp; " - " &amp; Table3[[#This Row],[Store Branch / Address]]</f>
        <v>KCC HTS PTE LTP CORP NO COR YET - KAJIKEN - GENERIC</v>
      </c>
      <c r="B2094" t="str">
        <f>Table3[[#This Row],[Client ID]] &amp; " - " &amp; Table3[[#This Row],[SO Number]]</f>
        <v>KCC HTS PTE LTP CORP NO COR YET - KAJIKEN - GENERIC - SO-26-014</v>
      </c>
      <c r="C2094" t="s">
        <v>1213</v>
      </c>
      <c r="D2094" t="s">
        <v>1214</v>
      </c>
      <c r="E2094" t="s">
        <v>1215</v>
      </c>
      <c r="F2094" t="s">
        <v>15</v>
      </c>
      <c r="G2094" t="s">
        <v>16</v>
      </c>
      <c r="H2094" t="s">
        <v>1216</v>
      </c>
      <c r="I2094" t="s">
        <v>26</v>
      </c>
      <c r="J2094">
        <v>1</v>
      </c>
      <c r="K2094">
        <v>500</v>
      </c>
      <c r="L2094">
        <v>500</v>
      </c>
      <c r="M2094">
        <v>500</v>
      </c>
      <c r="N2094" t="s">
        <v>19</v>
      </c>
    </row>
    <row r="2095" spans="1:14" x14ac:dyDescent="0.25">
      <c r="A2095" t="str">
        <f>Table3[[#This Row],[Company Name]] &amp; " - " &amp; Table3[[#This Row],[Store Name]] &amp; " - " &amp; Table3[[#This Row],[Store Branch / Address]]</f>
        <v>KCC HTS PTE LTP CORP NO COR YET - KAJIKEN - GENERIC</v>
      </c>
      <c r="B2095" t="str">
        <f>Table3[[#This Row],[Client ID]] &amp; " - " &amp; Table3[[#This Row],[SO Number]]</f>
        <v>KCC HTS PTE LTP CORP NO COR YET - KAJIKEN - GENERIC - SO-26-014</v>
      </c>
      <c r="C2095" t="s">
        <v>1213</v>
      </c>
      <c r="D2095" t="s">
        <v>1214</v>
      </c>
      <c r="E2095" t="s">
        <v>1215</v>
      </c>
      <c r="F2095" t="s">
        <v>15</v>
      </c>
      <c r="G2095" t="s">
        <v>16</v>
      </c>
      <c r="H2095" t="s">
        <v>1216</v>
      </c>
      <c r="I2095" t="s">
        <v>1218</v>
      </c>
      <c r="J2095">
        <v>1</v>
      </c>
      <c r="K2095">
        <v>8500</v>
      </c>
      <c r="L2095">
        <v>16725</v>
      </c>
      <c r="M2095">
        <v>16725</v>
      </c>
      <c r="N2095" t="s">
        <v>19</v>
      </c>
    </row>
    <row r="2096" spans="1:14" x14ac:dyDescent="0.25">
      <c r="A2096" t="str">
        <f>Table3[[#This Row],[Company Name]] &amp; " - " &amp; Table3[[#This Row],[Store Name]] &amp; " - " &amp; Table3[[#This Row],[Store Branch / Address]]</f>
        <v>KCC HTS PTE LTP CORP NO COR YET - KAJIKEN - GENERIC</v>
      </c>
      <c r="B2096" t="str">
        <f>Table3[[#This Row],[Client ID]] &amp; " - " &amp; Table3[[#This Row],[SO Number]]</f>
        <v>KCC HTS PTE LTP CORP NO COR YET - KAJIKEN - GENERIC - SO-26-014</v>
      </c>
      <c r="C2096" t="s">
        <v>1213</v>
      </c>
      <c r="D2096" t="s">
        <v>1214</v>
      </c>
      <c r="E2096" t="s">
        <v>1215</v>
      </c>
      <c r="F2096" t="s">
        <v>15</v>
      </c>
      <c r="G2096" t="s">
        <v>16</v>
      </c>
      <c r="H2096" t="s">
        <v>1216</v>
      </c>
      <c r="I2096" t="s">
        <v>1219</v>
      </c>
      <c r="J2096">
        <v>1</v>
      </c>
      <c r="K2096">
        <v>70</v>
      </c>
      <c r="L2096">
        <v>150</v>
      </c>
      <c r="M2096">
        <v>150</v>
      </c>
      <c r="N2096" t="s">
        <v>19</v>
      </c>
    </row>
    <row r="2097" spans="1:14" x14ac:dyDescent="0.25">
      <c r="A2097" t="str">
        <f>Table3[[#This Row],[Company Name]] &amp; " - " &amp; Table3[[#This Row],[Store Name]] &amp; " - " &amp; Table3[[#This Row],[Store Branch / Address]]</f>
        <v>KCC HTS PTE LTP CORP NO COR YET - KAJIKEN - GENERIC</v>
      </c>
      <c r="B2097" t="str">
        <f>Table3[[#This Row],[Client ID]] &amp; " - " &amp; Table3[[#This Row],[SO Number]]</f>
        <v>KCC HTS PTE LTP CORP NO COR YET - KAJIKEN - GENERIC - SO-26-014</v>
      </c>
      <c r="C2097" t="s">
        <v>1213</v>
      </c>
      <c r="D2097" t="s">
        <v>1214</v>
      </c>
      <c r="E2097" t="s">
        <v>1215</v>
      </c>
      <c r="F2097" t="s">
        <v>15</v>
      </c>
      <c r="G2097" t="s">
        <v>16</v>
      </c>
      <c r="H2097" t="s">
        <v>1216</v>
      </c>
      <c r="I2097" t="s">
        <v>1220</v>
      </c>
      <c r="J2097">
        <v>5</v>
      </c>
      <c r="K2097">
        <v>17</v>
      </c>
      <c r="L2097">
        <v>25</v>
      </c>
      <c r="M2097">
        <v>125</v>
      </c>
      <c r="N2097" t="s">
        <v>19</v>
      </c>
    </row>
    <row r="2098" spans="1:14" x14ac:dyDescent="0.25">
      <c r="A2098" t="str">
        <f>Table3[[#This Row],[Company Name]] &amp; " - " &amp; Table3[[#This Row],[Store Name]] &amp; " - " &amp; Table3[[#This Row],[Store Branch / Address]]</f>
        <v>KCC HTS PTE LTP CORP NO COR YET - KAJIKEN - GENERIC</v>
      </c>
      <c r="B2098" t="str">
        <f>Table3[[#This Row],[Client ID]] &amp; " - " &amp; Table3[[#This Row],[SO Number]]</f>
        <v>KCC HTS PTE LTP CORP NO COR YET - KAJIKEN - GENERIC - SO-26-014</v>
      </c>
      <c r="C2098" t="s">
        <v>1213</v>
      </c>
      <c r="D2098" t="s">
        <v>1214</v>
      </c>
      <c r="E2098" t="s">
        <v>1215</v>
      </c>
      <c r="F2098" t="s">
        <v>15</v>
      </c>
      <c r="G2098" t="s">
        <v>16</v>
      </c>
      <c r="H2098" t="s">
        <v>1216</v>
      </c>
      <c r="I2098" t="s">
        <v>97</v>
      </c>
      <c r="J2098">
        <v>1</v>
      </c>
      <c r="K2098">
        <v>2200</v>
      </c>
      <c r="L2098">
        <v>4700</v>
      </c>
      <c r="M2098">
        <v>4700</v>
      </c>
      <c r="N2098" t="s">
        <v>19</v>
      </c>
    </row>
    <row r="2099" spans="1:14" x14ac:dyDescent="0.25">
      <c r="A2099" t="str">
        <f>Table3[[#This Row],[Company Name]] &amp; " - " &amp; Table3[[#This Row],[Store Name]] &amp; " - " &amp; Table3[[#This Row],[Store Branch / Address]]</f>
        <v>KCC HTS PTE LTP CORP NO COR YET - KAJIKEN - GENERIC</v>
      </c>
      <c r="B2099" t="str">
        <f>Table3[[#This Row],[Client ID]] &amp; " - " &amp; Table3[[#This Row],[SO Number]]</f>
        <v>KCC HTS PTE LTP CORP NO COR YET - KAJIKEN - GENERIC - SO-26-014</v>
      </c>
      <c r="C2099" t="s">
        <v>1213</v>
      </c>
      <c r="D2099" t="s">
        <v>1214</v>
      </c>
      <c r="E2099" t="s">
        <v>1215</v>
      </c>
      <c r="F2099" t="s">
        <v>15</v>
      </c>
      <c r="G2099" t="s">
        <v>16</v>
      </c>
      <c r="H2099" t="s">
        <v>1216</v>
      </c>
      <c r="I2099" t="s">
        <v>284</v>
      </c>
      <c r="J2099">
        <v>1</v>
      </c>
      <c r="K2099">
        <v>11000</v>
      </c>
      <c r="L2099">
        <v>17000</v>
      </c>
      <c r="M2099">
        <v>17000</v>
      </c>
      <c r="N2099" t="s">
        <v>19</v>
      </c>
    </row>
    <row r="2100" spans="1:14" x14ac:dyDescent="0.25">
      <c r="A2100" t="str">
        <f>Table3[[#This Row],[Company Name]] &amp; " - " &amp; Table3[[#This Row],[Store Name]] &amp; " - " &amp; Table3[[#This Row],[Store Branch / Address]]</f>
        <v>KCC HTS PTE LTP CORP NO COR YET - KAJIKEN - GENERIC</v>
      </c>
      <c r="B2100" t="str">
        <f>Table3[[#This Row],[Client ID]] &amp; " - " &amp; Table3[[#This Row],[SO Number]]</f>
        <v>KCC HTS PTE LTP CORP NO COR YET - KAJIKEN - GENERIC - SO-26-014</v>
      </c>
      <c r="C2100" t="s">
        <v>1213</v>
      </c>
      <c r="D2100" t="s">
        <v>1214</v>
      </c>
      <c r="E2100" t="s">
        <v>1215</v>
      </c>
      <c r="F2100" t="s">
        <v>15</v>
      </c>
      <c r="G2100" t="s">
        <v>16</v>
      </c>
      <c r="H2100" t="s">
        <v>1216</v>
      </c>
      <c r="I2100" t="s">
        <v>85</v>
      </c>
      <c r="J2100">
        <v>1</v>
      </c>
      <c r="K2100">
        <v>1350</v>
      </c>
      <c r="L2100">
        <v>3100</v>
      </c>
      <c r="M2100">
        <v>3100</v>
      </c>
      <c r="N2100" t="s">
        <v>19</v>
      </c>
    </row>
    <row r="2101" spans="1:14" x14ac:dyDescent="0.25">
      <c r="A2101" t="str">
        <f>Table3[[#This Row],[Company Name]] &amp; " - " &amp; Table3[[#This Row],[Store Name]] &amp; " - " &amp; Table3[[#This Row],[Store Branch / Address]]</f>
        <v>KCC HTS PTE LTP CORP NO COR YET - KAJIKEN - GENERIC</v>
      </c>
      <c r="B2101" t="str">
        <f>Table3[[#This Row],[Client ID]] &amp; " - " &amp; Table3[[#This Row],[SO Number]]</f>
        <v>KCC HTS PTE LTP CORP NO COR YET - KAJIKEN - GENERIC - SO-26-014</v>
      </c>
      <c r="C2101" t="s">
        <v>1213</v>
      </c>
      <c r="D2101" t="s">
        <v>1214</v>
      </c>
      <c r="E2101" t="s">
        <v>1215</v>
      </c>
      <c r="F2101" t="s">
        <v>15</v>
      </c>
      <c r="G2101" t="s">
        <v>16</v>
      </c>
      <c r="H2101" t="s">
        <v>1216</v>
      </c>
      <c r="I2101" t="s">
        <v>209</v>
      </c>
      <c r="J2101">
        <v>1</v>
      </c>
      <c r="K2101">
        <v>26250</v>
      </c>
      <c r="L2101">
        <v>32200</v>
      </c>
      <c r="M2101">
        <v>32200</v>
      </c>
      <c r="N2101" t="s">
        <v>19</v>
      </c>
    </row>
    <row r="2102" spans="1:14" x14ac:dyDescent="0.25">
      <c r="A2102" t="str">
        <f>Table3[[#This Row],[Company Name]] &amp; " - " &amp; Table3[[#This Row],[Store Name]] &amp; " - " &amp; Table3[[#This Row],[Store Branch / Address]]</f>
        <v>KCC HTS PTE LTP CORP NO COR YET - KAJIKEN - GENERIC</v>
      </c>
      <c r="B2102" t="str">
        <f>Table3[[#This Row],[Client ID]] &amp; " - " &amp; Table3[[#This Row],[SO Number]]</f>
        <v>KCC HTS PTE LTP CORP NO COR YET - KAJIKEN - GENERIC - SO-26-014</v>
      </c>
      <c r="C2102" t="s">
        <v>1213</v>
      </c>
      <c r="D2102" t="s">
        <v>1214</v>
      </c>
      <c r="E2102" t="s">
        <v>1215</v>
      </c>
      <c r="F2102" t="s">
        <v>15</v>
      </c>
      <c r="G2102" t="s">
        <v>16</v>
      </c>
      <c r="H2102" t="s">
        <v>1216</v>
      </c>
      <c r="I2102" t="s">
        <v>151</v>
      </c>
      <c r="J2102">
        <v>1</v>
      </c>
      <c r="K2102">
        <v>2000</v>
      </c>
      <c r="L2102">
        <v>3000</v>
      </c>
      <c r="M2102">
        <v>3000</v>
      </c>
      <c r="N2102" t="s">
        <v>19</v>
      </c>
    </row>
    <row r="2103" spans="1:14" x14ac:dyDescent="0.25">
      <c r="A2103" t="str">
        <f>Table3[[#This Row],[Company Name]] &amp; " - " &amp; Table3[[#This Row],[Store Name]] &amp; " - " &amp; Table3[[#This Row],[Store Branch / Address]]</f>
        <v>KCC HTS PTE LTP CORP NO COR YET - KAJIKEN - GENERIC</v>
      </c>
      <c r="B2103" t="str">
        <f>Table3[[#This Row],[Client ID]] &amp; " - " &amp; Table3[[#This Row],[SO Number]]</f>
        <v>KCC HTS PTE LTP CORP NO COR YET - KAJIKEN - GENERIC - SO-26-014</v>
      </c>
      <c r="C2103" t="s">
        <v>1213</v>
      </c>
      <c r="D2103" t="s">
        <v>1214</v>
      </c>
      <c r="E2103" t="s">
        <v>1215</v>
      </c>
      <c r="F2103" t="s">
        <v>15</v>
      </c>
      <c r="G2103" t="s">
        <v>16</v>
      </c>
      <c r="H2103" t="s">
        <v>1216</v>
      </c>
      <c r="I2103" t="s">
        <v>210</v>
      </c>
      <c r="J2103">
        <v>1</v>
      </c>
      <c r="K2103">
        <v>530</v>
      </c>
      <c r="L2103">
        <v>700</v>
      </c>
      <c r="M2103">
        <v>700</v>
      </c>
      <c r="N2103" t="s">
        <v>19</v>
      </c>
    </row>
    <row r="2104" spans="1:14" x14ac:dyDescent="0.25">
      <c r="A2104" t="str">
        <f>Table3[[#This Row],[Company Name]] &amp; " - " &amp; Table3[[#This Row],[Store Name]] &amp; " - " &amp; Table3[[#This Row],[Store Branch / Address]]</f>
        <v>KCC HTS PTE LTP CORP NO COR YET - KAJIKEN - GENERIC</v>
      </c>
      <c r="B2104" t="str">
        <f>Table3[[#This Row],[Client ID]] &amp; " - " &amp; Table3[[#This Row],[SO Number]]</f>
        <v>KCC HTS PTE LTP CORP NO COR YET - KAJIKEN - GENERIC - SO-26-014</v>
      </c>
      <c r="C2104" t="s">
        <v>1213</v>
      </c>
      <c r="D2104" t="s">
        <v>1214</v>
      </c>
      <c r="E2104" t="s">
        <v>1215</v>
      </c>
      <c r="F2104" t="s">
        <v>15</v>
      </c>
      <c r="G2104" t="s">
        <v>16</v>
      </c>
      <c r="H2104" t="s">
        <v>1216</v>
      </c>
      <c r="I2104" t="s">
        <v>211</v>
      </c>
      <c r="J2104">
        <v>1</v>
      </c>
      <c r="K2104">
        <v>350</v>
      </c>
      <c r="L2104">
        <v>500</v>
      </c>
      <c r="M2104">
        <v>500</v>
      </c>
      <c r="N2104" t="s">
        <v>19</v>
      </c>
    </row>
    <row r="2105" spans="1:14" x14ac:dyDescent="0.25">
      <c r="A2105" t="str">
        <f>Table3[[#This Row],[Company Name]] &amp; " - " &amp; Table3[[#This Row],[Store Name]] &amp; " - " &amp; Table3[[#This Row],[Store Branch / Address]]</f>
        <v>KCC HTS PTE LTP CORP NO COR YET - KAJIKEN - GENERIC</v>
      </c>
      <c r="B2105" t="str">
        <f>Table3[[#This Row],[Client ID]] &amp; " - " &amp; Table3[[#This Row],[SO Number]]</f>
        <v>KCC HTS PTE LTP CORP NO COR YET - KAJIKEN - GENERIC - SO-26-014</v>
      </c>
      <c r="C2105" t="s">
        <v>1213</v>
      </c>
      <c r="D2105" t="s">
        <v>1214</v>
      </c>
      <c r="E2105" t="s">
        <v>1215</v>
      </c>
      <c r="F2105" t="s">
        <v>15</v>
      </c>
      <c r="G2105" t="s">
        <v>16</v>
      </c>
      <c r="H2105" t="s">
        <v>1216</v>
      </c>
      <c r="I2105" t="s">
        <v>98</v>
      </c>
      <c r="J2105">
        <v>1</v>
      </c>
      <c r="K2105">
        <v>935</v>
      </c>
      <c r="L2105">
        <v>1500</v>
      </c>
      <c r="M2105">
        <v>1500</v>
      </c>
      <c r="N2105" t="s">
        <v>19</v>
      </c>
    </row>
    <row r="2106" spans="1:14" x14ac:dyDescent="0.25">
      <c r="A2106" t="str">
        <f>Table3[[#This Row],[Company Name]] &amp; " - " &amp; Table3[[#This Row],[Store Name]] &amp; " - " &amp; Table3[[#This Row],[Store Branch / Address]]</f>
        <v>KCC HTS PTE LTP CORP NO COR YET - KAJIKEN - GENERIC</v>
      </c>
      <c r="B2106" t="str">
        <f>Table3[[#This Row],[Client ID]] &amp; " - " &amp; Table3[[#This Row],[SO Number]]</f>
        <v>KCC HTS PTE LTP CORP NO COR YET - KAJIKEN - GENERIC - SO-26-014</v>
      </c>
      <c r="C2106" t="s">
        <v>1213</v>
      </c>
      <c r="D2106" t="s">
        <v>1214</v>
      </c>
      <c r="E2106" t="s">
        <v>1215</v>
      </c>
      <c r="F2106" t="s">
        <v>15</v>
      </c>
      <c r="G2106" t="s">
        <v>16</v>
      </c>
      <c r="H2106" t="s">
        <v>1216</v>
      </c>
      <c r="I2106" t="s">
        <v>63</v>
      </c>
      <c r="J2106">
        <v>1</v>
      </c>
      <c r="K2106">
        <v>600</v>
      </c>
      <c r="L2106">
        <v>600</v>
      </c>
      <c r="M2106">
        <v>600</v>
      </c>
      <c r="N2106" t="s">
        <v>19</v>
      </c>
    </row>
    <row r="2107" spans="1:14" x14ac:dyDescent="0.25">
      <c r="A2107" t="str">
        <f>Table3[[#This Row],[Company Name]] &amp; " - " &amp; Table3[[#This Row],[Store Name]] &amp; " - " &amp; Table3[[#This Row],[Store Branch / Address]]</f>
        <v>METROMART - METROMART - VERMOSA</v>
      </c>
      <c r="B2107" t="str">
        <f>Table3[[#This Row],[Client ID]] &amp; " - " &amp; Table3[[#This Row],[SO Number]]</f>
        <v>METROMART - METROMART - VERMOSA - SO-26-015</v>
      </c>
      <c r="C2107" t="s">
        <v>1221</v>
      </c>
      <c r="D2107" t="s">
        <v>738</v>
      </c>
      <c r="E2107" t="s">
        <v>738</v>
      </c>
      <c r="F2107" t="s">
        <v>739</v>
      </c>
      <c r="G2107" t="s">
        <v>22</v>
      </c>
      <c r="H2107" t="s">
        <v>1222</v>
      </c>
      <c r="I2107" t="s">
        <v>795</v>
      </c>
      <c r="J2107">
        <v>200</v>
      </c>
      <c r="K2107">
        <v>17</v>
      </c>
      <c r="L2107">
        <v>25</v>
      </c>
      <c r="M2107">
        <v>5000</v>
      </c>
      <c r="N2107" t="s">
        <v>39</v>
      </c>
    </row>
    <row r="2108" spans="1:14" x14ac:dyDescent="0.25">
      <c r="A2108" t="str">
        <f>Table3[[#This Row],[Company Name]] &amp; " - " &amp; Table3[[#This Row],[Store Name]] &amp; " - " &amp; Table3[[#This Row],[Store Branch / Address]]</f>
        <v>CHICKEN DELI - GONGCHA - GENERIC</v>
      </c>
      <c r="B2108" t="str">
        <f>Table3[[#This Row],[Client ID]] &amp; " - " &amp; Table3[[#This Row],[SO Number]]</f>
        <v>CHICKEN DELI - GONGCHA - GENERIC - SO-015</v>
      </c>
      <c r="C2108" t="s">
        <v>122</v>
      </c>
      <c r="D2108" t="s">
        <v>20</v>
      </c>
      <c r="E2108" t="s">
        <v>31</v>
      </c>
      <c r="F2108" t="s">
        <v>15</v>
      </c>
      <c r="G2108" t="s">
        <v>22</v>
      </c>
      <c r="H2108" t="s">
        <v>1222</v>
      </c>
      <c r="I2108" t="s">
        <v>33</v>
      </c>
      <c r="J2108">
        <v>2</v>
      </c>
      <c r="K2108">
        <v>6500</v>
      </c>
      <c r="L2108">
        <v>6500</v>
      </c>
      <c r="M2108">
        <v>13000</v>
      </c>
      <c r="N2108" t="s">
        <v>19</v>
      </c>
    </row>
    <row r="2109" spans="1:14" x14ac:dyDescent="0.25">
      <c r="A2109" t="str">
        <f>Table3[[#This Row],[Company Name]] &amp; " - " &amp; Table3[[#This Row],[Store Name]] &amp; " - " &amp; Table3[[#This Row],[Store Branch / Address]]</f>
        <v>JIBRILS SPECIALTY FOODS INC - JSFI CHICKEN BACOLOD - NORTH EXCHANGE</v>
      </c>
      <c r="B2109" t="str">
        <f>Table3[[#This Row],[Client ID]] &amp; " - " &amp; Table3[[#This Row],[SO Number]]</f>
        <v>JIBRILS SPECIALTY FOODS INC - JSFI CHICKEN BACOLOD - NORTH EXCHANGE - SO-26-016</v>
      </c>
      <c r="C2109" t="s">
        <v>1223</v>
      </c>
      <c r="D2109" t="s">
        <v>864</v>
      </c>
      <c r="E2109" t="s">
        <v>865</v>
      </c>
      <c r="F2109" t="s">
        <v>921</v>
      </c>
      <c r="G2109" t="s">
        <v>37</v>
      </c>
      <c r="H2109" t="s">
        <v>1222</v>
      </c>
      <c r="I2109" t="s">
        <v>116</v>
      </c>
      <c r="J2109">
        <v>1</v>
      </c>
      <c r="K2109">
        <v>2185</v>
      </c>
      <c r="L2109">
        <v>3200</v>
      </c>
      <c r="M2109">
        <v>3200</v>
      </c>
      <c r="N2109" t="s">
        <v>39</v>
      </c>
    </row>
    <row r="2110" spans="1:14" x14ac:dyDescent="0.25">
      <c r="A2110" t="str">
        <f>Table3[[#This Row],[Company Name]] &amp; " - " &amp; Table3[[#This Row],[Store Name]] &amp; " - " &amp; Table3[[#This Row],[Store Branch / Address]]</f>
        <v>JIBRILS SPECIALTY FOODS INC - JSFI CHICKEN BACOLOD - NORTH EXCHANGE</v>
      </c>
      <c r="B2110" t="str">
        <f>Table3[[#This Row],[Client ID]] &amp; " - " &amp; Table3[[#This Row],[SO Number]]</f>
        <v>JIBRILS SPECIALTY FOODS INC - JSFI CHICKEN BACOLOD - NORTH EXCHANGE - SO-26-016</v>
      </c>
      <c r="C2110" t="s">
        <v>1223</v>
      </c>
      <c r="D2110" t="s">
        <v>864</v>
      </c>
      <c r="E2110" t="s">
        <v>865</v>
      </c>
      <c r="F2110" t="s">
        <v>921</v>
      </c>
      <c r="G2110" t="s">
        <v>37</v>
      </c>
      <c r="H2110" t="s">
        <v>1222</v>
      </c>
      <c r="I2110" t="s">
        <v>63</v>
      </c>
      <c r="J2110">
        <v>1</v>
      </c>
      <c r="K2110">
        <v>300</v>
      </c>
      <c r="L2110">
        <v>300</v>
      </c>
      <c r="M2110">
        <v>300</v>
      </c>
      <c r="N2110" t="s">
        <v>39</v>
      </c>
    </row>
    <row r="2111" spans="1:14" x14ac:dyDescent="0.25">
      <c r="A2111" t="str">
        <f>Table3[[#This Row],[Company Name]] &amp; " - " &amp; Table3[[#This Row],[Store Name]] &amp; " - " &amp; Table3[[#This Row],[Store Branch / Address]]</f>
        <v>CHICKEN DELI - GONGCHA - GENERIC</v>
      </c>
      <c r="B2111" t="str">
        <f>Table3[[#This Row],[Client ID]] &amp; " - " &amp; Table3[[#This Row],[SO Number]]</f>
        <v>CHICKEN DELI - GONGCHA - GENERIC - SO-016</v>
      </c>
      <c r="C2111" t="s">
        <v>140</v>
      </c>
      <c r="D2111" t="s">
        <v>20</v>
      </c>
      <c r="E2111" t="s">
        <v>31</v>
      </c>
      <c r="F2111" t="s">
        <v>15</v>
      </c>
      <c r="G2111" t="s">
        <v>22</v>
      </c>
      <c r="H2111" t="s">
        <v>1222</v>
      </c>
      <c r="I2111" t="s">
        <v>33</v>
      </c>
      <c r="J2111">
        <v>2</v>
      </c>
      <c r="K2111">
        <v>6500</v>
      </c>
      <c r="L2111">
        <v>6500</v>
      </c>
      <c r="M2111">
        <v>13000</v>
      </c>
      <c r="N2111" t="s">
        <v>19</v>
      </c>
    </row>
    <row r="2112" spans="1:14" x14ac:dyDescent="0.25">
      <c r="A2112" t="str">
        <f>Table3[[#This Row],[Company Name]] &amp; " - " &amp; Table3[[#This Row],[Store Name]] &amp; " - " &amp; Table3[[#This Row],[Store Branch / Address]]</f>
        <v>CHICKEN DELI - GONGCHA - GENERIC</v>
      </c>
      <c r="B2112" t="str">
        <f>Table3[[#This Row],[Client ID]] &amp; " - " &amp; Table3[[#This Row],[SO Number]]</f>
        <v>CHICKEN DELI - GONGCHA - GENERIC - SO-017</v>
      </c>
      <c r="C2112" t="s">
        <v>147</v>
      </c>
      <c r="D2112" t="s">
        <v>20</v>
      </c>
      <c r="E2112" t="s">
        <v>31</v>
      </c>
      <c r="F2112" t="s">
        <v>15</v>
      </c>
      <c r="G2112" t="s">
        <v>22</v>
      </c>
      <c r="H2112" t="s">
        <v>1222</v>
      </c>
      <c r="I2112" t="s">
        <v>33</v>
      </c>
      <c r="J2112">
        <v>1</v>
      </c>
      <c r="K2112">
        <v>6500</v>
      </c>
      <c r="L2112">
        <v>6500</v>
      </c>
      <c r="M2112">
        <v>6500</v>
      </c>
      <c r="N2112" t="s">
        <v>19</v>
      </c>
    </row>
    <row r="2113" spans="1:14" x14ac:dyDescent="0.25">
      <c r="A2113" t="str">
        <f>Table3[[#This Row],[Company Name]] &amp; " - " &amp; Table3[[#This Row],[Store Name]] &amp; " - " &amp; Table3[[#This Row],[Store Branch / Address]]</f>
        <v>CHICKEN DELI - GONGCHA - GENERIC</v>
      </c>
      <c r="B2113" t="str">
        <f>Table3[[#This Row],[Client ID]] &amp; " - " &amp; Table3[[#This Row],[SO Number]]</f>
        <v>CHICKEN DELI - GONGCHA - GENERIC - SO-018</v>
      </c>
      <c r="C2113" t="s">
        <v>155</v>
      </c>
      <c r="D2113" t="s">
        <v>20</v>
      </c>
      <c r="E2113" t="s">
        <v>31</v>
      </c>
      <c r="F2113" t="s">
        <v>15</v>
      </c>
      <c r="G2113" t="s">
        <v>22</v>
      </c>
      <c r="H2113" t="s">
        <v>1222</v>
      </c>
      <c r="I2113" t="s">
        <v>33</v>
      </c>
      <c r="J2113">
        <v>3</v>
      </c>
      <c r="K2113">
        <v>6500</v>
      </c>
      <c r="L2113">
        <v>6500</v>
      </c>
      <c r="M2113">
        <v>19500</v>
      </c>
      <c r="N2113" t="s">
        <v>19</v>
      </c>
    </row>
    <row r="2114" spans="1:14" x14ac:dyDescent="0.25">
      <c r="A2114" t="str">
        <f>Table3[[#This Row],[Company Name]] &amp; " - " &amp; Table3[[#This Row],[Store Name]] &amp; " - " &amp; Table3[[#This Row],[Store Branch / Address]]</f>
        <v>TERO RAQUEL HARALVE - KARYL TOY STORE - GENERIC</v>
      </c>
      <c r="B2114" t="str">
        <f>Table3[[#This Row],[Client ID]] &amp; " - " &amp; Table3[[#This Row],[SO Number]]</f>
        <v>TERO RAQUEL HARALVE - KARYL TOY STORE - GENERIC - SO-26-005</v>
      </c>
      <c r="C2114" t="s">
        <v>1391</v>
      </c>
      <c r="D2114" t="s">
        <v>1392</v>
      </c>
      <c r="E2114" t="s">
        <v>1393</v>
      </c>
      <c r="F2114" t="s">
        <v>15</v>
      </c>
      <c r="G2114" t="s">
        <v>1024</v>
      </c>
      <c r="H2114" t="s">
        <v>1222</v>
      </c>
      <c r="I2114" t="s">
        <v>1110</v>
      </c>
      <c r="J2114">
        <v>1</v>
      </c>
      <c r="K2114">
        <v>6300</v>
      </c>
      <c r="L2114">
        <v>18000</v>
      </c>
      <c r="M2114">
        <v>18000</v>
      </c>
      <c r="N2114" t="s">
        <v>19</v>
      </c>
    </row>
    <row r="2115" spans="1:14" x14ac:dyDescent="0.25">
      <c r="A2115" t="str">
        <f>Table3[[#This Row],[Company Name]] &amp; " - " &amp; Table3[[#This Row],[Store Name]] &amp; " - " &amp; Table3[[#This Row],[Store Branch / Address]]</f>
        <v>TERO RAQUEL HARALVE - KARYL TOY STORE - GENERIC</v>
      </c>
      <c r="B2115" t="str">
        <f>Table3[[#This Row],[Client ID]] &amp; " - " &amp; Table3[[#This Row],[SO Number]]</f>
        <v>TERO RAQUEL HARALVE - KARYL TOY STORE - GENERIC - SO-26-005</v>
      </c>
      <c r="C2115" t="s">
        <v>1391</v>
      </c>
      <c r="D2115" t="s">
        <v>1392</v>
      </c>
      <c r="E2115" t="s">
        <v>1393</v>
      </c>
      <c r="F2115" t="s">
        <v>15</v>
      </c>
      <c r="G2115" t="s">
        <v>1024</v>
      </c>
      <c r="H2115" t="s">
        <v>1222</v>
      </c>
      <c r="I2115" t="s">
        <v>1011</v>
      </c>
      <c r="J2115">
        <v>1</v>
      </c>
      <c r="K2115">
        <v>7750</v>
      </c>
      <c r="L2115">
        <v>7750</v>
      </c>
      <c r="M2115">
        <v>7750</v>
      </c>
      <c r="N2115" t="s">
        <v>19</v>
      </c>
    </row>
    <row r="2116" spans="1:14" x14ac:dyDescent="0.25">
      <c r="A2116" t="str">
        <f>Table3[[#This Row],[Company Name]] &amp; " - " &amp; Table3[[#This Row],[Store Name]] &amp; " - " &amp; Table3[[#This Row],[Store Branch / Address]]</f>
        <v>TERO RAQUEL HARALVE - KARYL TOY STORE - GENERIC</v>
      </c>
      <c r="B2116" t="str">
        <f>Table3[[#This Row],[Client ID]] &amp; " - " &amp; Table3[[#This Row],[SO Number]]</f>
        <v>TERO RAQUEL HARALVE - KARYL TOY STORE - GENERIC - SO-26-005</v>
      </c>
      <c r="C2116" t="s">
        <v>1391</v>
      </c>
      <c r="D2116" t="s">
        <v>1392</v>
      </c>
      <c r="E2116" t="s">
        <v>1393</v>
      </c>
      <c r="F2116" t="s">
        <v>15</v>
      </c>
      <c r="G2116" t="s">
        <v>1024</v>
      </c>
      <c r="H2116" t="s">
        <v>1222</v>
      </c>
      <c r="I2116" t="s">
        <v>24</v>
      </c>
      <c r="J2116">
        <v>1</v>
      </c>
      <c r="K2116">
        <v>7750</v>
      </c>
      <c r="L2116">
        <v>7750</v>
      </c>
      <c r="M2116">
        <v>7750</v>
      </c>
      <c r="N2116" t="s">
        <v>19</v>
      </c>
    </row>
    <row r="2117" spans="1:14" x14ac:dyDescent="0.25">
      <c r="A2117" t="str">
        <f>Table3[[#This Row],[Company Name]] &amp; " - " &amp; Table3[[#This Row],[Store Name]] &amp; " - " &amp; Table3[[#This Row],[Store Branch / Address]]</f>
        <v>TERO RAQUEL HARALVE - KARYL TOY STORE - GENERIC</v>
      </c>
      <c r="B2117" t="str">
        <f>Table3[[#This Row],[Client ID]] &amp; " - " &amp; Table3[[#This Row],[SO Number]]</f>
        <v>TERO RAQUEL HARALVE - KARYL TOY STORE - GENERIC - SO-26-005</v>
      </c>
      <c r="C2117" t="s">
        <v>1391</v>
      </c>
      <c r="D2117" t="s">
        <v>1392</v>
      </c>
      <c r="E2117" t="s">
        <v>1393</v>
      </c>
      <c r="F2117" t="s">
        <v>15</v>
      </c>
      <c r="G2117" t="s">
        <v>1024</v>
      </c>
      <c r="H2117" t="s">
        <v>1222</v>
      </c>
      <c r="I2117" t="s">
        <v>26</v>
      </c>
      <c r="J2117">
        <v>1</v>
      </c>
      <c r="K2117">
        <v>500</v>
      </c>
      <c r="L2117">
        <v>500</v>
      </c>
      <c r="M2117">
        <v>500</v>
      </c>
      <c r="N2117" t="s">
        <v>19</v>
      </c>
    </row>
    <row r="2118" spans="1:14" x14ac:dyDescent="0.25">
      <c r="A2118" t="str">
        <f>Table3[[#This Row],[Company Name]] &amp; " - " &amp; Table3[[#This Row],[Store Name]] &amp; " - " &amp; Table3[[#This Row],[Store Branch / Address]]</f>
        <v>TERO RAQUEL HARALVE - KARYL TOY STORE - GENERIC</v>
      </c>
      <c r="B2118" t="str">
        <f>Table3[[#This Row],[Client ID]] &amp; " - " &amp; Table3[[#This Row],[SO Number]]</f>
        <v>TERO RAQUEL HARALVE - KARYL TOY STORE - GENERIC - SO-26-005</v>
      </c>
      <c r="C2118" t="s">
        <v>1391</v>
      </c>
      <c r="D2118" t="s">
        <v>1392</v>
      </c>
      <c r="E2118" t="s">
        <v>1393</v>
      </c>
      <c r="F2118" t="s">
        <v>15</v>
      </c>
      <c r="G2118" t="s">
        <v>1024</v>
      </c>
      <c r="H2118" t="s">
        <v>1222</v>
      </c>
      <c r="I2118" t="s">
        <v>1394</v>
      </c>
      <c r="J2118">
        <v>1</v>
      </c>
      <c r="K2118">
        <v>18700</v>
      </c>
      <c r="L2118">
        <v>26000</v>
      </c>
      <c r="M2118">
        <v>26000</v>
      </c>
      <c r="N2118" t="s">
        <v>19</v>
      </c>
    </row>
    <row r="2119" spans="1:14" x14ac:dyDescent="0.25">
      <c r="A2119" t="str">
        <f>Table3[[#This Row],[Company Name]] &amp; " - " &amp; Table3[[#This Row],[Store Name]] &amp; " - " &amp; Table3[[#This Row],[Store Branch / Address]]</f>
        <v>TERO RAQUEL HARALVE - KARYL TOY STORE - GENERIC</v>
      </c>
      <c r="B2119" t="str">
        <f>Table3[[#This Row],[Client ID]] &amp; " - " &amp; Table3[[#This Row],[SO Number]]</f>
        <v>TERO RAQUEL HARALVE - KARYL TOY STORE - GENERIC - SO-26-005</v>
      </c>
      <c r="C2119" t="s">
        <v>1391</v>
      </c>
      <c r="D2119" t="s">
        <v>1392</v>
      </c>
      <c r="E2119" t="s">
        <v>1393</v>
      </c>
      <c r="F2119" t="s">
        <v>15</v>
      </c>
      <c r="G2119" t="s">
        <v>1024</v>
      </c>
      <c r="H2119" t="s">
        <v>1222</v>
      </c>
      <c r="I2119" t="s">
        <v>1120</v>
      </c>
      <c r="J2119">
        <v>1</v>
      </c>
      <c r="K2119">
        <v>2334</v>
      </c>
      <c r="L2119">
        <v>3500</v>
      </c>
      <c r="M2119">
        <v>3500</v>
      </c>
      <c r="N2119" t="s">
        <v>19</v>
      </c>
    </row>
    <row r="2120" spans="1:14" x14ac:dyDescent="0.25">
      <c r="A2120" t="str">
        <f>Table3[[#This Row],[Company Name]] &amp; " - " &amp; Table3[[#This Row],[Store Name]] &amp; " - " &amp; Table3[[#This Row],[Store Branch / Address]]</f>
        <v>TERO RAQUEL HARALVE - KARYL TOY STORE - GENERIC</v>
      </c>
      <c r="B2120" t="str">
        <f>Table3[[#This Row],[Client ID]] &amp; " - " &amp; Table3[[#This Row],[SO Number]]</f>
        <v>TERO RAQUEL HARALVE - KARYL TOY STORE - GENERIC - SO-26-005</v>
      </c>
      <c r="C2120" t="s">
        <v>1391</v>
      </c>
      <c r="D2120" t="s">
        <v>1392</v>
      </c>
      <c r="E2120" t="s">
        <v>1393</v>
      </c>
      <c r="F2120" t="s">
        <v>15</v>
      </c>
      <c r="G2120" t="s">
        <v>1024</v>
      </c>
      <c r="H2120" t="s">
        <v>1222</v>
      </c>
      <c r="I2120" t="s">
        <v>151</v>
      </c>
      <c r="J2120">
        <v>1</v>
      </c>
      <c r="K2120">
        <v>2000</v>
      </c>
      <c r="L2120">
        <v>3000</v>
      </c>
      <c r="M2120">
        <v>3000</v>
      </c>
      <c r="N2120" t="s">
        <v>19</v>
      </c>
    </row>
    <row r="2121" spans="1:14" x14ac:dyDescent="0.25">
      <c r="A2121" t="str">
        <f>Table3[[#This Row],[Company Name]] &amp; " - " &amp; Table3[[#This Row],[Store Name]] &amp; " - " &amp; Table3[[#This Row],[Store Branch / Address]]</f>
        <v>TERO RAQUEL HARALVE - KARYL TOY STORE - GENERIC</v>
      </c>
      <c r="B2121" t="str">
        <f>Table3[[#This Row],[Client ID]] &amp; " - " &amp; Table3[[#This Row],[SO Number]]</f>
        <v>TERO RAQUEL HARALVE - KARYL TOY STORE - GENERIC - SO-26-005</v>
      </c>
      <c r="C2121" t="s">
        <v>1391</v>
      </c>
      <c r="D2121" t="s">
        <v>1392</v>
      </c>
      <c r="E2121" t="s">
        <v>1393</v>
      </c>
      <c r="F2121" t="s">
        <v>15</v>
      </c>
      <c r="G2121" t="s">
        <v>1024</v>
      </c>
      <c r="H2121" t="s">
        <v>1222</v>
      </c>
      <c r="I2121" t="s">
        <v>1121</v>
      </c>
      <c r="J2121">
        <v>1</v>
      </c>
      <c r="K2121">
        <v>3000</v>
      </c>
      <c r="L2121">
        <v>4000</v>
      </c>
      <c r="M2121">
        <v>4000</v>
      </c>
      <c r="N2121" t="s">
        <v>19</v>
      </c>
    </row>
    <row r="2122" spans="1:14" x14ac:dyDescent="0.25">
      <c r="A2122" t="str">
        <f>Table3[[#This Row],[Company Name]] &amp; " - " &amp; Table3[[#This Row],[Store Name]] &amp; " - " &amp; Table3[[#This Row],[Store Branch / Address]]</f>
        <v>TERO RAQUEL HARALVE - KARYL TOY STORE - GENERIC</v>
      </c>
      <c r="B2122" t="str">
        <f>Table3[[#This Row],[Client ID]] &amp; " - " &amp; Table3[[#This Row],[SO Number]]</f>
        <v>TERO RAQUEL HARALVE - KARYL TOY STORE - GENERIC - SO-26-005</v>
      </c>
      <c r="C2122" t="s">
        <v>1391</v>
      </c>
      <c r="D2122" t="s">
        <v>1392</v>
      </c>
      <c r="E2122" t="s">
        <v>1393</v>
      </c>
      <c r="F2122" t="s">
        <v>15</v>
      </c>
      <c r="G2122" t="s">
        <v>1024</v>
      </c>
      <c r="H2122" t="s">
        <v>1222</v>
      </c>
      <c r="I2122" t="s">
        <v>1015</v>
      </c>
      <c r="J2122">
        <v>1</v>
      </c>
      <c r="K2122">
        <v>3195</v>
      </c>
      <c r="L2122">
        <v>4300</v>
      </c>
      <c r="M2122">
        <v>4300</v>
      </c>
      <c r="N2122" t="s">
        <v>19</v>
      </c>
    </row>
    <row r="2123" spans="1:14" x14ac:dyDescent="0.25">
      <c r="A2123" t="str">
        <f>Table3[[#This Row],[Company Name]] &amp; " - " &amp; Table3[[#This Row],[Store Name]] &amp; " - " &amp; Table3[[#This Row],[Store Branch / Address]]</f>
        <v>TERO RAQUEL HARALVE - KARYL TOY STORE - GENERIC</v>
      </c>
      <c r="B2123" t="str">
        <f>Table3[[#This Row],[Client ID]] &amp; " - " &amp; Table3[[#This Row],[SO Number]]</f>
        <v>TERO RAQUEL HARALVE - KARYL TOY STORE - GENERIC - SO-26-005</v>
      </c>
      <c r="C2123" t="s">
        <v>1391</v>
      </c>
      <c r="D2123" t="s">
        <v>1392</v>
      </c>
      <c r="E2123" t="s">
        <v>1393</v>
      </c>
      <c r="F2123" t="s">
        <v>15</v>
      </c>
      <c r="G2123" t="s">
        <v>1024</v>
      </c>
      <c r="H2123" t="s">
        <v>1222</v>
      </c>
      <c r="I2123" t="s">
        <v>85</v>
      </c>
      <c r="J2123">
        <v>1</v>
      </c>
      <c r="K2123">
        <v>1350</v>
      </c>
      <c r="L2123">
        <v>2000</v>
      </c>
      <c r="M2123">
        <v>2000</v>
      </c>
      <c r="N2123" t="s">
        <v>19</v>
      </c>
    </row>
    <row r="2124" spans="1:14" x14ac:dyDescent="0.25">
      <c r="A2124" t="str">
        <f>Table3[[#This Row],[Company Name]] &amp; " - " &amp; Table3[[#This Row],[Store Name]] &amp; " - " &amp; Table3[[#This Row],[Store Branch / Address]]</f>
        <v>TERO RAQUEL HARALVE - KARYL TOY STORE - GENERIC</v>
      </c>
      <c r="B2124" t="str">
        <f>Table3[[#This Row],[Client ID]] &amp; " - " &amp; Table3[[#This Row],[SO Number]]</f>
        <v>TERO RAQUEL HARALVE - KARYL TOY STORE - GENERIC - SO-26-005</v>
      </c>
      <c r="C2124" t="s">
        <v>1391</v>
      </c>
      <c r="D2124" t="s">
        <v>1392</v>
      </c>
      <c r="E2124" t="s">
        <v>1393</v>
      </c>
      <c r="F2124" t="s">
        <v>15</v>
      </c>
      <c r="G2124" t="s">
        <v>1024</v>
      </c>
      <c r="H2124" t="s">
        <v>1222</v>
      </c>
      <c r="I2124" t="s">
        <v>1016</v>
      </c>
      <c r="J2124">
        <v>1</v>
      </c>
      <c r="K2124">
        <v>8500</v>
      </c>
      <c r="L2124">
        <v>12000</v>
      </c>
      <c r="M2124">
        <v>12000</v>
      </c>
      <c r="N2124" t="s">
        <v>19</v>
      </c>
    </row>
    <row r="2125" spans="1:14" x14ac:dyDescent="0.25">
      <c r="A2125" t="str">
        <f>Table3[[#This Row],[Company Name]] &amp; " - " &amp; Table3[[#This Row],[Store Name]] &amp; " - " &amp; Table3[[#This Row],[Store Branch / Address]]</f>
        <v>TERO RAQUEL HARALVE - KARYL TOY STORE - GENERIC</v>
      </c>
      <c r="B2125" t="str">
        <f>Table3[[#This Row],[Client ID]] &amp; " - " &amp; Table3[[#This Row],[SO Number]]</f>
        <v>TERO RAQUEL HARALVE - KARYL TOY STORE - GENERIC - SO-26-005</v>
      </c>
      <c r="C2125" t="s">
        <v>1391</v>
      </c>
      <c r="D2125" t="s">
        <v>1392</v>
      </c>
      <c r="E2125" t="s">
        <v>1393</v>
      </c>
      <c r="F2125" t="s">
        <v>15</v>
      </c>
      <c r="G2125" t="s">
        <v>1024</v>
      </c>
      <c r="H2125" t="s">
        <v>1222</v>
      </c>
      <c r="I2125" t="s">
        <v>97</v>
      </c>
      <c r="J2125">
        <v>1</v>
      </c>
      <c r="K2125">
        <v>2200</v>
      </c>
      <c r="L2125">
        <v>3200</v>
      </c>
      <c r="M2125">
        <v>3200</v>
      </c>
      <c r="N2125" t="s">
        <v>19</v>
      </c>
    </row>
    <row r="2126" spans="1:14" x14ac:dyDescent="0.25">
      <c r="A2126" t="str">
        <f>Table3[[#This Row],[Company Name]] &amp; " - " &amp; Table3[[#This Row],[Store Name]] &amp; " - " &amp; Table3[[#This Row],[Store Branch / Address]]</f>
        <v>TERO RAQUEL HARALVE - KARYL TOY STORE - GENERIC</v>
      </c>
      <c r="B2126" t="str">
        <f>Table3[[#This Row],[Client ID]] &amp; " - " &amp; Table3[[#This Row],[SO Number]]</f>
        <v>TERO RAQUEL HARALVE - KARYL TOY STORE - GENERIC - SO-26-005</v>
      </c>
      <c r="C2126" t="s">
        <v>1391</v>
      </c>
      <c r="D2126" t="s">
        <v>1392</v>
      </c>
      <c r="E2126" t="s">
        <v>1393</v>
      </c>
      <c r="F2126" t="s">
        <v>15</v>
      </c>
      <c r="G2126" t="s">
        <v>1024</v>
      </c>
      <c r="H2126" t="s">
        <v>1222</v>
      </c>
      <c r="I2126" t="s">
        <v>63</v>
      </c>
      <c r="J2126">
        <v>1</v>
      </c>
      <c r="K2126">
        <v>1000</v>
      </c>
      <c r="L2126">
        <v>1000</v>
      </c>
      <c r="M2126">
        <v>1000</v>
      </c>
      <c r="N2126" t="s">
        <v>19</v>
      </c>
    </row>
    <row r="2127" spans="1:14" x14ac:dyDescent="0.25">
      <c r="A2127" t="str">
        <f>Table3[[#This Row],[Company Name]] &amp; " - " &amp; Table3[[#This Row],[Store Name]] &amp; " - " &amp; Table3[[#This Row],[Store Branch / Address]]</f>
        <v>TERO RAQUEL HARALVE - KARYL TOY STORE - GENERIC</v>
      </c>
      <c r="B2127" t="str">
        <f>Table3[[#This Row],[Client ID]] &amp; " - " &amp; Table3[[#This Row],[SO Number]]</f>
        <v>TERO RAQUEL HARALVE - KARYL TOY STORE - GENERIC - SO-26-005</v>
      </c>
      <c r="C2127" t="s">
        <v>1391</v>
      </c>
      <c r="D2127" t="s">
        <v>1392</v>
      </c>
      <c r="E2127" t="s">
        <v>1393</v>
      </c>
      <c r="F2127" t="s">
        <v>15</v>
      </c>
      <c r="G2127" t="s">
        <v>1024</v>
      </c>
      <c r="H2127" t="s">
        <v>1222</v>
      </c>
      <c r="I2127" t="s">
        <v>331</v>
      </c>
      <c r="J2127">
        <v>1</v>
      </c>
      <c r="K2127">
        <v>8000</v>
      </c>
      <c r="L2127">
        <v>8000</v>
      </c>
      <c r="M2127">
        <v>8000</v>
      </c>
      <c r="N2127" t="s">
        <v>19</v>
      </c>
    </row>
    <row r="2128" spans="1:14" x14ac:dyDescent="0.25">
      <c r="A2128" t="str">
        <f>Table3[[#This Row],[Company Name]] &amp; " - " &amp; Table3[[#This Row],[Store Name]] &amp; " - " &amp; Table3[[#This Row],[Store Branch / Address]]</f>
        <v>CHICKEN DELI - BLANC NUE - GENERIC</v>
      </c>
      <c r="B2128" t="str">
        <f>Table3[[#This Row],[Client ID]] &amp; " - " &amp; Table3[[#This Row],[SO Number]]</f>
        <v>CHICKEN DELI - BLANC NUE - GENERIC - SO-020</v>
      </c>
      <c r="C2128" t="s">
        <v>172</v>
      </c>
      <c r="D2128" t="s">
        <v>20</v>
      </c>
      <c r="E2128" t="s">
        <v>775</v>
      </c>
      <c r="F2128" t="s">
        <v>15</v>
      </c>
      <c r="G2128" t="s">
        <v>22</v>
      </c>
      <c r="H2128" t="s">
        <v>1236</v>
      </c>
      <c r="I2128" t="s">
        <v>136</v>
      </c>
      <c r="J2128">
        <v>1</v>
      </c>
      <c r="K2128">
        <v>8500</v>
      </c>
      <c r="L2128">
        <v>12000</v>
      </c>
      <c r="M2128">
        <v>12000</v>
      </c>
      <c r="N2128" t="s">
        <v>19</v>
      </c>
    </row>
    <row r="2129" spans="1:14" x14ac:dyDescent="0.25">
      <c r="A2129" t="str">
        <f>Table3[[#This Row],[Company Name]] &amp; " - " &amp; Table3[[#This Row],[Store Name]] &amp; " - " &amp; Table3[[#This Row],[Store Branch / Address]]</f>
        <v>CHICKEN DELI - BLANC NUE - GENERIC</v>
      </c>
      <c r="B2129" t="str">
        <f>Table3[[#This Row],[Client ID]] &amp; " - " &amp; Table3[[#This Row],[SO Number]]</f>
        <v>CHICKEN DELI - BLANC NUE - GENERIC - SO-020</v>
      </c>
      <c r="C2129" t="s">
        <v>172</v>
      </c>
      <c r="D2129" t="s">
        <v>20</v>
      </c>
      <c r="E2129" t="s">
        <v>775</v>
      </c>
      <c r="F2129" t="s">
        <v>15</v>
      </c>
      <c r="G2129" t="s">
        <v>22</v>
      </c>
      <c r="H2129" t="s">
        <v>1236</v>
      </c>
      <c r="I2129" t="s">
        <v>1237</v>
      </c>
      <c r="J2129">
        <v>1</v>
      </c>
      <c r="K2129">
        <v>3000</v>
      </c>
      <c r="L2129">
        <v>7500</v>
      </c>
      <c r="M2129">
        <v>7500</v>
      </c>
      <c r="N2129" t="s">
        <v>19</v>
      </c>
    </row>
    <row r="2130" spans="1:14" x14ac:dyDescent="0.25">
      <c r="A2130" t="str">
        <f>Table3[[#This Row],[Company Name]] &amp; " - " &amp; Table3[[#This Row],[Store Name]] &amp; " - " &amp; Table3[[#This Row],[Store Branch / Address]]</f>
        <v>CHICKEN DELI - BLANC NUE - GENERIC</v>
      </c>
      <c r="B2130" t="str">
        <f>Table3[[#This Row],[Client ID]] &amp; " - " &amp; Table3[[#This Row],[SO Number]]</f>
        <v>CHICKEN DELI - BLANC NUE - GENERIC - SO-020</v>
      </c>
      <c r="C2130" t="s">
        <v>172</v>
      </c>
      <c r="D2130" t="s">
        <v>20</v>
      </c>
      <c r="E2130" t="s">
        <v>775</v>
      </c>
      <c r="F2130" t="s">
        <v>15</v>
      </c>
      <c r="G2130" t="s">
        <v>22</v>
      </c>
      <c r="H2130" t="s">
        <v>1236</v>
      </c>
      <c r="I2130" t="s">
        <v>76</v>
      </c>
      <c r="J2130">
        <v>1</v>
      </c>
      <c r="K2130">
        <v>500</v>
      </c>
      <c r="L2130">
        <v>500</v>
      </c>
      <c r="M2130">
        <v>500</v>
      </c>
      <c r="N2130" t="s">
        <v>19</v>
      </c>
    </row>
    <row r="2131" spans="1:14" x14ac:dyDescent="0.25">
      <c r="A2131" t="str">
        <f>Table3[[#This Row],[Company Name]] &amp; " - " &amp; Table3[[#This Row],[Store Name]] &amp; " - " &amp; Table3[[#This Row],[Store Branch / Address]]</f>
        <v>CHICKEN DELI - KITCHEN CITY - GENERIC</v>
      </c>
      <c r="B2131" t="str">
        <f>Table3[[#This Row],[Client ID]] &amp; " - " &amp; Table3[[#This Row],[SO Number]]</f>
        <v>CHICKEN DELI - KITCHEN CITY - GENERIC - SO-021</v>
      </c>
      <c r="C2131" t="s">
        <v>178</v>
      </c>
      <c r="D2131" t="s">
        <v>20</v>
      </c>
      <c r="E2131" t="s">
        <v>21</v>
      </c>
      <c r="F2131" t="s">
        <v>15</v>
      </c>
      <c r="G2131" t="s">
        <v>22</v>
      </c>
      <c r="H2131" t="s">
        <v>1236</v>
      </c>
      <c r="I2131" t="s">
        <v>93</v>
      </c>
      <c r="J2131">
        <v>3</v>
      </c>
      <c r="K2131">
        <v>11000</v>
      </c>
      <c r="L2131">
        <v>50400</v>
      </c>
      <c r="M2131">
        <v>151200</v>
      </c>
      <c r="N2131" t="s">
        <v>19</v>
      </c>
    </row>
    <row r="2132" spans="1:14" x14ac:dyDescent="0.25">
      <c r="A2132" t="str">
        <f>Table3[[#This Row],[Company Name]] &amp; " - " &amp; Table3[[#This Row],[Store Name]] &amp; " - " &amp; Table3[[#This Row],[Store Branch / Address]]</f>
        <v>CHICKEN DELI - KITCHEN CITY - GENERIC</v>
      </c>
      <c r="B2132" t="str">
        <f>Table3[[#This Row],[Client ID]] &amp; " - " &amp; Table3[[#This Row],[SO Number]]</f>
        <v>CHICKEN DELI - KITCHEN CITY - GENERIC - SO-021</v>
      </c>
      <c r="C2132" t="s">
        <v>178</v>
      </c>
      <c r="D2132" t="s">
        <v>20</v>
      </c>
      <c r="E2132" t="s">
        <v>21</v>
      </c>
      <c r="F2132" t="s">
        <v>15</v>
      </c>
      <c r="G2132" t="s">
        <v>22</v>
      </c>
      <c r="H2132" t="s">
        <v>1236</v>
      </c>
      <c r="I2132" t="s">
        <v>76</v>
      </c>
      <c r="J2132">
        <v>1</v>
      </c>
      <c r="K2132">
        <v>600</v>
      </c>
      <c r="L2132">
        <v>600</v>
      </c>
      <c r="M2132">
        <v>600</v>
      </c>
      <c r="N2132" t="s">
        <v>19</v>
      </c>
    </row>
    <row r="2133" spans="1:14" x14ac:dyDescent="0.25">
      <c r="A2133" t="str">
        <f>Table3[[#This Row],[Company Name]] &amp; " - " &amp; Table3[[#This Row],[Store Name]] &amp; " - " &amp; Table3[[#This Row],[Store Branch / Address]]</f>
        <v>M W TOWNSTORE - M &amp; W - GENERIC</v>
      </c>
      <c r="B2133" t="str">
        <f>Table3[[#This Row],[Client ID]] &amp; " - " &amp; Table3[[#This Row],[SO Number]]</f>
        <v>M W TOWNSTORE - M &amp; W - GENERIC - SO-022</v>
      </c>
      <c r="C2133" t="s">
        <v>184</v>
      </c>
      <c r="D2133" t="s">
        <v>191</v>
      </c>
      <c r="E2133" t="s">
        <v>192</v>
      </c>
      <c r="F2133" t="s">
        <v>15</v>
      </c>
      <c r="G2133" t="s">
        <v>22</v>
      </c>
      <c r="H2133" t="s">
        <v>1236</v>
      </c>
      <c r="I2133" t="s">
        <v>392</v>
      </c>
      <c r="J2133">
        <v>3</v>
      </c>
      <c r="K2133">
        <v>3360</v>
      </c>
      <c r="L2133">
        <v>5800</v>
      </c>
      <c r="M2133">
        <v>17400</v>
      </c>
      <c r="N2133" t="s">
        <v>19</v>
      </c>
    </row>
    <row r="2134" spans="1:14" x14ac:dyDescent="0.25">
      <c r="A2134" t="str">
        <f>Table3[[#This Row],[Company Name]] &amp; " - " &amp; Table3[[#This Row],[Store Name]] &amp; " - " &amp; Table3[[#This Row],[Store Branch / Address]]</f>
        <v>M W TOWNSTORE - M &amp; W - GENERIC</v>
      </c>
      <c r="B2134" t="str">
        <f>Table3[[#This Row],[Client ID]] &amp; " - " &amp; Table3[[#This Row],[SO Number]]</f>
        <v>M W TOWNSTORE - M &amp; W - GENERIC - SO-022</v>
      </c>
      <c r="C2134" t="s">
        <v>184</v>
      </c>
      <c r="D2134" t="s">
        <v>191</v>
      </c>
      <c r="E2134" t="s">
        <v>192</v>
      </c>
      <c r="F2134" t="s">
        <v>15</v>
      </c>
      <c r="G2134" t="s">
        <v>22</v>
      </c>
      <c r="H2134" t="s">
        <v>1236</v>
      </c>
      <c r="I2134" t="s">
        <v>393</v>
      </c>
      <c r="J2134">
        <v>1</v>
      </c>
      <c r="K2134">
        <v>1500</v>
      </c>
      <c r="L2134">
        <v>1500</v>
      </c>
      <c r="M2134">
        <v>1500</v>
      </c>
      <c r="N2134" t="s">
        <v>19</v>
      </c>
    </row>
    <row r="2135" spans="1:14" x14ac:dyDescent="0.25">
      <c r="A2135" t="str">
        <f>Table3[[#This Row],[Company Name]] &amp; " - " &amp; Table3[[#This Row],[Store Name]] &amp; " - " &amp; Table3[[#This Row],[Store Branch / Address]]</f>
        <v>ETHERNAL BRIGHT SANCTUARY INC - LALA'S RESTAURANT - QUEZON CITY</v>
      </c>
      <c r="B2135" t="str">
        <f>Table3[[#This Row],[Client ID]] &amp; " - " &amp; Table3[[#This Row],[SO Number]]</f>
        <v>ETHERNAL BRIGHT SANCTUARY INC - LALA'S RESTAURANT - QUEZON CITY - SO-26-017</v>
      </c>
      <c r="C2135" t="s">
        <v>1224</v>
      </c>
      <c r="D2135" t="s">
        <v>936</v>
      </c>
      <c r="E2135" t="s">
        <v>937</v>
      </c>
      <c r="F2135" t="s">
        <v>1225</v>
      </c>
      <c r="G2135" t="s">
        <v>22</v>
      </c>
      <c r="H2135" t="s">
        <v>1226</v>
      </c>
      <c r="I2135" t="s">
        <v>939</v>
      </c>
      <c r="J2135">
        <v>1</v>
      </c>
      <c r="K2135">
        <v>9850</v>
      </c>
      <c r="L2135">
        <v>13500</v>
      </c>
      <c r="M2135">
        <v>13500</v>
      </c>
      <c r="N2135" t="s">
        <v>39</v>
      </c>
    </row>
    <row r="2136" spans="1:14" x14ac:dyDescent="0.25">
      <c r="A2136" t="str">
        <f>Table3[[#This Row],[Company Name]] &amp; " - " &amp; Table3[[#This Row],[Store Name]] &amp; " - " &amp; Table3[[#This Row],[Store Branch / Address]]</f>
        <v>ETHERNAL BRIGHT SANCTUARY INC - LALA'S RESTAURANT - QUEZON CITY</v>
      </c>
      <c r="B2136" t="str">
        <f>Table3[[#This Row],[Client ID]] &amp; " - " &amp; Table3[[#This Row],[SO Number]]</f>
        <v>ETHERNAL BRIGHT SANCTUARY INC - LALA'S RESTAURANT - QUEZON CITY - SO-26-017</v>
      </c>
      <c r="C2136" t="s">
        <v>1224</v>
      </c>
      <c r="D2136" t="s">
        <v>936</v>
      </c>
      <c r="E2136" t="s">
        <v>937</v>
      </c>
      <c r="F2136" t="s">
        <v>1225</v>
      </c>
      <c r="G2136" t="s">
        <v>22</v>
      </c>
      <c r="H2136" t="s">
        <v>1226</v>
      </c>
      <c r="I2136" t="s">
        <v>248</v>
      </c>
      <c r="J2136">
        <v>1</v>
      </c>
      <c r="K2136">
        <v>8500</v>
      </c>
      <c r="L2136">
        <v>12000</v>
      </c>
      <c r="M2136">
        <v>12000</v>
      </c>
      <c r="N2136" t="s">
        <v>39</v>
      </c>
    </row>
    <row r="2137" spans="1:14" x14ac:dyDescent="0.25">
      <c r="A2137" t="str">
        <f>Table3[[#This Row],[Company Name]] &amp; " - " &amp; Table3[[#This Row],[Store Name]] &amp; " - " &amp; Table3[[#This Row],[Store Branch / Address]]</f>
        <v>ETHERNAL BRIGHT SANCTUARY INC - LALA'S RESTAURANT - QUEZON CITY</v>
      </c>
      <c r="B2137" t="str">
        <f>Table3[[#This Row],[Client ID]] &amp; " - " &amp; Table3[[#This Row],[SO Number]]</f>
        <v>ETHERNAL BRIGHT SANCTUARY INC - LALA'S RESTAURANT - QUEZON CITY - SO-26-017</v>
      </c>
      <c r="C2137" t="s">
        <v>1224</v>
      </c>
      <c r="D2137" t="s">
        <v>936</v>
      </c>
      <c r="E2137" t="s">
        <v>937</v>
      </c>
      <c r="F2137" t="s">
        <v>1225</v>
      </c>
      <c r="G2137" t="s">
        <v>22</v>
      </c>
      <c r="H2137" t="s">
        <v>1226</v>
      </c>
      <c r="I2137" t="s">
        <v>63</v>
      </c>
      <c r="J2137">
        <v>1</v>
      </c>
      <c r="K2137">
        <v>500</v>
      </c>
      <c r="L2137">
        <v>500</v>
      </c>
      <c r="M2137">
        <v>500</v>
      </c>
      <c r="N2137" t="s">
        <v>39</v>
      </c>
    </row>
    <row r="2138" spans="1:14" x14ac:dyDescent="0.25">
      <c r="A2138" t="str">
        <f>Table3[[#This Row],[Company Name]] &amp; " - " &amp; Table3[[#This Row],[Store Name]] &amp; " - " &amp; Table3[[#This Row],[Store Branch / Address]]</f>
        <v>CHICKEN DELI - PAOTSIN - GENERIC</v>
      </c>
      <c r="B2138" t="str">
        <f>Table3[[#This Row],[Client ID]] &amp; " - " &amp; Table3[[#This Row],[SO Number]]</f>
        <v>CHICKEN DELI - PAOTSIN - GENERIC - SO-023</v>
      </c>
      <c r="C2138" t="s">
        <v>198</v>
      </c>
      <c r="D2138" t="s">
        <v>20</v>
      </c>
      <c r="E2138" t="s">
        <v>623</v>
      </c>
      <c r="F2138" t="s">
        <v>15</v>
      </c>
      <c r="G2138" t="s">
        <v>22</v>
      </c>
      <c r="H2138" t="s">
        <v>1226</v>
      </c>
      <c r="I2138" t="s">
        <v>154</v>
      </c>
      <c r="J2138">
        <v>1</v>
      </c>
      <c r="K2138">
        <v>1100</v>
      </c>
      <c r="L2138">
        <v>1500</v>
      </c>
      <c r="M2138">
        <v>1500</v>
      </c>
      <c r="N2138" t="s">
        <v>19</v>
      </c>
    </row>
    <row r="2139" spans="1:14" x14ac:dyDescent="0.25">
      <c r="A2139" t="str">
        <f>Table3[[#This Row],[Company Name]] &amp; " - " &amp; Table3[[#This Row],[Store Name]] &amp; " - " &amp; Table3[[#This Row],[Store Branch / Address]]</f>
        <v>CHICKEN DELI - PAOTSIN - GENERIC</v>
      </c>
      <c r="B2139" t="str">
        <f>Table3[[#This Row],[Client ID]] &amp; " - " &amp; Table3[[#This Row],[SO Number]]</f>
        <v>CHICKEN DELI - PAOTSIN - GENERIC - SO-023</v>
      </c>
      <c r="C2139" t="s">
        <v>198</v>
      </c>
      <c r="D2139" t="s">
        <v>20</v>
      </c>
      <c r="E2139" t="s">
        <v>623</v>
      </c>
      <c r="F2139" t="s">
        <v>15</v>
      </c>
      <c r="G2139" t="s">
        <v>22</v>
      </c>
      <c r="H2139" t="s">
        <v>1226</v>
      </c>
      <c r="I2139" t="s">
        <v>1079</v>
      </c>
      <c r="J2139">
        <v>1</v>
      </c>
      <c r="K2139">
        <v>80</v>
      </c>
      <c r="L2139">
        <v>200</v>
      </c>
      <c r="M2139">
        <v>200</v>
      </c>
      <c r="N2139" t="s">
        <v>19</v>
      </c>
    </row>
    <row r="2140" spans="1:14" x14ac:dyDescent="0.25">
      <c r="A2140" t="str">
        <f>Table3[[#This Row],[Company Name]] &amp; " - " &amp; Table3[[#This Row],[Store Name]] &amp; " - " &amp; Table3[[#This Row],[Store Branch / Address]]</f>
        <v>CHICKEN DELI - CHARLIES RESTAURANT - GENERIC</v>
      </c>
      <c r="B2140" t="str">
        <f>Table3[[#This Row],[Client ID]] &amp; " - " &amp; Table3[[#This Row],[SO Number]]</f>
        <v>CHICKEN DELI - CHARLIES RESTAURANT - GENERIC - SO-024</v>
      </c>
      <c r="C2140" t="s">
        <v>206</v>
      </c>
      <c r="D2140" t="s">
        <v>20</v>
      </c>
      <c r="E2140" t="s">
        <v>1247</v>
      </c>
      <c r="F2140" t="s">
        <v>15</v>
      </c>
      <c r="G2140" t="s">
        <v>22</v>
      </c>
      <c r="H2140" t="s">
        <v>1226</v>
      </c>
      <c r="I2140" t="s">
        <v>322</v>
      </c>
      <c r="J2140">
        <v>2</v>
      </c>
      <c r="K2140">
        <v>5250</v>
      </c>
      <c r="L2140">
        <v>15000</v>
      </c>
      <c r="M2140">
        <v>30000</v>
      </c>
      <c r="N2140" t="s">
        <v>19</v>
      </c>
    </row>
    <row r="2141" spans="1:14" x14ac:dyDescent="0.25">
      <c r="A2141" t="str">
        <f>Table3[[#This Row],[Company Name]] &amp; " - " &amp; Table3[[#This Row],[Store Name]] &amp; " - " &amp; Table3[[#This Row],[Store Branch / Address]]</f>
        <v>CHICKEN DELI - CHARLIES RESTAURANT - GENERIC</v>
      </c>
      <c r="B2141" t="str">
        <f>Table3[[#This Row],[Client ID]] &amp; " - " &amp; Table3[[#This Row],[SO Number]]</f>
        <v>CHICKEN DELI - CHARLIES RESTAURANT - GENERIC - SO-024</v>
      </c>
      <c r="C2141" t="s">
        <v>206</v>
      </c>
      <c r="D2141" t="s">
        <v>20</v>
      </c>
      <c r="E2141" t="s">
        <v>1247</v>
      </c>
      <c r="F2141" t="s">
        <v>15</v>
      </c>
      <c r="G2141" t="s">
        <v>22</v>
      </c>
      <c r="H2141" t="s">
        <v>1226</v>
      </c>
      <c r="I2141" t="s">
        <v>170</v>
      </c>
      <c r="J2141">
        <v>2</v>
      </c>
      <c r="K2141">
        <v>28000</v>
      </c>
      <c r="L2141">
        <v>28000</v>
      </c>
      <c r="M2141">
        <v>56000</v>
      </c>
      <c r="N2141" t="s">
        <v>19</v>
      </c>
    </row>
    <row r="2142" spans="1:14" x14ac:dyDescent="0.25">
      <c r="A2142" t="str">
        <f>Table3[[#This Row],[Company Name]] &amp; " - " &amp; Table3[[#This Row],[Store Name]] &amp; " - " &amp; Table3[[#This Row],[Store Branch / Address]]</f>
        <v>CHICKEN DELI - CHARLIES RESTAURANT - GENERIC</v>
      </c>
      <c r="B2142" t="str">
        <f>Table3[[#This Row],[Client ID]] &amp; " - " &amp; Table3[[#This Row],[SO Number]]</f>
        <v>CHICKEN DELI - CHARLIES RESTAURANT - GENERIC - SO-024</v>
      </c>
      <c r="C2142" t="s">
        <v>206</v>
      </c>
      <c r="D2142" t="s">
        <v>20</v>
      </c>
      <c r="E2142" t="s">
        <v>1247</v>
      </c>
      <c r="F2142" t="s">
        <v>15</v>
      </c>
      <c r="G2142" t="s">
        <v>22</v>
      </c>
      <c r="H2142" t="s">
        <v>1226</v>
      </c>
      <c r="I2142" t="s">
        <v>24</v>
      </c>
      <c r="J2142">
        <v>2</v>
      </c>
      <c r="K2142">
        <v>28000</v>
      </c>
      <c r="L2142">
        <v>28000</v>
      </c>
      <c r="M2142">
        <v>56000</v>
      </c>
      <c r="N2142" t="s">
        <v>19</v>
      </c>
    </row>
    <row r="2143" spans="1:14" x14ac:dyDescent="0.25">
      <c r="A2143" t="str">
        <f>Table3[[#This Row],[Company Name]] &amp; " - " &amp; Table3[[#This Row],[Store Name]] &amp; " - " &amp; Table3[[#This Row],[Store Branch / Address]]</f>
        <v>CHICKEN DELI - CHARLIES RESTAURANT - GENERIC</v>
      </c>
      <c r="B2143" t="str">
        <f>Table3[[#This Row],[Client ID]] &amp; " - " &amp; Table3[[#This Row],[SO Number]]</f>
        <v>CHICKEN DELI - CHARLIES RESTAURANT - GENERIC - SO-024</v>
      </c>
      <c r="C2143" t="s">
        <v>206</v>
      </c>
      <c r="D2143" t="s">
        <v>20</v>
      </c>
      <c r="E2143" t="s">
        <v>1247</v>
      </c>
      <c r="F2143" t="s">
        <v>15</v>
      </c>
      <c r="G2143" t="s">
        <v>22</v>
      </c>
      <c r="H2143" t="s">
        <v>1226</v>
      </c>
      <c r="I2143" t="s">
        <v>316</v>
      </c>
      <c r="J2143">
        <v>2</v>
      </c>
      <c r="K2143">
        <v>500</v>
      </c>
      <c r="L2143">
        <v>500</v>
      </c>
      <c r="M2143">
        <v>1000</v>
      </c>
      <c r="N2143" t="s">
        <v>19</v>
      </c>
    </row>
    <row r="2144" spans="1:14" x14ac:dyDescent="0.25">
      <c r="A2144" t="str">
        <f>Table3[[#This Row],[Company Name]] &amp; " - " &amp; Table3[[#This Row],[Store Name]] &amp; " - " &amp; Table3[[#This Row],[Store Branch / Address]]</f>
        <v>CHICKEN DELI - CHARLIES RESTAURANT - GENERIC</v>
      </c>
      <c r="B2144" t="str">
        <f>Table3[[#This Row],[Client ID]] &amp; " - " &amp; Table3[[#This Row],[SO Number]]</f>
        <v>CHICKEN DELI - CHARLIES RESTAURANT - GENERIC - SO-024</v>
      </c>
      <c r="C2144" t="s">
        <v>206</v>
      </c>
      <c r="D2144" t="s">
        <v>20</v>
      </c>
      <c r="E2144" t="s">
        <v>1247</v>
      </c>
      <c r="F2144" t="s">
        <v>15</v>
      </c>
      <c r="G2144" t="s">
        <v>22</v>
      </c>
      <c r="H2144" t="s">
        <v>1226</v>
      </c>
      <c r="I2144" t="s">
        <v>324</v>
      </c>
      <c r="J2144">
        <v>1</v>
      </c>
      <c r="K2144">
        <v>2975</v>
      </c>
      <c r="L2144">
        <v>8500</v>
      </c>
      <c r="M2144">
        <v>8500</v>
      </c>
      <c r="N2144" t="s">
        <v>19</v>
      </c>
    </row>
    <row r="2145" spans="1:14" x14ac:dyDescent="0.25">
      <c r="A2145" t="str">
        <f>Table3[[#This Row],[Company Name]] &amp; " - " &amp; Table3[[#This Row],[Store Name]] &amp; " - " &amp; Table3[[#This Row],[Store Branch / Address]]</f>
        <v>CHICKEN DELI - CHARLIES RESTAURANT - GENERIC</v>
      </c>
      <c r="B2145" t="str">
        <f>Table3[[#This Row],[Client ID]] &amp; " - " &amp; Table3[[#This Row],[SO Number]]</f>
        <v>CHICKEN DELI - CHARLIES RESTAURANT - GENERIC - SO-024</v>
      </c>
      <c r="C2145" t="s">
        <v>206</v>
      </c>
      <c r="D2145" t="s">
        <v>20</v>
      </c>
      <c r="E2145" t="s">
        <v>1247</v>
      </c>
      <c r="F2145" t="s">
        <v>15</v>
      </c>
      <c r="G2145" t="s">
        <v>22</v>
      </c>
      <c r="H2145" t="s">
        <v>1226</v>
      </c>
      <c r="I2145" t="s">
        <v>170</v>
      </c>
      <c r="J2145">
        <v>1</v>
      </c>
      <c r="K2145">
        <v>30750</v>
      </c>
      <c r="L2145">
        <v>30750</v>
      </c>
      <c r="M2145">
        <v>30750</v>
      </c>
      <c r="N2145" t="s">
        <v>19</v>
      </c>
    </row>
    <row r="2146" spans="1:14" x14ac:dyDescent="0.25">
      <c r="A2146" t="str">
        <f>Table3[[#This Row],[Company Name]] &amp; " - " &amp; Table3[[#This Row],[Store Name]] &amp; " - " &amp; Table3[[#This Row],[Store Branch / Address]]</f>
        <v>CHICKEN DELI - CHARLIES RESTAURANT - GENERIC</v>
      </c>
      <c r="B2146" t="str">
        <f>Table3[[#This Row],[Client ID]] &amp; " - " &amp; Table3[[#This Row],[SO Number]]</f>
        <v>CHICKEN DELI - CHARLIES RESTAURANT - GENERIC - SO-024</v>
      </c>
      <c r="C2146" t="s">
        <v>206</v>
      </c>
      <c r="D2146" t="s">
        <v>20</v>
      </c>
      <c r="E2146" t="s">
        <v>1247</v>
      </c>
      <c r="F2146" t="s">
        <v>15</v>
      </c>
      <c r="G2146" t="s">
        <v>22</v>
      </c>
      <c r="H2146" t="s">
        <v>1226</v>
      </c>
      <c r="I2146" t="s">
        <v>24</v>
      </c>
      <c r="J2146">
        <v>1</v>
      </c>
      <c r="K2146">
        <v>30750</v>
      </c>
      <c r="L2146">
        <v>30750</v>
      </c>
      <c r="M2146">
        <v>30750</v>
      </c>
      <c r="N2146" t="s">
        <v>19</v>
      </c>
    </row>
    <row r="2147" spans="1:14" x14ac:dyDescent="0.25">
      <c r="A2147" t="str">
        <f>Table3[[#This Row],[Company Name]] &amp; " - " &amp; Table3[[#This Row],[Store Name]] &amp; " - " &amp; Table3[[#This Row],[Store Branch / Address]]</f>
        <v>CHICKEN DELI - CHARLIES RESTAURANT - GENERIC</v>
      </c>
      <c r="B2147" t="str">
        <f>Table3[[#This Row],[Client ID]] &amp; " - " &amp; Table3[[#This Row],[SO Number]]</f>
        <v>CHICKEN DELI - CHARLIES RESTAURANT - GENERIC - SO-024</v>
      </c>
      <c r="C2147" t="s">
        <v>206</v>
      </c>
      <c r="D2147" t="s">
        <v>20</v>
      </c>
      <c r="E2147" t="s">
        <v>1247</v>
      </c>
      <c r="F2147" t="s">
        <v>15</v>
      </c>
      <c r="G2147" t="s">
        <v>22</v>
      </c>
      <c r="H2147" t="s">
        <v>1226</v>
      </c>
      <c r="I2147" t="s">
        <v>325</v>
      </c>
      <c r="J2147">
        <v>2</v>
      </c>
      <c r="K2147">
        <v>24300</v>
      </c>
      <c r="L2147">
        <v>35000</v>
      </c>
      <c r="M2147">
        <v>70000</v>
      </c>
      <c r="N2147" t="s">
        <v>19</v>
      </c>
    </row>
    <row r="2148" spans="1:14" x14ac:dyDescent="0.25">
      <c r="A2148" t="str">
        <f>Table3[[#This Row],[Company Name]] &amp; " - " &amp; Table3[[#This Row],[Store Name]] &amp; " - " &amp; Table3[[#This Row],[Store Branch / Address]]</f>
        <v>CHICKEN DELI - CHARLIES RESTAURANT - GENERIC</v>
      </c>
      <c r="B2148" t="str">
        <f>Table3[[#This Row],[Client ID]] &amp; " - " &amp; Table3[[#This Row],[SO Number]]</f>
        <v>CHICKEN DELI - CHARLIES RESTAURANT - GENERIC - SO-024</v>
      </c>
      <c r="C2148" t="s">
        <v>206</v>
      </c>
      <c r="D2148" t="s">
        <v>20</v>
      </c>
      <c r="E2148" t="s">
        <v>1247</v>
      </c>
      <c r="F2148" t="s">
        <v>15</v>
      </c>
      <c r="G2148" t="s">
        <v>22</v>
      </c>
      <c r="H2148" t="s">
        <v>1226</v>
      </c>
      <c r="I2148" t="s">
        <v>116</v>
      </c>
      <c r="J2148">
        <v>1</v>
      </c>
      <c r="K2148">
        <v>1350</v>
      </c>
      <c r="L2148">
        <v>2000</v>
      </c>
      <c r="M2148">
        <v>2000</v>
      </c>
      <c r="N2148" t="s">
        <v>19</v>
      </c>
    </row>
    <row r="2149" spans="1:14" x14ac:dyDescent="0.25">
      <c r="A2149" t="str">
        <f>Table3[[#This Row],[Company Name]] &amp; " - " &amp; Table3[[#This Row],[Store Name]] &amp; " - " &amp; Table3[[#This Row],[Store Branch / Address]]</f>
        <v>CHICKEN DELI - CHARLIES RESTAURANT - GENERIC</v>
      </c>
      <c r="B2149" t="str">
        <f>Table3[[#This Row],[Client ID]] &amp; " - " &amp; Table3[[#This Row],[SO Number]]</f>
        <v>CHICKEN DELI - CHARLIES RESTAURANT - GENERIC - SO-024</v>
      </c>
      <c r="C2149" t="s">
        <v>206</v>
      </c>
      <c r="D2149" t="s">
        <v>20</v>
      </c>
      <c r="E2149" t="s">
        <v>1247</v>
      </c>
      <c r="F2149" t="s">
        <v>15</v>
      </c>
      <c r="G2149" t="s">
        <v>22</v>
      </c>
      <c r="H2149" t="s">
        <v>1226</v>
      </c>
      <c r="I2149" t="s">
        <v>814</v>
      </c>
      <c r="J2149">
        <v>2</v>
      </c>
      <c r="K2149">
        <v>7500</v>
      </c>
      <c r="L2149">
        <v>10700</v>
      </c>
      <c r="M2149">
        <v>21400</v>
      </c>
      <c r="N2149" t="s">
        <v>19</v>
      </c>
    </row>
    <row r="2150" spans="1:14" x14ac:dyDescent="0.25">
      <c r="A2150" t="str">
        <f>Table3[[#This Row],[Company Name]] &amp; " - " &amp; Table3[[#This Row],[Store Name]] &amp; " - " &amp; Table3[[#This Row],[Store Branch / Address]]</f>
        <v>CHICKEN DELI - CHARLIES RESTAURANT - GENERIC</v>
      </c>
      <c r="B2150" t="str">
        <f>Table3[[#This Row],[Client ID]] &amp; " - " &amp; Table3[[#This Row],[SO Number]]</f>
        <v>CHICKEN DELI - CHARLIES RESTAURANT - GENERIC - SO-024</v>
      </c>
      <c r="C2150" t="s">
        <v>206</v>
      </c>
      <c r="D2150" t="s">
        <v>20</v>
      </c>
      <c r="E2150" t="s">
        <v>1247</v>
      </c>
      <c r="F2150" t="s">
        <v>15</v>
      </c>
      <c r="G2150" t="s">
        <v>22</v>
      </c>
      <c r="H2150" t="s">
        <v>1226</v>
      </c>
      <c r="I2150" t="s">
        <v>761</v>
      </c>
      <c r="J2150">
        <v>1</v>
      </c>
      <c r="K2150">
        <v>8500</v>
      </c>
      <c r="L2150">
        <v>12000</v>
      </c>
      <c r="M2150">
        <v>12000</v>
      </c>
      <c r="N2150" t="s">
        <v>19</v>
      </c>
    </row>
    <row r="2151" spans="1:14" x14ac:dyDescent="0.25">
      <c r="A2151" t="str">
        <f>Table3[[#This Row],[Company Name]] &amp; " - " &amp; Table3[[#This Row],[Store Name]] &amp; " - " &amp; Table3[[#This Row],[Store Branch / Address]]</f>
        <v>CHICKEN DELI - CHARLIES RESTAURANT - GENERIC</v>
      </c>
      <c r="B2151" t="str">
        <f>Table3[[#This Row],[Client ID]] &amp; " - " &amp; Table3[[#This Row],[SO Number]]</f>
        <v>CHICKEN DELI - CHARLIES RESTAURANT - GENERIC - SO-024</v>
      </c>
      <c r="C2151" t="s">
        <v>206</v>
      </c>
      <c r="D2151" t="s">
        <v>20</v>
      </c>
      <c r="E2151" t="s">
        <v>1247</v>
      </c>
      <c r="F2151" t="s">
        <v>15</v>
      </c>
      <c r="G2151" t="s">
        <v>22</v>
      </c>
      <c r="H2151" t="s">
        <v>1226</v>
      </c>
      <c r="I2151" t="s">
        <v>328</v>
      </c>
      <c r="J2151">
        <v>1</v>
      </c>
      <c r="K2151">
        <v>24450</v>
      </c>
      <c r="L2151">
        <v>34000</v>
      </c>
      <c r="M2151">
        <v>34000</v>
      </c>
      <c r="N2151" t="s">
        <v>19</v>
      </c>
    </row>
    <row r="2152" spans="1:14" x14ac:dyDescent="0.25">
      <c r="A2152" t="str">
        <f>Table3[[#This Row],[Company Name]] &amp; " - " &amp; Table3[[#This Row],[Store Name]] &amp; " - " &amp; Table3[[#This Row],[Store Branch / Address]]</f>
        <v>CHICKEN DELI - CHARLIES RESTAURANT - GENERIC</v>
      </c>
      <c r="B2152" t="str">
        <f>Table3[[#This Row],[Client ID]] &amp; " - " &amp; Table3[[#This Row],[SO Number]]</f>
        <v>CHICKEN DELI - CHARLIES RESTAURANT - GENERIC - SO-024</v>
      </c>
      <c r="C2152" t="s">
        <v>206</v>
      </c>
      <c r="D2152" t="s">
        <v>20</v>
      </c>
      <c r="E2152" t="s">
        <v>1247</v>
      </c>
      <c r="F2152" t="s">
        <v>15</v>
      </c>
      <c r="G2152" t="s">
        <v>22</v>
      </c>
      <c r="H2152" t="s">
        <v>1226</v>
      </c>
      <c r="I2152" t="s">
        <v>329</v>
      </c>
      <c r="J2152">
        <v>1</v>
      </c>
      <c r="K2152">
        <v>3195</v>
      </c>
      <c r="L2152">
        <v>4500</v>
      </c>
      <c r="M2152">
        <v>4500</v>
      </c>
      <c r="N2152" t="s">
        <v>19</v>
      </c>
    </row>
    <row r="2153" spans="1:14" x14ac:dyDescent="0.25">
      <c r="A2153" t="str">
        <f>Table3[[#This Row],[Company Name]] &amp; " - " &amp; Table3[[#This Row],[Store Name]] &amp; " - " &amp; Table3[[#This Row],[Store Branch / Address]]</f>
        <v>CHICKEN DELI - CHARLIES RESTAURANT - GENERIC</v>
      </c>
      <c r="B2153" t="str">
        <f>Table3[[#This Row],[Client ID]] &amp; " - " &amp; Table3[[#This Row],[SO Number]]</f>
        <v>CHICKEN DELI - CHARLIES RESTAURANT - GENERIC - SO-024</v>
      </c>
      <c r="C2153" t="s">
        <v>206</v>
      </c>
      <c r="D2153" t="s">
        <v>20</v>
      </c>
      <c r="E2153" t="s">
        <v>1247</v>
      </c>
      <c r="F2153" t="s">
        <v>15</v>
      </c>
      <c r="G2153" t="s">
        <v>22</v>
      </c>
      <c r="H2153" t="s">
        <v>1226</v>
      </c>
      <c r="I2153" t="s">
        <v>76</v>
      </c>
      <c r="J2153">
        <v>1</v>
      </c>
      <c r="K2153">
        <v>500</v>
      </c>
      <c r="L2153">
        <v>500</v>
      </c>
      <c r="M2153">
        <v>500</v>
      </c>
      <c r="N2153" t="s">
        <v>19</v>
      </c>
    </row>
    <row r="2154" spans="1:14" x14ac:dyDescent="0.25">
      <c r="A2154" t="str">
        <f>Table3[[#This Row],[Company Name]] &amp; " - " &amp; Table3[[#This Row],[Store Name]] &amp; " - " &amp; Table3[[#This Row],[Store Branch / Address]]</f>
        <v>CHICKEN DELI - CHARLIES RESTAURANT - GENERIC</v>
      </c>
      <c r="B2154" t="str">
        <f>Table3[[#This Row],[Client ID]] &amp; " - " &amp; Table3[[#This Row],[SO Number]]</f>
        <v>CHICKEN DELI - CHARLIES RESTAURANT - GENERIC - SO-024</v>
      </c>
      <c r="C2154" t="s">
        <v>206</v>
      </c>
      <c r="D2154" t="s">
        <v>20</v>
      </c>
      <c r="E2154" t="s">
        <v>1247</v>
      </c>
      <c r="F2154" t="s">
        <v>15</v>
      </c>
      <c r="G2154" t="s">
        <v>22</v>
      </c>
      <c r="H2154" t="s">
        <v>1226</v>
      </c>
      <c r="I2154" t="s">
        <v>331</v>
      </c>
      <c r="J2154">
        <v>1</v>
      </c>
      <c r="K2154">
        <v>32000</v>
      </c>
      <c r="L2154">
        <v>32000</v>
      </c>
      <c r="M2154">
        <v>32000</v>
      </c>
      <c r="N2154" t="s">
        <v>19</v>
      </c>
    </row>
    <row r="2155" spans="1:14" x14ac:dyDescent="0.25">
      <c r="A2155" t="str">
        <f>Table3[[#This Row],[Company Name]] &amp; " - " &amp; Table3[[#This Row],[Store Name]] &amp; " - " &amp; Table3[[#This Row],[Store Branch / Address]]</f>
        <v>CHICKEN DELI - CHARLIES RESTAURANT - GENERIC</v>
      </c>
      <c r="B2155" t="str">
        <f>Table3[[#This Row],[Client ID]] &amp; " - " &amp; Table3[[#This Row],[SO Number]]</f>
        <v>CHICKEN DELI - CHARLIES RESTAURANT - GENERIC - SO-024</v>
      </c>
      <c r="C2155" t="s">
        <v>206</v>
      </c>
      <c r="D2155" t="s">
        <v>20</v>
      </c>
      <c r="E2155" t="s">
        <v>1247</v>
      </c>
      <c r="F2155" t="s">
        <v>15</v>
      </c>
      <c r="G2155" t="s">
        <v>22</v>
      </c>
      <c r="H2155" t="s">
        <v>1226</v>
      </c>
      <c r="I2155" t="s">
        <v>692</v>
      </c>
      <c r="J2155">
        <v>2</v>
      </c>
      <c r="K2155">
        <v>550</v>
      </c>
      <c r="L2155">
        <v>800</v>
      </c>
      <c r="M2155">
        <v>1600</v>
      </c>
      <c r="N2155" t="s">
        <v>19</v>
      </c>
    </row>
    <row r="2156" spans="1:14" x14ac:dyDescent="0.25">
      <c r="A2156" t="str">
        <f>Table3[[#This Row],[Company Name]] &amp; " - " &amp; Table3[[#This Row],[Store Name]] &amp; " - " &amp; Table3[[#This Row],[Store Branch / Address]]</f>
        <v>RRH FOOD GROUP INC - QUEENS AT BOLLYWOOD - GENERIC</v>
      </c>
      <c r="B2156" t="str">
        <f>Table3[[#This Row],[Client ID]] &amp; " - " &amp; Table3[[#This Row],[SO Number]]</f>
        <v>RRH FOOD GROUP INC - QUEENS AT BOLLYWOOD - GENERIC - SO-26-018</v>
      </c>
      <c r="C2156" t="s">
        <v>1227</v>
      </c>
      <c r="D2156" t="s">
        <v>52</v>
      </c>
      <c r="E2156" t="s">
        <v>53</v>
      </c>
      <c r="F2156" t="s">
        <v>15</v>
      </c>
      <c r="G2156" t="s">
        <v>37</v>
      </c>
      <c r="H2156" t="s">
        <v>1228</v>
      </c>
      <c r="I2156" t="s">
        <v>428</v>
      </c>
      <c r="J2156">
        <v>5</v>
      </c>
      <c r="K2156">
        <v>70</v>
      </c>
      <c r="L2156">
        <v>250</v>
      </c>
      <c r="M2156">
        <v>1250</v>
      </c>
      <c r="N2156" t="s">
        <v>39</v>
      </c>
    </row>
    <row r="2157" spans="1:14" x14ac:dyDescent="0.25">
      <c r="A2157" t="str">
        <f>Table3[[#This Row],[Company Name]] &amp; " - " &amp; Table3[[#This Row],[Store Name]] &amp; " - " &amp; Table3[[#This Row],[Store Branch / Address]]</f>
        <v>INSPIRA PRIME INTERNATIONAL CORPORATION - AQUAFLASK - UPTOWN MALL</v>
      </c>
      <c r="B2157" t="str">
        <f>Table3[[#This Row],[Client ID]] &amp; " - " &amp; Table3[[#This Row],[SO Number]]</f>
        <v>INSPIRA PRIME INTERNATIONAL CORPORATION - AQUAFLASK - UPTOWN MALL - SO-26-006</v>
      </c>
      <c r="C2157" t="s">
        <v>1191</v>
      </c>
      <c r="D2157" t="s">
        <v>1117</v>
      </c>
      <c r="E2157" t="s">
        <v>1118</v>
      </c>
      <c r="F2157" t="s">
        <v>1395</v>
      </c>
      <c r="G2157" t="s">
        <v>1024</v>
      </c>
      <c r="H2157" t="s">
        <v>1396</v>
      </c>
      <c r="I2157" t="s">
        <v>1153</v>
      </c>
      <c r="J2157">
        <v>1</v>
      </c>
      <c r="K2157">
        <v>6300</v>
      </c>
      <c r="L2157">
        <v>18000</v>
      </c>
      <c r="M2157">
        <v>18000</v>
      </c>
      <c r="N2157" t="s">
        <v>1010</v>
      </c>
    </row>
    <row r="2158" spans="1:14" x14ac:dyDescent="0.25">
      <c r="A2158" t="str">
        <f>Table3[[#This Row],[Company Name]] &amp; " - " &amp; Table3[[#This Row],[Store Name]] &amp; " - " &amp; Table3[[#This Row],[Store Branch / Address]]</f>
        <v>INSPIRA PRIME INTERNATIONAL CORPORATION - AQUAFLASK - UPTOWN MALL</v>
      </c>
      <c r="B2158" t="str">
        <f>Table3[[#This Row],[Client ID]] &amp; " - " &amp; Table3[[#This Row],[SO Number]]</f>
        <v>INSPIRA PRIME INTERNATIONAL CORPORATION - AQUAFLASK - UPTOWN MALL - SO-26-006</v>
      </c>
      <c r="C2158" t="s">
        <v>1191</v>
      </c>
      <c r="D2158" t="s">
        <v>1117</v>
      </c>
      <c r="E2158" t="s">
        <v>1118</v>
      </c>
      <c r="F2158" t="s">
        <v>1395</v>
      </c>
      <c r="G2158" t="s">
        <v>1024</v>
      </c>
      <c r="H2158" t="s">
        <v>1396</v>
      </c>
      <c r="I2158" t="s">
        <v>1011</v>
      </c>
      <c r="J2158">
        <v>1</v>
      </c>
      <c r="K2158">
        <v>5500</v>
      </c>
      <c r="L2158">
        <v>5500</v>
      </c>
      <c r="M2158">
        <v>5500</v>
      </c>
      <c r="N2158" t="s">
        <v>1010</v>
      </c>
    </row>
    <row r="2159" spans="1:14" x14ac:dyDescent="0.25">
      <c r="A2159" t="str">
        <f>Table3[[#This Row],[Company Name]] &amp; " - " &amp; Table3[[#This Row],[Store Name]] &amp; " - " &amp; Table3[[#This Row],[Store Branch / Address]]</f>
        <v>INSPIRA PRIME INTERNATIONAL CORPORATION - AQUAFLASK - UPTOWN MALL</v>
      </c>
      <c r="B2159" t="str">
        <f>Table3[[#This Row],[Client ID]] &amp; " - " &amp; Table3[[#This Row],[SO Number]]</f>
        <v>INSPIRA PRIME INTERNATIONAL CORPORATION - AQUAFLASK - UPTOWN MALL - SO-26-006</v>
      </c>
      <c r="C2159" t="s">
        <v>1191</v>
      </c>
      <c r="D2159" t="s">
        <v>1117</v>
      </c>
      <c r="E2159" t="s">
        <v>1118</v>
      </c>
      <c r="F2159" t="s">
        <v>1395</v>
      </c>
      <c r="G2159" t="s">
        <v>1024</v>
      </c>
      <c r="H2159" t="s">
        <v>1396</v>
      </c>
      <c r="I2159" t="s">
        <v>24</v>
      </c>
      <c r="J2159">
        <v>1</v>
      </c>
      <c r="K2159">
        <v>5500</v>
      </c>
      <c r="L2159">
        <v>5500</v>
      </c>
      <c r="M2159">
        <v>5500</v>
      </c>
      <c r="N2159" t="s">
        <v>1010</v>
      </c>
    </row>
    <row r="2160" spans="1:14" x14ac:dyDescent="0.25">
      <c r="A2160" t="str">
        <f>Table3[[#This Row],[Company Name]] &amp; " - " &amp; Table3[[#This Row],[Store Name]] &amp; " - " &amp; Table3[[#This Row],[Store Branch / Address]]</f>
        <v>INSPIRA PRIME INTERNATIONAL CORPORATION - AQUAFLASK - UPTOWN MALL</v>
      </c>
      <c r="B2160" t="str">
        <f>Table3[[#This Row],[Client ID]] &amp; " - " &amp; Table3[[#This Row],[SO Number]]</f>
        <v>INSPIRA PRIME INTERNATIONAL CORPORATION - AQUAFLASK - UPTOWN MALL - SO-26-006</v>
      </c>
      <c r="C2160" t="s">
        <v>1191</v>
      </c>
      <c r="D2160" t="s">
        <v>1117</v>
      </c>
      <c r="E2160" t="s">
        <v>1118</v>
      </c>
      <c r="F2160" t="s">
        <v>1395</v>
      </c>
      <c r="G2160" t="s">
        <v>1024</v>
      </c>
      <c r="H2160" t="s">
        <v>1396</v>
      </c>
      <c r="I2160" t="s">
        <v>26</v>
      </c>
      <c r="J2160">
        <v>1</v>
      </c>
      <c r="K2160">
        <v>500</v>
      </c>
      <c r="L2160">
        <v>500</v>
      </c>
      <c r="M2160">
        <v>500</v>
      </c>
      <c r="N2160" t="s">
        <v>1010</v>
      </c>
    </row>
    <row r="2161" spans="1:14" x14ac:dyDescent="0.25">
      <c r="A2161" t="str">
        <f>Table3[[#This Row],[Company Name]] &amp; " - " &amp; Table3[[#This Row],[Store Name]] &amp; " - " &amp; Table3[[#This Row],[Store Branch / Address]]</f>
        <v>INSPIRA PRIME INTERNATIONAL CORPORATION - AQUAFLASK - UPTOWN MALL</v>
      </c>
      <c r="B2161" t="str">
        <f>Table3[[#This Row],[Client ID]] &amp; " - " &amp; Table3[[#This Row],[SO Number]]</f>
        <v>INSPIRA PRIME INTERNATIONAL CORPORATION - AQUAFLASK - UPTOWN MALL - SO-26-006</v>
      </c>
      <c r="C2161" t="s">
        <v>1191</v>
      </c>
      <c r="D2161" t="s">
        <v>1117</v>
      </c>
      <c r="E2161" t="s">
        <v>1118</v>
      </c>
      <c r="F2161" t="s">
        <v>1395</v>
      </c>
      <c r="G2161" t="s">
        <v>1024</v>
      </c>
      <c r="H2161" t="s">
        <v>1396</v>
      </c>
      <c r="I2161" t="s">
        <v>1389</v>
      </c>
      <c r="J2161">
        <v>1</v>
      </c>
      <c r="K2161">
        <v>24640</v>
      </c>
      <c r="L2161">
        <v>25000</v>
      </c>
      <c r="M2161">
        <v>25000</v>
      </c>
      <c r="N2161" t="s">
        <v>1010</v>
      </c>
    </row>
    <row r="2162" spans="1:14" x14ac:dyDescent="0.25">
      <c r="A2162" t="str">
        <f>Table3[[#This Row],[Company Name]] &amp; " - " &amp; Table3[[#This Row],[Store Name]] &amp; " - " &amp; Table3[[#This Row],[Store Branch / Address]]</f>
        <v>INSPIRA PRIME INTERNATIONAL CORPORATION - AQUAFLASK - UPTOWN MALL</v>
      </c>
      <c r="B2162" t="str">
        <f>Table3[[#This Row],[Client ID]] &amp; " - " &amp; Table3[[#This Row],[SO Number]]</f>
        <v>INSPIRA PRIME INTERNATIONAL CORPORATION - AQUAFLASK - UPTOWN MALL - SO-26-006</v>
      </c>
      <c r="C2162" t="s">
        <v>1191</v>
      </c>
      <c r="D2162" t="s">
        <v>1117</v>
      </c>
      <c r="E2162" t="s">
        <v>1118</v>
      </c>
      <c r="F2162" t="s">
        <v>1395</v>
      </c>
      <c r="G2162" t="s">
        <v>1024</v>
      </c>
      <c r="H2162" t="s">
        <v>1396</v>
      </c>
      <c r="I2162" t="s">
        <v>189</v>
      </c>
      <c r="J2162">
        <v>1</v>
      </c>
      <c r="K2162">
        <v>500</v>
      </c>
      <c r="L2162">
        <v>600</v>
      </c>
      <c r="M2162">
        <v>600</v>
      </c>
      <c r="N2162" t="s">
        <v>1010</v>
      </c>
    </row>
    <row r="2163" spans="1:14" x14ac:dyDescent="0.25">
      <c r="A2163" t="str">
        <f>Table3[[#This Row],[Company Name]] &amp; " - " &amp; Table3[[#This Row],[Store Name]] &amp; " - " &amp; Table3[[#This Row],[Store Branch / Address]]</f>
        <v>INSPIRA PRIME INTERNATIONAL CORPORATION - AQUAFLASK - UPTOWN MALL</v>
      </c>
      <c r="B2163" t="str">
        <f>Table3[[#This Row],[Client ID]] &amp; " - " &amp; Table3[[#This Row],[SO Number]]</f>
        <v>INSPIRA PRIME INTERNATIONAL CORPORATION - AQUAFLASK - UPTOWN MALL - SO-26-006</v>
      </c>
      <c r="C2163" t="s">
        <v>1191</v>
      </c>
      <c r="D2163" t="s">
        <v>1117</v>
      </c>
      <c r="E2163" t="s">
        <v>1118</v>
      </c>
      <c r="F2163" t="s">
        <v>1395</v>
      </c>
      <c r="G2163" t="s">
        <v>1024</v>
      </c>
      <c r="H2163" t="s">
        <v>1396</v>
      </c>
      <c r="I2163" t="s">
        <v>1014</v>
      </c>
      <c r="J2163">
        <v>1</v>
      </c>
      <c r="K2163">
        <v>970</v>
      </c>
      <c r="L2163">
        <v>1200</v>
      </c>
      <c r="M2163">
        <v>1200</v>
      </c>
      <c r="N2163" t="s">
        <v>1010</v>
      </c>
    </row>
    <row r="2164" spans="1:14" x14ac:dyDescent="0.25">
      <c r="A2164" t="str">
        <f>Table3[[#This Row],[Company Name]] &amp; " - " &amp; Table3[[#This Row],[Store Name]] &amp; " - " &amp; Table3[[#This Row],[Store Branch / Address]]</f>
        <v>INSPIRA PRIME INTERNATIONAL CORPORATION - AQUAFLASK - UPTOWN MALL</v>
      </c>
      <c r="B2164" t="str">
        <f>Table3[[#This Row],[Client ID]] &amp; " - " &amp; Table3[[#This Row],[SO Number]]</f>
        <v>INSPIRA PRIME INTERNATIONAL CORPORATION - AQUAFLASK - UPTOWN MALL - SO-26-006</v>
      </c>
      <c r="C2164" t="s">
        <v>1191</v>
      </c>
      <c r="D2164" t="s">
        <v>1117</v>
      </c>
      <c r="E2164" t="s">
        <v>1118</v>
      </c>
      <c r="F2164" t="s">
        <v>1395</v>
      </c>
      <c r="G2164" t="s">
        <v>1024</v>
      </c>
      <c r="H2164" t="s">
        <v>1396</v>
      </c>
      <c r="I2164" t="s">
        <v>1015</v>
      </c>
      <c r="J2164">
        <v>1</v>
      </c>
      <c r="K2164">
        <v>4250</v>
      </c>
      <c r="L2164">
        <v>4700</v>
      </c>
      <c r="M2164">
        <v>4700</v>
      </c>
      <c r="N2164" t="s">
        <v>1010</v>
      </c>
    </row>
    <row r="2165" spans="1:14" x14ac:dyDescent="0.25">
      <c r="A2165" t="str">
        <f>Table3[[#This Row],[Company Name]] &amp; " - " &amp; Table3[[#This Row],[Store Name]] &amp; " - " &amp; Table3[[#This Row],[Store Branch / Address]]</f>
        <v>INSPIRA PRIME INTERNATIONAL CORPORATION - AQUAFLASK - UPTOWN MALL</v>
      </c>
      <c r="B2165" t="str">
        <f>Table3[[#This Row],[Client ID]] &amp; " - " &amp; Table3[[#This Row],[SO Number]]</f>
        <v>INSPIRA PRIME INTERNATIONAL CORPORATION - AQUAFLASK - UPTOWN MALL - SO-26-006</v>
      </c>
      <c r="C2165" t="s">
        <v>1191</v>
      </c>
      <c r="D2165" t="s">
        <v>1117</v>
      </c>
      <c r="E2165" t="s">
        <v>1118</v>
      </c>
      <c r="F2165" t="s">
        <v>1395</v>
      </c>
      <c r="G2165" t="s">
        <v>1024</v>
      </c>
      <c r="H2165" t="s">
        <v>1396</v>
      </c>
      <c r="I2165" t="s">
        <v>85</v>
      </c>
      <c r="J2165">
        <v>1</v>
      </c>
      <c r="K2165">
        <v>1350</v>
      </c>
      <c r="L2165">
        <v>1700</v>
      </c>
      <c r="M2165">
        <v>1700</v>
      </c>
      <c r="N2165" t="s">
        <v>1010</v>
      </c>
    </row>
    <row r="2166" spans="1:14" x14ac:dyDescent="0.25">
      <c r="A2166" t="str">
        <f>Table3[[#This Row],[Company Name]] &amp; " - " &amp; Table3[[#This Row],[Store Name]] &amp; " - " &amp; Table3[[#This Row],[Store Branch / Address]]</f>
        <v>INSPIRA PRIME INTERNATIONAL CORPORATION - AQUAFLASK - UPTOWN MALL</v>
      </c>
      <c r="B2166" t="str">
        <f>Table3[[#This Row],[Client ID]] &amp; " - " &amp; Table3[[#This Row],[SO Number]]</f>
        <v>INSPIRA PRIME INTERNATIONAL CORPORATION - AQUAFLASK - UPTOWN MALL - SO-26-006</v>
      </c>
      <c r="C2166" t="s">
        <v>1191</v>
      </c>
      <c r="D2166" t="s">
        <v>1117</v>
      </c>
      <c r="E2166" t="s">
        <v>1118</v>
      </c>
      <c r="F2166" t="s">
        <v>1395</v>
      </c>
      <c r="G2166" t="s">
        <v>1024</v>
      </c>
      <c r="H2166" t="s">
        <v>1396</v>
      </c>
      <c r="I2166" t="s">
        <v>1016</v>
      </c>
      <c r="J2166">
        <v>1</v>
      </c>
      <c r="K2166">
        <v>8500</v>
      </c>
      <c r="L2166">
        <v>10000</v>
      </c>
      <c r="M2166">
        <v>10000</v>
      </c>
      <c r="N2166" t="s">
        <v>1010</v>
      </c>
    </row>
    <row r="2167" spans="1:14" x14ac:dyDescent="0.25">
      <c r="A2167" t="str">
        <f>Table3[[#This Row],[Company Name]] &amp; " - " &amp; Table3[[#This Row],[Store Name]] &amp; " - " &amp; Table3[[#This Row],[Store Branch / Address]]</f>
        <v>INSPIRA PRIME INTERNATIONAL CORPORATION - AQUAFLASK - UPTOWN MALL</v>
      </c>
      <c r="B2167" t="str">
        <f>Table3[[#This Row],[Client ID]] &amp; " - " &amp; Table3[[#This Row],[SO Number]]</f>
        <v>INSPIRA PRIME INTERNATIONAL CORPORATION - AQUAFLASK - UPTOWN MALL - SO-26-006</v>
      </c>
      <c r="C2167" t="s">
        <v>1191</v>
      </c>
      <c r="D2167" t="s">
        <v>1117</v>
      </c>
      <c r="E2167" t="s">
        <v>1118</v>
      </c>
      <c r="F2167" t="s">
        <v>1395</v>
      </c>
      <c r="G2167" t="s">
        <v>1024</v>
      </c>
      <c r="H2167" t="s">
        <v>1396</v>
      </c>
      <c r="I2167" t="s">
        <v>97</v>
      </c>
      <c r="J2167">
        <v>1</v>
      </c>
      <c r="K2167">
        <v>2200</v>
      </c>
      <c r="L2167">
        <v>3000</v>
      </c>
      <c r="M2167">
        <v>3000</v>
      </c>
      <c r="N2167" t="s">
        <v>1010</v>
      </c>
    </row>
    <row r="2168" spans="1:14" x14ac:dyDescent="0.25">
      <c r="A2168" t="str">
        <f>Table3[[#This Row],[Company Name]] &amp; " - " &amp; Table3[[#This Row],[Store Name]] &amp; " - " &amp; Table3[[#This Row],[Store Branch / Address]]</f>
        <v>INSPIRA PRIME INTERNATIONAL CORPORATION - AQUAFLASK - UPTOWN MALL</v>
      </c>
      <c r="B2168" t="str">
        <f>Table3[[#This Row],[Client ID]] &amp; " - " &amp; Table3[[#This Row],[SO Number]]</f>
        <v>INSPIRA PRIME INTERNATIONAL CORPORATION - AQUAFLASK - UPTOWN MALL - SO-26-006</v>
      </c>
      <c r="C2168" t="s">
        <v>1191</v>
      </c>
      <c r="D2168" t="s">
        <v>1117</v>
      </c>
      <c r="E2168" t="s">
        <v>1118</v>
      </c>
      <c r="F2168" t="s">
        <v>1395</v>
      </c>
      <c r="G2168" t="s">
        <v>1024</v>
      </c>
      <c r="H2168" t="s">
        <v>1396</v>
      </c>
      <c r="I2168" t="s">
        <v>1121</v>
      </c>
      <c r="J2168">
        <v>1</v>
      </c>
      <c r="K2168">
        <v>3000</v>
      </c>
      <c r="L2168">
        <v>3800</v>
      </c>
      <c r="M2168">
        <v>3800</v>
      </c>
      <c r="N2168" t="s">
        <v>1010</v>
      </c>
    </row>
    <row r="2169" spans="1:14" x14ac:dyDescent="0.25">
      <c r="A2169" t="str">
        <f>Table3[[#This Row],[Company Name]] &amp; " - " &amp; Table3[[#This Row],[Store Name]] &amp; " - " &amp; Table3[[#This Row],[Store Branch / Address]]</f>
        <v>INSPIRA PRIME INTERNATIONAL CORPORATION - AQUAFLASK - UPTOWN MALL</v>
      </c>
      <c r="B2169" t="str">
        <f>Table3[[#This Row],[Client ID]] &amp; " - " &amp; Table3[[#This Row],[SO Number]]</f>
        <v>INSPIRA PRIME INTERNATIONAL CORPORATION - AQUAFLASK - UPTOWN MALL - SO-26-006</v>
      </c>
      <c r="C2169" t="s">
        <v>1191</v>
      </c>
      <c r="D2169" t="s">
        <v>1117</v>
      </c>
      <c r="E2169" t="s">
        <v>1118</v>
      </c>
      <c r="F2169" t="s">
        <v>1395</v>
      </c>
      <c r="G2169" t="s">
        <v>1024</v>
      </c>
      <c r="H2169" t="s">
        <v>1396</v>
      </c>
      <c r="I2169" t="s">
        <v>63</v>
      </c>
      <c r="J2169">
        <v>1</v>
      </c>
      <c r="K2169">
        <v>500</v>
      </c>
      <c r="L2169">
        <v>500</v>
      </c>
      <c r="M2169">
        <v>500</v>
      </c>
      <c r="N2169" t="s">
        <v>1010</v>
      </c>
    </row>
    <row r="2170" spans="1:14" x14ac:dyDescent="0.25">
      <c r="A2170" t="str">
        <f>Table3[[#This Row],[Company Name]] &amp; " - " &amp; Table3[[#This Row],[Store Name]] &amp; " - " &amp; Table3[[#This Row],[Store Branch / Address]]</f>
        <v>TIONG BAHRU PHILIPPINES INC - TIONG BAHRU - GENERIC</v>
      </c>
      <c r="B2170" t="str">
        <f>Table3[[#This Row],[Client ID]] &amp; " - " &amp; Table3[[#This Row],[SO Number]]</f>
        <v>TIONG BAHRU PHILIPPINES INC - TIONG BAHRU - GENERIC - SO-26-007</v>
      </c>
      <c r="C2170" t="s">
        <v>1193</v>
      </c>
      <c r="D2170" t="s">
        <v>1022</v>
      </c>
      <c r="E2170" t="s">
        <v>1023</v>
      </c>
      <c r="F2170" t="s">
        <v>15</v>
      </c>
      <c r="G2170" t="s">
        <v>1076</v>
      </c>
      <c r="H2170" t="s">
        <v>1396</v>
      </c>
      <c r="I2170" t="s">
        <v>154</v>
      </c>
      <c r="J2170">
        <v>1</v>
      </c>
      <c r="K2170">
        <v>1100</v>
      </c>
      <c r="L2170">
        <v>1500</v>
      </c>
      <c r="M2170">
        <v>1500</v>
      </c>
      <c r="N2170" t="s">
        <v>19</v>
      </c>
    </row>
    <row r="2171" spans="1:14" x14ac:dyDescent="0.25">
      <c r="A2171" t="str">
        <f>Table3[[#This Row],[Company Name]] &amp; " - " &amp; Table3[[#This Row],[Store Name]] &amp; " - " &amp; Table3[[#This Row],[Store Branch / Address]]</f>
        <v>TIONG BAHRU PHILIPPINES INC - TIONG BAHRU - GENERIC</v>
      </c>
      <c r="B2171" t="str">
        <f>Table3[[#This Row],[Client ID]] &amp; " - " &amp; Table3[[#This Row],[SO Number]]</f>
        <v>TIONG BAHRU PHILIPPINES INC - TIONG BAHRU - GENERIC - SO-26-007</v>
      </c>
      <c r="C2171" t="s">
        <v>1193</v>
      </c>
      <c r="D2171" t="s">
        <v>1022</v>
      </c>
      <c r="E2171" t="s">
        <v>1023</v>
      </c>
      <c r="F2171" t="s">
        <v>15</v>
      </c>
      <c r="G2171" t="s">
        <v>1076</v>
      </c>
      <c r="H2171" t="s">
        <v>1396</v>
      </c>
      <c r="I2171" t="s">
        <v>1078</v>
      </c>
      <c r="J2171">
        <v>1</v>
      </c>
      <c r="K2171">
        <v>30</v>
      </c>
      <c r="L2171">
        <v>200</v>
      </c>
      <c r="M2171">
        <v>200</v>
      </c>
      <c r="N2171" t="s">
        <v>19</v>
      </c>
    </row>
    <row r="2172" spans="1:14" x14ac:dyDescent="0.25">
      <c r="A2172" t="str">
        <f>Table3[[#This Row],[Company Name]] &amp; " - " &amp; Table3[[#This Row],[Store Name]] &amp; " - " &amp; Table3[[#This Row],[Store Branch / Address]]</f>
        <v>SAINT MICHAEL FOODS OPC - DANIELITO'S HOME KITCHEN - GENERIC</v>
      </c>
      <c r="B2172" t="str">
        <f>Table3[[#This Row],[Client ID]] &amp; " - " &amp; Table3[[#This Row],[SO Number]]</f>
        <v>SAINT MICHAEL FOODS OPC - DANIELITO'S HOME KITCHEN - GENERIC - SO-26-019</v>
      </c>
      <c r="C2172" t="s">
        <v>1229</v>
      </c>
      <c r="D2172" t="s">
        <v>544</v>
      </c>
      <c r="E2172" t="s">
        <v>547</v>
      </c>
      <c r="F2172" t="s">
        <v>15</v>
      </c>
      <c r="G2172" t="s">
        <v>37</v>
      </c>
      <c r="H2172" t="s">
        <v>1230</v>
      </c>
      <c r="I2172" t="s">
        <v>97</v>
      </c>
      <c r="J2172">
        <v>1</v>
      </c>
      <c r="K2172">
        <v>2200</v>
      </c>
      <c r="L2172">
        <v>3150</v>
      </c>
      <c r="M2172">
        <v>3150</v>
      </c>
      <c r="N2172" t="s">
        <v>19</v>
      </c>
    </row>
    <row r="2173" spans="1:14" x14ac:dyDescent="0.25">
      <c r="A2173" t="str">
        <f>Table3[[#This Row],[Company Name]] &amp; " - " &amp; Table3[[#This Row],[Store Name]] &amp; " - " &amp; Table3[[#This Row],[Store Branch / Address]]</f>
        <v>SAINT MICHAEL FOODS OPC - DANIELITO'S HOME KITCHEN - GENERIC</v>
      </c>
      <c r="B2173" t="str">
        <f>Table3[[#This Row],[Client ID]] &amp; " - " &amp; Table3[[#This Row],[SO Number]]</f>
        <v>SAINT MICHAEL FOODS OPC - DANIELITO'S HOME KITCHEN - GENERIC - SO-26-019</v>
      </c>
      <c r="C2173" t="s">
        <v>1229</v>
      </c>
      <c r="D2173" t="s">
        <v>544</v>
      </c>
      <c r="E2173" t="s">
        <v>547</v>
      </c>
      <c r="F2173" t="s">
        <v>15</v>
      </c>
      <c r="G2173" t="s">
        <v>37</v>
      </c>
      <c r="H2173" t="s">
        <v>1230</v>
      </c>
      <c r="I2173" t="s">
        <v>63</v>
      </c>
      <c r="J2173">
        <v>1</v>
      </c>
      <c r="K2173">
        <v>300</v>
      </c>
      <c r="L2173">
        <v>300</v>
      </c>
      <c r="M2173">
        <v>300</v>
      </c>
      <c r="N2173" t="s">
        <v>19</v>
      </c>
    </row>
    <row r="2174" spans="1:14" x14ac:dyDescent="0.25">
      <c r="A2174" t="str">
        <f>Table3[[#This Row],[Company Name]] &amp; " - " &amp; Table3[[#This Row],[Store Name]] &amp; " - " &amp; Table3[[#This Row],[Store Branch / Address]]</f>
        <v>CHICKEN DELI - LIAMS BEACH CAFÉ - GENERIC</v>
      </c>
      <c r="B2174" t="str">
        <f>Table3[[#This Row],[Client ID]] &amp; " - " &amp; Table3[[#This Row],[SO Number]]</f>
        <v>CHICKEN DELI - LIAMS BEACH CAFÉ - GENERIC - SO-025</v>
      </c>
      <c r="C2174" t="s">
        <v>208</v>
      </c>
      <c r="D2174" t="s">
        <v>20</v>
      </c>
      <c r="E2174" t="s">
        <v>1259</v>
      </c>
      <c r="F2174" t="s">
        <v>15</v>
      </c>
      <c r="G2174" t="s">
        <v>22</v>
      </c>
      <c r="H2174" t="s">
        <v>1230</v>
      </c>
      <c r="I2174" t="s">
        <v>322</v>
      </c>
      <c r="J2174">
        <v>1</v>
      </c>
      <c r="K2174">
        <v>5250</v>
      </c>
      <c r="L2174">
        <v>15000</v>
      </c>
      <c r="M2174">
        <v>15000</v>
      </c>
      <c r="N2174" t="s">
        <v>19</v>
      </c>
    </row>
    <row r="2175" spans="1:14" x14ac:dyDescent="0.25">
      <c r="A2175" t="str">
        <f>Table3[[#This Row],[Company Name]] &amp; " - " &amp; Table3[[#This Row],[Store Name]] &amp; " - " &amp; Table3[[#This Row],[Store Branch / Address]]</f>
        <v>CHICKEN DELI - LIAMS BEACH CAFÉ - GENERIC</v>
      </c>
      <c r="B2175" t="str">
        <f>Table3[[#This Row],[Client ID]] &amp; " - " &amp; Table3[[#This Row],[SO Number]]</f>
        <v>CHICKEN DELI - LIAMS BEACH CAFÉ - GENERIC - SO-025</v>
      </c>
      <c r="C2175" t="s">
        <v>208</v>
      </c>
      <c r="D2175" t="s">
        <v>20</v>
      </c>
      <c r="E2175" t="s">
        <v>1259</v>
      </c>
      <c r="F2175" t="s">
        <v>15</v>
      </c>
      <c r="G2175" t="s">
        <v>22</v>
      </c>
      <c r="H2175" t="s">
        <v>1230</v>
      </c>
      <c r="I2175" t="s">
        <v>170</v>
      </c>
      <c r="J2175">
        <v>1</v>
      </c>
      <c r="K2175">
        <v>15000</v>
      </c>
      <c r="L2175">
        <v>15000</v>
      </c>
      <c r="M2175">
        <v>15000</v>
      </c>
      <c r="N2175" t="s">
        <v>19</v>
      </c>
    </row>
    <row r="2176" spans="1:14" x14ac:dyDescent="0.25">
      <c r="A2176" t="str">
        <f>Table3[[#This Row],[Company Name]] &amp; " - " &amp; Table3[[#This Row],[Store Name]] &amp; " - " &amp; Table3[[#This Row],[Store Branch / Address]]</f>
        <v>CHICKEN DELI - LIAMS BEACH CAFÉ - GENERIC</v>
      </c>
      <c r="B2176" t="str">
        <f>Table3[[#This Row],[Client ID]] &amp; " - " &amp; Table3[[#This Row],[SO Number]]</f>
        <v>CHICKEN DELI - LIAMS BEACH CAFÉ - GENERIC - SO-025</v>
      </c>
      <c r="C2176" t="s">
        <v>208</v>
      </c>
      <c r="D2176" t="s">
        <v>20</v>
      </c>
      <c r="E2176" t="s">
        <v>1259</v>
      </c>
      <c r="F2176" t="s">
        <v>15</v>
      </c>
      <c r="G2176" t="s">
        <v>22</v>
      </c>
      <c r="H2176" t="s">
        <v>1230</v>
      </c>
      <c r="I2176" t="s">
        <v>24</v>
      </c>
      <c r="J2176">
        <v>1</v>
      </c>
      <c r="K2176">
        <v>15000</v>
      </c>
      <c r="L2176">
        <v>15000</v>
      </c>
      <c r="M2176">
        <v>15000</v>
      </c>
      <c r="N2176" t="s">
        <v>19</v>
      </c>
    </row>
    <row r="2177" spans="1:14" x14ac:dyDescent="0.25">
      <c r="A2177" t="str">
        <f>Table3[[#This Row],[Company Name]] &amp; " - " &amp; Table3[[#This Row],[Store Name]] &amp; " - " &amp; Table3[[#This Row],[Store Branch / Address]]</f>
        <v>CHICKEN DELI - LIAMS BEACH CAFÉ - GENERIC</v>
      </c>
      <c r="B2177" t="str">
        <f>Table3[[#This Row],[Client ID]] &amp; " - " &amp; Table3[[#This Row],[SO Number]]</f>
        <v>CHICKEN DELI - LIAMS BEACH CAFÉ - GENERIC - SO-025</v>
      </c>
      <c r="C2177" t="s">
        <v>208</v>
      </c>
      <c r="D2177" t="s">
        <v>20</v>
      </c>
      <c r="E2177" t="s">
        <v>1259</v>
      </c>
      <c r="F2177" t="s">
        <v>15</v>
      </c>
      <c r="G2177" t="s">
        <v>22</v>
      </c>
      <c r="H2177" t="s">
        <v>1230</v>
      </c>
      <c r="I2177" t="s">
        <v>316</v>
      </c>
      <c r="J2177">
        <v>1</v>
      </c>
      <c r="K2177">
        <v>500</v>
      </c>
      <c r="L2177">
        <v>500</v>
      </c>
      <c r="M2177">
        <v>500</v>
      </c>
      <c r="N2177" t="s">
        <v>19</v>
      </c>
    </row>
    <row r="2178" spans="1:14" x14ac:dyDescent="0.25">
      <c r="A2178" t="str">
        <f>Table3[[#This Row],[Company Name]] &amp; " - " &amp; Table3[[#This Row],[Store Name]] &amp; " - " &amp; Table3[[#This Row],[Store Branch / Address]]</f>
        <v>CHICKEN DELI - LIAMS BEACH CAFÉ - GENERIC</v>
      </c>
      <c r="B2178" t="str">
        <f>Table3[[#This Row],[Client ID]] &amp; " - " &amp; Table3[[#This Row],[SO Number]]</f>
        <v>CHICKEN DELI - LIAMS BEACH CAFÉ - GENERIC - SO-025</v>
      </c>
      <c r="C2178" t="s">
        <v>208</v>
      </c>
      <c r="D2178" t="s">
        <v>20</v>
      </c>
      <c r="E2178" t="s">
        <v>1259</v>
      </c>
      <c r="F2178" t="s">
        <v>15</v>
      </c>
      <c r="G2178" t="s">
        <v>22</v>
      </c>
      <c r="H2178" t="s">
        <v>1230</v>
      </c>
      <c r="I2178" t="s">
        <v>324</v>
      </c>
      <c r="J2178">
        <v>1</v>
      </c>
      <c r="K2178">
        <v>2975</v>
      </c>
      <c r="L2178">
        <v>8500</v>
      </c>
      <c r="M2178">
        <v>8500</v>
      </c>
      <c r="N2178" t="s">
        <v>19</v>
      </c>
    </row>
    <row r="2179" spans="1:14" x14ac:dyDescent="0.25">
      <c r="A2179" t="str">
        <f>Table3[[#This Row],[Company Name]] &amp; " - " &amp; Table3[[#This Row],[Store Name]] &amp; " - " &amp; Table3[[#This Row],[Store Branch / Address]]</f>
        <v>CHICKEN DELI - LIAMS BEACH CAFÉ - GENERIC</v>
      </c>
      <c r="B2179" t="str">
        <f>Table3[[#This Row],[Client ID]] &amp; " - " &amp; Table3[[#This Row],[SO Number]]</f>
        <v>CHICKEN DELI - LIAMS BEACH CAFÉ - GENERIC - SO-025</v>
      </c>
      <c r="C2179" t="s">
        <v>208</v>
      </c>
      <c r="D2179" t="s">
        <v>20</v>
      </c>
      <c r="E2179" t="s">
        <v>1259</v>
      </c>
      <c r="F2179" t="s">
        <v>15</v>
      </c>
      <c r="G2179" t="s">
        <v>22</v>
      </c>
      <c r="H2179" t="s">
        <v>1230</v>
      </c>
      <c r="I2179" t="s">
        <v>170</v>
      </c>
      <c r="J2179">
        <v>1</v>
      </c>
      <c r="K2179">
        <v>30000</v>
      </c>
      <c r="L2179">
        <v>30000</v>
      </c>
      <c r="M2179">
        <v>30000</v>
      </c>
      <c r="N2179" t="s">
        <v>19</v>
      </c>
    </row>
    <row r="2180" spans="1:14" x14ac:dyDescent="0.25">
      <c r="A2180" t="str">
        <f>Table3[[#This Row],[Company Name]] &amp; " - " &amp; Table3[[#This Row],[Store Name]] &amp; " - " &amp; Table3[[#This Row],[Store Branch / Address]]</f>
        <v>CHICKEN DELI - LIAMS BEACH CAFÉ - GENERIC</v>
      </c>
      <c r="B2180" t="str">
        <f>Table3[[#This Row],[Client ID]] &amp; " - " &amp; Table3[[#This Row],[SO Number]]</f>
        <v>CHICKEN DELI - LIAMS BEACH CAFÉ - GENERIC - SO-025</v>
      </c>
      <c r="C2180" t="s">
        <v>208</v>
      </c>
      <c r="D2180" t="s">
        <v>20</v>
      </c>
      <c r="E2180" t="s">
        <v>1259</v>
      </c>
      <c r="F2180" t="s">
        <v>15</v>
      </c>
      <c r="G2180" t="s">
        <v>22</v>
      </c>
      <c r="H2180" t="s">
        <v>1230</v>
      </c>
      <c r="I2180" t="s">
        <v>24</v>
      </c>
      <c r="J2180">
        <v>1</v>
      </c>
      <c r="K2180">
        <v>30000</v>
      </c>
      <c r="L2180">
        <v>30000</v>
      </c>
      <c r="M2180">
        <v>30000</v>
      </c>
      <c r="N2180" t="s">
        <v>19</v>
      </c>
    </row>
    <row r="2181" spans="1:14" x14ac:dyDescent="0.25">
      <c r="A2181" t="str">
        <f>Table3[[#This Row],[Company Name]] &amp; " - " &amp; Table3[[#This Row],[Store Name]] &amp; " - " &amp; Table3[[#This Row],[Store Branch / Address]]</f>
        <v>CHICKEN DELI - LIAMS BEACH CAFÉ - GENERIC</v>
      </c>
      <c r="B2181" t="str">
        <f>Table3[[#This Row],[Client ID]] &amp; " - " &amp; Table3[[#This Row],[SO Number]]</f>
        <v>CHICKEN DELI - LIAMS BEACH CAFÉ - GENERIC - SO-025</v>
      </c>
      <c r="C2181" t="s">
        <v>208</v>
      </c>
      <c r="D2181" t="s">
        <v>20</v>
      </c>
      <c r="E2181" t="s">
        <v>1259</v>
      </c>
      <c r="F2181" t="s">
        <v>15</v>
      </c>
      <c r="G2181" t="s">
        <v>22</v>
      </c>
      <c r="H2181" t="s">
        <v>1230</v>
      </c>
      <c r="I2181" t="s">
        <v>325</v>
      </c>
      <c r="J2181">
        <v>1</v>
      </c>
      <c r="K2181">
        <v>24300</v>
      </c>
      <c r="L2181">
        <v>35000</v>
      </c>
      <c r="M2181">
        <v>35000</v>
      </c>
      <c r="N2181" t="s">
        <v>19</v>
      </c>
    </row>
    <row r="2182" spans="1:14" x14ac:dyDescent="0.25">
      <c r="A2182" t="str">
        <f>Table3[[#This Row],[Company Name]] &amp; " - " &amp; Table3[[#This Row],[Store Name]] &amp; " - " &amp; Table3[[#This Row],[Store Branch / Address]]</f>
        <v>CHICKEN DELI - LIAMS BEACH CAFÉ - GENERIC</v>
      </c>
      <c r="B2182" t="str">
        <f>Table3[[#This Row],[Client ID]] &amp; " - " &amp; Table3[[#This Row],[SO Number]]</f>
        <v>CHICKEN DELI - LIAMS BEACH CAFÉ - GENERIC - SO-025</v>
      </c>
      <c r="C2182" t="s">
        <v>208</v>
      </c>
      <c r="D2182" t="s">
        <v>20</v>
      </c>
      <c r="E2182" t="s">
        <v>1259</v>
      </c>
      <c r="F2182" t="s">
        <v>15</v>
      </c>
      <c r="G2182" t="s">
        <v>22</v>
      </c>
      <c r="H2182" t="s">
        <v>1230</v>
      </c>
      <c r="I2182" t="s">
        <v>116</v>
      </c>
      <c r="J2182">
        <v>1</v>
      </c>
      <c r="K2182">
        <v>1350</v>
      </c>
      <c r="L2182">
        <v>2000</v>
      </c>
      <c r="M2182">
        <v>2000</v>
      </c>
      <c r="N2182" t="s">
        <v>19</v>
      </c>
    </row>
    <row r="2183" spans="1:14" x14ac:dyDescent="0.25">
      <c r="A2183" t="str">
        <f>Table3[[#This Row],[Company Name]] &amp; " - " &amp; Table3[[#This Row],[Store Name]] &amp; " - " &amp; Table3[[#This Row],[Store Branch / Address]]</f>
        <v>CHICKEN DELI - LIAMS BEACH CAFÉ - GENERIC</v>
      </c>
      <c r="B2183" t="str">
        <f>Table3[[#This Row],[Client ID]] &amp; " - " &amp; Table3[[#This Row],[SO Number]]</f>
        <v>CHICKEN DELI - LIAMS BEACH CAFÉ - GENERIC - SO-025</v>
      </c>
      <c r="C2183" t="s">
        <v>208</v>
      </c>
      <c r="D2183" t="s">
        <v>20</v>
      </c>
      <c r="E2183" t="s">
        <v>1259</v>
      </c>
      <c r="F2183" t="s">
        <v>15</v>
      </c>
      <c r="G2183" t="s">
        <v>22</v>
      </c>
      <c r="H2183" t="s">
        <v>1230</v>
      </c>
      <c r="I2183" t="s">
        <v>814</v>
      </c>
      <c r="J2183">
        <v>1</v>
      </c>
      <c r="K2183">
        <v>7500</v>
      </c>
      <c r="L2183">
        <v>10200</v>
      </c>
      <c r="M2183">
        <v>10200</v>
      </c>
      <c r="N2183" t="s">
        <v>19</v>
      </c>
    </row>
    <row r="2184" spans="1:14" x14ac:dyDescent="0.25">
      <c r="A2184" t="str">
        <f>Table3[[#This Row],[Company Name]] &amp; " - " &amp; Table3[[#This Row],[Store Name]] &amp; " - " &amp; Table3[[#This Row],[Store Branch / Address]]</f>
        <v>CHICKEN DELI - LIAMS BEACH CAFÉ - GENERIC</v>
      </c>
      <c r="B2184" t="str">
        <f>Table3[[#This Row],[Client ID]] &amp; " - " &amp; Table3[[#This Row],[SO Number]]</f>
        <v>CHICKEN DELI - LIAMS BEACH CAFÉ - GENERIC - SO-025</v>
      </c>
      <c r="C2184" t="s">
        <v>208</v>
      </c>
      <c r="D2184" t="s">
        <v>20</v>
      </c>
      <c r="E2184" t="s">
        <v>1259</v>
      </c>
      <c r="F2184" t="s">
        <v>15</v>
      </c>
      <c r="G2184" t="s">
        <v>22</v>
      </c>
      <c r="H2184" t="s">
        <v>1230</v>
      </c>
      <c r="I2184" t="s">
        <v>761</v>
      </c>
      <c r="J2184">
        <v>1</v>
      </c>
      <c r="K2184">
        <v>8500</v>
      </c>
      <c r="L2184">
        <v>12000</v>
      </c>
      <c r="M2184">
        <v>12000</v>
      </c>
      <c r="N2184" t="s">
        <v>19</v>
      </c>
    </row>
    <row r="2185" spans="1:14" x14ac:dyDescent="0.25">
      <c r="A2185" t="str">
        <f>Table3[[#This Row],[Company Name]] &amp; " - " &amp; Table3[[#This Row],[Store Name]] &amp; " - " &amp; Table3[[#This Row],[Store Branch / Address]]</f>
        <v>CHICKEN DELI - LIAMS BEACH CAFÉ - GENERIC</v>
      </c>
      <c r="B2185" t="str">
        <f>Table3[[#This Row],[Client ID]] &amp; " - " &amp; Table3[[#This Row],[SO Number]]</f>
        <v>CHICKEN DELI - LIAMS BEACH CAFÉ - GENERIC - SO-025</v>
      </c>
      <c r="C2185" t="s">
        <v>208</v>
      </c>
      <c r="D2185" t="s">
        <v>20</v>
      </c>
      <c r="E2185" t="s">
        <v>1259</v>
      </c>
      <c r="F2185" t="s">
        <v>15</v>
      </c>
      <c r="G2185" t="s">
        <v>22</v>
      </c>
      <c r="H2185" t="s">
        <v>1230</v>
      </c>
      <c r="I2185" t="s">
        <v>328</v>
      </c>
      <c r="J2185">
        <v>1</v>
      </c>
      <c r="K2185">
        <v>24450</v>
      </c>
      <c r="L2185">
        <v>34000</v>
      </c>
      <c r="M2185">
        <v>34000</v>
      </c>
      <c r="N2185" t="s">
        <v>19</v>
      </c>
    </row>
    <row r="2186" spans="1:14" x14ac:dyDescent="0.25">
      <c r="A2186" t="str">
        <f>Table3[[#This Row],[Company Name]] &amp; " - " &amp; Table3[[#This Row],[Store Name]] &amp; " - " &amp; Table3[[#This Row],[Store Branch / Address]]</f>
        <v>CHICKEN DELI - LIAMS BEACH CAFÉ - GENERIC</v>
      </c>
      <c r="B2186" t="str">
        <f>Table3[[#This Row],[Client ID]] &amp; " - " &amp; Table3[[#This Row],[SO Number]]</f>
        <v>CHICKEN DELI - LIAMS BEACH CAFÉ - GENERIC - SO-025</v>
      </c>
      <c r="C2186" t="s">
        <v>208</v>
      </c>
      <c r="D2186" t="s">
        <v>20</v>
      </c>
      <c r="E2186" t="s">
        <v>1259</v>
      </c>
      <c r="F2186" t="s">
        <v>15</v>
      </c>
      <c r="G2186" t="s">
        <v>22</v>
      </c>
      <c r="H2186" t="s">
        <v>1230</v>
      </c>
      <c r="I2186" t="s">
        <v>329</v>
      </c>
      <c r="J2186">
        <v>1</v>
      </c>
      <c r="K2186">
        <v>3195</v>
      </c>
      <c r="L2186">
        <v>4500</v>
      </c>
      <c r="M2186">
        <v>4500</v>
      </c>
      <c r="N2186" t="s">
        <v>19</v>
      </c>
    </row>
    <row r="2187" spans="1:14" x14ac:dyDescent="0.25">
      <c r="A2187" t="str">
        <f>Table3[[#This Row],[Company Name]] &amp; " - " &amp; Table3[[#This Row],[Store Name]] &amp; " - " &amp; Table3[[#This Row],[Store Branch / Address]]</f>
        <v>CHICKEN DELI - LIAMS BEACH CAFÉ - GENERIC</v>
      </c>
      <c r="B2187" t="str">
        <f>Table3[[#This Row],[Client ID]] &amp; " - " &amp; Table3[[#This Row],[SO Number]]</f>
        <v>CHICKEN DELI - LIAMS BEACH CAFÉ - GENERIC - SO-025</v>
      </c>
      <c r="C2187" t="s">
        <v>208</v>
      </c>
      <c r="D2187" t="s">
        <v>20</v>
      </c>
      <c r="E2187" t="s">
        <v>1259</v>
      </c>
      <c r="F2187" t="s">
        <v>15</v>
      </c>
      <c r="G2187" t="s">
        <v>22</v>
      </c>
      <c r="H2187" t="s">
        <v>1230</v>
      </c>
      <c r="I2187" t="s">
        <v>76</v>
      </c>
      <c r="J2187">
        <v>1</v>
      </c>
      <c r="K2187">
        <v>500</v>
      </c>
      <c r="L2187">
        <v>500</v>
      </c>
      <c r="M2187">
        <v>500</v>
      </c>
      <c r="N2187" t="s">
        <v>19</v>
      </c>
    </row>
    <row r="2188" spans="1:14" x14ac:dyDescent="0.25">
      <c r="A2188" t="str">
        <f>Table3[[#This Row],[Company Name]] &amp; " - " &amp; Table3[[#This Row],[Store Name]] &amp; " - " &amp; Table3[[#This Row],[Store Branch / Address]]</f>
        <v>CHICKEN DELI - LIAMS BEACH CAFÉ - GENERIC</v>
      </c>
      <c r="B2188" t="str">
        <f>Table3[[#This Row],[Client ID]] &amp; " - " &amp; Table3[[#This Row],[SO Number]]</f>
        <v>CHICKEN DELI - LIAMS BEACH CAFÉ - GENERIC - SO-025</v>
      </c>
      <c r="C2188" t="s">
        <v>208</v>
      </c>
      <c r="D2188" t="s">
        <v>20</v>
      </c>
      <c r="E2188" t="s">
        <v>1259</v>
      </c>
      <c r="F2188" t="s">
        <v>15</v>
      </c>
      <c r="G2188" t="s">
        <v>22</v>
      </c>
      <c r="H2188" t="s">
        <v>1230</v>
      </c>
      <c r="I2188" t="s">
        <v>331</v>
      </c>
      <c r="J2188">
        <v>1</v>
      </c>
      <c r="K2188">
        <v>36000</v>
      </c>
      <c r="L2188">
        <v>36000</v>
      </c>
      <c r="M2188">
        <v>36000</v>
      </c>
      <c r="N2188" t="s">
        <v>19</v>
      </c>
    </row>
    <row r="2189" spans="1:14" x14ac:dyDescent="0.25">
      <c r="A2189" t="str">
        <f>Table3[[#This Row],[Company Name]] &amp; " - " &amp; Table3[[#This Row],[Store Name]] &amp; " - " &amp; Table3[[#This Row],[Store Branch / Address]]</f>
        <v>CHICKEN DELI - LIAMS BEACH CAFÉ - GENERIC</v>
      </c>
      <c r="B2189" t="str">
        <f>Table3[[#This Row],[Client ID]] &amp; " - " &amp; Table3[[#This Row],[SO Number]]</f>
        <v>CHICKEN DELI - LIAMS BEACH CAFÉ - GENERIC - SO-025</v>
      </c>
      <c r="C2189" t="s">
        <v>208</v>
      </c>
      <c r="D2189" t="s">
        <v>20</v>
      </c>
      <c r="E2189" t="s">
        <v>1259</v>
      </c>
      <c r="F2189" t="s">
        <v>15</v>
      </c>
      <c r="G2189" t="s">
        <v>22</v>
      </c>
      <c r="H2189" t="s">
        <v>1230</v>
      </c>
      <c r="I2189" t="s">
        <v>692</v>
      </c>
      <c r="J2189">
        <v>1</v>
      </c>
      <c r="K2189">
        <v>550</v>
      </c>
      <c r="L2189">
        <v>800</v>
      </c>
      <c r="M2189">
        <v>800</v>
      </c>
      <c r="N2189" t="s">
        <v>19</v>
      </c>
    </row>
    <row r="2190" spans="1:14" x14ac:dyDescent="0.25">
      <c r="A2190" t="str">
        <f>Table3[[#This Row],[Company Name]] &amp; " - " &amp; Table3[[#This Row],[Store Name]] &amp; " - " &amp; Table3[[#This Row],[Store Branch / Address]]</f>
        <v>CHICKEN DELI - ISSY &amp;CO. - GENERIC</v>
      </c>
      <c r="B2190" t="str">
        <f>Table3[[#This Row],[Client ID]] &amp; " - " &amp; Table3[[#This Row],[SO Number]]</f>
        <v>CHICKEN DELI - ISSY &amp;CO. - GENERIC - SO-026</v>
      </c>
      <c r="C2190" t="s">
        <v>212</v>
      </c>
      <c r="D2190" t="s">
        <v>20</v>
      </c>
      <c r="E2190" t="s">
        <v>132</v>
      </c>
      <c r="F2190" t="s">
        <v>15</v>
      </c>
      <c r="G2190" t="s">
        <v>22</v>
      </c>
      <c r="H2190" t="s">
        <v>1230</v>
      </c>
      <c r="I2190" t="s">
        <v>133</v>
      </c>
      <c r="J2190">
        <v>1</v>
      </c>
      <c r="K2190">
        <v>3675</v>
      </c>
      <c r="L2190">
        <v>10500</v>
      </c>
      <c r="M2190">
        <v>10500</v>
      </c>
      <c r="N2190" t="s">
        <v>19</v>
      </c>
    </row>
    <row r="2191" spans="1:14" x14ac:dyDescent="0.25">
      <c r="A2191" t="str">
        <f>Table3[[#This Row],[Company Name]] &amp; " - " &amp; Table3[[#This Row],[Store Name]] &amp; " - " &amp; Table3[[#This Row],[Store Branch / Address]]</f>
        <v>CHICKEN DELI - ISSY &amp;CO. - GENERIC</v>
      </c>
      <c r="B2191" t="str">
        <f>Table3[[#This Row],[Client ID]] &amp; " - " &amp; Table3[[#This Row],[SO Number]]</f>
        <v>CHICKEN DELI - ISSY &amp;CO. - GENERIC - SO-026</v>
      </c>
      <c r="C2191" t="s">
        <v>212</v>
      </c>
      <c r="D2191" t="s">
        <v>20</v>
      </c>
      <c r="E2191" t="s">
        <v>132</v>
      </c>
      <c r="F2191" t="s">
        <v>15</v>
      </c>
      <c r="G2191" t="s">
        <v>22</v>
      </c>
      <c r="H2191" t="s">
        <v>1230</v>
      </c>
      <c r="I2191" t="s">
        <v>25</v>
      </c>
      <c r="J2191">
        <v>1</v>
      </c>
      <c r="K2191">
        <v>12100</v>
      </c>
      <c r="L2191">
        <v>12100</v>
      </c>
      <c r="M2191">
        <v>12100</v>
      </c>
      <c r="N2191" t="s">
        <v>19</v>
      </c>
    </row>
    <row r="2192" spans="1:14" x14ac:dyDescent="0.25">
      <c r="A2192" t="str">
        <f>Table3[[#This Row],[Company Name]] &amp; " - " &amp; Table3[[#This Row],[Store Name]] &amp; " - " &amp; Table3[[#This Row],[Store Branch / Address]]</f>
        <v>CHICKEN DELI - ISSY &amp;CO. - GENERIC</v>
      </c>
      <c r="B2192" t="str">
        <f>Table3[[#This Row],[Client ID]] &amp; " - " &amp; Table3[[#This Row],[SO Number]]</f>
        <v>CHICKEN DELI - ISSY &amp;CO. - GENERIC - SO-026</v>
      </c>
      <c r="C2192" t="s">
        <v>212</v>
      </c>
      <c r="D2192" t="s">
        <v>20</v>
      </c>
      <c r="E2192" t="s">
        <v>132</v>
      </c>
      <c r="F2192" t="s">
        <v>15</v>
      </c>
      <c r="G2192" t="s">
        <v>22</v>
      </c>
      <c r="H2192" t="s">
        <v>1230</v>
      </c>
      <c r="I2192" t="s">
        <v>24</v>
      </c>
      <c r="J2192">
        <v>1</v>
      </c>
      <c r="K2192">
        <v>12100</v>
      </c>
      <c r="L2192">
        <v>12100</v>
      </c>
      <c r="M2192">
        <v>12100</v>
      </c>
      <c r="N2192" t="s">
        <v>19</v>
      </c>
    </row>
    <row r="2193" spans="1:14" x14ac:dyDescent="0.25">
      <c r="A2193" t="str">
        <f>Table3[[#This Row],[Company Name]] &amp; " - " &amp; Table3[[#This Row],[Store Name]] &amp; " - " &amp; Table3[[#This Row],[Store Branch / Address]]</f>
        <v>CHICKEN DELI - ISSY &amp;CO. - GENERIC</v>
      </c>
      <c r="B2193" t="str">
        <f>Table3[[#This Row],[Client ID]] &amp; " - " &amp; Table3[[#This Row],[SO Number]]</f>
        <v>CHICKEN DELI - ISSY &amp;CO. - GENERIC - SO-026</v>
      </c>
      <c r="C2193" t="s">
        <v>212</v>
      </c>
      <c r="D2193" t="s">
        <v>20</v>
      </c>
      <c r="E2193" t="s">
        <v>132</v>
      </c>
      <c r="F2193" t="s">
        <v>15</v>
      </c>
      <c r="G2193" t="s">
        <v>22</v>
      </c>
      <c r="H2193" t="s">
        <v>1230</v>
      </c>
      <c r="I2193" t="s">
        <v>134</v>
      </c>
      <c r="J2193">
        <v>1</v>
      </c>
      <c r="K2193">
        <v>500</v>
      </c>
      <c r="L2193">
        <v>500</v>
      </c>
      <c r="M2193">
        <v>500</v>
      </c>
      <c r="N2193" t="s">
        <v>19</v>
      </c>
    </row>
    <row r="2194" spans="1:14" x14ac:dyDescent="0.25">
      <c r="A2194" t="str">
        <f>Table3[[#This Row],[Company Name]] &amp; " - " &amp; Table3[[#This Row],[Store Name]] &amp; " - " &amp; Table3[[#This Row],[Store Branch / Address]]</f>
        <v>CHICKEN DELI - ISSY &amp;CO. - GENERIC</v>
      </c>
      <c r="B2194" t="str">
        <f>Table3[[#This Row],[Client ID]] &amp; " - " &amp; Table3[[#This Row],[SO Number]]</f>
        <v>CHICKEN DELI - ISSY &amp;CO. - GENERIC - SO-026</v>
      </c>
      <c r="C2194" t="s">
        <v>212</v>
      </c>
      <c r="D2194" t="s">
        <v>20</v>
      </c>
      <c r="E2194" t="s">
        <v>132</v>
      </c>
      <c r="F2194" t="s">
        <v>15</v>
      </c>
      <c r="G2194" t="s">
        <v>22</v>
      </c>
      <c r="H2194" t="s">
        <v>1230</v>
      </c>
      <c r="I2194" t="s">
        <v>98</v>
      </c>
      <c r="J2194">
        <v>1</v>
      </c>
      <c r="K2194">
        <v>935</v>
      </c>
      <c r="L2194">
        <v>1300</v>
      </c>
      <c r="M2194">
        <v>1300</v>
      </c>
      <c r="N2194" t="s">
        <v>19</v>
      </c>
    </row>
    <row r="2195" spans="1:14" x14ac:dyDescent="0.25">
      <c r="A2195" t="str">
        <f>Table3[[#This Row],[Company Name]] &amp; " - " &amp; Table3[[#This Row],[Store Name]] &amp; " - " &amp; Table3[[#This Row],[Store Branch / Address]]</f>
        <v>CHICKEN DELI - ISSY &amp;CO. - GENERIC</v>
      </c>
      <c r="B2195" t="str">
        <f>Table3[[#This Row],[Client ID]] &amp; " - " &amp; Table3[[#This Row],[SO Number]]</f>
        <v>CHICKEN DELI - ISSY &amp;CO. - GENERIC - SO-026</v>
      </c>
      <c r="C2195" t="s">
        <v>212</v>
      </c>
      <c r="D2195" t="s">
        <v>20</v>
      </c>
      <c r="E2195" t="s">
        <v>132</v>
      </c>
      <c r="F2195" t="s">
        <v>15</v>
      </c>
      <c r="G2195" t="s">
        <v>22</v>
      </c>
      <c r="H2195" t="s">
        <v>1230</v>
      </c>
      <c r="I2195" t="s">
        <v>1260</v>
      </c>
      <c r="J2195">
        <v>1</v>
      </c>
      <c r="K2195">
        <v>24640</v>
      </c>
      <c r="L2195">
        <v>35200</v>
      </c>
      <c r="M2195">
        <v>35200</v>
      </c>
      <c r="N2195" t="s">
        <v>19</v>
      </c>
    </row>
    <row r="2196" spans="1:14" x14ac:dyDescent="0.25">
      <c r="A2196" t="str">
        <f>Table3[[#This Row],[Company Name]] &amp; " - " &amp; Table3[[#This Row],[Store Name]] &amp; " - " &amp; Table3[[#This Row],[Store Branch / Address]]</f>
        <v>CHICKEN DELI - ISSY &amp;CO. - GENERIC</v>
      </c>
      <c r="B2196" t="str">
        <f>Table3[[#This Row],[Client ID]] &amp; " - " &amp; Table3[[#This Row],[SO Number]]</f>
        <v>CHICKEN DELI - ISSY &amp;CO. - GENERIC - SO-026</v>
      </c>
      <c r="C2196" t="s">
        <v>212</v>
      </c>
      <c r="D2196" t="s">
        <v>20</v>
      </c>
      <c r="E2196" t="s">
        <v>132</v>
      </c>
      <c r="F2196" t="s">
        <v>15</v>
      </c>
      <c r="G2196" t="s">
        <v>22</v>
      </c>
      <c r="H2196" t="s">
        <v>1230</v>
      </c>
      <c r="I2196" t="s">
        <v>76</v>
      </c>
      <c r="J2196">
        <v>1</v>
      </c>
      <c r="K2196">
        <v>500</v>
      </c>
      <c r="L2196">
        <v>500</v>
      </c>
      <c r="M2196">
        <v>500</v>
      </c>
      <c r="N2196" t="s">
        <v>19</v>
      </c>
    </row>
    <row r="2197" spans="1:14" x14ac:dyDescent="0.25">
      <c r="A2197" t="str">
        <f>Table3[[#This Row],[Company Name]] &amp; " - " &amp; Table3[[#This Row],[Store Name]] &amp; " - " &amp; Table3[[#This Row],[Store Branch / Address]]</f>
        <v>CHICKEN DELI - ISSY &amp;CO. - GENERIC</v>
      </c>
      <c r="B2197" t="str">
        <f>Table3[[#This Row],[Client ID]] &amp; " - " &amp; Table3[[#This Row],[SO Number]]</f>
        <v>CHICKEN DELI - ISSY &amp;CO. - GENERIC - SO-026</v>
      </c>
      <c r="C2197" t="s">
        <v>212</v>
      </c>
      <c r="D2197" t="s">
        <v>20</v>
      </c>
      <c r="E2197" t="s">
        <v>132</v>
      </c>
      <c r="F2197" t="s">
        <v>15</v>
      </c>
      <c r="G2197" t="s">
        <v>22</v>
      </c>
      <c r="H2197" t="s">
        <v>1230</v>
      </c>
      <c r="I2197" t="s">
        <v>210</v>
      </c>
      <c r="J2197">
        <v>1</v>
      </c>
      <c r="K2197">
        <v>880</v>
      </c>
      <c r="L2197">
        <v>1300</v>
      </c>
      <c r="M2197">
        <v>1300</v>
      </c>
      <c r="N2197" t="s">
        <v>19</v>
      </c>
    </row>
    <row r="2198" spans="1:14" x14ac:dyDescent="0.25">
      <c r="A2198" t="str">
        <f>Table3[[#This Row],[Company Name]] &amp; " - " &amp; Table3[[#This Row],[Store Name]] &amp; " - " &amp; Table3[[#This Row],[Store Branch / Address]]</f>
        <v>CHICKEN DELI - M &amp; W - GENERIC</v>
      </c>
      <c r="B2198" t="str">
        <f>Table3[[#This Row],[Client ID]] &amp; " - " &amp; Table3[[#This Row],[SO Number]]</f>
        <v>CHICKEN DELI - M &amp; W - GENERIC - SO-027</v>
      </c>
      <c r="C2198" t="s">
        <v>215</v>
      </c>
      <c r="D2198" t="s">
        <v>20</v>
      </c>
      <c r="E2198" t="s">
        <v>192</v>
      </c>
      <c r="F2198" t="s">
        <v>15</v>
      </c>
      <c r="G2198" t="s">
        <v>22</v>
      </c>
      <c r="H2198" t="s">
        <v>1230</v>
      </c>
      <c r="I2198" t="s">
        <v>1264</v>
      </c>
      <c r="J2198">
        <v>4</v>
      </c>
      <c r="K2198">
        <v>18000</v>
      </c>
      <c r="L2198">
        <v>25000</v>
      </c>
      <c r="M2198">
        <v>100000</v>
      </c>
      <c r="N2198" t="s">
        <v>19</v>
      </c>
    </row>
    <row r="2199" spans="1:14" x14ac:dyDescent="0.25">
      <c r="A2199" t="str">
        <f>Table3[[#This Row],[Company Name]] &amp; " - " &amp; Table3[[#This Row],[Store Name]] &amp; " - " &amp; Table3[[#This Row],[Store Branch / Address]]</f>
        <v>CHICKEN DELI - M &amp; W - GENERIC</v>
      </c>
      <c r="B2199" t="str">
        <f>Table3[[#This Row],[Client ID]] &amp; " - " &amp; Table3[[#This Row],[SO Number]]</f>
        <v>CHICKEN DELI - M &amp; W - GENERIC - SO-027</v>
      </c>
      <c r="C2199" t="s">
        <v>215</v>
      </c>
      <c r="D2199" t="s">
        <v>20</v>
      </c>
      <c r="E2199" t="s">
        <v>192</v>
      </c>
      <c r="F2199" t="s">
        <v>15</v>
      </c>
      <c r="G2199" t="s">
        <v>22</v>
      </c>
      <c r="H2199" t="s">
        <v>1230</v>
      </c>
      <c r="I2199" t="s">
        <v>1265</v>
      </c>
      <c r="J2199">
        <v>1</v>
      </c>
      <c r="K2199">
        <v>23500</v>
      </c>
      <c r="L2199">
        <v>28000</v>
      </c>
      <c r="M2199">
        <v>28000</v>
      </c>
      <c r="N2199" t="s">
        <v>19</v>
      </c>
    </row>
    <row r="2200" spans="1:14" x14ac:dyDescent="0.25">
      <c r="A2200" t="str">
        <f>Table3[[#This Row],[Company Name]] &amp; " - " &amp; Table3[[#This Row],[Store Name]] &amp; " - " &amp; Table3[[#This Row],[Store Branch / Address]]</f>
        <v>CHICKEN DELI - M &amp; W - GENERIC</v>
      </c>
      <c r="B2200" t="str">
        <f>Table3[[#This Row],[Client ID]] &amp; " - " &amp; Table3[[#This Row],[SO Number]]</f>
        <v>CHICKEN DELI - M &amp; W - GENERIC - SO-027</v>
      </c>
      <c r="C2200" t="s">
        <v>215</v>
      </c>
      <c r="D2200" t="s">
        <v>20</v>
      </c>
      <c r="E2200" t="s">
        <v>192</v>
      </c>
      <c r="F2200" t="s">
        <v>15</v>
      </c>
      <c r="G2200" t="s">
        <v>22</v>
      </c>
      <c r="H2200" t="s">
        <v>1230</v>
      </c>
      <c r="I2200" t="s">
        <v>722</v>
      </c>
      <c r="J2200">
        <v>1</v>
      </c>
      <c r="K2200">
        <v>3500</v>
      </c>
      <c r="L2200">
        <v>10000</v>
      </c>
      <c r="M2200">
        <v>10000</v>
      </c>
      <c r="N2200" t="s">
        <v>19</v>
      </c>
    </row>
    <row r="2201" spans="1:14" x14ac:dyDescent="0.25">
      <c r="A2201" t="str">
        <f>Table3[[#This Row],[Company Name]] &amp; " - " &amp; Table3[[#This Row],[Store Name]] &amp; " - " &amp; Table3[[#This Row],[Store Branch / Address]]</f>
        <v>CHICKEN DELI - M &amp; W - GENERIC</v>
      </c>
      <c r="B2201" t="str">
        <f>Table3[[#This Row],[Client ID]] &amp; " - " &amp; Table3[[#This Row],[SO Number]]</f>
        <v>CHICKEN DELI - M &amp; W - GENERIC - SO-027</v>
      </c>
      <c r="C2201" t="s">
        <v>215</v>
      </c>
      <c r="D2201" t="s">
        <v>20</v>
      </c>
      <c r="E2201" t="s">
        <v>192</v>
      </c>
      <c r="F2201" t="s">
        <v>15</v>
      </c>
      <c r="G2201" t="s">
        <v>22</v>
      </c>
      <c r="H2201" t="s">
        <v>1230</v>
      </c>
      <c r="I2201" t="s">
        <v>170</v>
      </c>
      <c r="J2201">
        <v>1</v>
      </c>
      <c r="K2201">
        <v>13500</v>
      </c>
      <c r="L2201">
        <v>13500</v>
      </c>
      <c r="M2201">
        <v>13500</v>
      </c>
      <c r="N2201" t="s">
        <v>19</v>
      </c>
    </row>
    <row r="2202" spans="1:14" x14ac:dyDescent="0.25">
      <c r="A2202" t="str">
        <f>Table3[[#This Row],[Company Name]] &amp; " - " &amp; Table3[[#This Row],[Store Name]] &amp; " - " &amp; Table3[[#This Row],[Store Branch / Address]]</f>
        <v>CHICKEN DELI - M &amp; W - GENERIC</v>
      </c>
      <c r="B2202" t="str">
        <f>Table3[[#This Row],[Client ID]] &amp; " - " &amp; Table3[[#This Row],[SO Number]]</f>
        <v>CHICKEN DELI - M &amp; W - GENERIC - SO-027</v>
      </c>
      <c r="C2202" t="s">
        <v>215</v>
      </c>
      <c r="D2202" t="s">
        <v>20</v>
      </c>
      <c r="E2202" t="s">
        <v>192</v>
      </c>
      <c r="F2202" t="s">
        <v>15</v>
      </c>
      <c r="G2202" t="s">
        <v>22</v>
      </c>
      <c r="H2202" t="s">
        <v>1230</v>
      </c>
      <c r="I2202" t="s">
        <v>24</v>
      </c>
      <c r="J2202">
        <v>1</v>
      </c>
      <c r="K2202">
        <v>13500</v>
      </c>
      <c r="L2202">
        <v>13500</v>
      </c>
      <c r="M2202">
        <v>13500</v>
      </c>
      <c r="N2202" t="s">
        <v>19</v>
      </c>
    </row>
    <row r="2203" spans="1:14" x14ac:dyDescent="0.25">
      <c r="A2203" t="str">
        <f>Table3[[#This Row],[Company Name]] &amp; " - " &amp; Table3[[#This Row],[Store Name]] &amp; " - " &amp; Table3[[#This Row],[Store Branch / Address]]</f>
        <v>CHICKEN DELI - M &amp; W - GENERIC</v>
      </c>
      <c r="B2203" t="str">
        <f>Table3[[#This Row],[Client ID]] &amp; " - " &amp; Table3[[#This Row],[SO Number]]</f>
        <v>CHICKEN DELI - M &amp; W - GENERIC - SO-027</v>
      </c>
      <c r="C2203" t="s">
        <v>215</v>
      </c>
      <c r="D2203" t="s">
        <v>20</v>
      </c>
      <c r="E2203" t="s">
        <v>192</v>
      </c>
      <c r="F2203" t="s">
        <v>15</v>
      </c>
      <c r="G2203" t="s">
        <v>22</v>
      </c>
      <c r="H2203" t="s">
        <v>1230</v>
      </c>
      <c r="I2203" t="s">
        <v>723</v>
      </c>
      <c r="J2203">
        <v>4</v>
      </c>
      <c r="K2203">
        <v>21000</v>
      </c>
      <c r="L2203">
        <v>60000</v>
      </c>
      <c r="M2203">
        <v>240000</v>
      </c>
      <c r="N2203" t="s">
        <v>19</v>
      </c>
    </row>
    <row r="2204" spans="1:14" x14ac:dyDescent="0.25">
      <c r="A2204" t="str">
        <f>Table3[[#This Row],[Company Name]] &amp; " - " &amp; Table3[[#This Row],[Store Name]] &amp; " - " &amp; Table3[[#This Row],[Store Branch / Address]]</f>
        <v>CHICKEN DELI - M &amp; W - GENERIC</v>
      </c>
      <c r="B2204" t="str">
        <f>Table3[[#This Row],[Client ID]] &amp; " - " &amp; Table3[[#This Row],[SO Number]]</f>
        <v>CHICKEN DELI - M &amp; W - GENERIC - SO-027</v>
      </c>
      <c r="C2204" t="s">
        <v>215</v>
      </c>
      <c r="D2204" t="s">
        <v>20</v>
      </c>
      <c r="E2204" t="s">
        <v>192</v>
      </c>
      <c r="F2204" t="s">
        <v>15</v>
      </c>
      <c r="G2204" t="s">
        <v>22</v>
      </c>
      <c r="H2204" t="s">
        <v>1230</v>
      </c>
      <c r="I2204" t="s">
        <v>170</v>
      </c>
      <c r="J2204">
        <v>4</v>
      </c>
      <c r="K2204">
        <v>15000</v>
      </c>
      <c r="L2204">
        <v>15000</v>
      </c>
      <c r="M2204">
        <v>60000</v>
      </c>
      <c r="N2204" t="s">
        <v>19</v>
      </c>
    </row>
    <row r="2205" spans="1:14" x14ac:dyDescent="0.25">
      <c r="A2205" t="str">
        <f>Table3[[#This Row],[Company Name]] &amp; " - " &amp; Table3[[#This Row],[Store Name]] &amp; " - " &amp; Table3[[#This Row],[Store Branch / Address]]</f>
        <v>CHICKEN DELI - M &amp; W - GENERIC</v>
      </c>
      <c r="B2205" t="str">
        <f>Table3[[#This Row],[Client ID]] &amp; " - " &amp; Table3[[#This Row],[SO Number]]</f>
        <v>CHICKEN DELI - M &amp; W - GENERIC - SO-027</v>
      </c>
      <c r="C2205" t="s">
        <v>215</v>
      </c>
      <c r="D2205" t="s">
        <v>20</v>
      </c>
      <c r="E2205" t="s">
        <v>192</v>
      </c>
      <c r="F2205" t="s">
        <v>15</v>
      </c>
      <c r="G2205" t="s">
        <v>22</v>
      </c>
      <c r="H2205" t="s">
        <v>1230</v>
      </c>
      <c r="I2205" t="s">
        <v>24</v>
      </c>
      <c r="J2205">
        <v>4</v>
      </c>
      <c r="K2205">
        <v>15000</v>
      </c>
      <c r="L2205">
        <v>15000</v>
      </c>
      <c r="M2205">
        <v>60000</v>
      </c>
      <c r="N2205" t="s">
        <v>19</v>
      </c>
    </row>
    <row r="2206" spans="1:14" x14ac:dyDescent="0.25">
      <c r="A2206" t="str">
        <f>Table3[[#This Row],[Company Name]] &amp; " - " &amp; Table3[[#This Row],[Store Name]] &amp; " - " &amp; Table3[[#This Row],[Store Branch / Address]]</f>
        <v>CHICKEN DELI - M &amp; W - GENERIC</v>
      </c>
      <c r="B2206" t="str">
        <f>Table3[[#This Row],[Client ID]] &amp; " - " &amp; Table3[[#This Row],[SO Number]]</f>
        <v>CHICKEN DELI - M &amp; W - GENERIC - SO-027</v>
      </c>
      <c r="C2206" t="s">
        <v>215</v>
      </c>
      <c r="D2206" t="s">
        <v>20</v>
      </c>
      <c r="E2206" t="s">
        <v>192</v>
      </c>
      <c r="F2206" t="s">
        <v>15</v>
      </c>
      <c r="G2206" t="s">
        <v>22</v>
      </c>
      <c r="H2206" t="s">
        <v>1230</v>
      </c>
      <c r="I2206" t="s">
        <v>99</v>
      </c>
      <c r="J2206">
        <v>5</v>
      </c>
      <c r="K2206">
        <v>2000</v>
      </c>
      <c r="L2206">
        <v>2800</v>
      </c>
      <c r="M2206">
        <v>14000</v>
      </c>
      <c r="N2206" t="s">
        <v>19</v>
      </c>
    </row>
    <row r="2207" spans="1:14" x14ac:dyDescent="0.25">
      <c r="A2207" t="str">
        <f>Table3[[#This Row],[Company Name]] &amp; " - " &amp; Table3[[#This Row],[Store Name]] &amp; " - " &amp; Table3[[#This Row],[Store Branch / Address]]</f>
        <v>CHICKEN DELI - M &amp; W - GENERIC</v>
      </c>
      <c r="B2207" t="str">
        <f>Table3[[#This Row],[Client ID]] &amp; " - " &amp; Table3[[#This Row],[SO Number]]</f>
        <v>CHICKEN DELI - M &amp; W - GENERIC - SO-027</v>
      </c>
      <c r="C2207" t="s">
        <v>215</v>
      </c>
      <c r="D2207" t="s">
        <v>20</v>
      </c>
      <c r="E2207" t="s">
        <v>192</v>
      </c>
      <c r="F2207" t="s">
        <v>15</v>
      </c>
      <c r="G2207" t="s">
        <v>22</v>
      </c>
      <c r="H2207" t="s">
        <v>1230</v>
      </c>
      <c r="I2207" t="s">
        <v>26</v>
      </c>
      <c r="J2207">
        <v>4</v>
      </c>
      <c r="K2207">
        <v>2000</v>
      </c>
      <c r="L2207">
        <v>2000</v>
      </c>
      <c r="M2207">
        <v>8000</v>
      </c>
      <c r="N2207" t="s">
        <v>19</v>
      </c>
    </row>
    <row r="2208" spans="1:14" x14ac:dyDescent="0.25">
      <c r="A2208" t="str">
        <f>Table3[[#This Row],[Company Name]] &amp; " - " &amp; Table3[[#This Row],[Store Name]] &amp; " - " &amp; Table3[[#This Row],[Store Branch / Address]]</f>
        <v>M W TOWNSTORE - M &amp; W - GENERIC</v>
      </c>
      <c r="B2208" t="str">
        <f>Table3[[#This Row],[Client ID]] &amp; " - " &amp; Table3[[#This Row],[SO Number]]</f>
        <v>M W TOWNSTORE - M &amp; W - GENERIC - SO-028</v>
      </c>
      <c r="C2208" t="s">
        <v>219</v>
      </c>
      <c r="D2208" t="s">
        <v>191</v>
      </c>
      <c r="E2208" t="s">
        <v>192</v>
      </c>
      <c r="F2208" t="s">
        <v>15</v>
      </c>
      <c r="G2208" t="s">
        <v>22</v>
      </c>
      <c r="H2208" t="s">
        <v>1230</v>
      </c>
      <c r="I2208" t="s">
        <v>581</v>
      </c>
      <c r="J2208">
        <v>4</v>
      </c>
      <c r="K2208">
        <v>11000</v>
      </c>
      <c r="L2208">
        <v>15500</v>
      </c>
      <c r="M2208">
        <v>62000</v>
      </c>
      <c r="N2208" t="s">
        <v>19</v>
      </c>
    </row>
    <row r="2209" spans="1:14" x14ac:dyDescent="0.25">
      <c r="A2209" t="str">
        <f>Table3[[#This Row],[Company Name]] &amp; " - " &amp; Table3[[#This Row],[Store Name]] &amp; " - " &amp; Table3[[#This Row],[Store Branch / Address]]</f>
        <v>M W TOWNSTORE - M &amp; W - GENERIC</v>
      </c>
      <c r="B2209" t="str">
        <f>Table3[[#This Row],[Client ID]] &amp; " - " &amp; Table3[[#This Row],[SO Number]]</f>
        <v>M W TOWNSTORE - M &amp; W - GENERIC - SO-028</v>
      </c>
      <c r="C2209" t="s">
        <v>219</v>
      </c>
      <c r="D2209" t="s">
        <v>191</v>
      </c>
      <c r="E2209" t="s">
        <v>192</v>
      </c>
      <c r="F2209" t="s">
        <v>15</v>
      </c>
      <c r="G2209" t="s">
        <v>22</v>
      </c>
      <c r="H2209" t="s">
        <v>1230</v>
      </c>
      <c r="I2209" t="s">
        <v>116</v>
      </c>
      <c r="J2209">
        <v>4</v>
      </c>
      <c r="K2209">
        <v>2185</v>
      </c>
      <c r="L2209">
        <v>3100</v>
      </c>
      <c r="M2209">
        <v>12400</v>
      </c>
      <c r="N2209" t="s">
        <v>19</v>
      </c>
    </row>
    <row r="2210" spans="1:14" x14ac:dyDescent="0.25">
      <c r="A2210" t="str">
        <f>Table3[[#This Row],[Company Name]] &amp; " - " &amp; Table3[[#This Row],[Store Name]] &amp; " - " &amp; Table3[[#This Row],[Store Branch / Address]]</f>
        <v>M W TOWNSTORE - M &amp; W - GENERIC</v>
      </c>
      <c r="B2210" t="str">
        <f>Table3[[#This Row],[Client ID]] &amp; " - " &amp; Table3[[#This Row],[SO Number]]</f>
        <v>M W TOWNSTORE - M &amp; W - GENERIC - SO-028</v>
      </c>
      <c r="C2210" t="s">
        <v>219</v>
      </c>
      <c r="D2210" t="s">
        <v>191</v>
      </c>
      <c r="E2210" t="s">
        <v>192</v>
      </c>
      <c r="F2210" t="s">
        <v>15</v>
      </c>
      <c r="G2210" t="s">
        <v>22</v>
      </c>
      <c r="H2210" t="s">
        <v>1230</v>
      </c>
      <c r="I2210" t="s">
        <v>1267</v>
      </c>
      <c r="J2210">
        <v>5</v>
      </c>
      <c r="K2210">
        <v>3360</v>
      </c>
      <c r="L2210">
        <v>5300</v>
      </c>
      <c r="M2210">
        <v>26500</v>
      </c>
      <c r="N2210" t="s">
        <v>19</v>
      </c>
    </row>
    <row r="2211" spans="1:14" x14ac:dyDescent="0.25">
      <c r="A2211" t="str">
        <f>Table3[[#This Row],[Company Name]] &amp; " - " &amp; Table3[[#This Row],[Store Name]] &amp; " - " &amp; Table3[[#This Row],[Store Branch / Address]]</f>
        <v>M W TOWNSTORE - M &amp; W - GENERIC</v>
      </c>
      <c r="B2211" t="str">
        <f>Table3[[#This Row],[Client ID]] &amp; " - " &amp; Table3[[#This Row],[SO Number]]</f>
        <v>M W TOWNSTORE - M &amp; W - GENERIC - SO-028</v>
      </c>
      <c r="C2211" t="s">
        <v>219</v>
      </c>
      <c r="D2211" t="s">
        <v>191</v>
      </c>
      <c r="E2211" t="s">
        <v>192</v>
      </c>
      <c r="F2211" t="s">
        <v>15</v>
      </c>
      <c r="G2211" t="s">
        <v>22</v>
      </c>
      <c r="H2211" t="s">
        <v>1230</v>
      </c>
      <c r="I2211" t="s">
        <v>76</v>
      </c>
      <c r="J2211">
        <v>5</v>
      </c>
      <c r="K2211">
        <v>2000</v>
      </c>
      <c r="L2211">
        <v>2500</v>
      </c>
      <c r="M2211">
        <v>12500</v>
      </c>
      <c r="N2211" t="s">
        <v>19</v>
      </c>
    </row>
    <row r="2212" spans="1:14" x14ac:dyDescent="0.25">
      <c r="A2212" t="str">
        <f>Table3[[#This Row],[Company Name]] &amp; " - " &amp; Table3[[#This Row],[Store Name]] &amp; " - " &amp; Table3[[#This Row],[Store Branch / Address]]</f>
        <v>JINWEI ENTERPRISES CORP - ARKEN - GENERIC</v>
      </c>
      <c r="B2212" t="str">
        <f>Table3[[#This Row],[Client ID]] &amp; " - " &amp; Table3[[#This Row],[SO Number]]</f>
        <v>JINWEI ENTERPRISES CORP - ARKEN - GENERIC - SO-26-020</v>
      </c>
      <c r="C2212" t="s">
        <v>1231</v>
      </c>
      <c r="D2212" t="s">
        <v>1232</v>
      </c>
      <c r="E2212" t="s">
        <v>1233</v>
      </c>
      <c r="F2212" t="s">
        <v>15</v>
      </c>
      <c r="G2212" t="s">
        <v>37</v>
      </c>
      <c r="H2212" t="s">
        <v>1234</v>
      </c>
      <c r="I2212" t="s">
        <v>1235</v>
      </c>
      <c r="J2212">
        <v>1</v>
      </c>
      <c r="K2212">
        <v>1650</v>
      </c>
      <c r="L2212">
        <v>2700</v>
      </c>
      <c r="M2212">
        <v>2700</v>
      </c>
      <c r="N2212" t="s">
        <v>19</v>
      </c>
    </row>
    <row r="2213" spans="1:14" x14ac:dyDescent="0.25">
      <c r="A2213" t="str">
        <f>Table3[[#This Row],[Company Name]] &amp; " - " &amp; Table3[[#This Row],[Store Name]] &amp; " - " &amp; Table3[[#This Row],[Store Branch / Address]]</f>
        <v>JINWEI ENTERPRISES CORP - ARKEN - GENERIC</v>
      </c>
      <c r="B2213" t="str">
        <f>Table3[[#This Row],[Client ID]] &amp; " - " &amp; Table3[[#This Row],[SO Number]]</f>
        <v>JINWEI ENTERPRISES CORP - ARKEN - GENERIC - SO-26-020</v>
      </c>
      <c r="C2213" t="s">
        <v>1231</v>
      </c>
      <c r="D2213" t="s">
        <v>1232</v>
      </c>
      <c r="E2213" t="s">
        <v>1233</v>
      </c>
      <c r="F2213" t="s">
        <v>15</v>
      </c>
      <c r="G2213" t="s">
        <v>37</v>
      </c>
      <c r="H2213" t="s">
        <v>1234</v>
      </c>
      <c r="I2213" t="s">
        <v>63</v>
      </c>
      <c r="J2213">
        <v>1</v>
      </c>
      <c r="K2213">
        <v>300</v>
      </c>
      <c r="L2213">
        <v>300</v>
      </c>
      <c r="M2213">
        <v>300</v>
      </c>
      <c r="N2213" t="s">
        <v>19</v>
      </c>
    </row>
    <row r="2214" spans="1:14" x14ac:dyDescent="0.25">
      <c r="A2214" t="str">
        <f>Table3[[#This Row],[Company Name]] &amp; " - " &amp; Table3[[#This Row],[Store Name]] &amp; " - " &amp; Table3[[#This Row],[Store Branch / Address]]</f>
        <v>STEAKS AND MORE OPC - MELOS - SOUTH TRIANGLE QC</v>
      </c>
      <c r="B2214" t="str">
        <f>Table3[[#This Row],[Client ID]] &amp; " - " &amp; Table3[[#This Row],[SO Number]]</f>
        <v>STEAKS AND MORE OPC - MELOS - SOUTH TRIANGLE QC - SO-26-021</v>
      </c>
      <c r="C2214" t="s">
        <v>1238</v>
      </c>
      <c r="D2214" t="s">
        <v>1239</v>
      </c>
      <c r="E2214" t="s">
        <v>174</v>
      </c>
      <c r="F2214" t="s">
        <v>1240</v>
      </c>
      <c r="G2214" t="s">
        <v>37</v>
      </c>
      <c r="H2214" t="s">
        <v>1241</v>
      </c>
      <c r="I2214" t="s">
        <v>249</v>
      </c>
      <c r="J2214">
        <v>1</v>
      </c>
      <c r="K2214">
        <v>23450</v>
      </c>
      <c r="L2214">
        <v>31100</v>
      </c>
      <c r="M2214">
        <v>31100</v>
      </c>
      <c r="N2214" t="s">
        <v>39</v>
      </c>
    </row>
    <row r="2215" spans="1:14" x14ac:dyDescent="0.25">
      <c r="A2215" t="str">
        <f>Table3[[#This Row],[Company Name]] &amp; " - " &amp; Table3[[#This Row],[Store Name]] &amp; " - " &amp; Table3[[#This Row],[Store Branch / Address]]</f>
        <v>STEAKS AND MORE OPC - MELOS - SOUTH TRIANGLE QC</v>
      </c>
      <c r="B2215" t="str">
        <f>Table3[[#This Row],[Client ID]] &amp; " - " &amp; Table3[[#This Row],[SO Number]]</f>
        <v>STEAKS AND MORE OPC - MELOS - SOUTH TRIANGLE QC - SO-26-021</v>
      </c>
      <c r="C2215" t="s">
        <v>1238</v>
      </c>
      <c r="D2215" t="s">
        <v>1239</v>
      </c>
      <c r="E2215" t="s">
        <v>174</v>
      </c>
      <c r="F2215" t="s">
        <v>1240</v>
      </c>
      <c r="G2215" t="s">
        <v>37</v>
      </c>
      <c r="H2215" t="s">
        <v>1241</v>
      </c>
      <c r="I2215" t="s">
        <v>210</v>
      </c>
      <c r="J2215">
        <v>1</v>
      </c>
      <c r="K2215">
        <v>0</v>
      </c>
      <c r="L2215">
        <v>0</v>
      </c>
      <c r="M2215">
        <v>0</v>
      </c>
      <c r="N2215" t="s">
        <v>39</v>
      </c>
    </row>
    <row r="2216" spans="1:14" x14ac:dyDescent="0.25">
      <c r="A2216" t="str">
        <f>Table3[[#This Row],[Company Name]] &amp; " - " &amp; Table3[[#This Row],[Store Name]] &amp; " - " &amp; Table3[[#This Row],[Store Branch / Address]]</f>
        <v>STEAKS AND MORE OPC - MELOS - SOUTH TRIANGLE QC</v>
      </c>
      <c r="B2216" t="str">
        <f>Table3[[#This Row],[Client ID]] &amp; " - " &amp; Table3[[#This Row],[SO Number]]</f>
        <v>STEAKS AND MORE OPC - MELOS - SOUTH TRIANGLE QC - SO-26-021</v>
      </c>
      <c r="C2216" t="s">
        <v>1238</v>
      </c>
      <c r="D2216" t="s">
        <v>1239</v>
      </c>
      <c r="E2216" t="s">
        <v>174</v>
      </c>
      <c r="F2216" t="s">
        <v>1240</v>
      </c>
      <c r="G2216" t="s">
        <v>37</v>
      </c>
      <c r="H2216" t="s">
        <v>1241</v>
      </c>
      <c r="I2216" t="s">
        <v>151</v>
      </c>
      <c r="J2216">
        <v>1</v>
      </c>
      <c r="K2216">
        <v>2000</v>
      </c>
      <c r="L2216">
        <v>3500</v>
      </c>
      <c r="M2216">
        <v>3500</v>
      </c>
      <c r="N2216" t="s">
        <v>39</v>
      </c>
    </row>
    <row r="2217" spans="1:14" x14ac:dyDescent="0.25">
      <c r="A2217" t="str">
        <f>Table3[[#This Row],[Company Name]] &amp; " - " &amp; Table3[[#This Row],[Store Name]] &amp; " - " &amp; Table3[[#This Row],[Store Branch / Address]]</f>
        <v>STEAKS AND MORE OPC - MELOS - SOUTH TRIANGLE QC</v>
      </c>
      <c r="B2217" t="str">
        <f>Table3[[#This Row],[Client ID]] &amp; " - " &amp; Table3[[#This Row],[SO Number]]</f>
        <v>STEAKS AND MORE OPC - MELOS - SOUTH TRIANGLE QC - SO-26-021</v>
      </c>
      <c r="C2217" t="s">
        <v>1238</v>
      </c>
      <c r="D2217" t="s">
        <v>1239</v>
      </c>
      <c r="E2217" t="s">
        <v>174</v>
      </c>
      <c r="F2217" t="s">
        <v>1240</v>
      </c>
      <c r="G2217" t="s">
        <v>37</v>
      </c>
      <c r="H2217" t="s">
        <v>1241</v>
      </c>
      <c r="I2217" t="s">
        <v>63</v>
      </c>
      <c r="J2217">
        <v>1</v>
      </c>
      <c r="K2217">
        <v>400</v>
      </c>
      <c r="L2217">
        <v>400</v>
      </c>
      <c r="M2217">
        <v>400</v>
      </c>
      <c r="N2217" t="s">
        <v>39</v>
      </c>
    </row>
    <row r="2218" spans="1:14" x14ac:dyDescent="0.25">
      <c r="A2218" t="str">
        <f>Table3[[#This Row],[Company Name]] &amp; " - " &amp; Table3[[#This Row],[Store Name]] &amp; " - " &amp; Table3[[#This Row],[Store Branch / Address]]</f>
        <v>TAN JANUARIO JR ABAD - JICATA ENTERPRISES - JO FRANGCO - GENERIC</v>
      </c>
      <c r="B2218" t="str">
        <f>Table3[[#This Row],[Client ID]] &amp; " - " &amp; Table3[[#This Row],[SO Number]]</f>
        <v>TAN JANUARIO JR ABAD - JICATA ENTERPRISES - JO FRANGCO - GENERIC - SO-26-022</v>
      </c>
      <c r="C2218" t="s">
        <v>1242</v>
      </c>
      <c r="D2218" t="s">
        <v>1243</v>
      </c>
      <c r="E2218" t="s">
        <v>1244</v>
      </c>
      <c r="F2218" t="s">
        <v>15</v>
      </c>
      <c r="G2218" t="s">
        <v>37</v>
      </c>
      <c r="H2218" t="s">
        <v>1245</v>
      </c>
      <c r="I2218" t="s">
        <v>154</v>
      </c>
      <c r="J2218">
        <v>1</v>
      </c>
      <c r="K2218">
        <v>1100</v>
      </c>
      <c r="L2218">
        <v>1650</v>
      </c>
      <c r="M2218">
        <v>1650</v>
      </c>
      <c r="N2218" t="s">
        <v>19</v>
      </c>
    </row>
    <row r="2219" spans="1:14" x14ac:dyDescent="0.25">
      <c r="A2219" t="str">
        <f>Table3[[#This Row],[Company Name]] &amp; " - " &amp; Table3[[#This Row],[Store Name]] &amp; " - " &amp; Table3[[#This Row],[Store Branch / Address]]</f>
        <v>TAN JANUARIO JR ABAD - JICATA ENTERPRISES - JO FRANGCO - GENERIC</v>
      </c>
      <c r="B2219" t="str">
        <f>Table3[[#This Row],[Client ID]] &amp; " - " &amp; Table3[[#This Row],[SO Number]]</f>
        <v>TAN JANUARIO JR ABAD - JICATA ENTERPRISES - JO FRANGCO - GENERIC - SO-26-022</v>
      </c>
      <c r="C2219" t="s">
        <v>1242</v>
      </c>
      <c r="D2219" t="s">
        <v>1243</v>
      </c>
      <c r="E2219" t="s">
        <v>1244</v>
      </c>
      <c r="F2219" t="s">
        <v>15</v>
      </c>
      <c r="G2219" t="s">
        <v>37</v>
      </c>
      <c r="H2219" t="s">
        <v>1245</v>
      </c>
      <c r="I2219" t="s">
        <v>333</v>
      </c>
      <c r="J2219">
        <v>1</v>
      </c>
      <c r="K2219">
        <v>30</v>
      </c>
      <c r="L2219">
        <v>150</v>
      </c>
      <c r="M2219">
        <v>150</v>
      </c>
      <c r="N2219" t="s">
        <v>19</v>
      </c>
    </row>
    <row r="2220" spans="1:14" x14ac:dyDescent="0.25">
      <c r="A2220" t="str">
        <f>Table3[[#This Row],[Company Name]] &amp; " - " &amp; Table3[[#This Row],[Store Name]] &amp; " - " &amp; Table3[[#This Row],[Store Branch / Address]]</f>
        <v>HUZZAH - HUZZAH - GENERIC</v>
      </c>
      <c r="B2220" t="str">
        <f>Table3[[#This Row],[Client ID]] &amp; " - " &amp; Table3[[#This Row],[SO Number]]</f>
        <v>HUZZAH - HUZZAH - GENERIC - SO-26-023</v>
      </c>
      <c r="C2220" t="s">
        <v>1246</v>
      </c>
      <c r="D2220" t="s">
        <v>87</v>
      </c>
      <c r="E2220" t="s">
        <v>87</v>
      </c>
      <c r="F2220" t="s">
        <v>15</v>
      </c>
      <c r="G2220" t="s">
        <v>37</v>
      </c>
      <c r="H2220" t="s">
        <v>1245</v>
      </c>
      <c r="I2220" t="s">
        <v>89</v>
      </c>
      <c r="J2220">
        <v>50</v>
      </c>
      <c r="K2220">
        <v>32</v>
      </c>
      <c r="L2220">
        <v>50</v>
      </c>
      <c r="M2220">
        <v>2500</v>
      </c>
      <c r="N2220" t="s">
        <v>39</v>
      </c>
    </row>
    <row r="2221" spans="1:14" x14ac:dyDescent="0.25">
      <c r="A2221" t="str">
        <f>Table3[[#This Row],[Company Name]] &amp; " - " &amp; Table3[[#This Row],[Store Name]] &amp; " - " &amp; Table3[[#This Row],[Store Branch / Address]]</f>
        <v>FERCUI VENTURES CORPORATION - FLEXISPOT PH - GENERIC</v>
      </c>
      <c r="B2221" t="str">
        <f>Table3[[#This Row],[Client ID]] &amp; " - " &amp; Table3[[#This Row],[SO Number]]</f>
        <v>FERCUI VENTURES CORPORATION - FLEXISPOT PH - GENERIC - SO-26-008</v>
      </c>
      <c r="C2221" t="s">
        <v>1196</v>
      </c>
      <c r="D2221" t="s">
        <v>1397</v>
      </c>
      <c r="E2221" t="s">
        <v>1398</v>
      </c>
      <c r="F2221" t="s">
        <v>15</v>
      </c>
      <c r="G2221" t="s">
        <v>1024</v>
      </c>
      <c r="H2221" t="s">
        <v>1245</v>
      </c>
      <c r="I2221" t="s">
        <v>1110</v>
      </c>
      <c r="J2221">
        <v>1</v>
      </c>
      <c r="K2221">
        <v>6300</v>
      </c>
      <c r="L2221">
        <v>18000</v>
      </c>
      <c r="M2221">
        <v>18000</v>
      </c>
      <c r="N2221" t="s">
        <v>19</v>
      </c>
    </row>
    <row r="2222" spans="1:14" x14ac:dyDescent="0.25">
      <c r="A2222" t="str">
        <f>Table3[[#This Row],[Company Name]] &amp; " - " &amp; Table3[[#This Row],[Store Name]] &amp; " - " &amp; Table3[[#This Row],[Store Branch / Address]]</f>
        <v>FERCUI VENTURES CORPORATION - FLEXISPOT PH - GENERIC</v>
      </c>
      <c r="B2222" t="str">
        <f>Table3[[#This Row],[Client ID]] &amp; " - " &amp; Table3[[#This Row],[SO Number]]</f>
        <v>FERCUI VENTURES CORPORATION - FLEXISPOT PH - GENERIC - SO-26-008</v>
      </c>
      <c r="C2222" t="s">
        <v>1196</v>
      </c>
      <c r="D2222" t="s">
        <v>1397</v>
      </c>
      <c r="E2222" t="s">
        <v>1398</v>
      </c>
      <c r="F2222" t="s">
        <v>15</v>
      </c>
      <c r="G2222" t="s">
        <v>1024</v>
      </c>
      <c r="H2222" t="s">
        <v>1245</v>
      </c>
      <c r="I2222" t="s">
        <v>1011</v>
      </c>
      <c r="J2222">
        <v>1</v>
      </c>
      <c r="K2222">
        <v>7750</v>
      </c>
      <c r="L2222">
        <v>7750</v>
      </c>
      <c r="M2222">
        <v>7750</v>
      </c>
      <c r="N2222" t="s">
        <v>19</v>
      </c>
    </row>
    <row r="2223" spans="1:14" x14ac:dyDescent="0.25">
      <c r="A2223" t="str">
        <f>Table3[[#This Row],[Company Name]] &amp; " - " &amp; Table3[[#This Row],[Store Name]] &amp; " - " &amp; Table3[[#This Row],[Store Branch / Address]]</f>
        <v>FERCUI VENTURES CORPORATION - FLEXISPOT PH - GENERIC</v>
      </c>
      <c r="B2223" t="str">
        <f>Table3[[#This Row],[Client ID]] &amp; " - " &amp; Table3[[#This Row],[SO Number]]</f>
        <v>FERCUI VENTURES CORPORATION - FLEXISPOT PH - GENERIC - SO-26-008</v>
      </c>
      <c r="C2223" t="s">
        <v>1196</v>
      </c>
      <c r="D2223" t="s">
        <v>1397</v>
      </c>
      <c r="E2223" t="s">
        <v>1398</v>
      </c>
      <c r="F2223" t="s">
        <v>15</v>
      </c>
      <c r="G2223" t="s">
        <v>1024</v>
      </c>
      <c r="H2223" t="s">
        <v>1245</v>
      </c>
      <c r="I2223" t="s">
        <v>24</v>
      </c>
      <c r="J2223">
        <v>1</v>
      </c>
      <c r="K2223">
        <v>7750</v>
      </c>
      <c r="L2223">
        <v>7750</v>
      </c>
      <c r="M2223">
        <v>7750</v>
      </c>
      <c r="N2223" t="s">
        <v>19</v>
      </c>
    </row>
    <row r="2224" spans="1:14" x14ac:dyDescent="0.25">
      <c r="A2224" t="str">
        <f>Table3[[#This Row],[Company Name]] &amp; " - " &amp; Table3[[#This Row],[Store Name]] &amp; " - " &amp; Table3[[#This Row],[Store Branch / Address]]</f>
        <v>FERCUI VENTURES CORPORATION - FLEXISPOT PH - GENERIC</v>
      </c>
      <c r="B2224" t="str">
        <f>Table3[[#This Row],[Client ID]] &amp; " - " &amp; Table3[[#This Row],[SO Number]]</f>
        <v>FERCUI VENTURES CORPORATION - FLEXISPOT PH - GENERIC - SO-26-008</v>
      </c>
      <c r="C2224" t="s">
        <v>1196</v>
      </c>
      <c r="D2224" t="s">
        <v>1397</v>
      </c>
      <c r="E2224" t="s">
        <v>1398</v>
      </c>
      <c r="F2224" t="s">
        <v>15</v>
      </c>
      <c r="G2224" t="s">
        <v>1024</v>
      </c>
      <c r="H2224" t="s">
        <v>1245</v>
      </c>
      <c r="I2224" t="s">
        <v>26</v>
      </c>
      <c r="J2224">
        <v>1</v>
      </c>
      <c r="K2224">
        <v>500</v>
      </c>
      <c r="L2224">
        <v>500</v>
      </c>
      <c r="M2224">
        <v>500</v>
      </c>
      <c r="N2224" t="s">
        <v>19</v>
      </c>
    </row>
    <row r="2225" spans="1:14" x14ac:dyDescent="0.25">
      <c r="A2225" t="str">
        <f>Table3[[#This Row],[Company Name]] &amp; " - " &amp; Table3[[#This Row],[Store Name]] &amp; " - " &amp; Table3[[#This Row],[Store Branch / Address]]</f>
        <v>FERCUI VENTURES CORPORATION - FLEXISPOT PH - GENERIC</v>
      </c>
      <c r="B2225" t="str">
        <f>Table3[[#This Row],[Client ID]] &amp; " - " &amp; Table3[[#This Row],[SO Number]]</f>
        <v>FERCUI VENTURES CORPORATION - FLEXISPOT PH - GENERIC - SO-26-008</v>
      </c>
      <c r="C2225" t="s">
        <v>1196</v>
      </c>
      <c r="D2225" t="s">
        <v>1397</v>
      </c>
      <c r="E2225" t="s">
        <v>1398</v>
      </c>
      <c r="F2225" t="s">
        <v>15</v>
      </c>
      <c r="G2225" t="s">
        <v>1024</v>
      </c>
      <c r="H2225" t="s">
        <v>1245</v>
      </c>
      <c r="I2225" t="s">
        <v>1394</v>
      </c>
      <c r="J2225">
        <v>1</v>
      </c>
      <c r="K2225">
        <v>18700</v>
      </c>
      <c r="L2225">
        <v>25500</v>
      </c>
      <c r="M2225">
        <v>25500</v>
      </c>
      <c r="N2225" t="s">
        <v>19</v>
      </c>
    </row>
    <row r="2226" spans="1:14" x14ac:dyDescent="0.25">
      <c r="A2226" t="str">
        <f>Table3[[#This Row],[Company Name]] &amp; " - " &amp; Table3[[#This Row],[Store Name]] &amp; " - " &amp; Table3[[#This Row],[Store Branch / Address]]</f>
        <v>FERCUI VENTURES CORPORATION - FLEXISPOT PH - GENERIC</v>
      </c>
      <c r="B2226" t="str">
        <f>Table3[[#This Row],[Client ID]] &amp; " - " &amp; Table3[[#This Row],[SO Number]]</f>
        <v>FERCUI VENTURES CORPORATION - FLEXISPOT PH - GENERIC - SO-26-008</v>
      </c>
      <c r="C2226" t="s">
        <v>1196</v>
      </c>
      <c r="D2226" t="s">
        <v>1397</v>
      </c>
      <c r="E2226" t="s">
        <v>1398</v>
      </c>
      <c r="F2226" t="s">
        <v>15</v>
      </c>
      <c r="G2226" t="s">
        <v>1024</v>
      </c>
      <c r="H2226" t="s">
        <v>1245</v>
      </c>
      <c r="I2226" t="s">
        <v>1120</v>
      </c>
      <c r="J2226">
        <v>1</v>
      </c>
      <c r="K2226">
        <v>2334</v>
      </c>
      <c r="L2226">
        <v>3500</v>
      </c>
      <c r="M2226">
        <v>3500</v>
      </c>
      <c r="N2226" t="s">
        <v>19</v>
      </c>
    </row>
    <row r="2227" spans="1:14" x14ac:dyDescent="0.25">
      <c r="A2227" t="str">
        <f>Table3[[#This Row],[Company Name]] &amp; " - " &amp; Table3[[#This Row],[Store Name]] &amp; " - " &amp; Table3[[#This Row],[Store Branch / Address]]</f>
        <v>FERCUI VENTURES CORPORATION - FLEXISPOT PH - GENERIC</v>
      </c>
      <c r="B2227" t="str">
        <f>Table3[[#This Row],[Client ID]] &amp; " - " &amp; Table3[[#This Row],[SO Number]]</f>
        <v>FERCUI VENTURES CORPORATION - FLEXISPOT PH - GENERIC - SO-26-008</v>
      </c>
      <c r="C2227" t="s">
        <v>1196</v>
      </c>
      <c r="D2227" t="s">
        <v>1397</v>
      </c>
      <c r="E2227" t="s">
        <v>1398</v>
      </c>
      <c r="F2227" t="s">
        <v>15</v>
      </c>
      <c r="G2227" t="s">
        <v>1024</v>
      </c>
      <c r="H2227" t="s">
        <v>1245</v>
      </c>
      <c r="I2227" t="s">
        <v>151</v>
      </c>
      <c r="J2227">
        <v>1</v>
      </c>
      <c r="K2227">
        <v>2000</v>
      </c>
      <c r="L2227">
        <v>3000</v>
      </c>
      <c r="M2227">
        <v>3000</v>
      </c>
      <c r="N2227" t="s">
        <v>19</v>
      </c>
    </row>
    <row r="2228" spans="1:14" x14ac:dyDescent="0.25">
      <c r="A2228" t="str">
        <f>Table3[[#This Row],[Company Name]] &amp; " - " &amp; Table3[[#This Row],[Store Name]] &amp; " - " &amp; Table3[[#This Row],[Store Branch / Address]]</f>
        <v>FERCUI VENTURES CORPORATION - FLEXISPOT PH - GENERIC</v>
      </c>
      <c r="B2228" t="str">
        <f>Table3[[#This Row],[Client ID]] &amp; " - " &amp; Table3[[#This Row],[SO Number]]</f>
        <v>FERCUI VENTURES CORPORATION - FLEXISPOT PH - GENERIC - SO-26-008</v>
      </c>
      <c r="C2228" t="s">
        <v>1196</v>
      </c>
      <c r="D2228" t="s">
        <v>1397</v>
      </c>
      <c r="E2228" t="s">
        <v>1398</v>
      </c>
      <c r="F2228" t="s">
        <v>15</v>
      </c>
      <c r="G2228" t="s">
        <v>1024</v>
      </c>
      <c r="H2228" t="s">
        <v>1245</v>
      </c>
      <c r="I2228" t="s">
        <v>1016</v>
      </c>
      <c r="J2228">
        <v>1</v>
      </c>
      <c r="K2228">
        <v>8500</v>
      </c>
      <c r="L2228">
        <v>12000</v>
      </c>
      <c r="M2228">
        <v>12000</v>
      </c>
      <c r="N2228" t="s">
        <v>19</v>
      </c>
    </row>
    <row r="2229" spans="1:14" x14ac:dyDescent="0.25">
      <c r="A2229" t="str">
        <f>Table3[[#This Row],[Company Name]] &amp; " - " &amp; Table3[[#This Row],[Store Name]] &amp; " - " &amp; Table3[[#This Row],[Store Branch / Address]]</f>
        <v>FERCUI VENTURES CORPORATION - FLEXISPOT PH - GENERIC</v>
      </c>
      <c r="B2229" t="str">
        <f>Table3[[#This Row],[Client ID]] &amp; " - " &amp; Table3[[#This Row],[SO Number]]</f>
        <v>FERCUI VENTURES CORPORATION - FLEXISPOT PH - GENERIC - SO-26-008</v>
      </c>
      <c r="C2229" t="s">
        <v>1196</v>
      </c>
      <c r="D2229" t="s">
        <v>1397</v>
      </c>
      <c r="E2229" t="s">
        <v>1398</v>
      </c>
      <c r="F2229" t="s">
        <v>15</v>
      </c>
      <c r="G2229" t="s">
        <v>1024</v>
      </c>
      <c r="H2229" t="s">
        <v>1245</v>
      </c>
      <c r="I2229" t="s">
        <v>63</v>
      </c>
      <c r="J2229">
        <v>1</v>
      </c>
      <c r="K2229">
        <v>1000</v>
      </c>
      <c r="L2229">
        <v>1000</v>
      </c>
      <c r="M2229">
        <v>1000</v>
      </c>
      <c r="N2229" t="s">
        <v>19</v>
      </c>
    </row>
    <row r="2230" spans="1:14" x14ac:dyDescent="0.25">
      <c r="A2230" t="str">
        <f>Table3[[#This Row],[Company Name]] &amp; " - " &amp; Table3[[#This Row],[Store Name]] &amp; " - " &amp; Table3[[#This Row],[Store Branch / Address]]</f>
        <v>BALBERO PAUL ANTHONY NO COR YET - NEXSCENTS HOME CARE PRODUCTS - SM MOA</v>
      </c>
      <c r="B2230" t="str">
        <f>Table3[[#This Row],[Client ID]] &amp; " - " &amp; Table3[[#This Row],[SO Number]]</f>
        <v>BALBERO PAUL ANTHONY NO COR YET - NEXSCENTS HOME CARE PRODUCTS - SM MOA - SO-26-024</v>
      </c>
      <c r="C2230" t="s">
        <v>1248</v>
      </c>
      <c r="D2230" t="s">
        <v>1249</v>
      </c>
      <c r="E2230" t="s">
        <v>1250</v>
      </c>
      <c r="F2230" t="s">
        <v>201</v>
      </c>
      <c r="G2230" t="s">
        <v>1251</v>
      </c>
      <c r="H2230" t="s">
        <v>1252</v>
      </c>
      <c r="I2230" t="s">
        <v>512</v>
      </c>
      <c r="J2230">
        <v>1</v>
      </c>
      <c r="K2230">
        <v>5250</v>
      </c>
      <c r="L2230">
        <v>15000</v>
      </c>
      <c r="M2230">
        <v>15000</v>
      </c>
      <c r="N2230" t="s">
        <v>39</v>
      </c>
    </row>
    <row r="2231" spans="1:14" x14ac:dyDescent="0.25">
      <c r="A2231" t="str">
        <f>Table3[[#This Row],[Company Name]] &amp; " - " &amp; Table3[[#This Row],[Store Name]] &amp; " - " &amp; Table3[[#This Row],[Store Branch / Address]]</f>
        <v>BALBERO PAUL ANTHONY NO COR YET - NEXSCENTS HOME CARE PRODUCTS - SM MOA</v>
      </c>
      <c r="B2231" t="str">
        <f>Table3[[#This Row],[Client ID]] &amp; " - " &amp; Table3[[#This Row],[SO Number]]</f>
        <v>BALBERO PAUL ANTHONY NO COR YET - NEXSCENTS HOME CARE PRODUCTS - SM MOA - SO-26-024</v>
      </c>
      <c r="C2231" t="s">
        <v>1248</v>
      </c>
      <c r="D2231" t="s">
        <v>1249</v>
      </c>
      <c r="E2231" t="s">
        <v>1250</v>
      </c>
      <c r="F2231" t="s">
        <v>201</v>
      </c>
      <c r="G2231" t="s">
        <v>1251</v>
      </c>
      <c r="H2231" t="s">
        <v>1252</v>
      </c>
      <c r="I2231" t="s">
        <v>48</v>
      </c>
      <c r="J2231">
        <v>1</v>
      </c>
      <c r="K2231">
        <v>4750</v>
      </c>
      <c r="L2231">
        <v>4750</v>
      </c>
      <c r="M2231">
        <v>4750</v>
      </c>
      <c r="N2231" t="s">
        <v>39</v>
      </c>
    </row>
    <row r="2232" spans="1:14" x14ac:dyDescent="0.25">
      <c r="A2232" t="str">
        <f>Table3[[#This Row],[Company Name]] &amp; " - " &amp; Table3[[#This Row],[Store Name]] &amp; " - " &amp; Table3[[#This Row],[Store Branch / Address]]</f>
        <v>BALBERO PAUL ANTHONY NO COR YET - NEXSCENTS HOME CARE PRODUCTS - SM MOA</v>
      </c>
      <c r="B2232" t="str">
        <f>Table3[[#This Row],[Client ID]] &amp; " - " &amp; Table3[[#This Row],[SO Number]]</f>
        <v>BALBERO PAUL ANTHONY NO COR YET - NEXSCENTS HOME CARE PRODUCTS - SM MOA - SO-26-024</v>
      </c>
      <c r="C2232" t="s">
        <v>1248</v>
      </c>
      <c r="D2232" t="s">
        <v>1249</v>
      </c>
      <c r="E2232" t="s">
        <v>1250</v>
      </c>
      <c r="F2232" t="s">
        <v>201</v>
      </c>
      <c r="G2232" t="s">
        <v>1251</v>
      </c>
      <c r="H2232" t="s">
        <v>1252</v>
      </c>
      <c r="I2232" t="s">
        <v>24</v>
      </c>
      <c r="J2232">
        <v>1</v>
      </c>
      <c r="K2232">
        <v>4750</v>
      </c>
      <c r="L2232">
        <v>4750</v>
      </c>
      <c r="M2232">
        <v>4750</v>
      </c>
      <c r="N2232" t="s">
        <v>39</v>
      </c>
    </row>
    <row r="2233" spans="1:14" x14ac:dyDescent="0.25">
      <c r="A2233" t="str">
        <f>Table3[[#This Row],[Company Name]] &amp; " - " &amp; Table3[[#This Row],[Store Name]] &amp; " - " &amp; Table3[[#This Row],[Store Branch / Address]]</f>
        <v>BALBERO PAUL ANTHONY NO COR YET - NEXSCENTS HOME CARE PRODUCTS - SM MOA</v>
      </c>
      <c r="B2233" t="str">
        <f>Table3[[#This Row],[Client ID]] &amp; " - " &amp; Table3[[#This Row],[SO Number]]</f>
        <v>BALBERO PAUL ANTHONY NO COR YET - NEXSCENTS HOME CARE PRODUCTS - SM MOA - SO-26-024</v>
      </c>
      <c r="C2233" t="s">
        <v>1248</v>
      </c>
      <c r="D2233" t="s">
        <v>1249</v>
      </c>
      <c r="E2233" t="s">
        <v>1250</v>
      </c>
      <c r="F2233" t="s">
        <v>201</v>
      </c>
      <c r="G2233" t="s">
        <v>1251</v>
      </c>
      <c r="H2233" t="s">
        <v>1252</v>
      </c>
      <c r="I2233" t="s">
        <v>26</v>
      </c>
      <c r="J2233">
        <v>1</v>
      </c>
      <c r="K2233">
        <v>500</v>
      </c>
      <c r="L2233">
        <v>500</v>
      </c>
      <c r="M2233">
        <v>500</v>
      </c>
      <c r="N2233" t="s">
        <v>39</v>
      </c>
    </row>
    <row r="2234" spans="1:14" x14ac:dyDescent="0.25">
      <c r="A2234" t="str">
        <f>Table3[[#This Row],[Company Name]] &amp; " - " &amp; Table3[[#This Row],[Store Name]] &amp; " - " &amp; Table3[[#This Row],[Store Branch / Address]]</f>
        <v>BALBERO PAUL ANTHONY NO COR YET - NEXSCENTS HOME CARE PRODUCTS - SM MOA</v>
      </c>
      <c r="B2234" t="str">
        <f>Table3[[#This Row],[Client ID]] &amp; " - " &amp; Table3[[#This Row],[SO Number]]</f>
        <v>BALBERO PAUL ANTHONY NO COR YET - NEXSCENTS HOME CARE PRODUCTS - SM MOA - SO-26-024</v>
      </c>
      <c r="C2234" t="s">
        <v>1248</v>
      </c>
      <c r="D2234" t="s">
        <v>1249</v>
      </c>
      <c r="E2234" t="s">
        <v>1250</v>
      </c>
      <c r="F2234" t="s">
        <v>201</v>
      </c>
      <c r="G2234" t="s">
        <v>1251</v>
      </c>
      <c r="H2234" t="s">
        <v>1252</v>
      </c>
      <c r="I2234" t="s">
        <v>1253</v>
      </c>
      <c r="J2234">
        <v>1</v>
      </c>
      <c r="K2234">
        <v>2200</v>
      </c>
      <c r="L2234">
        <v>3000</v>
      </c>
      <c r="M2234">
        <v>3000</v>
      </c>
      <c r="N2234" t="s">
        <v>39</v>
      </c>
    </row>
    <row r="2235" spans="1:14" x14ac:dyDescent="0.25">
      <c r="A2235" t="str">
        <f>Table3[[#This Row],[Company Name]] &amp; " - " &amp; Table3[[#This Row],[Store Name]] &amp; " - " &amp; Table3[[#This Row],[Store Branch / Address]]</f>
        <v>BALBERO PAUL ANTHONY NO COR YET - NEXSCENTS HOME CARE PRODUCTS - SM MOA</v>
      </c>
      <c r="B2235" t="str">
        <f>Table3[[#This Row],[Client ID]] &amp; " - " &amp; Table3[[#This Row],[SO Number]]</f>
        <v>BALBERO PAUL ANTHONY NO COR YET - NEXSCENTS HOME CARE PRODUCTS - SM MOA - SO-26-024</v>
      </c>
      <c r="C2235" t="s">
        <v>1248</v>
      </c>
      <c r="D2235" t="s">
        <v>1249</v>
      </c>
      <c r="E2235" t="s">
        <v>1250</v>
      </c>
      <c r="F2235" t="s">
        <v>201</v>
      </c>
      <c r="G2235" t="s">
        <v>1251</v>
      </c>
      <c r="H2235" t="s">
        <v>1252</v>
      </c>
      <c r="I2235" t="s">
        <v>383</v>
      </c>
      <c r="J2235">
        <v>1</v>
      </c>
      <c r="K2235">
        <v>3195</v>
      </c>
      <c r="L2235">
        <v>4500</v>
      </c>
      <c r="M2235">
        <v>4500</v>
      </c>
      <c r="N2235" t="s">
        <v>39</v>
      </c>
    </row>
    <row r="2236" spans="1:14" x14ac:dyDescent="0.25">
      <c r="A2236" t="str">
        <f>Table3[[#This Row],[Company Name]] &amp; " - " &amp; Table3[[#This Row],[Store Name]] &amp; " - " &amp; Table3[[#This Row],[Store Branch / Address]]</f>
        <v>BALBERO PAUL ANTHONY NO COR YET - NEXSCENTS HOME CARE PRODUCTS - SM MOA</v>
      </c>
      <c r="B2236" t="str">
        <f>Table3[[#This Row],[Client ID]] &amp; " - " &amp; Table3[[#This Row],[SO Number]]</f>
        <v>BALBERO PAUL ANTHONY NO COR YET - NEXSCENTS HOME CARE PRODUCTS - SM MOA - SO-26-024</v>
      </c>
      <c r="C2236" t="s">
        <v>1248</v>
      </c>
      <c r="D2236" t="s">
        <v>1249</v>
      </c>
      <c r="E2236" t="s">
        <v>1250</v>
      </c>
      <c r="F2236" t="s">
        <v>201</v>
      </c>
      <c r="G2236" t="s">
        <v>1251</v>
      </c>
      <c r="H2236" t="s">
        <v>1252</v>
      </c>
      <c r="I2236" t="s">
        <v>1254</v>
      </c>
      <c r="J2236">
        <v>1</v>
      </c>
      <c r="K2236">
        <v>4088</v>
      </c>
      <c r="L2236">
        <v>5500</v>
      </c>
      <c r="M2236">
        <v>5500</v>
      </c>
      <c r="N2236" t="s">
        <v>39</v>
      </c>
    </row>
    <row r="2237" spans="1:14" x14ac:dyDescent="0.25">
      <c r="A2237" t="str">
        <f>Table3[[#This Row],[Company Name]] &amp; " - " &amp; Table3[[#This Row],[Store Name]] &amp; " - " &amp; Table3[[#This Row],[Store Branch / Address]]</f>
        <v>BALBERO PAUL ANTHONY NO COR YET - NEXSCENTS HOME CARE PRODUCTS - SM MOA</v>
      </c>
      <c r="B2237" t="str">
        <f>Table3[[#This Row],[Client ID]] &amp; " - " &amp; Table3[[#This Row],[SO Number]]</f>
        <v>BALBERO PAUL ANTHONY NO COR YET - NEXSCENTS HOME CARE PRODUCTS - SM MOA - SO-26-024</v>
      </c>
      <c r="C2237" t="s">
        <v>1248</v>
      </c>
      <c r="D2237" t="s">
        <v>1249</v>
      </c>
      <c r="E2237" t="s">
        <v>1250</v>
      </c>
      <c r="F2237" t="s">
        <v>201</v>
      </c>
      <c r="G2237" t="s">
        <v>1251</v>
      </c>
      <c r="H2237" t="s">
        <v>1252</v>
      </c>
      <c r="I2237" t="s">
        <v>1255</v>
      </c>
      <c r="J2237">
        <v>3</v>
      </c>
      <c r="K2237">
        <v>47</v>
      </c>
      <c r="L2237">
        <v>70</v>
      </c>
      <c r="M2237">
        <v>210</v>
      </c>
      <c r="N2237" t="s">
        <v>39</v>
      </c>
    </row>
    <row r="2238" spans="1:14" x14ac:dyDescent="0.25">
      <c r="A2238" t="str">
        <f>Table3[[#This Row],[Company Name]] &amp; " - " &amp; Table3[[#This Row],[Store Name]] &amp; " - " &amp; Table3[[#This Row],[Store Branch / Address]]</f>
        <v>BALBERO PAUL ANTHONY NO COR YET - NEXSCENTS HOME CARE PRODUCTS - SM MOA</v>
      </c>
      <c r="B2238" t="str">
        <f>Table3[[#This Row],[Client ID]] &amp; " - " &amp; Table3[[#This Row],[SO Number]]</f>
        <v>BALBERO PAUL ANTHONY NO COR YET - NEXSCENTS HOME CARE PRODUCTS - SM MOA - SO-26-024</v>
      </c>
      <c r="C2238" t="s">
        <v>1248</v>
      </c>
      <c r="D2238" t="s">
        <v>1249</v>
      </c>
      <c r="E2238" t="s">
        <v>1250</v>
      </c>
      <c r="F2238" t="s">
        <v>201</v>
      </c>
      <c r="G2238" t="s">
        <v>1251</v>
      </c>
      <c r="H2238" t="s">
        <v>1252</v>
      </c>
      <c r="I2238" t="s">
        <v>85</v>
      </c>
      <c r="J2238">
        <v>1</v>
      </c>
      <c r="K2238">
        <v>1350</v>
      </c>
      <c r="L2238">
        <v>2000</v>
      </c>
      <c r="M2238">
        <v>2000</v>
      </c>
      <c r="N2238" t="s">
        <v>39</v>
      </c>
    </row>
    <row r="2239" spans="1:14" x14ac:dyDescent="0.25">
      <c r="A2239" t="str">
        <f>Table3[[#This Row],[Company Name]] &amp; " - " &amp; Table3[[#This Row],[Store Name]] &amp; " - " &amp; Table3[[#This Row],[Store Branch / Address]]</f>
        <v>BALBERO PAUL ANTHONY NO COR YET - NEXSCENTS HOME CARE PRODUCTS - SM MOA</v>
      </c>
      <c r="B2239" t="str">
        <f>Table3[[#This Row],[Client ID]] &amp; " - " &amp; Table3[[#This Row],[SO Number]]</f>
        <v>BALBERO PAUL ANTHONY NO COR YET - NEXSCENTS HOME CARE PRODUCTS - SM MOA - SO-26-024</v>
      </c>
      <c r="C2239" t="s">
        <v>1248</v>
      </c>
      <c r="D2239" t="s">
        <v>1249</v>
      </c>
      <c r="E2239" t="s">
        <v>1250</v>
      </c>
      <c r="F2239" t="s">
        <v>201</v>
      </c>
      <c r="G2239" t="s">
        <v>1251</v>
      </c>
      <c r="H2239" t="s">
        <v>1252</v>
      </c>
      <c r="I2239" t="s">
        <v>1256</v>
      </c>
      <c r="J2239">
        <v>1</v>
      </c>
      <c r="K2239">
        <v>24640</v>
      </c>
      <c r="L2239">
        <v>33290</v>
      </c>
      <c r="M2239">
        <v>33290</v>
      </c>
      <c r="N2239" t="s">
        <v>39</v>
      </c>
    </row>
    <row r="2240" spans="1:14" x14ac:dyDescent="0.25">
      <c r="A2240" t="str">
        <f>Table3[[#This Row],[Company Name]] &amp; " - " &amp; Table3[[#This Row],[Store Name]] &amp; " - " &amp; Table3[[#This Row],[Store Branch / Address]]</f>
        <v>BALBERO PAUL ANTHONY NO COR YET - NEXSCENTS HOME CARE PRODUCTS - SM MOA</v>
      </c>
      <c r="B2240" t="str">
        <f>Table3[[#This Row],[Client ID]] &amp; " - " &amp; Table3[[#This Row],[SO Number]]</f>
        <v>BALBERO PAUL ANTHONY NO COR YET - NEXSCENTS HOME CARE PRODUCTS - SM MOA - SO-26-024</v>
      </c>
      <c r="C2240" t="s">
        <v>1248</v>
      </c>
      <c r="D2240" t="s">
        <v>1249</v>
      </c>
      <c r="E2240" t="s">
        <v>1250</v>
      </c>
      <c r="F2240" t="s">
        <v>201</v>
      </c>
      <c r="G2240" t="s">
        <v>1251</v>
      </c>
      <c r="H2240" t="s">
        <v>1252</v>
      </c>
      <c r="I2240" t="s">
        <v>151</v>
      </c>
      <c r="J2240">
        <v>1</v>
      </c>
      <c r="K2240">
        <v>0</v>
      </c>
      <c r="L2240">
        <v>0</v>
      </c>
      <c r="M2240">
        <v>0</v>
      </c>
      <c r="N2240" t="s">
        <v>39</v>
      </c>
    </row>
    <row r="2241" spans="1:14" x14ac:dyDescent="0.25">
      <c r="A2241" t="str">
        <f>Table3[[#This Row],[Company Name]] &amp; " - " &amp; Table3[[#This Row],[Store Name]] &amp; " - " &amp; Table3[[#This Row],[Store Branch / Address]]</f>
        <v>BALBERO PAUL ANTHONY NO COR YET - NEXSCENTS HOME CARE PRODUCTS - SM MOA</v>
      </c>
      <c r="B2241" t="str">
        <f>Table3[[#This Row],[Client ID]] &amp; " - " &amp; Table3[[#This Row],[SO Number]]</f>
        <v>BALBERO PAUL ANTHONY NO COR YET - NEXSCENTS HOME CARE PRODUCTS - SM MOA - SO-26-024</v>
      </c>
      <c r="C2241" t="s">
        <v>1248</v>
      </c>
      <c r="D2241" t="s">
        <v>1249</v>
      </c>
      <c r="E2241" t="s">
        <v>1250</v>
      </c>
      <c r="F2241" t="s">
        <v>201</v>
      </c>
      <c r="G2241" t="s">
        <v>1251</v>
      </c>
      <c r="H2241" t="s">
        <v>1252</v>
      </c>
      <c r="I2241" t="s">
        <v>210</v>
      </c>
      <c r="J2241">
        <v>1</v>
      </c>
      <c r="K2241">
        <v>530</v>
      </c>
      <c r="L2241">
        <v>700</v>
      </c>
      <c r="M2241">
        <v>700</v>
      </c>
      <c r="N2241" t="s">
        <v>39</v>
      </c>
    </row>
    <row r="2242" spans="1:14" x14ac:dyDescent="0.25">
      <c r="A2242" t="str">
        <f>Table3[[#This Row],[Company Name]] &amp; " - " &amp; Table3[[#This Row],[Store Name]] &amp; " - " &amp; Table3[[#This Row],[Store Branch / Address]]</f>
        <v>BALBERO PAUL ANTHONY NO COR YET - NEXSCENTS HOME CARE PRODUCTS - SM MOA</v>
      </c>
      <c r="B2242" t="str">
        <f>Table3[[#This Row],[Client ID]] &amp; " - " &amp; Table3[[#This Row],[SO Number]]</f>
        <v>BALBERO PAUL ANTHONY NO COR YET - NEXSCENTS HOME CARE PRODUCTS - SM MOA - SO-26-024</v>
      </c>
      <c r="C2242" t="s">
        <v>1248</v>
      </c>
      <c r="D2242" t="s">
        <v>1249</v>
      </c>
      <c r="E2242" t="s">
        <v>1250</v>
      </c>
      <c r="F2242" t="s">
        <v>201</v>
      </c>
      <c r="G2242" t="s">
        <v>1251</v>
      </c>
      <c r="H2242" t="s">
        <v>1252</v>
      </c>
      <c r="I2242" t="s">
        <v>63</v>
      </c>
      <c r="J2242">
        <v>1</v>
      </c>
      <c r="K2242">
        <v>800</v>
      </c>
      <c r="L2242">
        <v>800</v>
      </c>
      <c r="M2242">
        <v>800</v>
      </c>
      <c r="N2242" t="s">
        <v>39</v>
      </c>
    </row>
    <row r="2243" spans="1:14" x14ac:dyDescent="0.25">
      <c r="A2243" t="str">
        <f>Table3[[#This Row],[Company Name]] &amp; " - " &amp; Table3[[#This Row],[Store Name]] &amp; " - " &amp; Table3[[#This Row],[Store Branch / Address]]</f>
        <v>GINTONG PATATAS ENTERPRISES INC - POTATO GIANT - GENERIC</v>
      </c>
      <c r="B2243" t="str">
        <f>Table3[[#This Row],[Client ID]] &amp; " - " &amp; Table3[[#This Row],[SO Number]]</f>
        <v>GINTONG PATATAS ENTERPRISES INC - POTATO GIANT - GENERIC - SO-26-025</v>
      </c>
      <c r="C2243" t="s">
        <v>1257</v>
      </c>
      <c r="D2243" t="s">
        <v>305</v>
      </c>
      <c r="E2243" t="s">
        <v>306</v>
      </c>
      <c r="F2243" t="s">
        <v>15</v>
      </c>
      <c r="G2243" t="s">
        <v>37</v>
      </c>
      <c r="H2243" t="s">
        <v>1258</v>
      </c>
      <c r="I2243" t="s">
        <v>209</v>
      </c>
      <c r="J2243">
        <v>1</v>
      </c>
      <c r="K2243">
        <v>26250</v>
      </c>
      <c r="L2243">
        <v>32300</v>
      </c>
      <c r="M2243">
        <v>32300</v>
      </c>
      <c r="N2243" t="s">
        <v>19</v>
      </c>
    </row>
    <row r="2244" spans="1:14" x14ac:dyDescent="0.25">
      <c r="A2244" t="str">
        <f>Table3[[#This Row],[Company Name]] &amp; " - " &amp; Table3[[#This Row],[Store Name]] &amp; " - " &amp; Table3[[#This Row],[Store Branch / Address]]</f>
        <v>GINTONG PATATAS ENTERPRISES INC - POTATO GIANT - GENERIC</v>
      </c>
      <c r="B2244" t="str">
        <f>Table3[[#This Row],[Client ID]] &amp; " - " &amp; Table3[[#This Row],[SO Number]]</f>
        <v>GINTONG PATATAS ENTERPRISES INC - POTATO GIANT - GENERIC - SO-26-025</v>
      </c>
      <c r="C2244" t="s">
        <v>1257</v>
      </c>
      <c r="D2244" t="s">
        <v>305</v>
      </c>
      <c r="E2244" t="s">
        <v>306</v>
      </c>
      <c r="F2244" t="s">
        <v>15</v>
      </c>
      <c r="G2244" t="s">
        <v>37</v>
      </c>
      <c r="H2244" t="s">
        <v>1258</v>
      </c>
      <c r="I2244" t="s">
        <v>151</v>
      </c>
      <c r="J2244">
        <v>1</v>
      </c>
      <c r="K2244">
        <v>2000</v>
      </c>
      <c r="L2244">
        <v>3000</v>
      </c>
      <c r="M2244">
        <v>3000</v>
      </c>
      <c r="N2244" t="s">
        <v>19</v>
      </c>
    </row>
    <row r="2245" spans="1:14" x14ac:dyDescent="0.25">
      <c r="A2245" t="str">
        <f>Table3[[#This Row],[Company Name]] &amp; " - " &amp; Table3[[#This Row],[Store Name]] &amp; " - " &amp; Table3[[#This Row],[Store Branch / Address]]</f>
        <v>GINTONG PATATAS ENTERPRISES INC - POTATO GIANT - GENERIC</v>
      </c>
      <c r="B2245" t="str">
        <f>Table3[[#This Row],[Client ID]] &amp; " - " &amp; Table3[[#This Row],[SO Number]]</f>
        <v>GINTONG PATATAS ENTERPRISES INC - POTATO GIANT - GENERIC - SO-26-025</v>
      </c>
      <c r="C2245" t="s">
        <v>1257</v>
      </c>
      <c r="D2245" t="s">
        <v>305</v>
      </c>
      <c r="E2245" t="s">
        <v>306</v>
      </c>
      <c r="F2245" t="s">
        <v>15</v>
      </c>
      <c r="G2245" t="s">
        <v>37</v>
      </c>
      <c r="H2245" t="s">
        <v>1258</v>
      </c>
      <c r="I2245" t="s">
        <v>210</v>
      </c>
      <c r="J2245">
        <v>1</v>
      </c>
      <c r="K2245">
        <v>530</v>
      </c>
      <c r="L2245">
        <v>700</v>
      </c>
      <c r="M2245">
        <v>700</v>
      </c>
      <c r="N2245" t="s">
        <v>19</v>
      </c>
    </row>
    <row r="2246" spans="1:14" x14ac:dyDescent="0.25">
      <c r="A2246" t="str">
        <f>Table3[[#This Row],[Company Name]] &amp; " - " &amp; Table3[[#This Row],[Store Name]] &amp; " - " &amp; Table3[[#This Row],[Store Branch / Address]]</f>
        <v>GINTONG PATATAS ENTERPRISES INC - POTATO GIANT - GENERIC</v>
      </c>
      <c r="B2246" t="str">
        <f>Table3[[#This Row],[Client ID]] &amp; " - " &amp; Table3[[#This Row],[SO Number]]</f>
        <v>GINTONG PATATAS ENTERPRISES INC - POTATO GIANT - GENERIC - SO-26-025</v>
      </c>
      <c r="C2246" t="s">
        <v>1257</v>
      </c>
      <c r="D2246" t="s">
        <v>305</v>
      </c>
      <c r="E2246" t="s">
        <v>306</v>
      </c>
      <c r="F2246" t="s">
        <v>15</v>
      </c>
      <c r="G2246" t="s">
        <v>37</v>
      </c>
      <c r="H2246" t="s">
        <v>1258</v>
      </c>
      <c r="I2246" t="s">
        <v>211</v>
      </c>
      <c r="J2246">
        <v>1</v>
      </c>
      <c r="K2246">
        <v>350</v>
      </c>
      <c r="L2246">
        <v>500</v>
      </c>
      <c r="M2246">
        <v>500</v>
      </c>
      <c r="N2246" t="s">
        <v>19</v>
      </c>
    </row>
    <row r="2247" spans="1:14" x14ac:dyDescent="0.25">
      <c r="A2247" t="str">
        <f>Table3[[#This Row],[Company Name]] &amp; " - " &amp; Table3[[#This Row],[Store Name]] &amp; " - " &amp; Table3[[#This Row],[Store Branch / Address]]</f>
        <v>GINTONG PATATAS ENTERPRISES INC - POTATO GIANT - GENERIC</v>
      </c>
      <c r="B2247" t="str">
        <f>Table3[[#This Row],[Client ID]] &amp; " - " &amp; Table3[[#This Row],[SO Number]]</f>
        <v>GINTONG PATATAS ENTERPRISES INC - POTATO GIANT - GENERIC - SO-26-025</v>
      </c>
      <c r="C2247" t="s">
        <v>1257</v>
      </c>
      <c r="D2247" t="s">
        <v>305</v>
      </c>
      <c r="E2247" t="s">
        <v>306</v>
      </c>
      <c r="F2247" t="s">
        <v>15</v>
      </c>
      <c r="G2247" t="s">
        <v>37</v>
      </c>
      <c r="H2247" t="s">
        <v>1258</v>
      </c>
      <c r="I2247" t="s">
        <v>26</v>
      </c>
      <c r="J2247">
        <v>1</v>
      </c>
      <c r="K2247">
        <v>500</v>
      </c>
      <c r="L2247">
        <v>500</v>
      </c>
      <c r="M2247">
        <v>500</v>
      </c>
      <c r="N2247" t="s">
        <v>19</v>
      </c>
    </row>
    <row r="2248" spans="1:14" x14ac:dyDescent="0.25">
      <c r="A2248" t="str">
        <f>Table3[[#This Row],[Company Name]] &amp; " - " &amp; Table3[[#This Row],[Store Name]] &amp; " - " &amp; Table3[[#This Row],[Store Branch / Address]]</f>
        <v>CHICKEN DELI - GONGCHA - GENERIC</v>
      </c>
      <c r="B2248" t="str">
        <f>Table3[[#This Row],[Client ID]] &amp; " - " &amp; Table3[[#This Row],[SO Number]]</f>
        <v>CHICKEN DELI - GONGCHA - GENERIC - SO-030</v>
      </c>
      <c r="C2248" t="s">
        <v>243</v>
      </c>
      <c r="D2248" t="s">
        <v>20</v>
      </c>
      <c r="E2248" t="s">
        <v>31</v>
      </c>
      <c r="F2248" t="s">
        <v>15</v>
      </c>
      <c r="G2248" t="s">
        <v>22</v>
      </c>
      <c r="H2248" t="s">
        <v>1272</v>
      </c>
      <c r="I2248" t="s">
        <v>912</v>
      </c>
      <c r="J2248">
        <v>1</v>
      </c>
      <c r="K2248">
        <v>15000</v>
      </c>
      <c r="L2248">
        <v>15000</v>
      </c>
      <c r="M2248">
        <v>15000</v>
      </c>
      <c r="N2248" t="s">
        <v>19</v>
      </c>
    </row>
    <row r="2249" spans="1:14" x14ac:dyDescent="0.25">
      <c r="A2249" t="str">
        <f>Table3[[#This Row],[Company Name]] &amp; " - " &amp; Table3[[#This Row],[Store Name]] &amp; " - " &amp; Table3[[#This Row],[Store Branch / Address]]</f>
        <v>CHICKEN DELI - KARIMADON - GENERIC</v>
      </c>
      <c r="B2249" t="str">
        <f>Table3[[#This Row],[Client ID]] &amp; " - " &amp; Table3[[#This Row],[SO Number]]</f>
        <v>CHICKEN DELI - KARIMADON - GENERIC - SO-031</v>
      </c>
      <c r="C2249" t="s">
        <v>245</v>
      </c>
      <c r="D2249" t="s">
        <v>20</v>
      </c>
      <c r="E2249" t="s">
        <v>263</v>
      </c>
      <c r="F2249" t="s">
        <v>15</v>
      </c>
      <c r="G2249" t="s">
        <v>22</v>
      </c>
      <c r="H2249" t="s">
        <v>1272</v>
      </c>
      <c r="I2249" t="s">
        <v>1275</v>
      </c>
      <c r="J2249">
        <v>1</v>
      </c>
      <c r="K2249">
        <v>8000</v>
      </c>
      <c r="L2249">
        <v>14500</v>
      </c>
      <c r="M2249">
        <v>14500</v>
      </c>
      <c r="N2249" t="s">
        <v>19</v>
      </c>
    </row>
    <row r="2250" spans="1:14" x14ac:dyDescent="0.25">
      <c r="A2250" t="str">
        <f>Table3[[#This Row],[Company Name]] &amp; " - " &amp; Table3[[#This Row],[Store Name]] &amp; " - " &amp; Table3[[#This Row],[Store Branch / Address]]</f>
        <v>CHICKEN DELI - KARIMADON - GENERIC</v>
      </c>
      <c r="B2250" t="str">
        <f>Table3[[#This Row],[Client ID]] &amp; " - " &amp; Table3[[#This Row],[SO Number]]</f>
        <v>CHICKEN DELI - KARIMADON - GENERIC - SO-031</v>
      </c>
      <c r="C2250" t="s">
        <v>245</v>
      </c>
      <c r="D2250" t="s">
        <v>20</v>
      </c>
      <c r="E2250" t="s">
        <v>263</v>
      </c>
      <c r="F2250" t="s">
        <v>15</v>
      </c>
      <c r="G2250" t="s">
        <v>22</v>
      </c>
      <c r="H2250" t="s">
        <v>1272</v>
      </c>
      <c r="I2250" t="s">
        <v>76</v>
      </c>
      <c r="J2250">
        <v>1</v>
      </c>
      <c r="K2250">
        <v>500</v>
      </c>
      <c r="L2250">
        <v>500</v>
      </c>
      <c r="M2250">
        <v>500</v>
      </c>
      <c r="N2250" t="s">
        <v>19</v>
      </c>
    </row>
    <row r="2251" spans="1:14" x14ac:dyDescent="0.25">
      <c r="A2251" t="str">
        <f>Table3[[#This Row],[Company Name]] &amp; " - " &amp; Table3[[#This Row],[Store Name]] &amp; " - " &amp; Table3[[#This Row],[Store Branch / Address]]</f>
        <v>UNIMEDS DRUGSTORE OPC - UNIMEDS DRUGSTORE OPC - SORSOGON</v>
      </c>
      <c r="B2251" t="str">
        <f>Table3[[#This Row],[Client ID]] &amp; " - " &amp; Table3[[#This Row],[SO Number]]</f>
        <v>UNIMEDS DRUGSTORE OPC - UNIMEDS DRUGSTORE OPC - SORSOGON - SO-26-009</v>
      </c>
      <c r="C2251" t="s">
        <v>1198</v>
      </c>
      <c r="D2251" t="s">
        <v>1399</v>
      </c>
      <c r="E2251" t="s">
        <v>1399</v>
      </c>
      <c r="F2251" t="s">
        <v>1400</v>
      </c>
      <c r="G2251" t="s">
        <v>1088</v>
      </c>
      <c r="H2251" t="s">
        <v>1401</v>
      </c>
      <c r="I2251" t="s">
        <v>1130</v>
      </c>
      <c r="J2251">
        <v>6</v>
      </c>
      <c r="K2251">
        <v>6300</v>
      </c>
      <c r="L2251">
        <v>18000</v>
      </c>
      <c r="M2251">
        <v>108000</v>
      </c>
      <c r="N2251" t="s">
        <v>1010</v>
      </c>
    </row>
    <row r="2252" spans="1:14" x14ac:dyDescent="0.25">
      <c r="A2252" t="str">
        <f>Table3[[#This Row],[Company Name]] &amp; " - " &amp; Table3[[#This Row],[Store Name]] &amp; " - " &amp; Table3[[#This Row],[Store Branch / Address]]</f>
        <v>UNIMEDS DRUGSTORE OPC - UNIMEDS DRUGSTORE OPC - SORSOGON</v>
      </c>
      <c r="B2252" t="str">
        <f>Table3[[#This Row],[Client ID]] &amp; " - " &amp; Table3[[#This Row],[SO Number]]</f>
        <v>UNIMEDS DRUGSTORE OPC - UNIMEDS DRUGSTORE OPC - SORSOGON - SO-26-009</v>
      </c>
      <c r="C2252" t="s">
        <v>1198</v>
      </c>
      <c r="D2252" t="s">
        <v>1399</v>
      </c>
      <c r="E2252" t="s">
        <v>1399</v>
      </c>
      <c r="F2252" t="s">
        <v>1400</v>
      </c>
      <c r="G2252" t="s">
        <v>1088</v>
      </c>
      <c r="H2252" t="s">
        <v>1401</v>
      </c>
      <c r="I2252" t="s">
        <v>26</v>
      </c>
      <c r="J2252">
        <v>6</v>
      </c>
      <c r="K2252">
        <v>500</v>
      </c>
      <c r="L2252">
        <v>500</v>
      </c>
      <c r="M2252">
        <v>3000</v>
      </c>
      <c r="N2252" t="s">
        <v>1010</v>
      </c>
    </row>
    <row r="2253" spans="1:14" x14ac:dyDescent="0.25">
      <c r="A2253" t="str">
        <f>Table3[[#This Row],[Company Name]] &amp; " - " &amp; Table3[[#This Row],[Store Name]] &amp; " - " &amp; Table3[[#This Row],[Store Branch / Address]]</f>
        <v>UNIMEDS DRUGSTORE OPC - UNIMEDS DRUGSTORE OPC - SORSOGON</v>
      </c>
      <c r="B2253" t="str">
        <f>Table3[[#This Row],[Client ID]] &amp; " - " &amp; Table3[[#This Row],[SO Number]]</f>
        <v>UNIMEDS DRUGSTORE OPC - UNIMEDS DRUGSTORE OPC - SORSOGON - SO-26-009</v>
      </c>
      <c r="C2253" t="s">
        <v>1198</v>
      </c>
      <c r="D2253" t="s">
        <v>1399</v>
      </c>
      <c r="E2253" t="s">
        <v>1399</v>
      </c>
      <c r="F2253" t="s">
        <v>1400</v>
      </c>
      <c r="G2253" t="s">
        <v>1088</v>
      </c>
      <c r="H2253" t="s">
        <v>1401</v>
      </c>
      <c r="I2253" t="s">
        <v>537</v>
      </c>
      <c r="J2253">
        <v>6</v>
      </c>
      <c r="K2253">
        <v>20750</v>
      </c>
      <c r="L2253">
        <v>20750</v>
      </c>
      <c r="M2253">
        <v>124500</v>
      </c>
      <c r="N2253" t="s">
        <v>1010</v>
      </c>
    </row>
    <row r="2254" spans="1:14" x14ac:dyDescent="0.25">
      <c r="A2254" t="str">
        <f>Table3[[#This Row],[Company Name]] &amp; " - " &amp; Table3[[#This Row],[Store Name]] &amp; " - " &amp; Table3[[#This Row],[Store Branch / Address]]</f>
        <v>UNIMEDS DRUGSTORE OPC - UNIMEDS DRUGSTORE OPC - SORSOGON</v>
      </c>
      <c r="B2254" t="str">
        <f>Table3[[#This Row],[Client ID]] &amp; " - " &amp; Table3[[#This Row],[SO Number]]</f>
        <v>UNIMEDS DRUGSTORE OPC - UNIMEDS DRUGSTORE OPC - SORSOGON - SO-26-009</v>
      </c>
      <c r="C2254" t="s">
        <v>1198</v>
      </c>
      <c r="D2254" t="s">
        <v>1399</v>
      </c>
      <c r="E2254" t="s">
        <v>1399</v>
      </c>
      <c r="F2254" t="s">
        <v>1400</v>
      </c>
      <c r="G2254" t="s">
        <v>1088</v>
      </c>
      <c r="H2254" t="s">
        <v>1401</v>
      </c>
      <c r="I2254" t="s">
        <v>24</v>
      </c>
      <c r="J2254">
        <v>6</v>
      </c>
      <c r="K2254">
        <v>20750</v>
      </c>
      <c r="L2254">
        <v>20750</v>
      </c>
      <c r="M2254">
        <v>124500</v>
      </c>
      <c r="N2254" t="s">
        <v>1010</v>
      </c>
    </row>
    <row r="2255" spans="1:14" x14ac:dyDescent="0.25">
      <c r="A2255" t="str">
        <f>Table3[[#This Row],[Company Name]] &amp; " - " &amp; Table3[[#This Row],[Store Name]] &amp; " - " &amp; Table3[[#This Row],[Store Branch / Address]]</f>
        <v>UNIMEDS DRUGSTORE OPC - UNIMEDS DRUGSTORE OPC - SORSOGON</v>
      </c>
      <c r="B2255" t="str">
        <f>Table3[[#This Row],[Client ID]] &amp; " - " &amp; Table3[[#This Row],[SO Number]]</f>
        <v>UNIMEDS DRUGSTORE OPC - UNIMEDS DRUGSTORE OPC - SORSOGON - SO-26-009</v>
      </c>
      <c r="C2255" t="s">
        <v>1198</v>
      </c>
      <c r="D2255" t="s">
        <v>1399</v>
      </c>
      <c r="E2255" t="s">
        <v>1399</v>
      </c>
      <c r="F2255" t="s">
        <v>1400</v>
      </c>
      <c r="G2255" t="s">
        <v>1088</v>
      </c>
      <c r="H2255" t="s">
        <v>1401</v>
      </c>
      <c r="I2255" t="s">
        <v>127</v>
      </c>
      <c r="J2255">
        <v>6</v>
      </c>
      <c r="K2255">
        <v>3500</v>
      </c>
      <c r="L2255">
        <v>10000</v>
      </c>
      <c r="M2255">
        <v>60000</v>
      </c>
      <c r="N2255" t="s">
        <v>1010</v>
      </c>
    </row>
    <row r="2256" spans="1:14" x14ac:dyDescent="0.25">
      <c r="A2256" t="str">
        <f>Table3[[#This Row],[Company Name]] &amp; " - " &amp; Table3[[#This Row],[Store Name]] &amp; " - " &amp; Table3[[#This Row],[Store Branch / Address]]</f>
        <v>CHICKEN DELI - OJO EYEWEAR - GENERIC</v>
      </c>
      <c r="B2256" t="str">
        <f>Table3[[#This Row],[Client ID]] &amp; " - " &amp; Table3[[#This Row],[SO Number]]</f>
        <v>CHICKEN DELI - OJO EYEWEAR - GENERIC - SO-033</v>
      </c>
      <c r="C2256" t="s">
        <v>255</v>
      </c>
      <c r="D2256" t="s">
        <v>20</v>
      </c>
      <c r="E2256" t="s">
        <v>70</v>
      </c>
      <c r="F2256" t="s">
        <v>15</v>
      </c>
      <c r="G2256" t="s">
        <v>22</v>
      </c>
      <c r="H2256" t="s">
        <v>1281</v>
      </c>
      <c r="I2256" t="s">
        <v>715</v>
      </c>
      <c r="J2256">
        <v>100</v>
      </c>
      <c r="K2256">
        <v>17</v>
      </c>
      <c r="L2256">
        <v>25</v>
      </c>
      <c r="M2256">
        <v>2500</v>
      </c>
      <c r="N2256" t="s">
        <v>19</v>
      </c>
    </row>
    <row r="2257" spans="1:14" x14ac:dyDescent="0.25">
      <c r="A2257" t="str">
        <f>Table3[[#This Row],[Company Name]] &amp; " - " &amp; Table3[[#This Row],[Store Name]] &amp; " - " &amp; Table3[[#This Row],[Store Branch / Address]]</f>
        <v>CHICKEN DELI - OJO EYEWEAR - GENERIC</v>
      </c>
      <c r="B2257" t="str">
        <f>Table3[[#This Row],[Client ID]] &amp; " - " &amp; Table3[[#This Row],[SO Number]]</f>
        <v>CHICKEN DELI - OJO EYEWEAR - GENERIC - SO-033</v>
      </c>
      <c r="C2257" t="s">
        <v>255</v>
      </c>
      <c r="D2257" t="s">
        <v>20</v>
      </c>
      <c r="E2257" t="s">
        <v>70</v>
      </c>
      <c r="F2257" t="s">
        <v>15</v>
      </c>
      <c r="G2257" t="s">
        <v>22</v>
      </c>
      <c r="H2257" t="s">
        <v>1281</v>
      </c>
      <c r="I2257" t="s">
        <v>62</v>
      </c>
      <c r="J2257">
        <v>100</v>
      </c>
      <c r="K2257">
        <v>47</v>
      </c>
      <c r="L2257">
        <v>80</v>
      </c>
      <c r="M2257">
        <v>8000</v>
      </c>
      <c r="N2257" t="s">
        <v>19</v>
      </c>
    </row>
    <row r="2258" spans="1:14" x14ac:dyDescent="0.25">
      <c r="A2258" t="str">
        <f>Table3[[#This Row],[Company Name]] &amp; " - " &amp; Table3[[#This Row],[Store Name]] &amp; " - " &amp; Table3[[#This Row],[Store Branch / Address]]</f>
        <v>JASMINE BLOOM TEA INC - SERENITEA - ES:</v>
      </c>
      <c r="B2258" t="str">
        <f>Table3[[#This Row],[Client ID]] &amp; " - " &amp; Table3[[#This Row],[SO Number]]</f>
        <v>JASMINE BLOOM TEA INC - SERENITEA - ES: - SO-26-026</v>
      </c>
      <c r="C2258" t="s">
        <v>1261</v>
      </c>
      <c r="D2258" t="s">
        <v>253</v>
      </c>
      <c r="E2258" t="s">
        <v>239</v>
      </c>
      <c r="F2258" t="s">
        <v>266</v>
      </c>
      <c r="G2258" t="s">
        <v>16</v>
      </c>
      <c r="H2258" t="s">
        <v>1262</v>
      </c>
      <c r="I2258" t="s">
        <v>267</v>
      </c>
      <c r="J2258">
        <v>3</v>
      </c>
      <c r="K2258">
        <v>10000</v>
      </c>
      <c r="L2258">
        <v>10000</v>
      </c>
      <c r="M2258">
        <v>30000</v>
      </c>
      <c r="N2258" t="s">
        <v>19</v>
      </c>
    </row>
    <row r="2259" spans="1:14" x14ac:dyDescent="0.25">
      <c r="A2259" t="str">
        <f>Table3[[#This Row],[Company Name]] &amp; " - " &amp; Table3[[#This Row],[Store Name]] &amp; " - " &amp; Table3[[#This Row],[Store Branch / Address]]</f>
        <v>DRAGONWELL TEA INC - SERENITEA - ES:</v>
      </c>
      <c r="B2259" t="str">
        <f>Table3[[#This Row],[Client ID]] &amp; " - " &amp; Table3[[#This Row],[SO Number]]</f>
        <v>DRAGONWELL TEA INC - SERENITEA - ES: - SO-26-027</v>
      </c>
      <c r="C2259" t="s">
        <v>1263</v>
      </c>
      <c r="D2259" t="s">
        <v>238</v>
      </c>
      <c r="E2259" t="s">
        <v>239</v>
      </c>
      <c r="F2259" t="s">
        <v>266</v>
      </c>
      <c r="G2259" t="s">
        <v>16</v>
      </c>
      <c r="H2259" t="s">
        <v>1262</v>
      </c>
      <c r="I2259" t="s">
        <v>267</v>
      </c>
      <c r="J2259">
        <v>3</v>
      </c>
      <c r="K2259">
        <v>10000</v>
      </c>
      <c r="L2259">
        <v>10000</v>
      </c>
      <c r="M2259">
        <v>30000</v>
      </c>
      <c r="N2259" t="s">
        <v>19</v>
      </c>
    </row>
    <row r="2260" spans="1:14" x14ac:dyDescent="0.25">
      <c r="A2260" t="str">
        <f>Table3[[#This Row],[Company Name]] &amp; " - " &amp; Table3[[#This Row],[Store Name]] &amp; " - " &amp; Table3[[#This Row],[Store Branch / Address]]</f>
        <v>ALI SHAN TEA CORP - SERENITEA - ES:</v>
      </c>
      <c r="B2260" t="str">
        <f>Table3[[#This Row],[Client ID]] &amp; " - " &amp; Table3[[#This Row],[SO Number]]</f>
        <v>ALI SHAN TEA CORP - SERENITEA - ES: - SO-26-028</v>
      </c>
      <c r="C2260" t="s">
        <v>1266</v>
      </c>
      <c r="D2260" t="s">
        <v>269</v>
      </c>
      <c r="E2260" t="s">
        <v>239</v>
      </c>
      <c r="F2260" t="s">
        <v>266</v>
      </c>
      <c r="G2260" t="s">
        <v>16</v>
      </c>
      <c r="H2260" t="s">
        <v>1262</v>
      </c>
      <c r="I2260" t="s">
        <v>267</v>
      </c>
      <c r="J2260">
        <v>2</v>
      </c>
      <c r="K2260">
        <v>10000</v>
      </c>
      <c r="L2260">
        <v>10000</v>
      </c>
      <c r="M2260">
        <v>20000</v>
      </c>
      <c r="N2260" t="s">
        <v>19</v>
      </c>
    </row>
    <row r="2261" spans="1:14" x14ac:dyDescent="0.25">
      <c r="A2261" t="str">
        <f>Table3[[#This Row],[Company Name]] &amp; " - " &amp; Table3[[#This Row],[Store Name]] &amp; " - " &amp; Table3[[#This Row],[Store Branch / Address]]</f>
        <v>CHICKEN DELI - GONGCHA - GENERIC</v>
      </c>
      <c r="B2261" t="str">
        <f>Table3[[#This Row],[Client ID]] &amp; " - " &amp; Table3[[#This Row],[SO Number]]</f>
        <v>CHICKEN DELI - GONGCHA - GENERIC - SO-032</v>
      </c>
      <c r="C2261" t="s">
        <v>251</v>
      </c>
      <c r="D2261" t="s">
        <v>20</v>
      </c>
      <c r="E2261" t="s">
        <v>31</v>
      </c>
      <c r="F2261" t="s">
        <v>15</v>
      </c>
      <c r="G2261" t="s">
        <v>22</v>
      </c>
      <c r="H2261" t="s">
        <v>1262</v>
      </c>
      <c r="I2261" t="s">
        <v>145</v>
      </c>
      <c r="J2261">
        <v>1</v>
      </c>
      <c r="K2261">
        <v>6300</v>
      </c>
      <c r="L2261">
        <v>18000</v>
      </c>
      <c r="M2261">
        <v>18000</v>
      </c>
      <c r="N2261" t="s">
        <v>19</v>
      </c>
    </row>
    <row r="2262" spans="1:14" x14ac:dyDescent="0.25">
      <c r="A2262" t="str">
        <f>Table3[[#This Row],[Company Name]] &amp; " - " &amp; Table3[[#This Row],[Store Name]] &amp; " - " &amp; Table3[[#This Row],[Store Branch / Address]]</f>
        <v>CHICKEN DELI - GONGCHA - GENERIC</v>
      </c>
      <c r="B2262" t="str">
        <f>Table3[[#This Row],[Client ID]] &amp; " - " &amp; Table3[[#This Row],[SO Number]]</f>
        <v>CHICKEN DELI - GONGCHA - GENERIC - SO-032</v>
      </c>
      <c r="C2262" t="s">
        <v>251</v>
      </c>
      <c r="D2262" t="s">
        <v>20</v>
      </c>
      <c r="E2262" t="s">
        <v>31</v>
      </c>
      <c r="F2262" t="s">
        <v>15</v>
      </c>
      <c r="G2262" t="s">
        <v>22</v>
      </c>
      <c r="H2262" t="s">
        <v>1262</v>
      </c>
      <c r="I2262" t="s">
        <v>299</v>
      </c>
      <c r="J2262">
        <v>1</v>
      </c>
      <c r="K2262">
        <v>5750</v>
      </c>
      <c r="L2262">
        <v>5750</v>
      </c>
      <c r="M2262">
        <v>5750</v>
      </c>
      <c r="N2262" t="s">
        <v>19</v>
      </c>
    </row>
    <row r="2263" spans="1:14" x14ac:dyDescent="0.25">
      <c r="A2263" t="str">
        <f>Table3[[#This Row],[Company Name]] &amp; " - " &amp; Table3[[#This Row],[Store Name]] &amp; " - " &amp; Table3[[#This Row],[Store Branch / Address]]</f>
        <v>CHICKEN DELI - GONGCHA - GENERIC</v>
      </c>
      <c r="B2263" t="str">
        <f>Table3[[#This Row],[Client ID]] &amp; " - " &amp; Table3[[#This Row],[SO Number]]</f>
        <v>CHICKEN DELI - GONGCHA - GENERIC - SO-032</v>
      </c>
      <c r="C2263" t="s">
        <v>251</v>
      </c>
      <c r="D2263" t="s">
        <v>20</v>
      </c>
      <c r="E2263" t="s">
        <v>31</v>
      </c>
      <c r="F2263" t="s">
        <v>15</v>
      </c>
      <c r="G2263" t="s">
        <v>22</v>
      </c>
      <c r="H2263" t="s">
        <v>1262</v>
      </c>
      <c r="I2263" t="s">
        <v>25</v>
      </c>
      <c r="J2263">
        <v>1</v>
      </c>
      <c r="K2263">
        <v>5750</v>
      </c>
      <c r="L2263">
        <v>5750</v>
      </c>
      <c r="M2263">
        <v>5750</v>
      </c>
      <c r="N2263" t="s">
        <v>19</v>
      </c>
    </row>
    <row r="2264" spans="1:14" x14ac:dyDescent="0.25">
      <c r="A2264" t="str">
        <f>Table3[[#This Row],[Company Name]] &amp; " - " &amp; Table3[[#This Row],[Store Name]] &amp; " - " &amp; Table3[[#This Row],[Store Branch / Address]]</f>
        <v>CHICKEN DELI - GONGCHA - GENERIC</v>
      </c>
      <c r="B2264" t="str">
        <f>Table3[[#This Row],[Client ID]] &amp; " - " &amp; Table3[[#This Row],[SO Number]]</f>
        <v>CHICKEN DELI - GONGCHA - GENERIC - SO-032</v>
      </c>
      <c r="C2264" t="s">
        <v>251</v>
      </c>
      <c r="D2264" t="s">
        <v>20</v>
      </c>
      <c r="E2264" t="s">
        <v>31</v>
      </c>
      <c r="F2264" t="s">
        <v>15</v>
      </c>
      <c r="G2264" t="s">
        <v>22</v>
      </c>
      <c r="H2264" t="s">
        <v>1262</v>
      </c>
      <c r="I2264" t="s">
        <v>134</v>
      </c>
      <c r="J2264">
        <v>1</v>
      </c>
      <c r="K2264">
        <v>500</v>
      </c>
      <c r="L2264">
        <v>500</v>
      </c>
      <c r="M2264">
        <v>500</v>
      </c>
      <c r="N2264" t="s">
        <v>19</v>
      </c>
    </row>
    <row r="2265" spans="1:14" x14ac:dyDescent="0.25">
      <c r="A2265" t="str">
        <f>Table3[[#This Row],[Company Name]] &amp; " - " &amp; Table3[[#This Row],[Store Name]] &amp; " - " &amp; Table3[[#This Row],[Store Branch / Address]]</f>
        <v>MIZAN FOOD OPC - ARYA - GENERIC</v>
      </c>
      <c r="B2265" t="str">
        <f>Table3[[#This Row],[Client ID]] &amp; " - " &amp; Table3[[#This Row],[SO Number]]</f>
        <v>MIZAN FOOD OPC - ARYA - GENERIC - SO-26-029</v>
      </c>
      <c r="C2265" t="s">
        <v>1268</v>
      </c>
      <c r="D2265" t="s">
        <v>1269</v>
      </c>
      <c r="E2265" t="s">
        <v>160</v>
      </c>
      <c r="F2265" t="s">
        <v>15</v>
      </c>
      <c r="G2265" t="s">
        <v>22</v>
      </c>
      <c r="H2265" t="s">
        <v>1270</v>
      </c>
      <c r="I2265" t="s">
        <v>939</v>
      </c>
      <c r="J2265">
        <v>1</v>
      </c>
      <c r="K2265">
        <v>9850</v>
      </c>
      <c r="L2265">
        <v>13500</v>
      </c>
      <c r="M2265">
        <v>13500</v>
      </c>
      <c r="N2265" t="s">
        <v>39</v>
      </c>
    </row>
    <row r="2266" spans="1:14" x14ac:dyDescent="0.25">
      <c r="A2266" t="str">
        <f>Table3[[#This Row],[Company Name]] &amp; " - " &amp; Table3[[#This Row],[Store Name]] &amp; " - " &amp; Table3[[#This Row],[Store Branch / Address]]</f>
        <v>CHICKEN DELI - GONGCHA - GENERIC</v>
      </c>
      <c r="B2266" t="str">
        <f>Table3[[#This Row],[Client ID]] &amp; " - " &amp; Table3[[#This Row],[SO Number]]</f>
        <v>CHICKEN DELI - GONGCHA - GENERIC - SO-034</v>
      </c>
      <c r="C2266" t="s">
        <v>262</v>
      </c>
      <c r="D2266" t="s">
        <v>20</v>
      </c>
      <c r="E2266" t="s">
        <v>31</v>
      </c>
      <c r="F2266" t="s">
        <v>15</v>
      </c>
      <c r="G2266" t="s">
        <v>22</v>
      </c>
      <c r="H2266" t="s">
        <v>1288</v>
      </c>
      <c r="I2266" t="s">
        <v>33</v>
      </c>
      <c r="J2266">
        <v>3</v>
      </c>
      <c r="K2266">
        <v>6500</v>
      </c>
      <c r="L2266">
        <v>6500</v>
      </c>
      <c r="M2266">
        <v>19500</v>
      </c>
      <c r="N2266" t="s">
        <v>19</v>
      </c>
    </row>
    <row r="2267" spans="1:14" x14ac:dyDescent="0.25">
      <c r="A2267" t="str">
        <f>Table3[[#This Row],[Company Name]] &amp; " - " &amp; Table3[[#This Row],[Store Name]] &amp; " - " &amp; Table3[[#This Row],[Store Branch / Address]]</f>
        <v>CHICKEN DELI - UNAROSA - GENERIC</v>
      </c>
      <c r="B2267" t="str">
        <f>Table3[[#This Row],[Client ID]] &amp; " - " &amp; Table3[[#This Row],[SO Number]]</f>
        <v>CHICKEN DELI - UNAROSA - GENERIC - SO-039</v>
      </c>
      <c r="C2267" t="s">
        <v>277</v>
      </c>
      <c r="D2267" t="s">
        <v>20</v>
      </c>
      <c r="E2267" t="s">
        <v>1300</v>
      </c>
      <c r="F2267" t="s">
        <v>15</v>
      </c>
      <c r="G2267" t="s">
        <v>22</v>
      </c>
      <c r="H2267" t="s">
        <v>1288</v>
      </c>
      <c r="I2267" t="s">
        <v>1301</v>
      </c>
      <c r="J2267">
        <v>1</v>
      </c>
      <c r="K2267">
        <v>20000</v>
      </c>
      <c r="L2267">
        <v>20000</v>
      </c>
      <c r="M2267">
        <v>20000</v>
      </c>
      <c r="N2267" t="s">
        <v>19</v>
      </c>
    </row>
    <row r="2268" spans="1:14" x14ac:dyDescent="0.25">
      <c r="A2268" t="str">
        <f>Table3[[#This Row],[Company Name]] &amp; " - " &amp; Table3[[#This Row],[Store Name]] &amp; " - " &amp; Table3[[#This Row],[Store Branch / Address]]</f>
        <v>CHICKEN DELI - UNAROSA - GENERIC</v>
      </c>
      <c r="B2268" t="str">
        <f>Table3[[#This Row],[Client ID]] &amp; " - " &amp; Table3[[#This Row],[SO Number]]</f>
        <v>CHICKEN DELI - UNAROSA - GENERIC - SO-039</v>
      </c>
      <c r="C2268" t="s">
        <v>277</v>
      </c>
      <c r="D2268" t="s">
        <v>20</v>
      </c>
      <c r="E2268" t="s">
        <v>1300</v>
      </c>
      <c r="F2268" t="s">
        <v>15</v>
      </c>
      <c r="G2268" t="s">
        <v>22</v>
      </c>
      <c r="H2268" t="s">
        <v>1288</v>
      </c>
      <c r="I2268" t="s">
        <v>1302</v>
      </c>
      <c r="J2268">
        <v>1</v>
      </c>
      <c r="K2268">
        <v>5200</v>
      </c>
      <c r="L2268">
        <v>7500</v>
      </c>
      <c r="M2268">
        <v>7500</v>
      </c>
      <c r="N2268" t="s">
        <v>19</v>
      </c>
    </row>
    <row r="2269" spans="1:14" x14ac:dyDescent="0.25">
      <c r="A2269" t="str">
        <f>Table3[[#This Row],[Company Name]] &amp; " - " &amp; Table3[[#This Row],[Store Name]] &amp; " - " &amp; Table3[[#This Row],[Store Branch / Address]]</f>
        <v>CHICKEN DELI - UNAROSA - GENERIC</v>
      </c>
      <c r="B2269" t="str">
        <f>Table3[[#This Row],[Client ID]] &amp; " - " &amp; Table3[[#This Row],[SO Number]]</f>
        <v>CHICKEN DELI - UNAROSA - GENERIC - SO-039</v>
      </c>
      <c r="C2269" t="s">
        <v>277</v>
      </c>
      <c r="D2269" t="s">
        <v>20</v>
      </c>
      <c r="E2269" t="s">
        <v>1300</v>
      </c>
      <c r="F2269" t="s">
        <v>15</v>
      </c>
      <c r="G2269" t="s">
        <v>22</v>
      </c>
      <c r="H2269" t="s">
        <v>1288</v>
      </c>
      <c r="I2269" t="s">
        <v>99</v>
      </c>
      <c r="J2269">
        <v>1</v>
      </c>
      <c r="K2269">
        <v>2000</v>
      </c>
      <c r="L2269">
        <v>4000</v>
      </c>
      <c r="M2269">
        <v>4000</v>
      </c>
      <c r="N2269" t="s">
        <v>19</v>
      </c>
    </row>
    <row r="2270" spans="1:14" x14ac:dyDescent="0.25">
      <c r="A2270" t="str">
        <f>Table3[[#This Row],[Company Name]] &amp; " - " &amp; Table3[[#This Row],[Store Name]] &amp; " - " &amp; Table3[[#This Row],[Store Branch / Address]]</f>
        <v>CHICKEN DELI - UNAROSA - GENERIC</v>
      </c>
      <c r="B2270" t="str">
        <f>Table3[[#This Row],[Client ID]] &amp; " - " &amp; Table3[[#This Row],[SO Number]]</f>
        <v>CHICKEN DELI - UNAROSA - GENERIC - SO-039</v>
      </c>
      <c r="C2270" t="s">
        <v>277</v>
      </c>
      <c r="D2270" t="s">
        <v>20</v>
      </c>
      <c r="E2270" t="s">
        <v>1300</v>
      </c>
      <c r="F2270" t="s">
        <v>15</v>
      </c>
      <c r="G2270" t="s">
        <v>22</v>
      </c>
      <c r="H2270" t="s">
        <v>1288</v>
      </c>
      <c r="I2270" t="s">
        <v>26</v>
      </c>
      <c r="J2270">
        <v>1</v>
      </c>
      <c r="K2270">
        <v>500</v>
      </c>
      <c r="L2270">
        <v>500</v>
      </c>
      <c r="M2270">
        <v>500</v>
      </c>
      <c r="N2270" t="s">
        <v>19</v>
      </c>
    </row>
    <row r="2271" spans="1:14" x14ac:dyDescent="0.25">
      <c r="A2271" t="str">
        <f>Table3[[#This Row],[Company Name]] &amp; " - " &amp; Table3[[#This Row],[Store Name]] &amp; " - " &amp; Table3[[#This Row],[Store Branch / Address]]</f>
        <v>CHICKEN DELI - UNAROSA - GENERIC</v>
      </c>
      <c r="B2271" t="str">
        <f>Table3[[#This Row],[Client ID]] &amp; " - " &amp; Table3[[#This Row],[SO Number]]</f>
        <v>CHICKEN DELI - UNAROSA - GENERIC - SO-040</v>
      </c>
      <c r="C2271" t="s">
        <v>282</v>
      </c>
      <c r="D2271" t="s">
        <v>20</v>
      </c>
      <c r="E2271" t="s">
        <v>1300</v>
      </c>
      <c r="F2271" t="s">
        <v>15</v>
      </c>
      <c r="G2271" t="s">
        <v>22</v>
      </c>
      <c r="H2271" t="s">
        <v>1288</v>
      </c>
      <c r="I2271" t="s">
        <v>1301</v>
      </c>
      <c r="J2271">
        <v>1</v>
      </c>
      <c r="K2271">
        <v>20000</v>
      </c>
      <c r="L2271">
        <v>20000</v>
      </c>
      <c r="M2271">
        <v>20000</v>
      </c>
      <c r="N2271" t="s">
        <v>19</v>
      </c>
    </row>
    <row r="2272" spans="1:14" x14ac:dyDescent="0.25">
      <c r="A2272" t="str">
        <f>Table3[[#This Row],[Company Name]] &amp; " - " &amp; Table3[[#This Row],[Store Name]] &amp; " - " &amp; Table3[[#This Row],[Store Branch / Address]]</f>
        <v>CHICKEN DELI - UNAROSA - GENERIC</v>
      </c>
      <c r="B2272" t="str">
        <f>Table3[[#This Row],[Client ID]] &amp; " - " &amp; Table3[[#This Row],[SO Number]]</f>
        <v>CHICKEN DELI - UNAROSA - GENERIC - SO-040</v>
      </c>
      <c r="C2272" t="s">
        <v>282</v>
      </c>
      <c r="D2272" t="s">
        <v>20</v>
      </c>
      <c r="E2272" t="s">
        <v>1300</v>
      </c>
      <c r="F2272" t="s">
        <v>15</v>
      </c>
      <c r="G2272" t="s">
        <v>22</v>
      </c>
      <c r="H2272" t="s">
        <v>1288</v>
      </c>
      <c r="I2272" t="s">
        <v>1307</v>
      </c>
      <c r="J2272">
        <v>1</v>
      </c>
      <c r="K2272">
        <v>18495</v>
      </c>
      <c r="L2272">
        <v>26500</v>
      </c>
      <c r="M2272">
        <v>26500</v>
      </c>
      <c r="N2272" t="s">
        <v>19</v>
      </c>
    </row>
    <row r="2273" spans="1:14" x14ac:dyDescent="0.25">
      <c r="A2273" t="str">
        <f>Table3[[#This Row],[Company Name]] &amp; " - " &amp; Table3[[#This Row],[Store Name]] &amp; " - " &amp; Table3[[#This Row],[Store Branch / Address]]</f>
        <v>CHICKEN DELI - UNAROSA - GENERIC</v>
      </c>
      <c r="B2273" t="str">
        <f>Table3[[#This Row],[Client ID]] &amp; " - " &amp; Table3[[#This Row],[SO Number]]</f>
        <v>CHICKEN DELI - UNAROSA - GENERIC - SO-040</v>
      </c>
      <c r="C2273" t="s">
        <v>282</v>
      </c>
      <c r="D2273" t="s">
        <v>20</v>
      </c>
      <c r="E2273" t="s">
        <v>1300</v>
      </c>
      <c r="F2273" t="s">
        <v>15</v>
      </c>
      <c r="G2273" t="s">
        <v>22</v>
      </c>
      <c r="H2273" t="s">
        <v>1288</v>
      </c>
      <c r="I2273" t="s">
        <v>26</v>
      </c>
      <c r="J2273">
        <v>1</v>
      </c>
      <c r="K2273">
        <v>500</v>
      </c>
      <c r="L2273">
        <v>500</v>
      </c>
      <c r="M2273">
        <v>500</v>
      </c>
      <c r="N2273" t="s">
        <v>19</v>
      </c>
    </row>
    <row r="2274" spans="1:14" x14ac:dyDescent="0.25">
      <c r="A2274" t="str">
        <f>Table3[[#This Row],[Company Name]] &amp; " - " &amp; Table3[[#This Row],[Store Name]] &amp; " - " &amp; Table3[[#This Row],[Store Branch / Address]]</f>
        <v>CHICKEN DELI - UNAROSA - GENERIC</v>
      </c>
      <c r="B2274" t="str">
        <f>Table3[[#This Row],[Client ID]] &amp; " - " &amp; Table3[[#This Row],[SO Number]]</f>
        <v>CHICKEN DELI - UNAROSA - GENERIC - SO-041</v>
      </c>
      <c r="C2274" t="s">
        <v>285</v>
      </c>
      <c r="D2274" t="s">
        <v>20</v>
      </c>
      <c r="E2274" t="s">
        <v>1300</v>
      </c>
      <c r="F2274" t="s">
        <v>15</v>
      </c>
      <c r="G2274" t="s">
        <v>22</v>
      </c>
      <c r="H2274" t="s">
        <v>1288</v>
      </c>
      <c r="I2274" t="s">
        <v>1301</v>
      </c>
      <c r="J2274">
        <v>1</v>
      </c>
      <c r="K2274">
        <v>20000</v>
      </c>
      <c r="L2274">
        <v>20000</v>
      </c>
      <c r="M2274">
        <v>20000</v>
      </c>
      <c r="N2274" t="s">
        <v>19</v>
      </c>
    </row>
    <row r="2275" spans="1:14" x14ac:dyDescent="0.25">
      <c r="A2275" t="str">
        <f>Table3[[#This Row],[Company Name]] &amp; " - " &amp; Table3[[#This Row],[Store Name]] &amp; " - " &amp; Table3[[#This Row],[Store Branch / Address]]</f>
        <v>CHICKEN DELI - UNAROSA - GENERIC</v>
      </c>
      <c r="B2275" t="str">
        <f>Table3[[#This Row],[Client ID]] &amp; " - " &amp; Table3[[#This Row],[SO Number]]</f>
        <v>CHICKEN DELI - UNAROSA - GENERIC - SO-041</v>
      </c>
      <c r="C2275" t="s">
        <v>285</v>
      </c>
      <c r="D2275" t="s">
        <v>20</v>
      </c>
      <c r="E2275" t="s">
        <v>1300</v>
      </c>
      <c r="F2275" t="s">
        <v>15</v>
      </c>
      <c r="G2275" t="s">
        <v>22</v>
      </c>
      <c r="H2275" t="s">
        <v>1288</v>
      </c>
      <c r="I2275" t="s">
        <v>1307</v>
      </c>
      <c r="J2275">
        <v>1</v>
      </c>
      <c r="K2275">
        <v>18495</v>
      </c>
      <c r="L2275">
        <v>26500</v>
      </c>
      <c r="M2275">
        <v>26500</v>
      </c>
      <c r="N2275" t="s">
        <v>19</v>
      </c>
    </row>
    <row r="2276" spans="1:14" x14ac:dyDescent="0.25">
      <c r="A2276" t="str">
        <f>Table3[[#This Row],[Company Name]] &amp; " - " &amp; Table3[[#This Row],[Store Name]] &amp; " - " &amp; Table3[[#This Row],[Store Branch / Address]]</f>
        <v>CHICKEN DELI - UNAROSA - GENERIC</v>
      </c>
      <c r="B2276" t="str">
        <f>Table3[[#This Row],[Client ID]] &amp; " - " &amp; Table3[[#This Row],[SO Number]]</f>
        <v>CHICKEN DELI - UNAROSA - GENERIC - SO-041</v>
      </c>
      <c r="C2276" t="s">
        <v>285</v>
      </c>
      <c r="D2276" t="s">
        <v>20</v>
      </c>
      <c r="E2276" t="s">
        <v>1300</v>
      </c>
      <c r="F2276" t="s">
        <v>15</v>
      </c>
      <c r="G2276" t="s">
        <v>22</v>
      </c>
      <c r="H2276" t="s">
        <v>1288</v>
      </c>
      <c r="I2276" t="s">
        <v>26</v>
      </c>
      <c r="J2276">
        <v>1</v>
      </c>
      <c r="K2276">
        <v>500</v>
      </c>
      <c r="L2276">
        <v>500</v>
      </c>
      <c r="M2276">
        <v>500</v>
      </c>
      <c r="N2276" t="s">
        <v>19</v>
      </c>
    </row>
    <row r="2277" spans="1:14" x14ac:dyDescent="0.25">
      <c r="A2277" t="str">
        <f>Table3[[#This Row],[Company Name]] &amp; " - " &amp; Table3[[#This Row],[Store Name]] &amp; " - " &amp; Table3[[#This Row],[Store Branch / Address]]</f>
        <v>CHICKEN DELI - UNAROSA - GENERIC</v>
      </c>
      <c r="B2277" t="str">
        <f>Table3[[#This Row],[Client ID]] &amp; " - " &amp; Table3[[#This Row],[SO Number]]</f>
        <v>CHICKEN DELI - UNAROSA - GENERIC - SO-042</v>
      </c>
      <c r="C2277" t="s">
        <v>295</v>
      </c>
      <c r="D2277" t="s">
        <v>20</v>
      </c>
      <c r="E2277" t="s">
        <v>1300</v>
      </c>
      <c r="F2277" t="s">
        <v>15</v>
      </c>
      <c r="G2277" t="s">
        <v>22</v>
      </c>
      <c r="H2277" t="s">
        <v>1288</v>
      </c>
      <c r="I2277" t="s">
        <v>1313</v>
      </c>
      <c r="J2277">
        <v>1</v>
      </c>
      <c r="K2277">
        <v>22850</v>
      </c>
      <c r="L2277">
        <v>33000</v>
      </c>
      <c r="M2277">
        <v>33000</v>
      </c>
      <c r="N2277" t="s">
        <v>19</v>
      </c>
    </row>
    <row r="2278" spans="1:14" x14ac:dyDescent="0.25">
      <c r="A2278" t="str">
        <f>Table3[[#This Row],[Company Name]] &amp; " - " &amp; Table3[[#This Row],[Store Name]] &amp; " - " &amp; Table3[[#This Row],[Store Branch / Address]]</f>
        <v>CHICKEN DELI - UNAROSA - GENERIC</v>
      </c>
      <c r="B2278" t="str">
        <f>Table3[[#This Row],[Client ID]] &amp; " - " &amp; Table3[[#This Row],[SO Number]]</f>
        <v>CHICKEN DELI - UNAROSA - GENERIC - SO-042</v>
      </c>
      <c r="C2278" t="s">
        <v>295</v>
      </c>
      <c r="D2278" t="s">
        <v>20</v>
      </c>
      <c r="E2278" t="s">
        <v>1300</v>
      </c>
      <c r="F2278" t="s">
        <v>15</v>
      </c>
      <c r="G2278" t="s">
        <v>22</v>
      </c>
      <c r="H2278" t="s">
        <v>1288</v>
      </c>
      <c r="I2278" t="s">
        <v>99</v>
      </c>
      <c r="J2278">
        <v>1</v>
      </c>
      <c r="K2278">
        <v>2000</v>
      </c>
      <c r="L2278">
        <v>4000</v>
      </c>
      <c r="M2278">
        <v>4000</v>
      </c>
      <c r="N2278" t="s">
        <v>19</v>
      </c>
    </row>
    <row r="2279" spans="1:14" x14ac:dyDescent="0.25">
      <c r="A2279" t="str">
        <f>Table3[[#This Row],[Company Name]] &amp; " - " &amp; Table3[[#This Row],[Store Name]] &amp; " - " &amp; Table3[[#This Row],[Store Branch / Address]]</f>
        <v>CHICKEN DELI - UNAROSA - GENERIC</v>
      </c>
      <c r="B2279" t="str">
        <f>Table3[[#This Row],[Client ID]] &amp; " - " &amp; Table3[[#This Row],[SO Number]]</f>
        <v>CHICKEN DELI - UNAROSA - GENERIC - SO-042</v>
      </c>
      <c r="C2279" t="s">
        <v>295</v>
      </c>
      <c r="D2279" t="s">
        <v>20</v>
      </c>
      <c r="E2279" t="s">
        <v>1300</v>
      </c>
      <c r="F2279" t="s">
        <v>15</v>
      </c>
      <c r="G2279" t="s">
        <v>22</v>
      </c>
      <c r="H2279" t="s">
        <v>1288</v>
      </c>
      <c r="I2279" t="s">
        <v>33</v>
      </c>
      <c r="J2279">
        <v>1</v>
      </c>
      <c r="K2279">
        <v>30000</v>
      </c>
      <c r="L2279">
        <v>30000</v>
      </c>
      <c r="M2279">
        <v>30000</v>
      </c>
      <c r="N2279" t="s">
        <v>19</v>
      </c>
    </row>
    <row r="2280" spans="1:14" x14ac:dyDescent="0.25">
      <c r="A2280" t="str">
        <f>Table3[[#This Row],[Company Name]] &amp; " - " &amp; Table3[[#This Row],[Store Name]] &amp; " - " &amp; Table3[[#This Row],[Store Branch / Address]]</f>
        <v>UNIMEDS DRUGSTORE OPC - UNIMEDS DRUGSTORE OPC - SORSOGON</v>
      </c>
      <c r="B2280" t="str">
        <f>Table3[[#This Row],[Client ID]] &amp; " - " &amp; Table3[[#This Row],[SO Number]]</f>
        <v>UNIMEDS DRUGSTORE OPC - UNIMEDS DRUGSTORE OPC - SORSOGON - SO-26-010</v>
      </c>
      <c r="C2280" t="s">
        <v>1202</v>
      </c>
      <c r="D2280" t="s">
        <v>1399</v>
      </c>
      <c r="E2280" t="s">
        <v>1399</v>
      </c>
      <c r="F2280" t="s">
        <v>1400</v>
      </c>
      <c r="G2280" t="s">
        <v>1088</v>
      </c>
      <c r="H2280" t="s">
        <v>1402</v>
      </c>
      <c r="I2280" t="s">
        <v>1394</v>
      </c>
      <c r="J2280">
        <v>1</v>
      </c>
      <c r="K2280">
        <v>18700</v>
      </c>
      <c r="L2280">
        <v>28500</v>
      </c>
      <c r="M2280">
        <v>28500</v>
      </c>
      <c r="N2280" t="s">
        <v>1010</v>
      </c>
    </row>
    <row r="2281" spans="1:14" x14ac:dyDescent="0.25">
      <c r="A2281" t="str">
        <f>Table3[[#This Row],[Company Name]] &amp; " - " &amp; Table3[[#This Row],[Store Name]] &amp; " - " &amp; Table3[[#This Row],[Store Branch / Address]]</f>
        <v>UNIMEDS DRUGSTORE OPC - UNIMEDS DRUGSTORE OPC - SORSOGON</v>
      </c>
      <c r="B2281" t="str">
        <f>Table3[[#This Row],[Client ID]] &amp; " - " &amp; Table3[[#This Row],[SO Number]]</f>
        <v>UNIMEDS DRUGSTORE OPC - UNIMEDS DRUGSTORE OPC - SORSOGON - SO-26-010</v>
      </c>
      <c r="C2281" t="s">
        <v>1202</v>
      </c>
      <c r="D2281" t="s">
        <v>1399</v>
      </c>
      <c r="E2281" t="s">
        <v>1399</v>
      </c>
      <c r="F2281" t="s">
        <v>1400</v>
      </c>
      <c r="G2281" t="s">
        <v>1088</v>
      </c>
      <c r="H2281" t="s">
        <v>1402</v>
      </c>
      <c r="I2281" t="s">
        <v>1120</v>
      </c>
      <c r="J2281">
        <v>1</v>
      </c>
      <c r="K2281">
        <v>2334</v>
      </c>
      <c r="L2281">
        <v>3500</v>
      </c>
      <c r="M2281">
        <v>3500</v>
      </c>
      <c r="N2281" t="s">
        <v>1010</v>
      </c>
    </row>
    <row r="2282" spans="1:14" x14ac:dyDescent="0.25">
      <c r="A2282" t="str">
        <f>Table3[[#This Row],[Company Name]] &amp; " - " &amp; Table3[[#This Row],[Store Name]] &amp; " - " &amp; Table3[[#This Row],[Store Branch / Address]]</f>
        <v>UNIMEDS DRUGSTORE OPC - UNIMEDS DRUGSTORE OPC - SORSOGON</v>
      </c>
      <c r="B2282" t="str">
        <f>Table3[[#This Row],[Client ID]] &amp; " - " &amp; Table3[[#This Row],[SO Number]]</f>
        <v>UNIMEDS DRUGSTORE OPC - UNIMEDS DRUGSTORE OPC - SORSOGON - SO-26-010</v>
      </c>
      <c r="C2282" t="s">
        <v>1202</v>
      </c>
      <c r="D2282" t="s">
        <v>1399</v>
      </c>
      <c r="E2282" t="s">
        <v>1399</v>
      </c>
      <c r="F2282" t="s">
        <v>1400</v>
      </c>
      <c r="G2282" t="s">
        <v>1088</v>
      </c>
      <c r="H2282" t="s">
        <v>1402</v>
      </c>
      <c r="I2282" t="s">
        <v>151</v>
      </c>
      <c r="J2282">
        <v>1</v>
      </c>
      <c r="K2282">
        <v>2000</v>
      </c>
      <c r="L2282">
        <v>3000</v>
      </c>
      <c r="M2282">
        <v>3000</v>
      </c>
      <c r="N2282" t="s">
        <v>1010</v>
      </c>
    </row>
    <row r="2283" spans="1:14" x14ac:dyDescent="0.25">
      <c r="A2283" t="str">
        <f>Table3[[#This Row],[Company Name]] &amp; " - " &amp; Table3[[#This Row],[Store Name]] &amp; " - " &amp; Table3[[#This Row],[Store Branch / Address]]</f>
        <v>UNIMEDS DRUGSTORE OPC - UNIMEDS DRUGSTORE OPC - SORSOGON</v>
      </c>
      <c r="B2283" t="str">
        <f>Table3[[#This Row],[Client ID]] &amp; " - " &amp; Table3[[#This Row],[SO Number]]</f>
        <v>UNIMEDS DRUGSTORE OPC - UNIMEDS DRUGSTORE OPC - SORSOGON - SO-26-010</v>
      </c>
      <c r="C2283" t="s">
        <v>1202</v>
      </c>
      <c r="D2283" t="s">
        <v>1399</v>
      </c>
      <c r="E2283" t="s">
        <v>1399</v>
      </c>
      <c r="F2283" t="s">
        <v>1400</v>
      </c>
      <c r="G2283" t="s">
        <v>1088</v>
      </c>
      <c r="H2283" t="s">
        <v>1402</v>
      </c>
      <c r="I2283" t="s">
        <v>1403</v>
      </c>
      <c r="J2283">
        <v>2</v>
      </c>
      <c r="K2283">
        <v>5400</v>
      </c>
      <c r="L2283">
        <v>7500</v>
      </c>
      <c r="M2283">
        <v>15000</v>
      </c>
      <c r="N2283" t="s">
        <v>1010</v>
      </c>
    </row>
    <row r="2284" spans="1:14" x14ac:dyDescent="0.25">
      <c r="A2284" t="str">
        <f>Table3[[#This Row],[Company Name]] &amp; " - " &amp; Table3[[#This Row],[Store Name]] &amp; " - " &amp; Table3[[#This Row],[Store Branch / Address]]</f>
        <v>UNIMEDS DRUGSTORE OPC - UNIMEDS DRUGSTORE OPC - SORSOGON</v>
      </c>
      <c r="B2284" t="str">
        <f>Table3[[#This Row],[Client ID]] &amp; " - " &amp; Table3[[#This Row],[SO Number]]</f>
        <v>UNIMEDS DRUGSTORE OPC - UNIMEDS DRUGSTORE OPC - SORSOGON - SO-26-010</v>
      </c>
      <c r="C2284" t="s">
        <v>1202</v>
      </c>
      <c r="D2284" t="s">
        <v>1399</v>
      </c>
      <c r="E2284" t="s">
        <v>1399</v>
      </c>
      <c r="F2284" t="s">
        <v>1400</v>
      </c>
      <c r="G2284" t="s">
        <v>1088</v>
      </c>
      <c r="H2284" t="s">
        <v>1402</v>
      </c>
      <c r="I2284" t="s">
        <v>1015</v>
      </c>
      <c r="J2284">
        <v>1</v>
      </c>
      <c r="K2284">
        <v>3195</v>
      </c>
      <c r="L2284">
        <v>4300</v>
      </c>
      <c r="M2284">
        <v>4300</v>
      </c>
      <c r="N2284" t="s">
        <v>1010</v>
      </c>
    </row>
    <row r="2285" spans="1:14" x14ac:dyDescent="0.25">
      <c r="A2285" t="str">
        <f>Table3[[#This Row],[Company Name]] &amp; " - " &amp; Table3[[#This Row],[Store Name]] &amp; " - " &amp; Table3[[#This Row],[Store Branch / Address]]</f>
        <v>UNIMEDS DRUGSTORE OPC - UNIMEDS DRUGSTORE OPC - SORSOGON</v>
      </c>
      <c r="B2285" t="str">
        <f>Table3[[#This Row],[Client ID]] &amp; " - " &amp; Table3[[#This Row],[SO Number]]</f>
        <v>UNIMEDS DRUGSTORE OPC - UNIMEDS DRUGSTORE OPC - SORSOGON - SO-26-010</v>
      </c>
      <c r="C2285" t="s">
        <v>1202</v>
      </c>
      <c r="D2285" t="s">
        <v>1399</v>
      </c>
      <c r="E2285" t="s">
        <v>1399</v>
      </c>
      <c r="F2285" t="s">
        <v>1400</v>
      </c>
      <c r="G2285" t="s">
        <v>1088</v>
      </c>
      <c r="H2285" t="s">
        <v>1402</v>
      </c>
      <c r="I2285" t="s">
        <v>116</v>
      </c>
      <c r="J2285">
        <v>1</v>
      </c>
      <c r="K2285">
        <v>2185</v>
      </c>
      <c r="L2285">
        <v>3500</v>
      </c>
      <c r="M2285">
        <v>3500</v>
      </c>
      <c r="N2285" t="s">
        <v>1010</v>
      </c>
    </row>
    <row r="2286" spans="1:14" x14ac:dyDescent="0.25">
      <c r="A2286" t="str">
        <f>Table3[[#This Row],[Company Name]] &amp; " - " &amp; Table3[[#This Row],[Store Name]] &amp; " - " &amp; Table3[[#This Row],[Store Branch / Address]]</f>
        <v>UNIMEDS DRUGSTORE OPC - UNIMEDS DRUGSTORE OPC - SORSOGON</v>
      </c>
      <c r="B2286" t="str">
        <f>Table3[[#This Row],[Client ID]] &amp; " - " &amp; Table3[[#This Row],[SO Number]]</f>
        <v>UNIMEDS DRUGSTORE OPC - UNIMEDS DRUGSTORE OPC - SORSOGON - SO-26-010</v>
      </c>
      <c r="C2286" t="s">
        <v>1202</v>
      </c>
      <c r="D2286" t="s">
        <v>1399</v>
      </c>
      <c r="E2286" t="s">
        <v>1399</v>
      </c>
      <c r="F2286" t="s">
        <v>1400</v>
      </c>
      <c r="G2286" t="s">
        <v>1088</v>
      </c>
      <c r="H2286" t="s">
        <v>1402</v>
      </c>
      <c r="I2286" t="s">
        <v>1016</v>
      </c>
      <c r="J2286">
        <v>1</v>
      </c>
      <c r="K2286">
        <v>8500</v>
      </c>
      <c r="L2286">
        <v>12500</v>
      </c>
      <c r="M2286">
        <v>12500</v>
      </c>
      <c r="N2286" t="s">
        <v>1010</v>
      </c>
    </row>
    <row r="2287" spans="1:14" x14ac:dyDescent="0.25">
      <c r="A2287" t="str">
        <f>Table3[[#This Row],[Company Name]] &amp; " - " &amp; Table3[[#This Row],[Store Name]] &amp; " - " &amp; Table3[[#This Row],[Store Branch / Address]]</f>
        <v>UNIMEDS DRUGSTORE OPC - UNIMEDS DRUGSTORE OPC - SORSOGON</v>
      </c>
      <c r="B2287" t="str">
        <f>Table3[[#This Row],[Client ID]] &amp; " - " &amp; Table3[[#This Row],[SO Number]]</f>
        <v>UNIMEDS DRUGSTORE OPC - UNIMEDS DRUGSTORE OPC - SORSOGON - SO-26-010</v>
      </c>
      <c r="C2287" t="s">
        <v>1202</v>
      </c>
      <c r="D2287" t="s">
        <v>1399</v>
      </c>
      <c r="E2287" t="s">
        <v>1399</v>
      </c>
      <c r="F2287" t="s">
        <v>1400</v>
      </c>
      <c r="G2287" t="s">
        <v>1088</v>
      </c>
      <c r="H2287" t="s">
        <v>1402</v>
      </c>
      <c r="I2287" t="s">
        <v>1404</v>
      </c>
      <c r="J2287">
        <v>1</v>
      </c>
      <c r="K2287">
        <v>8500</v>
      </c>
      <c r="L2287">
        <v>12200</v>
      </c>
      <c r="M2287">
        <v>12200</v>
      </c>
      <c r="N2287" t="s">
        <v>1010</v>
      </c>
    </row>
    <row r="2288" spans="1:14" x14ac:dyDescent="0.25">
      <c r="A2288" t="str">
        <f>Table3[[#This Row],[Company Name]] &amp; " - " &amp; Table3[[#This Row],[Store Name]] &amp; " - " &amp; Table3[[#This Row],[Store Branch / Address]]</f>
        <v>GENMAICHA TEA CORPORATION - SERENITEA - GENERIC</v>
      </c>
      <c r="B2288" t="str">
        <f>Table3[[#This Row],[Client ID]] &amp; " - " &amp; Table3[[#This Row],[SO Number]]</f>
        <v>GENMAICHA TEA CORPORATION - SERENITEA - GENERIC - SO-26-030</v>
      </c>
      <c r="C2288" t="s">
        <v>1273</v>
      </c>
      <c r="D2288" t="s">
        <v>483</v>
      </c>
      <c r="E2288" t="s">
        <v>239</v>
      </c>
      <c r="F2288" t="s">
        <v>15</v>
      </c>
      <c r="G2288" t="s">
        <v>37</v>
      </c>
      <c r="H2288" t="s">
        <v>1274</v>
      </c>
      <c r="I2288" t="s">
        <v>154</v>
      </c>
      <c r="J2288">
        <v>1</v>
      </c>
      <c r="K2288">
        <v>1100</v>
      </c>
      <c r="L2288">
        <v>1300</v>
      </c>
      <c r="M2288">
        <v>1300</v>
      </c>
      <c r="N2288" t="s">
        <v>19</v>
      </c>
    </row>
    <row r="2289" spans="1:14" x14ac:dyDescent="0.25">
      <c r="A2289" t="str">
        <f>Table3[[#This Row],[Company Name]] &amp; " - " &amp; Table3[[#This Row],[Store Name]] &amp; " - " &amp; Table3[[#This Row],[Store Branch / Address]]</f>
        <v>GENMAICHA TEA CORPORATION - SERENITEA - GENERIC</v>
      </c>
      <c r="B2289" t="str">
        <f>Table3[[#This Row],[Client ID]] &amp; " - " &amp; Table3[[#This Row],[SO Number]]</f>
        <v>GENMAICHA TEA CORPORATION - SERENITEA - GENERIC - SO-26-030</v>
      </c>
      <c r="C2289" t="s">
        <v>1273</v>
      </c>
      <c r="D2289" t="s">
        <v>483</v>
      </c>
      <c r="E2289" t="s">
        <v>239</v>
      </c>
      <c r="F2289" t="s">
        <v>15</v>
      </c>
      <c r="G2289" t="s">
        <v>37</v>
      </c>
      <c r="H2289" t="s">
        <v>1274</v>
      </c>
      <c r="I2289" t="s">
        <v>333</v>
      </c>
      <c r="J2289">
        <v>1</v>
      </c>
      <c r="K2289">
        <v>20</v>
      </c>
      <c r="L2289">
        <v>100</v>
      </c>
      <c r="M2289">
        <v>100</v>
      </c>
      <c r="N2289" t="s">
        <v>19</v>
      </c>
    </row>
    <row r="2290" spans="1:14" x14ac:dyDescent="0.25">
      <c r="A2290" t="str">
        <f>Table3[[#This Row],[Company Name]] &amp; " - " &amp; Table3[[#This Row],[Store Name]] &amp; " - " &amp; Table3[[#This Row],[Store Branch / Address]]</f>
        <v>TIMELESS BAR AND RESTAURANT CONCEPTS INC - DILLINGER - GREENBELT 3</v>
      </c>
      <c r="B2290" t="str">
        <f>Table3[[#This Row],[Client ID]] &amp; " - " &amp; Table3[[#This Row],[SO Number]]</f>
        <v>TIMELESS BAR AND RESTAURANT CONCEPTS INC - DILLINGER - GREENBELT 3 - SO-26-031</v>
      </c>
      <c r="C2290" t="s">
        <v>1276</v>
      </c>
      <c r="D2290" t="s">
        <v>713</v>
      </c>
      <c r="E2290" t="s">
        <v>714</v>
      </c>
      <c r="F2290" t="s">
        <v>1277</v>
      </c>
      <c r="G2290" t="s">
        <v>37</v>
      </c>
      <c r="H2290" t="s">
        <v>1274</v>
      </c>
      <c r="I2290" t="s">
        <v>154</v>
      </c>
      <c r="J2290">
        <v>1</v>
      </c>
      <c r="K2290">
        <v>1100</v>
      </c>
      <c r="L2290">
        <v>1650</v>
      </c>
      <c r="M2290">
        <v>1650</v>
      </c>
      <c r="N2290" t="s">
        <v>39</v>
      </c>
    </row>
    <row r="2291" spans="1:14" x14ac:dyDescent="0.25">
      <c r="A2291" t="str">
        <f>Table3[[#This Row],[Company Name]] &amp; " - " &amp; Table3[[#This Row],[Store Name]] &amp; " - " &amp; Table3[[#This Row],[Store Branch / Address]]</f>
        <v>TIMELESS BAR AND RESTAURANT CONCEPTS INC - DILLINGER - GREENBELT 3</v>
      </c>
      <c r="B2291" t="str">
        <f>Table3[[#This Row],[Client ID]] &amp; " - " &amp; Table3[[#This Row],[SO Number]]</f>
        <v>TIMELESS BAR AND RESTAURANT CONCEPTS INC - DILLINGER - GREENBELT 3 - SO-26-031</v>
      </c>
      <c r="C2291" t="s">
        <v>1276</v>
      </c>
      <c r="D2291" t="s">
        <v>713</v>
      </c>
      <c r="E2291" t="s">
        <v>714</v>
      </c>
      <c r="F2291" t="s">
        <v>1277</v>
      </c>
      <c r="G2291" t="s">
        <v>37</v>
      </c>
      <c r="H2291" t="s">
        <v>1274</v>
      </c>
      <c r="I2291" t="s">
        <v>333</v>
      </c>
      <c r="J2291">
        <v>1</v>
      </c>
      <c r="K2291">
        <v>20</v>
      </c>
      <c r="L2291">
        <v>150</v>
      </c>
      <c r="M2291">
        <v>150</v>
      </c>
      <c r="N2291" t="s">
        <v>39</v>
      </c>
    </row>
    <row r="2292" spans="1:14" x14ac:dyDescent="0.25">
      <c r="A2292" t="str">
        <f>Table3[[#This Row],[Company Name]] &amp; " - " &amp; Table3[[#This Row],[Store Name]] &amp; " - " &amp; Table3[[#This Row],[Store Branch / Address]]</f>
        <v>TIU MADONNA PEACE ONGPAUCO - MY HAPPY HOME - GREENHILLS</v>
      </c>
      <c r="B2292" t="str">
        <f>Table3[[#This Row],[Client ID]] &amp; " - " &amp; Table3[[#This Row],[SO Number]]</f>
        <v>TIU MADONNA PEACE ONGPAUCO - MY HAPPY HOME - GREENHILLS - SO-26-032</v>
      </c>
      <c r="C2292" t="s">
        <v>1278</v>
      </c>
      <c r="D2292" t="s">
        <v>1279</v>
      </c>
      <c r="E2292" t="s">
        <v>293</v>
      </c>
      <c r="F2292" t="s">
        <v>294</v>
      </c>
      <c r="G2292" t="s">
        <v>37</v>
      </c>
      <c r="H2292" t="s">
        <v>1274</v>
      </c>
      <c r="I2292" t="s">
        <v>1280</v>
      </c>
      <c r="J2292">
        <v>1</v>
      </c>
      <c r="K2292">
        <v>5300</v>
      </c>
      <c r="L2292">
        <v>7500</v>
      </c>
      <c r="M2292">
        <v>7500</v>
      </c>
      <c r="N2292" t="s">
        <v>39</v>
      </c>
    </row>
    <row r="2293" spans="1:14" x14ac:dyDescent="0.25">
      <c r="A2293" t="str">
        <f>Table3[[#This Row],[Company Name]] &amp; " - " &amp; Table3[[#This Row],[Store Name]] &amp; " - " &amp; Table3[[#This Row],[Store Branch / Address]]</f>
        <v>CANTILLON JOHN JERIC SUMANG - POTATO GIANT - SM DASMARINAS</v>
      </c>
      <c r="B2293" t="str">
        <f>Table3[[#This Row],[Client ID]] &amp; " - " &amp; Table3[[#This Row],[SO Number]]</f>
        <v>CANTILLON JOHN JERIC SUMANG - POTATO GIANT - SM DASMARINAS - SO-26-033</v>
      </c>
      <c r="C2293" t="s">
        <v>1282</v>
      </c>
      <c r="D2293" t="s">
        <v>1283</v>
      </c>
      <c r="E2293" t="s">
        <v>306</v>
      </c>
      <c r="F2293" t="s">
        <v>1284</v>
      </c>
      <c r="G2293" t="s">
        <v>37</v>
      </c>
      <c r="H2293" t="s">
        <v>1285</v>
      </c>
      <c r="I2293" t="s">
        <v>308</v>
      </c>
      <c r="J2293">
        <v>1</v>
      </c>
      <c r="K2293">
        <v>1200</v>
      </c>
      <c r="L2293">
        <v>2500</v>
      </c>
      <c r="M2293">
        <v>2500</v>
      </c>
      <c r="N2293" t="s">
        <v>39</v>
      </c>
    </row>
    <row r="2294" spans="1:14" x14ac:dyDescent="0.25">
      <c r="A2294" t="str">
        <f>Table3[[#This Row],[Company Name]] &amp; " - " &amp; Table3[[#This Row],[Store Name]] &amp; " - " &amp; Table3[[#This Row],[Store Branch / Address]]</f>
        <v>CHICKEN DELI - SM MASINAG - GENERIC</v>
      </c>
      <c r="B2294" t="str">
        <f>Table3[[#This Row],[Client ID]] &amp; " - " &amp; Table3[[#This Row],[SO Number]]</f>
        <v>CHICKEN DELI - SM MASINAG - GENERIC - SO-043</v>
      </c>
      <c r="C2294" t="s">
        <v>304</v>
      </c>
      <c r="D2294" t="s">
        <v>20</v>
      </c>
      <c r="E2294" t="s">
        <v>379</v>
      </c>
      <c r="F2294" t="s">
        <v>15</v>
      </c>
      <c r="G2294" t="s">
        <v>22</v>
      </c>
      <c r="H2294" t="s">
        <v>1314</v>
      </c>
      <c r="I2294" t="s">
        <v>381</v>
      </c>
      <c r="J2294">
        <v>1</v>
      </c>
      <c r="K2294">
        <v>17</v>
      </c>
      <c r="L2294">
        <v>1250</v>
      </c>
      <c r="M2294">
        <v>1250</v>
      </c>
      <c r="N2294" t="s">
        <v>19</v>
      </c>
    </row>
    <row r="2295" spans="1:14" x14ac:dyDescent="0.25">
      <c r="A2295" t="str">
        <f>Table3[[#This Row],[Company Name]] &amp; " - " &amp; Table3[[#This Row],[Store Name]] &amp; " - " &amp; Table3[[#This Row],[Store Branch / Address]]</f>
        <v>CHICKEN DELI - LIAM'S LOMI HOUSE - GENERIC</v>
      </c>
      <c r="B2295" t="str">
        <f>Table3[[#This Row],[Client ID]] &amp; " - " &amp; Table3[[#This Row],[SO Number]]</f>
        <v>CHICKEN DELI - LIAM'S LOMI HOUSE - GENERIC - SO-044</v>
      </c>
      <c r="C2295" t="s">
        <v>309</v>
      </c>
      <c r="D2295" t="s">
        <v>20</v>
      </c>
      <c r="E2295" t="s">
        <v>1326</v>
      </c>
      <c r="F2295" t="s">
        <v>15</v>
      </c>
      <c r="G2295" t="s">
        <v>22</v>
      </c>
      <c r="H2295" t="s">
        <v>1314</v>
      </c>
      <c r="I2295" t="s">
        <v>1327</v>
      </c>
      <c r="J2295">
        <v>1</v>
      </c>
      <c r="K2295">
        <v>7500</v>
      </c>
      <c r="L2295">
        <v>10700</v>
      </c>
      <c r="M2295">
        <v>10700</v>
      </c>
      <c r="N2295" t="s">
        <v>19</v>
      </c>
    </row>
    <row r="2296" spans="1:14" x14ac:dyDescent="0.25">
      <c r="A2296" t="str">
        <f>Table3[[#This Row],[Company Name]] &amp; " - " &amp; Table3[[#This Row],[Store Name]] &amp; " - " &amp; Table3[[#This Row],[Store Branch / Address]]</f>
        <v>CHICKEN DELI - CHOW UNLIMITED  CORP. - GENERIC</v>
      </c>
      <c r="B2296" t="str">
        <f>Table3[[#This Row],[Client ID]] &amp; " - " &amp; Table3[[#This Row],[SO Number]]</f>
        <v>CHICKEN DELI - CHOW UNLIMITED  CORP. - GENERIC - SO-045</v>
      </c>
      <c r="C2296" t="s">
        <v>320</v>
      </c>
      <c r="D2296" t="s">
        <v>20</v>
      </c>
      <c r="E2296" t="s">
        <v>1329</v>
      </c>
      <c r="F2296" t="s">
        <v>15</v>
      </c>
      <c r="G2296" t="s">
        <v>22</v>
      </c>
      <c r="H2296" t="s">
        <v>1330</v>
      </c>
      <c r="I2296" t="s">
        <v>574</v>
      </c>
      <c r="J2296">
        <v>1</v>
      </c>
      <c r="K2296">
        <v>5250</v>
      </c>
      <c r="L2296">
        <v>15000</v>
      </c>
      <c r="M2296">
        <v>15000</v>
      </c>
      <c r="N2296" t="s">
        <v>19</v>
      </c>
    </row>
    <row r="2297" spans="1:14" x14ac:dyDescent="0.25">
      <c r="A2297" t="str">
        <f>Table3[[#This Row],[Company Name]] &amp; " - " &amp; Table3[[#This Row],[Store Name]] &amp; " - " &amp; Table3[[#This Row],[Store Branch / Address]]</f>
        <v>CHICKEN DELI - CHOW UNLIMITED  CORP. - GENERIC</v>
      </c>
      <c r="B2297" t="str">
        <f>Table3[[#This Row],[Client ID]] &amp; " - " &amp; Table3[[#This Row],[SO Number]]</f>
        <v>CHICKEN DELI - CHOW UNLIMITED  CORP. - GENERIC - SO-045</v>
      </c>
      <c r="C2297" t="s">
        <v>320</v>
      </c>
      <c r="D2297" t="s">
        <v>20</v>
      </c>
      <c r="E2297" t="s">
        <v>1329</v>
      </c>
      <c r="F2297" t="s">
        <v>15</v>
      </c>
      <c r="G2297" t="s">
        <v>22</v>
      </c>
      <c r="H2297" t="s">
        <v>1330</v>
      </c>
      <c r="I2297" t="s">
        <v>575</v>
      </c>
      <c r="J2297">
        <v>1</v>
      </c>
      <c r="K2297">
        <v>2500</v>
      </c>
      <c r="L2297">
        <v>2500</v>
      </c>
      <c r="M2297">
        <v>2500</v>
      </c>
      <c r="N2297" t="s">
        <v>19</v>
      </c>
    </row>
    <row r="2298" spans="1:14" x14ac:dyDescent="0.25">
      <c r="A2298" t="str">
        <f>Table3[[#This Row],[Company Name]] &amp; " - " &amp; Table3[[#This Row],[Store Name]] &amp; " - " &amp; Table3[[#This Row],[Store Branch / Address]]</f>
        <v>CHICKEN DELI - CHOW UNLIMITED  CORP. - GENERIC</v>
      </c>
      <c r="B2298" t="str">
        <f>Table3[[#This Row],[Client ID]] &amp; " - " &amp; Table3[[#This Row],[SO Number]]</f>
        <v>CHICKEN DELI - CHOW UNLIMITED  CORP. - GENERIC - SO-045</v>
      </c>
      <c r="C2298" t="s">
        <v>320</v>
      </c>
      <c r="D2298" t="s">
        <v>20</v>
      </c>
      <c r="E2298" t="s">
        <v>1329</v>
      </c>
      <c r="F2298" t="s">
        <v>15</v>
      </c>
      <c r="G2298" t="s">
        <v>22</v>
      </c>
      <c r="H2298" t="s">
        <v>1330</v>
      </c>
      <c r="I2298" t="s">
        <v>24</v>
      </c>
      <c r="J2298">
        <v>1</v>
      </c>
      <c r="K2298">
        <v>2500</v>
      </c>
      <c r="L2298">
        <v>2500</v>
      </c>
      <c r="M2298">
        <v>2500</v>
      </c>
      <c r="N2298" t="s">
        <v>19</v>
      </c>
    </row>
    <row r="2299" spans="1:14" x14ac:dyDescent="0.25">
      <c r="A2299" t="str">
        <f>Table3[[#This Row],[Company Name]] &amp; " - " &amp; Table3[[#This Row],[Store Name]] &amp; " - " &amp; Table3[[#This Row],[Store Branch / Address]]</f>
        <v>CHICKEN DELI - CHOW UNLIMITED  CORP. - GENERIC</v>
      </c>
      <c r="B2299" t="str">
        <f>Table3[[#This Row],[Client ID]] &amp; " - " &amp; Table3[[#This Row],[SO Number]]</f>
        <v>CHICKEN DELI - CHOW UNLIMITED  CORP. - GENERIC - SO-045</v>
      </c>
      <c r="C2299" t="s">
        <v>320</v>
      </c>
      <c r="D2299" t="s">
        <v>20</v>
      </c>
      <c r="E2299" t="s">
        <v>1329</v>
      </c>
      <c r="F2299" t="s">
        <v>15</v>
      </c>
      <c r="G2299" t="s">
        <v>22</v>
      </c>
      <c r="H2299" t="s">
        <v>1330</v>
      </c>
      <c r="I2299" t="s">
        <v>576</v>
      </c>
      <c r="J2299">
        <v>1</v>
      </c>
      <c r="K2299">
        <v>24300</v>
      </c>
      <c r="L2299">
        <v>35000</v>
      </c>
      <c r="M2299">
        <v>35000</v>
      </c>
      <c r="N2299" t="s">
        <v>19</v>
      </c>
    </row>
    <row r="2300" spans="1:14" x14ac:dyDescent="0.25">
      <c r="A2300" t="str">
        <f>Table3[[#This Row],[Company Name]] &amp; " - " &amp; Table3[[#This Row],[Store Name]] &amp; " - " &amp; Table3[[#This Row],[Store Branch / Address]]</f>
        <v>CHICKEN DELI - CHOW UNLIMITED  CORP. - GENERIC</v>
      </c>
      <c r="B2300" t="str">
        <f>Table3[[#This Row],[Client ID]] &amp; " - " &amp; Table3[[#This Row],[SO Number]]</f>
        <v>CHICKEN DELI - CHOW UNLIMITED  CORP. - GENERIC - SO-045</v>
      </c>
      <c r="C2300" t="s">
        <v>320</v>
      </c>
      <c r="D2300" t="s">
        <v>20</v>
      </c>
      <c r="E2300" t="s">
        <v>1329</v>
      </c>
      <c r="F2300" t="s">
        <v>15</v>
      </c>
      <c r="G2300" t="s">
        <v>22</v>
      </c>
      <c r="H2300" t="s">
        <v>1330</v>
      </c>
      <c r="I2300" t="s">
        <v>577</v>
      </c>
      <c r="J2300">
        <v>1</v>
      </c>
      <c r="K2300">
        <v>13400</v>
      </c>
      <c r="L2300">
        <v>17200</v>
      </c>
      <c r="M2300">
        <v>17200</v>
      </c>
      <c r="N2300" t="s">
        <v>19</v>
      </c>
    </row>
    <row r="2301" spans="1:14" x14ac:dyDescent="0.25">
      <c r="A2301" t="str">
        <f>Table3[[#This Row],[Company Name]] &amp; " - " &amp; Table3[[#This Row],[Store Name]] &amp; " - " &amp; Table3[[#This Row],[Store Branch / Address]]</f>
        <v>CHICKEN DELI - CHOW UNLIMITED  CORP. - GENERIC</v>
      </c>
      <c r="B2301" t="str">
        <f>Table3[[#This Row],[Client ID]] &amp; " - " &amp; Table3[[#This Row],[SO Number]]</f>
        <v>CHICKEN DELI - CHOW UNLIMITED  CORP. - GENERIC - SO-045</v>
      </c>
      <c r="C2301" t="s">
        <v>320</v>
      </c>
      <c r="D2301" t="s">
        <v>20</v>
      </c>
      <c r="E2301" t="s">
        <v>1329</v>
      </c>
      <c r="F2301" t="s">
        <v>15</v>
      </c>
      <c r="G2301" t="s">
        <v>22</v>
      </c>
      <c r="H2301" t="s">
        <v>1330</v>
      </c>
      <c r="I2301" t="s">
        <v>236</v>
      </c>
      <c r="J2301">
        <v>1</v>
      </c>
      <c r="K2301">
        <v>2200</v>
      </c>
      <c r="L2301">
        <v>3100</v>
      </c>
      <c r="M2301">
        <v>3100</v>
      </c>
      <c r="N2301" t="s">
        <v>19</v>
      </c>
    </row>
    <row r="2302" spans="1:14" x14ac:dyDescent="0.25">
      <c r="A2302" t="str">
        <f>Table3[[#This Row],[Company Name]] &amp; " - " &amp; Table3[[#This Row],[Store Name]] &amp; " - " &amp; Table3[[#This Row],[Store Branch / Address]]</f>
        <v>CHICKEN DELI - CHOW UNLIMITED  CORP. - GENERIC</v>
      </c>
      <c r="B2302" t="str">
        <f>Table3[[#This Row],[Client ID]] &amp; " - " &amp; Table3[[#This Row],[SO Number]]</f>
        <v>CHICKEN DELI - CHOW UNLIMITED  CORP. - GENERIC - SO-045</v>
      </c>
      <c r="C2302" t="s">
        <v>320</v>
      </c>
      <c r="D2302" t="s">
        <v>20</v>
      </c>
      <c r="E2302" t="s">
        <v>1329</v>
      </c>
      <c r="F2302" t="s">
        <v>15</v>
      </c>
      <c r="G2302" t="s">
        <v>22</v>
      </c>
      <c r="H2302" t="s">
        <v>1330</v>
      </c>
      <c r="I2302" t="s">
        <v>1331</v>
      </c>
      <c r="J2302">
        <v>1</v>
      </c>
      <c r="K2302">
        <v>1350</v>
      </c>
      <c r="L2302">
        <v>1900</v>
      </c>
      <c r="M2302">
        <v>1900</v>
      </c>
      <c r="N2302" t="s">
        <v>19</v>
      </c>
    </row>
    <row r="2303" spans="1:14" x14ac:dyDescent="0.25">
      <c r="A2303" t="str">
        <f>Table3[[#This Row],[Company Name]] &amp; " - " &amp; Table3[[#This Row],[Store Name]] &amp; " - " &amp; Table3[[#This Row],[Store Branch / Address]]</f>
        <v>CHICKEN DELI - CHOW UNLIMITED  CORP. - GENERIC</v>
      </c>
      <c r="B2303" t="str">
        <f>Table3[[#This Row],[Client ID]] &amp; " - " &amp; Table3[[#This Row],[SO Number]]</f>
        <v>CHICKEN DELI - CHOW UNLIMITED  CORP. - GENERIC - SO-045</v>
      </c>
      <c r="C2303" t="s">
        <v>320</v>
      </c>
      <c r="D2303" t="s">
        <v>20</v>
      </c>
      <c r="E2303" t="s">
        <v>1329</v>
      </c>
      <c r="F2303" t="s">
        <v>15</v>
      </c>
      <c r="G2303" t="s">
        <v>22</v>
      </c>
      <c r="H2303" t="s">
        <v>1330</v>
      </c>
      <c r="I2303" t="s">
        <v>171</v>
      </c>
      <c r="J2303">
        <v>1</v>
      </c>
      <c r="K2303">
        <v>500</v>
      </c>
      <c r="L2303">
        <v>500</v>
      </c>
      <c r="M2303">
        <v>500</v>
      </c>
      <c r="N2303" t="s">
        <v>19</v>
      </c>
    </row>
    <row r="2304" spans="1:14" x14ac:dyDescent="0.25">
      <c r="A2304" t="str">
        <f>Table3[[#This Row],[Company Name]] &amp; " - " &amp; Table3[[#This Row],[Store Name]] &amp; " - " &amp; Table3[[#This Row],[Store Branch / Address]]</f>
        <v>CHICKEN DELI - CHOW UNLIMITED  CORP. - GENERIC</v>
      </c>
      <c r="B2304" t="str">
        <f>Table3[[#This Row],[Client ID]] &amp; " - " &amp; Table3[[#This Row],[SO Number]]</f>
        <v>CHICKEN DELI - CHOW UNLIMITED  CORP. - GENERIC - SO-045</v>
      </c>
      <c r="C2304" t="s">
        <v>320</v>
      </c>
      <c r="D2304" t="s">
        <v>20</v>
      </c>
      <c r="E2304" t="s">
        <v>1329</v>
      </c>
      <c r="F2304" t="s">
        <v>15</v>
      </c>
      <c r="G2304" t="s">
        <v>22</v>
      </c>
      <c r="H2304" t="s">
        <v>1330</v>
      </c>
      <c r="I2304" t="s">
        <v>393</v>
      </c>
      <c r="J2304">
        <v>1</v>
      </c>
      <c r="K2304">
        <v>500</v>
      </c>
      <c r="L2304">
        <v>500</v>
      </c>
      <c r="M2304">
        <v>500</v>
      </c>
      <c r="N2304" t="s">
        <v>19</v>
      </c>
    </row>
    <row r="2305" spans="1:14" x14ac:dyDescent="0.25">
      <c r="A2305" t="str">
        <f>Table3[[#This Row],[Company Name]] &amp; " - " &amp; Table3[[#This Row],[Store Name]] &amp; " - " &amp; Table3[[#This Row],[Store Branch / Address]]</f>
        <v>CHICKEN DELI - CHARLIES RESTAURANT - GENERIC</v>
      </c>
      <c r="B2305" t="str">
        <f>Table3[[#This Row],[Client ID]] &amp; " - " &amp; Table3[[#This Row],[SO Number]]</f>
        <v>CHICKEN DELI - CHARLIES RESTAURANT - GENERIC - SO-046</v>
      </c>
      <c r="C2305" t="s">
        <v>334</v>
      </c>
      <c r="D2305" t="s">
        <v>20</v>
      </c>
      <c r="E2305" t="s">
        <v>1247</v>
      </c>
      <c r="F2305" t="s">
        <v>15</v>
      </c>
      <c r="G2305" t="s">
        <v>22</v>
      </c>
      <c r="H2305" t="s">
        <v>1330</v>
      </c>
      <c r="I2305" t="s">
        <v>62</v>
      </c>
      <c r="J2305">
        <v>50</v>
      </c>
      <c r="K2305">
        <v>2350</v>
      </c>
      <c r="L2305">
        <v>4000</v>
      </c>
      <c r="M2305">
        <v>200000</v>
      </c>
      <c r="N2305" t="s">
        <v>19</v>
      </c>
    </row>
    <row r="2306" spans="1:14" x14ac:dyDescent="0.25">
      <c r="A2306" t="str">
        <f>Table3[[#This Row],[Company Name]] &amp; " - " &amp; Table3[[#This Row],[Store Name]] &amp; " - " &amp; Table3[[#This Row],[Store Branch / Address]]</f>
        <v>CHICKEN DELI - CHARLIES RESTAURANT - GENERIC</v>
      </c>
      <c r="B2306" t="str">
        <f>Table3[[#This Row],[Client ID]] &amp; " - " &amp; Table3[[#This Row],[SO Number]]</f>
        <v>CHICKEN DELI - CHARLIES RESTAURANT - GENERIC - SO-046</v>
      </c>
      <c r="C2306" t="s">
        <v>334</v>
      </c>
      <c r="D2306" t="s">
        <v>20</v>
      </c>
      <c r="E2306" t="s">
        <v>1247</v>
      </c>
      <c r="F2306" t="s">
        <v>15</v>
      </c>
      <c r="G2306" t="s">
        <v>22</v>
      </c>
      <c r="H2306" t="s">
        <v>1330</v>
      </c>
      <c r="I2306" t="s">
        <v>381</v>
      </c>
      <c r="J2306">
        <v>50</v>
      </c>
      <c r="K2306">
        <v>850</v>
      </c>
      <c r="L2306">
        <v>1250</v>
      </c>
      <c r="M2306">
        <v>62500</v>
      </c>
      <c r="N2306" t="s">
        <v>19</v>
      </c>
    </row>
    <row r="2307" spans="1:14" x14ac:dyDescent="0.25">
      <c r="A2307" t="str">
        <f>Table3[[#This Row],[Company Name]] &amp; " - " &amp; Table3[[#This Row],[Store Name]] &amp; " - " &amp; Table3[[#This Row],[Store Branch / Address]]</f>
        <v>CHICKEN DELI - CHARLIES RESTAURANT - GENERIC</v>
      </c>
      <c r="B2307" t="str">
        <f>Table3[[#This Row],[Client ID]] &amp; " - " &amp; Table3[[#This Row],[SO Number]]</f>
        <v>CHICKEN DELI - CHARLIES RESTAURANT - GENERIC - SO-046</v>
      </c>
      <c r="C2307" t="s">
        <v>334</v>
      </c>
      <c r="D2307" t="s">
        <v>20</v>
      </c>
      <c r="E2307" t="s">
        <v>1247</v>
      </c>
      <c r="F2307" t="s">
        <v>15</v>
      </c>
      <c r="G2307" t="s">
        <v>22</v>
      </c>
      <c r="H2307" t="s">
        <v>1330</v>
      </c>
      <c r="I2307" t="s">
        <v>501</v>
      </c>
      <c r="J2307">
        <v>30</v>
      </c>
      <c r="K2307">
        <v>2100</v>
      </c>
      <c r="L2307">
        <v>7500</v>
      </c>
      <c r="M2307">
        <v>225000</v>
      </c>
      <c r="N2307" t="s">
        <v>19</v>
      </c>
    </row>
    <row r="2308" spans="1:14" x14ac:dyDescent="0.25">
      <c r="A2308" t="str">
        <f>Table3[[#This Row],[Company Name]] &amp; " - " &amp; Table3[[#This Row],[Store Name]] &amp; " - " &amp; Table3[[#This Row],[Store Branch / Address]]</f>
        <v>CHICKEN DELI - PROSHOP - GENERIC</v>
      </c>
      <c r="B2308" t="str">
        <f>Table3[[#This Row],[Client ID]] &amp; " - " &amp; Table3[[#This Row],[SO Number]]</f>
        <v>CHICKEN DELI - PROSHOP - GENERIC - SO-047</v>
      </c>
      <c r="C2308" t="s">
        <v>336</v>
      </c>
      <c r="D2308" t="s">
        <v>20</v>
      </c>
      <c r="E2308" t="s">
        <v>434</v>
      </c>
      <c r="F2308" t="s">
        <v>15</v>
      </c>
      <c r="G2308" t="s">
        <v>22</v>
      </c>
      <c r="H2308" t="s">
        <v>1330</v>
      </c>
      <c r="I2308" t="s">
        <v>133</v>
      </c>
      <c r="J2308">
        <v>1</v>
      </c>
      <c r="K2308">
        <v>5250</v>
      </c>
      <c r="L2308">
        <v>15000</v>
      </c>
      <c r="M2308">
        <v>15000</v>
      </c>
      <c r="N2308" t="s">
        <v>19</v>
      </c>
    </row>
    <row r="2309" spans="1:14" x14ac:dyDescent="0.25">
      <c r="A2309" t="str">
        <f>Table3[[#This Row],[Company Name]] &amp; " - " &amp; Table3[[#This Row],[Store Name]] &amp; " - " &amp; Table3[[#This Row],[Store Branch / Address]]</f>
        <v>CHICKEN DELI - PROSHOP - GENERIC</v>
      </c>
      <c r="B2309" t="str">
        <f>Table3[[#This Row],[Client ID]] &amp; " - " &amp; Table3[[#This Row],[SO Number]]</f>
        <v>CHICKEN DELI - PROSHOP - GENERIC - SO-047</v>
      </c>
      <c r="C2309" t="s">
        <v>336</v>
      </c>
      <c r="D2309" t="s">
        <v>20</v>
      </c>
      <c r="E2309" t="s">
        <v>434</v>
      </c>
      <c r="F2309" t="s">
        <v>15</v>
      </c>
      <c r="G2309" t="s">
        <v>22</v>
      </c>
      <c r="H2309" t="s">
        <v>1330</v>
      </c>
      <c r="I2309" t="s">
        <v>170</v>
      </c>
      <c r="J2309">
        <v>1</v>
      </c>
      <c r="K2309">
        <v>5000</v>
      </c>
      <c r="L2309">
        <v>5000</v>
      </c>
      <c r="M2309">
        <v>5000</v>
      </c>
      <c r="N2309" t="s">
        <v>19</v>
      </c>
    </row>
    <row r="2310" spans="1:14" x14ac:dyDescent="0.25">
      <c r="A2310" t="str">
        <f>Table3[[#This Row],[Company Name]] &amp; " - " &amp; Table3[[#This Row],[Store Name]] &amp; " - " &amp; Table3[[#This Row],[Store Branch / Address]]</f>
        <v>CHICKEN DELI - PROSHOP - GENERIC</v>
      </c>
      <c r="B2310" t="str">
        <f>Table3[[#This Row],[Client ID]] &amp; " - " &amp; Table3[[#This Row],[SO Number]]</f>
        <v>CHICKEN DELI - PROSHOP - GENERIC - SO-047</v>
      </c>
      <c r="C2310" t="s">
        <v>336</v>
      </c>
      <c r="D2310" t="s">
        <v>20</v>
      </c>
      <c r="E2310" t="s">
        <v>434</v>
      </c>
      <c r="F2310" t="s">
        <v>15</v>
      </c>
      <c r="G2310" t="s">
        <v>22</v>
      </c>
      <c r="H2310" t="s">
        <v>1330</v>
      </c>
      <c r="I2310" t="s">
        <v>24</v>
      </c>
      <c r="J2310">
        <v>1</v>
      </c>
      <c r="K2310">
        <v>5000</v>
      </c>
      <c r="L2310">
        <v>5000</v>
      </c>
      <c r="M2310">
        <v>5000</v>
      </c>
      <c r="N2310" t="s">
        <v>19</v>
      </c>
    </row>
    <row r="2311" spans="1:14" x14ac:dyDescent="0.25">
      <c r="A2311" t="str">
        <f>Table3[[#This Row],[Company Name]] &amp; " - " &amp; Table3[[#This Row],[Store Name]] &amp; " - " &amp; Table3[[#This Row],[Store Branch / Address]]</f>
        <v>CHICKEN DELI - PROSHOP - GENERIC</v>
      </c>
      <c r="B2311" t="str">
        <f>Table3[[#This Row],[Client ID]] &amp; " - " &amp; Table3[[#This Row],[SO Number]]</f>
        <v>CHICKEN DELI - PROSHOP - GENERIC - SO-047</v>
      </c>
      <c r="C2311" t="s">
        <v>336</v>
      </c>
      <c r="D2311" t="s">
        <v>20</v>
      </c>
      <c r="E2311" t="s">
        <v>434</v>
      </c>
      <c r="F2311" t="s">
        <v>15</v>
      </c>
      <c r="G2311" t="s">
        <v>22</v>
      </c>
      <c r="H2311" t="s">
        <v>1330</v>
      </c>
      <c r="I2311" t="s">
        <v>1337</v>
      </c>
      <c r="J2311">
        <v>1</v>
      </c>
      <c r="K2311">
        <v>13000</v>
      </c>
      <c r="L2311">
        <v>17500</v>
      </c>
      <c r="M2311">
        <v>17500</v>
      </c>
      <c r="N2311" t="s">
        <v>19</v>
      </c>
    </row>
    <row r="2312" spans="1:14" x14ac:dyDescent="0.25">
      <c r="A2312" t="str">
        <f>Table3[[#This Row],[Company Name]] &amp; " - " &amp; Table3[[#This Row],[Store Name]] &amp; " - " &amp; Table3[[#This Row],[Store Branch / Address]]</f>
        <v>CHICKEN DELI - PROSHOP - GENERIC</v>
      </c>
      <c r="B2312" t="str">
        <f>Table3[[#This Row],[Client ID]] &amp; " - " &amp; Table3[[#This Row],[SO Number]]</f>
        <v>CHICKEN DELI - PROSHOP - GENERIC - SO-047</v>
      </c>
      <c r="C2312" t="s">
        <v>336</v>
      </c>
      <c r="D2312" t="s">
        <v>20</v>
      </c>
      <c r="E2312" t="s">
        <v>434</v>
      </c>
      <c r="F2312" t="s">
        <v>15</v>
      </c>
      <c r="G2312" t="s">
        <v>22</v>
      </c>
      <c r="H2312" t="s">
        <v>1330</v>
      </c>
      <c r="I2312" t="s">
        <v>393</v>
      </c>
      <c r="J2312">
        <v>1</v>
      </c>
      <c r="K2312">
        <v>500</v>
      </c>
      <c r="L2312">
        <v>500</v>
      </c>
      <c r="M2312">
        <v>500</v>
      </c>
      <c r="N2312" t="s">
        <v>19</v>
      </c>
    </row>
    <row r="2313" spans="1:14" x14ac:dyDescent="0.25">
      <c r="A2313" t="str">
        <f>Table3[[#This Row],[Company Name]] &amp; " - " &amp; Table3[[#This Row],[Store Name]] &amp; " - " &amp; Table3[[#This Row],[Store Branch / Address]]</f>
        <v>CHICKEN DELI - PROSHOP - GENERIC</v>
      </c>
      <c r="B2313" t="str">
        <f>Table3[[#This Row],[Client ID]] &amp; " - " &amp; Table3[[#This Row],[SO Number]]</f>
        <v>CHICKEN DELI - PROSHOP - GENERIC - SO-047</v>
      </c>
      <c r="C2313" t="s">
        <v>336</v>
      </c>
      <c r="D2313" t="s">
        <v>20</v>
      </c>
      <c r="E2313" t="s">
        <v>434</v>
      </c>
      <c r="F2313" t="s">
        <v>15</v>
      </c>
      <c r="G2313" t="s">
        <v>22</v>
      </c>
      <c r="H2313" t="s">
        <v>1330</v>
      </c>
      <c r="I2313" t="s">
        <v>26</v>
      </c>
      <c r="J2313">
        <v>1</v>
      </c>
      <c r="K2313">
        <v>500</v>
      </c>
      <c r="L2313">
        <v>500</v>
      </c>
      <c r="M2313">
        <v>500</v>
      </c>
      <c r="N2313" t="s">
        <v>19</v>
      </c>
    </row>
    <row r="2314" spans="1:14" x14ac:dyDescent="0.25">
      <c r="A2314" t="str">
        <f>Table3[[#This Row],[Company Name]] &amp; " - " &amp; Table3[[#This Row],[Store Name]] &amp; " - " &amp; Table3[[#This Row],[Store Branch / Address]]</f>
        <v>HUZZAH - HUZZAH - GENERIC</v>
      </c>
      <c r="B2314" t="str">
        <f>Table3[[#This Row],[Client ID]] &amp; " - " &amp; Table3[[#This Row],[SO Number]]</f>
        <v>HUZZAH - HUZZAH - GENERIC - SO-26-034</v>
      </c>
      <c r="C2314" t="s">
        <v>1286</v>
      </c>
      <c r="D2314" t="s">
        <v>87</v>
      </c>
      <c r="E2314" t="s">
        <v>87</v>
      </c>
      <c r="F2314" t="s">
        <v>15</v>
      </c>
      <c r="G2314" t="s">
        <v>37</v>
      </c>
      <c r="H2314" t="s">
        <v>1287</v>
      </c>
      <c r="I2314" t="s">
        <v>89</v>
      </c>
      <c r="J2314">
        <v>50</v>
      </c>
      <c r="K2314">
        <v>32</v>
      </c>
      <c r="L2314">
        <v>50</v>
      </c>
      <c r="M2314">
        <v>2500</v>
      </c>
      <c r="N2314" t="s">
        <v>39</v>
      </c>
    </row>
    <row r="2315" spans="1:14" x14ac:dyDescent="0.25">
      <c r="A2315" t="str">
        <f>Table3[[#This Row],[Company Name]] &amp; " - " &amp; Table3[[#This Row],[Store Name]] &amp; " - " &amp; Table3[[#This Row],[Store Branch / Address]]</f>
        <v>CHICKEN DELI - LIAM'S LOMI HOUSE - GENERIC</v>
      </c>
      <c r="B2315" t="str">
        <f>Table3[[#This Row],[Client ID]] &amp; " - " &amp; Table3[[#This Row],[SO Number]]</f>
        <v>CHICKEN DELI - LIAM'S LOMI HOUSE - GENERIC - SO-048</v>
      </c>
      <c r="C2315" t="s">
        <v>344</v>
      </c>
      <c r="D2315" t="s">
        <v>20</v>
      </c>
      <c r="E2315" t="s">
        <v>1326</v>
      </c>
      <c r="F2315" t="s">
        <v>15</v>
      </c>
      <c r="G2315" t="s">
        <v>22</v>
      </c>
      <c r="H2315" t="s">
        <v>1341</v>
      </c>
      <c r="I2315" t="s">
        <v>1342</v>
      </c>
      <c r="J2315">
        <v>2</v>
      </c>
      <c r="K2315">
        <v>9500</v>
      </c>
      <c r="L2315">
        <v>13750</v>
      </c>
      <c r="M2315">
        <v>27500</v>
      </c>
      <c r="N2315" t="s">
        <v>19</v>
      </c>
    </row>
    <row r="2316" spans="1:14" x14ac:dyDescent="0.25">
      <c r="A2316" t="str">
        <f>Table3[[#This Row],[Company Name]] &amp; " - " &amp; Table3[[#This Row],[Store Name]] &amp; " - " &amp; Table3[[#This Row],[Store Branch / Address]]</f>
        <v>CHICKEN DELI - LIAM'S LOMI HOUSE - GENERIC</v>
      </c>
      <c r="B2316" t="str">
        <f>Table3[[#This Row],[Client ID]] &amp; " - " &amp; Table3[[#This Row],[SO Number]]</f>
        <v>CHICKEN DELI - LIAM'S LOMI HOUSE - GENERIC - SO-048</v>
      </c>
      <c r="C2316" t="s">
        <v>344</v>
      </c>
      <c r="D2316" t="s">
        <v>20</v>
      </c>
      <c r="E2316" t="s">
        <v>1326</v>
      </c>
      <c r="F2316" t="s">
        <v>15</v>
      </c>
      <c r="G2316" t="s">
        <v>22</v>
      </c>
      <c r="H2316" t="s">
        <v>1341</v>
      </c>
      <c r="I2316" t="s">
        <v>1343</v>
      </c>
      <c r="J2316">
        <v>1</v>
      </c>
      <c r="K2316">
        <v>1014.72</v>
      </c>
      <c r="L2316">
        <v>2000</v>
      </c>
      <c r="M2316">
        <v>2000</v>
      </c>
      <c r="N2316" t="s">
        <v>19</v>
      </c>
    </row>
    <row r="2317" spans="1:14" x14ac:dyDescent="0.25">
      <c r="A2317" t="str">
        <f>Table3[[#This Row],[Company Name]] &amp; " - " &amp; Table3[[#This Row],[Store Name]] &amp; " - " &amp; Table3[[#This Row],[Store Branch / Address]]</f>
        <v>CHICKEN DELI - LIAM'S LOMI HOUSE - GENERIC</v>
      </c>
      <c r="B2317" t="str">
        <f>Table3[[#This Row],[Client ID]] &amp; " - " &amp; Table3[[#This Row],[SO Number]]</f>
        <v>CHICKEN DELI - LIAM'S LOMI HOUSE - GENERIC - SO-048</v>
      </c>
      <c r="C2317" t="s">
        <v>344</v>
      </c>
      <c r="D2317" t="s">
        <v>20</v>
      </c>
      <c r="E2317" t="s">
        <v>1326</v>
      </c>
      <c r="F2317" t="s">
        <v>15</v>
      </c>
      <c r="G2317" t="s">
        <v>22</v>
      </c>
      <c r="H2317" t="s">
        <v>1341</v>
      </c>
      <c r="I2317" t="s">
        <v>393</v>
      </c>
      <c r="J2317">
        <v>1</v>
      </c>
      <c r="K2317">
        <v>500</v>
      </c>
      <c r="L2317">
        <v>500</v>
      </c>
      <c r="M2317">
        <v>500</v>
      </c>
      <c r="N2317" t="s">
        <v>19</v>
      </c>
    </row>
    <row r="2318" spans="1:14" x14ac:dyDescent="0.25">
      <c r="A2318" t="str">
        <f>Table3[[#This Row],[Company Name]] &amp; " - " &amp; Table3[[#This Row],[Store Name]] &amp; " - " &amp; Table3[[#This Row],[Store Branch / Address]]</f>
        <v>CHICKEN DELI - PAOTSIN - GENERIC</v>
      </c>
      <c r="B2318" t="str">
        <f>Table3[[#This Row],[Client ID]] &amp; " - " &amp; Table3[[#This Row],[SO Number]]</f>
        <v>CHICKEN DELI - PAOTSIN - GENERIC - SO-050</v>
      </c>
      <c r="C2318" t="s">
        <v>346</v>
      </c>
      <c r="D2318" t="s">
        <v>20</v>
      </c>
      <c r="E2318" t="s">
        <v>623</v>
      </c>
      <c r="F2318" t="s">
        <v>15</v>
      </c>
      <c r="G2318" t="s">
        <v>22</v>
      </c>
      <c r="H2318" t="s">
        <v>1350</v>
      </c>
      <c r="I2318" t="s">
        <v>1351</v>
      </c>
      <c r="J2318">
        <v>1</v>
      </c>
      <c r="K2318">
        <v>650</v>
      </c>
      <c r="L2318">
        <v>2000</v>
      </c>
      <c r="M2318">
        <v>2000</v>
      </c>
      <c r="N2318" t="s">
        <v>19</v>
      </c>
    </row>
    <row r="2319" spans="1:14" x14ac:dyDescent="0.25">
      <c r="A2319" t="str">
        <f>Table3[[#This Row],[Company Name]] &amp; " - " &amp; Table3[[#This Row],[Store Name]] &amp; " - " &amp; Table3[[#This Row],[Store Branch / Address]]</f>
        <v>POL S MOM S PLACE INC - MAMOU - GENERIC</v>
      </c>
      <c r="B2319" t="str">
        <f>Table3[[#This Row],[Client ID]] &amp; " - " &amp; Table3[[#This Row],[SO Number]]</f>
        <v>POL S MOM S PLACE INC - MAMOU - GENERIC - SO-26-035</v>
      </c>
      <c r="C2319" t="s">
        <v>1289</v>
      </c>
      <c r="D2319" t="s">
        <v>57</v>
      </c>
      <c r="E2319" t="s">
        <v>58</v>
      </c>
      <c r="F2319" t="s">
        <v>15</v>
      </c>
      <c r="G2319" t="s">
        <v>37</v>
      </c>
      <c r="H2319" t="s">
        <v>1290</v>
      </c>
      <c r="I2319" t="s">
        <v>97</v>
      </c>
      <c r="J2319">
        <v>1</v>
      </c>
      <c r="K2319">
        <v>2200</v>
      </c>
      <c r="L2319">
        <v>4500</v>
      </c>
      <c r="M2319">
        <v>4500</v>
      </c>
      <c r="N2319" t="s">
        <v>19</v>
      </c>
    </row>
    <row r="2320" spans="1:14" x14ac:dyDescent="0.25">
      <c r="A2320" t="str">
        <f>Table3[[#This Row],[Company Name]] &amp; " - " &amp; Table3[[#This Row],[Store Name]] &amp; " - " &amp; Table3[[#This Row],[Store Branch / Address]]</f>
        <v>POL S MOM S PLACE INC - MAMOU - GENERIC</v>
      </c>
      <c r="B2320" t="str">
        <f>Table3[[#This Row],[Client ID]] &amp; " - " &amp; Table3[[#This Row],[SO Number]]</f>
        <v>POL S MOM S PLACE INC - MAMOU - GENERIC - SO-26-035</v>
      </c>
      <c r="C2320" t="s">
        <v>1289</v>
      </c>
      <c r="D2320" t="s">
        <v>57</v>
      </c>
      <c r="E2320" t="s">
        <v>58</v>
      </c>
      <c r="F2320" t="s">
        <v>15</v>
      </c>
      <c r="G2320" t="s">
        <v>37</v>
      </c>
      <c r="H2320" t="s">
        <v>1290</v>
      </c>
      <c r="I2320" t="s">
        <v>63</v>
      </c>
      <c r="J2320">
        <v>1</v>
      </c>
      <c r="K2320">
        <v>200</v>
      </c>
      <c r="L2320">
        <v>200</v>
      </c>
      <c r="M2320">
        <v>200</v>
      </c>
      <c r="N2320" t="s">
        <v>19</v>
      </c>
    </row>
    <row r="2321" spans="1:14" x14ac:dyDescent="0.25">
      <c r="A2321" t="str">
        <f>Table3[[#This Row],[Company Name]] &amp; " - " &amp; Table3[[#This Row],[Store Name]] &amp; " - " &amp; Table3[[#This Row],[Store Branch / Address]]</f>
        <v>ROCKWELL LAND CORPORATION - ROCKWELL LAND CORPORATION - ROCKWELL MAKATI</v>
      </c>
      <c r="B2321" t="str">
        <f>Table3[[#This Row],[Client ID]] &amp; " - " &amp; Table3[[#This Row],[SO Number]]</f>
        <v>ROCKWELL LAND CORPORATION - ROCKWELL LAND CORPORATION - ROCKWELL MAKATI - SO-26-036</v>
      </c>
      <c r="C2321" t="s">
        <v>1291</v>
      </c>
      <c r="D2321" t="s">
        <v>296</v>
      </c>
      <c r="E2321" t="s">
        <v>296</v>
      </c>
      <c r="F2321" t="s">
        <v>830</v>
      </c>
      <c r="G2321" t="s">
        <v>831</v>
      </c>
      <c r="H2321" t="s">
        <v>1290</v>
      </c>
      <c r="I2321" t="s">
        <v>1292</v>
      </c>
      <c r="J2321">
        <v>2</v>
      </c>
      <c r="K2321">
        <v>11000</v>
      </c>
      <c r="L2321">
        <v>15250</v>
      </c>
      <c r="M2321">
        <v>30500</v>
      </c>
      <c r="N2321" t="s">
        <v>39</v>
      </c>
    </row>
    <row r="2322" spans="1:14" x14ac:dyDescent="0.25">
      <c r="A2322" t="str">
        <f>Table3[[#This Row],[Company Name]] &amp; " - " &amp; Table3[[#This Row],[Store Name]] &amp; " - " &amp; Table3[[#This Row],[Store Branch / Address]]</f>
        <v>ROCKWELL LAND CORPORATION - ROCKWELL LAND CORPORATION - ROCKWELL MAKATI</v>
      </c>
      <c r="B2322" t="str">
        <f>Table3[[#This Row],[Client ID]] &amp; " - " &amp; Table3[[#This Row],[SO Number]]</f>
        <v>ROCKWELL LAND CORPORATION - ROCKWELL LAND CORPORATION - ROCKWELL MAKATI - SO-26-036</v>
      </c>
      <c r="C2322" t="s">
        <v>1291</v>
      </c>
      <c r="D2322" t="s">
        <v>296</v>
      </c>
      <c r="E2322" t="s">
        <v>296</v>
      </c>
      <c r="F2322" t="s">
        <v>830</v>
      </c>
      <c r="G2322" t="s">
        <v>831</v>
      </c>
      <c r="H2322" t="s">
        <v>1290</v>
      </c>
      <c r="I2322" t="s">
        <v>93</v>
      </c>
      <c r="J2322">
        <v>2</v>
      </c>
      <c r="K2322">
        <v>11000</v>
      </c>
      <c r="L2322">
        <v>15000</v>
      </c>
      <c r="M2322">
        <v>30000</v>
      </c>
      <c r="N2322" t="s">
        <v>39</v>
      </c>
    </row>
    <row r="2323" spans="1:14" x14ac:dyDescent="0.25">
      <c r="A2323" t="str">
        <f>Table3[[#This Row],[Company Name]] &amp; " - " &amp; Table3[[#This Row],[Store Name]] &amp; " - " &amp; Table3[[#This Row],[Store Branch / Address]]</f>
        <v>ROCKWELL LAND CORPORATION - ROCKWELL LAND CORPORATION - ROCKWELL MAKATI</v>
      </c>
      <c r="B2323" t="str">
        <f>Table3[[#This Row],[Client ID]] &amp; " - " &amp; Table3[[#This Row],[SO Number]]</f>
        <v>ROCKWELL LAND CORPORATION - ROCKWELL LAND CORPORATION - ROCKWELL MAKATI - SO-26-036</v>
      </c>
      <c r="C2323" t="s">
        <v>1291</v>
      </c>
      <c r="D2323" t="s">
        <v>296</v>
      </c>
      <c r="E2323" t="s">
        <v>296</v>
      </c>
      <c r="F2323" t="s">
        <v>830</v>
      </c>
      <c r="G2323" t="s">
        <v>831</v>
      </c>
      <c r="H2323" t="s">
        <v>1290</v>
      </c>
      <c r="I2323" t="s">
        <v>76</v>
      </c>
      <c r="J2323">
        <v>1</v>
      </c>
      <c r="K2323">
        <v>500</v>
      </c>
      <c r="L2323">
        <v>500</v>
      </c>
      <c r="M2323">
        <v>500</v>
      </c>
      <c r="N2323" t="s">
        <v>39</v>
      </c>
    </row>
    <row r="2324" spans="1:14" x14ac:dyDescent="0.25">
      <c r="A2324" t="str">
        <f>Table3[[#This Row],[Company Name]] &amp; " - " &amp; Table3[[#This Row],[Store Name]] &amp; " - " &amp; Table3[[#This Row],[Store Branch / Address]]</f>
        <v>ELEVATED FOOD RECIPES INC - HEALTHY SHABU SHABU - ROB. MANILA</v>
      </c>
      <c r="B2324" t="str">
        <f>Table3[[#This Row],[Client ID]] &amp; " - " &amp; Table3[[#This Row],[SO Number]]</f>
        <v>ELEVATED FOOD RECIPES INC - HEALTHY SHABU SHABU - ROB. MANILA - SO-26-037</v>
      </c>
      <c r="C2324" t="s">
        <v>1293</v>
      </c>
      <c r="D2324" t="s">
        <v>179</v>
      </c>
      <c r="E2324" t="s">
        <v>180</v>
      </c>
      <c r="F2324" t="s">
        <v>710</v>
      </c>
      <c r="G2324" t="s">
        <v>22</v>
      </c>
      <c r="H2324" t="s">
        <v>1294</v>
      </c>
      <c r="I2324" t="s">
        <v>1295</v>
      </c>
      <c r="J2324">
        <v>1</v>
      </c>
      <c r="K2324">
        <v>2500</v>
      </c>
      <c r="L2324">
        <v>3500</v>
      </c>
      <c r="M2324">
        <v>3500</v>
      </c>
      <c r="N2324" t="s">
        <v>39</v>
      </c>
    </row>
    <row r="2325" spans="1:14" x14ac:dyDescent="0.25">
      <c r="A2325" t="str">
        <f>Table3[[#This Row],[Company Name]] &amp; " - " &amp; Table3[[#This Row],[Store Name]] &amp; " - " &amp; Table3[[#This Row],[Store Branch / Address]]</f>
        <v>CANELLE FOOD CORPORATION - CINNABON - GENERIC</v>
      </c>
      <c r="B2325" t="str">
        <f>Table3[[#This Row],[Client ID]] &amp; " - " &amp; Table3[[#This Row],[SO Number]]</f>
        <v>CANELLE FOOD CORPORATION - CINNABON - GENERIC - SO-26-038</v>
      </c>
      <c r="C2325" t="s">
        <v>1296</v>
      </c>
      <c r="D2325" t="s">
        <v>363</v>
      </c>
      <c r="E2325" t="s">
        <v>364</v>
      </c>
      <c r="F2325" t="s">
        <v>15</v>
      </c>
      <c r="G2325" t="s">
        <v>37</v>
      </c>
      <c r="H2325" t="s">
        <v>1294</v>
      </c>
      <c r="I2325" t="s">
        <v>38</v>
      </c>
      <c r="J2325">
        <v>1</v>
      </c>
      <c r="K2325">
        <v>8500</v>
      </c>
      <c r="L2325">
        <v>10807.14</v>
      </c>
      <c r="M2325">
        <v>10807.14</v>
      </c>
      <c r="N2325" t="s">
        <v>19</v>
      </c>
    </row>
    <row r="2326" spans="1:14" x14ac:dyDescent="0.25">
      <c r="A2326" t="str">
        <f>Table3[[#This Row],[Company Name]] &amp; " - " &amp; Table3[[#This Row],[Store Name]] &amp; " - " &amp; Table3[[#This Row],[Store Branch / Address]]</f>
        <v>CANELLE FOOD CORPORATION - CINNABON - GENERIC</v>
      </c>
      <c r="B2326" t="str">
        <f>Table3[[#This Row],[Client ID]] &amp; " - " &amp; Table3[[#This Row],[SO Number]]</f>
        <v>CANELLE FOOD CORPORATION - CINNABON - GENERIC - SO-26-038</v>
      </c>
      <c r="C2326" t="s">
        <v>1296</v>
      </c>
      <c r="D2326" t="s">
        <v>363</v>
      </c>
      <c r="E2326" t="s">
        <v>364</v>
      </c>
      <c r="F2326" t="s">
        <v>15</v>
      </c>
      <c r="G2326" t="s">
        <v>37</v>
      </c>
      <c r="H2326" t="s">
        <v>1294</v>
      </c>
      <c r="I2326" t="s">
        <v>1297</v>
      </c>
      <c r="J2326">
        <v>1</v>
      </c>
      <c r="K2326">
        <v>892.86</v>
      </c>
      <c r="L2326">
        <v>892.86</v>
      </c>
      <c r="M2326">
        <v>892.86</v>
      </c>
      <c r="N2326" t="s">
        <v>19</v>
      </c>
    </row>
    <row r="2327" spans="1:14" x14ac:dyDescent="0.25">
      <c r="A2327" t="str">
        <f>Table3[[#This Row],[Company Name]] &amp; " - " &amp; Table3[[#This Row],[Store Name]] &amp; " - " &amp; Table3[[#This Row],[Store Branch / Address]]</f>
        <v>CANELLE FOOD CORPORATION - CINNABON - GENERIC</v>
      </c>
      <c r="B2327" t="str">
        <f>Table3[[#This Row],[Client ID]] &amp; " - " &amp; Table3[[#This Row],[SO Number]]</f>
        <v>CANELLE FOOD CORPORATION - CINNABON - GENERIC - SO-26-038</v>
      </c>
      <c r="C2327" t="s">
        <v>1296</v>
      </c>
      <c r="D2327" t="s">
        <v>363</v>
      </c>
      <c r="E2327" t="s">
        <v>364</v>
      </c>
      <c r="F2327" t="s">
        <v>15</v>
      </c>
      <c r="G2327" t="s">
        <v>37</v>
      </c>
      <c r="H2327" t="s">
        <v>1294</v>
      </c>
      <c r="I2327" t="s">
        <v>63</v>
      </c>
      <c r="J2327">
        <v>1</v>
      </c>
      <c r="K2327">
        <v>300</v>
      </c>
      <c r="L2327">
        <v>300</v>
      </c>
      <c r="M2327">
        <v>300</v>
      </c>
      <c r="N2327" t="s">
        <v>19</v>
      </c>
    </row>
    <row r="2328" spans="1:14" x14ac:dyDescent="0.25">
      <c r="A2328" t="str">
        <f>Table3[[#This Row],[Company Name]] &amp; " - " &amp; Table3[[#This Row],[Store Name]] &amp; " - " &amp; Table3[[#This Row],[Store Branch / Address]]</f>
        <v>MAXICOLLECTOR VENTURES INC - MAXIWORKS - GENERIC</v>
      </c>
      <c r="B2328" t="str">
        <f>Table3[[#This Row],[Client ID]] &amp; " - " &amp; Table3[[#This Row],[SO Number]]</f>
        <v>MAXICOLLECTOR VENTURES INC - MAXIWORKS - GENERIC - SO-26-011</v>
      </c>
      <c r="C2328" t="s">
        <v>1205</v>
      </c>
      <c r="D2328" t="s">
        <v>1405</v>
      </c>
      <c r="E2328" t="s">
        <v>1406</v>
      </c>
      <c r="F2328" t="s">
        <v>15</v>
      </c>
      <c r="G2328" t="s">
        <v>37</v>
      </c>
      <c r="H2328" t="s">
        <v>1407</v>
      </c>
      <c r="I2328" t="s">
        <v>33</v>
      </c>
      <c r="J2328">
        <v>1</v>
      </c>
      <c r="K2328">
        <v>18000</v>
      </c>
      <c r="L2328">
        <v>18000</v>
      </c>
      <c r="M2328">
        <v>18000</v>
      </c>
      <c r="N2328" t="s">
        <v>19</v>
      </c>
    </row>
    <row r="2329" spans="1:14" x14ac:dyDescent="0.25">
      <c r="A2329" t="str">
        <f>Table3[[#This Row],[Company Name]] &amp; " - " &amp; Table3[[#This Row],[Store Name]] &amp; " - " &amp; Table3[[#This Row],[Store Branch / Address]]</f>
        <v>DERMA 360 CORP - DERMA 360° - GENERIC</v>
      </c>
      <c r="B2329" t="str">
        <f>Table3[[#This Row],[Client ID]] &amp; " - " &amp; Table3[[#This Row],[SO Number]]</f>
        <v>DERMA 360 CORP - DERMA 360° - GENERIC - SO-26-012</v>
      </c>
      <c r="C2329" t="s">
        <v>1209</v>
      </c>
      <c r="D2329" t="s">
        <v>1160</v>
      </c>
      <c r="E2329" t="s">
        <v>1095</v>
      </c>
      <c r="F2329" t="s">
        <v>15</v>
      </c>
      <c r="G2329" t="s">
        <v>1007</v>
      </c>
      <c r="H2329" t="s">
        <v>1407</v>
      </c>
      <c r="I2329" t="s">
        <v>1163</v>
      </c>
      <c r="J2329">
        <v>2</v>
      </c>
      <c r="K2329">
        <v>18000</v>
      </c>
      <c r="L2329">
        <v>16000</v>
      </c>
      <c r="M2329">
        <v>32000</v>
      </c>
      <c r="N2329" t="s">
        <v>19</v>
      </c>
    </row>
    <row r="2330" spans="1:14" x14ac:dyDescent="0.25">
      <c r="A2330" t="str">
        <f>Table3[[#This Row],[Company Name]] &amp; " - " &amp; Table3[[#This Row],[Store Name]] &amp; " - " &amp; Table3[[#This Row],[Store Branch / Address]]</f>
        <v>CHICKEN DELI - UNAROSA - GENERIC</v>
      </c>
      <c r="B2330" t="str">
        <f>Table3[[#This Row],[Client ID]] &amp; " - " &amp; Table3[[#This Row],[SO Number]]</f>
        <v>CHICKEN DELI - UNAROSA - GENERIC - SO-051</v>
      </c>
      <c r="C2330" t="s">
        <v>351</v>
      </c>
      <c r="D2330" t="s">
        <v>20</v>
      </c>
      <c r="E2330" t="s">
        <v>1300</v>
      </c>
      <c r="F2330" t="s">
        <v>15</v>
      </c>
      <c r="G2330" t="s">
        <v>22</v>
      </c>
      <c r="H2330" t="s">
        <v>1354</v>
      </c>
      <c r="I2330" t="s">
        <v>1301</v>
      </c>
      <c r="J2330">
        <v>1</v>
      </c>
      <c r="K2330">
        <v>14500</v>
      </c>
      <c r="L2330">
        <v>14500</v>
      </c>
      <c r="M2330">
        <v>14500</v>
      </c>
      <c r="N2330" t="s">
        <v>19</v>
      </c>
    </row>
    <row r="2331" spans="1:14" x14ac:dyDescent="0.25">
      <c r="A2331" t="str">
        <f>Table3[[#This Row],[Company Name]] &amp; " - " &amp; Table3[[#This Row],[Store Name]] &amp; " - " &amp; Table3[[#This Row],[Store Branch / Address]]</f>
        <v>CHICKEN DELI - UNAROSA - GENERIC</v>
      </c>
      <c r="B2331" t="str">
        <f>Table3[[#This Row],[Client ID]] &amp; " - " &amp; Table3[[#This Row],[SO Number]]</f>
        <v>CHICKEN DELI - UNAROSA - GENERIC - SO-051</v>
      </c>
      <c r="C2331" t="s">
        <v>351</v>
      </c>
      <c r="D2331" t="s">
        <v>20</v>
      </c>
      <c r="E2331" t="s">
        <v>1300</v>
      </c>
      <c r="F2331" t="s">
        <v>15</v>
      </c>
      <c r="G2331" t="s">
        <v>22</v>
      </c>
      <c r="H2331" t="s">
        <v>1354</v>
      </c>
      <c r="I2331" t="s">
        <v>1307</v>
      </c>
      <c r="J2331">
        <v>1</v>
      </c>
      <c r="K2331">
        <v>22450</v>
      </c>
      <c r="L2331">
        <v>32000</v>
      </c>
      <c r="M2331">
        <v>32000</v>
      </c>
      <c r="N2331" t="s">
        <v>19</v>
      </c>
    </row>
    <row r="2332" spans="1:14" x14ac:dyDescent="0.25">
      <c r="A2332" t="str">
        <f>Table3[[#This Row],[Company Name]] &amp; " - " &amp; Table3[[#This Row],[Store Name]] &amp; " - " &amp; Table3[[#This Row],[Store Branch / Address]]</f>
        <v>CHICKEN DELI - UNAROSA - GENERIC</v>
      </c>
      <c r="B2332" t="str">
        <f>Table3[[#This Row],[Client ID]] &amp; " - " &amp; Table3[[#This Row],[SO Number]]</f>
        <v>CHICKEN DELI - UNAROSA - GENERIC - SO-051</v>
      </c>
      <c r="C2332" t="s">
        <v>351</v>
      </c>
      <c r="D2332" t="s">
        <v>20</v>
      </c>
      <c r="E2332" t="s">
        <v>1300</v>
      </c>
      <c r="F2332" t="s">
        <v>15</v>
      </c>
      <c r="G2332" t="s">
        <v>22</v>
      </c>
      <c r="H2332" t="s">
        <v>1354</v>
      </c>
      <c r="I2332" t="s">
        <v>26</v>
      </c>
      <c r="J2332">
        <v>1</v>
      </c>
      <c r="K2332">
        <v>500</v>
      </c>
      <c r="L2332">
        <v>500</v>
      </c>
      <c r="M2332">
        <v>500</v>
      </c>
      <c r="N2332" t="s">
        <v>19</v>
      </c>
    </row>
    <row r="2333" spans="1:14" x14ac:dyDescent="0.25">
      <c r="A2333" t="str">
        <f>Table3[[#This Row],[Company Name]] &amp; " - " &amp; Table3[[#This Row],[Store Name]] &amp; " - " &amp; Table3[[#This Row],[Store Branch / Address]]</f>
        <v>CHICKEN DELI - UNAROSA - GENERIC</v>
      </c>
      <c r="B2333" t="str">
        <f>Table3[[#This Row],[Client ID]] &amp; " - " &amp; Table3[[#This Row],[SO Number]]</f>
        <v>CHICKEN DELI - UNAROSA - GENERIC - SO-051</v>
      </c>
      <c r="C2333" t="s">
        <v>351</v>
      </c>
      <c r="D2333" t="s">
        <v>20</v>
      </c>
      <c r="E2333" t="s">
        <v>1300</v>
      </c>
      <c r="F2333" t="s">
        <v>15</v>
      </c>
      <c r="G2333" t="s">
        <v>22</v>
      </c>
      <c r="H2333" t="s">
        <v>1354</v>
      </c>
      <c r="I2333" t="s">
        <v>1301</v>
      </c>
      <c r="J2333">
        <v>1</v>
      </c>
      <c r="K2333">
        <v>14500</v>
      </c>
      <c r="L2333">
        <v>14500</v>
      </c>
      <c r="M2333">
        <v>14500</v>
      </c>
      <c r="N2333" t="s">
        <v>19</v>
      </c>
    </row>
    <row r="2334" spans="1:14" x14ac:dyDescent="0.25">
      <c r="A2334" t="str">
        <f>Table3[[#This Row],[Company Name]] &amp; " - " &amp; Table3[[#This Row],[Store Name]] &amp; " - " &amp; Table3[[#This Row],[Store Branch / Address]]</f>
        <v>CHICKEN DELI - UNAROSA - GENERIC</v>
      </c>
      <c r="B2334" t="str">
        <f>Table3[[#This Row],[Client ID]] &amp; " - " &amp; Table3[[#This Row],[SO Number]]</f>
        <v>CHICKEN DELI - UNAROSA - GENERIC - SO-051</v>
      </c>
      <c r="C2334" t="s">
        <v>351</v>
      </c>
      <c r="D2334" t="s">
        <v>20</v>
      </c>
      <c r="E2334" t="s">
        <v>1300</v>
      </c>
      <c r="F2334" t="s">
        <v>15</v>
      </c>
      <c r="G2334" t="s">
        <v>22</v>
      </c>
      <c r="H2334" t="s">
        <v>1354</v>
      </c>
      <c r="I2334" t="s">
        <v>1307</v>
      </c>
      <c r="J2334">
        <v>1</v>
      </c>
      <c r="K2334">
        <v>22450</v>
      </c>
      <c r="L2334">
        <v>32000</v>
      </c>
      <c r="M2334">
        <v>32000</v>
      </c>
      <c r="N2334" t="s">
        <v>19</v>
      </c>
    </row>
    <row r="2335" spans="1:14" x14ac:dyDescent="0.25">
      <c r="A2335" t="str">
        <f>Table3[[#This Row],[Company Name]] &amp; " - " &amp; Table3[[#This Row],[Store Name]] &amp; " - " &amp; Table3[[#This Row],[Store Branch / Address]]</f>
        <v>CHICKEN DELI - UNAROSA - GENERIC</v>
      </c>
      <c r="B2335" t="str">
        <f>Table3[[#This Row],[Client ID]] &amp; " - " &amp; Table3[[#This Row],[SO Number]]</f>
        <v>CHICKEN DELI - UNAROSA - GENERIC - SO-051</v>
      </c>
      <c r="C2335" t="s">
        <v>351</v>
      </c>
      <c r="D2335" t="s">
        <v>20</v>
      </c>
      <c r="E2335" t="s">
        <v>1300</v>
      </c>
      <c r="F2335" t="s">
        <v>15</v>
      </c>
      <c r="G2335" t="s">
        <v>22</v>
      </c>
      <c r="H2335" t="s">
        <v>1354</v>
      </c>
      <c r="I2335" t="s">
        <v>26</v>
      </c>
      <c r="J2335">
        <v>1</v>
      </c>
      <c r="K2335">
        <v>500</v>
      </c>
      <c r="L2335">
        <v>500</v>
      </c>
      <c r="M2335">
        <v>500</v>
      </c>
      <c r="N2335" t="s">
        <v>19</v>
      </c>
    </row>
    <row r="2336" spans="1:14" x14ac:dyDescent="0.25">
      <c r="A2336" t="str">
        <f>Table3[[#This Row],[Company Name]] &amp; " - " &amp; Table3[[#This Row],[Store Name]] &amp; " - " &amp; Table3[[#This Row],[Store Branch / Address]]</f>
        <v>CHICKEN DELI - UNAROSA - GENERIC</v>
      </c>
      <c r="B2336" t="str">
        <f>Table3[[#This Row],[Client ID]] &amp; " - " &amp; Table3[[#This Row],[SO Number]]</f>
        <v>CHICKEN DELI - UNAROSA - GENERIC - SO-052</v>
      </c>
      <c r="C2336" t="s">
        <v>353</v>
      </c>
      <c r="D2336" t="s">
        <v>20</v>
      </c>
      <c r="E2336" t="s">
        <v>1300</v>
      </c>
      <c r="F2336" t="s">
        <v>15</v>
      </c>
      <c r="G2336" t="s">
        <v>22</v>
      </c>
      <c r="H2336" t="s">
        <v>1354</v>
      </c>
      <c r="I2336" t="s">
        <v>1301</v>
      </c>
      <c r="J2336">
        <v>1</v>
      </c>
      <c r="K2336">
        <v>14500</v>
      </c>
      <c r="L2336">
        <v>14500</v>
      </c>
      <c r="M2336">
        <v>14500</v>
      </c>
      <c r="N2336" t="s">
        <v>19</v>
      </c>
    </row>
    <row r="2337" spans="1:14" x14ac:dyDescent="0.25">
      <c r="A2337" t="str">
        <f>Table3[[#This Row],[Company Name]] &amp; " - " &amp; Table3[[#This Row],[Store Name]] &amp; " - " &amp; Table3[[#This Row],[Store Branch / Address]]</f>
        <v>CHICKEN DELI - UNAROSA - GENERIC</v>
      </c>
      <c r="B2337" t="str">
        <f>Table3[[#This Row],[Client ID]] &amp; " - " &amp; Table3[[#This Row],[SO Number]]</f>
        <v>CHICKEN DELI - UNAROSA - GENERIC - SO-052</v>
      </c>
      <c r="C2337" t="s">
        <v>353</v>
      </c>
      <c r="D2337" t="s">
        <v>20</v>
      </c>
      <c r="E2337" t="s">
        <v>1300</v>
      </c>
      <c r="F2337" t="s">
        <v>15</v>
      </c>
      <c r="G2337" t="s">
        <v>22</v>
      </c>
      <c r="H2337" t="s">
        <v>1354</v>
      </c>
      <c r="I2337" t="s">
        <v>1307</v>
      </c>
      <c r="J2337">
        <v>1</v>
      </c>
      <c r="K2337">
        <v>22450</v>
      </c>
      <c r="L2337">
        <v>32000</v>
      </c>
      <c r="M2337">
        <v>32000</v>
      </c>
      <c r="N2337" t="s">
        <v>19</v>
      </c>
    </row>
    <row r="2338" spans="1:14" x14ac:dyDescent="0.25">
      <c r="A2338" t="str">
        <f>Table3[[#This Row],[Company Name]] &amp; " - " &amp; Table3[[#This Row],[Store Name]] &amp; " - " &amp; Table3[[#This Row],[Store Branch / Address]]</f>
        <v>CHICKEN DELI - UNAROSA - GENERIC</v>
      </c>
      <c r="B2338" t="str">
        <f>Table3[[#This Row],[Client ID]] &amp; " - " &amp; Table3[[#This Row],[SO Number]]</f>
        <v>CHICKEN DELI - UNAROSA - GENERIC - SO-052</v>
      </c>
      <c r="C2338" t="s">
        <v>353</v>
      </c>
      <c r="D2338" t="s">
        <v>20</v>
      </c>
      <c r="E2338" t="s">
        <v>1300</v>
      </c>
      <c r="F2338" t="s">
        <v>15</v>
      </c>
      <c r="G2338" t="s">
        <v>22</v>
      </c>
      <c r="H2338" t="s">
        <v>1354</v>
      </c>
      <c r="I2338" t="s">
        <v>26</v>
      </c>
      <c r="J2338">
        <v>1</v>
      </c>
      <c r="K2338">
        <v>500</v>
      </c>
      <c r="L2338">
        <v>500</v>
      </c>
      <c r="M2338">
        <v>500</v>
      </c>
      <c r="N2338" t="s">
        <v>19</v>
      </c>
    </row>
    <row r="2339" spans="1:14" x14ac:dyDescent="0.25">
      <c r="A2339" t="str">
        <f>Table3[[#This Row],[Company Name]] &amp; " - " &amp; Table3[[#This Row],[Store Name]] &amp; " - " &amp; Table3[[#This Row],[Store Branch / Address]]</f>
        <v>CHICKEN DELI - UNAROSA - GENERIC</v>
      </c>
      <c r="B2339" t="str">
        <f>Table3[[#This Row],[Client ID]] &amp; " - " &amp; Table3[[#This Row],[SO Number]]</f>
        <v>CHICKEN DELI - UNAROSA - GENERIC - SO-053</v>
      </c>
      <c r="C2339" t="s">
        <v>356</v>
      </c>
      <c r="D2339" t="s">
        <v>20</v>
      </c>
      <c r="E2339" t="s">
        <v>1300</v>
      </c>
      <c r="F2339" t="s">
        <v>15</v>
      </c>
      <c r="G2339" t="s">
        <v>22</v>
      </c>
      <c r="H2339" t="s">
        <v>1354</v>
      </c>
      <c r="I2339" t="s">
        <v>1301</v>
      </c>
      <c r="J2339">
        <v>1</v>
      </c>
      <c r="K2339">
        <v>17000</v>
      </c>
      <c r="L2339">
        <v>17000</v>
      </c>
      <c r="M2339">
        <v>17000</v>
      </c>
      <c r="N2339" t="s">
        <v>19</v>
      </c>
    </row>
    <row r="2340" spans="1:14" x14ac:dyDescent="0.25">
      <c r="A2340" t="str">
        <f>Table3[[#This Row],[Company Name]] &amp; " - " &amp; Table3[[#This Row],[Store Name]] &amp; " - " &amp; Table3[[#This Row],[Store Branch / Address]]</f>
        <v>CHICKEN DELI - UNAROSA - GENERIC</v>
      </c>
      <c r="B2340" t="str">
        <f>Table3[[#This Row],[Client ID]] &amp; " - " &amp; Table3[[#This Row],[SO Number]]</f>
        <v>CHICKEN DELI - UNAROSA - GENERIC - SO-053</v>
      </c>
      <c r="C2340" t="s">
        <v>356</v>
      </c>
      <c r="D2340" t="s">
        <v>20</v>
      </c>
      <c r="E2340" t="s">
        <v>1300</v>
      </c>
      <c r="F2340" t="s">
        <v>15</v>
      </c>
      <c r="G2340" t="s">
        <v>22</v>
      </c>
      <c r="H2340" t="s">
        <v>1354</v>
      </c>
      <c r="I2340" t="s">
        <v>1302</v>
      </c>
      <c r="J2340">
        <v>1</v>
      </c>
      <c r="K2340">
        <v>5200</v>
      </c>
      <c r="L2340">
        <v>7500</v>
      </c>
      <c r="M2340">
        <v>7500</v>
      </c>
      <c r="N2340" t="s">
        <v>19</v>
      </c>
    </row>
    <row r="2341" spans="1:14" x14ac:dyDescent="0.25">
      <c r="A2341" t="str">
        <f>Table3[[#This Row],[Company Name]] &amp; " - " &amp; Table3[[#This Row],[Store Name]] &amp; " - " &amp; Table3[[#This Row],[Store Branch / Address]]</f>
        <v>CHICKEN DELI - UNAROSA - GENERIC</v>
      </c>
      <c r="B2341" t="str">
        <f>Table3[[#This Row],[Client ID]] &amp; " - " &amp; Table3[[#This Row],[SO Number]]</f>
        <v>CHICKEN DELI - UNAROSA - GENERIC - SO-053</v>
      </c>
      <c r="C2341" t="s">
        <v>356</v>
      </c>
      <c r="D2341" t="s">
        <v>20</v>
      </c>
      <c r="E2341" t="s">
        <v>1300</v>
      </c>
      <c r="F2341" t="s">
        <v>15</v>
      </c>
      <c r="G2341" t="s">
        <v>22</v>
      </c>
      <c r="H2341" t="s">
        <v>1354</v>
      </c>
      <c r="I2341" t="s">
        <v>99</v>
      </c>
      <c r="J2341">
        <v>1</v>
      </c>
      <c r="K2341">
        <v>2000</v>
      </c>
      <c r="L2341">
        <v>4000</v>
      </c>
      <c r="M2341">
        <v>4000</v>
      </c>
      <c r="N2341" t="s">
        <v>19</v>
      </c>
    </row>
    <row r="2342" spans="1:14" x14ac:dyDescent="0.25">
      <c r="A2342" t="str">
        <f>Table3[[#This Row],[Company Name]] &amp; " - " &amp; Table3[[#This Row],[Store Name]] &amp; " - " &amp; Table3[[#This Row],[Store Branch / Address]]</f>
        <v>CHICKEN DELI - UNAROSA - GENERIC</v>
      </c>
      <c r="B2342" t="str">
        <f>Table3[[#This Row],[Client ID]] &amp; " - " &amp; Table3[[#This Row],[SO Number]]</f>
        <v>CHICKEN DELI - UNAROSA - GENERIC - SO-053</v>
      </c>
      <c r="C2342" t="s">
        <v>356</v>
      </c>
      <c r="D2342" t="s">
        <v>20</v>
      </c>
      <c r="E2342" t="s">
        <v>1300</v>
      </c>
      <c r="F2342" t="s">
        <v>15</v>
      </c>
      <c r="G2342" t="s">
        <v>22</v>
      </c>
      <c r="H2342" t="s">
        <v>1354</v>
      </c>
      <c r="I2342" t="s">
        <v>1356</v>
      </c>
      <c r="J2342">
        <v>1</v>
      </c>
      <c r="K2342">
        <v>3900</v>
      </c>
      <c r="L2342">
        <v>5500</v>
      </c>
      <c r="M2342">
        <v>5500</v>
      </c>
      <c r="N2342" t="s">
        <v>19</v>
      </c>
    </row>
    <row r="2343" spans="1:14" x14ac:dyDescent="0.25">
      <c r="A2343" t="str">
        <f>Table3[[#This Row],[Company Name]] &amp; " - " &amp; Table3[[#This Row],[Store Name]] &amp; " - " &amp; Table3[[#This Row],[Store Branch / Address]]</f>
        <v>CHICKEN DELI - UNAROSA - GENERIC</v>
      </c>
      <c r="B2343" t="str">
        <f>Table3[[#This Row],[Client ID]] &amp; " - " &amp; Table3[[#This Row],[SO Number]]</f>
        <v>CHICKEN DELI - UNAROSA - GENERIC - SO-053</v>
      </c>
      <c r="C2343" t="s">
        <v>356</v>
      </c>
      <c r="D2343" t="s">
        <v>20</v>
      </c>
      <c r="E2343" t="s">
        <v>1300</v>
      </c>
      <c r="F2343" t="s">
        <v>15</v>
      </c>
      <c r="G2343" t="s">
        <v>22</v>
      </c>
      <c r="H2343" t="s">
        <v>1354</v>
      </c>
      <c r="I2343" t="s">
        <v>26</v>
      </c>
      <c r="J2343">
        <v>1</v>
      </c>
      <c r="K2343">
        <v>500</v>
      </c>
      <c r="L2343">
        <v>500</v>
      </c>
      <c r="M2343">
        <v>500</v>
      </c>
      <c r="N2343" t="s">
        <v>19</v>
      </c>
    </row>
    <row r="2344" spans="1:14" x14ac:dyDescent="0.25">
      <c r="A2344" t="str">
        <f>Table3[[#This Row],[Company Name]] &amp; " - " &amp; Table3[[#This Row],[Store Name]] &amp; " - " &amp; Table3[[#This Row],[Store Branch / Address]]</f>
        <v>CHICKEN DELI - PAOTSIN - GENERIC</v>
      </c>
      <c r="B2344" t="str">
        <f>Table3[[#This Row],[Client ID]] &amp; " - " &amp; Table3[[#This Row],[SO Number]]</f>
        <v>CHICKEN DELI - PAOTSIN - GENERIC - SO-054</v>
      </c>
      <c r="C2344" t="s">
        <v>362</v>
      </c>
      <c r="D2344" t="s">
        <v>20</v>
      </c>
      <c r="E2344" t="s">
        <v>623</v>
      </c>
      <c r="F2344" t="s">
        <v>15</v>
      </c>
      <c r="G2344" t="s">
        <v>22</v>
      </c>
      <c r="H2344" t="s">
        <v>1354</v>
      </c>
      <c r="I2344" t="s">
        <v>1359</v>
      </c>
      <c r="J2344">
        <v>1</v>
      </c>
      <c r="K2344">
        <v>28275</v>
      </c>
      <c r="L2344">
        <v>31500</v>
      </c>
      <c r="M2344">
        <v>31500</v>
      </c>
      <c r="N2344" t="s">
        <v>19</v>
      </c>
    </row>
    <row r="2345" spans="1:14" x14ac:dyDescent="0.25">
      <c r="A2345" t="str">
        <f>Table3[[#This Row],[Company Name]] &amp; " - " &amp; Table3[[#This Row],[Store Name]] &amp; " - " &amp; Table3[[#This Row],[Store Branch / Address]]</f>
        <v>CHICKEN DELI - PAOTSIN - GENERIC</v>
      </c>
      <c r="B2345" t="str">
        <f>Table3[[#This Row],[Client ID]] &amp; " - " &amp; Table3[[#This Row],[SO Number]]</f>
        <v>CHICKEN DELI - PAOTSIN - GENERIC - SO-054</v>
      </c>
      <c r="C2345" t="s">
        <v>362</v>
      </c>
      <c r="D2345" t="s">
        <v>20</v>
      </c>
      <c r="E2345" t="s">
        <v>623</v>
      </c>
      <c r="F2345" t="s">
        <v>15</v>
      </c>
      <c r="G2345" t="s">
        <v>22</v>
      </c>
      <c r="H2345" t="s">
        <v>1354</v>
      </c>
      <c r="I2345" t="s">
        <v>99</v>
      </c>
      <c r="J2345">
        <v>1</v>
      </c>
      <c r="K2345">
        <v>2000</v>
      </c>
      <c r="L2345">
        <v>4000</v>
      </c>
      <c r="M2345">
        <v>4000</v>
      </c>
      <c r="N2345" t="s">
        <v>19</v>
      </c>
    </row>
    <row r="2346" spans="1:14" x14ac:dyDescent="0.25">
      <c r="A2346" t="str">
        <f>Table3[[#This Row],[Company Name]] &amp; " - " &amp; Table3[[#This Row],[Store Name]] &amp; " - " &amp; Table3[[#This Row],[Store Branch / Address]]</f>
        <v>CHICKEN DELI - PAOTSIN - GENERIC</v>
      </c>
      <c r="B2346" t="str">
        <f>Table3[[#This Row],[Client ID]] &amp; " - " &amp; Table3[[#This Row],[SO Number]]</f>
        <v>CHICKEN DELI - PAOTSIN - GENERIC - SO-054</v>
      </c>
      <c r="C2346" t="s">
        <v>362</v>
      </c>
      <c r="D2346" t="s">
        <v>20</v>
      </c>
      <c r="E2346" t="s">
        <v>623</v>
      </c>
      <c r="F2346" t="s">
        <v>15</v>
      </c>
      <c r="G2346" t="s">
        <v>22</v>
      </c>
      <c r="H2346" t="s">
        <v>1354</v>
      </c>
      <c r="I2346" t="s">
        <v>26</v>
      </c>
      <c r="J2346">
        <v>1</v>
      </c>
      <c r="K2346">
        <v>500</v>
      </c>
      <c r="L2346">
        <v>500</v>
      </c>
      <c r="M2346">
        <v>500</v>
      </c>
      <c r="N2346" t="s">
        <v>19</v>
      </c>
    </row>
    <row r="2347" spans="1:14" x14ac:dyDescent="0.25">
      <c r="A2347" t="str">
        <f>Table3[[#This Row],[Company Name]] &amp; " - " &amp; Table3[[#This Row],[Store Name]] &amp; " - " &amp; Table3[[#This Row],[Store Branch / Address]]</f>
        <v>CHICKEN DELI - GONGCHA - GENERIC</v>
      </c>
      <c r="B2347" t="str">
        <f>Table3[[#This Row],[Client ID]] &amp; " - " &amp; Table3[[#This Row],[SO Number]]</f>
        <v>CHICKEN DELI - GONGCHA - GENERIC - SO-055</v>
      </c>
      <c r="C2347" t="s">
        <v>368</v>
      </c>
      <c r="D2347" t="s">
        <v>20</v>
      </c>
      <c r="E2347" t="s">
        <v>31</v>
      </c>
      <c r="F2347" t="s">
        <v>15</v>
      </c>
      <c r="G2347" t="s">
        <v>22</v>
      </c>
      <c r="H2347" t="s">
        <v>1362</v>
      </c>
      <c r="I2347" t="s">
        <v>33</v>
      </c>
      <c r="J2347">
        <v>2</v>
      </c>
      <c r="K2347">
        <v>6500</v>
      </c>
      <c r="L2347">
        <v>6500</v>
      </c>
      <c r="M2347">
        <v>13000</v>
      </c>
      <c r="N2347" t="s">
        <v>19</v>
      </c>
    </row>
    <row r="2348" spans="1:14" x14ac:dyDescent="0.25">
      <c r="A2348" t="str">
        <f>Table3[[#This Row],[Company Name]] &amp; " - " &amp; Table3[[#This Row],[Store Name]] &amp; " - " &amp; Table3[[#This Row],[Store Branch / Address]]</f>
        <v>CHICKEN DELI - GONGCHA - GENERIC</v>
      </c>
      <c r="B2348" t="str">
        <f>Table3[[#This Row],[Client ID]] &amp; " - " &amp; Table3[[#This Row],[SO Number]]</f>
        <v>CHICKEN DELI - GONGCHA - GENERIC - SO-056</v>
      </c>
      <c r="C2348" t="s">
        <v>369</v>
      </c>
      <c r="D2348" t="s">
        <v>20</v>
      </c>
      <c r="E2348" t="s">
        <v>31</v>
      </c>
      <c r="F2348" t="s">
        <v>15</v>
      </c>
      <c r="G2348" t="s">
        <v>22</v>
      </c>
      <c r="H2348" t="s">
        <v>1362</v>
      </c>
      <c r="I2348" t="s">
        <v>33</v>
      </c>
      <c r="J2348">
        <v>1</v>
      </c>
      <c r="K2348">
        <v>6500</v>
      </c>
      <c r="L2348">
        <v>6500</v>
      </c>
      <c r="M2348">
        <v>6500</v>
      </c>
      <c r="N2348" t="s">
        <v>19</v>
      </c>
    </row>
    <row r="2349" spans="1:14" x14ac:dyDescent="0.25">
      <c r="A2349" t="str">
        <f>Table3[[#This Row],[Company Name]] &amp; " - " &amp; Table3[[#This Row],[Store Name]] &amp; " - " &amp; Table3[[#This Row],[Store Branch / Address]]</f>
        <v>CHICKEN DELI - GONGCHA - GENERIC</v>
      </c>
      <c r="B2349" t="str">
        <f>Table3[[#This Row],[Client ID]] &amp; " - " &amp; Table3[[#This Row],[SO Number]]</f>
        <v>CHICKEN DELI - GONGCHA - GENERIC - SO-057</v>
      </c>
      <c r="C2349" t="s">
        <v>377</v>
      </c>
      <c r="D2349" t="s">
        <v>20</v>
      </c>
      <c r="E2349" t="s">
        <v>31</v>
      </c>
      <c r="F2349" t="s">
        <v>15</v>
      </c>
      <c r="G2349" t="s">
        <v>22</v>
      </c>
      <c r="H2349" t="s">
        <v>1362</v>
      </c>
      <c r="I2349" t="s">
        <v>33</v>
      </c>
      <c r="J2349">
        <v>3</v>
      </c>
      <c r="K2349">
        <v>6500</v>
      </c>
      <c r="L2349">
        <v>6500</v>
      </c>
      <c r="M2349">
        <v>19500</v>
      </c>
      <c r="N2349" t="s">
        <v>19</v>
      </c>
    </row>
    <row r="2350" spans="1:14" x14ac:dyDescent="0.25">
      <c r="A2350" t="str">
        <f>Table3[[#This Row],[Company Name]] &amp; " - " &amp; Table3[[#This Row],[Store Name]] &amp; " - " &amp; Table3[[#This Row],[Store Branch / Address]]</f>
        <v>CHICKEN DELI - GONGCHA - GENERIC</v>
      </c>
      <c r="B2350" t="str">
        <f>Table3[[#This Row],[Client ID]] &amp; " - " &amp; Table3[[#This Row],[SO Number]]</f>
        <v>CHICKEN DELI - GONGCHA - GENERIC - SO-058</v>
      </c>
      <c r="C2350" t="s">
        <v>382</v>
      </c>
      <c r="D2350" t="s">
        <v>20</v>
      </c>
      <c r="E2350" t="s">
        <v>31</v>
      </c>
      <c r="F2350" t="s">
        <v>15</v>
      </c>
      <c r="G2350" t="s">
        <v>22</v>
      </c>
      <c r="H2350" t="s">
        <v>1362</v>
      </c>
      <c r="I2350" t="s">
        <v>33</v>
      </c>
      <c r="J2350">
        <v>4</v>
      </c>
      <c r="K2350">
        <v>6500</v>
      </c>
      <c r="L2350">
        <v>6500</v>
      </c>
      <c r="M2350">
        <v>26000</v>
      </c>
      <c r="N2350" t="s">
        <v>19</v>
      </c>
    </row>
    <row r="2351" spans="1:14" x14ac:dyDescent="0.25">
      <c r="A2351" t="str">
        <f>Table3[[#This Row],[Company Name]] &amp; " - " &amp; Table3[[#This Row],[Store Name]] &amp; " - " &amp; Table3[[#This Row],[Store Branch / Address]]</f>
        <v>CHICKEN DELI - GONGCHA - GENERIC</v>
      </c>
      <c r="B2351" t="str">
        <f>Table3[[#This Row],[Client ID]] &amp; " - " &amp; Table3[[#This Row],[SO Number]]</f>
        <v>CHICKEN DELI - GONGCHA - GENERIC - SO-059</v>
      </c>
      <c r="C2351" t="s">
        <v>386</v>
      </c>
      <c r="D2351" t="s">
        <v>20</v>
      </c>
      <c r="E2351" t="s">
        <v>31</v>
      </c>
      <c r="F2351" t="s">
        <v>15</v>
      </c>
      <c r="G2351" t="s">
        <v>22</v>
      </c>
      <c r="H2351" t="s">
        <v>1362</v>
      </c>
      <c r="I2351" t="s">
        <v>33</v>
      </c>
      <c r="J2351">
        <v>2</v>
      </c>
      <c r="K2351">
        <v>6500</v>
      </c>
      <c r="L2351">
        <v>6500</v>
      </c>
      <c r="M2351">
        <v>13000</v>
      </c>
      <c r="N2351" t="s">
        <v>19</v>
      </c>
    </row>
    <row r="2352" spans="1:14" x14ac:dyDescent="0.25">
      <c r="A2352" t="str">
        <f>Table3[[#This Row],[Company Name]] &amp; " - " &amp; Table3[[#This Row],[Store Name]] &amp; " - " &amp; Table3[[#This Row],[Store Branch / Address]]</f>
        <v>CHICKEN DELI - GONGCHA - GENERIC</v>
      </c>
      <c r="B2352" t="str">
        <f>Table3[[#This Row],[Client ID]] &amp; " - " &amp; Table3[[#This Row],[SO Number]]</f>
        <v>CHICKEN DELI - GONGCHA - GENERIC - SO-060</v>
      </c>
      <c r="C2352" t="s">
        <v>391</v>
      </c>
      <c r="D2352" t="s">
        <v>20</v>
      </c>
      <c r="E2352" t="s">
        <v>31</v>
      </c>
      <c r="F2352" t="s">
        <v>15</v>
      </c>
      <c r="G2352" t="s">
        <v>22</v>
      </c>
      <c r="H2352" t="s">
        <v>1362</v>
      </c>
      <c r="I2352" t="s">
        <v>33</v>
      </c>
      <c r="J2352">
        <v>1</v>
      </c>
      <c r="K2352">
        <v>6500</v>
      </c>
      <c r="L2352">
        <v>6500</v>
      </c>
      <c r="M2352">
        <v>6500</v>
      </c>
      <c r="N2352" t="s">
        <v>19</v>
      </c>
    </row>
    <row r="2353" spans="1:14" x14ac:dyDescent="0.25">
      <c r="A2353" t="str">
        <f>Table3[[#This Row],[Company Name]] &amp; " - " &amp; Table3[[#This Row],[Store Name]] &amp; " - " &amp; Table3[[#This Row],[Store Branch / Address]]</f>
        <v>MEGA GOLDTOWN PAN INC - PANDE MANILA - GENERIC</v>
      </c>
      <c r="B2353" t="str">
        <f>Table3[[#This Row],[Client ID]] &amp; " - " &amp; Table3[[#This Row],[SO Number]]</f>
        <v>MEGA GOLDTOWN PAN INC - PANDE MANILA - GENERIC - SO-26-040</v>
      </c>
      <c r="C2353" t="s">
        <v>1303</v>
      </c>
      <c r="D2353" t="s">
        <v>1304</v>
      </c>
      <c r="E2353" t="s">
        <v>596</v>
      </c>
      <c r="F2353" t="s">
        <v>15</v>
      </c>
      <c r="G2353" t="s">
        <v>22</v>
      </c>
      <c r="H2353" t="s">
        <v>1305</v>
      </c>
      <c r="I2353" t="s">
        <v>1306</v>
      </c>
      <c r="J2353">
        <v>13</v>
      </c>
      <c r="K2353">
        <v>10000</v>
      </c>
      <c r="L2353">
        <v>10000</v>
      </c>
      <c r="M2353">
        <v>130000</v>
      </c>
      <c r="N2353" t="s">
        <v>39</v>
      </c>
    </row>
    <row r="2354" spans="1:14" x14ac:dyDescent="0.25">
      <c r="A2354" t="str">
        <f>Table3[[#This Row],[Company Name]] &amp; " - " &amp; Table3[[#This Row],[Store Name]] &amp; " - " &amp; Table3[[#This Row],[Store Branch / Address]]</f>
        <v>GOLDEN PAN DE SAL INC - PANDE MANILA - GENERIC</v>
      </c>
      <c r="B2354" t="str">
        <f>Table3[[#This Row],[Client ID]] &amp; " - " &amp; Table3[[#This Row],[SO Number]]</f>
        <v>GOLDEN PAN DE SAL INC - PANDE MANILA - GENERIC - SO-26-041</v>
      </c>
      <c r="C2354" t="s">
        <v>1308</v>
      </c>
      <c r="D2354" t="s">
        <v>1309</v>
      </c>
      <c r="E2354" t="s">
        <v>596</v>
      </c>
      <c r="F2354" t="s">
        <v>15</v>
      </c>
      <c r="G2354" t="s">
        <v>22</v>
      </c>
      <c r="H2354" t="s">
        <v>1305</v>
      </c>
      <c r="I2354" t="s">
        <v>1310</v>
      </c>
      <c r="J2354">
        <v>15</v>
      </c>
      <c r="K2354">
        <v>10000</v>
      </c>
      <c r="L2354">
        <v>10000</v>
      </c>
      <c r="M2354">
        <v>150000</v>
      </c>
      <c r="N2354" t="s">
        <v>39</v>
      </c>
    </row>
    <row r="2355" spans="1:14" x14ac:dyDescent="0.25">
      <c r="A2355" t="str">
        <f>Table3[[#This Row],[Company Name]] &amp; " - " &amp; Table3[[#This Row],[Store Name]] &amp; " - " &amp; Table3[[#This Row],[Store Branch / Address]]</f>
        <v>PAN DE MANILA FOOD CO INC - PANDE MANILA - ES:</v>
      </c>
      <c r="B2355" t="str">
        <f>Table3[[#This Row],[Client ID]] &amp; " - " &amp; Table3[[#This Row],[SO Number]]</f>
        <v>PAN DE MANILA FOOD CO INC - PANDE MANILA - ES: - SO-26-042</v>
      </c>
      <c r="C2355" t="s">
        <v>1311</v>
      </c>
      <c r="D2355" t="s">
        <v>1312</v>
      </c>
      <c r="E2355" t="s">
        <v>596</v>
      </c>
      <c r="F2355" t="s">
        <v>266</v>
      </c>
      <c r="G2355" t="s">
        <v>22</v>
      </c>
      <c r="H2355" t="s">
        <v>1305</v>
      </c>
      <c r="I2355" t="s">
        <v>33</v>
      </c>
      <c r="J2355">
        <v>46</v>
      </c>
      <c r="K2355">
        <v>10000</v>
      </c>
      <c r="L2355">
        <v>10000</v>
      </c>
      <c r="M2355">
        <v>460000</v>
      </c>
      <c r="N2355" t="s">
        <v>19</v>
      </c>
    </row>
    <row r="2356" spans="1:14" x14ac:dyDescent="0.25">
      <c r="A2356" t="str">
        <f>Table3[[#This Row],[Company Name]] &amp; " - " &amp; Table3[[#This Row],[Store Name]] &amp; " - " &amp; Table3[[#This Row],[Store Branch / Address]]</f>
        <v>W R I WELLNESS RETAIL INNOVATIONS INC - DR. KONG - NUVALI</v>
      </c>
      <c r="B2356" t="str">
        <f>Table3[[#This Row],[Client ID]] &amp; " - " &amp; Table3[[#This Row],[SO Number]]</f>
        <v>W R I WELLNESS RETAIL INNOVATIONS INC - DR. KONG - NUVALI - SO-26-013</v>
      </c>
      <c r="C2356" t="s">
        <v>1212</v>
      </c>
      <c r="D2356" t="s">
        <v>1055</v>
      </c>
      <c r="E2356" t="s">
        <v>1056</v>
      </c>
      <c r="F2356" t="s">
        <v>1408</v>
      </c>
      <c r="G2356" t="s">
        <v>37</v>
      </c>
      <c r="H2356" t="s">
        <v>1305</v>
      </c>
      <c r="I2356" t="s">
        <v>38</v>
      </c>
      <c r="J2356">
        <v>1</v>
      </c>
      <c r="K2356">
        <v>8500</v>
      </c>
      <c r="L2356">
        <v>12500</v>
      </c>
      <c r="M2356">
        <v>12500</v>
      </c>
      <c r="N2356" t="s">
        <v>1010</v>
      </c>
    </row>
    <row r="2357" spans="1:14" x14ac:dyDescent="0.25">
      <c r="A2357" t="str">
        <f>Table3[[#This Row],[Company Name]] &amp; " - " &amp; Table3[[#This Row],[Store Name]] &amp; " - " &amp; Table3[[#This Row],[Store Branch / Address]]</f>
        <v>RAJO - RAJO - ROCKWELL</v>
      </c>
      <c r="B2357" t="str">
        <f>Table3[[#This Row],[Client ID]] &amp; " - " &amp; Table3[[#This Row],[SO Number]]</f>
        <v>RAJO - RAJO - ROCKWELL - SO-26-014</v>
      </c>
      <c r="C2357" t="s">
        <v>1213</v>
      </c>
      <c r="D2357" t="s">
        <v>1068</v>
      </c>
      <c r="E2357" t="s">
        <v>1068</v>
      </c>
      <c r="F2357" t="s">
        <v>36</v>
      </c>
      <c r="G2357" t="s">
        <v>37</v>
      </c>
      <c r="H2357" t="s">
        <v>1305</v>
      </c>
      <c r="I2357" t="s">
        <v>1051</v>
      </c>
      <c r="J2357">
        <v>1</v>
      </c>
      <c r="K2357">
        <v>970</v>
      </c>
      <c r="L2357">
        <v>1500</v>
      </c>
      <c r="M2357">
        <v>1500</v>
      </c>
      <c r="N2357" t="s">
        <v>1010</v>
      </c>
    </row>
    <row r="2358" spans="1:14" x14ac:dyDescent="0.25">
      <c r="A2358" t="str">
        <f>Table3[[#This Row],[Company Name]] &amp; " - " &amp; Table3[[#This Row],[Store Name]] &amp; " - " &amp; Table3[[#This Row],[Store Branch / Address]]</f>
        <v>ALLURE EMPIRE CORPORATION - CHU CHU BEAUTY - AYALA MALLS CAPITOL CENTRAL BACOLOD</v>
      </c>
      <c r="B2358" t="str">
        <f>Table3[[#This Row],[Client ID]] &amp; " - " &amp; Table3[[#This Row],[SO Number]]</f>
        <v>ALLURE EMPIRE CORPORATION - CHU CHU BEAUTY - AYALA MALLS CAPITOL CENTRAL BACOLOD - SO-26-015</v>
      </c>
      <c r="C2358" t="s">
        <v>1221</v>
      </c>
      <c r="D2358" t="s">
        <v>1124</v>
      </c>
      <c r="E2358" t="s">
        <v>1129</v>
      </c>
      <c r="F2358" t="s">
        <v>1054</v>
      </c>
      <c r="G2358" t="s">
        <v>1088</v>
      </c>
      <c r="H2358" t="s">
        <v>1305</v>
      </c>
      <c r="I2358" t="s">
        <v>1409</v>
      </c>
      <c r="J2358">
        <v>1</v>
      </c>
      <c r="K2358">
        <v>6300</v>
      </c>
      <c r="L2358">
        <v>18000</v>
      </c>
      <c r="M2358">
        <v>18000</v>
      </c>
      <c r="N2358" t="s">
        <v>1010</v>
      </c>
    </row>
    <row r="2359" spans="1:14" x14ac:dyDescent="0.25">
      <c r="A2359" t="str">
        <f>Table3[[#This Row],[Company Name]] &amp; " - " &amp; Table3[[#This Row],[Store Name]] &amp; " - " &amp; Table3[[#This Row],[Store Branch / Address]]</f>
        <v>ALLURE EMPIRE CORPORATION - CHU CHU BEAUTY - AYALA MALLS CAPITOL CENTRAL BACOLOD</v>
      </c>
      <c r="B2359" t="str">
        <f>Table3[[#This Row],[Client ID]] &amp; " - " &amp; Table3[[#This Row],[SO Number]]</f>
        <v>ALLURE EMPIRE CORPORATION - CHU CHU BEAUTY - AYALA MALLS CAPITOL CENTRAL BACOLOD - SO-26-015</v>
      </c>
      <c r="C2359" t="s">
        <v>1221</v>
      </c>
      <c r="D2359" t="s">
        <v>1124</v>
      </c>
      <c r="E2359" t="s">
        <v>1129</v>
      </c>
      <c r="F2359" t="s">
        <v>1054</v>
      </c>
      <c r="G2359" t="s">
        <v>1088</v>
      </c>
      <c r="H2359" t="s">
        <v>1305</v>
      </c>
      <c r="I2359" t="s">
        <v>1011</v>
      </c>
      <c r="J2359">
        <v>1</v>
      </c>
      <c r="K2359">
        <v>5750</v>
      </c>
      <c r="L2359">
        <v>5750</v>
      </c>
      <c r="M2359">
        <v>5750</v>
      </c>
      <c r="N2359" t="s">
        <v>1010</v>
      </c>
    </row>
    <row r="2360" spans="1:14" x14ac:dyDescent="0.25">
      <c r="A2360" t="str">
        <f>Table3[[#This Row],[Company Name]] &amp; " - " &amp; Table3[[#This Row],[Store Name]] &amp; " - " &amp; Table3[[#This Row],[Store Branch / Address]]</f>
        <v>ALLURE EMPIRE CORPORATION - CHU CHU BEAUTY - AYALA MALLS CAPITOL CENTRAL BACOLOD</v>
      </c>
      <c r="B2360" t="str">
        <f>Table3[[#This Row],[Client ID]] &amp; " - " &amp; Table3[[#This Row],[SO Number]]</f>
        <v>ALLURE EMPIRE CORPORATION - CHU CHU BEAUTY - AYALA MALLS CAPITOL CENTRAL BACOLOD - SO-26-015</v>
      </c>
      <c r="C2360" t="s">
        <v>1221</v>
      </c>
      <c r="D2360" t="s">
        <v>1124</v>
      </c>
      <c r="E2360" t="s">
        <v>1129</v>
      </c>
      <c r="F2360" t="s">
        <v>1054</v>
      </c>
      <c r="G2360" t="s">
        <v>1088</v>
      </c>
      <c r="H2360" t="s">
        <v>1305</v>
      </c>
      <c r="I2360" t="s">
        <v>24</v>
      </c>
      <c r="J2360">
        <v>1</v>
      </c>
      <c r="K2360">
        <v>5750</v>
      </c>
      <c r="L2360">
        <v>5750</v>
      </c>
      <c r="M2360">
        <v>5750</v>
      </c>
      <c r="N2360" t="s">
        <v>1010</v>
      </c>
    </row>
    <row r="2361" spans="1:14" x14ac:dyDescent="0.25">
      <c r="A2361" t="str">
        <f>Table3[[#This Row],[Company Name]] &amp; " - " &amp; Table3[[#This Row],[Store Name]] &amp; " - " &amp; Table3[[#This Row],[Store Branch / Address]]</f>
        <v>ALLURE EMPIRE CORPORATION - CHU CHU BEAUTY - AYALA MALLS CAPITOL CENTRAL BACOLOD</v>
      </c>
      <c r="B2361" t="str">
        <f>Table3[[#This Row],[Client ID]] &amp; " - " &amp; Table3[[#This Row],[SO Number]]</f>
        <v>ALLURE EMPIRE CORPORATION - CHU CHU BEAUTY - AYALA MALLS CAPITOL CENTRAL BACOLOD - SO-26-015</v>
      </c>
      <c r="C2361" t="s">
        <v>1221</v>
      </c>
      <c r="D2361" t="s">
        <v>1124</v>
      </c>
      <c r="E2361" t="s">
        <v>1129</v>
      </c>
      <c r="F2361" t="s">
        <v>1054</v>
      </c>
      <c r="G2361" t="s">
        <v>1088</v>
      </c>
      <c r="H2361" t="s">
        <v>1305</v>
      </c>
      <c r="I2361" t="s">
        <v>26</v>
      </c>
      <c r="J2361">
        <v>1</v>
      </c>
      <c r="K2361">
        <v>500</v>
      </c>
      <c r="L2361">
        <v>500</v>
      </c>
      <c r="M2361">
        <v>500</v>
      </c>
      <c r="N2361" t="s">
        <v>1010</v>
      </c>
    </row>
    <row r="2362" spans="1:14" x14ac:dyDescent="0.25">
      <c r="A2362" t="str">
        <f>Table3[[#This Row],[Company Name]] &amp; " - " &amp; Table3[[#This Row],[Store Name]] &amp; " - " &amp; Table3[[#This Row],[Store Branch / Address]]</f>
        <v>ALLURE EMPIRE CORPORATION - CHU CHU BEAUTY - AYALA MALLS MANILA BAY</v>
      </c>
      <c r="B2362" t="str">
        <f>Table3[[#This Row],[Client ID]] &amp; " - " &amp; Table3[[#This Row],[SO Number]]</f>
        <v>ALLURE EMPIRE CORPORATION - CHU CHU BEAUTY - AYALA MALLS MANILA BAY - SO-26-016</v>
      </c>
      <c r="C2362" t="s">
        <v>1223</v>
      </c>
      <c r="D2362" t="s">
        <v>1124</v>
      </c>
      <c r="E2362" t="s">
        <v>1129</v>
      </c>
      <c r="F2362" t="s">
        <v>1089</v>
      </c>
      <c r="G2362" t="s">
        <v>1088</v>
      </c>
      <c r="H2362" t="s">
        <v>1305</v>
      </c>
      <c r="I2362" t="s">
        <v>1409</v>
      </c>
      <c r="J2362">
        <v>1</v>
      </c>
      <c r="K2362">
        <v>6300</v>
      </c>
      <c r="L2362">
        <v>18000</v>
      </c>
      <c r="M2362">
        <v>18000</v>
      </c>
      <c r="N2362" t="s">
        <v>1010</v>
      </c>
    </row>
    <row r="2363" spans="1:14" x14ac:dyDescent="0.25">
      <c r="A2363" t="str">
        <f>Table3[[#This Row],[Company Name]] &amp; " - " &amp; Table3[[#This Row],[Store Name]] &amp; " - " &amp; Table3[[#This Row],[Store Branch / Address]]</f>
        <v>ALLURE EMPIRE CORPORATION - CHU CHU BEAUTY - AYALA MALLS MANILA BAY</v>
      </c>
      <c r="B2363" t="str">
        <f>Table3[[#This Row],[Client ID]] &amp; " - " &amp; Table3[[#This Row],[SO Number]]</f>
        <v>ALLURE EMPIRE CORPORATION - CHU CHU BEAUTY - AYALA MALLS MANILA BAY - SO-26-016</v>
      </c>
      <c r="C2363" t="s">
        <v>1223</v>
      </c>
      <c r="D2363" t="s">
        <v>1124</v>
      </c>
      <c r="E2363" t="s">
        <v>1129</v>
      </c>
      <c r="F2363" t="s">
        <v>1089</v>
      </c>
      <c r="G2363" t="s">
        <v>1088</v>
      </c>
      <c r="H2363" t="s">
        <v>1305</v>
      </c>
      <c r="I2363" t="s">
        <v>1011</v>
      </c>
      <c r="J2363">
        <v>1</v>
      </c>
      <c r="K2363">
        <v>5750</v>
      </c>
      <c r="L2363">
        <v>5750</v>
      </c>
      <c r="M2363">
        <v>5750</v>
      </c>
      <c r="N2363" t="s">
        <v>1010</v>
      </c>
    </row>
    <row r="2364" spans="1:14" x14ac:dyDescent="0.25">
      <c r="A2364" t="str">
        <f>Table3[[#This Row],[Company Name]] &amp; " - " &amp; Table3[[#This Row],[Store Name]] &amp; " - " &amp; Table3[[#This Row],[Store Branch / Address]]</f>
        <v>ALLURE EMPIRE CORPORATION - CHU CHU BEAUTY - AYALA MALLS MANILA BAY</v>
      </c>
      <c r="B2364" t="str">
        <f>Table3[[#This Row],[Client ID]] &amp; " - " &amp; Table3[[#This Row],[SO Number]]</f>
        <v>ALLURE EMPIRE CORPORATION - CHU CHU BEAUTY - AYALA MALLS MANILA BAY - SO-26-016</v>
      </c>
      <c r="C2364" t="s">
        <v>1223</v>
      </c>
      <c r="D2364" t="s">
        <v>1124</v>
      </c>
      <c r="E2364" t="s">
        <v>1129</v>
      </c>
      <c r="F2364" t="s">
        <v>1089</v>
      </c>
      <c r="G2364" t="s">
        <v>1088</v>
      </c>
      <c r="H2364" t="s">
        <v>1305</v>
      </c>
      <c r="I2364" t="s">
        <v>24</v>
      </c>
      <c r="J2364">
        <v>1</v>
      </c>
      <c r="K2364">
        <v>5750</v>
      </c>
      <c r="L2364">
        <v>5750</v>
      </c>
      <c r="M2364">
        <v>5750</v>
      </c>
      <c r="N2364" t="s">
        <v>1010</v>
      </c>
    </row>
    <row r="2365" spans="1:14" x14ac:dyDescent="0.25">
      <c r="A2365" t="str">
        <f>Table3[[#This Row],[Company Name]] &amp; " - " &amp; Table3[[#This Row],[Store Name]] &amp; " - " &amp; Table3[[#This Row],[Store Branch / Address]]</f>
        <v>ALLURE EMPIRE CORPORATION - CHU CHU BEAUTY - AYALA MALLS MANILA BAY</v>
      </c>
      <c r="B2365" t="str">
        <f>Table3[[#This Row],[Client ID]] &amp; " - " &amp; Table3[[#This Row],[SO Number]]</f>
        <v>ALLURE EMPIRE CORPORATION - CHU CHU BEAUTY - AYALA MALLS MANILA BAY - SO-26-016</v>
      </c>
      <c r="C2365" t="s">
        <v>1223</v>
      </c>
      <c r="D2365" t="s">
        <v>1124</v>
      </c>
      <c r="E2365" t="s">
        <v>1129</v>
      </c>
      <c r="F2365" t="s">
        <v>1089</v>
      </c>
      <c r="G2365" t="s">
        <v>1088</v>
      </c>
      <c r="H2365" t="s">
        <v>1305</v>
      </c>
      <c r="I2365" t="s">
        <v>26</v>
      </c>
      <c r="J2365">
        <v>1</v>
      </c>
      <c r="K2365">
        <v>500</v>
      </c>
      <c r="L2365">
        <v>500</v>
      </c>
      <c r="M2365">
        <v>500</v>
      </c>
      <c r="N2365" t="s">
        <v>1010</v>
      </c>
    </row>
    <row r="2366" spans="1:14" x14ac:dyDescent="0.25">
      <c r="A2366" t="str">
        <f>Table3[[#This Row],[Company Name]] &amp; " - " &amp; Table3[[#This Row],[Store Name]] &amp; " - " &amp; Table3[[#This Row],[Store Branch / Address]]</f>
        <v>M W TOWNSTORE - M &amp; W - GENERIC</v>
      </c>
      <c r="B2366" t="str">
        <f>Table3[[#This Row],[Client ID]] &amp; " - " &amp; Table3[[#This Row],[SO Number]]</f>
        <v>M W TOWNSTORE - M &amp; W - GENERIC - SO-061</v>
      </c>
      <c r="C2366" t="s">
        <v>398</v>
      </c>
      <c r="D2366" t="s">
        <v>191</v>
      </c>
      <c r="E2366" t="s">
        <v>192</v>
      </c>
      <c r="F2366" t="s">
        <v>15</v>
      </c>
      <c r="G2366" t="s">
        <v>22</v>
      </c>
      <c r="H2366" t="s">
        <v>1363</v>
      </c>
      <c r="I2366" t="s">
        <v>1364</v>
      </c>
      <c r="J2366">
        <v>1</v>
      </c>
      <c r="K2366">
        <v>11000</v>
      </c>
      <c r="L2366">
        <v>15500</v>
      </c>
      <c r="M2366">
        <v>15500</v>
      </c>
      <c r="N2366" t="s">
        <v>19</v>
      </c>
    </row>
    <row r="2367" spans="1:14" x14ac:dyDescent="0.25">
      <c r="A2367" t="str">
        <f>Table3[[#This Row],[Company Name]] &amp; " - " &amp; Table3[[#This Row],[Store Name]] &amp; " - " &amp; Table3[[#This Row],[Store Branch / Address]]</f>
        <v>ANONYMOUS - TANTEASE - POWERPLANT MALL ROCKWELL</v>
      </c>
      <c r="B2367" t="str">
        <f>Table3[[#This Row],[Client ID]] &amp; " - " &amp; Table3[[#This Row],[SO Number]]</f>
        <v>ANONYMOUS - TANTEASE - POWERPLANT MALL ROCKWELL - SO-26-017</v>
      </c>
      <c r="C2367" t="s">
        <v>1224</v>
      </c>
      <c r="D2367" t="s">
        <v>1085</v>
      </c>
      <c r="E2367" t="s">
        <v>1113</v>
      </c>
      <c r="F2367" t="s">
        <v>1114</v>
      </c>
      <c r="G2367" t="s">
        <v>37</v>
      </c>
      <c r="H2367" t="s">
        <v>1363</v>
      </c>
      <c r="I2367" t="s">
        <v>98</v>
      </c>
      <c r="J2367">
        <v>1</v>
      </c>
      <c r="K2367">
        <v>970</v>
      </c>
      <c r="L2367">
        <v>1500</v>
      </c>
      <c r="M2367">
        <v>1500</v>
      </c>
      <c r="N2367" t="s">
        <v>1010</v>
      </c>
    </row>
    <row r="2368" spans="1:14" x14ac:dyDescent="0.25">
      <c r="A2368" t="str">
        <f>Table3[[#This Row],[Company Name]] &amp; " - " &amp; Table3[[#This Row],[Store Name]] &amp; " - " &amp; Table3[[#This Row],[Store Branch / Address]]</f>
        <v>FERRER PEDRO JR BACOLINAO - SIGNA DRUGSTORE - ALABANG MUNTINLUPA</v>
      </c>
      <c r="B2368" t="str">
        <f>Table3[[#This Row],[Client ID]] &amp; " - " &amp; Table3[[#This Row],[SO Number]]</f>
        <v>FERRER PEDRO JR BACOLINAO - SIGNA DRUGSTORE - ALABANG MUNTINLUPA - SO-26-043</v>
      </c>
      <c r="C2368" t="s">
        <v>1315</v>
      </c>
      <c r="D2368" t="s">
        <v>1316</v>
      </c>
      <c r="E2368" t="s">
        <v>1317</v>
      </c>
      <c r="F2368" t="s">
        <v>1318</v>
      </c>
      <c r="G2368" t="s">
        <v>1319</v>
      </c>
      <c r="H2368" t="s">
        <v>1320</v>
      </c>
      <c r="I2368" t="s">
        <v>1321</v>
      </c>
      <c r="J2368">
        <v>1</v>
      </c>
      <c r="K2368">
        <v>6300</v>
      </c>
      <c r="L2368">
        <v>18000</v>
      </c>
      <c r="M2368">
        <v>18000</v>
      </c>
      <c r="N2368" t="s">
        <v>39</v>
      </c>
    </row>
    <row r="2369" spans="1:14" x14ac:dyDescent="0.25">
      <c r="A2369" t="str">
        <f>Table3[[#This Row],[Company Name]] &amp; " - " &amp; Table3[[#This Row],[Store Name]] &amp; " - " &amp; Table3[[#This Row],[Store Branch / Address]]</f>
        <v>FERRER PEDRO JR BACOLINAO - SIGNA DRUGSTORE - ALABANG MUNTINLUPA</v>
      </c>
      <c r="B2369" t="str">
        <f>Table3[[#This Row],[Client ID]] &amp; " - " &amp; Table3[[#This Row],[SO Number]]</f>
        <v>FERRER PEDRO JR BACOLINAO - SIGNA DRUGSTORE - ALABANG MUNTINLUPA - SO-26-043</v>
      </c>
      <c r="C2369" t="s">
        <v>1315</v>
      </c>
      <c r="D2369" t="s">
        <v>1316</v>
      </c>
      <c r="E2369" t="s">
        <v>1317</v>
      </c>
      <c r="F2369" t="s">
        <v>1318</v>
      </c>
      <c r="G2369" t="s">
        <v>1319</v>
      </c>
      <c r="H2369" t="s">
        <v>1320</v>
      </c>
      <c r="I2369" t="s">
        <v>48</v>
      </c>
      <c r="J2369">
        <v>1</v>
      </c>
      <c r="K2369">
        <v>2975</v>
      </c>
      <c r="L2369">
        <v>8500</v>
      </c>
      <c r="M2369">
        <v>8500</v>
      </c>
      <c r="N2369" t="s">
        <v>39</v>
      </c>
    </row>
    <row r="2370" spans="1:14" x14ac:dyDescent="0.25">
      <c r="A2370" t="str">
        <f>Table3[[#This Row],[Company Name]] &amp; " - " &amp; Table3[[#This Row],[Store Name]] &amp; " - " &amp; Table3[[#This Row],[Store Branch / Address]]</f>
        <v>FERRER PEDRO JR BACOLINAO - SIGNA DRUGSTORE - ALABANG MUNTINLUPA</v>
      </c>
      <c r="B2370" t="str">
        <f>Table3[[#This Row],[Client ID]] &amp; " - " &amp; Table3[[#This Row],[SO Number]]</f>
        <v>FERRER PEDRO JR BACOLINAO - SIGNA DRUGSTORE - ALABANG MUNTINLUPA - SO-26-043</v>
      </c>
      <c r="C2370" t="s">
        <v>1315</v>
      </c>
      <c r="D2370" t="s">
        <v>1316</v>
      </c>
      <c r="E2370" t="s">
        <v>1317</v>
      </c>
      <c r="F2370" t="s">
        <v>1318</v>
      </c>
      <c r="G2370" t="s">
        <v>1319</v>
      </c>
      <c r="H2370" t="s">
        <v>1320</v>
      </c>
      <c r="I2370" t="s">
        <v>24</v>
      </c>
      <c r="J2370">
        <v>1</v>
      </c>
      <c r="K2370">
        <v>2975</v>
      </c>
      <c r="L2370">
        <v>8500</v>
      </c>
      <c r="M2370">
        <v>8500</v>
      </c>
      <c r="N2370" t="s">
        <v>39</v>
      </c>
    </row>
    <row r="2371" spans="1:14" x14ac:dyDescent="0.25">
      <c r="A2371" t="str">
        <f>Table3[[#This Row],[Company Name]] &amp; " - " &amp; Table3[[#This Row],[Store Name]] &amp; " - " &amp; Table3[[#This Row],[Store Branch / Address]]</f>
        <v>CHICKEN DELI - MN+LA APPAREL - GENERIC</v>
      </c>
      <c r="B2371" t="str">
        <f>Table3[[#This Row],[Client ID]] &amp; " - " &amp; Table3[[#This Row],[SO Number]]</f>
        <v>CHICKEN DELI - MN+LA APPAREL - GENERIC - SO-062</v>
      </c>
      <c r="C2371" t="s">
        <v>402</v>
      </c>
      <c r="D2371" t="s">
        <v>20</v>
      </c>
      <c r="E2371" t="s">
        <v>119</v>
      </c>
      <c r="F2371" t="s">
        <v>15</v>
      </c>
      <c r="G2371" t="s">
        <v>22</v>
      </c>
      <c r="H2371" t="s">
        <v>1320</v>
      </c>
      <c r="I2371" t="s">
        <v>1365</v>
      </c>
      <c r="J2371">
        <v>1</v>
      </c>
      <c r="K2371">
        <v>9850</v>
      </c>
      <c r="L2371">
        <v>13500</v>
      </c>
      <c r="M2371">
        <v>13500</v>
      </c>
      <c r="N2371" t="s">
        <v>19</v>
      </c>
    </row>
    <row r="2372" spans="1:14" x14ac:dyDescent="0.25">
      <c r="A2372" t="str">
        <f>Table3[[#This Row],[Company Name]] &amp; " - " &amp; Table3[[#This Row],[Store Name]] &amp; " - " &amp; Table3[[#This Row],[Store Branch / Address]]</f>
        <v>CHICKEN DELI - MN+LA APPAREL - GENERIC</v>
      </c>
      <c r="B2372" t="str">
        <f>Table3[[#This Row],[Client ID]] &amp; " - " &amp; Table3[[#This Row],[SO Number]]</f>
        <v>CHICKEN DELI - MN+LA APPAREL - GENERIC - SO-062</v>
      </c>
      <c r="C2372" t="s">
        <v>402</v>
      </c>
      <c r="D2372" t="s">
        <v>20</v>
      </c>
      <c r="E2372" t="s">
        <v>119</v>
      </c>
      <c r="F2372" t="s">
        <v>15</v>
      </c>
      <c r="G2372" t="s">
        <v>22</v>
      </c>
      <c r="H2372" t="s">
        <v>1320</v>
      </c>
      <c r="I2372" t="s">
        <v>76</v>
      </c>
      <c r="J2372">
        <v>1</v>
      </c>
      <c r="K2372">
        <v>500</v>
      </c>
      <c r="L2372">
        <v>500</v>
      </c>
      <c r="M2372">
        <v>500</v>
      </c>
      <c r="N2372" t="s">
        <v>19</v>
      </c>
    </row>
    <row r="2373" spans="1:14" x14ac:dyDescent="0.25">
      <c r="A2373" t="str">
        <f>Table3[[#This Row],[Company Name]] &amp; " - " &amp; Table3[[#This Row],[Store Name]] &amp; " - " &amp; Table3[[#This Row],[Store Branch / Address]]</f>
        <v>BARBAZA MULTI PURPOSE COOPERATIVE - COOP OCEAN VIEW RESORT - POBLACION ANTIQUE</v>
      </c>
      <c r="B2373" t="str">
        <f>Table3[[#This Row],[Client ID]] &amp; " - " &amp; Table3[[#This Row],[SO Number]]</f>
        <v>BARBAZA MULTI PURPOSE COOPERATIVE - COOP OCEAN VIEW RESORT - POBLACION ANTIQUE - SO-26-043</v>
      </c>
      <c r="C2373" t="s">
        <v>1315</v>
      </c>
      <c r="D2373" t="s">
        <v>1322</v>
      </c>
      <c r="E2373" t="s">
        <v>1323</v>
      </c>
      <c r="F2373" t="s">
        <v>1324</v>
      </c>
      <c r="G2373" t="s">
        <v>22</v>
      </c>
      <c r="H2373" t="s">
        <v>1325</v>
      </c>
      <c r="I2373" t="s">
        <v>939</v>
      </c>
      <c r="J2373">
        <v>2</v>
      </c>
      <c r="K2373">
        <v>9850</v>
      </c>
      <c r="L2373">
        <v>14000</v>
      </c>
      <c r="M2373">
        <v>28000</v>
      </c>
      <c r="N2373" t="s">
        <v>39</v>
      </c>
    </row>
    <row r="2374" spans="1:14" x14ac:dyDescent="0.25">
      <c r="A2374" t="str">
        <f>Table3[[#This Row],[Company Name]] &amp; " - " &amp; Table3[[#This Row],[Store Name]] &amp; " - " &amp; Table3[[#This Row],[Store Branch / Address]]</f>
        <v>HUZZAH - HUZZAH - GENERIC</v>
      </c>
      <c r="B2374" t="str">
        <f>Table3[[#This Row],[Client ID]] &amp; " - " &amp; Table3[[#This Row],[SO Number]]</f>
        <v>HUZZAH - HUZZAH - GENERIC - SO-26-045</v>
      </c>
      <c r="C2374" t="s">
        <v>1328</v>
      </c>
      <c r="D2374" t="s">
        <v>87</v>
      </c>
      <c r="E2374" t="s">
        <v>87</v>
      </c>
      <c r="F2374" t="s">
        <v>15</v>
      </c>
      <c r="G2374" t="s">
        <v>37</v>
      </c>
      <c r="H2374" t="s">
        <v>1325</v>
      </c>
      <c r="I2374" t="s">
        <v>89</v>
      </c>
      <c r="J2374">
        <v>50</v>
      </c>
      <c r="K2374">
        <v>32</v>
      </c>
      <c r="L2374">
        <v>50</v>
      </c>
      <c r="M2374">
        <v>2500</v>
      </c>
      <c r="N2374" t="s">
        <v>39</v>
      </c>
    </row>
    <row r="2375" spans="1:14" x14ac:dyDescent="0.25">
      <c r="A2375" t="str">
        <f>Table3[[#This Row],[Company Name]] &amp; " - " &amp; Table3[[#This Row],[Store Name]] &amp; " - " &amp; Table3[[#This Row],[Store Branch / Address]]</f>
        <v>CHICKEN DELI - OJO EYEWEAR - GENERIC</v>
      </c>
      <c r="B2375" t="str">
        <f>Table3[[#This Row],[Client ID]] &amp; " - " &amp; Table3[[#This Row],[SO Number]]</f>
        <v>CHICKEN DELI - OJO EYEWEAR - GENERIC - SO-063</v>
      </c>
      <c r="C2375" t="s">
        <v>405</v>
      </c>
      <c r="D2375" t="s">
        <v>20</v>
      </c>
      <c r="E2375" t="s">
        <v>70</v>
      </c>
      <c r="F2375" t="s">
        <v>15</v>
      </c>
      <c r="G2375" t="s">
        <v>22</v>
      </c>
      <c r="H2375" t="s">
        <v>1325</v>
      </c>
      <c r="I2375" t="s">
        <v>715</v>
      </c>
      <c r="J2375">
        <v>100</v>
      </c>
      <c r="K2375">
        <v>17</v>
      </c>
      <c r="L2375">
        <v>25</v>
      </c>
      <c r="M2375">
        <v>2500</v>
      </c>
      <c r="N2375" t="s">
        <v>19</v>
      </c>
    </row>
    <row r="2376" spans="1:14" x14ac:dyDescent="0.25">
      <c r="A2376" t="str">
        <f>Table3[[#This Row],[Company Name]] &amp; " - " &amp; Table3[[#This Row],[Store Name]] &amp; " - " &amp; Table3[[#This Row],[Store Branch / Address]]</f>
        <v>CHICKEN DELI - OJO EYEWEAR - GENERIC</v>
      </c>
      <c r="B2376" t="str">
        <f>Table3[[#This Row],[Client ID]] &amp; " - " &amp; Table3[[#This Row],[SO Number]]</f>
        <v>CHICKEN DELI - OJO EYEWEAR - GENERIC - SO-063</v>
      </c>
      <c r="C2376" t="s">
        <v>405</v>
      </c>
      <c r="D2376" t="s">
        <v>20</v>
      </c>
      <c r="E2376" t="s">
        <v>70</v>
      </c>
      <c r="F2376" t="s">
        <v>15</v>
      </c>
      <c r="G2376" t="s">
        <v>22</v>
      </c>
      <c r="H2376" t="s">
        <v>1325</v>
      </c>
      <c r="I2376" t="s">
        <v>62</v>
      </c>
      <c r="J2376">
        <v>100</v>
      </c>
      <c r="K2376">
        <v>47</v>
      </c>
      <c r="L2376">
        <v>80</v>
      </c>
      <c r="M2376">
        <v>8000</v>
      </c>
      <c r="N2376" t="s">
        <v>19</v>
      </c>
    </row>
    <row r="2377" spans="1:14" x14ac:dyDescent="0.25">
      <c r="A2377" t="str">
        <f>Table3[[#This Row],[Company Name]] &amp; " - " &amp; Table3[[#This Row],[Store Name]] &amp; " - " &amp; Table3[[#This Row],[Store Branch / Address]]</f>
        <v>BJW CONCEPT - WHISENHUNT - GENERIC</v>
      </c>
      <c r="B2377" t="str">
        <f>Table3[[#This Row],[Client ID]] &amp; " - " &amp; Table3[[#This Row],[SO Number]]</f>
        <v>BJW CONCEPT - WHISENHUNT - GENERIC - SO-26-018</v>
      </c>
      <c r="C2377" t="s">
        <v>1227</v>
      </c>
      <c r="D2377" t="s">
        <v>1410</v>
      </c>
      <c r="E2377" t="s">
        <v>1411</v>
      </c>
      <c r="F2377" t="s">
        <v>15</v>
      </c>
      <c r="G2377" t="s">
        <v>37</v>
      </c>
      <c r="H2377" t="s">
        <v>1325</v>
      </c>
      <c r="I2377" t="s">
        <v>33</v>
      </c>
      <c r="J2377">
        <v>1</v>
      </c>
      <c r="K2377">
        <v>15000</v>
      </c>
      <c r="L2377">
        <v>15000</v>
      </c>
      <c r="M2377">
        <v>15000</v>
      </c>
      <c r="N2377" t="s">
        <v>19</v>
      </c>
    </row>
    <row r="2378" spans="1:14" x14ac:dyDescent="0.25">
      <c r="A2378" t="str">
        <f>Table3[[#This Row],[Company Name]] &amp; " - " &amp; Table3[[#This Row],[Store Name]] &amp; " - " &amp; Table3[[#This Row],[Store Branch / Address]]</f>
        <v>ONE POTATO TWO POTATO - COMME CI - GENERIC</v>
      </c>
      <c r="B2378" t="str">
        <f>Table3[[#This Row],[Client ID]] &amp; " - " &amp; Table3[[#This Row],[SO Number]]</f>
        <v>ONE POTATO TWO POTATO - COMME CI - GENERIC - SO-26-019</v>
      </c>
      <c r="C2378" t="s">
        <v>1229</v>
      </c>
      <c r="D2378" t="s">
        <v>1412</v>
      </c>
      <c r="E2378" t="s">
        <v>1413</v>
      </c>
      <c r="F2378" t="s">
        <v>15</v>
      </c>
      <c r="G2378" t="s">
        <v>37</v>
      </c>
      <c r="H2378" t="s">
        <v>1325</v>
      </c>
      <c r="I2378" t="s">
        <v>33</v>
      </c>
      <c r="J2378">
        <v>1</v>
      </c>
      <c r="K2378">
        <v>15000</v>
      </c>
      <c r="L2378">
        <v>15000</v>
      </c>
      <c r="M2378">
        <v>15000</v>
      </c>
      <c r="N2378" t="s">
        <v>19</v>
      </c>
    </row>
    <row r="2379" spans="1:14" x14ac:dyDescent="0.25">
      <c r="A2379" t="str">
        <f>Table3[[#This Row],[Company Name]] &amp; " - " &amp; Table3[[#This Row],[Store Name]] &amp; " - " &amp; Table3[[#This Row],[Store Branch / Address]]</f>
        <v>AURORA CHARLIE FOOD VENTURES INC - MAMOU - GENERIC</v>
      </c>
      <c r="B2379" t="str">
        <f>Table3[[#This Row],[Client ID]] &amp; " - " &amp; Table3[[#This Row],[SO Number]]</f>
        <v>AURORA CHARLIE FOOD VENTURES INC - MAMOU - GENERIC - SO-26-046</v>
      </c>
      <c r="C2379" t="s">
        <v>1332</v>
      </c>
      <c r="D2379" t="s">
        <v>646</v>
      </c>
      <c r="E2379" t="s">
        <v>58</v>
      </c>
      <c r="F2379" t="s">
        <v>15</v>
      </c>
      <c r="G2379" t="s">
        <v>37</v>
      </c>
      <c r="H2379" t="s">
        <v>1333</v>
      </c>
      <c r="I2379" t="s">
        <v>33</v>
      </c>
      <c r="J2379">
        <v>1</v>
      </c>
      <c r="K2379">
        <v>15000</v>
      </c>
      <c r="L2379">
        <v>15000</v>
      </c>
      <c r="M2379">
        <v>15000</v>
      </c>
      <c r="N2379" t="s">
        <v>19</v>
      </c>
    </row>
    <row r="2380" spans="1:14" x14ac:dyDescent="0.25">
      <c r="A2380" t="str">
        <f>Table3[[#This Row],[Company Name]] &amp; " - " &amp; Table3[[#This Row],[Store Name]] &amp; " - " &amp; Table3[[#This Row],[Store Branch / Address]]</f>
        <v>FEDERAL PROTECTION SYSTEMS INC - INST.OF CULINARY MNGT.INC. - GENERIC</v>
      </c>
      <c r="B2380" t="str">
        <f>Table3[[#This Row],[Client ID]] &amp; " - " &amp; Table3[[#This Row],[SO Number]]</f>
        <v>FEDERAL PROTECTION SYSTEMS INC - INST.OF CULINARY MNGT.INC. - GENERIC - SO-064</v>
      </c>
      <c r="C2380" t="s">
        <v>409</v>
      </c>
      <c r="D2380" t="s">
        <v>204</v>
      </c>
      <c r="E2380" t="s">
        <v>205</v>
      </c>
      <c r="F2380" t="s">
        <v>15</v>
      </c>
      <c r="G2380" t="s">
        <v>22</v>
      </c>
      <c r="H2380" t="s">
        <v>1366</v>
      </c>
      <c r="I2380" t="s">
        <v>373</v>
      </c>
      <c r="J2380">
        <v>2</v>
      </c>
      <c r="K2380">
        <v>10000</v>
      </c>
      <c r="L2380">
        <v>10000</v>
      </c>
      <c r="M2380">
        <v>20000</v>
      </c>
      <c r="N2380" t="s">
        <v>19</v>
      </c>
    </row>
    <row r="2381" spans="1:14" x14ac:dyDescent="0.25">
      <c r="A2381" t="str">
        <f>Table3[[#This Row],[Company Name]] &amp; " - " &amp; Table3[[#This Row],[Store Name]] &amp; " - " &amp; Table3[[#This Row],[Store Branch / Address]]</f>
        <v>CHICKEN DELI - GONGCHA - GENERIC</v>
      </c>
      <c r="B2381" t="str">
        <f>Table3[[#This Row],[Client ID]] &amp; " - " &amp; Table3[[#This Row],[SO Number]]</f>
        <v>CHICKEN DELI - GONGCHA - GENERIC - SO-065</v>
      </c>
      <c r="C2381" t="s">
        <v>410</v>
      </c>
      <c r="D2381" t="s">
        <v>20</v>
      </c>
      <c r="E2381" t="s">
        <v>31</v>
      </c>
      <c r="F2381" t="s">
        <v>15</v>
      </c>
      <c r="G2381" t="s">
        <v>22</v>
      </c>
      <c r="H2381" t="s">
        <v>1366</v>
      </c>
      <c r="I2381" t="s">
        <v>33</v>
      </c>
      <c r="J2381">
        <v>1</v>
      </c>
      <c r="K2381">
        <v>6500</v>
      </c>
      <c r="L2381">
        <v>6500</v>
      </c>
      <c r="M2381">
        <v>6500</v>
      </c>
      <c r="N2381" t="s">
        <v>19</v>
      </c>
    </row>
    <row r="2382" spans="1:14" x14ac:dyDescent="0.25">
      <c r="A2382" t="str">
        <f>Table3[[#This Row],[Company Name]] &amp; " - " &amp; Table3[[#This Row],[Store Name]] &amp; " - " &amp; Table3[[#This Row],[Store Branch / Address]]</f>
        <v>ELEMIE NATURALS INC - ELEMIE NATURALS INC - GENERIC</v>
      </c>
      <c r="B2382" t="str">
        <f>Table3[[#This Row],[Client ID]] &amp; " - " &amp; Table3[[#This Row],[SO Number]]</f>
        <v>ELEMIE NATURALS INC - ELEMIE NATURALS INC - GENERIC - SO-26-047</v>
      </c>
      <c r="C2382" t="s">
        <v>1334</v>
      </c>
      <c r="D2382" t="s">
        <v>1335</v>
      </c>
      <c r="E2382" t="s">
        <v>1335</v>
      </c>
      <c r="F2382" t="s">
        <v>15</v>
      </c>
      <c r="G2382" t="s">
        <v>37</v>
      </c>
      <c r="H2382" t="s">
        <v>1336</v>
      </c>
      <c r="I2382" t="s">
        <v>33</v>
      </c>
      <c r="J2382">
        <v>1</v>
      </c>
      <c r="K2382">
        <v>15000</v>
      </c>
      <c r="L2382">
        <v>15000</v>
      </c>
      <c r="M2382">
        <v>15000</v>
      </c>
      <c r="N2382" t="s">
        <v>19</v>
      </c>
    </row>
    <row r="2383" spans="1:14" x14ac:dyDescent="0.25">
      <c r="A2383" t="str">
        <f>Table3[[#This Row],[Company Name]] &amp; " - " &amp; Table3[[#This Row],[Store Name]] &amp; " - " &amp; Table3[[#This Row],[Store Branch / Address]]</f>
        <v>BARBAZA MULTI PURPOSE COOPERATIVE - BARBAZA PHARMACY - GEN LUNA ANTIQUE</v>
      </c>
      <c r="B2383" t="str">
        <f>Table3[[#This Row],[Client ID]] &amp; " - " &amp; Table3[[#This Row],[SO Number]]</f>
        <v>BARBAZA MULTI PURPOSE COOPERATIVE - BARBAZA PHARMACY - GEN LUNA ANTIQUE - SO-26-048</v>
      </c>
      <c r="C2383" t="s">
        <v>1338</v>
      </c>
      <c r="D2383" t="s">
        <v>1322</v>
      </c>
      <c r="E2383" t="s">
        <v>1339</v>
      </c>
      <c r="F2383" t="s">
        <v>1340</v>
      </c>
      <c r="G2383" t="s">
        <v>22</v>
      </c>
      <c r="H2383" t="s">
        <v>1336</v>
      </c>
      <c r="I2383" t="s">
        <v>110</v>
      </c>
      <c r="J2383">
        <v>1</v>
      </c>
      <c r="K2383">
        <v>6825</v>
      </c>
      <c r="L2383">
        <v>19500</v>
      </c>
      <c r="M2383">
        <v>19500</v>
      </c>
      <c r="N2383" t="s">
        <v>39</v>
      </c>
    </row>
    <row r="2384" spans="1:14" x14ac:dyDescent="0.25">
      <c r="A2384" t="str">
        <f>Table3[[#This Row],[Company Name]] &amp; " - " &amp; Table3[[#This Row],[Store Name]] &amp; " - " &amp; Table3[[#This Row],[Store Branch / Address]]</f>
        <v>BARBAZA MULTI PURPOSE COOPERATIVE - BARBAZA PHARMACY - GEN LUNA ANTIQUE</v>
      </c>
      <c r="B2384" t="str">
        <f>Table3[[#This Row],[Client ID]] &amp; " - " &amp; Table3[[#This Row],[SO Number]]</f>
        <v>BARBAZA MULTI PURPOSE COOPERATIVE - BARBAZA PHARMACY - GEN LUNA ANTIQUE - SO-26-048</v>
      </c>
      <c r="C2384" t="s">
        <v>1338</v>
      </c>
      <c r="D2384" t="s">
        <v>1322</v>
      </c>
      <c r="E2384" t="s">
        <v>1339</v>
      </c>
      <c r="F2384" t="s">
        <v>1340</v>
      </c>
      <c r="G2384" t="s">
        <v>22</v>
      </c>
      <c r="H2384" t="s">
        <v>1336</v>
      </c>
      <c r="I2384" t="s">
        <v>26</v>
      </c>
      <c r="J2384">
        <v>1</v>
      </c>
      <c r="K2384">
        <v>500</v>
      </c>
      <c r="L2384">
        <v>500</v>
      </c>
      <c r="M2384">
        <v>500</v>
      </c>
      <c r="N2384" t="s">
        <v>39</v>
      </c>
    </row>
    <row r="2385" spans="1:14" x14ac:dyDescent="0.25">
      <c r="A2385" t="str">
        <f>Table3[[#This Row],[Company Name]] &amp; " - " &amp; Table3[[#This Row],[Store Name]] &amp; " - " &amp; Table3[[#This Row],[Store Branch / Address]]</f>
        <v>RBQ FOOD SPECIALISTS INC - REYES BARBECUE - SAN JUAN</v>
      </c>
      <c r="B2385" t="str">
        <f>Table3[[#This Row],[Client ID]] &amp; " - " &amp; Table3[[#This Row],[SO Number]]</f>
        <v>RBQ FOOD SPECIALISTS INC - REYES BARBECUE - SAN JUAN - SO-26-049</v>
      </c>
      <c r="C2385" t="s">
        <v>1344</v>
      </c>
      <c r="D2385" t="s">
        <v>199</v>
      </c>
      <c r="E2385" t="s">
        <v>200</v>
      </c>
      <c r="F2385" t="s">
        <v>1345</v>
      </c>
      <c r="G2385" t="s">
        <v>22</v>
      </c>
      <c r="H2385" t="s">
        <v>1336</v>
      </c>
      <c r="I2385" t="s">
        <v>1346</v>
      </c>
      <c r="J2385">
        <v>1</v>
      </c>
      <c r="K2385">
        <v>35000</v>
      </c>
      <c r="L2385">
        <v>35000</v>
      </c>
      <c r="M2385">
        <v>35000</v>
      </c>
      <c r="N2385" t="s">
        <v>39</v>
      </c>
    </row>
    <row r="2386" spans="1:14" x14ac:dyDescent="0.25">
      <c r="A2386" t="str">
        <f>Table3[[#This Row],[Company Name]] &amp; " - " &amp; Table3[[#This Row],[Store Name]] &amp; " - " &amp; Table3[[#This Row],[Store Branch / Address]]</f>
        <v>STATEMENT THEORY - STATEMENT THEORY - ROCKWELL</v>
      </c>
      <c r="B2386" t="str">
        <f>Table3[[#This Row],[Client ID]] &amp; " - " &amp; Table3[[#This Row],[SO Number]]</f>
        <v>STATEMENT THEORY - STATEMENT THEORY - ROCKWELL - SO-26-020</v>
      </c>
      <c r="C2386" t="s">
        <v>1231</v>
      </c>
      <c r="D2386" t="s">
        <v>1094</v>
      </c>
      <c r="E2386" t="s">
        <v>1094</v>
      </c>
      <c r="F2386" t="s">
        <v>36</v>
      </c>
      <c r="G2386" t="s">
        <v>37</v>
      </c>
      <c r="H2386" t="s">
        <v>1414</v>
      </c>
      <c r="I2386" t="s">
        <v>1415</v>
      </c>
      <c r="J2386">
        <v>1</v>
      </c>
      <c r="K2386">
        <v>15000</v>
      </c>
      <c r="L2386">
        <v>15000</v>
      </c>
      <c r="M2386">
        <v>15000</v>
      </c>
      <c r="N2386" t="s">
        <v>1010</v>
      </c>
    </row>
    <row r="2387" spans="1:14" x14ac:dyDescent="0.25">
      <c r="A2387" t="str">
        <f>Table3[[#This Row],[Company Name]] &amp; " - " &amp; Table3[[#This Row],[Store Name]] &amp; " - " &amp; Table3[[#This Row],[Store Branch / Address]]</f>
        <v>STATEMENT THEORY - STATEMENT THEORY - ROCKWELL</v>
      </c>
      <c r="B2387" t="str">
        <f>Table3[[#This Row],[Client ID]] &amp; " - " &amp; Table3[[#This Row],[SO Number]]</f>
        <v>STATEMENT THEORY - STATEMENT THEORY - ROCKWELL - SO-26-020</v>
      </c>
      <c r="C2387" t="s">
        <v>1231</v>
      </c>
      <c r="D2387" t="s">
        <v>1094</v>
      </c>
      <c r="E2387" t="s">
        <v>1094</v>
      </c>
      <c r="F2387" t="s">
        <v>36</v>
      </c>
      <c r="G2387" t="s">
        <v>37</v>
      </c>
      <c r="H2387" t="s">
        <v>1414</v>
      </c>
      <c r="I2387" t="s">
        <v>1051</v>
      </c>
      <c r="J2387">
        <v>1</v>
      </c>
      <c r="K2387">
        <v>935</v>
      </c>
      <c r="L2387">
        <v>1500</v>
      </c>
      <c r="M2387">
        <v>1500</v>
      </c>
      <c r="N2387" t="s">
        <v>1010</v>
      </c>
    </row>
    <row r="2388" spans="1:14" x14ac:dyDescent="0.25">
      <c r="A2388" t="str">
        <f>Table3[[#This Row],[Company Name]] &amp; " - " &amp; Table3[[#This Row],[Store Name]] &amp; " - " &amp; Table3[[#This Row],[Store Branch / Address]]</f>
        <v>ROSANNA OCAMPO - ROSANNA OCAMPO - ROCKWELL POWERPLANT</v>
      </c>
      <c r="B2388" t="str">
        <f>Table3[[#This Row],[Client ID]] &amp; " - " &amp; Table3[[#This Row],[SO Number]]</f>
        <v>ROSANNA OCAMPO - ROSANNA OCAMPO - ROCKWELL POWERPLANT - SO-26-021</v>
      </c>
      <c r="C2388" t="s">
        <v>1238</v>
      </c>
      <c r="D2388" t="s">
        <v>1034</v>
      </c>
      <c r="E2388" t="s">
        <v>1034</v>
      </c>
      <c r="F2388" t="s">
        <v>1035</v>
      </c>
      <c r="G2388" t="s">
        <v>37</v>
      </c>
      <c r="H2388" t="s">
        <v>1414</v>
      </c>
      <c r="I2388" t="s">
        <v>1415</v>
      </c>
      <c r="J2388">
        <v>1</v>
      </c>
      <c r="K2388">
        <v>18000</v>
      </c>
      <c r="L2388">
        <v>18000</v>
      </c>
      <c r="M2388">
        <v>18000</v>
      </c>
      <c r="N2388" t="s">
        <v>1010</v>
      </c>
    </row>
    <row r="2389" spans="1:14" x14ac:dyDescent="0.25">
      <c r="A2389" t="str">
        <f>Table3[[#This Row],[Company Name]] &amp; " - " &amp; Table3[[#This Row],[Store Name]] &amp; " - " &amp; Table3[[#This Row],[Store Branch / Address]]</f>
        <v>ROSANNA OCAMPO - ROSANNA OCAMPO - ROCKWELL POWERPLANT</v>
      </c>
      <c r="B2389" t="str">
        <f>Table3[[#This Row],[Client ID]] &amp; " - " &amp; Table3[[#This Row],[SO Number]]</f>
        <v>ROSANNA OCAMPO - ROSANNA OCAMPO - ROCKWELL POWERPLANT - SO-26-021</v>
      </c>
      <c r="C2389" t="s">
        <v>1238</v>
      </c>
      <c r="D2389" t="s">
        <v>1034</v>
      </c>
      <c r="E2389" t="s">
        <v>1034</v>
      </c>
      <c r="F2389" t="s">
        <v>1035</v>
      </c>
      <c r="G2389" t="s">
        <v>37</v>
      </c>
      <c r="H2389" t="s">
        <v>1414</v>
      </c>
      <c r="I2389" t="s">
        <v>1051</v>
      </c>
      <c r="J2389">
        <v>1</v>
      </c>
      <c r="K2389">
        <v>935</v>
      </c>
      <c r="L2389">
        <v>1500</v>
      </c>
      <c r="M2389">
        <v>1500</v>
      </c>
      <c r="N2389" t="s">
        <v>1010</v>
      </c>
    </row>
    <row r="2390" spans="1:14" x14ac:dyDescent="0.25">
      <c r="A2390" t="str">
        <f>Table3[[#This Row],[Company Name]] &amp; " - " &amp; Table3[[#This Row],[Store Name]] &amp; " - " &amp; Table3[[#This Row],[Store Branch / Address]]</f>
        <v>CHICKEN DELI - GONGCHA - GENERIC</v>
      </c>
      <c r="B2390" t="str">
        <f>Table3[[#This Row],[Client ID]] &amp; " - " &amp; Table3[[#This Row],[SO Number]]</f>
        <v>CHICKEN DELI - GONGCHA - GENERIC - SO-068</v>
      </c>
      <c r="C2390" t="s">
        <v>429</v>
      </c>
      <c r="D2390" t="s">
        <v>20</v>
      </c>
      <c r="E2390" t="s">
        <v>31</v>
      </c>
      <c r="F2390" t="s">
        <v>15</v>
      </c>
      <c r="G2390" t="s">
        <v>22</v>
      </c>
      <c r="H2390" t="s">
        <v>1368</v>
      </c>
      <c r="I2390" t="s">
        <v>33</v>
      </c>
      <c r="J2390">
        <v>1</v>
      </c>
      <c r="K2390">
        <v>6500</v>
      </c>
      <c r="L2390">
        <v>6500</v>
      </c>
      <c r="M2390">
        <v>6500</v>
      </c>
      <c r="N2390" t="s">
        <v>19</v>
      </c>
    </row>
    <row r="2391" spans="1:14" x14ac:dyDescent="0.25">
      <c r="A2391" t="str">
        <f>Table3[[#This Row],[Company Name]] &amp; " - " &amp; Table3[[#This Row],[Store Name]] &amp; " - " &amp; Table3[[#This Row],[Store Branch / Address]]</f>
        <v>HUZZAH - HUZZAH - GENERIC</v>
      </c>
      <c r="B2391" t="str">
        <f>Table3[[#This Row],[Client ID]] &amp; " - " &amp; Table3[[#This Row],[SO Number]]</f>
        <v>HUZZAH - HUZZAH - GENERIC - SO-26-050</v>
      </c>
      <c r="C2391" t="s">
        <v>1348</v>
      </c>
      <c r="D2391" t="s">
        <v>87</v>
      </c>
      <c r="E2391" t="s">
        <v>87</v>
      </c>
      <c r="F2391" t="s">
        <v>15</v>
      </c>
      <c r="G2391" t="s">
        <v>37</v>
      </c>
      <c r="H2391" t="s">
        <v>1349</v>
      </c>
      <c r="I2391" t="s">
        <v>89</v>
      </c>
      <c r="J2391">
        <v>50</v>
      </c>
      <c r="K2391">
        <v>32</v>
      </c>
      <c r="L2391">
        <v>50</v>
      </c>
      <c r="M2391">
        <v>2500</v>
      </c>
      <c r="N2391" t="s">
        <v>39</v>
      </c>
    </row>
    <row r="2392" spans="1:14" x14ac:dyDescent="0.25">
      <c r="A2392" t="str">
        <f>Table3[[#This Row],[Company Name]] &amp; " - " &amp; Table3[[#This Row],[Store Name]] &amp; " - " &amp; Table3[[#This Row],[Store Branch / Address]]</f>
        <v>FEDERAL PROTECTION SYSTEMS INC - INST.OF CULINARY MNGT.INC. - GENERIC</v>
      </c>
      <c r="B2392" t="str">
        <f>Table3[[#This Row],[Client ID]] &amp; " - " &amp; Table3[[#This Row],[SO Number]]</f>
        <v>FEDERAL PROTECTION SYSTEMS INC - INST.OF CULINARY MNGT.INC. - GENERIC - SO-066</v>
      </c>
      <c r="C2392" t="s">
        <v>413</v>
      </c>
      <c r="D2392" t="s">
        <v>204</v>
      </c>
      <c r="E2392" t="s">
        <v>205</v>
      </c>
      <c r="F2392" t="s">
        <v>15</v>
      </c>
      <c r="G2392" t="s">
        <v>22</v>
      </c>
      <c r="H2392" t="s">
        <v>1349</v>
      </c>
      <c r="I2392" t="s">
        <v>1367</v>
      </c>
      <c r="J2392">
        <v>1</v>
      </c>
      <c r="K2392">
        <v>4500</v>
      </c>
      <c r="L2392">
        <v>8500</v>
      </c>
      <c r="M2392">
        <v>8500</v>
      </c>
      <c r="N2392" t="s">
        <v>19</v>
      </c>
    </row>
    <row r="2393" spans="1:14" x14ac:dyDescent="0.25">
      <c r="A2393" t="str">
        <f>Table3[[#This Row],[Company Name]] &amp; " - " &amp; Table3[[#This Row],[Store Name]] &amp; " - " &amp; Table3[[#This Row],[Store Branch / Address]]</f>
        <v>CHICKEN DELI - GONGCHA - GENERIC</v>
      </c>
      <c r="B2393" t="str">
        <f>Table3[[#This Row],[Client ID]] &amp; " - " &amp; Table3[[#This Row],[SO Number]]</f>
        <v>CHICKEN DELI - GONGCHA - GENERIC - SO-067</v>
      </c>
      <c r="C2393" t="s">
        <v>424</v>
      </c>
      <c r="D2393" t="s">
        <v>20</v>
      </c>
      <c r="E2393" t="s">
        <v>31</v>
      </c>
      <c r="F2393" t="s">
        <v>15</v>
      </c>
      <c r="G2393" t="s">
        <v>22</v>
      </c>
      <c r="H2393" t="s">
        <v>1349</v>
      </c>
      <c r="I2393" t="s">
        <v>33</v>
      </c>
      <c r="J2393">
        <v>1</v>
      </c>
      <c r="K2393">
        <v>6500</v>
      </c>
      <c r="L2393">
        <v>6500</v>
      </c>
      <c r="M2393">
        <v>6500</v>
      </c>
      <c r="N2393" t="s">
        <v>19</v>
      </c>
    </row>
    <row r="2394" spans="1:14" x14ac:dyDescent="0.25">
      <c r="A2394" t="str">
        <f>Table3[[#This Row],[Company Name]] &amp; " - " &amp; Table3[[#This Row],[Store Name]] &amp; " - " &amp; Table3[[#This Row],[Store Branch / Address]]</f>
        <v>CHICKEN DELI - GONGCHA - GENERIC</v>
      </c>
      <c r="B2394" t="str">
        <f>Table3[[#This Row],[Client ID]] &amp; " - " &amp; Table3[[#This Row],[SO Number]]</f>
        <v>CHICKEN DELI - GONGCHA - GENERIC - SO-069</v>
      </c>
      <c r="C2394" t="s">
        <v>433</v>
      </c>
      <c r="D2394" t="s">
        <v>20</v>
      </c>
      <c r="E2394" t="s">
        <v>31</v>
      </c>
      <c r="F2394" t="s">
        <v>15</v>
      </c>
      <c r="G2394" t="s">
        <v>22</v>
      </c>
      <c r="H2394" t="s">
        <v>1349</v>
      </c>
      <c r="I2394" t="s">
        <v>33</v>
      </c>
      <c r="J2394">
        <v>2</v>
      </c>
      <c r="K2394">
        <v>6500</v>
      </c>
      <c r="L2394">
        <v>6500</v>
      </c>
      <c r="M2394">
        <v>13000</v>
      </c>
      <c r="N2394" t="s">
        <v>19</v>
      </c>
    </row>
    <row r="2395" spans="1:14" x14ac:dyDescent="0.25">
      <c r="A2395" t="str">
        <f>Table3[[#This Row],[Company Name]] &amp; " - " &amp; Table3[[#This Row],[Store Name]] &amp; " - " &amp; Table3[[#This Row],[Store Branch / Address]]</f>
        <v>CHICKEN DELI - GONGCHA - GENERIC</v>
      </c>
      <c r="B2395" t="str">
        <f>Table3[[#This Row],[Client ID]] &amp; " - " &amp; Table3[[#This Row],[SO Number]]</f>
        <v>CHICKEN DELI - GONGCHA - GENERIC - SO-070</v>
      </c>
      <c r="C2395" t="s">
        <v>438</v>
      </c>
      <c r="D2395" t="s">
        <v>20</v>
      </c>
      <c r="E2395" t="s">
        <v>31</v>
      </c>
      <c r="F2395" t="s">
        <v>15</v>
      </c>
      <c r="G2395" t="s">
        <v>22</v>
      </c>
      <c r="H2395" t="s">
        <v>1349</v>
      </c>
      <c r="I2395" t="s">
        <v>33</v>
      </c>
      <c r="J2395">
        <v>1</v>
      </c>
      <c r="K2395">
        <v>6500</v>
      </c>
      <c r="L2395">
        <v>6500</v>
      </c>
      <c r="M2395">
        <v>6500</v>
      </c>
      <c r="N2395" t="s">
        <v>19</v>
      </c>
    </row>
    <row r="2396" spans="1:14" x14ac:dyDescent="0.25">
      <c r="A2396" t="str">
        <f>Table3[[#This Row],[Company Name]] &amp; " - " &amp; Table3[[#This Row],[Store Name]] &amp; " - " &amp; Table3[[#This Row],[Store Branch / Address]]</f>
        <v>CHICKEN DELI - GONGCHA - GENERIC</v>
      </c>
      <c r="B2396" t="str">
        <f>Table3[[#This Row],[Client ID]] &amp; " - " &amp; Table3[[#This Row],[SO Number]]</f>
        <v>CHICKEN DELI - GONGCHA - GENERIC - SO-071</v>
      </c>
      <c r="C2396" t="s">
        <v>439</v>
      </c>
      <c r="D2396" t="s">
        <v>20</v>
      </c>
      <c r="E2396" t="s">
        <v>31</v>
      </c>
      <c r="F2396" t="s">
        <v>15</v>
      </c>
      <c r="G2396" t="s">
        <v>22</v>
      </c>
      <c r="H2396" t="s">
        <v>1349</v>
      </c>
      <c r="I2396" t="s">
        <v>33</v>
      </c>
      <c r="J2396">
        <v>1</v>
      </c>
      <c r="K2396">
        <v>6500</v>
      </c>
      <c r="L2396">
        <v>6500</v>
      </c>
      <c r="M2396">
        <v>6500</v>
      </c>
      <c r="N2396" t="s">
        <v>19</v>
      </c>
    </row>
    <row r="2397" spans="1:14" x14ac:dyDescent="0.25">
      <c r="A2397" t="str">
        <f>Table3[[#This Row],[Company Name]] &amp; " - " &amp; Table3[[#This Row],[Store Name]] &amp; " - " &amp; Table3[[#This Row],[Store Branch / Address]]</f>
        <v>CHICKEN DELI - WORLD CHIX - GENERIC</v>
      </c>
      <c r="B2397" t="str">
        <f>Table3[[#This Row],[Client ID]] &amp; " - " &amp; Table3[[#This Row],[SO Number]]</f>
        <v>CHICKEN DELI - WORLD CHIX - GENERIC - SO-072</v>
      </c>
      <c r="C2397" t="s">
        <v>443</v>
      </c>
      <c r="D2397" t="s">
        <v>20</v>
      </c>
      <c r="E2397" t="s">
        <v>273</v>
      </c>
      <c r="F2397" t="s">
        <v>15</v>
      </c>
      <c r="G2397" t="s">
        <v>22</v>
      </c>
      <c r="H2397" t="s">
        <v>1369</v>
      </c>
      <c r="I2397" t="s">
        <v>33</v>
      </c>
      <c r="J2397">
        <v>1</v>
      </c>
      <c r="K2397">
        <v>18000</v>
      </c>
      <c r="L2397">
        <v>18000</v>
      </c>
      <c r="M2397">
        <v>18000</v>
      </c>
      <c r="N2397" t="s">
        <v>19</v>
      </c>
    </row>
    <row r="2398" spans="1:14" x14ac:dyDescent="0.25">
      <c r="A2398" t="str">
        <f>Table3[[#This Row],[Company Name]] &amp; " - " &amp; Table3[[#This Row],[Store Name]] &amp; " - " &amp; Table3[[#This Row],[Store Branch / Address]]</f>
        <v>M W TOWNSTORE - M &amp; W - GENERIC</v>
      </c>
      <c r="B2398" t="str">
        <f>Table3[[#This Row],[Client ID]] &amp; " - " &amp; Table3[[#This Row],[SO Number]]</f>
        <v>M W TOWNSTORE - M &amp; W - GENERIC - SO-073</v>
      </c>
      <c r="C2398" t="s">
        <v>448</v>
      </c>
      <c r="D2398" t="s">
        <v>191</v>
      </c>
      <c r="E2398" t="s">
        <v>192</v>
      </c>
      <c r="F2398" t="s">
        <v>15</v>
      </c>
      <c r="G2398" t="s">
        <v>22</v>
      </c>
      <c r="H2398" t="s">
        <v>1369</v>
      </c>
      <c r="I2398" t="s">
        <v>1370</v>
      </c>
      <c r="J2398">
        <v>4</v>
      </c>
      <c r="K2398">
        <v>2082.35</v>
      </c>
      <c r="L2398">
        <v>3500</v>
      </c>
      <c r="M2398">
        <v>14000</v>
      </c>
      <c r="N2398" t="s">
        <v>19</v>
      </c>
    </row>
    <row r="2399" spans="1:14" x14ac:dyDescent="0.25">
      <c r="A2399" t="str">
        <f>Table3[[#This Row],[Company Name]] &amp; " - " &amp; Table3[[#This Row],[Store Name]] &amp; " - " &amp; Table3[[#This Row],[Store Branch / Address]]</f>
        <v>M W TOWNSTORE - M &amp; W - GENERIC</v>
      </c>
      <c r="B2399" t="str">
        <f>Table3[[#This Row],[Client ID]] &amp; " - " &amp; Table3[[#This Row],[SO Number]]</f>
        <v>M W TOWNSTORE - M &amp; W - GENERIC - SO-073</v>
      </c>
      <c r="C2399" t="s">
        <v>448</v>
      </c>
      <c r="D2399" t="s">
        <v>191</v>
      </c>
      <c r="E2399" t="s">
        <v>192</v>
      </c>
      <c r="F2399" t="s">
        <v>15</v>
      </c>
      <c r="G2399" t="s">
        <v>22</v>
      </c>
      <c r="H2399" t="s">
        <v>1369</v>
      </c>
      <c r="I2399" t="s">
        <v>1371</v>
      </c>
      <c r="J2399">
        <v>4</v>
      </c>
      <c r="K2399">
        <v>282</v>
      </c>
      <c r="L2399">
        <v>500</v>
      </c>
      <c r="M2399">
        <v>2000</v>
      </c>
      <c r="N2399" t="s">
        <v>19</v>
      </c>
    </row>
    <row r="2400" spans="1:14" x14ac:dyDescent="0.25">
      <c r="A2400" t="str">
        <f>Table3[[#This Row],[Company Name]] &amp; " - " &amp; Table3[[#This Row],[Store Name]] &amp; " - " &amp; Table3[[#This Row],[Store Branch / Address]]</f>
        <v>M W TOWNSTORE - M &amp; W - GENERIC</v>
      </c>
      <c r="B2400" t="str">
        <f>Table3[[#This Row],[Client ID]] &amp; " - " &amp; Table3[[#This Row],[SO Number]]</f>
        <v>M W TOWNSTORE - M &amp; W - GENERIC - SO-073</v>
      </c>
      <c r="C2400" t="s">
        <v>448</v>
      </c>
      <c r="D2400" t="s">
        <v>191</v>
      </c>
      <c r="E2400" t="s">
        <v>192</v>
      </c>
      <c r="F2400" t="s">
        <v>15</v>
      </c>
      <c r="G2400" t="s">
        <v>22</v>
      </c>
      <c r="H2400" t="s">
        <v>1369</v>
      </c>
      <c r="I2400" t="s">
        <v>1372</v>
      </c>
      <c r="J2400">
        <v>4</v>
      </c>
      <c r="K2400">
        <v>166</v>
      </c>
      <c r="L2400">
        <v>500</v>
      </c>
      <c r="M2400">
        <v>2000</v>
      </c>
      <c r="N2400" t="s">
        <v>19</v>
      </c>
    </row>
    <row r="2401" spans="1:14" x14ac:dyDescent="0.25">
      <c r="A2401" t="str">
        <f>Table3[[#This Row],[Company Name]] &amp; " - " &amp; Table3[[#This Row],[Store Name]] &amp; " - " &amp; Table3[[#This Row],[Store Branch / Address]]</f>
        <v>M W TOWNSTORE - M &amp; W - GENERIC</v>
      </c>
      <c r="B2401" t="str">
        <f>Table3[[#This Row],[Client ID]] &amp; " - " &amp; Table3[[#This Row],[SO Number]]</f>
        <v>M W TOWNSTORE - M &amp; W - GENERIC - SO-073</v>
      </c>
      <c r="C2401" t="s">
        <v>448</v>
      </c>
      <c r="D2401" t="s">
        <v>191</v>
      </c>
      <c r="E2401" t="s">
        <v>192</v>
      </c>
      <c r="F2401" t="s">
        <v>15</v>
      </c>
      <c r="G2401" t="s">
        <v>22</v>
      </c>
      <c r="H2401" t="s">
        <v>1369</v>
      </c>
      <c r="I2401" t="s">
        <v>1373</v>
      </c>
      <c r="J2401">
        <v>4</v>
      </c>
      <c r="K2401">
        <v>244</v>
      </c>
      <c r="L2401">
        <v>500</v>
      </c>
      <c r="M2401">
        <v>2000</v>
      </c>
      <c r="N2401" t="s">
        <v>19</v>
      </c>
    </row>
    <row r="2402" spans="1:14" x14ac:dyDescent="0.25">
      <c r="A2402" t="str">
        <f>Table3[[#This Row],[Company Name]] &amp; " - " &amp; Table3[[#This Row],[Store Name]] &amp; " - " &amp; Table3[[#This Row],[Store Branch / Address]]</f>
        <v>CHICKEN DELI - GONGCHA - GENERIC</v>
      </c>
      <c r="B2402" t="str">
        <f>Table3[[#This Row],[Client ID]] &amp; " - " &amp; Table3[[#This Row],[SO Number]]</f>
        <v>CHICKEN DELI - GONGCHA - GENERIC - SO-074</v>
      </c>
      <c r="C2402" t="s">
        <v>450</v>
      </c>
      <c r="D2402" t="s">
        <v>20</v>
      </c>
      <c r="E2402" t="s">
        <v>31</v>
      </c>
      <c r="F2402" t="s">
        <v>15</v>
      </c>
      <c r="G2402" t="s">
        <v>22</v>
      </c>
      <c r="H2402" t="s">
        <v>1369</v>
      </c>
      <c r="I2402" t="s">
        <v>145</v>
      </c>
      <c r="J2402">
        <v>1</v>
      </c>
      <c r="K2402">
        <v>6300</v>
      </c>
      <c r="L2402">
        <v>18000</v>
      </c>
      <c r="M2402">
        <v>18000</v>
      </c>
      <c r="N2402" t="s">
        <v>19</v>
      </c>
    </row>
    <row r="2403" spans="1:14" x14ac:dyDescent="0.25">
      <c r="A2403" t="str">
        <f>Table3[[#This Row],[Company Name]] &amp; " - " &amp; Table3[[#This Row],[Store Name]] &amp; " - " &amp; Table3[[#This Row],[Store Branch / Address]]</f>
        <v>CHICKEN DELI - GONGCHA - GENERIC</v>
      </c>
      <c r="B2403" t="str">
        <f>Table3[[#This Row],[Client ID]] &amp; " - " &amp; Table3[[#This Row],[SO Number]]</f>
        <v>CHICKEN DELI - GONGCHA - GENERIC - SO-074</v>
      </c>
      <c r="C2403" t="s">
        <v>450</v>
      </c>
      <c r="D2403" t="s">
        <v>20</v>
      </c>
      <c r="E2403" t="s">
        <v>31</v>
      </c>
      <c r="F2403" t="s">
        <v>15</v>
      </c>
      <c r="G2403" t="s">
        <v>22</v>
      </c>
      <c r="H2403" t="s">
        <v>1369</v>
      </c>
      <c r="I2403" t="s">
        <v>299</v>
      </c>
      <c r="J2403">
        <v>1</v>
      </c>
      <c r="K2403">
        <v>5750</v>
      </c>
      <c r="L2403">
        <v>5750</v>
      </c>
      <c r="M2403">
        <v>5750</v>
      </c>
      <c r="N2403" t="s">
        <v>19</v>
      </c>
    </row>
    <row r="2404" spans="1:14" x14ac:dyDescent="0.25">
      <c r="A2404" t="str">
        <f>Table3[[#This Row],[Company Name]] &amp; " - " &amp; Table3[[#This Row],[Store Name]] &amp; " - " &amp; Table3[[#This Row],[Store Branch / Address]]</f>
        <v>CHICKEN DELI - GONGCHA - GENERIC</v>
      </c>
      <c r="B2404" t="str">
        <f>Table3[[#This Row],[Client ID]] &amp; " - " &amp; Table3[[#This Row],[SO Number]]</f>
        <v>CHICKEN DELI - GONGCHA - GENERIC - SO-074</v>
      </c>
      <c r="C2404" t="s">
        <v>450</v>
      </c>
      <c r="D2404" t="s">
        <v>20</v>
      </c>
      <c r="E2404" t="s">
        <v>31</v>
      </c>
      <c r="F2404" t="s">
        <v>15</v>
      </c>
      <c r="G2404" t="s">
        <v>22</v>
      </c>
      <c r="H2404" t="s">
        <v>1369</v>
      </c>
      <c r="I2404" t="s">
        <v>25</v>
      </c>
      <c r="J2404">
        <v>1</v>
      </c>
      <c r="K2404">
        <v>5750</v>
      </c>
      <c r="L2404">
        <v>5750</v>
      </c>
      <c r="M2404">
        <v>5750</v>
      </c>
      <c r="N2404" t="s">
        <v>19</v>
      </c>
    </row>
    <row r="2405" spans="1:14" x14ac:dyDescent="0.25">
      <c r="A2405" t="str">
        <f>Table3[[#This Row],[Company Name]] &amp; " - " &amp; Table3[[#This Row],[Store Name]] &amp; " - " &amp; Table3[[#This Row],[Store Branch / Address]]</f>
        <v>CHICKEN DELI - GONGCHA - GENERIC</v>
      </c>
      <c r="B2405" t="str">
        <f>Table3[[#This Row],[Client ID]] &amp; " - " &amp; Table3[[#This Row],[SO Number]]</f>
        <v>CHICKEN DELI - GONGCHA - GENERIC - SO-074</v>
      </c>
      <c r="C2405" t="s">
        <v>450</v>
      </c>
      <c r="D2405" t="s">
        <v>20</v>
      </c>
      <c r="E2405" t="s">
        <v>31</v>
      </c>
      <c r="F2405" t="s">
        <v>15</v>
      </c>
      <c r="G2405" t="s">
        <v>22</v>
      </c>
      <c r="H2405" t="s">
        <v>1369</v>
      </c>
      <c r="I2405" t="s">
        <v>134</v>
      </c>
      <c r="J2405">
        <v>1</v>
      </c>
      <c r="K2405">
        <v>500</v>
      </c>
      <c r="L2405">
        <v>500</v>
      </c>
      <c r="M2405">
        <v>500</v>
      </c>
      <c r="N2405" t="s">
        <v>19</v>
      </c>
    </row>
    <row r="2406" spans="1:14" x14ac:dyDescent="0.25">
      <c r="A2406" t="str">
        <f>Table3[[#This Row],[Company Name]] &amp; " - " &amp; Table3[[#This Row],[Store Name]] &amp; " - " &amp; Table3[[#This Row],[Store Branch / Address]]</f>
        <v>RIVERO SAMSON TAN - ANSON SHOE PLAZA - GENERIC</v>
      </c>
      <c r="B2406" t="str">
        <f>Table3[[#This Row],[Client ID]] &amp; " - " &amp; Table3[[#This Row],[SO Number]]</f>
        <v>RIVERO SAMSON TAN - ANSON SHOE PLAZA - GENERIC - SO-26-022</v>
      </c>
      <c r="C2406" t="s">
        <v>1242</v>
      </c>
      <c r="D2406" t="s">
        <v>1416</v>
      </c>
      <c r="E2406" t="s">
        <v>1417</v>
      </c>
      <c r="F2406" t="s">
        <v>15</v>
      </c>
      <c r="G2406" t="s">
        <v>1007</v>
      </c>
      <c r="H2406" t="s">
        <v>1418</v>
      </c>
      <c r="I2406" t="s">
        <v>1419</v>
      </c>
      <c r="J2406">
        <v>1</v>
      </c>
      <c r="K2406">
        <v>22000</v>
      </c>
      <c r="L2406">
        <v>22000</v>
      </c>
      <c r="M2406">
        <v>22000</v>
      </c>
      <c r="N2406" t="s">
        <v>19</v>
      </c>
    </row>
    <row r="2407" spans="1:14" x14ac:dyDescent="0.25">
      <c r="A2407" t="str">
        <f>Table3[[#This Row],[Company Name]] &amp; " - " &amp; Table3[[#This Row],[Store Name]] &amp; " - " &amp; Table3[[#This Row],[Store Branch / Address]]</f>
        <v>RIVERO SAMSON TAN - ANSON SHOE PLAZA - GENERIC</v>
      </c>
      <c r="B2407" t="str">
        <f>Table3[[#This Row],[Client ID]] &amp; " - " &amp; Table3[[#This Row],[SO Number]]</f>
        <v>RIVERO SAMSON TAN - ANSON SHOE PLAZA - GENERIC - SO-26-022</v>
      </c>
      <c r="C2407" t="s">
        <v>1242</v>
      </c>
      <c r="D2407" t="s">
        <v>1416</v>
      </c>
      <c r="E2407" t="s">
        <v>1417</v>
      </c>
      <c r="F2407" t="s">
        <v>15</v>
      </c>
      <c r="G2407" t="s">
        <v>1007</v>
      </c>
      <c r="H2407" t="s">
        <v>1418</v>
      </c>
      <c r="I2407" t="s">
        <v>26</v>
      </c>
      <c r="J2407">
        <v>1</v>
      </c>
      <c r="K2407">
        <v>500</v>
      </c>
      <c r="L2407">
        <v>500</v>
      </c>
      <c r="M2407">
        <v>500</v>
      </c>
      <c r="N2407" t="s">
        <v>19</v>
      </c>
    </row>
    <row r="2408" spans="1:14" x14ac:dyDescent="0.25">
      <c r="A2408" t="str">
        <f>Table3[[#This Row],[Company Name]] &amp; " - " &amp; Table3[[#This Row],[Store Name]] &amp; " - " &amp; Table3[[#This Row],[Store Branch / Address]]</f>
        <v>RIVERO SAMSON TAN - ANSON SHOE PLAZA - GENERIC</v>
      </c>
      <c r="B2408" t="str">
        <f>Table3[[#This Row],[Client ID]] &amp; " - " &amp; Table3[[#This Row],[SO Number]]</f>
        <v>RIVERO SAMSON TAN - ANSON SHOE PLAZA - GENERIC - SO-26-022</v>
      </c>
      <c r="C2408" t="s">
        <v>1242</v>
      </c>
      <c r="D2408" t="s">
        <v>1416</v>
      </c>
      <c r="E2408" t="s">
        <v>1417</v>
      </c>
      <c r="F2408" t="s">
        <v>15</v>
      </c>
      <c r="G2408" t="s">
        <v>1007</v>
      </c>
      <c r="H2408" t="s">
        <v>1418</v>
      </c>
      <c r="I2408" t="s">
        <v>1394</v>
      </c>
      <c r="J2408">
        <v>1</v>
      </c>
      <c r="K2408">
        <v>18700</v>
      </c>
      <c r="L2408">
        <v>27700</v>
      </c>
      <c r="M2408">
        <v>27700</v>
      </c>
      <c r="N2408" t="s">
        <v>19</v>
      </c>
    </row>
    <row r="2409" spans="1:14" x14ac:dyDescent="0.25">
      <c r="A2409" t="str">
        <f>Table3[[#This Row],[Company Name]] &amp; " - " &amp; Table3[[#This Row],[Store Name]] &amp; " - " &amp; Table3[[#This Row],[Store Branch / Address]]</f>
        <v>RIVERO SAMSON TAN - ANSON SHOE PLAZA - GENERIC</v>
      </c>
      <c r="B2409" t="str">
        <f>Table3[[#This Row],[Client ID]] &amp; " - " &amp; Table3[[#This Row],[SO Number]]</f>
        <v>RIVERO SAMSON TAN - ANSON SHOE PLAZA - GENERIC - SO-26-022</v>
      </c>
      <c r="C2409" t="s">
        <v>1242</v>
      </c>
      <c r="D2409" t="s">
        <v>1416</v>
      </c>
      <c r="E2409" t="s">
        <v>1417</v>
      </c>
      <c r="F2409" t="s">
        <v>15</v>
      </c>
      <c r="G2409" t="s">
        <v>1007</v>
      </c>
      <c r="H2409" t="s">
        <v>1418</v>
      </c>
      <c r="I2409" t="s">
        <v>1120</v>
      </c>
      <c r="J2409">
        <v>1</v>
      </c>
      <c r="K2409">
        <v>5100</v>
      </c>
      <c r="L2409">
        <v>7300</v>
      </c>
      <c r="M2409">
        <v>7300</v>
      </c>
      <c r="N2409" t="s">
        <v>19</v>
      </c>
    </row>
    <row r="2410" spans="1:14" x14ac:dyDescent="0.25">
      <c r="A2410" t="str">
        <f>Table3[[#This Row],[Company Name]] &amp; " - " &amp; Table3[[#This Row],[Store Name]] &amp; " - " &amp; Table3[[#This Row],[Store Branch / Address]]</f>
        <v>RIVERO SAMSON TAN - ANSON SHOE PLAZA - GENERIC</v>
      </c>
      <c r="B2410" t="str">
        <f>Table3[[#This Row],[Client ID]] &amp; " - " &amp; Table3[[#This Row],[SO Number]]</f>
        <v>RIVERO SAMSON TAN - ANSON SHOE PLAZA - GENERIC - SO-26-022</v>
      </c>
      <c r="C2410" t="s">
        <v>1242</v>
      </c>
      <c r="D2410" t="s">
        <v>1416</v>
      </c>
      <c r="E2410" t="s">
        <v>1417</v>
      </c>
      <c r="F2410" t="s">
        <v>15</v>
      </c>
      <c r="G2410" t="s">
        <v>1007</v>
      </c>
      <c r="H2410" t="s">
        <v>1418</v>
      </c>
      <c r="I2410" t="s">
        <v>151</v>
      </c>
      <c r="J2410">
        <v>1</v>
      </c>
      <c r="K2410">
        <v>2000</v>
      </c>
      <c r="L2410">
        <v>3000</v>
      </c>
      <c r="M2410">
        <v>3000</v>
      </c>
      <c r="N2410" t="s">
        <v>19</v>
      </c>
    </row>
    <row r="2411" spans="1:14" x14ac:dyDescent="0.25">
      <c r="A2411" t="str">
        <f>Table3[[#This Row],[Company Name]] &amp; " - " &amp; Table3[[#This Row],[Store Name]] &amp; " - " &amp; Table3[[#This Row],[Store Branch / Address]]</f>
        <v>CHICKEN DELI - KARIMADON - GENERIC</v>
      </c>
      <c r="B2411" t="str">
        <f>Table3[[#This Row],[Client ID]] &amp; " - " &amp; Table3[[#This Row],[SO Number]]</f>
        <v>CHICKEN DELI - KARIMADON - GENERIC - SO-075</v>
      </c>
      <c r="C2411" t="s">
        <v>457</v>
      </c>
      <c r="D2411" t="s">
        <v>20</v>
      </c>
      <c r="E2411" t="s">
        <v>263</v>
      </c>
      <c r="F2411" t="s">
        <v>15</v>
      </c>
      <c r="G2411" t="s">
        <v>22</v>
      </c>
      <c r="H2411" t="s">
        <v>1374</v>
      </c>
      <c r="I2411" t="s">
        <v>133</v>
      </c>
      <c r="J2411">
        <v>1</v>
      </c>
      <c r="K2411">
        <v>6300</v>
      </c>
      <c r="L2411">
        <v>18000</v>
      </c>
      <c r="M2411">
        <v>18000</v>
      </c>
      <c r="N2411" t="s">
        <v>19</v>
      </c>
    </row>
    <row r="2412" spans="1:14" x14ac:dyDescent="0.25">
      <c r="A2412" t="str">
        <f>Table3[[#This Row],[Company Name]] &amp; " - " &amp; Table3[[#This Row],[Store Name]] &amp; " - " &amp; Table3[[#This Row],[Store Branch / Address]]</f>
        <v>CHICKEN DELI - KARIMADON - GENERIC</v>
      </c>
      <c r="B2412" t="str">
        <f>Table3[[#This Row],[Client ID]] &amp; " - " &amp; Table3[[#This Row],[SO Number]]</f>
        <v>CHICKEN DELI - KARIMADON - GENERIC - SO-075</v>
      </c>
      <c r="C2412" t="s">
        <v>457</v>
      </c>
      <c r="D2412" t="s">
        <v>20</v>
      </c>
      <c r="E2412" t="s">
        <v>263</v>
      </c>
      <c r="F2412" t="s">
        <v>15</v>
      </c>
      <c r="G2412" t="s">
        <v>22</v>
      </c>
      <c r="H2412" t="s">
        <v>1374</v>
      </c>
      <c r="I2412" t="s">
        <v>25</v>
      </c>
      <c r="J2412">
        <v>1</v>
      </c>
      <c r="K2412">
        <v>14000</v>
      </c>
      <c r="L2412">
        <v>14000</v>
      </c>
      <c r="M2412">
        <v>14000</v>
      </c>
      <c r="N2412" t="s">
        <v>19</v>
      </c>
    </row>
    <row r="2413" spans="1:14" x14ac:dyDescent="0.25">
      <c r="A2413" t="str">
        <f>Table3[[#This Row],[Company Name]] &amp; " - " &amp; Table3[[#This Row],[Store Name]] &amp; " - " &amp; Table3[[#This Row],[Store Branch / Address]]</f>
        <v>CHICKEN DELI - KARIMADON - GENERIC</v>
      </c>
      <c r="B2413" t="str">
        <f>Table3[[#This Row],[Client ID]] &amp; " - " &amp; Table3[[#This Row],[SO Number]]</f>
        <v>CHICKEN DELI - KARIMADON - GENERIC - SO-075</v>
      </c>
      <c r="C2413" t="s">
        <v>457</v>
      </c>
      <c r="D2413" t="s">
        <v>20</v>
      </c>
      <c r="E2413" t="s">
        <v>263</v>
      </c>
      <c r="F2413" t="s">
        <v>15</v>
      </c>
      <c r="G2413" t="s">
        <v>22</v>
      </c>
      <c r="H2413" t="s">
        <v>1374</v>
      </c>
      <c r="I2413" t="s">
        <v>24</v>
      </c>
      <c r="J2413">
        <v>1</v>
      </c>
      <c r="K2413">
        <v>14000</v>
      </c>
      <c r="L2413">
        <v>14000</v>
      </c>
      <c r="M2413">
        <v>14000</v>
      </c>
      <c r="N2413" t="s">
        <v>19</v>
      </c>
    </row>
    <row r="2414" spans="1:14" x14ac:dyDescent="0.25">
      <c r="A2414" t="str">
        <f>Table3[[#This Row],[Company Name]] &amp; " - " &amp; Table3[[#This Row],[Store Name]] &amp; " - " &amp; Table3[[#This Row],[Store Branch / Address]]</f>
        <v>CHICKEN DELI - KARIMADON - GENERIC</v>
      </c>
      <c r="B2414" t="str">
        <f>Table3[[#This Row],[Client ID]] &amp; " - " &amp; Table3[[#This Row],[SO Number]]</f>
        <v>CHICKEN DELI - KARIMADON - GENERIC - SO-075</v>
      </c>
      <c r="C2414" t="s">
        <v>457</v>
      </c>
      <c r="D2414" t="s">
        <v>20</v>
      </c>
      <c r="E2414" t="s">
        <v>263</v>
      </c>
      <c r="F2414" t="s">
        <v>15</v>
      </c>
      <c r="G2414" t="s">
        <v>22</v>
      </c>
      <c r="H2414" t="s">
        <v>1374</v>
      </c>
      <c r="I2414" t="s">
        <v>134</v>
      </c>
      <c r="J2414">
        <v>1</v>
      </c>
      <c r="K2414">
        <v>500</v>
      </c>
      <c r="L2414">
        <v>500</v>
      </c>
      <c r="M2414">
        <v>500</v>
      </c>
      <c r="N2414" t="s">
        <v>19</v>
      </c>
    </row>
    <row r="2415" spans="1:14" x14ac:dyDescent="0.25">
      <c r="A2415" t="str">
        <f>Table3[[#This Row],[Company Name]] &amp; " - " &amp; Table3[[#This Row],[Store Name]] &amp; " - " &amp; Table3[[#This Row],[Store Branch / Address]]</f>
        <v>CHICKEN DELI - KARIMADON - GENERIC</v>
      </c>
      <c r="B2415" t="str">
        <f>Table3[[#This Row],[Client ID]] &amp; " - " &amp; Table3[[#This Row],[SO Number]]</f>
        <v>CHICKEN DELI - KARIMADON - GENERIC - SO-075</v>
      </c>
      <c r="C2415" t="s">
        <v>457</v>
      </c>
      <c r="D2415" t="s">
        <v>20</v>
      </c>
      <c r="E2415" t="s">
        <v>263</v>
      </c>
      <c r="F2415" t="s">
        <v>15</v>
      </c>
      <c r="G2415" t="s">
        <v>22</v>
      </c>
      <c r="H2415" t="s">
        <v>1374</v>
      </c>
      <c r="I2415" t="s">
        <v>383</v>
      </c>
      <c r="J2415">
        <v>1</v>
      </c>
      <c r="K2415">
        <v>3195</v>
      </c>
      <c r="L2415">
        <v>4500</v>
      </c>
      <c r="M2415">
        <v>4500</v>
      </c>
      <c r="N2415" t="s">
        <v>19</v>
      </c>
    </row>
    <row r="2416" spans="1:14" x14ac:dyDescent="0.25">
      <c r="A2416" t="str">
        <f>Table3[[#This Row],[Company Name]] &amp; " - " &amp; Table3[[#This Row],[Store Name]] &amp; " - " &amp; Table3[[#This Row],[Store Branch / Address]]</f>
        <v>CHICKEN DELI - KARIMADON - GENERIC</v>
      </c>
      <c r="B2416" t="str">
        <f>Table3[[#This Row],[Client ID]] &amp; " - " &amp; Table3[[#This Row],[SO Number]]</f>
        <v>CHICKEN DELI - KARIMADON - GENERIC - SO-075</v>
      </c>
      <c r="C2416" t="s">
        <v>457</v>
      </c>
      <c r="D2416" t="s">
        <v>20</v>
      </c>
      <c r="E2416" t="s">
        <v>263</v>
      </c>
      <c r="F2416" t="s">
        <v>15</v>
      </c>
      <c r="G2416" t="s">
        <v>22</v>
      </c>
      <c r="H2416" t="s">
        <v>1374</v>
      </c>
      <c r="I2416" t="s">
        <v>233</v>
      </c>
      <c r="J2416">
        <v>1</v>
      </c>
      <c r="K2416">
        <v>8500</v>
      </c>
      <c r="L2416">
        <v>12000</v>
      </c>
      <c r="M2416">
        <v>12000</v>
      </c>
      <c r="N2416" t="s">
        <v>19</v>
      </c>
    </row>
    <row r="2417" spans="1:14" x14ac:dyDescent="0.25">
      <c r="A2417" t="str">
        <f>Table3[[#This Row],[Company Name]] &amp; " - " &amp; Table3[[#This Row],[Store Name]] &amp; " - " &amp; Table3[[#This Row],[Store Branch / Address]]</f>
        <v>CHICKEN DELI - KARIMADON - GENERIC</v>
      </c>
      <c r="B2417" t="str">
        <f>Table3[[#This Row],[Client ID]] &amp; " - " &amp; Table3[[#This Row],[SO Number]]</f>
        <v>CHICKEN DELI - KARIMADON - GENERIC - SO-075</v>
      </c>
      <c r="C2417" t="s">
        <v>457</v>
      </c>
      <c r="D2417" t="s">
        <v>20</v>
      </c>
      <c r="E2417" t="s">
        <v>263</v>
      </c>
      <c r="F2417" t="s">
        <v>15</v>
      </c>
      <c r="G2417" t="s">
        <v>22</v>
      </c>
      <c r="H2417" t="s">
        <v>1374</v>
      </c>
      <c r="I2417" t="s">
        <v>98</v>
      </c>
      <c r="J2417">
        <v>1</v>
      </c>
      <c r="K2417">
        <v>935</v>
      </c>
      <c r="L2417">
        <v>1500</v>
      </c>
      <c r="M2417">
        <v>1500</v>
      </c>
      <c r="N2417" t="s">
        <v>19</v>
      </c>
    </row>
    <row r="2418" spans="1:14" x14ac:dyDescent="0.25">
      <c r="A2418" t="str">
        <f>Table3[[#This Row],[Company Name]] &amp; " - " &amp; Table3[[#This Row],[Store Name]] &amp; " - " &amp; Table3[[#This Row],[Store Branch / Address]]</f>
        <v>CHICKEN DELI - KARIMADON - GENERIC</v>
      </c>
      <c r="B2418" t="str">
        <f>Table3[[#This Row],[Client ID]] &amp; " - " &amp; Table3[[#This Row],[SO Number]]</f>
        <v>CHICKEN DELI - KARIMADON - GENERIC - SO-075</v>
      </c>
      <c r="C2418" t="s">
        <v>457</v>
      </c>
      <c r="D2418" t="s">
        <v>20</v>
      </c>
      <c r="E2418" t="s">
        <v>263</v>
      </c>
      <c r="F2418" t="s">
        <v>15</v>
      </c>
      <c r="G2418" t="s">
        <v>22</v>
      </c>
      <c r="H2418" t="s">
        <v>1374</v>
      </c>
      <c r="I2418" t="s">
        <v>85</v>
      </c>
      <c r="J2418">
        <v>1</v>
      </c>
      <c r="K2418">
        <v>1350</v>
      </c>
      <c r="L2418">
        <v>1900</v>
      </c>
      <c r="M2418">
        <v>1900</v>
      </c>
      <c r="N2418" t="s">
        <v>19</v>
      </c>
    </row>
    <row r="2419" spans="1:14" x14ac:dyDescent="0.25">
      <c r="A2419" t="str">
        <f>Table3[[#This Row],[Company Name]] &amp; " - " &amp; Table3[[#This Row],[Store Name]] &amp; " - " &amp; Table3[[#This Row],[Store Branch / Address]]</f>
        <v>CHICKEN DELI - KARIMADON - GENERIC</v>
      </c>
      <c r="B2419" t="str">
        <f>Table3[[#This Row],[Client ID]] &amp; " - " &amp; Table3[[#This Row],[SO Number]]</f>
        <v>CHICKEN DELI - KARIMADON - GENERIC - SO-075</v>
      </c>
      <c r="C2419" t="s">
        <v>457</v>
      </c>
      <c r="D2419" t="s">
        <v>20</v>
      </c>
      <c r="E2419" t="s">
        <v>263</v>
      </c>
      <c r="F2419" t="s">
        <v>15</v>
      </c>
      <c r="G2419" t="s">
        <v>22</v>
      </c>
      <c r="H2419" t="s">
        <v>1374</v>
      </c>
      <c r="I2419" t="s">
        <v>137</v>
      </c>
      <c r="J2419">
        <v>1</v>
      </c>
      <c r="K2419">
        <v>2200</v>
      </c>
      <c r="L2419">
        <v>3200</v>
      </c>
      <c r="M2419">
        <v>3200</v>
      </c>
      <c r="N2419" t="s">
        <v>19</v>
      </c>
    </row>
    <row r="2420" spans="1:14" x14ac:dyDescent="0.25">
      <c r="A2420" t="str">
        <f>Table3[[#This Row],[Company Name]] &amp; " - " &amp; Table3[[#This Row],[Store Name]] &amp; " - " &amp; Table3[[#This Row],[Store Branch / Address]]</f>
        <v>CHICKEN DELI - KARIMADON - GENERIC</v>
      </c>
      <c r="B2420" t="str">
        <f>Table3[[#This Row],[Client ID]] &amp; " - " &amp; Table3[[#This Row],[SO Number]]</f>
        <v>CHICKEN DELI - KARIMADON - GENERIC - SO-075</v>
      </c>
      <c r="C2420" t="s">
        <v>457</v>
      </c>
      <c r="D2420" t="s">
        <v>20</v>
      </c>
      <c r="E2420" t="s">
        <v>263</v>
      </c>
      <c r="F2420" t="s">
        <v>15</v>
      </c>
      <c r="G2420" t="s">
        <v>22</v>
      </c>
      <c r="H2420" t="s">
        <v>1374</v>
      </c>
      <c r="I2420" t="s">
        <v>1375</v>
      </c>
      <c r="J2420">
        <v>1</v>
      </c>
      <c r="K2420">
        <v>23000</v>
      </c>
      <c r="L2420">
        <v>32700</v>
      </c>
      <c r="M2420">
        <v>32700</v>
      </c>
      <c r="N2420" t="s">
        <v>19</v>
      </c>
    </row>
    <row r="2421" spans="1:14" x14ac:dyDescent="0.25">
      <c r="A2421" t="str">
        <f>Table3[[#This Row],[Company Name]] &amp; " - " &amp; Table3[[#This Row],[Store Name]] &amp; " - " &amp; Table3[[#This Row],[Store Branch / Address]]</f>
        <v>CHICKEN DELI - KARIMADON - GENERIC</v>
      </c>
      <c r="B2421" t="str">
        <f>Table3[[#This Row],[Client ID]] &amp; " - " &amp; Table3[[#This Row],[SO Number]]</f>
        <v>CHICKEN DELI - KARIMADON - GENERIC - SO-075</v>
      </c>
      <c r="C2421" t="s">
        <v>457</v>
      </c>
      <c r="D2421" t="s">
        <v>20</v>
      </c>
      <c r="E2421" t="s">
        <v>263</v>
      </c>
      <c r="F2421" t="s">
        <v>15</v>
      </c>
      <c r="G2421" t="s">
        <v>22</v>
      </c>
      <c r="H2421" t="s">
        <v>1374</v>
      </c>
      <c r="I2421" t="s">
        <v>99</v>
      </c>
      <c r="J2421">
        <v>1</v>
      </c>
      <c r="K2421">
        <v>2000</v>
      </c>
      <c r="L2421">
        <v>4000</v>
      </c>
      <c r="M2421">
        <v>4000</v>
      </c>
      <c r="N2421" t="s">
        <v>19</v>
      </c>
    </row>
    <row r="2422" spans="1:14" x14ac:dyDescent="0.25">
      <c r="A2422" t="str">
        <f>Table3[[#This Row],[Company Name]] &amp; " - " &amp; Table3[[#This Row],[Store Name]] &amp; " - " &amp; Table3[[#This Row],[Store Branch / Address]]</f>
        <v>CHICKEN DELI - KARIMADON - GENERIC</v>
      </c>
      <c r="B2422" t="str">
        <f>Table3[[#This Row],[Client ID]] &amp; " - " &amp; Table3[[#This Row],[SO Number]]</f>
        <v>CHICKEN DELI - KARIMADON - GENERIC - SO-075</v>
      </c>
      <c r="C2422" t="s">
        <v>457</v>
      </c>
      <c r="D2422" t="s">
        <v>20</v>
      </c>
      <c r="E2422" t="s">
        <v>263</v>
      </c>
      <c r="F2422" t="s">
        <v>15</v>
      </c>
      <c r="G2422" t="s">
        <v>22</v>
      </c>
      <c r="H2422" t="s">
        <v>1374</v>
      </c>
      <c r="I2422" t="s">
        <v>1370</v>
      </c>
      <c r="J2422">
        <v>1</v>
      </c>
      <c r="K2422">
        <v>2082.35</v>
      </c>
      <c r="L2422">
        <v>3500</v>
      </c>
      <c r="M2422">
        <v>3500</v>
      </c>
      <c r="N2422" t="s">
        <v>19</v>
      </c>
    </row>
    <row r="2423" spans="1:14" x14ac:dyDescent="0.25">
      <c r="A2423" t="str">
        <f>Table3[[#This Row],[Company Name]] &amp; " - " &amp; Table3[[#This Row],[Store Name]] &amp; " - " &amp; Table3[[#This Row],[Store Branch / Address]]</f>
        <v>CHICKEN DELI - KARIMADON - GENERIC</v>
      </c>
      <c r="B2423" t="str">
        <f>Table3[[#This Row],[Client ID]] &amp; " - " &amp; Table3[[#This Row],[SO Number]]</f>
        <v>CHICKEN DELI - KARIMADON - GENERIC - SO-075</v>
      </c>
      <c r="C2423" t="s">
        <v>457</v>
      </c>
      <c r="D2423" t="s">
        <v>20</v>
      </c>
      <c r="E2423" t="s">
        <v>263</v>
      </c>
      <c r="F2423" t="s">
        <v>15</v>
      </c>
      <c r="G2423" t="s">
        <v>22</v>
      </c>
      <c r="H2423" t="s">
        <v>1374</v>
      </c>
      <c r="I2423" t="s">
        <v>1371</v>
      </c>
      <c r="J2423">
        <v>1</v>
      </c>
      <c r="K2423">
        <v>282</v>
      </c>
      <c r="L2423">
        <v>500</v>
      </c>
      <c r="M2423">
        <v>500</v>
      </c>
      <c r="N2423" t="s">
        <v>19</v>
      </c>
    </row>
    <row r="2424" spans="1:14" x14ac:dyDescent="0.25">
      <c r="A2424" t="str">
        <f>Table3[[#This Row],[Company Name]] &amp; " - " &amp; Table3[[#This Row],[Store Name]] &amp; " - " &amp; Table3[[#This Row],[Store Branch / Address]]</f>
        <v>CHICKEN DELI - KARIMADON - GENERIC</v>
      </c>
      <c r="B2424" t="str">
        <f>Table3[[#This Row],[Client ID]] &amp; " - " &amp; Table3[[#This Row],[SO Number]]</f>
        <v>CHICKEN DELI - KARIMADON - GENERIC - SO-075</v>
      </c>
      <c r="C2424" t="s">
        <v>457</v>
      </c>
      <c r="D2424" t="s">
        <v>20</v>
      </c>
      <c r="E2424" t="s">
        <v>263</v>
      </c>
      <c r="F2424" t="s">
        <v>15</v>
      </c>
      <c r="G2424" t="s">
        <v>22</v>
      </c>
      <c r="H2424" t="s">
        <v>1374</v>
      </c>
      <c r="I2424" t="s">
        <v>1372</v>
      </c>
      <c r="J2424">
        <v>1</v>
      </c>
      <c r="K2424">
        <v>166</v>
      </c>
      <c r="L2424">
        <v>500</v>
      </c>
      <c r="M2424">
        <v>500</v>
      </c>
      <c r="N2424" t="s">
        <v>19</v>
      </c>
    </row>
    <row r="2425" spans="1:14" x14ac:dyDescent="0.25">
      <c r="A2425" t="str">
        <f>Table3[[#This Row],[Company Name]] &amp; " - " &amp; Table3[[#This Row],[Store Name]] &amp; " - " &amp; Table3[[#This Row],[Store Branch / Address]]</f>
        <v>CHICKEN DELI - KARIMADON - GENERIC</v>
      </c>
      <c r="B2425" t="str">
        <f>Table3[[#This Row],[Client ID]] &amp; " - " &amp; Table3[[#This Row],[SO Number]]</f>
        <v>CHICKEN DELI - KARIMADON - GENERIC - SO-075</v>
      </c>
      <c r="C2425" t="s">
        <v>457</v>
      </c>
      <c r="D2425" t="s">
        <v>20</v>
      </c>
      <c r="E2425" t="s">
        <v>263</v>
      </c>
      <c r="F2425" t="s">
        <v>15</v>
      </c>
      <c r="G2425" t="s">
        <v>22</v>
      </c>
      <c r="H2425" t="s">
        <v>1374</v>
      </c>
      <c r="I2425" t="s">
        <v>1373</v>
      </c>
      <c r="J2425">
        <v>1</v>
      </c>
      <c r="K2425">
        <v>244</v>
      </c>
      <c r="L2425">
        <v>500</v>
      </c>
      <c r="M2425">
        <v>500</v>
      </c>
      <c r="N2425" t="s">
        <v>19</v>
      </c>
    </row>
    <row r="2426" spans="1:14" x14ac:dyDescent="0.25">
      <c r="A2426" t="str">
        <f>Table3[[#This Row],[Company Name]] &amp; " - " &amp; Table3[[#This Row],[Store Name]] &amp; " - " &amp; Table3[[#This Row],[Store Branch / Address]]</f>
        <v>CHICKEN DELI - KARIMADON - GENERIC</v>
      </c>
      <c r="B2426" t="str">
        <f>Table3[[#This Row],[Client ID]] &amp; " - " &amp; Table3[[#This Row],[SO Number]]</f>
        <v>CHICKEN DELI - KARIMADON - GENERIC - SO-075</v>
      </c>
      <c r="C2426" t="s">
        <v>457</v>
      </c>
      <c r="D2426" t="s">
        <v>20</v>
      </c>
      <c r="E2426" t="s">
        <v>263</v>
      </c>
      <c r="F2426" t="s">
        <v>15</v>
      </c>
      <c r="G2426" t="s">
        <v>22</v>
      </c>
      <c r="H2426" t="s">
        <v>1374</v>
      </c>
      <c r="I2426" t="s">
        <v>76</v>
      </c>
      <c r="J2426">
        <v>1</v>
      </c>
      <c r="K2426">
        <v>500</v>
      </c>
      <c r="L2426">
        <v>500</v>
      </c>
      <c r="M2426">
        <v>500</v>
      </c>
      <c r="N2426" t="s">
        <v>19</v>
      </c>
    </row>
    <row r="2427" spans="1:14" x14ac:dyDescent="0.25">
      <c r="A2427" t="str">
        <f>Table3[[#This Row],[Company Name]] &amp; " - " &amp; Table3[[#This Row],[Store Name]] &amp; " - " &amp; Table3[[#This Row],[Store Branch / Address]]</f>
        <v>CHICKEN DELI - OJO EYEWEAR - GENERIC</v>
      </c>
      <c r="B2427" t="str">
        <f>Table3[[#This Row],[Client ID]] &amp; " - " &amp; Table3[[#This Row],[SO Number]]</f>
        <v>CHICKEN DELI - OJO EYEWEAR - GENERIC - SO-076</v>
      </c>
      <c r="C2427" t="s">
        <v>459</v>
      </c>
      <c r="D2427" t="s">
        <v>20</v>
      </c>
      <c r="E2427" t="s">
        <v>70</v>
      </c>
      <c r="F2427" t="s">
        <v>15</v>
      </c>
      <c r="G2427" t="s">
        <v>22</v>
      </c>
      <c r="H2427" t="s">
        <v>1374</v>
      </c>
      <c r="I2427" t="s">
        <v>231</v>
      </c>
      <c r="J2427">
        <v>1</v>
      </c>
      <c r="K2427">
        <v>6300</v>
      </c>
      <c r="L2427">
        <v>18000</v>
      </c>
      <c r="M2427">
        <v>18000</v>
      </c>
      <c r="N2427" t="s">
        <v>19</v>
      </c>
    </row>
    <row r="2428" spans="1:14" x14ac:dyDescent="0.25">
      <c r="A2428" t="str">
        <f>Table3[[#This Row],[Company Name]] &amp; " - " &amp; Table3[[#This Row],[Store Name]] &amp; " - " &amp; Table3[[#This Row],[Store Branch / Address]]</f>
        <v>CHICKEN DELI - OJO EYEWEAR - GENERIC</v>
      </c>
      <c r="B2428" t="str">
        <f>Table3[[#This Row],[Client ID]] &amp; " - " &amp; Table3[[#This Row],[SO Number]]</f>
        <v>CHICKEN DELI - OJO EYEWEAR - GENERIC - SO-076</v>
      </c>
      <c r="C2428" t="s">
        <v>459</v>
      </c>
      <c r="D2428" t="s">
        <v>20</v>
      </c>
      <c r="E2428" t="s">
        <v>70</v>
      </c>
      <c r="F2428" t="s">
        <v>15</v>
      </c>
      <c r="G2428" t="s">
        <v>22</v>
      </c>
      <c r="H2428" t="s">
        <v>1374</v>
      </c>
      <c r="I2428" t="s">
        <v>537</v>
      </c>
      <c r="J2428">
        <v>1</v>
      </c>
      <c r="K2428">
        <v>5000</v>
      </c>
      <c r="L2428">
        <v>5000</v>
      </c>
      <c r="M2428">
        <v>5000</v>
      </c>
      <c r="N2428" t="s">
        <v>19</v>
      </c>
    </row>
    <row r="2429" spans="1:14" x14ac:dyDescent="0.25">
      <c r="A2429" t="str">
        <f>Table3[[#This Row],[Company Name]] &amp; " - " &amp; Table3[[#This Row],[Store Name]] &amp; " - " &amp; Table3[[#This Row],[Store Branch / Address]]</f>
        <v>CHICKEN DELI - OJO EYEWEAR - GENERIC</v>
      </c>
      <c r="B2429" t="str">
        <f>Table3[[#This Row],[Client ID]] &amp; " - " &amp; Table3[[#This Row],[SO Number]]</f>
        <v>CHICKEN DELI - OJO EYEWEAR - GENERIC - SO-076</v>
      </c>
      <c r="C2429" t="s">
        <v>459</v>
      </c>
      <c r="D2429" t="s">
        <v>20</v>
      </c>
      <c r="E2429" t="s">
        <v>70</v>
      </c>
      <c r="F2429" t="s">
        <v>15</v>
      </c>
      <c r="G2429" t="s">
        <v>22</v>
      </c>
      <c r="H2429" t="s">
        <v>1374</v>
      </c>
      <c r="I2429" t="s">
        <v>24</v>
      </c>
      <c r="J2429">
        <v>1</v>
      </c>
      <c r="K2429">
        <v>5000</v>
      </c>
      <c r="L2429">
        <v>5000</v>
      </c>
      <c r="M2429">
        <v>5000</v>
      </c>
      <c r="N2429" t="s">
        <v>19</v>
      </c>
    </row>
    <row r="2430" spans="1:14" x14ac:dyDescent="0.25">
      <c r="A2430" t="str">
        <f>Table3[[#This Row],[Company Name]] &amp; " - " &amp; Table3[[#This Row],[Store Name]] &amp; " - " &amp; Table3[[#This Row],[Store Branch / Address]]</f>
        <v>CHICKEN DELI - OJO EYEWEAR - GENERIC</v>
      </c>
      <c r="B2430" t="str">
        <f>Table3[[#This Row],[Client ID]] &amp; " - " &amp; Table3[[#This Row],[SO Number]]</f>
        <v>CHICKEN DELI - OJO EYEWEAR - GENERIC - SO-076</v>
      </c>
      <c r="C2430" t="s">
        <v>459</v>
      </c>
      <c r="D2430" t="s">
        <v>20</v>
      </c>
      <c r="E2430" t="s">
        <v>70</v>
      </c>
      <c r="F2430" t="s">
        <v>15</v>
      </c>
      <c r="G2430" t="s">
        <v>22</v>
      </c>
      <c r="H2430" t="s">
        <v>1374</v>
      </c>
      <c r="I2430" t="s">
        <v>1376</v>
      </c>
      <c r="J2430">
        <v>1</v>
      </c>
      <c r="K2430">
        <v>21500</v>
      </c>
      <c r="L2430">
        <v>30700</v>
      </c>
      <c r="M2430">
        <v>30700</v>
      </c>
      <c r="N2430" t="s">
        <v>19</v>
      </c>
    </row>
    <row r="2431" spans="1:14" x14ac:dyDescent="0.25">
      <c r="A2431" t="str">
        <f>Table3[[#This Row],[Company Name]] &amp; " - " &amp; Table3[[#This Row],[Store Name]] &amp; " - " &amp; Table3[[#This Row],[Store Branch / Address]]</f>
        <v>CHICKEN DELI - OJO EYEWEAR - GENERIC</v>
      </c>
      <c r="B2431" t="str">
        <f>Table3[[#This Row],[Client ID]] &amp; " - " &amp; Table3[[#This Row],[SO Number]]</f>
        <v>CHICKEN DELI - OJO EYEWEAR - GENERIC - SO-076</v>
      </c>
      <c r="C2431" t="s">
        <v>459</v>
      </c>
      <c r="D2431" t="s">
        <v>20</v>
      </c>
      <c r="E2431" t="s">
        <v>70</v>
      </c>
      <c r="F2431" t="s">
        <v>15</v>
      </c>
      <c r="G2431" t="s">
        <v>22</v>
      </c>
      <c r="H2431" t="s">
        <v>1374</v>
      </c>
      <c r="I2431" t="s">
        <v>539</v>
      </c>
      <c r="J2431">
        <v>1</v>
      </c>
      <c r="K2431">
        <v>5100</v>
      </c>
      <c r="L2431">
        <v>7500</v>
      </c>
      <c r="M2431">
        <v>7500</v>
      </c>
      <c r="N2431" t="s">
        <v>19</v>
      </c>
    </row>
    <row r="2432" spans="1:14" x14ac:dyDescent="0.25">
      <c r="A2432" t="str">
        <f>Table3[[#This Row],[Company Name]] &amp; " - " &amp; Table3[[#This Row],[Store Name]] &amp; " - " &amp; Table3[[#This Row],[Store Branch / Address]]</f>
        <v>CHICKEN DELI - OJO EYEWEAR - GENERIC</v>
      </c>
      <c r="B2432" t="str">
        <f>Table3[[#This Row],[Client ID]] &amp; " - " &amp; Table3[[#This Row],[SO Number]]</f>
        <v>CHICKEN DELI - OJO EYEWEAR - GENERIC - SO-076</v>
      </c>
      <c r="C2432" t="s">
        <v>459</v>
      </c>
      <c r="D2432" t="s">
        <v>20</v>
      </c>
      <c r="E2432" t="s">
        <v>70</v>
      </c>
      <c r="F2432" t="s">
        <v>15</v>
      </c>
      <c r="G2432" t="s">
        <v>22</v>
      </c>
      <c r="H2432" t="s">
        <v>1374</v>
      </c>
      <c r="I2432" t="s">
        <v>134</v>
      </c>
      <c r="J2432">
        <v>1</v>
      </c>
      <c r="K2432">
        <v>500</v>
      </c>
      <c r="L2432">
        <v>500</v>
      </c>
      <c r="M2432">
        <v>500</v>
      </c>
      <c r="N2432" t="s">
        <v>19</v>
      </c>
    </row>
    <row r="2433" spans="1:14" x14ac:dyDescent="0.25">
      <c r="A2433" t="str">
        <f>Table3[[#This Row],[Company Name]] &amp; " - " &amp; Table3[[#This Row],[Store Name]] &amp; " - " &amp; Table3[[#This Row],[Store Branch / Address]]</f>
        <v>CHICKEN DELI - OJO EYEWEAR - GENERIC</v>
      </c>
      <c r="B2433" t="str">
        <f>Table3[[#This Row],[Client ID]] &amp; " - " &amp; Table3[[#This Row],[SO Number]]</f>
        <v>CHICKEN DELI - OJO EYEWEAR - GENERIC - SO-076</v>
      </c>
      <c r="C2433" t="s">
        <v>459</v>
      </c>
      <c r="D2433" t="s">
        <v>20</v>
      </c>
      <c r="E2433" t="s">
        <v>70</v>
      </c>
      <c r="F2433" t="s">
        <v>15</v>
      </c>
      <c r="G2433" t="s">
        <v>22</v>
      </c>
      <c r="H2433" t="s">
        <v>1374</v>
      </c>
      <c r="I2433" t="s">
        <v>135</v>
      </c>
      <c r="J2433">
        <v>1</v>
      </c>
      <c r="K2433">
        <v>3195</v>
      </c>
      <c r="L2433">
        <v>4500</v>
      </c>
      <c r="M2433">
        <v>4500</v>
      </c>
      <c r="N2433" t="s">
        <v>19</v>
      </c>
    </row>
    <row r="2434" spans="1:14" x14ac:dyDescent="0.25">
      <c r="A2434" t="str">
        <f>Table3[[#This Row],[Company Name]] &amp; " - " &amp; Table3[[#This Row],[Store Name]] &amp; " - " &amp; Table3[[#This Row],[Store Branch / Address]]</f>
        <v>CHICKEN DELI - OJO EYEWEAR - GENERIC</v>
      </c>
      <c r="B2434" t="str">
        <f>Table3[[#This Row],[Client ID]] &amp; " - " &amp; Table3[[#This Row],[SO Number]]</f>
        <v>CHICKEN DELI - OJO EYEWEAR - GENERIC - SO-076</v>
      </c>
      <c r="C2434" t="s">
        <v>459</v>
      </c>
      <c r="D2434" t="s">
        <v>20</v>
      </c>
      <c r="E2434" t="s">
        <v>70</v>
      </c>
      <c r="F2434" t="s">
        <v>15</v>
      </c>
      <c r="G2434" t="s">
        <v>22</v>
      </c>
      <c r="H2434" t="s">
        <v>1374</v>
      </c>
      <c r="I2434" t="s">
        <v>233</v>
      </c>
      <c r="J2434">
        <v>1</v>
      </c>
      <c r="K2434">
        <v>8500</v>
      </c>
      <c r="L2434">
        <v>12100</v>
      </c>
      <c r="M2434">
        <v>12100</v>
      </c>
      <c r="N2434" t="s">
        <v>19</v>
      </c>
    </row>
    <row r="2435" spans="1:14" x14ac:dyDescent="0.25">
      <c r="A2435" t="str">
        <f>Table3[[#This Row],[Company Name]] &amp; " - " &amp; Table3[[#This Row],[Store Name]] &amp; " - " &amp; Table3[[#This Row],[Store Branch / Address]]</f>
        <v>CHICKEN DELI - OJO EYEWEAR - GENERIC</v>
      </c>
      <c r="B2435" t="str">
        <f>Table3[[#This Row],[Client ID]] &amp; " - " &amp; Table3[[#This Row],[SO Number]]</f>
        <v>CHICKEN DELI - OJO EYEWEAR - GENERIC - SO-076</v>
      </c>
      <c r="C2435" t="s">
        <v>459</v>
      </c>
      <c r="D2435" t="s">
        <v>20</v>
      </c>
      <c r="E2435" t="s">
        <v>70</v>
      </c>
      <c r="F2435" t="s">
        <v>15</v>
      </c>
      <c r="G2435" t="s">
        <v>22</v>
      </c>
      <c r="H2435" t="s">
        <v>1374</v>
      </c>
      <c r="I2435" t="s">
        <v>236</v>
      </c>
      <c r="J2435">
        <v>1</v>
      </c>
      <c r="K2435">
        <v>2200</v>
      </c>
      <c r="L2435">
        <v>3200</v>
      </c>
      <c r="M2435">
        <v>3200</v>
      </c>
      <c r="N2435" t="s">
        <v>19</v>
      </c>
    </row>
    <row r="2436" spans="1:14" x14ac:dyDescent="0.25">
      <c r="A2436" t="str">
        <f>Table3[[#This Row],[Company Name]] &amp; " - " &amp; Table3[[#This Row],[Store Name]] &amp; " - " &amp; Table3[[#This Row],[Store Branch / Address]]</f>
        <v>CHICKEN DELI - OJO EYEWEAR - GENERIC</v>
      </c>
      <c r="B2436" t="str">
        <f>Table3[[#This Row],[Client ID]] &amp; " - " &amp; Table3[[#This Row],[SO Number]]</f>
        <v>CHICKEN DELI - OJO EYEWEAR - GENERIC - SO-076</v>
      </c>
      <c r="C2436" t="s">
        <v>459</v>
      </c>
      <c r="D2436" t="s">
        <v>20</v>
      </c>
      <c r="E2436" t="s">
        <v>70</v>
      </c>
      <c r="F2436" t="s">
        <v>15</v>
      </c>
      <c r="G2436" t="s">
        <v>22</v>
      </c>
      <c r="H2436" t="s">
        <v>1374</v>
      </c>
      <c r="I2436" t="s">
        <v>99</v>
      </c>
      <c r="J2436">
        <v>1</v>
      </c>
      <c r="K2436">
        <v>2000</v>
      </c>
      <c r="L2436">
        <v>4000</v>
      </c>
      <c r="M2436">
        <v>4000</v>
      </c>
      <c r="N2436" t="s">
        <v>19</v>
      </c>
    </row>
    <row r="2437" spans="1:14" x14ac:dyDescent="0.25">
      <c r="A2437" t="str">
        <f>Table3[[#This Row],[Company Name]] &amp; " - " &amp; Table3[[#This Row],[Store Name]] &amp; " - " &amp; Table3[[#This Row],[Store Branch / Address]]</f>
        <v>CHICKEN DELI - OJO EYEWEAR - GENERIC</v>
      </c>
      <c r="B2437" t="str">
        <f>Table3[[#This Row],[Client ID]] &amp; " - " &amp; Table3[[#This Row],[SO Number]]</f>
        <v>CHICKEN DELI - OJO EYEWEAR - GENERIC - SO-076</v>
      </c>
      <c r="C2437" t="s">
        <v>459</v>
      </c>
      <c r="D2437" t="s">
        <v>20</v>
      </c>
      <c r="E2437" t="s">
        <v>70</v>
      </c>
      <c r="F2437" t="s">
        <v>15</v>
      </c>
      <c r="G2437" t="s">
        <v>22</v>
      </c>
      <c r="H2437" t="s">
        <v>1374</v>
      </c>
      <c r="I2437" t="s">
        <v>76</v>
      </c>
      <c r="J2437">
        <v>1</v>
      </c>
      <c r="K2437">
        <v>500</v>
      </c>
      <c r="L2437">
        <v>500</v>
      </c>
      <c r="M2437">
        <v>500</v>
      </c>
      <c r="N2437" t="s">
        <v>19</v>
      </c>
    </row>
    <row r="2438" spans="1:14" x14ac:dyDescent="0.25">
      <c r="A2438" t="str">
        <f>Table3[[#This Row],[Company Name]] &amp; " - " &amp; Table3[[#This Row],[Store Name]] &amp; " - " &amp; Table3[[#This Row],[Store Branch / Address]]</f>
        <v>CHICKEN DELI - WORLD CHIX - GENERIC</v>
      </c>
      <c r="B2438" t="str">
        <f>Table3[[#This Row],[Client ID]] &amp; " - " &amp; Table3[[#This Row],[SO Number]]</f>
        <v>CHICKEN DELI - WORLD CHIX - GENERIC - SO-077</v>
      </c>
      <c r="C2438" t="s">
        <v>466</v>
      </c>
      <c r="D2438" t="s">
        <v>20</v>
      </c>
      <c r="E2438" t="s">
        <v>273</v>
      </c>
      <c r="F2438" t="s">
        <v>15</v>
      </c>
      <c r="G2438" t="s">
        <v>22</v>
      </c>
      <c r="H2438" t="s">
        <v>1377</v>
      </c>
      <c r="I2438" t="s">
        <v>761</v>
      </c>
      <c r="J2438">
        <v>1</v>
      </c>
      <c r="K2438">
        <v>8500</v>
      </c>
      <c r="L2438">
        <v>12000</v>
      </c>
      <c r="M2438">
        <v>12000</v>
      </c>
      <c r="N2438" t="s">
        <v>19</v>
      </c>
    </row>
    <row r="2439" spans="1:14" x14ac:dyDescent="0.25">
      <c r="A2439" t="str">
        <f>Table3[[#This Row],[Company Name]] &amp; " - " &amp; Table3[[#This Row],[Store Name]] &amp; " - " &amp; Table3[[#This Row],[Store Branch / Address]]</f>
        <v>ARIZONA ICE CREAM CORPORATION - COLDSTONE - GENERIC</v>
      </c>
      <c r="B2439" t="str">
        <f>Table3[[#This Row],[Client ID]] &amp; " - " &amp; Table3[[#This Row],[SO Number]]</f>
        <v>ARIZONA ICE CREAM CORPORATION - COLDSTONE - GENERIC - SO-26-051</v>
      </c>
      <c r="C2439" t="s">
        <v>1352</v>
      </c>
      <c r="D2439" t="s">
        <v>13</v>
      </c>
      <c r="E2439" t="s">
        <v>14</v>
      </c>
      <c r="F2439" t="s">
        <v>15</v>
      </c>
      <c r="G2439" t="s">
        <v>22</v>
      </c>
      <c r="H2439" t="s">
        <v>1353</v>
      </c>
      <c r="I2439" t="s">
        <v>33</v>
      </c>
      <c r="J2439">
        <v>3</v>
      </c>
      <c r="K2439">
        <v>8500</v>
      </c>
      <c r="L2439">
        <v>8500</v>
      </c>
      <c r="M2439">
        <v>25500</v>
      </c>
      <c r="N2439" t="s">
        <v>19</v>
      </c>
    </row>
    <row r="2440" spans="1:14" x14ac:dyDescent="0.25">
      <c r="A2440" t="str">
        <f>Table3[[#This Row],[Company Name]] &amp; " - " &amp; Table3[[#This Row],[Store Name]] &amp; " - " &amp; Table3[[#This Row],[Store Branch / Address]]</f>
        <v>RRH FOOD GROUP INC - QUEENS AT BOLLYWOOD - GENERIC</v>
      </c>
      <c r="B2440" t="str">
        <f>Table3[[#This Row],[Client ID]] &amp; " - " &amp; Table3[[#This Row],[SO Number]]</f>
        <v>RRH FOOD GROUP INC - QUEENS AT BOLLYWOOD - GENERIC - SO-26-052</v>
      </c>
      <c r="C2440" t="s">
        <v>1355</v>
      </c>
      <c r="D2440" t="s">
        <v>52</v>
      </c>
      <c r="E2440" t="s">
        <v>53</v>
      </c>
      <c r="F2440" t="s">
        <v>15</v>
      </c>
      <c r="G2440" t="s">
        <v>37</v>
      </c>
      <c r="H2440" t="s">
        <v>1353</v>
      </c>
      <c r="I2440" t="s">
        <v>428</v>
      </c>
      <c r="J2440">
        <v>4</v>
      </c>
      <c r="K2440">
        <v>70</v>
      </c>
      <c r="L2440">
        <v>250</v>
      </c>
      <c r="M2440">
        <v>1000</v>
      </c>
      <c r="N2440" t="s">
        <v>39</v>
      </c>
    </row>
    <row r="2441" spans="1:14" x14ac:dyDescent="0.25">
      <c r="A2441" t="str">
        <f>Table3[[#This Row],[Company Name]] &amp; " - " &amp; Table3[[#This Row],[Store Name]] &amp; " - " &amp; Table3[[#This Row],[Store Branch / Address]]</f>
        <v>HRT VENTURES CORPORATION - BARISTART COFFEE CAFÉ (LICENSEE) - GENERIC</v>
      </c>
      <c r="B2441" t="str">
        <f>Table3[[#This Row],[Client ID]] &amp; " - " &amp; Table3[[#This Row],[SO Number]]</f>
        <v>HRT VENTURES CORPORATION - BARISTART COFFEE CAFÉ (LICENSEE) - GENERIC - SO-26-053</v>
      </c>
      <c r="C2441" t="s">
        <v>1357</v>
      </c>
      <c r="D2441" t="s">
        <v>633</v>
      </c>
      <c r="E2441" t="s">
        <v>634</v>
      </c>
      <c r="F2441" t="s">
        <v>15</v>
      </c>
      <c r="G2441" t="s">
        <v>37</v>
      </c>
      <c r="H2441" t="s">
        <v>1353</v>
      </c>
      <c r="I2441" t="s">
        <v>264</v>
      </c>
      <c r="J2441">
        <v>1</v>
      </c>
      <c r="K2441">
        <v>1200</v>
      </c>
      <c r="L2441">
        <v>2000</v>
      </c>
      <c r="M2441">
        <v>2000</v>
      </c>
      <c r="N2441" t="s">
        <v>19</v>
      </c>
    </row>
    <row r="2442" spans="1:14" x14ac:dyDescent="0.25">
      <c r="A2442" t="str">
        <f>Table3[[#This Row],[Company Name]] &amp; " - " &amp; Table3[[#This Row],[Store Name]] &amp; " - " &amp; Table3[[#This Row],[Store Branch / Address]]</f>
        <v>BEDA FOOD VENTURES INC - BACOLOD CHICKEN - GENERIC</v>
      </c>
      <c r="B2442" t="str">
        <f>Table3[[#This Row],[Client ID]] &amp; " - " &amp; Table3[[#This Row],[SO Number]]</f>
        <v>BEDA FOOD VENTURES INC - BACOLOD CHICKEN - GENERIC - SO-26-054</v>
      </c>
      <c r="C2442" t="s">
        <v>1358</v>
      </c>
      <c r="D2442" t="s">
        <v>523</v>
      </c>
      <c r="E2442" t="s">
        <v>311</v>
      </c>
      <c r="F2442" t="s">
        <v>15</v>
      </c>
      <c r="G2442" t="s">
        <v>22</v>
      </c>
      <c r="H2442" t="s">
        <v>1353</v>
      </c>
      <c r="I2442" t="s">
        <v>211</v>
      </c>
      <c r="J2442">
        <v>1</v>
      </c>
      <c r="K2442">
        <v>175</v>
      </c>
      <c r="L2442">
        <v>500</v>
      </c>
      <c r="M2442">
        <v>500</v>
      </c>
      <c r="N2442" t="s">
        <v>19</v>
      </c>
    </row>
    <row r="2443" spans="1:14" x14ac:dyDescent="0.25">
      <c r="A2443" t="str">
        <f>Table3[[#This Row],[Company Name]] &amp; " - " &amp; Table3[[#This Row],[Store Name]] &amp; " - " &amp; Table3[[#This Row],[Store Branch / Address]]</f>
        <v>CHICKEN DELI - WORLD CHIX - GENERIC</v>
      </c>
      <c r="B2443" t="str">
        <f>Table3[[#This Row],[Client ID]] &amp; " - " &amp; Table3[[#This Row],[SO Number]]</f>
        <v>CHICKEN DELI - WORLD CHIX - GENERIC - SO-078</v>
      </c>
      <c r="C2443" t="s">
        <v>470</v>
      </c>
      <c r="D2443" t="s">
        <v>20</v>
      </c>
      <c r="E2443" t="s">
        <v>273</v>
      </c>
      <c r="F2443" t="s">
        <v>15</v>
      </c>
      <c r="G2443" t="s">
        <v>22</v>
      </c>
      <c r="H2443" t="s">
        <v>1378</v>
      </c>
      <c r="I2443" t="s">
        <v>71</v>
      </c>
      <c r="J2443">
        <v>1</v>
      </c>
      <c r="K2443">
        <v>1200</v>
      </c>
      <c r="L2443">
        <v>2000</v>
      </c>
      <c r="M2443">
        <v>2000</v>
      </c>
      <c r="N2443" t="s">
        <v>19</v>
      </c>
    </row>
    <row r="2444" spans="1:14" x14ac:dyDescent="0.25">
      <c r="A2444" t="str">
        <f>Table3[[#This Row],[Company Name]] &amp; " - " &amp; Table3[[#This Row],[Store Name]] &amp; " - " &amp; Table3[[#This Row],[Store Branch / Address]]</f>
        <v>RAJO - RAJO - ROCKWELL</v>
      </c>
      <c r="B2444" t="str">
        <f>Table3[[#This Row],[Client ID]] &amp; " - " &amp; Table3[[#This Row],[SO Number]]</f>
        <v>RAJO - RAJO - ROCKWELL - SO-26-023</v>
      </c>
      <c r="C2444" t="s">
        <v>1246</v>
      </c>
      <c r="D2444" t="s">
        <v>1068</v>
      </c>
      <c r="E2444" t="s">
        <v>1068</v>
      </c>
      <c r="F2444" t="s">
        <v>36</v>
      </c>
      <c r="G2444" t="s">
        <v>37</v>
      </c>
      <c r="H2444" t="s">
        <v>1378</v>
      </c>
      <c r="I2444" t="s">
        <v>1420</v>
      </c>
      <c r="J2444">
        <v>1</v>
      </c>
      <c r="K2444">
        <v>18000</v>
      </c>
      <c r="L2444">
        <v>18000</v>
      </c>
      <c r="M2444">
        <v>18000</v>
      </c>
      <c r="N2444" t="s">
        <v>1010</v>
      </c>
    </row>
    <row r="2445" spans="1:14" x14ac:dyDescent="0.25">
      <c r="A2445" t="str">
        <f>Table3[[#This Row],[Company Name]] &amp; " - " &amp; Table3[[#This Row],[Store Name]] &amp; " - " &amp; Table3[[#This Row],[Store Branch / Address]]</f>
        <v>CHUA BEVERLY SANTOS - HOMIE PET - GENERIC</v>
      </c>
      <c r="B2445" t="str">
        <f>Table3[[#This Row],[Client ID]] &amp; " - " &amp; Table3[[#This Row],[SO Number]]</f>
        <v>CHUA BEVERLY SANTOS - HOMIE PET - GENERIC - SO-26-055</v>
      </c>
      <c r="C2445" t="s">
        <v>1360</v>
      </c>
      <c r="D2445" t="s">
        <v>1186</v>
      </c>
      <c r="E2445" t="s">
        <v>1187</v>
      </c>
      <c r="F2445" t="s">
        <v>15</v>
      </c>
      <c r="G2445" t="s">
        <v>37</v>
      </c>
      <c r="H2445" t="s">
        <v>1361</v>
      </c>
      <c r="I2445" t="s">
        <v>1189</v>
      </c>
      <c r="J2445">
        <v>250</v>
      </c>
      <c r="K2445">
        <v>47</v>
      </c>
      <c r="L2445">
        <v>77</v>
      </c>
      <c r="M2445">
        <v>19250</v>
      </c>
      <c r="N2445" t="s">
        <v>39</v>
      </c>
    </row>
    <row r="2446" spans="1:14" x14ac:dyDescent="0.25">
      <c r="A2446" t="str">
        <f>Table3[[#This Row],[Company Name]] &amp; " - " &amp; Table3[[#This Row],[Store Name]] &amp; " - " &amp; Table3[[#This Row],[Store Branch / Address]]</f>
        <v>CHICKEN DELI - HUE SIARGAO - GENERIC</v>
      </c>
      <c r="B2446" t="str">
        <f>Table3[[#This Row],[Client ID]] &amp; " - " &amp; Table3[[#This Row],[SO Number]]</f>
        <v>CHICKEN DELI - HUE SIARGAO - GENERIC - SO-079</v>
      </c>
      <c r="C2446" t="s">
        <v>474</v>
      </c>
      <c r="D2446" t="s">
        <v>20</v>
      </c>
      <c r="E2446" t="s">
        <v>821</v>
      </c>
      <c r="F2446" t="s">
        <v>15</v>
      </c>
      <c r="G2446" t="s">
        <v>22</v>
      </c>
      <c r="H2446" t="s">
        <v>1361</v>
      </c>
      <c r="I2446" t="s">
        <v>381</v>
      </c>
      <c r="J2446">
        <v>50</v>
      </c>
      <c r="K2446">
        <v>17</v>
      </c>
      <c r="L2446">
        <v>25</v>
      </c>
      <c r="M2446">
        <v>1250</v>
      </c>
      <c r="N2446" t="s">
        <v>19</v>
      </c>
    </row>
    <row r="2447" spans="1:14" x14ac:dyDescent="0.25">
      <c r="A2447" t="str">
        <f>Table3[[#This Row],[Company Name]] &amp; " - " &amp; Table3[[#This Row],[Store Name]] &amp; " - " &amp; Table3[[#This Row],[Store Branch / Address]]</f>
        <v>CHICKEN DELI - HUE SIARGAO - GENERIC</v>
      </c>
      <c r="B2447" t="str">
        <f>Table3[[#This Row],[Client ID]] &amp; " - " &amp; Table3[[#This Row],[SO Number]]</f>
        <v>CHICKEN DELI - HUE SIARGAO - GENERIC - SO-079</v>
      </c>
      <c r="C2447" t="s">
        <v>474</v>
      </c>
      <c r="D2447" t="s">
        <v>20</v>
      </c>
      <c r="E2447" t="s">
        <v>821</v>
      </c>
      <c r="F2447" t="s">
        <v>15</v>
      </c>
      <c r="G2447" t="s">
        <v>22</v>
      </c>
      <c r="H2447" t="s">
        <v>1361</v>
      </c>
      <c r="I2447" t="s">
        <v>62</v>
      </c>
      <c r="J2447">
        <v>50</v>
      </c>
      <c r="K2447">
        <v>47</v>
      </c>
      <c r="L2447">
        <v>80</v>
      </c>
      <c r="M2447">
        <v>4000</v>
      </c>
      <c r="N2447" t="s">
        <v>19</v>
      </c>
    </row>
    <row r="2448" spans="1:14" x14ac:dyDescent="0.25">
      <c r="A2448" t="str">
        <f>Table3[[#This Row],[Company Name]] &amp; " - " &amp; Table3[[#This Row],[Store Name]] &amp; " - " &amp; Table3[[#This Row],[Store Branch / Address]]</f>
        <v>CHICKEN DELI - HUE SIARGAO - GENERIC</v>
      </c>
      <c r="B2448" t="str">
        <f>Table3[[#This Row],[Client ID]] &amp; " - " &amp; Table3[[#This Row],[SO Number]]</f>
        <v>CHICKEN DELI - HUE SIARGAO - GENERIC - SO-079</v>
      </c>
      <c r="C2448" t="s">
        <v>474</v>
      </c>
      <c r="D2448" t="s">
        <v>20</v>
      </c>
      <c r="E2448" t="s">
        <v>821</v>
      </c>
      <c r="F2448" t="s">
        <v>15</v>
      </c>
      <c r="G2448" t="s">
        <v>22</v>
      </c>
      <c r="H2448" t="s">
        <v>1361</v>
      </c>
      <c r="I2448" t="s">
        <v>1379</v>
      </c>
      <c r="J2448">
        <v>10</v>
      </c>
      <c r="K2448">
        <v>70</v>
      </c>
      <c r="L2448">
        <v>250</v>
      </c>
      <c r="M2448">
        <v>2500</v>
      </c>
      <c r="N2448" t="s">
        <v>19</v>
      </c>
    </row>
    <row r="2449" spans="1:14" hidden="1" x14ac:dyDescent="0.25">
      <c r="A2449" t="str">
        <f>Table3[[#This Row],[Company Name]] &amp; " - " &amp; Table3[[#This Row],[Store Name]] &amp; " - " &amp; Table3[[#This Row],[Store Branch / Address]]</f>
        <v>HRT VENTURES CORPORATION - BARISTART COFFEE CAFÉ (LICENSEE) - GENERIC</v>
      </c>
      <c r="B2449" t="str">
        <f>Table3[[#This Row],[Client ID]] &amp; " - " &amp; Table3[[#This Row],[SO Number]]</f>
        <v>HRT VENTURES CORPORATION - BARISTART COFFEE CAFÉ (LICENSEE) - GENERIC - SO-118</v>
      </c>
      <c r="C2449" t="s">
        <v>632</v>
      </c>
      <c r="D2449" t="s">
        <v>633</v>
      </c>
      <c r="E2449" t="s">
        <v>634</v>
      </c>
      <c r="F2449" t="s">
        <v>15</v>
      </c>
      <c r="G2449" t="s">
        <v>37</v>
      </c>
      <c r="H2449" t="s">
        <v>635</v>
      </c>
      <c r="I2449" t="s">
        <v>636</v>
      </c>
      <c r="J2449">
        <v>1</v>
      </c>
      <c r="K2449">
        <v>2500</v>
      </c>
      <c r="L2449">
        <v>3500</v>
      </c>
      <c r="M2449">
        <v>3500</v>
      </c>
      <c r="N2449" t="s">
        <v>19</v>
      </c>
    </row>
    <row r="2450" spans="1:14" hidden="1" x14ac:dyDescent="0.25">
      <c r="A2450" t="str">
        <f>Table3[[#This Row],[Company Name]] &amp; " - " &amp; Table3[[#This Row],[Store Name]] &amp; " - " &amp; Table3[[#This Row],[Store Branch / Address]]</f>
        <v>HRT VENTURES CORPORATION - BARISTART COFFEE CAFÉ (LICENSEE) - GENERIC</v>
      </c>
      <c r="B2450" t="str">
        <f>Table3[[#This Row],[Client ID]] &amp; " - " &amp; Table3[[#This Row],[SO Number]]</f>
        <v>HRT VENTURES CORPORATION - BARISTART COFFEE CAFÉ (LICENSEE) - GENERIC - SO-154</v>
      </c>
      <c r="C2450" t="s">
        <v>777</v>
      </c>
      <c r="D2450" t="s">
        <v>633</v>
      </c>
      <c r="E2450" t="s">
        <v>634</v>
      </c>
      <c r="F2450" t="s">
        <v>15</v>
      </c>
      <c r="G2450" t="s">
        <v>37</v>
      </c>
      <c r="H2450" t="s">
        <v>778</v>
      </c>
      <c r="I2450" t="s">
        <v>264</v>
      </c>
      <c r="J2450">
        <v>1</v>
      </c>
      <c r="K2450">
        <v>1200</v>
      </c>
      <c r="L2450">
        <v>2000</v>
      </c>
      <c r="M2450">
        <v>2000</v>
      </c>
      <c r="N2450" t="s">
        <v>19</v>
      </c>
    </row>
    <row r="2451" spans="1:14" hidden="1" x14ac:dyDescent="0.25">
      <c r="A2451" t="str">
        <f>Table3[[#This Row],[Company Name]] &amp; " - " &amp; Table3[[#This Row],[Store Name]] &amp; " - " &amp; Table3[[#This Row],[Store Branch / Address]]</f>
        <v>CHICKEN DELI - OJO EYEWEAR - GENERIC</v>
      </c>
      <c r="B2451" t="str">
        <f>Table3[[#This Row],[Client ID]] &amp; " - " &amp; Table3[[#This Row],[SO Number]]</f>
        <v>CHICKEN DELI - OJO EYEWEAR - GENERIC - SO-039</v>
      </c>
      <c r="C2451" t="s">
        <v>277</v>
      </c>
      <c r="D2451" t="s">
        <v>20</v>
      </c>
      <c r="E2451" t="s">
        <v>70</v>
      </c>
      <c r="F2451" t="s">
        <v>15</v>
      </c>
      <c r="G2451" t="s">
        <v>22</v>
      </c>
      <c r="H2451" t="s">
        <v>22</v>
      </c>
      <c r="I2451" t="s">
        <v>169</v>
      </c>
      <c r="J2451">
        <v>1</v>
      </c>
      <c r="K2451">
        <v>3675</v>
      </c>
      <c r="L2451">
        <v>10500</v>
      </c>
      <c r="M2451">
        <v>10500</v>
      </c>
      <c r="N2451" t="s">
        <v>19</v>
      </c>
    </row>
    <row r="2452" spans="1:14" hidden="1" x14ac:dyDescent="0.25">
      <c r="A2452" t="str">
        <f>Table3[[#This Row],[Company Name]] &amp; " - " &amp; Table3[[#This Row],[Store Name]] &amp; " - " &amp; Table3[[#This Row],[Store Branch / Address]]</f>
        <v>CHICKEN DELI - OJO EYEWEAR - GENERIC</v>
      </c>
      <c r="B2452" t="str">
        <f>Table3[[#This Row],[Client ID]] &amp; " - " &amp; Table3[[#This Row],[SO Number]]</f>
        <v>CHICKEN DELI - OJO EYEWEAR - GENERIC - SO-039</v>
      </c>
      <c r="C2452" t="s">
        <v>277</v>
      </c>
      <c r="D2452" t="s">
        <v>20</v>
      </c>
      <c r="E2452" t="s">
        <v>70</v>
      </c>
      <c r="F2452" t="s">
        <v>15</v>
      </c>
      <c r="G2452" t="s">
        <v>22</v>
      </c>
      <c r="H2452" t="s">
        <v>22</v>
      </c>
      <c r="I2452" t="s">
        <v>170</v>
      </c>
      <c r="J2452">
        <v>1</v>
      </c>
      <c r="K2452">
        <v>4000</v>
      </c>
      <c r="L2452">
        <v>4000</v>
      </c>
      <c r="M2452">
        <v>4000</v>
      </c>
      <c r="N2452" t="s">
        <v>19</v>
      </c>
    </row>
    <row r="2453" spans="1:14" hidden="1" x14ac:dyDescent="0.25">
      <c r="A2453" t="str">
        <f>Table3[[#This Row],[Company Name]] &amp; " - " &amp; Table3[[#This Row],[Store Name]] &amp; " - " &amp; Table3[[#This Row],[Store Branch / Address]]</f>
        <v>CHICKEN DELI - OJO EYEWEAR - GENERIC</v>
      </c>
      <c r="B2453" t="str">
        <f>Table3[[#This Row],[Client ID]] &amp; " - " &amp; Table3[[#This Row],[SO Number]]</f>
        <v>CHICKEN DELI - OJO EYEWEAR - GENERIC - SO-039</v>
      </c>
      <c r="C2453" t="s">
        <v>277</v>
      </c>
      <c r="D2453" t="s">
        <v>20</v>
      </c>
      <c r="E2453" t="s">
        <v>70</v>
      </c>
      <c r="F2453" t="s">
        <v>15</v>
      </c>
      <c r="G2453" t="s">
        <v>22</v>
      </c>
      <c r="H2453" t="s">
        <v>22</v>
      </c>
      <c r="I2453" t="s">
        <v>24</v>
      </c>
      <c r="J2453">
        <v>1</v>
      </c>
      <c r="K2453">
        <v>4000</v>
      </c>
      <c r="L2453">
        <v>4000</v>
      </c>
      <c r="M2453">
        <v>4000</v>
      </c>
      <c r="N2453" t="s">
        <v>19</v>
      </c>
    </row>
    <row r="2454" spans="1:14" hidden="1" x14ac:dyDescent="0.25">
      <c r="A2454" t="str">
        <f>Table3[[#This Row],[Company Name]] &amp; " - " &amp; Table3[[#This Row],[Store Name]] &amp; " - " &amp; Table3[[#This Row],[Store Branch / Address]]</f>
        <v>CHICKEN DELI - OJO EYEWEAR - GENERIC</v>
      </c>
      <c r="B2454" t="str">
        <f>Table3[[#This Row],[Client ID]] &amp; " - " &amp; Table3[[#This Row],[SO Number]]</f>
        <v>CHICKEN DELI - OJO EYEWEAR - GENERIC - SO-039</v>
      </c>
      <c r="C2454" t="s">
        <v>277</v>
      </c>
      <c r="D2454" t="s">
        <v>20</v>
      </c>
      <c r="E2454" t="s">
        <v>70</v>
      </c>
      <c r="F2454" t="s">
        <v>15</v>
      </c>
      <c r="G2454" t="s">
        <v>22</v>
      </c>
      <c r="H2454" t="s">
        <v>22</v>
      </c>
      <c r="I2454" t="s">
        <v>26</v>
      </c>
      <c r="J2454">
        <v>1</v>
      </c>
      <c r="K2454">
        <v>500</v>
      </c>
      <c r="L2454">
        <v>500</v>
      </c>
      <c r="M2454">
        <v>500</v>
      </c>
      <c r="N2454" t="s">
        <v>19</v>
      </c>
    </row>
    <row r="2455" spans="1:14" hidden="1" x14ac:dyDescent="0.25">
      <c r="A2455" t="str">
        <f>Table3[[#This Row],[Company Name]] &amp; " - " &amp; Table3[[#This Row],[Store Name]] &amp; " - " &amp; Table3[[#This Row],[Store Branch / Address]]</f>
        <v>CHICKEN DELI - OJO EYEWEAR - GENERIC</v>
      </c>
      <c r="B2455" t="str">
        <f>Table3[[#This Row],[Client ID]] &amp; " - " &amp; Table3[[#This Row],[SO Number]]</f>
        <v>CHICKEN DELI - OJO EYEWEAR - GENERIC - SO-039</v>
      </c>
      <c r="C2455" t="s">
        <v>277</v>
      </c>
      <c r="D2455" t="s">
        <v>20</v>
      </c>
      <c r="E2455" t="s">
        <v>70</v>
      </c>
      <c r="F2455" t="s">
        <v>15</v>
      </c>
      <c r="G2455" t="s">
        <v>22</v>
      </c>
      <c r="H2455" t="s">
        <v>22</v>
      </c>
      <c r="I2455" t="s">
        <v>281</v>
      </c>
      <c r="J2455">
        <v>1</v>
      </c>
      <c r="K2455">
        <v>1600</v>
      </c>
      <c r="L2455">
        <v>2000</v>
      </c>
      <c r="M2455">
        <v>2000</v>
      </c>
      <c r="N2455" t="s">
        <v>19</v>
      </c>
    </row>
    <row r="2456" spans="1:14" hidden="1" x14ac:dyDescent="0.25">
      <c r="A2456" t="str">
        <f>Table3[[#This Row],[Company Name]] &amp; " - " &amp; Table3[[#This Row],[Store Name]] &amp; " - " &amp; Table3[[#This Row],[Store Branch / Address]]</f>
        <v>CHICKEN DELI - OJO EYEWEAR - GENERIC</v>
      </c>
      <c r="B2456" t="str">
        <f>Table3[[#This Row],[Client ID]] &amp; " - " &amp; Table3[[#This Row],[SO Number]]</f>
        <v>CHICKEN DELI - OJO EYEWEAR - GENERIC - SO-039</v>
      </c>
      <c r="C2456" t="s">
        <v>277</v>
      </c>
      <c r="D2456" t="s">
        <v>20</v>
      </c>
      <c r="E2456" t="s">
        <v>70</v>
      </c>
      <c r="F2456" t="s">
        <v>15</v>
      </c>
      <c r="G2456" t="s">
        <v>22</v>
      </c>
      <c r="H2456" t="s">
        <v>22</v>
      </c>
      <c r="I2456" t="s">
        <v>275</v>
      </c>
      <c r="J2456">
        <v>1</v>
      </c>
      <c r="K2456">
        <v>2800</v>
      </c>
      <c r="L2456">
        <v>4000</v>
      </c>
      <c r="M2456">
        <v>4000</v>
      </c>
      <c r="N2456" t="s">
        <v>19</v>
      </c>
    </row>
    <row r="2457" spans="1:14" hidden="1" x14ac:dyDescent="0.25">
      <c r="A2457" t="str">
        <f>Table3[[#This Row],[Company Name]] &amp; " - " &amp; Table3[[#This Row],[Store Name]] &amp; " - " &amp; Table3[[#This Row],[Store Branch / Address]]</f>
        <v>CHICKEN DELI - OJO EYEWEAR - GENERIC</v>
      </c>
      <c r="B2457" t="str">
        <f>Table3[[#This Row],[Client ID]] &amp; " - " &amp; Table3[[#This Row],[SO Number]]</f>
        <v>CHICKEN DELI - OJO EYEWEAR - GENERIC - SO-040</v>
      </c>
      <c r="C2457" t="s">
        <v>282</v>
      </c>
      <c r="D2457" t="s">
        <v>20</v>
      </c>
      <c r="E2457" t="s">
        <v>70</v>
      </c>
      <c r="F2457" t="s">
        <v>15</v>
      </c>
      <c r="G2457" t="s">
        <v>22</v>
      </c>
      <c r="H2457" t="s">
        <v>22</v>
      </c>
      <c r="I2457" t="s">
        <v>169</v>
      </c>
      <c r="J2457">
        <v>1</v>
      </c>
      <c r="K2457">
        <v>3675</v>
      </c>
      <c r="L2457">
        <v>10500</v>
      </c>
      <c r="M2457">
        <v>10500</v>
      </c>
      <c r="N2457" t="s">
        <v>19</v>
      </c>
    </row>
    <row r="2458" spans="1:14" hidden="1" x14ac:dyDescent="0.25">
      <c r="A2458" t="str">
        <f>Table3[[#This Row],[Company Name]] &amp; " - " &amp; Table3[[#This Row],[Store Name]] &amp; " - " &amp; Table3[[#This Row],[Store Branch / Address]]</f>
        <v>CHICKEN DELI - OJO EYEWEAR - GENERIC</v>
      </c>
      <c r="B2458" t="str">
        <f>Table3[[#This Row],[Client ID]] &amp; " - " &amp; Table3[[#This Row],[SO Number]]</f>
        <v>CHICKEN DELI - OJO EYEWEAR - GENERIC - SO-040</v>
      </c>
      <c r="C2458" t="s">
        <v>282</v>
      </c>
      <c r="D2458" t="s">
        <v>20</v>
      </c>
      <c r="E2458" t="s">
        <v>70</v>
      </c>
      <c r="F2458" t="s">
        <v>15</v>
      </c>
      <c r="G2458" t="s">
        <v>22</v>
      </c>
      <c r="H2458" t="s">
        <v>22</v>
      </c>
      <c r="I2458" t="s">
        <v>170</v>
      </c>
      <c r="J2458">
        <v>1</v>
      </c>
      <c r="K2458">
        <v>4000</v>
      </c>
      <c r="L2458">
        <v>4000</v>
      </c>
      <c r="M2458">
        <v>4000</v>
      </c>
      <c r="N2458" t="s">
        <v>19</v>
      </c>
    </row>
    <row r="2459" spans="1:14" hidden="1" x14ac:dyDescent="0.25">
      <c r="A2459" t="str">
        <f>Table3[[#This Row],[Company Name]] &amp; " - " &amp; Table3[[#This Row],[Store Name]] &amp; " - " &amp; Table3[[#This Row],[Store Branch / Address]]</f>
        <v>CHICKEN DELI - OJO EYEWEAR - GENERIC</v>
      </c>
      <c r="B2459" t="str">
        <f>Table3[[#This Row],[Client ID]] &amp; " - " &amp; Table3[[#This Row],[SO Number]]</f>
        <v>CHICKEN DELI - OJO EYEWEAR - GENERIC - SO-040</v>
      </c>
      <c r="C2459" t="s">
        <v>282</v>
      </c>
      <c r="D2459" t="s">
        <v>20</v>
      </c>
      <c r="E2459" t="s">
        <v>70</v>
      </c>
      <c r="F2459" t="s">
        <v>15</v>
      </c>
      <c r="G2459" t="s">
        <v>22</v>
      </c>
      <c r="H2459" t="s">
        <v>22</v>
      </c>
      <c r="I2459" t="s">
        <v>24</v>
      </c>
      <c r="J2459">
        <v>1</v>
      </c>
      <c r="K2459">
        <v>4000</v>
      </c>
      <c r="L2459">
        <v>4000</v>
      </c>
      <c r="M2459">
        <v>4000</v>
      </c>
      <c r="N2459" t="s">
        <v>19</v>
      </c>
    </row>
    <row r="2460" spans="1:14" hidden="1" x14ac:dyDescent="0.25">
      <c r="A2460" t="str">
        <f>Table3[[#This Row],[Company Name]] &amp; " - " &amp; Table3[[#This Row],[Store Name]] &amp; " - " &amp; Table3[[#This Row],[Store Branch / Address]]</f>
        <v>CHICKEN DELI - OJO EYEWEAR - GENERIC</v>
      </c>
      <c r="B2460" t="str">
        <f>Table3[[#This Row],[Client ID]] &amp; " - " &amp; Table3[[#This Row],[SO Number]]</f>
        <v>CHICKEN DELI - OJO EYEWEAR - GENERIC - SO-040</v>
      </c>
      <c r="C2460" t="s">
        <v>282</v>
      </c>
      <c r="D2460" t="s">
        <v>20</v>
      </c>
      <c r="E2460" t="s">
        <v>70</v>
      </c>
      <c r="F2460" t="s">
        <v>15</v>
      </c>
      <c r="G2460" t="s">
        <v>22</v>
      </c>
      <c r="H2460" t="s">
        <v>22</v>
      </c>
      <c r="I2460" t="s">
        <v>26</v>
      </c>
      <c r="J2460">
        <v>1</v>
      </c>
      <c r="K2460">
        <v>500</v>
      </c>
      <c r="L2460">
        <v>500</v>
      </c>
      <c r="M2460">
        <v>500</v>
      </c>
      <c r="N2460" t="s">
        <v>19</v>
      </c>
    </row>
    <row r="2461" spans="1:14" hidden="1" x14ac:dyDescent="0.25">
      <c r="A2461" t="str">
        <f>Table3[[#This Row],[Company Name]] &amp; " - " &amp; Table3[[#This Row],[Store Name]] &amp; " - " &amp; Table3[[#This Row],[Store Branch / Address]]</f>
        <v>CHICKEN DELI - OJO EYEWEAR - GENERIC</v>
      </c>
      <c r="B2461" t="str">
        <f>Table3[[#This Row],[Client ID]] &amp; " - " &amp; Table3[[#This Row],[SO Number]]</f>
        <v>CHICKEN DELI - OJO EYEWEAR - GENERIC - SO-040</v>
      </c>
      <c r="C2461" t="s">
        <v>282</v>
      </c>
      <c r="D2461" t="s">
        <v>20</v>
      </c>
      <c r="E2461" t="s">
        <v>70</v>
      </c>
      <c r="F2461" t="s">
        <v>15</v>
      </c>
      <c r="G2461" t="s">
        <v>22</v>
      </c>
      <c r="H2461" t="s">
        <v>22</v>
      </c>
      <c r="I2461" t="s">
        <v>281</v>
      </c>
      <c r="J2461">
        <v>1</v>
      </c>
      <c r="K2461">
        <v>1600</v>
      </c>
      <c r="L2461">
        <v>2000</v>
      </c>
      <c r="M2461">
        <v>2000</v>
      </c>
      <c r="N2461" t="s">
        <v>19</v>
      </c>
    </row>
    <row r="2462" spans="1:14" hidden="1" x14ac:dyDescent="0.25">
      <c r="A2462" t="str">
        <f>Table3[[#This Row],[Company Name]] &amp; " - " &amp; Table3[[#This Row],[Store Name]] &amp; " - " &amp; Table3[[#This Row],[Store Branch / Address]]</f>
        <v>CHICKEN DELI - OJO EYEWEAR - GENERIC</v>
      </c>
      <c r="B2462" t="str">
        <f>Table3[[#This Row],[Client ID]] &amp; " - " &amp; Table3[[#This Row],[SO Number]]</f>
        <v>CHICKEN DELI - OJO EYEWEAR - GENERIC - SO-040</v>
      </c>
      <c r="C2462" t="s">
        <v>282</v>
      </c>
      <c r="D2462" t="s">
        <v>20</v>
      </c>
      <c r="E2462" t="s">
        <v>70</v>
      </c>
      <c r="F2462" t="s">
        <v>15</v>
      </c>
      <c r="G2462" t="s">
        <v>22</v>
      </c>
      <c r="H2462" t="s">
        <v>22</v>
      </c>
      <c r="I2462" t="s">
        <v>275</v>
      </c>
      <c r="J2462">
        <v>1</v>
      </c>
      <c r="K2462">
        <v>2800</v>
      </c>
      <c r="L2462">
        <v>4000</v>
      </c>
      <c r="M2462">
        <v>4000</v>
      </c>
      <c r="N2462" t="s">
        <v>19</v>
      </c>
    </row>
    <row r="2463" spans="1:14" hidden="1" x14ac:dyDescent="0.25">
      <c r="A2463" t="str">
        <f>Table3[[#This Row],[Company Name]] &amp; " - " &amp; Table3[[#This Row],[Store Name]] &amp; " - " &amp; Table3[[#This Row],[Store Branch / Address]]</f>
        <v>CHICKEN DELI - THE VIEW REST. - GENERIC</v>
      </c>
      <c r="B2463" t="str">
        <f>Table3[[#This Row],[Client ID]] &amp; " - " &amp; Table3[[#This Row],[SO Number]]</f>
        <v>CHICKEN DELI - THE VIEW REST. - GENERIC - SO-205</v>
      </c>
      <c r="C2463" t="s">
        <v>945</v>
      </c>
      <c r="D2463" t="s">
        <v>20</v>
      </c>
      <c r="E2463" t="s">
        <v>901</v>
      </c>
      <c r="F2463" t="s">
        <v>15</v>
      </c>
      <c r="G2463" t="s">
        <v>22</v>
      </c>
      <c r="H2463" t="s">
        <v>22</v>
      </c>
      <c r="I2463" t="s">
        <v>947</v>
      </c>
      <c r="J2463">
        <v>50</v>
      </c>
      <c r="K2463">
        <v>35</v>
      </c>
      <c r="L2463">
        <v>80</v>
      </c>
      <c r="M2463">
        <v>4000</v>
      </c>
      <c r="N2463" t="s">
        <v>19</v>
      </c>
    </row>
    <row r="2464" spans="1:14" hidden="1" x14ac:dyDescent="0.25">
      <c r="A2464" t="str">
        <f>Table3[[#This Row],[Company Name]] &amp; " - " &amp; Table3[[#This Row],[Store Name]] &amp; " - " &amp; Table3[[#This Row],[Store Branch / Address]]</f>
        <v>JUAMALU COUTURE - RHETT EALA - GENERIC</v>
      </c>
      <c r="B2464" t="str">
        <f>Table3[[#This Row],[Client ID]] &amp; " - " &amp; Table3[[#This Row],[SO Number]]</f>
        <v>JUAMALU COUTURE - RHETT EALA - GENERIC - SO-007</v>
      </c>
      <c r="C2464" t="s">
        <v>64</v>
      </c>
      <c r="D2464" t="s">
        <v>1025</v>
      </c>
      <c r="E2464" t="s">
        <v>1026</v>
      </c>
      <c r="F2464" t="s">
        <v>15</v>
      </c>
      <c r="G2464" t="s">
        <v>1027</v>
      </c>
      <c r="H2464" t="s">
        <v>22</v>
      </c>
      <c r="I2464" t="s">
        <v>33</v>
      </c>
      <c r="J2464">
        <v>1</v>
      </c>
      <c r="K2464">
        <v>18000</v>
      </c>
      <c r="L2464">
        <v>18000</v>
      </c>
      <c r="M2464">
        <v>18000</v>
      </c>
      <c r="N2464" t="s">
        <v>19</v>
      </c>
    </row>
    <row r="2465" spans="1:14" hidden="1" x14ac:dyDescent="0.25">
      <c r="A2465" t="str">
        <f>Table3[[#This Row],[Company Name]] &amp; " - " &amp; Table3[[#This Row],[Store Name]] &amp; " - " &amp; Table3[[#This Row],[Store Branch / Address]]</f>
        <v>RHETT EALA - RHETT EALA - ROCKWELL</v>
      </c>
      <c r="B2465" t="str">
        <f>Table3[[#This Row],[Client ID]] &amp; " - " &amp; Table3[[#This Row],[SO Number]]</f>
        <v>RHETT EALA - RHETT EALA - ROCKWELL - SO-013</v>
      </c>
      <c r="C2465" t="s">
        <v>104</v>
      </c>
      <c r="D2465" t="s">
        <v>1026</v>
      </c>
      <c r="E2465" t="s">
        <v>1026</v>
      </c>
      <c r="F2465" t="s">
        <v>36</v>
      </c>
      <c r="G2465" t="s">
        <v>37</v>
      </c>
      <c r="H2465" t="s">
        <v>22</v>
      </c>
      <c r="I2465" t="s">
        <v>97</v>
      </c>
      <c r="J2465">
        <v>1</v>
      </c>
      <c r="K2465">
        <v>2200</v>
      </c>
      <c r="L2465">
        <v>3500</v>
      </c>
      <c r="M2465">
        <v>3500</v>
      </c>
      <c r="N2465" t="s">
        <v>1010</v>
      </c>
    </row>
    <row r="2466" spans="1:14" hidden="1" x14ac:dyDescent="0.25">
      <c r="A2466" t="str">
        <f>Table3[[#This Row],[Company Name]] &amp; " - " &amp; Table3[[#This Row],[Store Name]] &amp; " - " &amp; Table3[[#This Row],[Store Branch / Address]]</f>
        <v>HOUSE OF OBAGI - HOUSE OF OBAGI - ROBINSONS PLACE MANILA</v>
      </c>
      <c r="B2466" t="str">
        <f>Table3[[#This Row],[Client ID]] &amp; " - " &amp; Table3[[#This Row],[SO Number]]</f>
        <v>HOUSE OF OBAGI - HOUSE OF OBAGI - ROBINSONS PLACE MANILA - SO-031</v>
      </c>
      <c r="C2466" t="s">
        <v>245</v>
      </c>
      <c r="D2466" t="s">
        <v>1081</v>
      </c>
      <c r="E2466" t="s">
        <v>1081</v>
      </c>
      <c r="F2466" t="s">
        <v>1082</v>
      </c>
      <c r="G2466" t="s">
        <v>1043</v>
      </c>
      <c r="H2466" t="s">
        <v>22</v>
      </c>
      <c r="I2466" t="s">
        <v>422</v>
      </c>
      <c r="J2466">
        <v>1</v>
      </c>
      <c r="K2466">
        <v>3675</v>
      </c>
      <c r="L2466">
        <v>10500</v>
      </c>
      <c r="M2466">
        <v>10500</v>
      </c>
      <c r="N2466" t="s">
        <v>1010</v>
      </c>
    </row>
    <row r="2467" spans="1:14" hidden="1" x14ac:dyDescent="0.25">
      <c r="A2467" t="str">
        <f>Table3[[#This Row],[Company Name]] &amp; " - " &amp; Table3[[#This Row],[Store Name]] &amp; " - " &amp; Table3[[#This Row],[Store Branch / Address]]</f>
        <v>HOUSE OF OBAGI - HOUSE OF OBAGI - ROBINSONS PLACE MANILA</v>
      </c>
      <c r="B2467" t="str">
        <f>Table3[[#This Row],[Client ID]] &amp; " - " &amp; Table3[[#This Row],[SO Number]]</f>
        <v>HOUSE OF OBAGI - HOUSE OF OBAGI - ROBINSONS PLACE MANILA - SO-031</v>
      </c>
      <c r="C2467" t="s">
        <v>245</v>
      </c>
      <c r="D2467" t="s">
        <v>1081</v>
      </c>
      <c r="E2467" t="s">
        <v>1081</v>
      </c>
      <c r="F2467" t="s">
        <v>1082</v>
      </c>
      <c r="G2467" t="s">
        <v>1043</v>
      </c>
      <c r="H2467" t="s">
        <v>22</v>
      </c>
      <c r="I2467" t="s">
        <v>26</v>
      </c>
      <c r="J2467">
        <v>1</v>
      </c>
      <c r="K2467">
        <v>500</v>
      </c>
      <c r="L2467">
        <v>500</v>
      </c>
      <c r="M2467">
        <v>500</v>
      </c>
      <c r="N2467" t="s">
        <v>1010</v>
      </c>
    </row>
    <row r="2468" spans="1:14" hidden="1" x14ac:dyDescent="0.25">
      <c r="A2468" t="str">
        <f>Table3[[#This Row],[Company Name]] &amp; " - " &amp; Table3[[#This Row],[Store Name]] &amp; " - " &amp; Table3[[#This Row],[Store Branch / Address]]</f>
        <v>HOUSE OF OBAGI - HOUSE OF OBAGI - ROBINSONS PLACE MANILA</v>
      </c>
      <c r="B2468" t="str">
        <f>Table3[[#This Row],[Client ID]] &amp; " - " &amp; Table3[[#This Row],[SO Number]]</f>
        <v>HOUSE OF OBAGI - HOUSE OF OBAGI - ROBINSONS PLACE MANILA - SO-031</v>
      </c>
      <c r="C2468" t="s">
        <v>245</v>
      </c>
      <c r="D2468" t="s">
        <v>1081</v>
      </c>
      <c r="E2468" t="s">
        <v>1081</v>
      </c>
      <c r="F2468" t="s">
        <v>1082</v>
      </c>
      <c r="G2468" t="s">
        <v>1043</v>
      </c>
      <c r="H2468" t="s">
        <v>22</v>
      </c>
      <c r="I2468" t="s">
        <v>537</v>
      </c>
      <c r="J2468">
        <v>1</v>
      </c>
      <c r="K2468">
        <v>4200</v>
      </c>
      <c r="L2468">
        <v>3587.5</v>
      </c>
      <c r="M2468">
        <v>3587.5</v>
      </c>
      <c r="N2468" t="s">
        <v>1010</v>
      </c>
    </row>
    <row r="2469" spans="1:14" hidden="1" x14ac:dyDescent="0.25">
      <c r="A2469" t="str">
        <f>Table3[[#This Row],[Company Name]] &amp; " - " &amp; Table3[[#This Row],[Store Name]] &amp; " - " &amp; Table3[[#This Row],[Store Branch / Address]]</f>
        <v>HOUSE OF OBAGI - HOUSE OF OBAGI - ROBINSONS PLACE MANILA</v>
      </c>
      <c r="B2469" t="str">
        <f>Table3[[#This Row],[Client ID]] &amp; " - " &amp; Table3[[#This Row],[SO Number]]</f>
        <v>HOUSE OF OBAGI - HOUSE OF OBAGI - ROBINSONS PLACE MANILA - SO-031</v>
      </c>
      <c r="C2469" t="s">
        <v>245</v>
      </c>
      <c r="D2469" t="s">
        <v>1081</v>
      </c>
      <c r="E2469" t="s">
        <v>1081</v>
      </c>
      <c r="F2469" t="s">
        <v>1082</v>
      </c>
      <c r="G2469" t="s">
        <v>1043</v>
      </c>
      <c r="H2469" t="s">
        <v>22</v>
      </c>
      <c r="I2469" t="s">
        <v>24</v>
      </c>
      <c r="J2469">
        <v>1</v>
      </c>
      <c r="K2469">
        <v>4200</v>
      </c>
      <c r="L2469">
        <v>3587.5</v>
      </c>
      <c r="M2469">
        <v>3587.5</v>
      </c>
      <c r="N2469" t="s">
        <v>1010</v>
      </c>
    </row>
    <row r="2470" spans="1:14" hidden="1" x14ac:dyDescent="0.25">
      <c r="A2470" t="str">
        <f>Table3[[#This Row],[Company Name]] &amp; " - " &amp; Table3[[#This Row],[Store Name]] &amp; " - " &amp; Table3[[#This Row],[Store Branch / Address]]</f>
        <v>ANONYMOUS - FUN CITY - CIRCUIT MAKATI</v>
      </c>
      <c r="B2470" t="str">
        <f>Table3[[#This Row],[Client ID]] &amp; " - " &amp; Table3[[#This Row],[SO Number]]</f>
        <v>ANONYMOUS - FUN CITY - CIRCUIT MAKATI - SO-034</v>
      </c>
      <c r="C2470" t="s">
        <v>262</v>
      </c>
      <c r="D2470" t="s">
        <v>1085</v>
      </c>
      <c r="E2470" t="s">
        <v>1086</v>
      </c>
      <c r="F2470" t="s">
        <v>1087</v>
      </c>
      <c r="G2470" t="s">
        <v>1088</v>
      </c>
      <c r="H2470" t="s">
        <v>22</v>
      </c>
      <c r="I2470" t="s">
        <v>422</v>
      </c>
      <c r="J2470">
        <v>1</v>
      </c>
      <c r="K2470">
        <v>3675</v>
      </c>
      <c r="L2470">
        <v>10500</v>
      </c>
      <c r="M2470">
        <v>10500</v>
      </c>
      <c r="N2470" t="s">
        <v>1010</v>
      </c>
    </row>
    <row r="2471" spans="1:14" hidden="1" x14ac:dyDescent="0.25">
      <c r="A2471" t="str">
        <f>Table3[[#This Row],[Company Name]] &amp; " - " &amp; Table3[[#This Row],[Store Name]] &amp; " - " &amp; Table3[[#This Row],[Store Branch / Address]]</f>
        <v>ANONYMOUS - FUN CITY - CIRCUIT MAKATI</v>
      </c>
      <c r="B2471" t="str">
        <f>Table3[[#This Row],[Client ID]] &amp; " - " &amp; Table3[[#This Row],[SO Number]]</f>
        <v>ANONYMOUS - FUN CITY - CIRCUIT MAKATI - SO-034</v>
      </c>
      <c r="C2471" t="s">
        <v>262</v>
      </c>
      <c r="D2471" t="s">
        <v>1085</v>
      </c>
      <c r="E2471" t="s">
        <v>1086</v>
      </c>
      <c r="F2471" t="s">
        <v>1087</v>
      </c>
      <c r="G2471" t="s">
        <v>1088</v>
      </c>
      <c r="H2471" t="s">
        <v>22</v>
      </c>
      <c r="I2471" t="s">
        <v>26</v>
      </c>
      <c r="J2471">
        <v>1</v>
      </c>
      <c r="K2471">
        <v>500</v>
      </c>
      <c r="L2471">
        <v>500</v>
      </c>
      <c r="M2471">
        <v>500</v>
      </c>
      <c r="N2471" t="s">
        <v>1010</v>
      </c>
    </row>
    <row r="2472" spans="1:14" hidden="1" x14ac:dyDescent="0.25">
      <c r="A2472" t="str">
        <f>Table3[[#This Row],[Company Name]] &amp; " - " &amp; Table3[[#This Row],[Store Name]] &amp; " - " &amp; Table3[[#This Row],[Store Branch / Address]]</f>
        <v>ANONYMOUS - FUN CITY - CIRCUIT MAKATI</v>
      </c>
      <c r="B2472" t="str">
        <f>Table3[[#This Row],[Client ID]] &amp; " - " &amp; Table3[[#This Row],[SO Number]]</f>
        <v>ANONYMOUS - FUN CITY - CIRCUIT MAKATI - SO-034</v>
      </c>
      <c r="C2472" t="s">
        <v>262</v>
      </c>
      <c r="D2472" t="s">
        <v>1085</v>
      </c>
      <c r="E2472" t="s">
        <v>1086</v>
      </c>
      <c r="F2472" t="s">
        <v>1087</v>
      </c>
      <c r="G2472" t="s">
        <v>1088</v>
      </c>
      <c r="H2472" t="s">
        <v>22</v>
      </c>
      <c r="I2472" t="s">
        <v>537</v>
      </c>
      <c r="J2472">
        <v>1</v>
      </c>
      <c r="K2472">
        <v>4200</v>
      </c>
      <c r="L2472">
        <v>3587.5</v>
      </c>
      <c r="M2472">
        <v>3587.5</v>
      </c>
      <c r="N2472" t="s">
        <v>1010</v>
      </c>
    </row>
    <row r="2473" spans="1:14" hidden="1" x14ac:dyDescent="0.25">
      <c r="A2473" t="str">
        <f>Table3[[#This Row],[Company Name]] &amp; " - " &amp; Table3[[#This Row],[Store Name]] &amp; " - " &amp; Table3[[#This Row],[Store Branch / Address]]</f>
        <v>ANONYMOUS - FUN CITY - CIRCUIT MAKATI</v>
      </c>
      <c r="B2473" t="str">
        <f>Table3[[#This Row],[Client ID]] &amp; " - " &amp; Table3[[#This Row],[SO Number]]</f>
        <v>ANONYMOUS - FUN CITY - CIRCUIT MAKATI - SO-034</v>
      </c>
      <c r="C2473" t="s">
        <v>262</v>
      </c>
      <c r="D2473" t="s">
        <v>1085</v>
      </c>
      <c r="E2473" t="s">
        <v>1086</v>
      </c>
      <c r="F2473" t="s">
        <v>1087</v>
      </c>
      <c r="G2473" t="s">
        <v>1088</v>
      </c>
      <c r="H2473" t="s">
        <v>22</v>
      </c>
      <c r="I2473" t="s">
        <v>24</v>
      </c>
      <c r="J2473">
        <v>1</v>
      </c>
      <c r="K2473">
        <v>4200</v>
      </c>
      <c r="L2473">
        <v>3587.5</v>
      </c>
      <c r="M2473">
        <v>3587.5</v>
      </c>
      <c r="N2473" t="s">
        <v>1010</v>
      </c>
    </row>
  </sheetData>
  <pageMargins left="0.7" right="0.7" top="0.75" bottom="0.75" header="0.3" footer="0.3"/>
  <pageSetup paperSize="9"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C4DB-FB02-4D03-AF3B-7FC10F12C40D}">
  <dimension ref="A3:C14"/>
  <sheetViews>
    <sheetView workbookViewId="0">
      <selection activeCell="C3" sqref="C3"/>
    </sheetView>
  </sheetViews>
  <sheetFormatPr defaultRowHeight="15.75" x14ac:dyDescent="0.25"/>
  <cols>
    <col min="1" max="1" width="49.625" bestFit="1" customWidth="1"/>
    <col min="2" max="2" width="18" bestFit="1" customWidth="1"/>
    <col min="3" max="3" width="15.25" bestFit="1" customWidth="1"/>
    <col min="4" max="4" width="15.375" bestFit="1" customWidth="1"/>
  </cols>
  <sheetData>
    <row r="3" spans="1:3" x14ac:dyDescent="0.25">
      <c r="A3" s="1" t="s">
        <v>1421</v>
      </c>
      <c r="B3" t="s">
        <v>1735</v>
      </c>
      <c r="C3" t="s">
        <v>1736</v>
      </c>
    </row>
    <row r="4" spans="1:3" x14ac:dyDescent="0.25">
      <c r="A4" s="2" t="s">
        <v>1480</v>
      </c>
      <c r="B4">
        <v>878500</v>
      </c>
      <c r="C4">
        <v>19</v>
      </c>
    </row>
    <row r="5" spans="1:3" x14ac:dyDescent="0.25">
      <c r="A5" s="2" t="s">
        <v>1486</v>
      </c>
      <c r="B5">
        <v>2291000</v>
      </c>
      <c r="C5">
        <v>196</v>
      </c>
    </row>
    <row r="6" spans="1:3" x14ac:dyDescent="0.25">
      <c r="A6" s="2" t="s">
        <v>1492</v>
      </c>
      <c r="B6">
        <v>515000</v>
      </c>
      <c r="C6">
        <v>17</v>
      </c>
    </row>
    <row r="7" spans="1:3" x14ac:dyDescent="0.25">
      <c r="A7" s="2" t="s">
        <v>1494</v>
      </c>
      <c r="B7">
        <v>522750</v>
      </c>
      <c r="C7">
        <v>21</v>
      </c>
    </row>
    <row r="8" spans="1:3" x14ac:dyDescent="0.25">
      <c r="A8" s="2" t="s">
        <v>1495</v>
      </c>
      <c r="B8">
        <v>568700</v>
      </c>
      <c r="C8">
        <v>71</v>
      </c>
    </row>
    <row r="9" spans="1:3" x14ac:dyDescent="0.25">
      <c r="A9" s="2" t="s">
        <v>1498</v>
      </c>
      <c r="B9">
        <v>4609400</v>
      </c>
      <c r="C9">
        <v>41</v>
      </c>
    </row>
    <row r="10" spans="1:3" x14ac:dyDescent="0.25">
      <c r="A10" s="2" t="s">
        <v>1505</v>
      </c>
      <c r="B10">
        <v>1239094</v>
      </c>
      <c r="C10">
        <v>24</v>
      </c>
    </row>
    <row r="11" spans="1:3" x14ac:dyDescent="0.25">
      <c r="A11" s="2" t="s">
        <v>1606</v>
      </c>
      <c r="B11">
        <v>983600</v>
      </c>
      <c r="C11">
        <v>32</v>
      </c>
    </row>
    <row r="12" spans="1:3" x14ac:dyDescent="0.25">
      <c r="A12" s="2" t="s">
        <v>1609</v>
      </c>
      <c r="B12">
        <v>949398</v>
      </c>
      <c r="C12">
        <v>36</v>
      </c>
    </row>
    <row r="13" spans="1:3" x14ac:dyDescent="0.25">
      <c r="A13" s="2" t="s">
        <v>1711</v>
      </c>
      <c r="B13">
        <v>698400</v>
      </c>
      <c r="C13">
        <v>95</v>
      </c>
    </row>
    <row r="14" spans="1:3" x14ac:dyDescent="0.25">
      <c r="A14" s="2" t="s">
        <v>1422</v>
      </c>
      <c r="B14">
        <v>13255842</v>
      </c>
      <c r="C14">
        <v>552</v>
      </c>
    </row>
  </sheetData>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Sheet3</vt:lpstr>
      <vt:lpstr>Compiled Registry</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ASHBY GWEN B. RUELO</cp:lastModifiedBy>
  <dcterms:modified xsi:type="dcterms:W3CDTF">2026-05-21T09:34:42Z</dcterms:modified>
</cp:coreProperties>
</file>