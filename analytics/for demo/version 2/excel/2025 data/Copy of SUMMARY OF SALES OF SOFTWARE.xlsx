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"/>
    </mc:Choice>
  </mc:AlternateContent>
  <xr:revisionPtr revIDLastSave="0" documentId="13_ncr:1_{C45E07C6-508D-47E1-96C3-634358127A5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ALES SOFTWARE - PAID" sheetId="1" r:id="rId1"/>
    <sheet name="2019 - PAID" sheetId="4" r:id="rId2"/>
    <sheet name="Sheet1" sheetId="5" r:id="rId3"/>
    <sheet name="ANDROID PO" sheetId="8" r:id="rId4"/>
    <sheet name="UNPAID" sheetId="3" r:id="rId5"/>
    <sheet name="NEW PO" sheetId="7" r:id="rId6"/>
    <sheet name="2024" sheetId="6" r:id="rId7"/>
  </sheets>
  <calcPr calcId="181029"/>
</workbook>
</file>

<file path=xl/calcChain.xml><?xml version="1.0" encoding="utf-8"?>
<calcChain xmlns="http://schemas.openxmlformats.org/spreadsheetml/2006/main">
  <c r="G874" i="5" l="1"/>
  <c r="G861" i="5" l="1"/>
  <c r="G851" i="5" l="1"/>
  <c r="G843" i="5" l="1"/>
  <c r="G825" i="5" l="1"/>
  <c r="G809" i="5"/>
  <c r="G18" i="8"/>
  <c r="G803" i="5" l="1"/>
  <c r="G778" i="5" l="1"/>
  <c r="G766" i="5" l="1"/>
  <c r="F766" i="5"/>
  <c r="F825" i="5" s="1"/>
  <c r="E766" i="5"/>
  <c r="E825" i="5" s="1"/>
  <c r="G754" i="5"/>
  <c r="G741" i="5" l="1"/>
  <c r="G732" i="5" l="1"/>
  <c r="G729" i="5" l="1"/>
  <c r="F716" i="5" l="1"/>
  <c r="F715" i="5"/>
  <c r="G724" i="5"/>
  <c r="E710" i="5" l="1"/>
  <c r="G710" i="5"/>
  <c r="F712" i="5"/>
  <c r="F711" i="5"/>
  <c r="F699" i="5"/>
  <c r="F697" i="5"/>
  <c r="F706" i="5" l="1"/>
  <c r="F707" i="5"/>
  <c r="F705" i="5"/>
  <c r="F704" i="5"/>
  <c r="F703" i="5"/>
  <c r="F714" i="5"/>
  <c r="F713" i="5"/>
  <c r="F709" i="5"/>
  <c r="F708" i="5"/>
  <c r="G685" i="5"/>
  <c r="F685" i="5"/>
  <c r="F683" i="5"/>
  <c r="F684" i="5"/>
  <c r="F686" i="5"/>
  <c r="F687" i="5"/>
  <c r="F688" i="5"/>
  <c r="F689" i="5"/>
  <c r="F690" i="5"/>
  <c r="F691" i="5"/>
  <c r="F692" i="5"/>
  <c r="F693" i="5"/>
  <c r="F682" i="5"/>
  <c r="F696" i="5"/>
  <c r="F698" i="5"/>
  <c r="F700" i="5"/>
  <c r="F701" i="5"/>
  <c r="F702" i="5"/>
  <c r="F695" i="5"/>
  <c r="F710" i="5" l="1"/>
  <c r="E694" i="5"/>
  <c r="E724" i="5" s="1"/>
  <c r="G684" i="5"/>
  <c r="E729" i="5" l="1"/>
  <c r="G682" i="5"/>
  <c r="E732" i="5" l="1"/>
  <c r="E754" i="5" s="1"/>
  <c r="G683" i="5"/>
  <c r="G694" i="5" s="1"/>
  <c r="F694" i="5"/>
  <c r="F724" i="5" s="1"/>
  <c r="F663" i="5"/>
  <c r="G663" i="5"/>
  <c r="F662" i="5"/>
  <c r="G662" i="5"/>
  <c r="E778" i="5" l="1"/>
  <c r="E843" i="5" s="1"/>
  <c r="E803" i="5"/>
  <c r="F729" i="5"/>
  <c r="E679" i="5"/>
  <c r="E851" i="5" l="1"/>
  <c r="E861" i="5"/>
  <c r="F732" i="5"/>
  <c r="F754" i="5" s="1"/>
  <c r="G660" i="5"/>
  <c r="F660" i="5"/>
  <c r="F661" i="5"/>
  <c r="G661" i="5"/>
  <c r="F778" i="5" l="1"/>
  <c r="F843" i="5" s="1"/>
  <c r="F803" i="5"/>
  <c r="G679" i="5"/>
  <c r="F679" i="5"/>
  <c r="F4" i="6"/>
  <c r="E4" i="6"/>
  <c r="E658" i="5"/>
  <c r="F851" i="5" l="1"/>
  <c r="F861" i="5"/>
  <c r="F648" i="5"/>
  <c r="G648" i="5"/>
  <c r="F644" i="5" l="1"/>
  <c r="G644" i="5"/>
  <c r="F646" i="5" l="1"/>
  <c r="G646" i="5"/>
  <c r="F647" i="5"/>
  <c r="G647" i="5"/>
  <c r="F645" i="5"/>
  <c r="G645" i="5"/>
  <c r="F649" i="5" l="1"/>
  <c r="F658" i="5" s="1"/>
  <c r="G649" i="5"/>
  <c r="G658" i="5" s="1"/>
  <c r="E642" i="5" l="1"/>
  <c r="F632" i="5"/>
  <c r="G632" i="5"/>
  <c r="F627" i="5"/>
  <c r="G627" i="5"/>
  <c r="F637" i="5" l="1"/>
  <c r="G637" i="5"/>
  <c r="F636" i="5"/>
  <c r="G636" i="5"/>
  <c r="F631" i="5"/>
  <c r="G631" i="5"/>
  <c r="F630" i="5"/>
  <c r="G630" i="5"/>
  <c r="F629" i="5"/>
  <c r="G629" i="5"/>
  <c r="F628" i="5"/>
  <c r="G628" i="5"/>
  <c r="E9" i="6"/>
  <c r="F9" i="6"/>
  <c r="F633" i="5"/>
  <c r="G633" i="5"/>
  <c r="F634" i="5"/>
  <c r="G634" i="5"/>
  <c r="F635" i="5"/>
  <c r="G635" i="5"/>
  <c r="E625" i="5"/>
  <c r="F624" i="5"/>
  <c r="G624" i="5"/>
  <c r="G642" i="5" l="1"/>
  <c r="F642" i="5"/>
  <c r="F619" i="5"/>
  <c r="G619" i="5"/>
  <c r="F618" i="5"/>
  <c r="G618" i="5"/>
  <c r="F620" i="5" l="1"/>
  <c r="G620" i="5"/>
  <c r="F621" i="5"/>
  <c r="G621" i="5"/>
  <c r="F623" i="5"/>
  <c r="G623" i="5"/>
  <c r="F622" i="5"/>
  <c r="G622" i="5"/>
  <c r="F617" i="5"/>
  <c r="G617" i="5"/>
  <c r="F616" i="5"/>
  <c r="G616" i="5"/>
  <c r="F615" i="5"/>
  <c r="G615" i="5"/>
  <c r="F611" i="5" l="1"/>
  <c r="G611" i="5"/>
  <c r="F610" i="5"/>
  <c r="G610" i="5"/>
  <c r="F608" i="5"/>
  <c r="G608" i="5"/>
  <c r="F606" i="5"/>
  <c r="G606" i="5"/>
  <c r="F609" i="5"/>
  <c r="G609" i="5"/>
  <c r="F612" i="5" l="1"/>
  <c r="G612" i="5"/>
  <c r="F614" i="5" l="1"/>
  <c r="G614" i="5"/>
  <c r="F613" i="5"/>
  <c r="G613" i="5"/>
  <c r="F607" i="5"/>
  <c r="G607" i="5"/>
  <c r="G625" i="5" l="1"/>
  <c r="F625" i="5"/>
  <c r="E604" i="5"/>
  <c r="F602" i="5"/>
  <c r="G602" i="5"/>
  <c r="F601" i="5"/>
  <c r="G601" i="5"/>
  <c r="E8" i="6"/>
  <c r="F8" i="6"/>
  <c r="F600" i="5" l="1"/>
  <c r="G600" i="5"/>
  <c r="F599" i="5"/>
  <c r="G599" i="5"/>
  <c r="F596" i="5"/>
  <c r="G596" i="5"/>
  <c r="F597" i="5"/>
  <c r="G597" i="5"/>
  <c r="F598" i="5"/>
  <c r="G598" i="5"/>
  <c r="F593" i="5"/>
  <c r="G593" i="5"/>
  <c r="F594" i="5"/>
  <c r="G594" i="5"/>
  <c r="F595" i="5"/>
  <c r="G595" i="5"/>
  <c r="F592" i="5"/>
  <c r="G592" i="5"/>
  <c r="F591" i="5"/>
  <c r="G591" i="5"/>
  <c r="F590" i="5"/>
  <c r="G590" i="5"/>
  <c r="F589" i="5"/>
  <c r="G589" i="5"/>
  <c r="F588" i="5"/>
  <c r="G588" i="5"/>
  <c r="E586" i="5"/>
  <c r="G604" i="5" l="1"/>
  <c r="F604" i="5"/>
  <c r="F585" i="5"/>
  <c r="G585" i="5"/>
  <c r="F584" i="5"/>
  <c r="G584" i="5"/>
  <c r="F583" i="5" l="1"/>
  <c r="G583" i="5"/>
  <c r="F582" i="5"/>
  <c r="G582" i="5"/>
  <c r="F581" i="5"/>
  <c r="G581" i="5"/>
  <c r="G576" i="5" l="1"/>
  <c r="F576" i="5"/>
  <c r="F577" i="5"/>
  <c r="G578" i="5"/>
  <c r="G579" i="5"/>
  <c r="G580" i="5"/>
  <c r="F578" i="5"/>
  <c r="F579" i="5"/>
  <c r="F580" i="5"/>
  <c r="F5" i="6"/>
  <c r="F6" i="6"/>
  <c r="F7" i="6"/>
  <c r="E5" i="6"/>
  <c r="E6" i="6"/>
  <c r="E7" i="6"/>
  <c r="G577" i="5"/>
  <c r="F575" i="5" l="1"/>
  <c r="F586" i="5" s="1"/>
  <c r="G575" i="5"/>
  <c r="G586" i="5" s="1"/>
  <c r="F570" i="5"/>
  <c r="G570" i="5"/>
  <c r="F569" i="5"/>
  <c r="G569" i="5"/>
  <c r="F568" i="5"/>
  <c r="G568" i="5"/>
  <c r="F567" i="5"/>
  <c r="G567" i="5"/>
  <c r="F566" i="5"/>
  <c r="G566" i="5"/>
  <c r="F565" i="5"/>
  <c r="G565" i="5"/>
  <c r="F564" i="5"/>
  <c r="G564" i="5"/>
  <c r="F563" i="5"/>
  <c r="G563" i="5"/>
  <c r="F557" i="5" l="1"/>
  <c r="G557" i="5"/>
  <c r="F559" i="5"/>
  <c r="G559" i="5"/>
  <c r="F547" i="5"/>
  <c r="G547" i="5"/>
  <c r="E572" i="5"/>
  <c r="F558" i="5"/>
  <c r="G558" i="5"/>
  <c r="F549" i="5"/>
  <c r="G549" i="5"/>
  <c r="F550" i="5"/>
  <c r="G550" i="5"/>
  <c r="F556" i="5"/>
  <c r="G556" i="5"/>
  <c r="F555" i="5"/>
  <c r="G555" i="5"/>
  <c r="F551" i="5"/>
  <c r="G551" i="5"/>
  <c r="F548" i="5"/>
  <c r="G548" i="5"/>
  <c r="F546" i="5"/>
  <c r="G546" i="5"/>
  <c r="F543" i="5"/>
  <c r="G543" i="5"/>
  <c r="F544" i="5"/>
  <c r="G544" i="5"/>
  <c r="F540" i="5"/>
  <c r="G540" i="5"/>
  <c r="F542" i="5"/>
  <c r="G542" i="5"/>
  <c r="F562" i="5"/>
  <c r="G562" i="5"/>
  <c r="F561" i="5"/>
  <c r="G561" i="5"/>
  <c r="F560" i="5"/>
  <c r="G560" i="5"/>
  <c r="F554" i="5"/>
  <c r="G554" i="5"/>
  <c r="G553" i="5"/>
  <c r="F553" i="5"/>
  <c r="G552" i="5" l="1"/>
  <c r="F552" i="5"/>
  <c r="F57" i="3"/>
  <c r="F58" i="3"/>
  <c r="F59" i="3"/>
  <c r="F60" i="3"/>
  <c r="E57" i="3"/>
  <c r="E58" i="3"/>
  <c r="G545" i="5" l="1"/>
  <c r="F545" i="5"/>
  <c r="F541" i="5"/>
  <c r="G541" i="5"/>
  <c r="E538" i="5"/>
  <c r="F537" i="5"/>
  <c r="G537" i="5"/>
  <c r="F536" i="5"/>
  <c r="G536" i="5"/>
  <c r="F535" i="5"/>
  <c r="G535" i="5"/>
  <c r="F534" i="5"/>
  <c r="G534" i="5"/>
  <c r="F533" i="5"/>
  <c r="G533" i="5"/>
  <c r="F532" i="5"/>
  <c r="G532" i="5"/>
  <c r="F531" i="5"/>
  <c r="G531" i="5"/>
  <c r="F530" i="5"/>
  <c r="G530" i="5"/>
  <c r="F529" i="5"/>
  <c r="G529" i="5"/>
  <c r="F528" i="5"/>
  <c r="G528" i="5"/>
  <c r="F527" i="5"/>
  <c r="G527" i="5"/>
  <c r="F526" i="5"/>
  <c r="G526" i="5"/>
  <c r="F525" i="5"/>
  <c r="G525" i="5"/>
  <c r="F524" i="5"/>
  <c r="G524" i="5"/>
  <c r="F523" i="5"/>
  <c r="G523" i="5"/>
  <c r="F522" i="5"/>
  <c r="G522" i="5"/>
  <c r="F521" i="5"/>
  <c r="G521" i="5"/>
  <c r="F520" i="5"/>
  <c r="G520" i="5"/>
  <c r="F518" i="5"/>
  <c r="G518" i="5"/>
  <c r="F519" i="5"/>
  <c r="G519" i="5"/>
  <c r="F517" i="5"/>
  <c r="G517" i="5"/>
  <c r="F516" i="5"/>
  <c r="G516" i="5"/>
  <c r="F514" i="5"/>
  <c r="G514" i="5"/>
  <c r="F515" i="5"/>
  <c r="G515" i="5"/>
  <c r="F513" i="5"/>
  <c r="G513" i="5"/>
  <c r="F572" i="5" l="1"/>
  <c r="G572" i="5"/>
  <c r="G538" i="5"/>
  <c r="F538" i="5"/>
  <c r="H38" i="7" l="1"/>
  <c r="G493" i="5"/>
  <c r="F493" i="5"/>
  <c r="E511" i="5" l="1"/>
  <c r="F504" i="5"/>
  <c r="G504" i="5"/>
  <c r="F56" i="3"/>
  <c r="E56" i="3"/>
  <c r="F502" i="5"/>
  <c r="G502" i="5"/>
  <c r="F498" i="5"/>
  <c r="G498" i="5"/>
  <c r="F495" i="5"/>
  <c r="G495" i="5"/>
  <c r="F508" i="5"/>
  <c r="G508" i="5"/>
  <c r="F507" i="5"/>
  <c r="G507" i="5"/>
  <c r="F510" i="5"/>
  <c r="G510" i="5"/>
  <c r="F509" i="5"/>
  <c r="G509" i="5"/>
  <c r="F506" i="5"/>
  <c r="G506" i="5"/>
  <c r="F505" i="5"/>
  <c r="G505" i="5"/>
  <c r="F499" i="5"/>
  <c r="G499" i="5"/>
  <c r="F503" i="5"/>
  <c r="G503" i="5"/>
  <c r="G500" i="5"/>
  <c r="F500" i="5"/>
  <c r="F501" i="5"/>
  <c r="G501" i="5"/>
  <c r="F497" i="5"/>
  <c r="G497" i="5"/>
  <c r="F494" i="5"/>
  <c r="G494" i="5"/>
  <c r="H37" i="7"/>
  <c r="F496" i="5"/>
  <c r="G496" i="5"/>
  <c r="E490" i="5"/>
  <c r="F489" i="5"/>
  <c r="G489" i="5"/>
  <c r="F511" i="5" l="1"/>
  <c r="G511" i="5"/>
  <c r="F478" i="5"/>
  <c r="G478" i="5"/>
  <c r="H35" i="7"/>
  <c r="H19" i="7"/>
  <c r="H20" i="7"/>
  <c r="H21" i="7"/>
  <c r="H22" i="7"/>
  <c r="H23" i="7"/>
  <c r="H24" i="7"/>
  <c r="H25" i="7"/>
  <c r="H26" i="7"/>
  <c r="H31" i="7"/>
  <c r="H32" i="7"/>
  <c r="H33" i="7"/>
  <c r="H34" i="7"/>
  <c r="H36" i="7"/>
  <c r="H10" i="7"/>
  <c r="H11" i="7"/>
  <c r="H12" i="7"/>
  <c r="H13" i="7"/>
  <c r="H14" i="7"/>
  <c r="H15" i="7"/>
  <c r="H16" i="7"/>
  <c r="H17" i="7"/>
  <c r="H18" i="7"/>
  <c r="H9" i="7"/>
  <c r="F488" i="5"/>
  <c r="G488" i="5"/>
  <c r="F487" i="5"/>
  <c r="G487" i="5"/>
  <c r="F486" i="5" l="1"/>
  <c r="G486" i="5"/>
  <c r="F485" i="5" l="1"/>
  <c r="G485" i="5"/>
  <c r="F484" i="5"/>
  <c r="G484" i="5"/>
  <c r="F482" i="5"/>
  <c r="G482" i="5"/>
  <c r="F483" i="5"/>
  <c r="G483" i="5"/>
  <c r="F481" i="5"/>
  <c r="G481" i="5"/>
  <c r="F479" i="5"/>
  <c r="G479" i="5"/>
  <c r="F480" i="5"/>
  <c r="G480" i="5"/>
  <c r="F477" i="5"/>
  <c r="G477" i="5"/>
  <c r="F472" i="5"/>
  <c r="G472" i="5"/>
  <c r="F473" i="5"/>
  <c r="G473" i="5"/>
  <c r="F474" i="5"/>
  <c r="G474" i="5"/>
  <c r="F475" i="5"/>
  <c r="G475" i="5"/>
  <c r="F476" i="5"/>
  <c r="G476" i="5"/>
  <c r="G490" i="5" l="1"/>
  <c r="F490" i="5"/>
  <c r="F55" i="3"/>
  <c r="E55" i="3"/>
  <c r="E470" i="5"/>
  <c r="F469" i="5"/>
  <c r="G469" i="5"/>
  <c r="F464" i="5"/>
  <c r="G464" i="5"/>
  <c r="F465" i="5"/>
  <c r="G465" i="5"/>
  <c r="F466" i="5"/>
  <c r="G466" i="5"/>
  <c r="F467" i="5"/>
  <c r="G467" i="5"/>
  <c r="F468" i="5"/>
  <c r="G468" i="5"/>
  <c r="F463" i="5"/>
  <c r="G463" i="5"/>
  <c r="F461" i="5"/>
  <c r="G461" i="5"/>
  <c r="F462" i="5"/>
  <c r="G462" i="5"/>
  <c r="F459" i="5"/>
  <c r="G459" i="5"/>
  <c r="F460" i="5"/>
  <c r="G460" i="5"/>
  <c r="F458" i="5"/>
  <c r="G458" i="5"/>
  <c r="F457" i="5"/>
  <c r="G457" i="5"/>
  <c r="F456" i="5"/>
  <c r="G456" i="5"/>
  <c r="F455" i="5"/>
  <c r="G455" i="5"/>
  <c r="F452" i="5"/>
  <c r="G452" i="5"/>
  <c r="F453" i="5"/>
  <c r="G453" i="5"/>
  <c r="F454" i="5"/>
  <c r="G454" i="5"/>
  <c r="F451" i="5"/>
  <c r="G451" i="5"/>
  <c r="F449" i="5"/>
  <c r="G449" i="5"/>
  <c r="F450" i="5"/>
  <c r="G450" i="5"/>
  <c r="F445" i="5"/>
  <c r="G445" i="5"/>
  <c r="F446" i="5"/>
  <c r="G446" i="5"/>
  <c r="F447" i="5"/>
  <c r="G447" i="5"/>
  <c r="F448" i="5"/>
  <c r="G448" i="5"/>
  <c r="F439" i="5" l="1"/>
  <c r="G439" i="5"/>
  <c r="F440" i="5"/>
  <c r="G440" i="5"/>
  <c r="F441" i="5"/>
  <c r="G441" i="5"/>
  <c r="F442" i="5"/>
  <c r="G442" i="5"/>
  <c r="F443" i="5"/>
  <c r="G443" i="5"/>
  <c r="F438" i="5"/>
  <c r="G438" i="5"/>
  <c r="F444" i="5"/>
  <c r="G444" i="5"/>
  <c r="F435" i="5"/>
  <c r="G435" i="5"/>
  <c r="F437" i="5"/>
  <c r="G437" i="5"/>
  <c r="E54" i="3"/>
  <c r="F54" i="3"/>
  <c r="F436" i="5" l="1"/>
  <c r="G436" i="5"/>
  <c r="F434" i="5"/>
  <c r="G434" i="5"/>
  <c r="E432" i="5"/>
  <c r="F429" i="5"/>
  <c r="G429" i="5"/>
  <c r="F430" i="5"/>
  <c r="G430" i="5"/>
  <c r="F431" i="5"/>
  <c r="G431" i="5"/>
  <c r="F427" i="5"/>
  <c r="G427" i="5"/>
  <c r="F428" i="5"/>
  <c r="G428" i="5"/>
  <c r="F426" i="5"/>
  <c r="G426" i="5"/>
  <c r="F425" i="5"/>
  <c r="G425" i="5"/>
  <c r="F423" i="5"/>
  <c r="G423" i="5"/>
  <c r="F424" i="5"/>
  <c r="G424" i="5"/>
  <c r="F418" i="5"/>
  <c r="G418" i="5"/>
  <c r="F419" i="5"/>
  <c r="G419" i="5"/>
  <c r="F420" i="5"/>
  <c r="G420" i="5"/>
  <c r="F421" i="5"/>
  <c r="G421" i="5"/>
  <c r="F422" i="5"/>
  <c r="G422" i="5"/>
  <c r="F417" i="5"/>
  <c r="G417" i="5"/>
  <c r="F408" i="5"/>
  <c r="G408" i="5"/>
  <c r="F409" i="5"/>
  <c r="G409" i="5"/>
  <c r="F410" i="5"/>
  <c r="G410" i="5"/>
  <c r="F411" i="5"/>
  <c r="G411" i="5"/>
  <c r="F412" i="5"/>
  <c r="G412" i="5"/>
  <c r="F413" i="5"/>
  <c r="G413" i="5"/>
  <c r="F414" i="5"/>
  <c r="G414" i="5"/>
  <c r="F415" i="5"/>
  <c r="G415" i="5"/>
  <c r="F416" i="5"/>
  <c r="G416" i="5"/>
  <c r="F399" i="5"/>
  <c r="G399" i="5"/>
  <c r="F396" i="5"/>
  <c r="G396" i="5"/>
  <c r="F397" i="5"/>
  <c r="G397" i="5"/>
  <c r="F398" i="5"/>
  <c r="G398" i="5"/>
  <c r="G470" i="5" l="1"/>
  <c r="F470" i="5"/>
  <c r="F400" i="5"/>
  <c r="G400" i="5"/>
  <c r="F401" i="5"/>
  <c r="G401" i="5"/>
  <c r="F402" i="5"/>
  <c r="G402" i="5"/>
  <c r="F403" i="5"/>
  <c r="G403" i="5"/>
  <c r="F404" i="5"/>
  <c r="G404" i="5"/>
  <c r="F405" i="5"/>
  <c r="G405" i="5"/>
  <c r="F406" i="5"/>
  <c r="G406" i="5"/>
  <c r="F407" i="5"/>
  <c r="G407" i="5"/>
  <c r="F394" i="5"/>
  <c r="G394" i="5"/>
  <c r="F395" i="5"/>
  <c r="G395" i="5"/>
  <c r="G432" i="5" l="1"/>
  <c r="F432" i="5"/>
  <c r="E392" i="5"/>
  <c r="F390" i="5"/>
  <c r="G390" i="5"/>
  <c r="F389" i="5"/>
  <c r="G389" i="5"/>
  <c r="F388" i="5"/>
  <c r="G388" i="5"/>
  <c r="F387" i="5"/>
  <c r="G387" i="5"/>
  <c r="F386" i="5"/>
  <c r="G386" i="5"/>
  <c r="F51" i="3"/>
  <c r="F52" i="3"/>
  <c r="F53" i="3"/>
  <c r="E51" i="3"/>
  <c r="E52" i="3"/>
  <c r="E53" i="3"/>
  <c r="F375" i="5" l="1"/>
  <c r="G375" i="5"/>
  <c r="F376" i="5"/>
  <c r="G376" i="5"/>
  <c r="F374" i="5"/>
  <c r="G374" i="5"/>
  <c r="F366" i="5"/>
  <c r="G366" i="5"/>
  <c r="F383" i="5"/>
  <c r="G383" i="5"/>
  <c r="F373" i="5" l="1"/>
  <c r="G373" i="5"/>
  <c r="F385" i="5"/>
  <c r="G385" i="5"/>
  <c r="F368" i="5"/>
  <c r="G368" i="5"/>
  <c r="F367" i="5"/>
  <c r="G367" i="5"/>
  <c r="E364" i="5"/>
  <c r="F377" i="5"/>
  <c r="G377" i="5"/>
  <c r="F350" i="5"/>
  <c r="G350" i="5"/>
  <c r="F343" i="5"/>
  <c r="G343" i="5"/>
  <c r="F337" i="5"/>
  <c r="G337" i="5"/>
  <c r="G384" i="5" l="1"/>
  <c r="F384" i="5"/>
  <c r="F382" i="5"/>
  <c r="G382" i="5"/>
  <c r="F381" i="5"/>
  <c r="G381" i="5"/>
  <c r="F380" i="5"/>
  <c r="G380" i="5"/>
  <c r="F379" i="5"/>
  <c r="G379" i="5"/>
  <c r="F378" i="5"/>
  <c r="G378" i="5"/>
  <c r="G344" i="5"/>
  <c r="G345" i="5"/>
  <c r="G346" i="5"/>
  <c r="G347" i="5"/>
  <c r="G348" i="5"/>
  <c r="G349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9" i="5"/>
  <c r="G370" i="5"/>
  <c r="G371" i="5"/>
  <c r="G372" i="5"/>
  <c r="F344" i="5"/>
  <c r="F345" i="5"/>
  <c r="F346" i="5"/>
  <c r="F347" i="5"/>
  <c r="F348" i="5"/>
  <c r="F349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9" i="5"/>
  <c r="F370" i="5"/>
  <c r="F371" i="5"/>
  <c r="F372" i="5"/>
  <c r="F48" i="3"/>
  <c r="E48" i="3"/>
  <c r="F342" i="5"/>
  <c r="G342" i="5"/>
  <c r="F341" i="5"/>
  <c r="G341" i="5"/>
  <c r="F340" i="5"/>
  <c r="G340" i="5"/>
  <c r="G392" i="5" l="1"/>
  <c r="F392" i="5"/>
  <c r="F339" i="5"/>
  <c r="G339" i="5"/>
  <c r="F338" i="5" l="1"/>
  <c r="G338" i="5"/>
  <c r="F336" i="5"/>
  <c r="G336" i="5"/>
  <c r="E332" i="5"/>
  <c r="F364" i="5" l="1"/>
  <c r="G364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4" i="5" s="1"/>
  <c r="F303" i="5" l="1"/>
  <c r="F318" i="5" l="1"/>
  <c r="F325" i="5" l="1"/>
  <c r="F324" i="5"/>
  <c r="F326" i="5"/>
  <c r="F327" i="5"/>
  <c r="F328" i="5"/>
  <c r="F329" i="5"/>
  <c r="F330" i="5"/>
  <c r="F331" i="5"/>
  <c r="F332" i="5"/>
  <c r="F317" i="5"/>
  <c r="F319" i="5"/>
  <c r="F320" i="5"/>
  <c r="F321" i="5"/>
  <c r="F322" i="5"/>
  <c r="F323" i="5"/>
  <c r="F312" i="5"/>
  <c r="F313" i="5"/>
  <c r="F314" i="5"/>
  <c r="F315" i="5"/>
  <c r="F316" i="5"/>
  <c r="F311" i="5"/>
  <c r="F310" i="5"/>
  <c r="F306" i="5"/>
  <c r="F307" i="5"/>
  <c r="F308" i="5"/>
  <c r="F309" i="5"/>
  <c r="F301" i="5"/>
  <c r="G301" i="5"/>
  <c r="F302" i="5"/>
  <c r="F304" i="5"/>
  <c r="F305" i="5"/>
  <c r="E299" i="5" l="1"/>
  <c r="G297" i="5" l="1"/>
  <c r="G298" i="5"/>
  <c r="G300" i="5"/>
  <c r="F297" i="5"/>
  <c r="F298" i="5"/>
  <c r="F300" i="5"/>
  <c r="F296" i="5"/>
  <c r="G296" i="5"/>
  <c r="F295" i="5"/>
  <c r="G295" i="5"/>
  <c r="F294" i="5"/>
  <c r="G294" i="5"/>
  <c r="F293" i="5"/>
  <c r="F292" i="5"/>
  <c r="F291" i="5"/>
  <c r="F47" i="3"/>
  <c r="E47" i="3"/>
  <c r="F278" i="5"/>
  <c r="G278" i="5"/>
  <c r="F279" i="5"/>
  <c r="G279" i="5"/>
  <c r="F280" i="5"/>
  <c r="G280" i="5"/>
  <c r="F281" i="5"/>
  <c r="G281" i="5"/>
  <c r="G283" i="5"/>
  <c r="G284" i="5"/>
  <c r="G285" i="5"/>
  <c r="G286" i="5"/>
  <c r="G287" i="5"/>
  <c r="G288" i="5"/>
  <c r="G289" i="5"/>
  <c r="G290" i="5"/>
  <c r="G291" i="5"/>
  <c r="G292" i="5"/>
  <c r="G293" i="5"/>
  <c r="F283" i="5"/>
  <c r="F284" i="5"/>
  <c r="F285" i="5"/>
  <c r="F286" i="5"/>
  <c r="F287" i="5"/>
  <c r="F288" i="5"/>
  <c r="F289" i="5"/>
  <c r="F290" i="5"/>
  <c r="G282" i="5"/>
  <c r="F282" i="5"/>
  <c r="F299" i="5" l="1"/>
  <c r="G299" i="5"/>
  <c r="F267" i="5"/>
  <c r="G267" i="5"/>
  <c r="F257" i="5"/>
  <c r="G257" i="5"/>
  <c r="E276" i="5" l="1"/>
  <c r="F275" i="5"/>
  <c r="G275" i="5"/>
  <c r="F273" i="5"/>
  <c r="G273" i="5"/>
  <c r="F274" i="5"/>
  <c r="G274" i="5"/>
  <c r="F271" i="5"/>
  <c r="G271" i="5"/>
  <c r="F272" i="5"/>
  <c r="G272" i="5"/>
  <c r="F270" i="5"/>
  <c r="G270" i="5"/>
  <c r="F269" i="5"/>
  <c r="G269" i="5"/>
  <c r="G254" i="5" l="1"/>
  <c r="F254" i="5"/>
  <c r="E228" i="5" l="1"/>
  <c r="F250" i="5" l="1"/>
  <c r="F251" i="5"/>
  <c r="F252" i="5"/>
  <c r="F253" i="5"/>
  <c r="F255" i="5"/>
  <c r="F256" i="5"/>
  <c r="G268" i="5"/>
  <c r="F268" i="5"/>
  <c r="G266" i="5"/>
  <c r="F266" i="5"/>
  <c r="G265" i="5"/>
  <c r="F265" i="5"/>
  <c r="G264" i="5"/>
  <c r="F264" i="5"/>
  <c r="G263" i="5"/>
  <c r="F263" i="5"/>
  <c r="G262" i="5"/>
  <c r="F262" i="5"/>
  <c r="G261" i="5"/>
  <c r="F261" i="5"/>
  <c r="G260" i="5"/>
  <c r="F260" i="5"/>
  <c r="G259" i="5"/>
  <c r="F259" i="5"/>
  <c r="G258" i="5"/>
  <c r="F258" i="5"/>
  <c r="G256" i="5"/>
  <c r="G255" i="5"/>
  <c r="G253" i="5"/>
  <c r="G252" i="5"/>
  <c r="G251" i="5"/>
  <c r="G250" i="5"/>
  <c r="G246" i="5"/>
  <c r="F246" i="5"/>
  <c r="G245" i="5"/>
  <c r="F245" i="5"/>
  <c r="G241" i="5"/>
  <c r="F241" i="5"/>
  <c r="G276" i="5" l="1"/>
  <c r="F276" i="5"/>
  <c r="F240" i="5"/>
  <c r="G240" i="5"/>
  <c r="F239" i="5"/>
  <c r="G239" i="5"/>
  <c r="G238" i="5" l="1"/>
  <c r="F238" i="5"/>
  <c r="F237" i="5"/>
  <c r="G237" i="5"/>
  <c r="F236" i="5" l="1"/>
  <c r="G236" i="5"/>
  <c r="F235" i="5" l="1"/>
  <c r="G235" i="5"/>
  <c r="E200" i="5" l="1"/>
  <c r="F203" i="5"/>
  <c r="G203" i="5"/>
  <c r="F199" i="5"/>
  <c r="G199" i="5"/>
  <c r="E216" i="5" l="1"/>
  <c r="F233" i="5"/>
  <c r="G233" i="5"/>
  <c r="F234" i="5"/>
  <c r="G234" i="5"/>
  <c r="F232" i="5"/>
  <c r="G232" i="5"/>
  <c r="F219" i="5"/>
  <c r="G219" i="5"/>
  <c r="F231" i="5" l="1"/>
  <c r="G231" i="5"/>
  <c r="F227" i="5"/>
  <c r="G227" i="5"/>
  <c r="F244" i="5"/>
  <c r="G244" i="5"/>
  <c r="F226" i="5"/>
  <c r="G226" i="5"/>
  <c r="F243" i="5"/>
  <c r="G243" i="5"/>
  <c r="F242" i="5"/>
  <c r="G242" i="5"/>
  <c r="F225" i="5"/>
  <c r="G225" i="5"/>
  <c r="F224" i="5"/>
  <c r="G224" i="5"/>
  <c r="F223" i="5"/>
  <c r="G223" i="5"/>
  <c r="F213" i="5"/>
  <c r="G213" i="5"/>
  <c r="F214" i="5"/>
  <c r="G214" i="5"/>
  <c r="F215" i="5"/>
  <c r="G215" i="5"/>
  <c r="F220" i="5"/>
  <c r="G220" i="5"/>
  <c r="F221" i="5"/>
  <c r="G221" i="5"/>
  <c r="F222" i="5"/>
  <c r="G222" i="5"/>
  <c r="F212" i="5"/>
  <c r="G212" i="5"/>
  <c r="F211" i="5"/>
  <c r="G211" i="5"/>
  <c r="F210" i="5"/>
  <c r="G210" i="5"/>
  <c r="F208" i="5"/>
  <c r="G208" i="5"/>
  <c r="F209" i="5"/>
  <c r="G209" i="5"/>
  <c r="F207" i="5"/>
  <c r="G207" i="5"/>
  <c r="F206" i="5"/>
  <c r="G206" i="5"/>
  <c r="F205" i="5"/>
  <c r="G205" i="5"/>
  <c r="G247" i="5" l="1"/>
  <c r="G228" i="5"/>
  <c r="F228" i="5"/>
  <c r="F204" i="5" l="1"/>
  <c r="G204" i="5"/>
  <c r="G216" i="5" s="1"/>
  <c r="F43" i="3"/>
  <c r="F44" i="3"/>
  <c r="E43" i="3"/>
  <c r="E44" i="3"/>
  <c r="F186" i="5" l="1"/>
  <c r="G186" i="5"/>
  <c r="E181" i="5" l="1"/>
  <c r="F185" i="5"/>
  <c r="G185" i="5"/>
  <c r="F194" i="5" l="1"/>
  <c r="G194" i="5"/>
  <c r="G173" i="5"/>
  <c r="G174" i="5"/>
  <c r="G175" i="5"/>
  <c r="G176" i="5"/>
  <c r="G177" i="5"/>
  <c r="F173" i="5"/>
  <c r="F174" i="5"/>
  <c r="F175" i="5"/>
  <c r="F176" i="5"/>
  <c r="F177" i="5"/>
  <c r="G166" i="5"/>
  <c r="G167" i="5"/>
  <c r="G168" i="5"/>
  <c r="G169" i="5"/>
  <c r="F166" i="5"/>
  <c r="F167" i="5"/>
  <c r="F168" i="5"/>
  <c r="F169" i="5"/>
  <c r="G165" i="5"/>
  <c r="F165" i="5"/>
  <c r="F164" i="5"/>
  <c r="G164" i="5"/>
  <c r="G178" i="5" l="1"/>
  <c r="F178" i="5"/>
  <c r="G172" i="5"/>
  <c r="F172" i="5"/>
  <c r="G171" i="5"/>
  <c r="F171" i="5"/>
  <c r="G170" i="5"/>
  <c r="F170" i="5"/>
  <c r="G191" i="5"/>
  <c r="F191" i="5"/>
  <c r="G190" i="5"/>
  <c r="F190" i="5"/>
  <c r="G189" i="5"/>
  <c r="F189" i="5"/>
  <c r="G188" i="5"/>
  <c r="F188" i="5"/>
  <c r="G187" i="5"/>
  <c r="F187" i="5"/>
  <c r="G180" i="5"/>
  <c r="F180" i="5"/>
  <c r="G179" i="5"/>
  <c r="F179" i="5"/>
  <c r="G195" i="5"/>
  <c r="G193" i="5"/>
  <c r="G196" i="5"/>
  <c r="G197" i="5"/>
  <c r="G198" i="5"/>
  <c r="F195" i="5"/>
  <c r="F193" i="5"/>
  <c r="F196" i="5"/>
  <c r="F197" i="5"/>
  <c r="F198" i="5"/>
  <c r="F216" i="5"/>
  <c r="G192" i="5"/>
  <c r="F192" i="5"/>
  <c r="E162" i="5"/>
  <c r="F161" i="5"/>
  <c r="G161" i="5"/>
  <c r="F160" i="5"/>
  <c r="G160" i="5"/>
  <c r="F156" i="5"/>
  <c r="G156" i="5"/>
  <c r="F157" i="5"/>
  <c r="G157" i="5"/>
  <c r="F155" i="5"/>
  <c r="G155" i="5"/>
  <c r="F200" i="5" l="1"/>
  <c r="G200" i="5"/>
  <c r="F181" i="5"/>
  <c r="G181" i="5"/>
  <c r="F147" i="5"/>
  <c r="G147" i="5"/>
  <c r="F158" i="5" l="1"/>
  <c r="G158" i="5"/>
  <c r="F159" i="5"/>
  <c r="G159" i="5"/>
  <c r="F154" i="5"/>
  <c r="G154" i="5"/>
  <c r="F146" i="5"/>
  <c r="G146" i="5"/>
  <c r="E142" i="5" l="1"/>
  <c r="G151" i="5"/>
  <c r="G152" i="5"/>
  <c r="F151" i="5"/>
  <c r="F152" i="5"/>
  <c r="G149" i="5"/>
  <c r="F149" i="5"/>
  <c r="G148" i="5"/>
  <c r="F148" i="5"/>
  <c r="G150" i="5"/>
  <c r="G153" i="5"/>
  <c r="F150" i="5"/>
  <c r="F153" i="5"/>
  <c r="G145" i="5"/>
  <c r="F145" i="5"/>
  <c r="F141" i="5"/>
  <c r="G141" i="5"/>
  <c r="F140" i="5"/>
  <c r="G140" i="5"/>
  <c r="E131" i="5"/>
  <c r="F139" i="5"/>
  <c r="G139" i="5"/>
  <c r="F138" i="5"/>
  <c r="G138" i="5"/>
  <c r="F135" i="5"/>
  <c r="G135" i="5"/>
  <c r="F134" i="5"/>
  <c r="G134" i="5"/>
  <c r="F133" i="5"/>
  <c r="G133" i="5"/>
  <c r="F130" i="5"/>
  <c r="G130" i="5"/>
  <c r="F124" i="5"/>
  <c r="G124" i="5"/>
  <c r="F123" i="5"/>
  <c r="G123" i="5"/>
  <c r="F162" i="5" l="1"/>
  <c r="G162" i="5"/>
  <c r="F122" i="5"/>
  <c r="G122" i="5"/>
  <c r="F136" i="5" l="1"/>
  <c r="G136" i="5"/>
  <c r="F137" i="5"/>
  <c r="G137" i="5"/>
  <c r="F129" i="5"/>
  <c r="G129" i="5"/>
  <c r="F127" i="5"/>
  <c r="G127" i="5"/>
  <c r="F128" i="5"/>
  <c r="G128" i="5"/>
  <c r="F126" i="5"/>
  <c r="G126" i="5"/>
  <c r="F125" i="5"/>
  <c r="G125" i="5"/>
  <c r="F142" i="5" l="1"/>
  <c r="G142" i="5"/>
  <c r="F121" i="5"/>
  <c r="F131" i="5" s="1"/>
  <c r="G121" i="5"/>
  <c r="G131" i="5" s="1"/>
  <c r="E119" i="5" l="1"/>
  <c r="G118" i="5"/>
  <c r="F118" i="5"/>
  <c r="F40" i="3"/>
  <c r="F42" i="3"/>
  <c r="E40" i="3"/>
  <c r="E42" i="3"/>
  <c r="F117" i="5"/>
  <c r="G117" i="5"/>
  <c r="F115" i="5"/>
  <c r="G115" i="5"/>
  <c r="F114" i="5"/>
  <c r="G114" i="5"/>
  <c r="F113" i="5"/>
  <c r="G113" i="5"/>
  <c r="F112" i="5" l="1"/>
  <c r="G112" i="5"/>
  <c r="E109" i="5" l="1"/>
  <c r="F94" i="5"/>
  <c r="G94" i="5"/>
  <c r="F116" i="5" l="1"/>
  <c r="F119" i="5" s="1"/>
  <c r="G116" i="5"/>
  <c r="G119" i="5" s="1"/>
  <c r="F106" i="5"/>
  <c r="G106" i="5"/>
  <c r="F95" i="5"/>
  <c r="G95" i="5"/>
  <c r="F96" i="5"/>
  <c r="G96" i="5"/>
  <c r="E92" i="5" l="1"/>
  <c r="E38" i="3"/>
  <c r="F38" i="3"/>
  <c r="F108" i="5"/>
  <c r="G108" i="5"/>
  <c r="E39" i="3"/>
  <c r="F39" i="3"/>
  <c r="F37" i="3"/>
  <c r="E37" i="3"/>
  <c r="F98" i="5"/>
  <c r="G98" i="5"/>
  <c r="F90" i="5"/>
  <c r="G90" i="5"/>
  <c r="F107" i="5" l="1"/>
  <c r="G107" i="5"/>
  <c r="F105" i="5"/>
  <c r="G105" i="5"/>
  <c r="F91" i="5"/>
  <c r="G91" i="5"/>
  <c r="F89" i="5"/>
  <c r="G89" i="5"/>
  <c r="F75" i="5"/>
  <c r="G75" i="5"/>
  <c r="F76" i="5"/>
  <c r="G76" i="5"/>
  <c r="F74" i="5"/>
  <c r="G74" i="5"/>
  <c r="F104" i="5" l="1"/>
  <c r="G104" i="5"/>
  <c r="F84" i="5"/>
  <c r="G84" i="5"/>
  <c r="F81" i="5" l="1"/>
  <c r="G81" i="5"/>
  <c r="F99" i="5" l="1"/>
  <c r="G99" i="5"/>
  <c r="F97" i="5"/>
  <c r="G97" i="5"/>
  <c r="F82" i="5"/>
  <c r="G82" i="5"/>
  <c r="F78" i="5"/>
  <c r="G78" i="5"/>
  <c r="F73" i="5"/>
  <c r="G73" i="5"/>
  <c r="F36" i="3"/>
  <c r="E36" i="3"/>
  <c r="E35" i="3" l="1"/>
  <c r="F35" i="3"/>
  <c r="G103" i="5" l="1"/>
  <c r="F103" i="5"/>
  <c r="G102" i="5"/>
  <c r="F102" i="5"/>
  <c r="G101" i="5"/>
  <c r="F101" i="5"/>
  <c r="F88" i="5"/>
  <c r="G88" i="5"/>
  <c r="F87" i="5"/>
  <c r="G87" i="5"/>
  <c r="F77" i="5"/>
  <c r="G77" i="5"/>
  <c r="F71" i="5"/>
  <c r="G71" i="5"/>
  <c r="E34" i="3" l="1"/>
  <c r="F34" i="3"/>
  <c r="F85" i="5" l="1"/>
  <c r="G85" i="5"/>
  <c r="F86" i="5"/>
  <c r="G86" i="5"/>
  <c r="F83" i="5"/>
  <c r="G83" i="5"/>
  <c r="F79" i="5"/>
  <c r="G79" i="5"/>
  <c r="F80" i="5"/>
  <c r="G80" i="5"/>
  <c r="G100" i="5" l="1"/>
  <c r="G109" i="5" s="1"/>
  <c r="F100" i="5"/>
  <c r="F109" i="5" s="1"/>
  <c r="F72" i="5"/>
  <c r="F92" i="5" s="1"/>
  <c r="G72" i="5"/>
  <c r="G92" i="5" l="1"/>
  <c r="E33" i="3"/>
  <c r="F33" i="3"/>
  <c r="E69" i="5" l="1"/>
  <c r="G68" i="5"/>
  <c r="F68" i="5"/>
  <c r="G67" i="5"/>
  <c r="F67" i="5"/>
  <c r="G66" i="5"/>
  <c r="F66" i="5"/>
  <c r="G52" i="5"/>
  <c r="F52" i="5"/>
  <c r="G65" i="5" l="1"/>
  <c r="F65" i="5"/>
  <c r="G64" i="5"/>
  <c r="F64" i="5"/>
  <c r="G48" i="5"/>
  <c r="F48" i="5"/>
  <c r="G46" i="5"/>
  <c r="F46" i="5"/>
  <c r="E32" i="3" l="1"/>
  <c r="F32" i="3"/>
  <c r="E31" i="3"/>
  <c r="F31" i="3"/>
  <c r="G55" i="5"/>
  <c r="F55" i="5"/>
  <c r="G50" i="5"/>
  <c r="F50" i="5"/>
  <c r="G47" i="5"/>
  <c r="F47" i="5"/>
  <c r="F44" i="5"/>
  <c r="G44" i="5"/>
  <c r="F43" i="5"/>
  <c r="G43" i="5"/>
  <c r="F63" i="5" l="1"/>
  <c r="G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4" i="5"/>
  <c r="F54" i="5"/>
  <c r="G53" i="5"/>
  <c r="F53" i="5"/>
  <c r="G51" i="5"/>
  <c r="F51" i="5"/>
  <c r="G49" i="5"/>
  <c r="F49" i="5"/>
  <c r="G45" i="5"/>
  <c r="F45" i="5"/>
  <c r="G69" i="5" l="1"/>
  <c r="F69" i="5"/>
  <c r="E41" i="5"/>
  <c r="F40" i="5"/>
  <c r="G40" i="5"/>
  <c r="F39" i="5"/>
  <c r="G39" i="5"/>
  <c r="F37" i="5"/>
  <c r="G37" i="5"/>
  <c r="F38" i="5"/>
  <c r="G38" i="5"/>
  <c r="G23" i="5"/>
  <c r="F23" i="5"/>
  <c r="G22" i="5"/>
  <c r="F22" i="5"/>
  <c r="F21" i="5"/>
  <c r="G21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 l="1"/>
  <c r="F7" i="5"/>
  <c r="G6" i="5"/>
  <c r="F6" i="5"/>
  <c r="F41" i="5" l="1"/>
  <c r="G41" i="5"/>
  <c r="D223" i="4"/>
  <c r="E222" i="4"/>
  <c r="F222" i="4"/>
  <c r="E220" i="4"/>
  <c r="F220" i="4"/>
  <c r="E221" i="4"/>
  <c r="F221" i="4"/>
  <c r="E219" i="4"/>
  <c r="F219" i="4"/>
  <c r="E218" i="4"/>
  <c r="F218" i="4"/>
  <c r="E217" i="4"/>
  <c r="F217" i="4"/>
  <c r="E216" i="4"/>
  <c r="F216" i="4"/>
  <c r="E215" i="4"/>
  <c r="F215" i="4"/>
  <c r="E214" i="4"/>
  <c r="F214" i="4"/>
  <c r="E209" i="4"/>
  <c r="F209" i="4"/>
  <c r="E207" i="4"/>
  <c r="F207" i="4"/>
  <c r="E208" i="4"/>
  <c r="F208" i="4"/>
  <c r="E205" i="4"/>
  <c r="F205" i="4"/>
  <c r="E206" i="4"/>
  <c r="F206" i="4"/>
  <c r="E204" i="4"/>
  <c r="F204" i="4"/>
  <c r="E202" i="4"/>
  <c r="F202" i="4"/>
  <c r="E201" i="4"/>
  <c r="F201" i="4"/>
  <c r="F26" i="3" l="1"/>
  <c r="E26" i="3"/>
  <c r="F25" i="3"/>
  <c r="E25" i="3"/>
  <c r="F27" i="3"/>
  <c r="F30" i="3"/>
  <c r="E27" i="3"/>
  <c r="E30" i="3"/>
  <c r="E24" i="3"/>
  <c r="F22" i="3"/>
  <c r="F23" i="3"/>
  <c r="F24" i="3"/>
  <c r="E22" i="3"/>
  <c r="E23" i="3"/>
  <c r="E211" i="4" l="1"/>
  <c r="F211" i="4"/>
  <c r="E212" i="4"/>
  <c r="F212" i="4"/>
  <c r="E213" i="4"/>
  <c r="F213" i="4"/>
  <c r="E210" i="4"/>
  <c r="F210" i="4"/>
  <c r="E203" i="4"/>
  <c r="F203" i="4"/>
  <c r="E199" i="4"/>
  <c r="F199" i="4"/>
  <c r="E200" i="4"/>
  <c r="F200" i="4"/>
  <c r="F223" i="4" l="1"/>
  <c r="E223" i="4"/>
  <c r="D197" i="4"/>
  <c r="E195" i="4"/>
  <c r="F195" i="4"/>
  <c r="E21" i="3" l="1"/>
  <c r="F21" i="3"/>
  <c r="E196" i="4"/>
  <c r="F196" i="4"/>
  <c r="E181" i="4" l="1"/>
  <c r="F181" i="4"/>
  <c r="E191" i="4"/>
  <c r="F191" i="4"/>
  <c r="E194" i="4" l="1"/>
  <c r="F194" i="4"/>
  <c r="E192" i="4"/>
  <c r="F192" i="4"/>
  <c r="E185" i="4" l="1"/>
  <c r="F185" i="4"/>
  <c r="E186" i="4"/>
  <c r="F186" i="4"/>
  <c r="E176" i="4"/>
  <c r="F176" i="4"/>
  <c r="E193" i="4"/>
  <c r="F193" i="4"/>
  <c r="E190" i="4"/>
  <c r="F190" i="4"/>
  <c r="E187" i="4"/>
  <c r="F187" i="4"/>
  <c r="E183" i="4"/>
  <c r="F183" i="4"/>
  <c r="E184" i="4"/>
  <c r="F184" i="4"/>
  <c r="E178" i="4"/>
  <c r="F178" i="4"/>
  <c r="E189" i="4" l="1"/>
  <c r="F189" i="4"/>
  <c r="E188" i="4"/>
  <c r="F188" i="4"/>
  <c r="E182" i="4"/>
  <c r="F182" i="4"/>
  <c r="E180" i="4"/>
  <c r="F180" i="4"/>
  <c r="E179" i="4"/>
  <c r="F179" i="4"/>
  <c r="E177" i="4"/>
  <c r="F177" i="4"/>
  <c r="E175" i="4"/>
  <c r="F175" i="4"/>
  <c r="E174" i="4"/>
  <c r="F174" i="4"/>
  <c r="E173" i="4"/>
  <c r="F173" i="4"/>
  <c r="F197" i="4" l="1"/>
  <c r="E197" i="4"/>
  <c r="D171" i="4"/>
  <c r="E170" i="4"/>
  <c r="F170" i="4"/>
  <c r="F20" i="3"/>
  <c r="E20" i="3"/>
  <c r="E19" i="3"/>
  <c r="F19" i="3"/>
  <c r="F169" i="4"/>
  <c r="E169" i="4"/>
  <c r="E168" i="4"/>
  <c r="F168" i="4"/>
  <c r="E167" i="4"/>
  <c r="F167" i="4"/>
  <c r="E166" i="4"/>
  <c r="F166" i="4"/>
  <c r="E165" i="4"/>
  <c r="F165" i="4"/>
  <c r="E164" i="4"/>
  <c r="F164" i="4"/>
  <c r="E162" i="4"/>
  <c r="F162" i="4"/>
  <c r="E163" i="4"/>
  <c r="F163" i="4"/>
  <c r="E160" i="4"/>
  <c r="F160" i="4"/>
  <c r="E161" i="4"/>
  <c r="F161" i="4"/>
  <c r="E158" i="4"/>
  <c r="F158" i="4"/>
  <c r="E159" i="4"/>
  <c r="F159" i="4"/>
  <c r="E157" i="4"/>
  <c r="F157" i="4"/>
  <c r="E156" i="4"/>
  <c r="F156" i="4"/>
  <c r="E155" i="4"/>
  <c r="F155" i="4"/>
  <c r="E154" i="4"/>
  <c r="F154" i="4"/>
  <c r="E153" i="4"/>
  <c r="F153" i="4"/>
  <c r="E152" i="4"/>
  <c r="F152" i="4"/>
  <c r="E151" i="4"/>
  <c r="F151" i="4"/>
  <c r="E150" i="4"/>
  <c r="F150" i="4"/>
  <c r="E149" i="4"/>
  <c r="F149" i="4"/>
  <c r="E148" i="4"/>
  <c r="F148" i="4"/>
  <c r="E147" i="4"/>
  <c r="F147" i="4"/>
  <c r="F171" i="4" l="1"/>
  <c r="E171" i="4"/>
  <c r="D145" i="4"/>
  <c r="E133" i="4" l="1"/>
  <c r="F133" i="4"/>
  <c r="E143" i="4"/>
  <c r="F143" i="4"/>
  <c r="E144" i="4"/>
  <c r="F144" i="4"/>
  <c r="E142" i="4" l="1"/>
  <c r="F142" i="4"/>
  <c r="E141" i="4"/>
  <c r="F141" i="4"/>
  <c r="E137" i="4"/>
  <c r="F137" i="4"/>
  <c r="E18" i="3" l="1"/>
  <c r="F18" i="3"/>
  <c r="E140" i="4"/>
  <c r="F140" i="4"/>
  <c r="E139" i="4"/>
  <c r="F139" i="4"/>
  <c r="E138" i="4"/>
  <c r="F138" i="4"/>
  <c r="E136" i="4"/>
  <c r="F136" i="4"/>
  <c r="E135" i="4"/>
  <c r="F135" i="4"/>
  <c r="E134" i="4"/>
  <c r="F134" i="4"/>
  <c r="E132" i="4"/>
  <c r="F132" i="4"/>
  <c r="F145" i="4" l="1"/>
  <c r="E145" i="4"/>
  <c r="D130" i="4"/>
  <c r="E129" i="4" l="1"/>
  <c r="F129" i="4"/>
  <c r="F125" i="4"/>
  <c r="F126" i="4"/>
  <c r="F127" i="4"/>
  <c r="F128" i="4"/>
  <c r="E125" i="4"/>
  <c r="E126" i="4"/>
  <c r="E127" i="4"/>
  <c r="E128" i="4"/>
  <c r="E124" i="4"/>
  <c r="F124" i="4"/>
  <c r="F17" i="3"/>
  <c r="E17" i="3"/>
  <c r="E119" i="4"/>
  <c r="F119" i="4"/>
  <c r="E123" i="4"/>
  <c r="F123" i="4"/>
  <c r="E121" i="4"/>
  <c r="F121" i="4"/>
  <c r="E122" i="4"/>
  <c r="F122" i="4"/>
  <c r="E120" i="4"/>
  <c r="F120" i="4"/>
  <c r="E118" i="4"/>
  <c r="F118" i="4"/>
  <c r="E117" i="4"/>
  <c r="F117" i="4"/>
  <c r="E116" i="4"/>
  <c r="F116" i="4"/>
  <c r="E115" i="4"/>
  <c r="F115" i="4"/>
  <c r="E113" i="4" l="1"/>
  <c r="F113" i="4"/>
  <c r="E114" i="4"/>
  <c r="F114" i="4"/>
  <c r="D111" i="4"/>
  <c r="E95" i="4"/>
  <c r="F95" i="4"/>
  <c r="E109" i="4"/>
  <c r="F109" i="4"/>
  <c r="E110" i="4"/>
  <c r="F110" i="4"/>
  <c r="E107" i="4"/>
  <c r="F107" i="4"/>
  <c r="E108" i="4"/>
  <c r="F108" i="4"/>
  <c r="E106" i="4"/>
  <c r="F106" i="4"/>
  <c r="E104" i="4"/>
  <c r="F104" i="4"/>
  <c r="E98" i="4"/>
  <c r="F98" i="4"/>
  <c r="E99" i="4"/>
  <c r="F99" i="4"/>
  <c r="E97" i="4"/>
  <c r="F97" i="4"/>
  <c r="E90" i="4"/>
  <c r="F90" i="4"/>
  <c r="E92" i="4"/>
  <c r="F92" i="4"/>
  <c r="E105" i="4"/>
  <c r="F105" i="4"/>
  <c r="E103" i="4"/>
  <c r="F103" i="4"/>
  <c r="E102" i="4"/>
  <c r="F102" i="4"/>
  <c r="E101" i="4"/>
  <c r="F101" i="4"/>
  <c r="E100" i="4"/>
  <c r="F100" i="4"/>
  <c r="E96" i="4"/>
  <c r="F96" i="4"/>
  <c r="E94" i="4"/>
  <c r="F94" i="4"/>
  <c r="E93" i="4"/>
  <c r="F93" i="4"/>
  <c r="E91" i="4"/>
  <c r="F91" i="4"/>
  <c r="E89" i="4"/>
  <c r="F89" i="4"/>
  <c r="E16" i="3"/>
  <c r="F16" i="3"/>
  <c r="E15" i="3"/>
  <c r="F15" i="3"/>
  <c r="D87" i="4"/>
  <c r="E86" i="4"/>
  <c r="F86" i="4"/>
  <c r="E83" i="4"/>
  <c r="F83" i="4"/>
  <c r="E84" i="4"/>
  <c r="F84" i="4"/>
  <c r="E85" i="4"/>
  <c r="F85" i="4"/>
  <c r="E80" i="4"/>
  <c r="F80" i="4"/>
  <c r="E81" i="4"/>
  <c r="F81" i="4"/>
  <c r="E82" i="4"/>
  <c r="F82" i="4"/>
  <c r="E77" i="4"/>
  <c r="F77" i="4"/>
  <c r="E78" i="4"/>
  <c r="F78" i="4"/>
  <c r="E79" i="4"/>
  <c r="F79" i="4"/>
  <c r="E76" i="4"/>
  <c r="F76" i="4"/>
  <c r="E75" i="4"/>
  <c r="F75" i="4"/>
  <c r="E74" i="4"/>
  <c r="F74" i="4"/>
  <c r="E72" i="4"/>
  <c r="F72" i="4"/>
  <c r="E71" i="4"/>
  <c r="F71" i="4"/>
  <c r="E70" i="4"/>
  <c r="F70" i="4"/>
  <c r="E73" i="4"/>
  <c r="F73" i="4"/>
  <c r="E66" i="4"/>
  <c r="F66" i="4"/>
  <c r="E67" i="4"/>
  <c r="F67" i="4"/>
  <c r="E68" i="4"/>
  <c r="F68" i="4"/>
  <c r="E69" i="4"/>
  <c r="F69" i="4"/>
  <c r="F130" i="4" l="1"/>
  <c r="E130" i="4"/>
  <c r="F111" i="4"/>
  <c r="E111" i="4"/>
  <c r="E87" i="4"/>
  <c r="F87" i="4"/>
  <c r="D64" i="4"/>
  <c r="F63" i="4"/>
  <c r="E63" i="4"/>
  <c r="E59" i="4"/>
  <c r="F59" i="4"/>
  <c r="E60" i="4"/>
  <c r="F60" i="4"/>
  <c r="F62" i="4"/>
  <c r="E62" i="4"/>
  <c r="E61" i="4"/>
  <c r="F61" i="4"/>
  <c r="E58" i="4"/>
  <c r="F58" i="4"/>
  <c r="E57" i="4" l="1"/>
  <c r="F57" i="4"/>
  <c r="E56" i="4"/>
  <c r="F56" i="4"/>
  <c r="E55" i="4"/>
  <c r="F55" i="4"/>
  <c r="E52" i="4"/>
  <c r="F52" i="4"/>
  <c r="E51" i="4"/>
  <c r="F51" i="4"/>
  <c r="E54" i="4"/>
  <c r="F54" i="4"/>
  <c r="E53" i="4"/>
  <c r="F53" i="4"/>
  <c r="D49" i="4"/>
  <c r="F48" i="4"/>
  <c r="E48" i="4"/>
  <c r="F47" i="4"/>
  <c r="E47" i="4"/>
  <c r="F46" i="4"/>
  <c r="E46" i="4"/>
  <c r="F45" i="4"/>
  <c r="E45" i="4"/>
  <c r="F44" i="4"/>
  <c r="E44" i="4"/>
  <c r="F42" i="4"/>
  <c r="E42" i="4"/>
  <c r="F41" i="4"/>
  <c r="E41" i="4"/>
  <c r="E40" i="4"/>
  <c r="F40" i="4"/>
  <c r="F14" i="3"/>
  <c r="E14" i="3"/>
  <c r="F64" i="4" l="1"/>
  <c r="E64" i="4"/>
  <c r="F43" i="4"/>
  <c r="F49" i="4" s="1"/>
  <c r="E43" i="4"/>
  <c r="E49" i="4" s="1"/>
  <c r="D38" i="4"/>
  <c r="F26" i="4" l="1"/>
  <c r="E26" i="4"/>
  <c r="F24" i="4"/>
  <c r="E24" i="4"/>
  <c r="E19" i="4"/>
  <c r="F19" i="4"/>
  <c r="F33" i="4"/>
  <c r="E33" i="4"/>
  <c r="F30" i="4"/>
  <c r="E30" i="4"/>
  <c r="F29" i="4"/>
  <c r="E29" i="4"/>
  <c r="F28" i="4"/>
  <c r="E28" i="4"/>
  <c r="F23" i="4" l="1"/>
  <c r="E23" i="4"/>
  <c r="F20" i="4"/>
  <c r="E20" i="4"/>
  <c r="F37" i="4"/>
  <c r="E37" i="4"/>
  <c r="F32" i="4"/>
  <c r="E32" i="4"/>
  <c r="F21" i="4"/>
  <c r="E21" i="4"/>
  <c r="F36" i="4"/>
  <c r="E36" i="4"/>
  <c r="F35" i="4"/>
  <c r="E35" i="4"/>
  <c r="F34" i="4"/>
  <c r="E34" i="4"/>
  <c r="F31" i="4"/>
  <c r="E31" i="4"/>
  <c r="F27" i="4"/>
  <c r="E27" i="4"/>
  <c r="F25" i="4"/>
  <c r="E25" i="4"/>
  <c r="F22" i="4"/>
  <c r="E22" i="4"/>
  <c r="E38" i="4" l="1"/>
  <c r="F38" i="4"/>
  <c r="D17" i="4"/>
  <c r="F14" i="4"/>
  <c r="E14" i="4"/>
  <c r="F10" i="4"/>
  <c r="E10" i="4"/>
  <c r="E16" i="4" l="1"/>
  <c r="F16" i="4"/>
  <c r="F15" i="4"/>
  <c r="E15" i="4"/>
  <c r="F13" i="4"/>
  <c r="E13" i="4"/>
  <c r="F8" i="4"/>
  <c r="E8" i="4"/>
  <c r="F7" i="4"/>
  <c r="E7" i="4"/>
  <c r="F12" i="4" l="1"/>
  <c r="E12" i="4"/>
  <c r="F11" i="4"/>
  <c r="E11" i="4"/>
  <c r="F9" i="4"/>
  <c r="E9" i="4"/>
  <c r="F6" i="4"/>
  <c r="F17" i="4" s="1"/>
  <c r="E6" i="4"/>
  <c r="D265" i="1"/>
  <c r="E264" i="1"/>
  <c r="F264" i="1"/>
  <c r="E263" i="1"/>
  <c r="F263" i="1"/>
  <c r="E262" i="1"/>
  <c r="F262" i="1"/>
  <c r="E260" i="1"/>
  <c r="F260" i="1"/>
  <c r="E261" i="1"/>
  <c r="F261" i="1"/>
  <c r="E257" i="1"/>
  <c r="F257" i="1"/>
  <c r="E258" i="1"/>
  <c r="F258" i="1"/>
  <c r="E259" i="1"/>
  <c r="F259" i="1"/>
  <c r="E256" i="1"/>
  <c r="F256" i="1"/>
  <c r="E254" i="1"/>
  <c r="F254" i="1"/>
  <c r="E255" i="1"/>
  <c r="F255" i="1"/>
  <c r="E252" i="1"/>
  <c r="F252" i="1"/>
  <c r="E253" i="1"/>
  <c r="F253" i="1"/>
  <c r="E251" i="1"/>
  <c r="F251" i="1"/>
  <c r="E247" i="1"/>
  <c r="F247" i="1"/>
  <c r="E248" i="1"/>
  <c r="F248" i="1"/>
  <c r="E249" i="1"/>
  <c r="F249" i="1"/>
  <c r="E250" i="1"/>
  <c r="F250" i="1"/>
  <c r="E246" i="1"/>
  <c r="F246" i="1"/>
  <c r="E245" i="1"/>
  <c r="F245" i="1"/>
  <c r="E244" i="1"/>
  <c r="F244" i="1"/>
  <c r="E243" i="1"/>
  <c r="F243" i="1"/>
  <c r="E240" i="1"/>
  <c r="F240" i="1"/>
  <c r="E241" i="1"/>
  <c r="F241" i="1"/>
  <c r="E242" i="1"/>
  <c r="F242" i="1"/>
  <c r="E238" i="1"/>
  <c r="F238" i="1"/>
  <c r="E239" i="1"/>
  <c r="F239" i="1"/>
  <c r="E237" i="1"/>
  <c r="F237" i="1"/>
  <c r="E236" i="1"/>
  <c r="F236" i="1"/>
  <c r="E235" i="1"/>
  <c r="F235" i="1"/>
  <c r="E234" i="1"/>
  <c r="F234" i="1"/>
  <c r="E233" i="1"/>
  <c r="F233" i="1"/>
  <c r="E17" i="4" l="1"/>
  <c r="F265" i="1"/>
  <c r="E265" i="1"/>
  <c r="D230" i="1"/>
  <c r="E227" i="1"/>
  <c r="F227" i="1"/>
  <c r="E224" i="1"/>
  <c r="F224" i="1"/>
  <c r="E223" i="1"/>
  <c r="F223" i="1"/>
  <c r="E222" i="1"/>
  <c r="F222" i="1"/>
  <c r="E220" i="1"/>
  <c r="F220" i="1"/>
  <c r="E221" i="1"/>
  <c r="F221" i="1"/>
  <c r="E216" i="1"/>
  <c r="F216" i="1"/>
  <c r="E217" i="1"/>
  <c r="F217" i="1"/>
  <c r="E213" i="1"/>
  <c r="F213" i="1"/>
  <c r="E211" i="1"/>
  <c r="F211" i="1"/>
  <c r="F229" i="1"/>
  <c r="E229" i="1"/>
  <c r="E228" i="1"/>
  <c r="F228" i="1"/>
  <c r="E226" i="1"/>
  <c r="F226" i="1"/>
  <c r="E225" i="1"/>
  <c r="F225" i="1"/>
  <c r="E11" i="3"/>
  <c r="F11" i="3"/>
  <c r="E10" i="3"/>
  <c r="F10" i="3"/>
  <c r="E218" i="1"/>
  <c r="F218" i="1"/>
  <c r="E219" i="1"/>
  <c r="F219" i="1"/>
  <c r="E214" i="1"/>
  <c r="F214" i="1"/>
  <c r="E215" i="1"/>
  <c r="F215" i="1"/>
  <c r="E212" i="1"/>
  <c r="F212" i="1"/>
  <c r="E210" i="1"/>
  <c r="F210" i="1"/>
  <c r="E209" i="1"/>
  <c r="F209" i="1"/>
  <c r="E208" i="1"/>
  <c r="F208" i="1"/>
  <c r="E230" i="1" l="1"/>
  <c r="F230" i="1"/>
  <c r="D205" i="1"/>
  <c r="E195" i="1"/>
  <c r="F195" i="1"/>
  <c r="E204" i="1"/>
  <c r="F204" i="1"/>
  <c r="E9" i="3"/>
  <c r="F9" i="3"/>
  <c r="E203" i="1"/>
  <c r="F203" i="1"/>
  <c r="E202" i="1" l="1"/>
  <c r="F202" i="1"/>
  <c r="E200" i="1"/>
  <c r="F200" i="1"/>
  <c r="E196" i="1"/>
  <c r="F196" i="1"/>
  <c r="E197" i="1"/>
  <c r="F197" i="1"/>
  <c r="E194" i="1"/>
  <c r="F194" i="1"/>
  <c r="E193" i="1"/>
  <c r="F193" i="1"/>
  <c r="E192" i="1"/>
  <c r="F192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D189" i="1"/>
  <c r="E201" i="1"/>
  <c r="F201" i="1"/>
  <c r="E199" i="1"/>
  <c r="F199" i="1"/>
  <c r="E198" i="1"/>
  <c r="F198" i="1"/>
  <c r="E171" i="1"/>
  <c r="F171" i="1"/>
  <c r="E205" i="1" l="1"/>
  <c r="F205" i="1"/>
  <c r="F189" i="1"/>
  <c r="E189" i="1"/>
  <c r="D168" i="1"/>
  <c r="E156" i="1"/>
  <c r="F156" i="1"/>
  <c r="E165" i="1"/>
  <c r="F165" i="1"/>
  <c r="E161" i="1"/>
  <c r="F161" i="1"/>
  <c r="E167" i="1"/>
  <c r="F167" i="1"/>
  <c r="E166" i="1"/>
  <c r="F166" i="1"/>
  <c r="F8" i="3" l="1"/>
  <c r="E8" i="3"/>
  <c r="E164" i="1"/>
  <c r="F164" i="1"/>
  <c r="E163" i="1"/>
  <c r="F163" i="1"/>
  <c r="E162" i="1"/>
  <c r="F162" i="1"/>
  <c r="E160" i="1"/>
  <c r="F160" i="1"/>
  <c r="E159" i="1"/>
  <c r="F159" i="1"/>
  <c r="E158" i="1"/>
  <c r="F158" i="1"/>
  <c r="E157" i="1" l="1"/>
  <c r="E168" i="1" s="1"/>
  <c r="F157" i="1"/>
  <c r="F168" i="1" s="1"/>
  <c r="D153" i="1" l="1"/>
  <c r="E145" i="1"/>
  <c r="F145" i="1"/>
  <c r="E152" i="1"/>
  <c r="F152" i="1"/>
  <c r="E151" i="1"/>
  <c r="F151" i="1"/>
  <c r="E149" i="1"/>
  <c r="F149" i="1"/>
  <c r="E148" i="1"/>
  <c r="F148" i="1"/>
  <c r="E7" i="3"/>
  <c r="F7" i="3"/>
  <c r="E150" i="1"/>
  <c r="F150" i="1"/>
  <c r="E147" i="1"/>
  <c r="F147" i="1"/>
  <c r="E146" i="1"/>
  <c r="F146" i="1"/>
  <c r="E143" i="1"/>
  <c r="F143" i="1"/>
  <c r="E144" i="1"/>
  <c r="F144" i="1"/>
  <c r="E142" i="1"/>
  <c r="F142" i="1"/>
  <c r="D139" i="1"/>
  <c r="E137" i="1"/>
  <c r="F137" i="1"/>
  <c r="E138" i="1"/>
  <c r="F138" i="1"/>
  <c r="E130" i="1"/>
  <c r="F130" i="1"/>
  <c r="E136" i="1"/>
  <c r="F136" i="1"/>
  <c r="E131" i="1"/>
  <c r="F131" i="1"/>
  <c r="E129" i="1"/>
  <c r="F129" i="1"/>
  <c r="E125" i="1"/>
  <c r="F125" i="1"/>
  <c r="E126" i="1"/>
  <c r="F126" i="1"/>
  <c r="E135" i="1"/>
  <c r="F135" i="1"/>
  <c r="E133" i="1"/>
  <c r="F133" i="1"/>
  <c r="E134" i="1"/>
  <c r="F134" i="1"/>
  <c r="E128" i="1"/>
  <c r="F128" i="1"/>
  <c r="F132" i="1"/>
  <c r="E132" i="1"/>
  <c r="E127" i="1"/>
  <c r="F127" i="1"/>
  <c r="D122" i="1"/>
  <c r="F153" i="1" l="1"/>
  <c r="E153" i="1"/>
  <c r="E139" i="1"/>
  <c r="F139" i="1"/>
  <c r="E120" i="1"/>
  <c r="F120" i="1"/>
  <c r="E115" i="1"/>
  <c r="F115" i="1"/>
  <c r="E107" i="1"/>
  <c r="F107" i="1"/>
  <c r="E108" i="1"/>
  <c r="F108" i="1"/>
  <c r="E109" i="1"/>
  <c r="F109" i="1"/>
  <c r="E110" i="1"/>
  <c r="F110" i="1"/>
  <c r="E111" i="1"/>
  <c r="F111" i="1"/>
  <c r="E121" i="1"/>
  <c r="F121" i="1"/>
  <c r="E112" i="1"/>
  <c r="F112" i="1"/>
  <c r="F119" i="1"/>
  <c r="E119" i="1"/>
  <c r="E113" i="1"/>
  <c r="F113" i="1"/>
  <c r="E105" i="1"/>
  <c r="F105" i="1"/>
  <c r="E104" i="1"/>
  <c r="F104" i="1"/>
  <c r="E118" i="1"/>
  <c r="F118" i="1"/>
  <c r="E117" i="1"/>
  <c r="F117" i="1"/>
  <c r="E116" i="1"/>
  <c r="F116" i="1"/>
  <c r="E114" i="1"/>
  <c r="F114" i="1"/>
  <c r="E106" i="1"/>
  <c r="F106" i="1"/>
  <c r="F103" i="1"/>
  <c r="E103" i="1"/>
  <c r="D100" i="1"/>
  <c r="E98" i="1"/>
  <c r="F98" i="1"/>
  <c r="E99" i="1"/>
  <c r="F99" i="1"/>
  <c r="E96" i="1"/>
  <c r="F96" i="1"/>
  <c r="E88" i="1"/>
  <c r="F88" i="1"/>
  <c r="E85" i="1"/>
  <c r="F85" i="1"/>
  <c r="E86" i="1"/>
  <c r="F86" i="1"/>
  <c r="E87" i="1"/>
  <c r="F87" i="1"/>
  <c r="E97" i="1"/>
  <c r="F97" i="1"/>
  <c r="E93" i="1"/>
  <c r="F93" i="1"/>
  <c r="E94" i="1"/>
  <c r="F94" i="1"/>
  <c r="E92" i="1"/>
  <c r="F92" i="1"/>
  <c r="E82" i="1"/>
  <c r="F82" i="1"/>
  <c r="F122" i="1" l="1"/>
  <c r="E122" i="1"/>
  <c r="E83" i="1"/>
  <c r="F83" i="1"/>
  <c r="E95" i="1"/>
  <c r="F95" i="1"/>
  <c r="E91" i="1"/>
  <c r="F91" i="1"/>
  <c r="E89" i="1"/>
  <c r="F89" i="1"/>
  <c r="E90" i="1"/>
  <c r="F90" i="1"/>
  <c r="E84" i="1"/>
  <c r="F84" i="1"/>
  <c r="D79" i="1"/>
  <c r="F74" i="1"/>
  <c r="E74" i="1"/>
  <c r="E6" i="3"/>
  <c r="F6" i="3"/>
  <c r="F100" i="1" l="1"/>
  <c r="E100" i="1"/>
  <c r="E76" i="1"/>
  <c r="F76" i="1"/>
  <c r="E77" i="1"/>
  <c r="F77" i="1"/>
  <c r="E67" i="1"/>
  <c r="F67" i="1"/>
  <c r="E68" i="1"/>
  <c r="F68" i="1"/>
  <c r="E69" i="1"/>
  <c r="F69" i="1"/>
  <c r="E70" i="1"/>
  <c r="F70" i="1"/>
  <c r="E71" i="1"/>
  <c r="F71" i="1"/>
  <c r="E72" i="1"/>
  <c r="F72" i="1"/>
  <c r="E64" i="1"/>
  <c r="F64" i="1"/>
  <c r="E62" i="1"/>
  <c r="F62" i="1"/>
  <c r="E63" i="1"/>
  <c r="F63" i="1"/>
  <c r="E78" i="1" l="1"/>
  <c r="F78" i="1"/>
  <c r="F75" i="1"/>
  <c r="E75" i="1"/>
  <c r="E73" i="1"/>
  <c r="F73" i="1"/>
  <c r="E61" i="1"/>
  <c r="F61" i="1"/>
  <c r="E60" i="1"/>
  <c r="F60" i="1"/>
  <c r="D55" i="1" l="1"/>
  <c r="E54" i="1"/>
  <c r="F54" i="1"/>
  <c r="E53" i="1"/>
  <c r="F53" i="1"/>
  <c r="E50" i="1"/>
  <c r="F50" i="1"/>
  <c r="E51" i="1"/>
  <c r="F51" i="1"/>
  <c r="E52" i="1"/>
  <c r="F52" i="1"/>
  <c r="E49" i="1"/>
  <c r="F49" i="1"/>
  <c r="E65" i="1"/>
  <c r="F65" i="1"/>
  <c r="E66" i="1"/>
  <c r="F66" i="1"/>
  <c r="E46" i="1"/>
  <c r="F46" i="1"/>
  <c r="E45" i="1"/>
  <c r="F45" i="1"/>
  <c r="E59" i="1"/>
  <c r="F59" i="1"/>
  <c r="E58" i="1"/>
  <c r="F58" i="1"/>
  <c r="E41" i="1"/>
  <c r="F41" i="1"/>
  <c r="F79" i="1" l="1"/>
  <c r="E79" i="1"/>
  <c r="E5" i="3"/>
  <c r="E48" i="1"/>
  <c r="F48" i="1"/>
  <c r="E47" i="1" l="1"/>
  <c r="F47" i="1"/>
  <c r="E44" i="1"/>
  <c r="F44" i="1"/>
  <c r="E43" i="1"/>
  <c r="F43" i="1"/>
  <c r="E42" i="1"/>
  <c r="E55" i="1" s="1"/>
  <c r="F42" i="1"/>
  <c r="D38" i="1"/>
  <c r="E32" i="1"/>
  <c r="F32" i="1"/>
  <c r="E31" i="1"/>
  <c r="F31" i="1"/>
  <c r="F55" i="1" l="1"/>
  <c r="E37" i="1"/>
  <c r="F37" i="1"/>
  <c r="F36" i="1" l="1"/>
  <c r="E36" i="1"/>
  <c r="F35" i="1"/>
  <c r="E35" i="1"/>
  <c r="E33" i="1"/>
  <c r="F33" i="1"/>
  <c r="E21" i="1"/>
  <c r="F21" i="1"/>
  <c r="E30" i="1"/>
  <c r="F30" i="1"/>
  <c r="E29" i="1"/>
  <c r="F29" i="1"/>
  <c r="E25" i="1"/>
  <c r="F25" i="1"/>
  <c r="E24" i="1"/>
  <c r="F24" i="1"/>
  <c r="E22" i="1"/>
  <c r="F22" i="1"/>
  <c r="E23" i="1"/>
  <c r="F23" i="1"/>
  <c r="E20" i="1"/>
  <c r="F20" i="1"/>
  <c r="F34" i="1"/>
  <c r="E34" i="1"/>
  <c r="F28" i="1"/>
  <c r="E28" i="1"/>
  <c r="F27" i="1"/>
  <c r="E27" i="1"/>
  <c r="F26" i="1"/>
  <c r="E26" i="1"/>
  <c r="F38" i="1" l="1"/>
  <c r="E38" i="1"/>
  <c r="F5" i="3"/>
  <c r="D16" i="1"/>
  <c r="E15" i="1"/>
  <c r="F15" i="1"/>
  <c r="E13" i="1"/>
  <c r="F13" i="1"/>
  <c r="E14" i="1"/>
  <c r="F14" i="1"/>
  <c r="E12" i="1"/>
  <c r="F12" i="1"/>
  <c r="E11" i="1"/>
  <c r="F11" i="1"/>
  <c r="E10" i="1"/>
  <c r="F10" i="1"/>
  <c r="E9" i="1"/>
  <c r="F9" i="1"/>
  <c r="E8" i="1" l="1"/>
  <c r="F8" i="1"/>
  <c r="E7" i="1"/>
  <c r="F7" i="1"/>
  <c r="F16" i="1" l="1"/>
  <c r="F18" i="1" s="1"/>
  <c r="E16" i="1"/>
  <c r="F2" i="3" l="1"/>
  <c r="E2" i="3" l="1"/>
  <c r="E247" i="5" l="1"/>
  <c r="F247" i="5"/>
</calcChain>
</file>

<file path=xl/sharedStrings.xml><?xml version="1.0" encoding="utf-8"?>
<sst xmlns="http://schemas.openxmlformats.org/spreadsheetml/2006/main" count="2920" uniqueCount="1545">
  <si>
    <t>RDMS SQL FULL VERSION</t>
  </si>
  <si>
    <t>JENLYN</t>
  </si>
  <si>
    <t>MARITESS</t>
  </si>
  <si>
    <t>CLIENT</t>
  </si>
  <si>
    <t>SOFTWARE</t>
  </si>
  <si>
    <t>SELLING PRICE</t>
  </si>
  <si>
    <t>35% - JIMAC</t>
  </si>
  <si>
    <t>TSCERES LITE VERSION</t>
  </si>
  <si>
    <t>RDMS LITE VERSION</t>
  </si>
  <si>
    <t>TOTAL</t>
  </si>
  <si>
    <t>BACCHUS SQL</t>
  </si>
  <si>
    <t>TSCERES SQL FULL VERSION</t>
  </si>
  <si>
    <t xml:space="preserve">BACCHUS SQL </t>
  </si>
  <si>
    <t>HEAD OFFICE SYSTEM</t>
  </si>
  <si>
    <t>BANILA CO (SO #59)</t>
  </si>
  <si>
    <t>MR FAST FOO (SO #84)</t>
  </si>
  <si>
    <t>GOKIZIP (SO #125)</t>
  </si>
  <si>
    <t>CHCKN BACOLOD BBQ HOUSE (SO #128)</t>
  </si>
  <si>
    <t>BACK OFFICE/ TSCERES SQL FULL VERSION</t>
  </si>
  <si>
    <t>CHICKEN DELI MARIKINA (SO #186)</t>
  </si>
  <si>
    <t>URESHI (SO #129)</t>
  </si>
  <si>
    <t>LUCKY CHICK (SO #135)</t>
  </si>
  <si>
    <t>CIUDAD ELMINA (SO #149)</t>
  </si>
  <si>
    <t>FILBAKE (SO #151)</t>
  </si>
  <si>
    <t>GR TUNING AUTOSHOP (SO #152)</t>
  </si>
  <si>
    <t>CINNAMON BAKESHOP (SO #153)</t>
  </si>
  <si>
    <t>NEW BOMBAY COLUMNS (SO #207)</t>
  </si>
  <si>
    <t>NEW BOMBAY THE FORT (SO #208)</t>
  </si>
  <si>
    <t>JO FRANGO PIRI-PIRI (SO #211)</t>
  </si>
  <si>
    <t>SUNSHINE BAGUIO (SO #156)</t>
  </si>
  <si>
    <t>ALEGRIA BGC (SO #232)</t>
  </si>
  <si>
    <t>COZY CAFÉ (SO #235)</t>
  </si>
  <si>
    <t>VICE COSMETICS MARKET (SO #242)</t>
  </si>
  <si>
    <t>VICE COSMETICS TUTUBAN(SO #243)</t>
  </si>
  <si>
    <t>VICE COSMETICS ERMITA(SO #244)</t>
  </si>
  <si>
    <t>VICE COSMETICS (SO #245)</t>
  </si>
  <si>
    <t>RED PLUM (SO #166)</t>
  </si>
  <si>
    <t>CHICKEN DELI TAGBAK (SO #255)</t>
  </si>
  <si>
    <t>CAFÉ RESTO (SO #167)</t>
  </si>
  <si>
    <t>CHICKEN DELI BALAMBAN (SO #254)</t>
  </si>
  <si>
    <t>LIPA GRILLE (SO #173)</t>
  </si>
  <si>
    <t>REYES BARBECUE (SO #175)</t>
  </si>
  <si>
    <t>STONE GRILL (SO #178)</t>
  </si>
  <si>
    <t>DOMESKY (SO #181)</t>
  </si>
  <si>
    <t>RDMS SQL FULL VERSION/ BACK OFFICE</t>
  </si>
  <si>
    <t>RDMS SQL FULL VERSION/ BACK OFFICE/ HO SYSTEM</t>
  </si>
  <si>
    <t>KALYE UNLIGRILL (SO #263)</t>
  </si>
  <si>
    <t>TAP STATION (SO #267)</t>
  </si>
  <si>
    <t>REEBOK VERTIS (SO #270)</t>
  </si>
  <si>
    <t>SHUTTLE HUB SM NORTH (SO #275)</t>
  </si>
  <si>
    <t>DOMESKY (SO #174)</t>
  </si>
  <si>
    <t>TIM TAM ONG (SO #182)</t>
  </si>
  <si>
    <t>JIG'S FAST FOOD (SO #183)</t>
  </si>
  <si>
    <t>OUTPOST STORE (SO #278)</t>
  </si>
  <si>
    <t>BIG BRANDS ROB GEN (SO #281)</t>
  </si>
  <si>
    <t>CURA V (SO #283)</t>
  </si>
  <si>
    <t>BACOLOD CHKN BBQ HOUSE (SO #189)</t>
  </si>
  <si>
    <t>BACCHUS SQL VERSION</t>
  </si>
  <si>
    <t>STEAK BREAK FESTIVAL (SO #191)</t>
  </si>
  <si>
    <t>STRAIGHTFORWARD SM MOA (SO #101)</t>
  </si>
  <si>
    <t>VICE COSMETICS SM SUCAT (SO #295)</t>
  </si>
  <si>
    <t>STEAK BREAK (SO #01)</t>
  </si>
  <si>
    <t>REYES BARBECUE MALOLOS (SO #02)</t>
  </si>
  <si>
    <t>THE LECHON SHOP (SO #04)</t>
  </si>
  <si>
    <t>DOMESKY BATAAN (SO #05)</t>
  </si>
  <si>
    <t>ATHENA (SO #01)</t>
  </si>
  <si>
    <t>GONGCHA SM BACOOR (SO #02)</t>
  </si>
  <si>
    <t>VICE COSMETICS SM BICUTAN (SO #04)</t>
  </si>
  <si>
    <t>PORKY PIT (SO #08)</t>
  </si>
  <si>
    <t>LESS: Excess CD SM Cebu</t>
  </si>
  <si>
    <t>65% - SYLUXENT</t>
  </si>
  <si>
    <t>MASTER SIOMAI TRINOMA (SO #19)</t>
  </si>
  <si>
    <t>CLEANING CREW (SO #21)</t>
  </si>
  <si>
    <t>KO BOB SERIN (SO #16)</t>
  </si>
  <si>
    <t>APARTMENT 8 KATIPUNAN (SO #18)</t>
  </si>
  <si>
    <t>FAMOUS BELGIAN WAFFLE (SO #21)</t>
  </si>
  <si>
    <t>REYES BARBECUE CLOVER LEAF (SO #22)</t>
  </si>
  <si>
    <t>VICE COSMETICS AYALA FT (SO #27)</t>
  </si>
  <si>
    <t>REYES BARBECUE AYALA FT (SO #23)</t>
  </si>
  <si>
    <t>VICE COSMETICS SM CLARK(SO #28)</t>
  </si>
  <si>
    <t>VICE COSMETICS SM DASMA (SO #29)</t>
  </si>
  <si>
    <t>VICE COSMETICS SM MARIKINA (SO #30)</t>
  </si>
  <si>
    <t>VICE COSMETICS STA. ROSA(SO #31)</t>
  </si>
  <si>
    <t>VICE COSMETICS STARMALL ALABANG (SO #32)</t>
  </si>
  <si>
    <t>COLDSTONE AYALA CEBU (SO #26)</t>
  </si>
  <si>
    <t>ICE CULINARY (SO #35)</t>
  </si>
  <si>
    <t>REYES BARBECUE TUTUBAN (SO #29)</t>
  </si>
  <si>
    <t>GOLD TOE (SO #32)</t>
  </si>
  <si>
    <t>DONATELA HOTEL (SO #38)</t>
  </si>
  <si>
    <t>GONGCHA SM MARILAO (SO #40)</t>
  </si>
  <si>
    <t>GONGCHA AYALA FELIZ (SO #41)</t>
  </si>
  <si>
    <t>GONGCHA TECHNOPOINT (SO #42)</t>
  </si>
  <si>
    <t>VICE COSMETICS MARQUEE (SO #48)</t>
  </si>
  <si>
    <t>VICE COSMETICS SM FAIRVIEW (SO #49)</t>
  </si>
  <si>
    <t>VICE COSMETICS FESTIVAL (SO #50)</t>
  </si>
  <si>
    <t>EDWARD IHAW-IHAW (SO #39)</t>
  </si>
  <si>
    <t>LUTONG ILOCANO ROB. SANTIAGO (SO #41)</t>
  </si>
  <si>
    <t>DR. KONG PODIUM (SO #53)</t>
  </si>
  <si>
    <t>PORKY PIT SM NOVA (SO #54)</t>
  </si>
  <si>
    <t>BANILA CO (SO #55)</t>
  </si>
  <si>
    <t>CINNABON SM CAGAYAN (SO #134)</t>
  </si>
  <si>
    <t>LUTONG ILOCANO ROB SANTIAGO (SO #41)</t>
  </si>
  <si>
    <t>SERENITEA EXCHANGE REGENCY (SO #42)</t>
  </si>
  <si>
    <t>SERENITEA ILOILO (SO #43)</t>
  </si>
  <si>
    <t>KIM N CHI (SO #44)</t>
  </si>
  <si>
    <t>RTU COOP PASIG (SO #59)</t>
  </si>
  <si>
    <t>RTU CANTEEN BONI (SO #60)</t>
  </si>
  <si>
    <t>APARTMENT 8 MARQUEE (SO #61)</t>
  </si>
  <si>
    <t>RUFOS SM FAIRVIEW (SO #63)</t>
  </si>
  <si>
    <t>GONGCHA SM BATANGAS (SO #66)</t>
  </si>
  <si>
    <t>VICE COSMETICS HARBOR POINT (SO #68)</t>
  </si>
  <si>
    <t>VICE COSMETICS SM LIPA (SO #69)</t>
  </si>
  <si>
    <t>VICE COSMETICS STARMALL SHAW (SO #70)</t>
  </si>
  <si>
    <t>VICE COSMETICS EVER COMM (SO #71)</t>
  </si>
  <si>
    <t>CASA REYES PROMENADE (SO #74)</t>
  </si>
  <si>
    <t>VICE COSMETICS SM STA MESA (SO #05)</t>
  </si>
  <si>
    <t>VICE COSMETICS SM BAGUIO (SO #75)</t>
  </si>
  <si>
    <t>SAMGYUPSALAMAT (SO #76)</t>
  </si>
  <si>
    <t>TERESITA'S (SO #82)</t>
  </si>
  <si>
    <t>RAZON (SO #83)</t>
  </si>
  <si>
    <t>BEAUTY CONCEPT SAN JUAN (SO #55)</t>
  </si>
  <si>
    <t>LOTUS NAIL (SO #56)</t>
  </si>
  <si>
    <t>PAOTSIN CHERRY SHAW (SO #88)</t>
  </si>
  <si>
    <t>GONGCHA SANTOLAN (SO #90)</t>
  </si>
  <si>
    <t>CAFÉ TRIBU (SO #62)</t>
  </si>
  <si>
    <t>BIG CHILL (SO #63)</t>
  </si>
  <si>
    <t>STRAIGHTFORWARD TRINOMA (SO #92)</t>
  </si>
  <si>
    <t>SANGKAP FILIPINO RESTAURANT (SO #94)</t>
  </si>
  <si>
    <t>BAWAIS KITCHEN (SO #95)</t>
  </si>
  <si>
    <t>BENEFIT NORTH EDSA (SO #97)</t>
  </si>
  <si>
    <t>AVEDA NORTH EDSA (SO #98)</t>
  </si>
  <si>
    <t>GONGCHA FISHERMALL (SO #101)</t>
  </si>
  <si>
    <t>GONGCHA FESTIVE WALK (SO #102)</t>
  </si>
  <si>
    <t>ICE CULINARY PASIG (SO #104)</t>
  </si>
  <si>
    <t>BACK OFFICE</t>
  </si>
  <si>
    <t>ICE CULINARY PASIG (SO #105)</t>
  </si>
  <si>
    <t>GRUPPO KUSINERO (SO #67)</t>
  </si>
  <si>
    <t>HO CHAI LAI (SO #70)</t>
  </si>
  <si>
    <t>GO MEALS TOPPING (SO #72)</t>
  </si>
  <si>
    <t>BUN APPETIT (SO #76)</t>
  </si>
  <si>
    <t>LA CHINESCA (SO #79)</t>
  </si>
  <si>
    <t>MUFE NORTH EDSA (SO #111)</t>
  </si>
  <si>
    <t>CAFÉ TRIBU (SO #82)</t>
  </si>
  <si>
    <t>HAPPY CONCEPT (SO #84)</t>
  </si>
  <si>
    <t>8 ROCKWELL CAFÉ (SO #86)</t>
  </si>
  <si>
    <t>STRAIGHTFORWARD VERTIS (SO #124)</t>
  </si>
  <si>
    <t>GONGCHA ABREEZA (SO #125)</t>
  </si>
  <si>
    <t>DR KONG FESTIVAL (SO #131)</t>
  </si>
  <si>
    <t>M&amp;W TOWNSTORE (SO #133)</t>
  </si>
  <si>
    <t>VICE COSMETICS VICTORY (SO #136)</t>
  </si>
  <si>
    <t>BREWS COFFEE (SO #137)</t>
  </si>
  <si>
    <t>STEAK BREAK VENICE (SO #88)</t>
  </si>
  <si>
    <t>ASIAN SPICE TUGUEGARAO (SO #90)</t>
  </si>
  <si>
    <t>LUTONG ILOCANO (SO #91)</t>
  </si>
  <si>
    <t>EDSA SPECIALTY BEVERAGES (SO #97)</t>
  </si>
  <si>
    <t>PAENG'S EASTWOOD (SO #140)</t>
  </si>
  <si>
    <t>RUFOS SM HYPERMARKET (SO #143)</t>
  </si>
  <si>
    <t>TIMES TRADING (SO #98)</t>
  </si>
  <si>
    <t>SANGKAP FILIPINO RESTAURANT (SO #153)</t>
  </si>
  <si>
    <t>GONGCHA SM CAUAYAN (SO #154)</t>
  </si>
  <si>
    <t>VISEVERSA TUGUEGARAO (SO #155)</t>
  </si>
  <si>
    <t>VISEVERSA GLORIETTA 1 (SO #156)</t>
  </si>
  <si>
    <t>THE PERFECT WHITE SHIRT CORP (SO #160)</t>
  </si>
  <si>
    <t>VICE COSMETICS FISHERMALL (SO #166)</t>
  </si>
  <si>
    <t>VICE COSMETICS TARGETMALL (SO #167)</t>
  </si>
  <si>
    <t>VICE COSMETICS ROB ILOCOS (SO #168)</t>
  </si>
  <si>
    <t>VICE COSMETICS VIGAN (SO #169)</t>
  </si>
  <si>
    <t>VICE COSMETICS ROB IMUS (SO #170)</t>
  </si>
  <si>
    <t>VICE COSMETICS VISTA MALL (SO #171)</t>
  </si>
  <si>
    <t>VICE COSMETICS SUNSTAR (SO #172)</t>
  </si>
  <si>
    <t>BIG CHILL FAIRVIEW TERRACES (SO #99)</t>
  </si>
  <si>
    <t>DOMESKY STARMALL ALABANG (SO #102)</t>
  </si>
  <si>
    <t>COLDSTONE (SO #103)</t>
  </si>
  <si>
    <t>SERENITEA SM URDANETA (SO #105)</t>
  </si>
  <si>
    <t>TEA HIVE MILK TEA (SO #106)</t>
  </si>
  <si>
    <t>LIPA GRILLE BATANGAS (SO #116)</t>
  </si>
  <si>
    <t>REYES BARBECUE STO TOMAS BATANGAS (SO #117)</t>
  </si>
  <si>
    <t>KABAB NI BABA (SO #118)</t>
  </si>
  <si>
    <t>BACOLOD CHKN BBQ HOUSE (SO #119)</t>
  </si>
  <si>
    <t>BIG CHILL (SO #121)</t>
  </si>
  <si>
    <t>STRIPTOP OUTLET (SO #122)</t>
  </si>
  <si>
    <t>REYES BARBECUE (SO #123)</t>
  </si>
  <si>
    <t>DOLORS KAKANIN  (SO #180)</t>
  </si>
  <si>
    <t>TERESITA'S NAGA (SO #182)</t>
  </si>
  <si>
    <t>GONGCHA ROB ILOCOS (SO #189)</t>
  </si>
  <si>
    <t>BANILA CO (SO #191)</t>
  </si>
  <si>
    <t>CIIT (SO #127)</t>
  </si>
  <si>
    <t>EEGM MARKETING (SO #129)</t>
  </si>
  <si>
    <t>VICE COSMETICS LUCENA (SO #192)</t>
  </si>
  <si>
    <t>VICE COSMETICS CASH &amp; CARRY (SO #193)</t>
  </si>
  <si>
    <t>GONGCHA LEGAZPI (SO #203)</t>
  </si>
  <si>
    <t>SERENITEA LEGAZPI (SO #135)</t>
  </si>
  <si>
    <t>BUCKY'S ROCKWELL THE GRID (SO #138)</t>
  </si>
  <si>
    <t>MASTER SIOMAI TRINOMA (SO #144)</t>
  </si>
  <si>
    <t>SERENITEA SM SHORE (SO #145)</t>
  </si>
  <si>
    <t>FILA HARBOR POINT (SO #205)</t>
  </si>
  <si>
    <t>GONGCHA NAGA (SO #208)</t>
  </si>
  <si>
    <t>GONGCHA VISTA MALL (SO #210)</t>
  </si>
  <si>
    <t>ARTISAN CLOVER LEAF (SO #212)</t>
  </si>
  <si>
    <t>VICE COSMETICS ROB DASMA (SO #213)</t>
  </si>
  <si>
    <t>SERENITEA GREENFIELD (SO #146)</t>
  </si>
  <si>
    <t>VAVEL FOODS FESTIVAL (SO #152)</t>
  </si>
  <si>
    <t>SULTAN MEDITERRANEAN (SO #215)</t>
  </si>
  <si>
    <t>UNICA HIJA SALON (SO #217)</t>
  </si>
  <si>
    <t>LUXASIA ROVING (SO #221)</t>
  </si>
  <si>
    <t>CAIA CLOTHING (SO #226)</t>
  </si>
  <si>
    <t>VICE COSMETICS ALI MALL (SO #228)</t>
  </si>
  <si>
    <t>UNA ROSA CDO (SO #230)</t>
  </si>
  <si>
    <t>DR KONG ROB CEBU (SO #234)</t>
  </si>
  <si>
    <t>REYES BARBECUE MARIKINA (SO #158)</t>
  </si>
  <si>
    <t>SERENITEA ROB GAMMA (SO #161)</t>
  </si>
  <si>
    <t>PIZZA STUDIO PH INC (SO #239)</t>
  </si>
  <si>
    <t>SERENITEA GREENHILLS (SO #162)</t>
  </si>
  <si>
    <t>GRUPPO KUSINERO - TITO PAKS (SO #165)</t>
  </si>
  <si>
    <t>BRAD &amp; PIT'S RIBSHACK (SO #168)</t>
  </si>
  <si>
    <t>BARBAZA (SO #171)</t>
  </si>
  <si>
    <t>BARBAZA (SO #172)</t>
  </si>
  <si>
    <t>TURKS UP TOWN (SO #243)</t>
  </si>
  <si>
    <t>SKYBARN (SO #245)</t>
  </si>
  <si>
    <t>VICE COSMETICS DAGUPAN (SO #247)</t>
  </si>
  <si>
    <t>VICE COSMETICS VIRRA MALL (SO #248)</t>
  </si>
  <si>
    <t>GONGCHA L&amp;Y PLAZA (SO #250)</t>
  </si>
  <si>
    <t>FOODDALE ENT INC (SO #255)</t>
  </si>
  <si>
    <t>HUNGRY SAMURAI (SO #256)</t>
  </si>
  <si>
    <t>VICE COSMETICS STA LUCIA (SO #227)</t>
  </si>
  <si>
    <t>KARIMADON FELIZ (SO #260)</t>
  </si>
  <si>
    <t>GONGCHA GB3 (SO #261)</t>
  </si>
  <si>
    <t>UNA ROSA SM SEASIDE (SO #262)</t>
  </si>
  <si>
    <t>STRAIGHTFORWARD (SO #265)</t>
  </si>
  <si>
    <t>NEILS KITCHEN (SO #266)</t>
  </si>
  <si>
    <t>DR KONG UPTC (SO #267)</t>
  </si>
  <si>
    <t>DR KONG CLOVERLEAF (SO #268)</t>
  </si>
  <si>
    <t>LORD STOW TRINOMA (SO #270)</t>
  </si>
  <si>
    <t>DR KONG MARQUEE (SO #271)</t>
  </si>
  <si>
    <t>PRAWNSTAR FELIZ (SO #272)</t>
  </si>
  <si>
    <t>DR KONG EASTWOOD (SO #273)</t>
  </si>
  <si>
    <t>RUFOS IPI (SO #275)</t>
  </si>
  <si>
    <t>RUFOS NORTHGATE (SO #276)</t>
  </si>
  <si>
    <t>BANILA CO ALABANG (SO #278)</t>
  </si>
  <si>
    <t>GOLDTOE MANILA (SO #178)</t>
  </si>
  <si>
    <t>REYES BARBECUE MARIKINA (SO #182)</t>
  </si>
  <si>
    <t>SERENITEA TWO ECOM (SO #183)</t>
  </si>
  <si>
    <t>SERENITEA SM CITY STA ROSA (SO #184)</t>
  </si>
  <si>
    <t>BIG CHILL (SO #185)</t>
  </si>
  <si>
    <t>GOLDTOE SOUTHMALL (SO #186)</t>
  </si>
  <si>
    <t>ITALIAN DINING (SO #188)</t>
  </si>
  <si>
    <t>ELEMENTS (SO #189)</t>
  </si>
  <si>
    <t>PALUTO BY TIENDESITAS (SO #192)</t>
  </si>
  <si>
    <t>VAVEL SM SOUTHMALL (SO #193)</t>
  </si>
  <si>
    <t>VAVEL SM CITY CLARK (SO #194)</t>
  </si>
  <si>
    <t>ABOVE SEA LEVEL (SO #200)</t>
  </si>
  <si>
    <t>SERENITEA GLORIETTA 4 (SO #201)</t>
  </si>
  <si>
    <t>SERENITEA GLORIETTA 3 (SO #202)</t>
  </si>
  <si>
    <t>GASTROBAR (SO #204)</t>
  </si>
  <si>
    <t>TENDER JUICY TRINOMA (SO #205)</t>
  </si>
  <si>
    <t>POTATO GIANT (SO #206)</t>
  </si>
  <si>
    <t>CAFÉ VELO (SO #210)</t>
  </si>
  <si>
    <t>GROOVY'S (SO #211)</t>
  </si>
  <si>
    <t>MALOY'S KITCHEN (SO #214)</t>
  </si>
  <si>
    <t>TAPA KING (SO #215)</t>
  </si>
  <si>
    <t>SERENITEA UP TOWN (SO #216)</t>
  </si>
  <si>
    <t>REYES BARBECUE CHOICE MARKET (SO #217)</t>
  </si>
  <si>
    <t>MASTER SIOMAI AYALA BACOLOD (SO #218)</t>
  </si>
  <si>
    <t>JOE'S GRILL (SO #221)</t>
  </si>
  <si>
    <t>WEAR KAPAMPANGAN (SO #222)</t>
  </si>
  <si>
    <t>LINYA LINYA (SO #223)</t>
  </si>
  <si>
    <t>GONGCHA ORMOC (SO #280)</t>
  </si>
  <si>
    <t>DR KONG FELIZ (SO #282)</t>
  </si>
  <si>
    <t>STRAIGHTFORWARD AYALA CEBU (SO #284)</t>
  </si>
  <si>
    <t>GONGCHA LUCENA (SO #287)</t>
  </si>
  <si>
    <t>BLOOMSOCIAL AYALA CEBU (SO #292)</t>
  </si>
  <si>
    <t>KRISSON FORRA MALL (SO #298)</t>
  </si>
  <si>
    <t>GONGCHA MEGAMALL (SO #301)</t>
  </si>
  <si>
    <t>GONGCHA MET LIVE (SO #302)</t>
  </si>
  <si>
    <t>GONGCHA ROB TACLOBAN (SO #304)</t>
  </si>
  <si>
    <t>GONGCHA SM TACLOBAN (SO #305)</t>
  </si>
  <si>
    <t>GONGCHA ISLAND CITY BOHOL (SO #306)</t>
  </si>
  <si>
    <t>GONGCHA AYALA CAPITOL (SO #307)</t>
  </si>
  <si>
    <t>GONGCHA AYALA CENTER (SO #308)</t>
  </si>
  <si>
    <t>GONGCHA ROMA TOWER (SO #309)</t>
  </si>
  <si>
    <t>GONGCHA SM DASMA (SO #310)</t>
  </si>
  <si>
    <t>GONGCHA SM TUGUEGARAO (SO #311)</t>
  </si>
  <si>
    <t>GONGCHA NEW PORT (SO #312)</t>
  </si>
  <si>
    <t>WORLD OF WRAPS (SO #315)</t>
  </si>
  <si>
    <t>FUDGEROCK (SO #319)</t>
  </si>
  <si>
    <t>HEN LIN (SO #322)</t>
  </si>
  <si>
    <t>GREAT MORNINGS CAFÉ (SO #323)</t>
  </si>
  <si>
    <t>SUNSHINE BAGUIO (SO #226)</t>
  </si>
  <si>
    <t>NEIL'S LECHON CEBU CLOVERLEAF (SO #326)</t>
  </si>
  <si>
    <t>MANDARIN SKY (SO #329)</t>
  </si>
  <si>
    <t>CAMP NETANYA RESORT (SO #330)</t>
  </si>
  <si>
    <t>M&amp;W TOWNSTORE (SO #331)</t>
  </si>
  <si>
    <t>SODAM (SO #343)</t>
  </si>
  <si>
    <t>APT 8 CLOTHING (003)</t>
  </si>
  <si>
    <t>WELLBEST MDSG SALES (006)</t>
  </si>
  <si>
    <t>ARENA SM CEBU (007)</t>
  </si>
  <si>
    <t>JIN JOO KOREAN GRILL (015)</t>
  </si>
  <si>
    <t>GOLDTOE (001)</t>
  </si>
  <si>
    <t>KOLLONADE'S PRO STATION (002)</t>
  </si>
  <si>
    <t>HO SYSTEM/ RDMS SQL FULL VERSION</t>
  </si>
  <si>
    <t>BEST SOURCE (022)</t>
  </si>
  <si>
    <t>KARIMADON SM MOA (024)</t>
  </si>
  <si>
    <t>RYU SM JAZZ (037)</t>
  </si>
  <si>
    <t>HERITAGE BUFFET (039)</t>
  </si>
  <si>
    <t>DRAGON PETSHOP MINDORO (017)</t>
  </si>
  <si>
    <t>REYES BARBECUE UST (018)</t>
  </si>
  <si>
    <t>BOOKSALE SM LEGAZPI (028)</t>
  </si>
  <si>
    <t>UNA ROSA ROB GALLERIA CEBU (SO #229)</t>
  </si>
  <si>
    <t>DR KONG ATC (045)</t>
  </si>
  <si>
    <t>SUNDAY BBQ GB1 (030)</t>
  </si>
  <si>
    <t>SUNDAY BBQ AYALA NORTH EXCHANGE (031)</t>
  </si>
  <si>
    <t>BOOKSALE GREENBELT (032)</t>
  </si>
  <si>
    <t>VMV SM NORTH (057)</t>
  </si>
  <si>
    <t>COOKS EXCHANGE ROCKWELL (063)</t>
  </si>
  <si>
    <t>PRETZEL MAKER SM FAIRVIEW (040)</t>
  </si>
  <si>
    <t>AMANO ROCKWELL (043)</t>
  </si>
  <si>
    <t>GELROCKZ STA LUCIA (067)</t>
  </si>
  <si>
    <t>CITIMART MINDORO (068)</t>
  </si>
  <si>
    <t>GONGCHA OLONGAPO (077)</t>
  </si>
  <si>
    <t>LUXASIA (078)</t>
  </si>
  <si>
    <t>KOLLONADES (053)</t>
  </si>
  <si>
    <t>BLESS AMARE (054)</t>
  </si>
  <si>
    <t>LAS CASAS QC (057)</t>
  </si>
  <si>
    <t>CHICK N BELLY (081)</t>
  </si>
  <si>
    <t>VICE COSMETICS ROB LIPA (086)</t>
  </si>
  <si>
    <t>GONGCHA ROB LIPA (98)</t>
  </si>
  <si>
    <t>GONGCHA AYALA CEBU (101)</t>
  </si>
  <si>
    <t>NIKKA BABES (95)</t>
  </si>
  <si>
    <t>BACK OFFICE/ CASHIERING</t>
  </si>
  <si>
    <t>SAMGYUPSALAMAT BACOOR (103)</t>
  </si>
  <si>
    <t>STRAIGHTFORWARD ATC (104)</t>
  </si>
  <si>
    <t>STRAIGHTFORWARD ERMITA (105)</t>
  </si>
  <si>
    <t>AQUAZORB KIOSK SM MEGA (107)</t>
  </si>
  <si>
    <t>GONGCHA BATAAN (116)</t>
  </si>
  <si>
    <t>GONGCHA BROADWAY (118)</t>
  </si>
  <si>
    <t>GONGCHA SOUTH LAGUNA (119)</t>
  </si>
  <si>
    <t>LUXASIA (124)</t>
  </si>
  <si>
    <t>MR KOREA BBQ (125)</t>
  </si>
  <si>
    <t>BACCHUS SQL VERSION/ WAITER STATION</t>
  </si>
  <si>
    <t>HOBING CAFÉ (63)</t>
  </si>
  <si>
    <t>BROTHER'S PIZZA (64)</t>
  </si>
  <si>
    <t>BLESS LAS PAELLAS (67)</t>
  </si>
  <si>
    <t>COLDSTONE MOA (74)</t>
  </si>
  <si>
    <t>ARTWORK SM CEBU (78)</t>
  </si>
  <si>
    <t>ARTWORK SM BACOLOD (79)</t>
  </si>
  <si>
    <t>ARTWORK SM ILOILO (80)</t>
  </si>
  <si>
    <t>COLDSTONE FAIRVIEW (81)</t>
  </si>
  <si>
    <t>STEAK BREAK STA LUCIA CAINTA (85)</t>
  </si>
  <si>
    <t>KOLLONADE'S PRO STATION LAS PIÑAS (86)</t>
  </si>
  <si>
    <t>VENCILI VENILI (91)</t>
  </si>
  <si>
    <t>GONGCHA TRINOMA (133)</t>
  </si>
  <si>
    <t>GONGCHA SM ANGONO (134)</t>
  </si>
  <si>
    <t>GONGCHA VALENZUELA (135)</t>
  </si>
  <si>
    <t>GONGCHA ALABANG (142)</t>
  </si>
  <si>
    <t>GONGCHA DASMA (143)</t>
  </si>
  <si>
    <t>HEROES BURGER ABS-CBN (149)</t>
  </si>
  <si>
    <t>GONGCHA GEN SAN (150)</t>
  </si>
  <si>
    <t>KITCHEN STORY (92)</t>
  </si>
  <si>
    <t>REYES BARBECUE FELIZ MALL (93)</t>
  </si>
  <si>
    <t>STEAK BREAK MARKET (97)</t>
  </si>
  <si>
    <t>YOU WEI NEW PORT (153)</t>
  </si>
  <si>
    <t>WORLD CHICKEN GLORIETTA 4 (156)</t>
  </si>
  <si>
    <t>8 TREASURES (108)</t>
  </si>
  <si>
    <t>CINNABON FAIRVIEW (109)</t>
  </si>
  <si>
    <t>SIZZLING PLATE (112)</t>
  </si>
  <si>
    <t>PHIL LATTE ART (113)</t>
  </si>
  <si>
    <t>MANGO SE YO (117)</t>
  </si>
  <si>
    <t>KOLLONADES (118)</t>
  </si>
  <si>
    <t>REYES BARBECUE COTABATO (115)</t>
  </si>
  <si>
    <t>BREAD &amp; BUTTER (127)</t>
  </si>
  <si>
    <t>REYES BARBECUE VENICE (128)</t>
  </si>
  <si>
    <t>GONGCHA SM TEJERO (157)</t>
  </si>
  <si>
    <t>WORLD CHICKEN (158)</t>
  </si>
  <si>
    <t>SPORTSCIOLOGY (162)</t>
  </si>
  <si>
    <t>JOYJOY PETSHOP (164)</t>
  </si>
  <si>
    <t>GONGCHA SAN PABLO (167)</t>
  </si>
  <si>
    <t>BOS CHOW (169)</t>
  </si>
  <si>
    <t>DIOR PODIUM (170)</t>
  </si>
  <si>
    <t>GONGCHA GEN TRIAS (172)</t>
  </si>
  <si>
    <t>GONGCHA VISTA TANZA (173)</t>
  </si>
  <si>
    <t>BENEFIT AYALA CEBU (176)</t>
  </si>
  <si>
    <t>GONGCHA ROB ILOILO (177)</t>
  </si>
  <si>
    <t>BOOKSALE ILOILO (129)</t>
  </si>
  <si>
    <t>MEGA GOLDTOWN ORTIGAS ROCKWELL (135)</t>
  </si>
  <si>
    <t>MEGA GOLDTOWN SHERIDAN ROCKWELL (136)</t>
  </si>
  <si>
    <t>MJZ EVENT (137)</t>
  </si>
  <si>
    <t>SERENITEA ROB CEBU (138)</t>
  </si>
  <si>
    <t>ARTWORK (139)</t>
  </si>
  <si>
    <t>RAMENCO (141)</t>
  </si>
  <si>
    <t>COLDSTONE EVIA (142)</t>
  </si>
  <si>
    <t>COLDSTONE ACIENDA (143)</t>
  </si>
  <si>
    <t>REYES BARBECUE GLORIETTA (144)</t>
  </si>
  <si>
    <t>THE FARM ORGANIC (181)</t>
  </si>
  <si>
    <t>CABANA ROCKWELL (182)</t>
  </si>
  <si>
    <t>LORD STOW BAKERY (183)</t>
  </si>
  <si>
    <t>KARIMADON SM CDO (184)</t>
  </si>
  <si>
    <t>KARIMADON SM ZAMBOANGA (185)</t>
  </si>
  <si>
    <t>KRAKEN TAKOYAKI (145)</t>
  </si>
  <si>
    <t>ARYA ROB MANILA (146)</t>
  </si>
  <si>
    <t>YASUO (147)</t>
  </si>
  <si>
    <t>SUNSHINE (151)</t>
  </si>
  <si>
    <t>DRAGON PETSHOP (155)</t>
  </si>
  <si>
    <t>CMISS BULACAN (156)</t>
  </si>
  <si>
    <t>ARTWORK SM DAVAO (158)</t>
  </si>
  <si>
    <t>ARTWORK SM DASMA (159)</t>
  </si>
  <si>
    <t>TOTIDE WINE BAR (164)</t>
  </si>
  <si>
    <t>BLK MARKET (166)</t>
  </si>
  <si>
    <t>102 IZAKAYA (170)</t>
  </si>
  <si>
    <t>102 IZAKAYA (171)</t>
  </si>
  <si>
    <t>GONGCHA GLORIETTA 4 (190)</t>
  </si>
  <si>
    <t>GONGCHA STARMALL ALABANG (191)</t>
  </si>
  <si>
    <t>GONGCHA SM SUCAT (193)</t>
  </si>
  <si>
    <t>GONGCHA HAMILTON (197)</t>
  </si>
  <si>
    <t>GONGCHA VISTA TAGUIG (198)</t>
  </si>
  <si>
    <t>GONGCHA SM MARILAO (212)</t>
  </si>
  <si>
    <t>URESHI FUDO (174)</t>
  </si>
  <si>
    <t>CCOCHI CCOCHI KOREAN RESTO (175)</t>
  </si>
  <si>
    <t>SERENITEA MANILA BAY (172)</t>
  </si>
  <si>
    <t>SERENITEA SAN PEDRO (176)</t>
  </si>
  <si>
    <t>TIMES TRADING (177)</t>
  </si>
  <si>
    <t>PRETZEL MAKER (178)</t>
  </si>
  <si>
    <t>ALFREDO STEAK HOUSE (180)</t>
  </si>
  <si>
    <t>CAFITERIA (181)</t>
  </si>
  <si>
    <t>BOOKSTORE (182)</t>
  </si>
  <si>
    <t>KARIMADON (217)</t>
  </si>
  <si>
    <t>NEW BOMBAY THE PODIUM (220)</t>
  </si>
  <si>
    <t>NIKKA BABES (222)</t>
  </si>
  <si>
    <t>SNACK ATTACK (228)</t>
  </si>
  <si>
    <t>GONGCHA NOVALICHES (230)</t>
  </si>
  <si>
    <t>GONGCHA SM BALIWAG (231)</t>
  </si>
  <si>
    <t>GONGCHA SM OLONGAPO (232)</t>
  </si>
  <si>
    <t>GONGCHA SM LAS PIÑAS (233)</t>
  </si>
  <si>
    <t>GONGCHA SM DAVAO (235)</t>
  </si>
  <si>
    <t>GONGCHA SM CENTER (236)</t>
  </si>
  <si>
    <t>GONGCHA SM BUTUAN (237)</t>
  </si>
  <si>
    <t>GONGCHA BAGUIO (239)</t>
  </si>
  <si>
    <t>LIPTON BABY (243)</t>
  </si>
  <si>
    <t>DANIDOO AYALA CEBU (248)</t>
  </si>
  <si>
    <t>BRITTLE BETTLER (249)</t>
  </si>
  <si>
    <t>LUXASIA RETAIL CORP (250)</t>
  </si>
  <si>
    <t>GONGCHA ARANETA (251)</t>
  </si>
  <si>
    <t>REYES BARBECUE SM MEGAMALL (185)</t>
  </si>
  <si>
    <t>GONGCHA SM FAIRVIEW (252)</t>
  </si>
  <si>
    <t>WORLD CHICKEN SOLAIRE (253)</t>
  </si>
  <si>
    <t>SERENITEA MANILA BAY 2 (186)</t>
  </si>
  <si>
    <t>BOOKSALE CDO (187)</t>
  </si>
  <si>
    <t>BREAD AND BUTTER (188)</t>
  </si>
  <si>
    <t>CHICKINGS REST (254)</t>
  </si>
  <si>
    <t>BOY KANIN (255)</t>
  </si>
  <si>
    <t>DIOR BAY AREA (256)</t>
  </si>
  <si>
    <t>BENEFIT BAY AREA (257)</t>
  </si>
  <si>
    <t>GONGCHA SM AURA (260)</t>
  </si>
  <si>
    <t>BRICK BURGER (261)</t>
  </si>
  <si>
    <t>GONGCHA BORACAY (263)</t>
  </si>
  <si>
    <t>STA FOOD (268)</t>
  </si>
  <si>
    <t>BOLLYWOOD SERENDRA (269)</t>
  </si>
  <si>
    <t>NACHO KING (191)</t>
  </si>
  <si>
    <t>8 TREASURES (192)</t>
  </si>
  <si>
    <t>STEAK BREAK AYALA FELIZ (194)</t>
  </si>
  <si>
    <t>LECHON BGC (195)</t>
  </si>
  <si>
    <t>STEAK BREAK 168 MALL 5TH FLOOR (196)</t>
  </si>
  <si>
    <t>STEAK BREAK 168 MALL 3RD FLOOR (197)</t>
  </si>
  <si>
    <t>BREAD AND BUTTER KALIBO (198)</t>
  </si>
  <si>
    <t>RECOVERY FOOD (201)</t>
  </si>
  <si>
    <t>HAPPY YOGURT HOUSE (202)</t>
  </si>
  <si>
    <t>BIG CHILL AYALA FELIZ (204)</t>
  </si>
  <si>
    <t>GRAB KITCHEN (205)</t>
  </si>
  <si>
    <t>TSCERES SQL VERSION</t>
  </si>
  <si>
    <t>KOLLONADE'S CARRIEDO (206)</t>
  </si>
  <si>
    <t>SECRET RAMEN (213)</t>
  </si>
  <si>
    <t>FRANK &amp; DEAN (214)</t>
  </si>
  <si>
    <t>MISTER KABAB (215)</t>
  </si>
  <si>
    <t>OMAKASE (216)</t>
  </si>
  <si>
    <t>ARTWORK STA ROSA (217)</t>
  </si>
  <si>
    <t>SOFTWARE UPGRADE</t>
  </si>
  <si>
    <t>ARTWORK SM BAGUIO (218)</t>
  </si>
  <si>
    <t>ARTWORK SM CLARK (219)</t>
  </si>
  <si>
    <t>ARTWORK RIVERBANK (220)</t>
  </si>
  <si>
    <t>SHAWARMA STATION (223)</t>
  </si>
  <si>
    <t>BREAD &amp; BUTTER (224)</t>
  </si>
  <si>
    <t>24 CHICKEN (226)</t>
  </si>
  <si>
    <t>EXTREME OUTDOOR (288)</t>
  </si>
  <si>
    <t>TACTICAL WAREHOUSE (289)</t>
  </si>
  <si>
    <t>EIGHT CENTRAL SCOOPS (293)</t>
  </si>
  <si>
    <t>BLACK SUGAR (190)</t>
  </si>
  <si>
    <t>KOLLONADE'S STA ROSA LAGUNA (229)</t>
  </si>
  <si>
    <t>COCO GLORIETTA (231)</t>
  </si>
  <si>
    <t>BOOKSALE SM STA ROSA (232)</t>
  </si>
  <si>
    <t>BOOKSALE SM BACOLOD (233)</t>
  </si>
  <si>
    <t>BOOKSALE SM DASMA (234)</t>
  </si>
  <si>
    <t>ARTWORK SM LIPA (235)</t>
  </si>
  <si>
    <t>ARTWORK SM LUCENA (236)</t>
  </si>
  <si>
    <t>HONEY'S KIMCHI (237)</t>
  </si>
  <si>
    <t>HEROES BURGER (286)</t>
  </si>
  <si>
    <t>TSCERES FOR ANDROID</t>
  </si>
  <si>
    <t>MARTI'S FOOD SHACK (294)</t>
  </si>
  <si>
    <t>GONGCHA ROB TUGUEGARAO (295)</t>
  </si>
  <si>
    <t>GONGCHA GLORIETTA (297)</t>
  </si>
  <si>
    <t>168 HYPERMART (300)</t>
  </si>
  <si>
    <t>BANH MI KITCHEN (301)</t>
  </si>
  <si>
    <t>GONGCHA FISHERMALL (302)</t>
  </si>
  <si>
    <t>GONGCHA SM TAYTAY (303)</t>
  </si>
  <si>
    <t>PARES RETIRO (308)</t>
  </si>
  <si>
    <t>OH SO HEALTHY (311)</t>
  </si>
  <si>
    <t>GONGCHA TWINLAKE (312)</t>
  </si>
  <si>
    <t>GONGCHA UNIMART (318)</t>
  </si>
  <si>
    <t>GOLDEN BAY PALACE (319)</t>
  </si>
  <si>
    <t>BACCHUS SQL VERSION/ ORDERING</t>
  </si>
  <si>
    <t>GONGCHA VISTA MALOLOS (321)</t>
  </si>
  <si>
    <t>PICABEAN COFFEE HOUSE (323)</t>
  </si>
  <si>
    <t>NIKE PARK (325)</t>
  </si>
  <si>
    <t>RDMS SQL NEW VERSION</t>
  </si>
  <si>
    <t>SERENITEA UST (246)</t>
  </si>
  <si>
    <t>SERENITEA CLOVERLEAF (247)</t>
  </si>
  <si>
    <t>M GYUU STEAK (250)</t>
  </si>
  <si>
    <t>RESTOSPECIALIST, INC (251)</t>
  </si>
  <si>
    <t>HANS &amp; NOONAH EATERY (253)</t>
  </si>
  <si>
    <t>COCO SM DAVAO (254)</t>
  </si>
  <si>
    <t>COCO SM LANANG (255)</t>
  </si>
  <si>
    <t>SHROOMSCHACK (257)</t>
  </si>
  <si>
    <t>DRAGON PETSHOP (261)</t>
  </si>
  <si>
    <t>MACCHIATO CORP (262)</t>
  </si>
  <si>
    <t>MERRY MANGO (264)</t>
  </si>
  <si>
    <t>SUNSHINE (268)</t>
  </si>
  <si>
    <t>BACKYARD FARMS (269)</t>
  </si>
  <si>
    <t>LEMON CO (270)</t>
  </si>
  <si>
    <t>SHISEIDO EASTWOOD (326)</t>
  </si>
  <si>
    <t>SHISEIDO ROCKWELL POWERPLANT (327)</t>
  </si>
  <si>
    <t>SHISEIDO GLORIETTA 4 (328)</t>
  </si>
  <si>
    <t>GONGCHA STARMALL BULACAN (329)</t>
  </si>
  <si>
    <t>ASTROBOWL (330)</t>
  </si>
  <si>
    <t>CORONADO LANES (331)</t>
  </si>
  <si>
    <t>ULTIMATE SANDWICH (332)</t>
  </si>
  <si>
    <t>TRUE VISION (333)</t>
  </si>
  <si>
    <t>RDMS SQL VERSION 3+</t>
  </si>
  <si>
    <t>PARES RETIRO (334)</t>
  </si>
  <si>
    <t>APT8 SM MOA (335)</t>
  </si>
  <si>
    <t>APT8 EVIA (336)</t>
  </si>
  <si>
    <t>GONGCHA IMUS (337)</t>
  </si>
  <si>
    <t>GONGCHA ROB BUTUAN (340)</t>
  </si>
  <si>
    <t>GONGCHA R. PAVIA (341)</t>
  </si>
  <si>
    <t>GONGCHA HARBOR POINT (342)</t>
  </si>
  <si>
    <t>JMAGS (343)</t>
  </si>
  <si>
    <t>WCHAT (344)</t>
  </si>
  <si>
    <t>A'PIEU (346)</t>
  </si>
  <si>
    <t>RAZON'S MAGNOLIA (347)</t>
  </si>
  <si>
    <t>BOOKSALE SM CEBU (273)</t>
  </si>
  <si>
    <t>BOOKSALE SM NORTH (274)</t>
  </si>
  <si>
    <t>BOOKSALE SM FAIRVIEW (275)</t>
  </si>
  <si>
    <t>TERRY'S SELECTION (276)</t>
  </si>
  <si>
    <t>TERRY'S SELECTION (277)</t>
  </si>
  <si>
    <t>SIZZLING PLATE SM MOA (283)</t>
  </si>
  <si>
    <t>LA BRAZORRIA DE LASEVIL (287)</t>
  </si>
  <si>
    <t>GONGCHA CB MALL (356)</t>
  </si>
  <si>
    <t>GONGCHA ROB DASMA (362)</t>
  </si>
  <si>
    <t>PIZZAPRO INC (366)</t>
  </si>
  <si>
    <t>VALLEY SPORTS CORP (367)</t>
  </si>
  <si>
    <t>CORONADO LANES, INC (368)</t>
  </si>
  <si>
    <t>GONGCHA AYALA BAY MALL (370)</t>
  </si>
  <si>
    <t>GONGCHA ROB GEN TRIAS (371)</t>
  </si>
  <si>
    <t>GONGCHA XENTRO MALL (372)</t>
  </si>
  <si>
    <t>DERMA 360 ROCKWELL (2)</t>
  </si>
  <si>
    <t>NIKE PARK SM MOA (5)</t>
  </si>
  <si>
    <t>GONGCHA GREENHILLS (6)</t>
  </si>
  <si>
    <t>REYES BARBECUE TERMINAL 3 (2)</t>
  </si>
  <si>
    <t>GALILEO ENOTICA DELI (3)</t>
  </si>
  <si>
    <t>KOLLONADES MONUMENTO (10)</t>
  </si>
  <si>
    <t>SKINPOTIONS (13)</t>
  </si>
  <si>
    <t>GONGCHA MARKET (17)</t>
  </si>
  <si>
    <t>SWEETBITES 4 U (20)</t>
  </si>
  <si>
    <t>RSH ROB ERMITA (22)</t>
  </si>
  <si>
    <t>TAI KOO HK ROAST (25)</t>
  </si>
  <si>
    <t>SHISEIDO SM MEGAMALL (28)</t>
  </si>
  <si>
    <t>BENEFIT SM MEGAMALL (29)</t>
  </si>
  <si>
    <t>PUYAT SPORTS BAGUIO (32)</t>
  </si>
  <si>
    <t>AMF PUYAT Q PLAZA (33)</t>
  </si>
  <si>
    <t>CHAWADI CUP (36)</t>
  </si>
  <si>
    <t>GRACE PARK ROCKWELL (20)</t>
  </si>
  <si>
    <t>6 DAYS PHARMACY (24)</t>
  </si>
  <si>
    <t>HERMES SQL VERSION</t>
  </si>
  <si>
    <t>PRETZEL MAKER SM MOLINO (25)</t>
  </si>
  <si>
    <t>AQUAZORB SM MEGA (38)</t>
  </si>
  <si>
    <t>GONGCHA SM MINDPRO (23)</t>
  </si>
  <si>
    <t>SIP &amp; DIP FAIRVIEW TERRACES (48)</t>
  </si>
  <si>
    <t>BIG BRANDS ROB LIPA (49)</t>
  </si>
  <si>
    <t>HAPPY HAWS BELLYCHON (33)</t>
  </si>
  <si>
    <t>BREAD &amp; BUTTER AKLAN (41)</t>
  </si>
  <si>
    <t>GONGCHA ROB ILIGAN (61)</t>
  </si>
  <si>
    <t>GONGCHA ROB PALAWAN (66)</t>
  </si>
  <si>
    <t>KIWA RESTAURANT (68)</t>
  </si>
  <si>
    <t>JG CHICKEN PILIPINAS TRINOMA (67)</t>
  </si>
  <si>
    <t>GONGCHA KORONADAL (74)</t>
  </si>
  <si>
    <t>JG CHICKEN PILIPINAS MANILA BAY (94)</t>
  </si>
  <si>
    <t>OINK SHERIDAN (96)</t>
  </si>
  <si>
    <t>FAMILY DOC (99)</t>
  </si>
  <si>
    <t>HO SYSTEM/ RDMS SQL VERSION</t>
  </si>
  <si>
    <t>M&amp;W TOWNSTORE (121)</t>
  </si>
  <si>
    <t>JG CHICKEN PILIPINAS (122)</t>
  </si>
  <si>
    <t>GONGCHA URDANETA (123)</t>
  </si>
  <si>
    <t>PRETZEL MAKER SM ZAMBOANGA (43)</t>
  </si>
  <si>
    <t>CRAVE ALLEY CUBAO (45)</t>
  </si>
  <si>
    <t>SUNSHINE SUPERMARKET (46)</t>
  </si>
  <si>
    <t>INTELLISMART TECHNOLOGY, INC (51)</t>
  </si>
  <si>
    <t>PAN DE MANILA AXIS TOWER (54)</t>
  </si>
  <si>
    <t>KINDERS MART (60)</t>
  </si>
  <si>
    <t>PAIZANO'S PIZZERIA (61)</t>
  </si>
  <si>
    <t>LOTUS NAIL COMMONWEALTH (63)</t>
  </si>
  <si>
    <t>PRETZEL MAKER T3 (65)</t>
  </si>
  <si>
    <t>PRETZEL MAKER SM MOA (66)</t>
  </si>
  <si>
    <t>GONGCHA CENTRO MALL (124)</t>
  </si>
  <si>
    <t>FRESH KING (133)</t>
  </si>
  <si>
    <t>GONGCHA ROB ROXAS (134)</t>
  </si>
  <si>
    <t>GONGCHA ROB SANTIAGO (146)</t>
  </si>
  <si>
    <t>BIG BRANDS ROB STA ROSA (149)</t>
  </si>
  <si>
    <t>STRAIGHTFORWARD MEGAMALL (150)</t>
  </si>
  <si>
    <t>GONGCHA 100 WEST (152)</t>
  </si>
  <si>
    <t>ABOVE SEA LEVEL (79)</t>
  </si>
  <si>
    <t>BLACK PEARL (80)</t>
  </si>
  <si>
    <t>SUNSHINE SUPERMARKET (81)</t>
  </si>
  <si>
    <t>CANCEL</t>
  </si>
  <si>
    <t>CINNABON SM ZAMBOANGA (85)</t>
  </si>
  <si>
    <t>KARIMADON SM PAMPANGA (166)</t>
  </si>
  <si>
    <t>2021</t>
  </si>
  <si>
    <t>AVEDA GB (9)</t>
  </si>
  <si>
    <t>RDMS VERSION 3</t>
  </si>
  <si>
    <t>OCTOBOY (17)</t>
  </si>
  <si>
    <t>GONGCHA SM DAET (34)</t>
  </si>
  <si>
    <t>GONGCHA CAM SUR (43)</t>
  </si>
  <si>
    <t>WORLD CHICKEN (45)</t>
  </si>
  <si>
    <t>GONGCHA GAISANO DAVAO (51)</t>
  </si>
  <si>
    <t>GONGCHA ROB ANTIQUE (57)</t>
  </si>
  <si>
    <t>GONGCHA SM ROSALES (58)</t>
  </si>
  <si>
    <t>CINNABON MAMPLASAN (7)</t>
  </si>
  <si>
    <t>SERENITEA NAGA (10)</t>
  </si>
  <si>
    <t>PAN DE MANILA DASMA (12)</t>
  </si>
  <si>
    <t>PAN DE MANILA PANGASINAN (13)</t>
  </si>
  <si>
    <t>EAT FRESH (14)</t>
  </si>
  <si>
    <t>PALACIO DE MEMORIA (17)</t>
  </si>
  <si>
    <t>PAN DE MANILA SF PAMPANGA (21)</t>
  </si>
  <si>
    <t>PAN DE MANILA ILAYA (22)</t>
  </si>
  <si>
    <t>SUNSHINE BAKESHOP (42)</t>
  </si>
  <si>
    <t>PDM SUCAT (38)</t>
  </si>
  <si>
    <t>PDM TEKTITE (37)</t>
  </si>
  <si>
    <t>PDM MALATE (36)</t>
  </si>
  <si>
    <t>PDM GREENHILLS (35)</t>
  </si>
  <si>
    <t>PDM GRANADA (34)</t>
  </si>
  <si>
    <t>PDM SAN BEDA (33)</t>
  </si>
  <si>
    <t>PDM GREENFIELD (32)</t>
  </si>
  <si>
    <t>PDM CALIFORNIA MANDA (31)</t>
  </si>
  <si>
    <t>PDM TIMOG (30)</t>
  </si>
  <si>
    <t>PDM TRAMO (29)</t>
  </si>
  <si>
    <t>PAN DE MANILA ARCENAS CEBU (23)</t>
  </si>
  <si>
    <t>MAXIWORKS TOY SHOP ROCKWELL (118)</t>
  </si>
  <si>
    <t>RDMS SQL VERSION</t>
  </si>
  <si>
    <t>GONGCHA PACIFIC MALL (91)</t>
  </si>
  <si>
    <t>KITCHEN CITY SAN LORENZO (78)</t>
  </si>
  <si>
    <t>KITCHEN CITY EASTWOOD (77)</t>
  </si>
  <si>
    <t>AROMA TRUFFLE SM MEGA (76)</t>
  </si>
  <si>
    <t>AROMA TRUFFLE GLORIETTA (75)</t>
  </si>
  <si>
    <t>LES NEREIDES (74)</t>
  </si>
  <si>
    <t>GONGCHA ROB PANGASINAN (72)</t>
  </si>
  <si>
    <t>CAFÉ ALEGRIA (62)</t>
  </si>
  <si>
    <t>GONGCHA CABANATUAN (42)</t>
  </si>
  <si>
    <t>RAMEN RON RESTAURANT (39)</t>
  </si>
  <si>
    <t>SUNSHINE (51)</t>
  </si>
  <si>
    <t>RDMSQ SQL VERSION</t>
  </si>
  <si>
    <t>PDM SANTOLAN (52)</t>
  </si>
  <si>
    <t>BACOLOD CHKN BBQ HOUSE (57)</t>
  </si>
  <si>
    <t>KRAKENTAKOYAKI (58)</t>
  </si>
  <si>
    <t>GONGCHA NCC &amp; ROB MALOLOS (71)</t>
  </si>
  <si>
    <t>GONGCHA KCC (95)</t>
  </si>
  <si>
    <t>GONGCHA GEN SAN (96)</t>
  </si>
  <si>
    <t>CHAMPION ABREEZA (99)</t>
  </si>
  <si>
    <t>ORIGINAL PENGUIN (105)</t>
  </si>
  <si>
    <t>TURN ON FASHION ROB DASMA (106)</t>
  </si>
  <si>
    <t>THREADS CLOTHING BOUTIQUE (107)</t>
  </si>
  <si>
    <t>ANNA BY INGRID SKIN (111)</t>
  </si>
  <si>
    <t>RHETT EALA (112)</t>
  </si>
  <si>
    <t>GONGCHA RP VALENCIA (124)</t>
  </si>
  <si>
    <t>GONGCHA SM MOLINO (125)</t>
  </si>
  <si>
    <t>CASA REYES GREENHILLS (134)</t>
  </si>
  <si>
    <t>FRANKIE &amp; FRIENDS (136)</t>
  </si>
  <si>
    <t>STRAIGHTFORWARD GLORIETTA 1 (139)</t>
  </si>
  <si>
    <t>DANIDOO PARK MALL (140)</t>
  </si>
  <si>
    <t>CONVERSE ROB LIPA (141)</t>
  </si>
  <si>
    <t>GONGCHA ROB LA UNION (126)</t>
  </si>
  <si>
    <t>GELROCKZ ROB LIPA (208)</t>
  </si>
  <si>
    <t>M&amp;W TOWNSTORE BAY (207)</t>
  </si>
  <si>
    <t>STRAIGHTFORWARD BGC (204)</t>
  </si>
  <si>
    <t>5.11 TACTICAL (202)</t>
  </si>
  <si>
    <t>GONGCHA GRAND CENTRAL (200)</t>
  </si>
  <si>
    <t>GONGCHA CLARK (199)</t>
  </si>
  <si>
    <t>J&amp;G LE GRAND (198)</t>
  </si>
  <si>
    <t>BIRKENSTOCK THE BLOCK (188)</t>
  </si>
  <si>
    <t>STATEMENT THEORY (187)</t>
  </si>
  <si>
    <t>GONGCHA RP ORMOC (158)</t>
  </si>
  <si>
    <t>GONGCHA SM ROXAS (157)</t>
  </si>
  <si>
    <t>VMV SM MEGA (153)</t>
  </si>
  <si>
    <t>VMV TRINOMA (152)</t>
  </si>
  <si>
    <t>VMV ATC (142)</t>
  </si>
  <si>
    <t>ORDERING STATION</t>
  </si>
  <si>
    <t>NO PAYMENT</t>
  </si>
  <si>
    <t>ON PROCESS</t>
  </si>
  <si>
    <t>PARTIAL</t>
  </si>
  <si>
    <t>STEAK BREAK MASINAG = 2</t>
  </si>
  <si>
    <t>AMANO ROCKWELL = 3</t>
  </si>
  <si>
    <t>GRACE PARK = 4</t>
  </si>
  <si>
    <t>PDM BRITTANY = 8</t>
  </si>
  <si>
    <t>PDM SM FAIRVIEW = 9</t>
  </si>
  <si>
    <t>RAMEN RON = 10</t>
  </si>
  <si>
    <t>PINO 77 =2</t>
  </si>
  <si>
    <t>MAGOOS =18</t>
  </si>
  <si>
    <t>partially paid</t>
  </si>
  <si>
    <t>paid</t>
  </si>
  <si>
    <t>PAID</t>
  </si>
  <si>
    <t>MOMMYHUGS STP (82)</t>
  </si>
  <si>
    <t>DRAGON PETSHOP (83)</t>
  </si>
  <si>
    <t>PDM SHELL VERMONT (84)</t>
  </si>
  <si>
    <t>PDM LP (87)</t>
  </si>
  <si>
    <t>RHETT EALA =22</t>
  </si>
  <si>
    <t>HAYATT HOUSE =11</t>
  </si>
  <si>
    <t>DENTAL SMILES ROCKWELL =13</t>
  </si>
  <si>
    <t>M&amp;W TOWNSTORE =24</t>
  </si>
  <si>
    <t>DIOR GREENBELT =32</t>
  </si>
  <si>
    <t>PDM UPTOWN THE FORT =18</t>
  </si>
  <si>
    <t>GASTRO BAR GREENBELT =28</t>
  </si>
  <si>
    <t>TURKS TAGAYTAY =31</t>
  </si>
  <si>
    <t>CAFÉ ALEGRIA =46</t>
  </si>
  <si>
    <t>GONGCHA GMALL TAGUM =51</t>
  </si>
  <si>
    <t>ELEMIE NATURALS =37</t>
  </si>
  <si>
    <t>PDM BAYANAN =40</t>
  </si>
  <si>
    <t>BOWL GOGI SM NORTH =47</t>
  </si>
  <si>
    <t>HAPILEE GLORIETTA =48</t>
  </si>
  <si>
    <t>JDQ HARDWARE =49</t>
  </si>
  <si>
    <t>THE HAPPY STATION STP -54</t>
  </si>
  <si>
    <t>RMDS SQL POS PACKAGE</t>
  </si>
  <si>
    <t>L'SEA DIMSUM -55</t>
  </si>
  <si>
    <t>ADVENTURE BAGS =65</t>
  </si>
  <si>
    <t>CORSO COMO =66</t>
  </si>
  <si>
    <t>A MANO RISTORANTE =56</t>
  </si>
  <si>
    <t>AMANO =57</t>
  </si>
  <si>
    <t>THE COFFEE ACADEMICS -85</t>
  </si>
  <si>
    <t>TSCERES LITE WITH POS PERIPHERALS</t>
  </si>
  <si>
    <t>EBI10 ESTANCIA -96</t>
  </si>
  <si>
    <t>BACCHUS SQL POS PACKAGE</t>
  </si>
  <si>
    <t>ZIYA HO &amp; GLORIETTA -97</t>
  </si>
  <si>
    <t>HO SYSTEM WITH POS PERIPHERALS</t>
  </si>
  <si>
    <t>MAGOOS PIZZA -98</t>
  </si>
  <si>
    <t>SUPERBOWL ROB ERMITA -99</t>
  </si>
  <si>
    <t>GEFSEIS GREEK GRILL -103</t>
  </si>
  <si>
    <t>BACCHUS SQL - WAITER STATION</t>
  </si>
  <si>
    <t>FAMOUS AMOS TRINOMA -62</t>
  </si>
  <si>
    <t>TSCERES LITE POS PACKAGE</t>
  </si>
  <si>
    <t>STEAK BREAK BICUTAN -63</t>
  </si>
  <si>
    <t>TSCERES LITE - BIR FEE</t>
  </si>
  <si>
    <t>SUNSHINE SUPERMART -67</t>
  </si>
  <si>
    <t>RDMS SQL VERSION - BIR FEE</t>
  </si>
  <si>
    <t>CHOTTO TABETE -68</t>
  </si>
  <si>
    <t>JK POULTRY -69</t>
  </si>
  <si>
    <t>RDMS SQL WITH POS PERIPHERALS</t>
  </si>
  <si>
    <t>COLDSTONE UPTOWN -70</t>
  </si>
  <si>
    <t>TSCERES SQL - BIR FEE</t>
  </si>
  <si>
    <t>PEPPERS PIZZA - 71</t>
  </si>
  <si>
    <t>TSCERES LITE VERSION - BIR FEE</t>
  </si>
  <si>
    <t>PDM LG GARDEN WALK CEBU - 72</t>
  </si>
  <si>
    <t>TSCERES SQL VERSION - BIR FEE</t>
  </si>
  <si>
    <t>AMANO BGC - 73</t>
  </si>
  <si>
    <t>ORDERING STATION WITH POS PACKAGE</t>
  </si>
  <si>
    <t>MANILA GOLF -75</t>
  </si>
  <si>
    <t>KARIMADON - 105</t>
  </si>
  <si>
    <t>RDMS SQL - BIR FEE; EOS MINI CPU - WIN 10 PRO</t>
  </si>
  <si>
    <t>MAGOOS BAGUIO - 109</t>
  </si>
  <si>
    <t>RDMS SQL POS PACKAGE</t>
  </si>
  <si>
    <t>SNACKBAR MAKATI SQUARE - 110</t>
  </si>
  <si>
    <t>RDMS SQL POS PERIPHERALS</t>
  </si>
  <si>
    <t>BOWLING EASTWOOD - 120</t>
  </si>
  <si>
    <t>RDMS LITE - BIR FEE</t>
  </si>
  <si>
    <t>CHA TRA MUE - 121</t>
  </si>
  <si>
    <t xml:space="preserve">TSCERES SQL POS PACKAGE </t>
  </si>
  <si>
    <t>NIKKA BABES - 126</t>
  </si>
  <si>
    <t>RDMS SQL - BIR FEE</t>
  </si>
  <si>
    <t>CAFÉ ALEGRIA MOLITO - 127</t>
  </si>
  <si>
    <t>ORDERING STATION -LENOVO TABLET ROUTER</t>
  </si>
  <si>
    <t>KARIMADON - 128</t>
  </si>
  <si>
    <t xml:space="preserve">                </t>
  </si>
  <si>
    <t>THE BIG CHILL SM NORTH -77</t>
  </si>
  <si>
    <t>OON ZAMBOANGA REST -79</t>
  </si>
  <si>
    <t>BACCHUS SQL - BIR FEE</t>
  </si>
  <si>
    <t>KAFF CAFÉ -80</t>
  </si>
  <si>
    <t>EL CHATO MEXICAN KITCHEN -81</t>
  </si>
  <si>
    <t>TSCERES LITE VERSION WITH POS HARD WARES</t>
  </si>
  <si>
    <t>GONGCHA VICTORY MALL -135</t>
  </si>
  <si>
    <t>M&amp;W CALAUAN -136</t>
  </si>
  <si>
    <t>RDMS SQL - BO - PO MOD - BIR FEE</t>
  </si>
  <si>
    <t>NICKY BABES -137</t>
  </si>
  <si>
    <t>ASIAN EYE ROCKWELL -140</t>
  </si>
  <si>
    <t>RDMS SQL - EPSON PRINTER</t>
  </si>
  <si>
    <t>DIOR GREENBELT - 141</t>
  </si>
  <si>
    <t>OJO EYEWEAR -147</t>
  </si>
  <si>
    <t>KITCHEN CITY -80</t>
  </si>
  <si>
    <t>KAPITAN GIMMO -149</t>
  </si>
  <si>
    <t>AKITA GLORIETTA -150</t>
  </si>
  <si>
    <t>GUIGUI GRILL -151</t>
  </si>
  <si>
    <t>ON ATC/ DAN'S BIKE -156</t>
  </si>
  <si>
    <t>SPINKIE BABY MEGAMALL -157</t>
  </si>
  <si>
    <t>RDMS SQL VERSION-BIR FEE; EPSON PRINTER</t>
  </si>
  <si>
    <t>CALOR888 -159</t>
  </si>
  <si>
    <t>GONGCHA MY METRO TOWN MALL -169</t>
  </si>
  <si>
    <t>TSCERES SQL POS PACKAGE</t>
  </si>
  <si>
    <t>GONGCHA CITYWALK MALL TARLAC -170</t>
  </si>
  <si>
    <t>GONGCHA SORSOGON -171</t>
  </si>
  <si>
    <t>MAGOOS Q. PLAZA -174</t>
  </si>
  <si>
    <t>GONGCHA TANAY TOWN CENTER -172</t>
  </si>
  <si>
    <t>BARISTART COFFEE -175</t>
  </si>
  <si>
    <t>UNARICCI -176</t>
  </si>
  <si>
    <t>GONGCHA MITSUKOSHI MALL -177</t>
  </si>
  <si>
    <t>TSCERES SQL POS PERIPHERALS</t>
  </si>
  <si>
    <t>GONGCHA ROB TOWN MALOLOS -178</t>
  </si>
  <si>
    <t>LRC BONI -180</t>
  </si>
  <si>
    <t>2 RDMS SQL - BIR FEE</t>
  </si>
  <si>
    <t>MAGOOS MAKATI SQUARE -182</t>
  </si>
  <si>
    <t>PDM ROCKWELL BUS CENTER -83</t>
  </si>
  <si>
    <t>BACCHUS SQL VERSION - BIR FEE</t>
  </si>
  <si>
    <t>POL'S MOM'S PLACE -85</t>
  </si>
  <si>
    <t xml:space="preserve">BACCHUS SQL POS PACKAGE </t>
  </si>
  <si>
    <t>COCO MANDAUE CEBU -86</t>
  </si>
  <si>
    <t>PDM ISLAND CEBU -87</t>
  </si>
  <si>
    <t>OON SM CDO -88</t>
  </si>
  <si>
    <t>PRECLARO'S SOUVENIR SHOP -94</t>
  </si>
  <si>
    <t>PDM MARCOS HIGHWAY -95</t>
  </si>
  <si>
    <t>PAN DE MANILA PRINCETON - 102</t>
  </si>
  <si>
    <t>PAN DE MANILA DAGUPAN PANGASINAN - 103</t>
  </si>
  <si>
    <t>CLARA'S FRENCH CREPES - 104</t>
  </si>
  <si>
    <t>LECHON ROB MAGNOLIA - 107</t>
  </si>
  <si>
    <t xml:space="preserve">TSCERES LITE POS PACKAGE </t>
  </si>
  <si>
    <t>PAN DE MANILA SAN JUAN TAYTAY - 110</t>
  </si>
  <si>
    <t>KITCHENTABLE FOOD STALL - 111</t>
  </si>
  <si>
    <t>BLESSED SUNDAY FOOD SERVICES - 114</t>
  </si>
  <si>
    <t>GONGCHA GAPAN -191</t>
  </si>
  <si>
    <t xml:space="preserve">TSCERES SQL - BIR FEE; EOS MINI CPU i5 </t>
  </si>
  <si>
    <t>GONGCHA SM DAGUPAN -192</t>
  </si>
  <si>
    <t>BOS CHOW -193</t>
  </si>
  <si>
    <t>TSCERES SQL - BIR FEE; EOS MINI CPU i5 - WIN10</t>
  </si>
  <si>
    <t>KANEBO MITSUKOSHI - 195</t>
  </si>
  <si>
    <t>NOVA WELLNESS - 196</t>
  </si>
  <si>
    <t>RDMS SQ VERSION - BIR FEE</t>
  </si>
  <si>
    <t>CAFÉ ALEGRIA BORACAY - 197</t>
  </si>
  <si>
    <t>FRANKIE &amp; FRIENDS - 198</t>
  </si>
  <si>
    <t>RDMS SQL - BIR FEE; EOS MINI CPU i5</t>
  </si>
  <si>
    <t>GONGCHA SANTOLAN -209</t>
  </si>
  <si>
    <t>THE COFFEE ACADEMICS SM MEGA -211</t>
  </si>
  <si>
    <t>TSCERES SQL - BIR FEE; LENOVO</t>
  </si>
  <si>
    <t>MN+LA APPAREL -216</t>
  </si>
  <si>
    <t>KARIMADON -223</t>
  </si>
  <si>
    <t>BURRP FESTIVAL -117</t>
  </si>
  <si>
    <t>SOFTWARE UPGRADE - MCF</t>
  </si>
  <si>
    <t>PDM SAN FERNANDO PAMPANGA -118</t>
  </si>
  <si>
    <t>STEAK BREAK TELEBASTAGAN -119</t>
  </si>
  <si>
    <t>BON CAFÉ COFFEE PHILS -124</t>
  </si>
  <si>
    <t>MILK TEA CHAIN -126</t>
  </si>
  <si>
    <t>SEAFOOD PARADISE SM BAGUIO -127</t>
  </si>
  <si>
    <t>SERENITEA SORSOGON -128</t>
  </si>
  <si>
    <t>SHAKING SHAKING MILKTEA STATION -131</t>
  </si>
  <si>
    <t>SPORTSOLOGY -158</t>
  </si>
  <si>
    <t>CAFÉ ALEGRIA - 07</t>
  </si>
  <si>
    <t>BAP HEAVEN RESTAURANT -13</t>
  </si>
  <si>
    <t>NOVA WELLNESS SM NORTH -14</t>
  </si>
  <si>
    <t>PAN DE MANILA MARINA MALL -01</t>
  </si>
  <si>
    <t>PAN DE MANILA MINGLANILLA CEBU -03</t>
  </si>
  <si>
    <t>OON SM LANANG -06</t>
  </si>
  <si>
    <t>FAMOUS AMOS GLORIETTA -08</t>
  </si>
  <si>
    <t>COCO MANJU -012</t>
  </si>
  <si>
    <t>OJO EYEWEAR ROB SANTIAGO -21</t>
  </si>
  <si>
    <t>OJO EYEWEAR CLOVERLEAF -22</t>
  </si>
  <si>
    <t>KIWA RESTAURANT -23</t>
  </si>
  <si>
    <t>OJO EYEWEAR CENTRAL BLOC CEBU -29</t>
  </si>
  <si>
    <t>MACABEBEST HALOHALO -30</t>
  </si>
  <si>
    <t>NATHANIA GROCERY PALAWAN -31</t>
  </si>
  <si>
    <t>GONGCHA DAVAO -35</t>
  </si>
  <si>
    <t>TSCERES SQL - BIR FEE; EOS MINI CPU i5</t>
  </si>
  <si>
    <t>BIG CHILL GLORIETTA 1 -18</t>
  </si>
  <si>
    <t>TULLY'S EXCHANGE REGENCY PASIG -21</t>
  </si>
  <si>
    <t>STEAK &amp; GRAVY SM PASIG -24</t>
  </si>
  <si>
    <t>DRAGON PETSHOP MINDORO -25</t>
  </si>
  <si>
    <t>ABOVE SEA LEVEL FAIRVIEW TERRACES -27</t>
  </si>
  <si>
    <t>WIN'S PUB -28</t>
  </si>
  <si>
    <t>70'S KIMCHI -29</t>
  </si>
  <si>
    <t>ARTWORK HO -31</t>
  </si>
  <si>
    <t>ARTWORK GLORIETTA -32</t>
  </si>
  <si>
    <t>MILLE EATS -35</t>
  </si>
  <si>
    <t>CHICKEN BACOLOD VERTIS NORTH -36</t>
  </si>
  <si>
    <t>OON SM DAVAO -37</t>
  </si>
  <si>
    <t>SUNSHINE SUPERMART -38</t>
  </si>
  <si>
    <t>TAKUYAKI JAPANESE BALLS -41</t>
  </si>
  <si>
    <t>THE COFFEE GUYS -42</t>
  </si>
  <si>
    <t>NEXSCENTS SM NORTH -43</t>
  </si>
  <si>
    <t>TANAW RESTAURANT -44</t>
  </si>
  <si>
    <t>AVEDA SM MEGAMALL -45</t>
  </si>
  <si>
    <t>UNARICCI UPTOWN -46</t>
  </si>
  <si>
    <t>GONGCHA ONE AYALA CENTER -48</t>
  </si>
  <si>
    <t>GONGCHA SM BATAAN -49</t>
  </si>
  <si>
    <t>BOSSCOLLECTIBLES SUBIC -51</t>
  </si>
  <si>
    <t>RDMS LITE VERSION - BIR FEE</t>
  </si>
  <si>
    <t>SHISEIDO MITSUKOSHI -52</t>
  </si>
  <si>
    <t>NARA THAI -53</t>
  </si>
  <si>
    <t>MN+LA APPAREL -54</t>
  </si>
  <si>
    <t>OINK RESTAURANT -58</t>
  </si>
  <si>
    <t>LA RAGAZZA ITALIAN -59</t>
  </si>
  <si>
    <t>BACCHUS LITE POS PACKAGE</t>
  </si>
  <si>
    <t>LE MONET BAKERY -62</t>
  </si>
  <si>
    <t>MONSTER WINGS STA LUCIA -79</t>
  </si>
  <si>
    <t>TSCERES LITE POS HARD WARES</t>
  </si>
  <si>
    <t>OINK RESTAURANT SHERIDAN -82</t>
  </si>
  <si>
    <t>ARYA PERSIAN RESTAURANT SHANGRILA -47</t>
  </si>
  <si>
    <t>POTATO GIANT SM VALENZUELA-48</t>
  </si>
  <si>
    <t>BIG CHILL SM NORTH -49</t>
  </si>
  <si>
    <t>BIG CHILL GATEWAY CUBAO -50</t>
  </si>
  <si>
    <t>PDM URDANETA -51</t>
  </si>
  <si>
    <t>MAX MARA GB3 -53</t>
  </si>
  <si>
    <t>MASTER SIOMAI AYALA CEBU -54</t>
  </si>
  <si>
    <t>KITTLY SM NORTH -55</t>
  </si>
  <si>
    <t>OON ABREEZA -56</t>
  </si>
  <si>
    <t>CHICKEN BACOLOD MATALINO QC - 57</t>
  </si>
  <si>
    <t>POTATO GIANT BICUTAN -45</t>
  </si>
  <si>
    <t>HIT THE ROAD SM NORTH -91</t>
  </si>
  <si>
    <t>DIOR SM MOA -92</t>
  </si>
  <si>
    <t>HIT THE ROAD UPTC -93</t>
  </si>
  <si>
    <t>RDMS SQL - BIR FEE; INTEL CORE i5 - WIN 10</t>
  </si>
  <si>
    <t>MN+LA APPAREL MARIKINA -95</t>
  </si>
  <si>
    <t>MAGCOOP -99</t>
  </si>
  <si>
    <t>RDMS SQL - BIR FEE; ANTI-VIRUS</t>
  </si>
  <si>
    <t>UNICA HIJA SM SUBIC -100</t>
  </si>
  <si>
    <t>RDMS SQL DELPHI</t>
  </si>
  <si>
    <t>COMME CI ROCKWELL -104</t>
  </si>
  <si>
    <t>GET SPOTTED AYALA BACOLOD -62</t>
  </si>
  <si>
    <t>RDMS SQL - BIR FEE; CASH DRAWER; EPSON PRINTER</t>
  </si>
  <si>
    <t>MAJA DOUGHS &amp; DONUTS PAVILION LAGUNA -65</t>
  </si>
  <si>
    <t>HOBING THE 30TH -66</t>
  </si>
  <si>
    <t>BIG CHILL -67</t>
  </si>
  <si>
    <t>5 TSCERES SQL - BIR FEE</t>
  </si>
  <si>
    <t>STEAK BREAK ONE BONI -68</t>
  </si>
  <si>
    <t>CRAVE MILKTEA SHOP FAIRVIEW TERRACES -71</t>
  </si>
  <si>
    <t>LIPA GRILL - 72</t>
  </si>
  <si>
    <t>OTAKOMONSTA -76</t>
  </si>
  <si>
    <t>PAN DE MANILA SM BATANGAS -77</t>
  </si>
  <si>
    <t>AVEDA GREENBELT -108</t>
  </si>
  <si>
    <t>ISSHIN JAPANESE RESTAURANT -111</t>
  </si>
  <si>
    <t>OJO EYEWEAR ROB IMUS -112</t>
  </si>
  <si>
    <t>BOWLING ROB ERMITA -114</t>
  </si>
  <si>
    <t>TSCERES LITE VERSION - BIR FEE; CASH DRAWER</t>
  </si>
  <si>
    <t>BOWLING ROB IMUS -115</t>
  </si>
  <si>
    <t>MAGOOS ROB IMUS -116</t>
  </si>
  <si>
    <t>WAKASAYA -117</t>
  </si>
  <si>
    <t>POTATO KING NAIA -124</t>
  </si>
  <si>
    <t>BARISTART BGC -126</t>
  </si>
  <si>
    <t>ORDERING LICENSE - POS PERIPHERALS</t>
  </si>
  <si>
    <t>IKEBUKURO -127</t>
  </si>
  <si>
    <t>HOT POT BAGUIO -84</t>
  </si>
  <si>
    <t>KLEAN KANTEEN -88</t>
  </si>
  <si>
    <t>MIGUELITOS TRINOMA -90</t>
  </si>
  <si>
    <t>ROMANTIC BABOY MARKET -94</t>
  </si>
  <si>
    <t>MIGUELITOS SM MASINAG -98</t>
  </si>
  <si>
    <t>TULLY'S BATAAN -99</t>
  </si>
  <si>
    <t>POTATO GIANT SM CAB -100</t>
  </si>
  <si>
    <t>BIG CHILL PITX -101</t>
  </si>
  <si>
    <t>BIG CHILL GREENHILLS -102</t>
  </si>
  <si>
    <t>BIG CHILL SM NORTH -103</t>
  </si>
  <si>
    <t>BIG CHILL SM SHANGRILA -104</t>
  </si>
  <si>
    <t>BIG CHILL TOWER ONE -105</t>
  </si>
  <si>
    <t>POTATO GIANT SM DASMA -108</t>
  </si>
  <si>
    <t>AHA BILLIARD AND RESTO BAR -109</t>
  </si>
  <si>
    <t>SERENITEA LUCENA -111</t>
  </si>
  <si>
    <t>EL CHATO MEXICAN KITCHEN -116</t>
  </si>
  <si>
    <t>HAPPY TUMMY AYALA CEBU -119</t>
  </si>
  <si>
    <t>MR TOPPINGS ROB CEBU -122</t>
  </si>
  <si>
    <t>OJO EYEWEAR ROB PALAWAN -139</t>
  </si>
  <si>
    <t xml:space="preserve">RDMS SQL POS PACKAGE </t>
  </si>
  <si>
    <t>SIGNET MITSUKOSHI -145</t>
  </si>
  <si>
    <t>MIDTOWN SPORTS -155</t>
  </si>
  <si>
    <t>TAP STATION TAGAYTAY -143</t>
  </si>
  <si>
    <t>HIT THE ROAD ATC -168</t>
  </si>
  <si>
    <t xml:space="preserve">RDMS SQL POS PERIPHERALS </t>
  </si>
  <si>
    <t>HIT THE ROAD TRINOMA -169</t>
  </si>
  <si>
    <t>REVALA AYALA CEBU -125</t>
  </si>
  <si>
    <t>PAN DE MANILA AYALA MALL CEBU -126</t>
  </si>
  <si>
    <t>GIGA NATURAL PRODUCT -128</t>
  </si>
  <si>
    <t>PAN DE MANILA LIPA CATHEDRAL - 132</t>
  </si>
  <si>
    <t>DATE</t>
  </si>
  <si>
    <t>PO NO.</t>
  </si>
  <si>
    <t>BRANCH</t>
  </si>
  <si>
    <t>TYPE OF SOFTWARE</t>
  </si>
  <si>
    <t>CD SERIAL</t>
  </si>
  <si>
    <t>SYL23-0081</t>
  </si>
  <si>
    <t>4 ECOM</t>
  </si>
  <si>
    <t>TSCERES SQL</t>
  </si>
  <si>
    <t>371024A5C9FE861334</t>
  </si>
  <si>
    <t>NOT YET ACTIVATED</t>
  </si>
  <si>
    <t>THE GROVE</t>
  </si>
  <si>
    <t>39024A5C1F7E861348</t>
  </si>
  <si>
    <t>STO. TOMAS</t>
  </si>
  <si>
    <t>308124A5C9F7E61312</t>
  </si>
  <si>
    <t>STA. MESA</t>
  </si>
  <si>
    <t>RDMS SQL</t>
  </si>
  <si>
    <t>310624A5C97EF8131A</t>
  </si>
  <si>
    <t>SM CDO DOWNTOWN</t>
  </si>
  <si>
    <t>3869204A1E5161A</t>
  </si>
  <si>
    <t>MAKATI CINEMA SQUARE</t>
  </si>
  <si>
    <t>354092AC17EF861346</t>
  </si>
  <si>
    <t>NEPO MALL</t>
  </si>
  <si>
    <t>34920A5C7EF816133C</t>
  </si>
  <si>
    <t>SYL23-0086</t>
  </si>
  <si>
    <t>SAN PEDRO</t>
  </si>
  <si>
    <t>314720A5C96FE81326</t>
  </si>
  <si>
    <t>WALTERMART CALOOCAN</t>
  </si>
  <si>
    <t>310524AE9F786148A</t>
  </si>
  <si>
    <t>GREENHILLS</t>
  </si>
  <si>
    <t>35204D1C9614B2</t>
  </si>
  <si>
    <t>GLORIETTA</t>
  </si>
  <si>
    <t>BACCHUS SQL TER 1</t>
  </si>
  <si>
    <t>BACCHUS SQL TER 2</t>
  </si>
  <si>
    <t>375420A1E96815C3</t>
  </si>
  <si>
    <t>AYALA BAY MALL</t>
  </si>
  <si>
    <t>469E5280D13714B8</t>
  </si>
  <si>
    <t>469E5280D13714AF</t>
  </si>
  <si>
    <t>SOLENAD</t>
  </si>
  <si>
    <t>3154920AEF78614C2</t>
  </si>
  <si>
    <t>SYL23-0090</t>
  </si>
  <si>
    <t>CONRAD</t>
  </si>
  <si>
    <t>BACCHUS</t>
  </si>
  <si>
    <t>30492A1E5681610</t>
  </si>
  <si>
    <t>SHOPPESVILLE</t>
  </si>
  <si>
    <t>34205D17C614A4</t>
  </si>
  <si>
    <t>NUVALI</t>
  </si>
  <si>
    <t>469E5280BF371168F</t>
  </si>
  <si>
    <t>ROB. ILOILO</t>
  </si>
  <si>
    <t>504F379E281615EF</t>
  </si>
  <si>
    <t>SM ILOILO</t>
  </si>
  <si>
    <t>374520A1E9F8614B6</t>
  </si>
  <si>
    <t>SYL23-0099</t>
  </si>
  <si>
    <t>ONE AYALA</t>
  </si>
  <si>
    <t>3286054D1C7148E</t>
  </si>
  <si>
    <t>GLORIETTA 4</t>
  </si>
  <si>
    <t>346205D1C814C9</t>
  </si>
  <si>
    <t>BGC</t>
  </si>
  <si>
    <t>TSCERES LITE</t>
  </si>
  <si>
    <t>341720A5C9FE86132E</t>
  </si>
  <si>
    <t>CENTURY MALL</t>
  </si>
  <si>
    <t>36578204AC9FE1379</t>
  </si>
  <si>
    <t>GREENBELT1</t>
  </si>
  <si>
    <t>3758204AC91FE61348</t>
  </si>
  <si>
    <t>PROMENADE</t>
  </si>
  <si>
    <t>32470A5C9FE8161328</t>
  </si>
  <si>
    <t>TEKTITE</t>
  </si>
  <si>
    <t>3764520AC9FE81132E</t>
  </si>
  <si>
    <t>SM STA. ROSA</t>
  </si>
  <si>
    <t>375204AC91FE861338</t>
  </si>
  <si>
    <t>AYALA ARVO</t>
  </si>
  <si>
    <t>32704A5C98FE161318</t>
  </si>
  <si>
    <t>370254D1C86148A</t>
  </si>
  <si>
    <t>RDMS LITE</t>
  </si>
  <si>
    <t>37042A5C98D16121E</t>
  </si>
  <si>
    <t>SM MANILA</t>
  </si>
  <si>
    <t>3481205DC961490</t>
  </si>
  <si>
    <t>ATC</t>
  </si>
  <si>
    <t>307542D1C681488</t>
  </si>
  <si>
    <t>STATUS</t>
  </si>
  <si>
    <t>PAN DE MNL - SI 5523</t>
  </si>
  <si>
    <t>FIT COFFEE - SI 5524</t>
  </si>
  <si>
    <t>GONG CHA - SI 5525</t>
  </si>
  <si>
    <t>KARIMADON - SI 5526</t>
  </si>
  <si>
    <t>BOOKSALE - SI 5528</t>
  </si>
  <si>
    <t>OON - SI 5527</t>
  </si>
  <si>
    <t>GONG CHA - SI 5530</t>
  </si>
  <si>
    <t>JASSANE - SI 5529</t>
  </si>
  <si>
    <t>MAMAK - SI 5531</t>
  </si>
  <si>
    <t>MAMAK - SI 5532</t>
  </si>
  <si>
    <t>ABOVE SEA LEVEL - SI 5533</t>
  </si>
  <si>
    <t>MAMOU - SI 5534</t>
  </si>
  <si>
    <t>EUROBAKE - SI 5537</t>
  </si>
  <si>
    <t>IKEBUKURO - SI 5538</t>
  </si>
  <si>
    <t>POTATO GIANT - SI 5535</t>
  </si>
  <si>
    <t>POTATO GIANT - SI 5536</t>
  </si>
  <si>
    <t>ISSY &amp; CO - SI 5540</t>
  </si>
  <si>
    <t>SPINKIE - SI 5542</t>
  </si>
  <si>
    <t>BIG CHILL - SI 5539</t>
  </si>
  <si>
    <t>AFTER TREE - SI 5543</t>
  </si>
  <si>
    <t>MONSTER WINGS - SI 5544</t>
  </si>
  <si>
    <t>ALMEDA OPTICAL - SI 5545</t>
  </si>
  <si>
    <t>PATS PUTTS - SI 5546</t>
  </si>
  <si>
    <t>MN+LA APPAREL - SI 5547</t>
  </si>
  <si>
    <t>MICHAEL &amp; CELEST - SI 5548</t>
  </si>
  <si>
    <t>WINKLE TEA &amp; WINKLE DONUTS -83</t>
  </si>
  <si>
    <t>PAN DE MANILA FOUR ECOM -124</t>
  </si>
  <si>
    <t>GONGCHA WALTERMART CALOOCAN -171</t>
  </si>
  <si>
    <t>AFTER TREE SM STA ROSA -202</t>
  </si>
  <si>
    <t>MONSTER WINGS AYALA ARVO -203</t>
  </si>
  <si>
    <t>PERSIA GRILL FINMAN CENTRE MAKATI -23</t>
  </si>
  <si>
    <t>SERENITEA MARQUEE -25</t>
  </si>
  <si>
    <t>THE CANTEEN AYALA MAKATI CIRCUIT -216</t>
  </si>
  <si>
    <t>BRISTOL SHOES MARKET -218</t>
  </si>
  <si>
    <t>RDMS LITE POS HARD WARES</t>
  </si>
  <si>
    <t>GONGCHA STO TOMAS BATANGAS -147</t>
  </si>
  <si>
    <t>GONGCHA SM CENTER SAN PEDRO -170</t>
  </si>
  <si>
    <t>FIT COFFEE THE GROVE -134</t>
  </si>
  <si>
    <t>MAMAK GLORIETTA -191</t>
  </si>
  <si>
    <t>IKEBUKURO NUVALI -195</t>
  </si>
  <si>
    <t>MICHAEL &amp; CELEST ATC -207</t>
  </si>
  <si>
    <t>RDMS SQL - BIR FEE; EPSON PRINTER</t>
  </si>
  <si>
    <t>OON SM CDO DOWNTOWN -137</t>
  </si>
  <si>
    <t>ABOVE SEA LEVEL SOLENAD -11</t>
  </si>
  <si>
    <t>EUROBAKE SHOPPESVILLE -14</t>
  </si>
  <si>
    <t>THE BIG CHILL, INC -15</t>
  </si>
  <si>
    <t>5 TSCERES LITE - BIR FEE</t>
  </si>
  <si>
    <t>PAN DE MANILA FOUR E-COM PASAY - 19</t>
  </si>
  <si>
    <t>DREAM ART CENTER INC - 20</t>
  </si>
  <si>
    <t>REYES BARBECUE MARKET -21</t>
  </si>
  <si>
    <t>TSCERES SQL - BIR FEE; CASH DRAWER - EPSON PRINTER</t>
  </si>
  <si>
    <t>MAMOU UPTOWN BGC -24</t>
  </si>
  <si>
    <t>MAMOU CONRAD -78</t>
  </si>
  <si>
    <t>SWEET MEETS AYALA MAKATI CIRCUIT -220</t>
  </si>
  <si>
    <t>GUERLAIN GB5 -251</t>
  </si>
  <si>
    <t>DIOR SM AURA -252</t>
  </si>
  <si>
    <t>FIVE GRAINS AYALA MAKATI CIRCUIT -253</t>
  </si>
  <si>
    <t>HENLIN WALTERMART -264</t>
  </si>
  <si>
    <t>IMIN D2 - STAR PRINTER - TSCERES LITE</t>
  </si>
  <si>
    <t>TANTEASE INC -284</t>
  </si>
  <si>
    <t>HENLIN W CABUYAO -288</t>
  </si>
  <si>
    <t>TIMES TRADING -35</t>
  </si>
  <si>
    <t>RDMS SQL - BIR FEE; CASH DRAWER</t>
  </si>
  <si>
    <t>UP-FRIES FOOD KIOSK -40</t>
  </si>
  <si>
    <t>PAN DE MANILA STO TOMAS BATANGAS -44</t>
  </si>
  <si>
    <t>BALKONAHE NI DON CLEMENTE -221</t>
  </si>
  <si>
    <t>BACCHUS SQL - BIR FEE; ORDERING</t>
  </si>
  <si>
    <t>MUFE TRINOMA -222</t>
  </si>
  <si>
    <t>RDMS SQL POS HARD WARES</t>
  </si>
  <si>
    <t>GONGCHA 3 TORRE MAKATI -223</t>
  </si>
  <si>
    <t xml:space="preserve">TSCERES SQL POS PERIPHERALS </t>
  </si>
  <si>
    <t>GONGCHA WALTERMART CONCEPCION -224</t>
  </si>
  <si>
    <t>GONGCHA WALTERMART SAN PASCUAL -225</t>
  </si>
  <si>
    <t>GONGCHA NUSTAR CEBU -226</t>
  </si>
  <si>
    <t>PABLOS BISTRO SOLENAD NUVALI -228</t>
  </si>
  <si>
    <t>ISSY &amp; CO GREENHILLS -229</t>
  </si>
  <si>
    <t>SPORTSOLOGY VERTIS -240</t>
  </si>
  <si>
    <t>RDMS SQL - BIR FEE; AYALA UPGRADE</t>
  </si>
  <si>
    <t>FRANKIE &amp; FRIENDS PODIUM -250</t>
  </si>
  <si>
    <t>MOLAVE RESTAURANT -270</t>
  </si>
  <si>
    <t>MANTRA INDIAN KITCHEN VERTIS NORTH -274</t>
  </si>
  <si>
    <t>POTATO CORNER MITSUKOSHI -277</t>
  </si>
  <si>
    <t>HARUJUKU CAFÉ THE 30TH -278</t>
  </si>
  <si>
    <t>TSCERES SQL - BIR FEE; EPSON PRINTER</t>
  </si>
  <si>
    <t>HENLIN W CARMONA -289</t>
  </si>
  <si>
    <t>MAMOU GATEWAY -36</t>
  </si>
  <si>
    <t>ARENA GROUP GLOBAL INC -54</t>
  </si>
  <si>
    <t xml:space="preserve">RDMS SQL - BIR FEE; WIN10 &amp; APC </t>
  </si>
  <si>
    <t>OON STO TOMAS -58</t>
  </si>
  <si>
    <t>GONGCHA PHILS INC AYALA MARIKINA -300</t>
  </si>
  <si>
    <t>OJO EYEWEAR &amp; SERVICES ROB GEN SAN -302</t>
  </si>
  <si>
    <t>MN+LA APPAREL ONE AYALA -309</t>
  </si>
  <si>
    <t>PATS PUTTS CENTRAL BLOC -314</t>
  </si>
  <si>
    <t>BACCHUS SQL POS PERIPHERALS</t>
  </si>
  <si>
    <t>OON SM MANILA -69</t>
  </si>
  <si>
    <t>not included in the invoice</t>
  </si>
  <si>
    <t>LESS: EUROBAKE</t>
  </si>
  <si>
    <t>SERENITEA PATRON MAKATI - BEL AIR -006</t>
  </si>
  <si>
    <t>1ST COLONIAL AYALA MALLS LEGAZPI -007</t>
  </si>
  <si>
    <t>LECHON SM AURA -009</t>
  </si>
  <si>
    <t>DAJA FOOD SERVICES -015</t>
  </si>
  <si>
    <t>TSCERES SQL FULL VERSION - BIR FEE</t>
  </si>
  <si>
    <t>SERENITEA MATALINO -022</t>
  </si>
  <si>
    <t>PATS PUTTS AYALA CENTRAL BLOC -025</t>
  </si>
  <si>
    <t xml:space="preserve">RDMS LITE POS PACKAGE </t>
  </si>
  <si>
    <t>OJO EYEWEAR AYALA BACOLOD -010</t>
  </si>
  <si>
    <t>ARKEN MAKATI CIRCUIT -011</t>
  </si>
  <si>
    <t>TSCERES LITE WITH POS HARD WARES</t>
  </si>
  <si>
    <t>CHOTTO TABETE CEBU -001</t>
  </si>
  <si>
    <t>PAN DE MANILA SM CENTER PULILAN -013</t>
  </si>
  <si>
    <t>LIPA GRILLE WEST FAIRVIEW -016</t>
  </si>
  <si>
    <t>OON SM DASMA -019</t>
  </si>
  <si>
    <t>OLIVE ROSE AYALA MALL BAY MALL -001</t>
  </si>
  <si>
    <t>SHI SHANG HOT POT -39</t>
  </si>
  <si>
    <t>KARIMADON -40</t>
  </si>
  <si>
    <t>CURATE ONE AYALA -26</t>
  </si>
  <si>
    <t>HALO-HALO STORE ROCKWELL -27</t>
  </si>
  <si>
    <t>SIRALOP REFRESHMENT STALL -29</t>
  </si>
  <si>
    <t>COFFEE FIRST CENTRAL BLOC CEBU -33</t>
  </si>
  <si>
    <t>GONGCHA VICTORY MALL PASAY -52</t>
  </si>
  <si>
    <t>LIGHTERS GALORE GATEWAY -54</t>
  </si>
  <si>
    <t>HIT THE ROAD GLORIETTA -56</t>
  </si>
  <si>
    <t>FOODEXPRESS MINDORO -58</t>
  </si>
  <si>
    <t>MONSTER WING AYALA FELIZ -59</t>
  </si>
  <si>
    <t>TSCERES LITE POS PERIPHERALS</t>
  </si>
  <si>
    <t>OJO EYEWEAR ROB NAGA -61</t>
  </si>
  <si>
    <t>OJO EYEWEAR PAVILION BIÑAN -62</t>
  </si>
  <si>
    <t>GONGCHA VM BULACAN -64</t>
  </si>
  <si>
    <t>PAN DE MANILA TAGUIG -41</t>
  </si>
  <si>
    <t>OON SM GEN SAN -44</t>
  </si>
  <si>
    <t>POTATO GIANT SM CENTER IMUS -45</t>
  </si>
  <si>
    <t>PJYY FAST-FOOD CHAIN -50</t>
  </si>
  <si>
    <t>POTATO GIANT ROB ILOILO -</t>
  </si>
  <si>
    <t>WORLD CHICKEN FISHERMALL MALABON -74</t>
  </si>
  <si>
    <t>GONGCHA MONTALBAN -78</t>
  </si>
  <si>
    <t>GONGCHA ALTURAS MALL BOHOL -79</t>
  </si>
  <si>
    <t>MAMOU UPTOWN BGC -51</t>
  </si>
  <si>
    <t>COLDSTONE SERIN -52</t>
  </si>
  <si>
    <t>FAMOUS AMOS S MAISON -56</t>
  </si>
  <si>
    <t>LOLA SAYONG COMMUNITY -315</t>
  </si>
  <si>
    <t>LESS: BRISTOL SHOES</t>
  </si>
  <si>
    <t>JPEE YOS FOOD AND BEVERAGES STORE -60</t>
  </si>
  <si>
    <t>KRAKEN TAKOYAKI -62</t>
  </si>
  <si>
    <t>3 TSCERES LITE VERSION - BIR FEE</t>
  </si>
  <si>
    <t>ROSSANA OCAMPO -104</t>
  </si>
  <si>
    <t>MAGOOS GATEWAY -105</t>
  </si>
  <si>
    <t>BOWLING GATEWAY -106</t>
  </si>
  <si>
    <t>MAGOOS EASTWOOD -107</t>
  </si>
  <si>
    <t>BOWLING EASTWOOD -108</t>
  </si>
  <si>
    <t>RECOVERY -109</t>
  </si>
  <si>
    <t>GUILLY TOMAS MORATO -117</t>
  </si>
  <si>
    <t>NOCEDA TAGAYTAY -125</t>
  </si>
  <si>
    <t>FUDGEROCK ROB MANILA -135</t>
  </si>
  <si>
    <t>ISSY &amp; CO SM MEGA -136</t>
  </si>
  <si>
    <t>ISSY &amp; CO VERTIS -137</t>
  </si>
  <si>
    <t>KANZEN SUSHI SM SANGANDAAN -146</t>
  </si>
  <si>
    <t>KANZEN SUSHI SM VALENZUELA -147</t>
  </si>
  <si>
    <t>KANZEN SUSHI SM MASINAG -148</t>
  </si>
  <si>
    <t>MAMOU ATC -68</t>
  </si>
  <si>
    <t>THE FLOWER FARM SOLENAD -69</t>
  </si>
  <si>
    <t>TATAY'S GRILL - 71</t>
  </si>
  <si>
    <t>MAMOU SERENDRA -72</t>
  </si>
  <si>
    <t>RICE CO RESTAURANT -73</t>
  </si>
  <si>
    <t>SNIFF AND PAWS PET SUPPLIES -75</t>
  </si>
  <si>
    <t>SERENITEA CALIFORNIA GARDEN -90</t>
  </si>
  <si>
    <t>PERSIA GRILL NORTH EXHANGE -91</t>
  </si>
  <si>
    <t>MY HAPPY HOME GHILLS -97</t>
  </si>
  <si>
    <t>TSOKOLATERIA ARTISANAL CAFÉ CO -98</t>
  </si>
  <si>
    <t>SAKURA RESTAURANT -159</t>
  </si>
  <si>
    <t>GONGCHA PAGADIAN -162</t>
  </si>
  <si>
    <t>1987 CLOTHING -163</t>
  </si>
  <si>
    <t>RDMS LITE VERSION - BIR FEE; PRINTER</t>
  </si>
  <si>
    <t>BOWLING GATEWAY -166</t>
  </si>
  <si>
    <t>TSCERES SQL - BIR FEE; MONITOR - DRAWER</t>
  </si>
  <si>
    <t>HOUSE OF THAI -167</t>
  </si>
  <si>
    <t>GONGCHA DUMAGUETE -168</t>
  </si>
  <si>
    <t>POTATO CORNER PITX -85</t>
  </si>
  <si>
    <t>3 ISSY ROVING</t>
  </si>
  <si>
    <t>DEAR HAPPY</t>
  </si>
  <si>
    <t>BAP HEAVEN SM CEBU</t>
  </si>
  <si>
    <t>LOBBY 385 SAN JUAN</t>
  </si>
  <si>
    <t>NOCEDA CORP</t>
  </si>
  <si>
    <t>YIFANG SM SUCAT</t>
  </si>
  <si>
    <t>LIAM'S LOMI HOUSE</t>
  </si>
  <si>
    <t>NOCEDA BAKERY</t>
  </si>
  <si>
    <t>PO SYL24-0108</t>
  </si>
  <si>
    <t>PO SYL24-0110</t>
  </si>
  <si>
    <t>PO SYL24-0088</t>
  </si>
  <si>
    <t>PO SYL24-0093</t>
  </si>
  <si>
    <t>1ST COLONIAL CREMERIA</t>
  </si>
  <si>
    <t>FAMOUS AMOS PODIUM</t>
  </si>
  <si>
    <t>GONGCHA ROB NOVA</t>
  </si>
  <si>
    <t>COLOR STONE GREENHILLS</t>
  </si>
  <si>
    <t>PO SYL24-0116</t>
  </si>
  <si>
    <t>ISSY &amp; CO. SM CLARK - 219</t>
  </si>
  <si>
    <t>ISSY &amp; CO. SM TELEBASTAGAN- 220</t>
  </si>
  <si>
    <t>CHICKEN BACOLOD NORTH EXCHANGE139</t>
  </si>
  <si>
    <t>PO SYL24-0120</t>
  </si>
  <si>
    <t>MR TOPPINGS AYALA CEBU- 144</t>
  </si>
  <si>
    <t>FRANKIE &amp; FRIENDS MITSUKOSHI-165</t>
  </si>
  <si>
    <t>1ST COLONIAL GRILL SM SORSOGON-140</t>
  </si>
  <si>
    <t>PO SYL24-0125</t>
  </si>
  <si>
    <t>GONGCHA PANIQUI- 233</t>
  </si>
  <si>
    <t>TEAHUB CORP NAIC- 234</t>
  </si>
  <si>
    <t>TEAMAKERS  CORP SILANG- 235</t>
  </si>
  <si>
    <t>CAPEZIO BOUTIQUE ATC- 016</t>
  </si>
  <si>
    <t>OLIGEN PHARMACY TGP FRANCHISE-131</t>
  </si>
  <si>
    <t>PO SYL24-0129</t>
  </si>
  <si>
    <t>ISSY &amp; CO. SM UPTOWN BGC- 221</t>
  </si>
  <si>
    <t>ISSY &amp; CO. SM FAIRVIEW TERRECES- 222</t>
  </si>
  <si>
    <t>ISSY &amp; CO. UPTOWN CENTER- 223</t>
  </si>
  <si>
    <t>PO SYL24-0131</t>
  </si>
  <si>
    <t xml:space="preserve">ADVANCE PAYMENT </t>
  </si>
  <si>
    <t>1ST COLONIAL SM DAET</t>
  </si>
  <si>
    <t>PO SYL24-0135</t>
  </si>
  <si>
    <t>TIONG BAHRU PHILIPPINES INC- GATEWAY 2- 020</t>
  </si>
  <si>
    <t>TIONG BAHRU PHILIPPINES INC-MET Live- 021</t>
  </si>
  <si>
    <t>PO SYL24-0140</t>
  </si>
  <si>
    <t>MALAYA'S CAFÉ -111</t>
  </si>
  <si>
    <t>BOTCHOY'S AYALA CEBU - 145</t>
  </si>
  <si>
    <t>ACESTAR VMV - VISTA MALL - 255</t>
  </si>
  <si>
    <t>GRIMALKIN CORP- NINETYGO SM NORTH EDSA-023</t>
  </si>
  <si>
    <t>PO SYL24-0146</t>
  </si>
  <si>
    <t>LUXASIA RETAIL INC - ECOMMERCE HEAD OFFICE - 263</t>
  </si>
  <si>
    <t>ISSY &amp; C0 MARKET MARKET - 265</t>
  </si>
  <si>
    <t>ISSY &amp; CO ATC- 259</t>
  </si>
  <si>
    <t>ISSY &amp; CO TRINOMA- 261</t>
  </si>
  <si>
    <t>ISSY &amp; CO SM DASMA-  262</t>
  </si>
  <si>
    <t>PO SYL24-0151</t>
  </si>
  <si>
    <t>BRISTOL SHOES MARIKINA- 027</t>
  </si>
  <si>
    <t>PO SYL24-0158</t>
  </si>
  <si>
    <t>SKINICN AESTHETICS- THE VANTAGE- 030</t>
  </si>
  <si>
    <t>FRYING CHICKEN X BOKKI TTEOKBOKKI- AYALA MALLS-025</t>
  </si>
  <si>
    <t>COLONIAL CREAMERY SM LEGAZPI- 187</t>
  </si>
  <si>
    <t>MAMOU AYALA MALLS 30TH - 163</t>
  </si>
  <si>
    <t>JAZZY FRANCE- AYALA MALLS FELIZ- 002</t>
  </si>
  <si>
    <t>PO SYL25-0004</t>
  </si>
  <si>
    <t>PO SYL24-0156</t>
  </si>
  <si>
    <t>BOWL GOGI LANDMARK ALABANG - 167</t>
  </si>
  <si>
    <t>CHA TRA MUE - 142</t>
  </si>
  <si>
    <t>OUT OF NOWHERE SM LANANG- 149</t>
  </si>
  <si>
    <t>STEAK AND GRAVY GHILLS- 153</t>
  </si>
  <si>
    <t>5-11 TACTICAL - TRINOMA- 001</t>
  </si>
  <si>
    <t>LUXASIA RETAIL INC- ROVING 2 POS HEAD OFFICE- 264</t>
  </si>
  <si>
    <t>LUXASIA RETAIL INC- ROVING 1 POS HEAD OFFICE- 264</t>
  </si>
  <si>
    <t>ISSY &amp; CO A. CENTRIO - 260</t>
  </si>
  <si>
    <t>STEAK BREAK MANILA BAY- 166</t>
  </si>
  <si>
    <t>PO SYL25-0010</t>
  </si>
  <si>
    <t>NINETYGO SM BICUTAN</t>
  </si>
  <si>
    <t>PAENGS EASTWOOD - MAGOOS GATEWAY-275</t>
  </si>
  <si>
    <t>MALAYA'S CAFÉ UP LOS BANOS- 014</t>
  </si>
  <si>
    <t>PO SYL25-0015</t>
  </si>
  <si>
    <t>LIPA GRILLE SAN FELIPE BATANGAS - 015</t>
  </si>
  <si>
    <t>KITCHEN CITY SM ARENA - 011</t>
  </si>
  <si>
    <t>ISSY &amp; CO FESTIVAL -015</t>
  </si>
  <si>
    <t>MODINE INC- MANILA GOLD COUNTRY CLUB- 189</t>
  </si>
  <si>
    <t>PO SYL25-0020</t>
  </si>
  <si>
    <t>WORLD CHICKEN MARKET MARKET - 279</t>
  </si>
  <si>
    <t>PO SYL25-0025</t>
  </si>
  <si>
    <t>LUXASIA - ROCKWELL- 041</t>
  </si>
  <si>
    <t>CHICKEN BACOLOD VERMOSA- 206</t>
  </si>
  <si>
    <t>PO SYL25-0034</t>
  </si>
  <si>
    <t>PAMANA AND TSOKOLATERIA SM AURA- 022</t>
  </si>
  <si>
    <t>PO SYL25-0040</t>
  </si>
  <si>
    <t>PO SYL25-0046</t>
  </si>
  <si>
    <t>SHOP SAMAHAN AYALA MALLS CAPITOL CENTRAL BACOLOD -020</t>
  </si>
  <si>
    <t>TIONG BAHRU ATC-014</t>
  </si>
  <si>
    <t>TIONG BAHRU PHILS- ROBINSONS ANTIPOLO-006</t>
  </si>
  <si>
    <t>TIONG BAHRU ESTANCIA MALL -018</t>
  </si>
  <si>
    <t>PUYAT FESTIVAL LANE- MAGOOS FEATIVAL- 254</t>
  </si>
  <si>
    <t>PO SYL25-0051</t>
  </si>
  <si>
    <t>PO SYL25-0058 ORDERING STATION</t>
  </si>
  <si>
    <t>BACOLOD CHICKEN -XENTRO MALL MONTALBAN -044</t>
  </si>
  <si>
    <t xml:space="preserve">PO SYL25-0058 </t>
  </si>
  <si>
    <t>CASA REYES BISTRO GROUP INC- CASA REYES- 250</t>
  </si>
  <si>
    <t>PO SYL25-0059</t>
  </si>
  <si>
    <t>TIONG BAHRU LANDMARK BY THE BAY -017</t>
  </si>
  <si>
    <t>ISSY &amp; CO - ROB. MANILA - 059</t>
  </si>
  <si>
    <t>YANKEE CANDLES SM NORTH EDSA-024</t>
  </si>
  <si>
    <t>STROOP &amp; ZO AYALA MALLS MANILA BAY -026</t>
  </si>
  <si>
    <t>CHA TRA MUE- SM MOA- 028</t>
  </si>
  <si>
    <t>EVER DELIGHT CORP- GONGCHA WALTERMART ARAYAT-075</t>
  </si>
  <si>
    <t>PO SYL25-0065</t>
  </si>
  <si>
    <t>BIG CHILL -67 -TEKTITE</t>
  </si>
  <si>
    <t>BIG CHILL -67 PROMENADE</t>
  </si>
  <si>
    <t>PO SYL23-0099</t>
  </si>
  <si>
    <t>PO SYL25-0068</t>
  </si>
  <si>
    <t xml:space="preserve">TERMINAL 1 </t>
  </si>
  <si>
    <t>TERMINAL 2</t>
  </si>
  <si>
    <t>THE TEA HOUSE BAYMALL- 044</t>
  </si>
  <si>
    <t>TERMINAL 1</t>
  </si>
  <si>
    <t xml:space="preserve">TERMINAL 2 </t>
  </si>
  <si>
    <t>KALBROS BAR AND RESTAURANT FESTIVAL MALL-083</t>
  </si>
  <si>
    <t>TS CERES SQL VER.</t>
  </si>
  <si>
    <t>RDMS SQL VER.</t>
  </si>
  <si>
    <t>BACCHUS SQL VER.</t>
  </si>
  <si>
    <t>TS CERES LITE VER.</t>
  </si>
  <si>
    <t>TS CERES SQL LITE VER.</t>
  </si>
  <si>
    <t>PO SYL25-0076</t>
  </si>
  <si>
    <t>OJO EYEWEAR ROB. CEBU -094</t>
  </si>
  <si>
    <t>OJO EYEWEAR STA LUCIA DAVAO -095</t>
  </si>
  <si>
    <t>PO SYL25-0080</t>
  </si>
  <si>
    <t>KLEAN KANTEEN SM MEGAMALL- 067</t>
  </si>
  <si>
    <t>FUN CITY - CIRCUIT MAKATI -034</t>
  </si>
  <si>
    <t>FUN CITY - AYALA MALLS MANILA BAY -035</t>
  </si>
  <si>
    <t>PO SYL25-0084</t>
  </si>
  <si>
    <t>MASTER AIRSOFT AYALA MANILA BAY-088</t>
  </si>
  <si>
    <t>KITCHEN CITY VENICE- 001</t>
  </si>
  <si>
    <t>KITCHEN CITY VENICE -088</t>
  </si>
  <si>
    <t>RDMS LITE SQL VER.</t>
  </si>
  <si>
    <t>ISSY &amp; CO SM FAIRVIEW -125</t>
  </si>
  <si>
    <t>PO SYL25-0089</t>
  </si>
  <si>
    <t>MAMOU THE PODIUM - 039</t>
  </si>
  <si>
    <t>TIONG BAHRU SM NORTH THE BLOCK-042</t>
  </si>
  <si>
    <t>PO SYL25-0093</t>
  </si>
  <si>
    <t>POTATO GIANT SM BALIWAG-109</t>
  </si>
  <si>
    <t>PO SYL25-0097</t>
  </si>
  <si>
    <t>TS CERES LITE SQL VER.</t>
  </si>
  <si>
    <t>ISSY &amp; CO SEASIDE CEBU -132</t>
  </si>
  <si>
    <t>PO SYL25-0101</t>
  </si>
  <si>
    <t>MUSTELA AYALA CEBU-045</t>
  </si>
  <si>
    <t>PO SYL25-0102</t>
  </si>
  <si>
    <t>LORD STOW'S BAKERY - SKY GARDEN ONGPIN -111</t>
  </si>
  <si>
    <t>PO SYL25-0104</t>
  </si>
  <si>
    <t>KARIMADON- SM MANILA  -135</t>
  </si>
  <si>
    <t>PO SYL25-0105</t>
  </si>
  <si>
    <t>PO SYL25-0106</t>
  </si>
  <si>
    <t>TAP STATION STA. ROSA -143</t>
  </si>
  <si>
    <t>TIONG BAHRU TORILLO -041</t>
  </si>
  <si>
    <t>TONALA (OON) SM BACOLOD-091</t>
  </si>
  <si>
    <t>PO SYL25-0108</t>
  </si>
  <si>
    <t>PO SYL25-0107</t>
  </si>
  <si>
    <t>BACCHUS LITE  SQL VER.</t>
  </si>
  <si>
    <t>HARVEST HOTEL NUEVA ECIJA- 045</t>
  </si>
  <si>
    <t>BACCHUS ANDROID VER.</t>
  </si>
  <si>
    <t>PO SYL25-0116</t>
  </si>
  <si>
    <t>LUANA LIFESTYLE- HUE BORACAY - 133</t>
  </si>
  <si>
    <t>TGP FRANCHISE VALENZUELA -053</t>
  </si>
  <si>
    <t>PO SYL25-0117</t>
  </si>
  <si>
    <t>2 ORDERING STATION</t>
  </si>
  <si>
    <t>2 BA CCHUS ANDROID VER.</t>
  </si>
  <si>
    <t>MAMOU ROCKWELL - 040</t>
  </si>
  <si>
    <t>PO SYL25-0118</t>
  </si>
  <si>
    <t>COLONIAL CREAMERY AYALA MALLS FELIZ -094</t>
  </si>
  <si>
    <t>PO SYL25-0119</t>
  </si>
  <si>
    <t>ROMAN RESTAURANT U.N.MLA.-0129</t>
  </si>
  <si>
    <t>PO SYL25-0120</t>
  </si>
  <si>
    <t>CHU CHU BEAUTY GLORIETTA-057</t>
  </si>
  <si>
    <t>PO SYL25-0121</t>
  </si>
  <si>
    <t>CHU CHU BEAUTY FESTIVAL MALL-056</t>
  </si>
  <si>
    <t>PO SYL25-0122</t>
  </si>
  <si>
    <t>CHU CHU BEAUTY GREENHILLS -055</t>
  </si>
  <si>
    <t>PO SYL25-0123</t>
  </si>
  <si>
    <t>CHU CHU BEAUTY TONDO MANILA -054</t>
  </si>
  <si>
    <t>PO SYL25-0124</t>
  </si>
  <si>
    <t>AZIAN CRYSTAL CORP- SM MOA- 117</t>
  </si>
  <si>
    <t>PO SYL25-0125</t>
  </si>
  <si>
    <t>HENLIN OUTLET LIPA -113</t>
  </si>
  <si>
    <t>PO SYL25-0126</t>
  </si>
  <si>
    <t>TS CERES ANDROID VER.</t>
  </si>
  <si>
    <t>DANIELITOS HOME KITCHEN TAGAYTAY-098</t>
  </si>
  <si>
    <t>TIONG BAHRU UP TOWN CENTER -060</t>
  </si>
  <si>
    <t>PO SYL25-0130</t>
  </si>
  <si>
    <t>CHA TRA MUE ROB. GALLERIA -120</t>
  </si>
  <si>
    <t>PO SYL25-0132</t>
  </si>
  <si>
    <t>CHA TRA MUE ROB. ANTIPOLO -121</t>
  </si>
  <si>
    <t>PO SYL25-0135</t>
  </si>
  <si>
    <t>PO SYL25-0133</t>
  </si>
  <si>
    <t>BLANC NUE ONE AYALA-153</t>
  </si>
  <si>
    <t>MADE NICE INC - MAMOU POWERPLANT MALL  ROCKWELL -102</t>
  </si>
  <si>
    <t>PO SYL25-0136</t>
  </si>
  <si>
    <t>PO SYL25-0137</t>
  </si>
  <si>
    <t>THE CRUNCH HARBOR POINT SUBIC- 061</t>
  </si>
  <si>
    <t>PO SYL25-0139</t>
  </si>
  <si>
    <t>PO SYL25-0140</t>
  </si>
  <si>
    <t>SHIN CLARA FOOD CORP- MARKET MARKET -126</t>
  </si>
  <si>
    <t>PO SYL25-0141</t>
  </si>
  <si>
    <t>GONG CHA SUNNY DELIGHT ( DAVAO DEL SUR)-156</t>
  </si>
  <si>
    <t>PO SYL25-0142</t>
  </si>
  <si>
    <t>GONG CHA EVER DELIGHT (VALENZUELA TOWN ) -155</t>
  </si>
  <si>
    <t>PO SYL25-0143</t>
  </si>
  <si>
    <t>TS CERES SQL VER.-</t>
  </si>
  <si>
    <t>RDMS SQL VER.-</t>
  </si>
  <si>
    <t>COLONIAL CREAMERY AYALA MALLS CLOVERLEAF- 129</t>
  </si>
  <si>
    <t>PO SYL25-0127</t>
  </si>
  <si>
    <t>TS CERES  SQL VER.</t>
  </si>
  <si>
    <t>MOTO SM MASINAG-063</t>
  </si>
  <si>
    <t>PO SYL25-0148</t>
  </si>
  <si>
    <t>PO SYL25-0149</t>
  </si>
  <si>
    <t>SIAPNO-TADA OPTICAL SM URDANETA -068</t>
  </si>
  <si>
    <t>PO SYL25-0157</t>
  </si>
  <si>
    <t>SIAPNO-TADA OPTICAL SM ROSALES -069</t>
  </si>
  <si>
    <t>PO SYL25-0158</t>
  </si>
  <si>
    <t>MALAYA'S CAFÉ AGAPITA- 096</t>
  </si>
  <si>
    <t>PO SYL25-0161</t>
  </si>
  <si>
    <t>MANNY'S SEAFOOD AND GRILL AYALA MALL BACOLOD-133</t>
  </si>
  <si>
    <t>PO SYL25-0162</t>
  </si>
  <si>
    <t>EVER DELIGHT (WALTERMART  MABALACAT) -154</t>
  </si>
  <si>
    <t>PO SYL25-0163</t>
  </si>
  <si>
    <t>FUN CITY AYALA MALLS FELIZ -051</t>
  </si>
  <si>
    <t>PO SYL25-0164</t>
  </si>
  <si>
    <t>HUE SIARGAO-168</t>
  </si>
  <si>
    <t>HUE PALAWAN -167</t>
  </si>
  <si>
    <t xml:space="preserve">TOTAL </t>
  </si>
  <si>
    <t>METROMART VERMOSA-142</t>
  </si>
  <si>
    <t>PO SYL25-0165</t>
  </si>
  <si>
    <t>CINNABON SM DAVAO -132</t>
  </si>
  <si>
    <t>PO SYL25-0166</t>
  </si>
  <si>
    <t>PO SYL25-0167</t>
  </si>
  <si>
    <t>KUANG HENG ROB. MANILA -136</t>
  </si>
  <si>
    <t>STEAK BREAK SM CITY MOLINO-140</t>
  </si>
  <si>
    <t>PO SYL25-0168</t>
  </si>
  <si>
    <t>TOMORO PAVILLION MALL LAGUNA -146</t>
  </si>
  <si>
    <t>PO SYL25-0169</t>
  </si>
  <si>
    <t>FERINO'S CAFÉ- 065</t>
  </si>
  <si>
    <t>PO SYL25-0170</t>
  </si>
  <si>
    <t>ISSY &amp; CO CAPITOL CENTRAL-177</t>
  </si>
  <si>
    <t>PO SYL25-0171</t>
  </si>
  <si>
    <t>AQUAFLASK FESTIVAL MALL-071</t>
  </si>
  <si>
    <t>PO SYL25-0177</t>
  </si>
  <si>
    <t>AQUAFLASK DESIGN SM DASMA -072</t>
  </si>
  <si>
    <t>PO SYL25-0178</t>
  </si>
  <si>
    <t>AQUAFLASK DESIGN SM MARILAO -073</t>
  </si>
  <si>
    <t>PO SYL25-0179</t>
  </si>
  <si>
    <t>THE VALLEY AYALA MALLS THE 30TH-074</t>
  </si>
  <si>
    <t>PO SYL25-0180</t>
  </si>
  <si>
    <t>AQUAFLASK AYALA CENTER CEBU-052</t>
  </si>
  <si>
    <t>PO SYL25-0181</t>
  </si>
  <si>
    <t>KARIMADON SM BICUTAN-136</t>
  </si>
  <si>
    <t>PO SYL25-0185</t>
  </si>
  <si>
    <t>YANKEE CANDLES SM MOA -077</t>
  </si>
  <si>
    <t>PO SYL25-0186</t>
  </si>
  <si>
    <t>THE VIEW REST. - TAGAYTAY-192</t>
  </si>
  <si>
    <t>PO SYL25-0202</t>
  </si>
  <si>
    <t>FRANCESCO REST. - SAN JUAN- 180</t>
  </si>
  <si>
    <t>PO SYL25-0203</t>
  </si>
  <si>
    <t>SIZZLE MANIA (BOS CHOW'S ) SM CENTER TUGUEGARAO DOWNTOWN- 151</t>
  </si>
  <si>
    <t>PO SYL25-0205</t>
  </si>
  <si>
    <t>TATAY'S GRILL INC LUBAO PAMPANGA-163</t>
  </si>
  <si>
    <t>PO SYL25-0206</t>
  </si>
  <si>
    <t>SIZZLE MANIA (BOS' CHOW ) ROBINSONS PLACE TUGUEGARAO-164</t>
  </si>
  <si>
    <t>PO SYL25-0207</t>
  </si>
  <si>
    <t>MOTO SM SAN MATEO -064</t>
  </si>
  <si>
    <t>SAMU ADVERTISEMENT MARKETING SM CITY</t>
  </si>
  <si>
    <t>PO SYL25-0208</t>
  </si>
  <si>
    <t>CROWN PIN - PROSHOP FESTIVAL- 069</t>
  </si>
  <si>
    <t>PO SYL25-0209</t>
  </si>
  <si>
    <t>BOWLING MAKATI SQUARE-172</t>
  </si>
  <si>
    <t>PO SYL25-0210</t>
  </si>
  <si>
    <t>DAN'S BIKESHOP SM AURA-085</t>
  </si>
  <si>
    <t>PO SYL25-0215</t>
  </si>
  <si>
    <t>LUCKY BEAUTY -GOOD MOLECULES SAN JUAN-030</t>
  </si>
  <si>
    <t>PO SYL25-0217</t>
  </si>
  <si>
    <t>SUNNY DELIGHT MAHI CEBU -161</t>
  </si>
  <si>
    <t>PO SYL25-0220</t>
  </si>
  <si>
    <t>ISSY &amp; CO SM CEBU- 261</t>
  </si>
  <si>
    <t>PO SYL25-0221</t>
  </si>
  <si>
    <t xml:space="preserve">PAOTSIN ROB. BAGONG SILANG -197 </t>
  </si>
  <si>
    <t>FRUITS IN ICE CREAM -AYALA MALLS CENTRIO CDO-093</t>
  </si>
  <si>
    <t>PO SYL25-0223</t>
  </si>
  <si>
    <t>PO SYL25-0224</t>
  </si>
  <si>
    <t>CHU CHU BEAUTY ARCA SOUTH - 092</t>
  </si>
  <si>
    <t>PO SYL25-0232</t>
  </si>
  <si>
    <t>PO SYL25-0233</t>
  </si>
  <si>
    <t>CHU CHU BEAUTY MARKET MARKET - 090</t>
  </si>
  <si>
    <t>BLANC NUE GREENHILLS -179</t>
  </si>
  <si>
    <t>PO SYL25-0234</t>
  </si>
  <si>
    <t>BOOKSALE ROBINSONS METRO EAST -193</t>
  </si>
  <si>
    <t>PO SYL25-0235</t>
  </si>
  <si>
    <t>PO SYL25-0236</t>
  </si>
  <si>
    <t>EVER DELIGHT - WALTERMART SAN FERNANDO-201</t>
  </si>
  <si>
    <t>SNACK BAR MAKATI. SQUARE-173</t>
  </si>
  <si>
    <t>PO SYL26-0010</t>
  </si>
  <si>
    <t>BACOLOD CHICKEN PITX -218</t>
  </si>
  <si>
    <t>PO SYL26-0011</t>
  </si>
  <si>
    <t>MORIBIZ RESTAURANT TAGAYTAY -194</t>
  </si>
  <si>
    <t>PO SYL26-0017</t>
  </si>
  <si>
    <t>THE ECO SHIFT ATC-003</t>
  </si>
  <si>
    <t>PO SYL26-0018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</si>
</sst>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m\-dd"/>
    <numFmt numFmtId="165" formatCode="[$-409]d\-mmm;@"/>
    <numFmt numFmtId="166" formatCode="_(* #,##0.00_);_(* \(#,##0.00\);_(* \-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2"/>
      <color rgb="FFFF0000"/>
      <name val="Arial Black"/>
      <family val="2"/>
    </font>
    <font>
      <b/>
      <sz val="12"/>
      <color theme="1"/>
      <name val="Arial"/>
      <family val="2"/>
    </font>
    <font>
      <sz val="14"/>
      <color theme="1"/>
      <name val="Aharoni"/>
      <charset val="177"/>
    </font>
    <font>
      <sz val="11"/>
      <color rgb="FFFF0000"/>
      <name val="Calibri"/>
      <family val="2"/>
      <scheme val="minor"/>
    </font>
    <font>
      <sz val="12"/>
      <name val="Arial Black"/>
      <family val="2"/>
    </font>
    <font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rial Black"/>
      <family val="2"/>
    </font>
    <font>
      <sz val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theme="1"/>
      <name val="Calibri"/>
      <family val="2"/>
      <scheme val="minor"/>
    </font>
    <font>
      <sz val="9"/>
      <name val="Calibri"/>
      <family val="2"/>
    </font>
    <font>
      <sz val="8"/>
      <color theme="1"/>
      <name val="Calibri"/>
      <family val="2"/>
      <scheme val="minor"/>
    </font>
    <font>
      <sz val="10"/>
      <color theme="1"/>
      <name val="Cambria"/>
      <family val="2"/>
      <scheme val="major"/>
    </font>
    <font>
      <sz val="10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0"/>
      <name val="Calibri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sz val="10"/>
      <name val="Calibri Light"/>
      <family val="2"/>
    </font>
    <font>
      <sz val="8"/>
      <name val="Calibri Light"/>
      <family val="2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/>
  </cellStyleXfs>
  <cellXfs count="31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43" fontId="0" fillId="4" borderId="0" xfId="1" applyFont="1" applyFill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/>
    <xf numFmtId="0" fontId="7" fillId="4" borderId="0" xfId="0" applyFont="1" applyFill="1"/>
    <xf numFmtId="43" fontId="0" fillId="0" borderId="0" xfId="1" applyFont="1" applyFill="1"/>
    <xf numFmtId="43" fontId="5" fillId="4" borderId="0" xfId="0" applyNumberFormat="1" applyFont="1" applyFill="1"/>
    <xf numFmtId="0" fontId="8" fillId="0" borderId="0" xfId="0" applyFont="1"/>
    <xf numFmtId="43" fontId="4" fillId="0" borderId="0" xfId="1" applyFont="1" applyFill="1"/>
    <xf numFmtId="43" fontId="4" fillId="0" borderId="0" xfId="0" applyNumberFormat="1" applyFont="1"/>
    <xf numFmtId="43" fontId="9" fillId="0" borderId="0" xfId="1" applyFont="1" applyFill="1"/>
    <xf numFmtId="0" fontId="10" fillId="0" borderId="0" xfId="0" applyFont="1"/>
    <xf numFmtId="16" fontId="11" fillId="0" borderId="0" xfId="0" applyNumberFormat="1" applyFont="1" applyAlignment="1">
      <alignment horizontal="left"/>
    </xf>
    <xf numFmtId="0" fontId="13" fillId="3" borderId="0" xfId="2" applyFont="1" applyFill="1"/>
    <xf numFmtId="0" fontId="13" fillId="2" borderId="0" xfId="2" applyFont="1" applyFill="1"/>
    <xf numFmtId="17" fontId="0" fillId="0" borderId="0" xfId="0" applyNumberFormat="1"/>
    <xf numFmtId="16" fontId="0" fillId="5" borderId="0" xfId="0" applyNumberFormat="1" applyFill="1" applyAlignment="1">
      <alignment horizontal="center"/>
    </xf>
    <xf numFmtId="16" fontId="11" fillId="0" borderId="0" xfId="0" applyNumberFormat="1" applyFont="1"/>
    <xf numFmtId="16" fontId="2" fillId="0" borderId="0" xfId="0" applyNumberFormat="1" applyFont="1"/>
    <xf numFmtId="0" fontId="3" fillId="0" borderId="0" xfId="0" applyFont="1" applyAlignment="1">
      <alignment horizontal="center"/>
    </xf>
    <xf numFmtId="43" fontId="0" fillId="0" borderId="0" xfId="1" applyFont="1" applyFill="1" applyBorder="1"/>
    <xf numFmtId="16" fontId="0" fillId="0" borderId="0" xfId="0" applyNumberFormat="1"/>
    <xf numFmtId="0" fontId="0" fillId="6" borderId="0" xfId="0" applyFill="1"/>
    <xf numFmtId="43" fontId="0" fillId="0" borderId="0" xfId="0" applyNumberFormat="1"/>
    <xf numFmtId="43" fontId="2" fillId="0" borderId="0" xfId="1" applyFont="1" applyFill="1" applyBorder="1"/>
    <xf numFmtId="43" fontId="0" fillId="0" borderId="0" xfId="1" applyFont="1" applyAlignment="1">
      <alignment horizontal="center"/>
    </xf>
    <xf numFmtId="43" fontId="0" fillId="0" borderId="0" xfId="1" applyFont="1" applyAlignment="1">
      <alignment horizontal="left"/>
    </xf>
    <xf numFmtId="43" fontId="0" fillId="0" borderId="0" xfId="1" applyFont="1" applyFill="1" applyAlignment="1">
      <alignment horizontal="center"/>
    </xf>
    <xf numFmtId="0" fontId="0" fillId="7" borderId="0" xfId="0" applyFill="1"/>
    <xf numFmtId="164" fontId="14" fillId="0" borderId="1" xfId="2" applyNumberFormat="1" applyFont="1" applyBorder="1" applyAlignment="1">
      <alignment horizontal="left"/>
    </xf>
    <xf numFmtId="0" fontId="14" fillId="0" borderId="1" xfId="2" applyFont="1" applyBorder="1"/>
    <xf numFmtId="0" fontId="14" fillId="8" borderId="1" xfId="2" applyFont="1" applyFill="1" applyBorder="1"/>
    <xf numFmtId="0" fontId="13" fillId="0" borderId="0" xfId="2" applyFont="1"/>
    <xf numFmtId="0" fontId="1" fillId="0" borderId="0" xfId="0" applyFont="1"/>
    <xf numFmtId="0" fontId="14" fillId="9" borderId="1" xfId="2" applyFont="1" applyFill="1" applyBorder="1"/>
    <xf numFmtId="16" fontId="14" fillId="0" borderId="1" xfId="2" applyNumberFormat="1" applyFont="1" applyBorder="1"/>
    <xf numFmtId="0" fontId="15" fillId="0" borderId="0" xfId="0" applyFont="1"/>
    <xf numFmtId="0" fontId="15" fillId="8" borderId="0" xfId="0" applyFont="1" applyFill="1" applyAlignment="1">
      <alignment horizontal="left"/>
    </xf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43" fontId="16" fillId="0" borderId="2" xfId="1" applyFont="1" applyFill="1" applyBorder="1"/>
    <xf numFmtId="0" fontId="17" fillId="0" borderId="1" xfId="2" applyFont="1" applyBorder="1"/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5" fontId="13" fillId="0" borderId="0" xfId="2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14" fillId="0" borderId="1" xfId="2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0" fontId="15" fillId="6" borderId="1" xfId="0" applyFont="1" applyFill="1" applyBorder="1"/>
    <xf numFmtId="43" fontId="15" fillId="0" borderId="1" xfId="1" applyFont="1" applyBorder="1"/>
    <xf numFmtId="43" fontId="15" fillId="0" borderId="1" xfId="1" applyFont="1" applyFill="1" applyBorder="1"/>
    <xf numFmtId="0" fontId="15" fillId="0" borderId="1" xfId="0" applyFont="1" applyBorder="1"/>
    <xf numFmtId="165" fontId="18" fillId="0" borderId="1" xfId="2" applyNumberFormat="1" applyFont="1" applyBorder="1" applyAlignment="1">
      <alignment horizontal="center"/>
    </xf>
    <xf numFmtId="0" fontId="18" fillId="0" borderId="1" xfId="2" applyFont="1" applyBorder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4" fillId="8" borderId="1" xfId="2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8" fillId="8" borderId="1" xfId="2" applyFont="1" applyFill="1" applyBorder="1" applyAlignment="1">
      <alignment horizontal="left"/>
    </xf>
    <xf numFmtId="0" fontId="18" fillId="0" borderId="1" xfId="2" applyFont="1" applyBorder="1" applyAlignment="1">
      <alignment horizontal="left"/>
    </xf>
    <xf numFmtId="165" fontId="18" fillId="0" borderId="0" xfId="2" applyNumberFormat="1" applyFont="1" applyAlignment="1">
      <alignment horizontal="center"/>
    </xf>
    <xf numFmtId="0" fontId="18" fillId="0" borderId="0" xfId="2" applyFont="1"/>
    <xf numFmtId="0" fontId="18" fillId="0" borderId="0" xfId="2" applyFont="1" applyAlignment="1">
      <alignment horizontal="left"/>
    </xf>
    <xf numFmtId="43" fontId="15" fillId="0" borderId="0" xfId="1" applyFont="1" applyFill="1" applyBorder="1"/>
    <xf numFmtId="16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43" fontId="0" fillId="0" borderId="1" xfId="1" applyFont="1" applyFill="1" applyBorder="1"/>
    <xf numFmtId="43" fontId="15" fillId="0" borderId="0" xfId="1" applyFont="1" applyFill="1" applyBorder="1" applyAlignment="1">
      <alignment horizontal="left"/>
    </xf>
    <xf numFmtId="16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164" fontId="14" fillId="0" borderId="0" xfId="2" applyNumberFormat="1" applyFont="1" applyAlignment="1">
      <alignment horizontal="left"/>
    </xf>
    <xf numFmtId="0" fontId="14" fillId="0" borderId="0" xfId="2" applyFont="1" applyAlignment="1">
      <alignment horizontal="left"/>
    </xf>
    <xf numFmtId="164" fontId="14" fillId="0" borderId="1" xfId="2" applyNumberFormat="1" applyFont="1" applyBorder="1" applyAlignment="1">
      <alignment horizontal="center"/>
    </xf>
    <xf numFmtId="43" fontId="19" fillId="0" borderId="1" xfId="1" applyFont="1" applyFill="1" applyBorder="1"/>
    <xf numFmtId="43" fontId="19" fillId="0" borderId="1" xfId="1" applyFont="1" applyBorder="1"/>
    <xf numFmtId="0" fontId="14" fillId="0" borderId="1" xfId="2" applyFont="1" applyBorder="1" applyAlignment="1">
      <alignment horizontal="left"/>
    </xf>
    <xf numFmtId="0" fontId="19" fillId="0" borderId="1" xfId="0" applyFont="1" applyBorder="1"/>
    <xf numFmtId="0" fontId="19" fillId="0" borderId="1" xfId="0" applyFont="1" applyBorder="1" applyAlignment="1">
      <alignment horizontal="left"/>
    </xf>
    <xf numFmtId="43" fontId="19" fillId="0" borderId="1" xfId="1" applyFont="1" applyFill="1" applyBorder="1" applyAlignment="1">
      <alignment horizontal="left"/>
    </xf>
    <xf numFmtId="14" fontId="19" fillId="0" borderId="1" xfId="0" applyNumberFormat="1" applyFont="1" applyBorder="1" applyAlignment="1">
      <alignment horizontal="center"/>
    </xf>
    <xf numFmtId="0" fontId="14" fillId="0" borderId="0" xfId="2" applyFont="1"/>
    <xf numFmtId="43" fontId="20" fillId="0" borderId="0" xfId="1" applyFont="1" applyFill="1" applyBorder="1"/>
    <xf numFmtId="0" fontId="14" fillId="0" borderId="0" xfId="2" applyFont="1" applyAlignment="1">
      <alignment shrinkToFit="1"/>
    </xf>
    <xf numFmtId="16" fontId="14" fillId="0" borderId="0" xfId="2" applyNumberFormat="1" applyFont="1"/>
    <xf numFmtId="43" fontId="0" fillId="0" borderId="0" xfId="1" applyFont="1" applyBorder="1"/>
    <xf numFmtId="0" fontId="22" fillId="0" borderId="3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0" xfId="0" applyFont="1"/>
    <xf numFmtId="0" fontId="19" fillId="0" borderId="4" xfId="0" applyFont="1" applyBorder="1" applyAlignment="1">
      <alignment wrapText="1"/>
    </xf>
    <xf numFmtId="0" fontId="22" fillId="0" borderId="4" xfId="0" applyFont="1" applyBorder="1" applyAlignment="1">
      <alignment wrapText="1"/>
    </xf>
    <xf numFmtId="0" fontId="19" fillId="0" borderId="1" xfId="0" applyFont="1" applyBorder="1" applyAlignment="1">
      <alignment vertical="center" wrapText="1"/>
    </xf>
    <xf numFmtId="166" fontId="14" fillId="0" borderId="1" xfId="1" applyNumberFormat="1" applyFont="1" applyFill="1" applyBorder="1" applyAlignment="1" applyProtection="1"/>
    <xf numFmtId="43" fontId="14" fillId="0" borderId="1" xfId="1" applyFont="1" applyFill="1" applyBorder="1" applyAlignment="1" applyProtection="1"/>
    <xf numFmtId="14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wrapText="1"/>
    </xf>
    <xf numFmtId="0" fontId="19" fillId="0" borderId="5" xfId="0" applyFont="1" applyBorder="1" applyAlignment="1">
      <alignment vertical="center" wrapText="1"/>
    </xf>
    <xf numFmtId="0" fontId="21" fillId="0" borderId="6" xfId="0" applyFont="1" applyBorder="1" applyAlignment="1">
      <alignment wrapText="1"/>
    </xf>
    <xf numFmtId="0" fontId="21" fillId="0" borderId="7" xfId="0" applyFont="1" applyBorder="1" applyAlignment="1">
      <alignment horizontal="center" wrapText="1"/>
    </xf>
    <xf numFmtId="9" fontId="21" fillId="0" borderId="7" xfId="0" applyNumberFormat="1" applyFont="1" applyBorder="1" applyAlignment="1">
      <alignment horizontal="center" wrapText="1"/>
    </xf>
    <xf numFmtId="0" fontId="21" fillId="0" borderId="8" xfId="0" applyFont="1" applyBorder="1" applyAlignment="1">
      <alignment horizontal="center" wrapText="1"/>
    </xf>
    <xf numFmtId="166" fontId="14" fillId="8" borderId="1" xfId="1" applyNumberFormat="1" applyFont="1" applyFill="1" applyBorder="1" applyAlignment="1" applyProtection="1"/>
    <xf numFmtId="43" fontId="19" fillId="0" borderId="1" xfId="1" applyFont="1" applyFill="1" applyBorder="1" applyAlignment="1">
      <alignment vertical="center" wrapText="1"/>
    </xf>
    <xf numFmtId="43" fontId="19" fillId="8" borderId="1" xfId="1" applyFont="1" applyFill="1" applyBorder="1" applyAlignment="1">
      <alignment vertical="center" wrapText="1"/>
    </xf>
    <xf numFmtId="0" fontId="19" fillId="8" borderId="1" xfId="0" applyFont="1" applyFill="1" applyBorder="1" applyAlignment="1">
      <alignment vertical="center" wrapText="1"/>
    </xf>
    <xf numFmtId="43" fontId="14" fillId="8" borderId="1" xfId="1" applyFont="1" applyFill="1" applyBorder="1" applyAlignment="1" applyProtection="1"/>
    <xf numFmtId="11" fontId="19" fillId="8" borderId="1" xfId="0" applyNumberFormat="1" applyFont="1" applyFill="1" applyBorder="1" applyAlignment="1">
      <alignment wrapText="1"/>
    </xf>
    <xf numFmtId="0" fontId="19" fillId="8" borderId="1" xfId="0" applyFont="1" applyFill="1" applyBorder="1" applyAlignment="1">
      <alignment wrapText="1"/>
    </xf>
    <xf numFmtId="164" fontId="14" fillId="0" borderId="0" xfId="2" applyNumberFormat="1" applyFont="1" applyAlignment="1">
      <alignment horizontal="center"/>
    </xf>
    <xf numFmtId="4" fontId="14" fillId="0" borderId="0" xfId="2" applyNumberFormat="1" applyFont="1"/>
    <xf numFmtId="0" fontId="25" fillId="0" borderId="0" xfId="2" applyFont="1" applyAlignment="1">
      <alignment horizontal="center"/>
    </xf>
    <xf numFmtId="43" fontId="14" fillId="0" borderId="0" xfId="1" applyFont="1" applyFill="1" applyBorder="1"/>
    <xf numFmtId="0" fontId="14" fillId="0" borderId="0" xfId="2" applyFont="1" applyAlignment="1">
      <alignment horizontal="right"/>
    </xf>
    <xf numFmtId="43" fontId="19" fillId="0" borderId="0" xfId="0" applyNumberFormat="1" applyFont="1"/>
    <xf numFmtId="164" fontId="14" fillId="0" borderId="10" xfId="2" applyNumberFormat="1" applyFont="1" applyBorder="1" applyAlignment="1">
      <alignment horizontal="left"/>
    </xf>
    <xf numFmtId="0" fontId="14" fillId="0" borderId="10" xfId="2" applyFont="1" applyBorder="1"/>
    <xf numFmtId="0" fontId="17" fillId="0" borderId="0" xfId="2" applyFont="1"/>
    <xf numFmtId="43" fontId="23" fillId="8" borderId="1" xfId="0" applyNumberFormat="1" applyFont="1" applyFill="1" applyBorder="1" applyAlignment="1">
      <alignment vertical="center" wrapText="1"/>
    </xf>
    <xf numFmtId="0" fontId="19" fillId="5" borderId="5" xfId="0" applyFont="1" applyFill="1" applyBorder="1" applyAlignment="1">
      <alignment vertical="center" wrapText="1"/>
    </xf>
    <xf numFmtId="166" fontId="14" fillId="5" borderId="5" xfId="1" applyNumberFormat="1" applyFont="1" applyFill="1" applyBorder="1" applyAlignment="1" applyProtection="1"/>
    <xf numFmtId="43" fontId="19" fillId="5" borderId="5" xfId="1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  <xf numFmtId="166" fontId="14" fillId="5" borderId="1" xfId="1" applyNumberFormat="1" applyFont="1" applyFill="1" applyBorder="1" applyAlignment="1" applyProtection="1"/>
    <xf numFmtId="43" fontId="19" fillId="5" borderId="1" xfId="1" applyFont="1" applyFill="1" applyBorder="1" applyAlignment="1">
      <alignment vertical="center" wrapText="1"/>
    </xf>
    <xf numFmtId="11" fontId="19" fillId="5" borderId="1" xfId="0" applyNumberFormat="1" applyFont="1" applyFill="1" applyBorder="1" applyAlignment="1">
      <alignment wrapText="1"/>
    </xf>
    <xf numFmtId="43" fontId="26" fillId="5" borderId="0" xfId="0" applyNumberFormat="1" applyFont="1" applyFill="1" applyAlignment="1">
      <alignment horizontal="center"/>
    </xf>
    <xf numFmtId="43" fontId="15" fillId="0" borderId="0" xfId="1" applyFont="1"/>
    <xf numFmtId="43" fontId="26" fillId="0" borderId="0" xfId="1" applyFont="1" applyFill="1" applyBorder="1" applyAlignment="1">
      <alignment horizontal="right"/>
    </xf>
    <xf numFmtId="0" fontId="14" fillId="0" borderId="9" xfId="2" applyFont="1" applyBorder="1"/>
    <xf numFmtId="0" fontId="14" fillId="0" borderId="1" xfId="2" applyFont="1" applyBorder="1" applyAlignment="1">
      <alignment shrinkToFit="1"/>
    </xf>
    <xf numFmtId="43" fontId="4" fillId="0" borderId="0" xfId="1" applyFont="1" applyFill="1" applyBorder="1"/>
    <xf numFmtId="43" fontId="15" fillId="0" borderId="0" xfId="1" applyFont="1" applyFill="1"/>
    <xf numFmtId="0" fontId="27" fillId="0" borderId="1" xfId="2" applyFont="1" applyBorder="1"/>
    <xf numFmtId="16" fontId="27" fillId="0" borderId="1" xfId="2" applyNumberFormat="1" applyFont="1" applyBorder="1"/>
    <xf numFmtId="0" fontId="14" fillId="10" borderId="1" xfId="2" applyFont="1" applyFill="1" applyBorder="1"/>
    <xf numFmtId="0" fontId="14" fillId="11" borderId="1" xfId="2" applyFont="1" applyFill="1" applyBorder="1"/>
    <xf numFmtId="0" fontId="14" fillId="11" borderId="10" xfId="2" applyFont="1" applyFill="1" applyBorder="1"/>
    <xf numFmtId="0" fontId="14" fillId="2" borderId="1" xfId="2" applyFont="1" applyFill="1" applyBorder="1"/>
    <xf numFmtId="165" fontId="15" fillId="0" borderId="1" xfId="0" applyNumberFormat="1" applyFont="1" applyBorder="1" applyAlignment="1">
      <alignment horizontal="left"/>
    </xf>
    <xf numFmtId="0" fontId="28" fillId="0" borderId="0" xfId="0" applyFont="1"/>
    <xf numFmtId="43" fontId="28" fillId="0" borderId="0" xfId="1" applyFont="1"/>
    <xf numFmtId="43" fontId="14" fillId="0" borderId="0" xfId="1" applyFont="1"/>
    <xf numFmtId="43" fontId="15" fillId="0" borderId="0" xfId="1" applyFont="1" applyFill="1" applyAlignment="1"/>
    <xf numFmtId="43" fontId="15" fillId="0" borderId="0" xfId="1" applyFont="1" applyFill="1" applyBorder="1" applyAlignment="1"/>
    <xf numFmtId="43" fontId="15" fillId="0" borderId="0" xfId="1" applyFont="1" applyAlignment="1"/>
    <xf numFmtId="43" fontId="18" fillId="0" borderId="0" xfId="1" applyFont="1" applyFill="1" applyBorder="1" applyAlignment="1" applyProtection="1"/>
    <xf numFmtId="43" fontId="2" fillId="0" borderId="0" xfId="1" applyFont="1"/>
    <xf numFmtId="0" fontId="2" fillId="0" borderId="0" xfId="0" applyFont="1"/>
    <xf numFmtId="43" fontId="3" fillId="0" borderId="0" xfId="0" applyNumberFormat="1" applyFont="1"/>
    <xf numFmtId="43" fontId="3" fillId="0" borderId="0" xfId="1" applyFont="1"/>
    <xf numFmtId="165" fontId="0" fillId="0" borderId="1" xfId="0" applyNumberForma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 applyAlignment="1">
      <alignment horizontal="left"/>
    </xf>
    <xf numFmtId="164" fontId="24" fillId="0" borderId="1" xfId="2" applyNumberFormat="1" applyFont="1" applyBorder="1" applyAlignment="1">
      <alignment horizontal="left"/>
    </xf>
    <xf numFmtId="0" fontId="24" fillId="0" borderId="1" xfId="2" applyFont="1" applyBorder="1"/>
    <xf numFmtId="164" fontId="18" fillId="0" borderId="1" xfId="2" applyNumberFormat="1" applyFont="1" applyBorder="1" applyAlignment="1">
      <alignment horizontal="left"/>
    </xf>
    <xf numFmtId="16" fontId="15" fillId="0" borderId="1" xfId="0" applyNumberFormat="1" applyFont="1" applyBorder="1" applyAlignment="1">
      <alignment horizontal="left"/>
    </xf>
    <xf numFmtId="0" fontId="28" fillId="0" borderId="10" xfId="0" applyFont="1" applyBorder="1"/>
    <xf numFmtId="16" fontId="15" fillId="0" borderId="1" xfId="0" applyNumberFormat="1" applyFont="1" applyBorder="1"/>
    <xf numFmtId="0" fontId="30" fillId="0" borderId="1" xfId="0" applyFont="1" applyBorder="1"/>
    <xf numFmtId="0" fontId="32" fillId="0" borderId="1" xfId="2" applyFont="1" applyBorder="1"/>
    <xf numFmtId="164" fontId="14" fillId="0" borderId="1" xfId="2" applyNumberFormat="1" applyFont="1" applyBorder="1"/>
    <xf numFmtId="16" fontId="0" fillId="0" borderId="1" xfId="0" applyNumberFormat="1" applyBorder="1"/>
    <xf numFmtId="16" fontId="29" fillId="0" borderId="1" xfId="0" applyNumberFormat="1" applyFont="1" applyBorder="1"/>
    <xf numFmtId="16" fontId="28" fillId="0" borderId="1" xfId="0" applyNumberFormat="1" applyFont="1" applyBorder="1"/>
    <xf numFmtId="0" fontId="33" fillId="0" borderId="0" xfId="0" applyFont="1" applyAlignment="1">
      <alignment horizontal="center"/>
    </xf>
    <xf numFmtId="0" fontId="28" fillId="0" borderId="1" xfId="0" applyFont="1" applyBorder="1" applyAlignment="1">
      <alignment horizontal="left"/>
    </xf>
    <xf numFmtId="165" fontId="28" fillId="0" borderId="0" xfId="0" applyNumberFormat="1" applyFont="1" applyAlignment="1">
      <alignment horizontal="center"/>
    </xf>
    <xf numFmtId="0" fontId="29" fillId="0" borderId="1" xfId="0" applyFont="1" applyBorder="1"/>
    <xf numFmtId="43" fontId="0" fillId="0" borderId="1" xfId="0" applyNumberFormat="1" applyBorder="1"/>
    <xf numFmtId="0" fontId="14" fillId="8" borderId="0" xfId="2" applyFont="1" applyFill="1" applyAlignment="1">
      <alignment horizontal="left"/>
    </xf>
    <xf numFmtId="0" fontId="14" fillId="8" borderId="0" xfId="2" applyFont="1" applyFill="1"/>
    <xf numFmtId="0" fontId="14" fillId="10" borderId="0" xfId="2" applyFont="1" applyFill="1"/>
    <xf numFmtId="0" fontId="14" fillId="11" borderId="0" xfId="2" applyFont="1" applyFill="1"/>
    <xf numFmtId="0" fontId="14" fillId="2" borderId="0" xfId="2" applyFont="1" applyFill="1"/>
    <xf numFmtId="16" fontId="29" fillId="0" borderId="1" xfId="0" applyNumberFormat="1" applyFont="1" applyBorder="1" applyAlignment="1">
      <alignment horizontal="center"/>
    </xf>
    <xf numFmtId="43" fontId="0" fillId="0" borderId="10" xfId="0" applyNumberFormat="1" applyBorder="1"/>
    <xf numFmtId="16" fontId="0" fillId="0" borderId="1" xfId="0" applyNumberFormat="1" applyBorder="1" applyAlignment="1">
      <alignment horizontal="left"/>
    </xf>
    <xf numFmtId="0" fontId="0" fillId="0" borderId="5" xfId="0" applyBorder="1"/>
    <xf numFmtId="16" fontId="29" fillId="0" borderId="1" xfId="0" applyNumberFormat="1" applyFont="1" applyBorder="1" applyAlignment="1">
      <alignment horizontal="left"/>
    </xf>
    <xf numFmtId="16" fontId="0" fillId="0" borderId="5" xfId="0" applyNumberFormat="1" applyBorder="1" applyAlignment="1">
      <alignment horizontal="left"/>
    </xf>
    <xf numFmtId="164" fontId="14" fillId="12" borderId="1" xfId="2" applyNumberFormat="1" applyFont="1" applyFill="1" applyBorder="1" applyAlignment="1">
      <alignment horizontal="left"/>
    </xf>
    <xf numFmtId="164" fontId="14" fillId="12" borderId="5" xfId="2" applyNumberFormat="1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11" fillId="0" borderId="0" xfId="0" applyFont="1"/>
    <xf numFmtId="164" fontId="34" fillId="12" borderId="5" xfId="2" applyNumberFormat="1" applyFont="1" applyFill="1" applyBorder="1" applyAlignment="1">
      <alignment horizontal="left"/>
    </xf>
    <xf numFmtId="16" fontId="0" fillId="0" borderId="5" xfId="0" applyNumberFormat="1" applyBorder="1"/>
    <xf numFmtId="16" fontId="0" fillId="0" borderId="1" xfId="0" applyNumberFormat="1" applyBorder="1" applyAlignment="1">
      <alignment horizontal="right"/>
    </xf>
    <xf numFmtId="0" fontId="18" fillId="0" borderId="1" xfId="0" applyFont="1" applyBorder="1"/>
    <xf numFmtId="164" fontId="18" fillId="0" borderId="1" xfId="2" applyNumberFormat="1" applyFont="1" applyBorder="1" applyAlignment="1">
      <alignment horizontal="right"/>
    </xf>
    <xf numFmtId="43" fontId="2" fillId="0" borderId="0" xfId="0" applyNumberFormat="1" applyFont="1"/>
    <xf numFmtId="0" fontId="18" fillId="0" borderId="5" xfId="0" applyFont="1" applyBorder="1"/>
    <xf numFmtId="164" fontId="18" fillId="0" borderId="5" xfId="2" applyNumberFormat="1" applyFont="1" applyBorder="1" applyAlignment="1">
      <alignment horizontal="right"/>
    </xf>
    <xf numFmtId="0" fontId="24" fillId="0" borderId="1" xfId="0" applyFont="1" applyBorder="1"/>
    <xf numFmtId="0" fontId="18" fillId="0" borderId="1" xfId="0" applyFont="1" applyBorder="1" applyAlignment="1">
      <alignment horizontal="left"/>
    </xf>
    <xf numFmtId="164" fontId="18" fillId="0" borderId="5" xfId="2" applyNumberFormat="1" applyFont="1" applyBorder="1" applyAlignment="1">
      <alignment horizontal="left"/>
    </xf>
    <xf numFmtId="0" fontId="36" fillId="0" borderId="1" xfId="0" applyFont="1" applyBorder="1"/>
    <xf numFmtId="164" fontId="37" fillId="0" borderId="1" xfId="2" applyNumberFormat="1" applyFont="1" applyBorder="1" applyAlignment="1">
      <alignment horizontal="left"/>
    </xf>
    <xf numFmtId="1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16" fontId="36" fillId="0" borderId="1" xfId="0" applyNumberFormat="1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8" fillId="0" borderId="1" xfId="2" applyFont="1" applyBorder="1" applyAlignment="1">
      <alignment horizontal="left"/>
    </xf>
    <xf numFmtId="43" fontId="36" fillId="0" borderId="1" xfId="1" applyFont="1" applyBorder="1"/>
    <xf numFmtId="43" fontId="36" fillId="0" borderId="1" xfId="0" applyNumberFormat="1" applyFont="1" applyBorder="1"/>
    <xf numFmtId="16" fontId="36" fillId="0" borderId="1" xfId="0" applyNumberFormat="1" applyFont="1" applyBorder="1"/>
    <xf numFmtId="16" fontId="36" fillId="0" borderId="1" xfId="0" applyNumberFormat="1" applyFont="1" applyBorder="1" applyAlignment="1">
      <alignment horizontal="right"/>
    </xf>
    <xf numFmtId="16" fontId="36" fillId="0" borderId="5" xfId="0" applyNumberFormat="1" applyFont="1" applyBorder="1"/>
    <xf numFmtId="0" fontId="36" fillId="0" borderId="5" xfId="0" applyFont="1" applyBorder="1"/>
    <xf numFmtId="164" fontId="37" fillId="0" borderId="5" xfId="2" applyNumberFormat="1" applyFont="1" applyBorder="1" applyAlignment="1">
      <alignment horizontal="right"/>
    </xf>
    <xf numFmtId="0" fontId="37" fillId="0" borderId="5" xfId="0" applyFont="1" applyBorder="1"/>
    <xf numFmtId="0" fontId="19" fillId="0" borderId="1" xfId="0" applyFont="1" applyBorder="1" applyAlignment="1">
      <alignment vertical="center" wrapText="1"/>
    </xf>
    <xf numFmtId="14" fontId="19" fillId="0" borderId="1" xfId="0" applyNumberFormat="1" applyFont="1" applyBorder="1" applyAlignment="1">
      <alignment vertical="center" wrapText="1"/>
    </xf>
    <xf numFmtId="14" fontId="19" fillId="0" borderId="5" xfId="0" applyNumberFormat="1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43" fontId="19" fillId="0" borderId="1" xfId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/>
    </xf>
    <xf numFmtId="0" fontId="0" fillId="0" borderId="10" xfId="0" applyBorder="1"/>
    <xf numFmtId="165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6" fontId="0" fillId="0" borderId="10" xfId="0" applyNumberFormat="1" applyBorder="1"/>
    <xf numFmtId="0" fontId="15" fillId="0" borderId="10" xfId="0" applyFont="1" applyBorder="1"/>
    <xf numFmtId="43" fontId="0" fillId="0" borderId="10" xfId="1" applyFont="1" applyBorder="1"/>
    <xf numFmtId="165" fontId="0" fillId="0" borderId="11" xfId="0" applyNumberFormat="1" applyBorder="1" applyAlignment="1">
      <alignment horizontal="center"/>
    </xf>
    <xf numFmtId="0" fontId="0" fillId="0" borderId="12" xfId="0" applyBorder="1"/>
    <xf numFmtId="0" fontId="3" fillId="0" borderId="13" xfId="0" applyFont="1" applyBorder="1" applyAlignment="1">
      <alignment horizontal="left"/>
    </xf>
    <xf numFmtId="43" fontId="3" fillId="0" borderId="13" xfId="1" applyFont="1" applyFill="1" applyBorder="1"/>
    <xf numFmtId="43" fontId="4" fillId="0" borderId="14" xfId="1" applyFont="1" applyFill="1" applyBorder="1"/>
    <xf numFmtId="0" fontId="0" fillId="0" borderId="10" xfId="0" applyBorder="1" applyAlignment="1">
      <alignment horizontal="left"/>
    </xf>
    <xf numFmtId="16" fontId="0" fillId="0" borderId="10" xfId="0" applyNumberFormat="1" applyBorder="1" applyAlignment="1">
      <alignment horizontal="left"/>
    </xf>
    <xf numFmtId="16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43" fontId="0" fillId="0" borderId="5" xfId="1" applyFont="1" applyBorder="1"/>
    <xf numFmtId="165" fontId="0" fillId="0" borderId="15" xfId="0" applyNumberFormat="1" applyBorder="1" applyAlignment="1">
      <alignment horizontal="center"/>
    </xf>
    <xf numFmtId="0" fontId="0" fillId="0" borderId="13" xfId="0" applyBorder="1"/>
    <xf numFmtId="16" fontId="15" fillId="0" borderId="10" xfId="0" applyNumberFormat="1" applyFont="1" applyBorder="1"/>
    <xf numFmtId="0" fontId="28" fillId="0" borderId="5" xfId="0" applyFont="1" applyBorder="1"/>
    <xf numFmtId="43" fontId="0" fillId="0" borderId="5" xfId="0" applyNumberFormat="1" applyBorder="1"/>
    <xf numFmtId="16" fontId="29" fillId="0" borderId="11" xfId="0" applyNumberFormat="1" applyFont="1" applyBorder="1" applyAlignment="1">
      <alignment horizontal="left"/>
    </xf>
    <xf numFmtId="0" fontId="29" fillId="0" borderId="12" xfId="0" applyFont="1" applyBorder="1"/>
    <xf numFmtId="0" fontId="28" fillId="0" borderId="12" xfId="0" applyFont="1" applyBorder="1"/>
    <xf numFmtId="43" fontId="0" fillId="0" borderId="12" xfId="1" applyFont="1" applyBorder="1"/>
    <xf numFmtId="43" fontId="4" fillId="0" borderId="16" xfId="0" applyNumberFormat="1" applyFont="1" applyBorder="1"/>
    <xf numFmtId="16" fontId="15" fillId="0" borderId="10" xfId="0" applyNumberFormat="1" applyFont="1" applyBorder="1" applyAlignment="1">
      <alignment horizontal="left"/>
    </xf>
    <xf numFmtId="164" fontId="14" fillId="0" borderId="10" xfId="2" applyNumberFormat="1" applyFon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6" fontId="29" fillId="0" borderId="5" xfId="0" applyNumberFormat="1" applyFont="1" applyBorder="1" applyAlignment="1">
      <alignment horizontal="center"/>
    </xf>
    <xf numFmtId="0" fontId="29" fillId="0" borderId="5" xfId="0" applyFont="1" applyBorder="1"/>
    <xf numFmtId="16" fontId="28" fillId="0" borderId="10" xfId="0" applyNumberFormat="1" applyFont="1" applyBorder="1"/>
    <xf numFmtId="16" fontId="0" fillId="0" borderId="5" xfId="0" applyNumberFormat="1" applyBorder="1" applyAlignment="1">
      <alignment horizontal="center"/>
    </xf>
    <xf numFmtId="164" fontId="24" fillId="0" borderId="5" xfId="2" applyNumberFormat="1" applyFont="1" applyBorder="1" applyAlignment="1">
      <alignment horizontal="left"/>
    </xf>
    <xf numFmtId="0" fontId="24" fillId="0" borderId="5" xfId="2" applyFont="1" applyBorder="1"/>
    <xf numFmtId="0" fontId="30" fillId="0" borderId="10" xfId="0" applyFont="1" applyBorder="1"/>
    <xf numFmtId="0" fontId="31" fillId="0" borderId="10" xfId="0" applyFont="1" applyBorder="1"/>
    <xf numFmtId="164" fontId="14" fillId="0" borderId="5" xfId="2" applyNumberFormat="1" applyFont="1" applyBorder="1"/>
    <xf numFmtId="0" fontId="32" fillId="0" borderId="5" xfId="2" applyFont="1" applyBorder="1"/>
    <xf numFmtId="0" fontId="28" fillId="0" borderId="17" xfId="0" applyFont="1" applyBorder="1"/>
    <xf numFmtId="0" fontId="28" fillId="0" borderId="5" xfId="0" applyFont="1" applyBorder="1" applyAlignment="1">
      <alignment horizontal="left"/>
    </xf>
    <xf numFmtId="164" fontId="18" fillId="0" borderId="10" xfId="2" applyNumberFormat="1" applyFont="1" applyBorder="1" applyAlignment="1">
      <alignment horizontal="left"/>
    </xf>
    <xf numFmtId="0" fontId="18" fillId="0" borderId="10" xfId="2" applyFont="1" applyBorder="1"/>
    <xf numFmtId="16" fontId="29" fillId="0" borderId="17" xfId="0" applyNumberFormat="1" applyFont="1" applyBorder="1"/>
    <xf numFmtId="0" fontId="29" fillId="0" borderId="17" xfId="0" applyFont="1" applyBorder="1"/>
    <xf numFmtId="16" fontId="28" fillId="0" borderId="10" xfId="0" applyNumberFormat="1" applyFont="1" applyBorder="1" applyAlignment="1">
      <alignment horizontal="left"/>
    </xf>
    <xf numFmtId="164" fontId="14" fillId="0" borderId="5" xfId="2" applyNumberFormat="1" applyFont="1" applyBorder="1" applyAlignment="1">
      <alignment horizontal="left"/>
    </xf>
    <xf numFmtId="0" fontId="14" fillId="0" borderId="5" xfId="2" applyFont="1" applyBorder="1"/>
    <xf numFmtId="0" fontId="15" fillId="0" borderId="10" xfId="0" applyFont="1" applyBorder="1" applyAlignment="1">
      <alignment horizontal="left"/>
    </xf>
    <xf numFmtId="164" fontId="14" fillId="0" borderId="15" xfId="2" applyNumberFormat="1" applyFont="1" applyBorder="1" applyAlignment="1">
      <alignment horizontal="left"/>
    </xf>
    <xf numFmtId="0" fontId="17" fillId="0" borderId="13" xfId="2" applyFont="1" applyBorder="1"/>
    <xf numFmtId="0" fontId="17" fillId="0" borderId="5" xfId="2" applyFont="1" applyBorder="1"/>
    <xf numFmtId="0" fontId="15" fillId="0" borderId="5" xfId="0" applyFont="1" applyBorder="1" applyAlignment="1">
      <alignment horizontal="left"/>
    </xf>
    <xf numFmtId="43" fontId="15" fillId="0" borderId="1" xfId="1" applyFont="1" applyFill="1" applyBorder="1" applyAlignment="1">
      <alignment horizontal="left"/>
    </xf>
    <xf numFmtId="43" fontId="0" fillId="0" borderId="1" xfId="1" applyFont="1" applyFill="1" applyBorder="1" applyAlignment="1">
      <alignment horizontal="left" indent="6"/>
    </xf>
    <xf numFmtId="43" fontId="0" fillId="0" borderId="1" xfId="0" applyNumberFormat="1" applyBorder="1" applyAlignment="1">
      <alignment horizontal="left" indent="6"/>
    </xf>
    <xf numFmtId="43" fontId="15" fillId="0" borderId="10" xfId="1" applyFont="1" applyFill="1" applyBorder="1" applyAlignment="1">
      <alignment horizontal="left"/>
    </xf>
    <xf numFmtId="0" fontId="39" fillId="0" borderId="0" xfId="0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164" fontId="37" fillId="0" borderId="5" xfId="2" applyNumberFormat="1" applyFont="1" applyBorder="1" applyAlignment="1"/>
    <xf numFmtId="0" fontId="37" fillId="0" borderId="5" xfId="0" applyFont="1" applyBorder="1" applyAlignment="1"/>
    <xf numFmtId="16" fontId="36" fillId="0" borderId="10" xfId="0" applyNumberFormat="1" applyFont="1" applyBorder="1"/>
    <xf numFmtId="0" fontId="36" fillId="0" borderId="10" xfId="0" applyFont="1" applyBorder="1"/>
    <xf numFmtId="165" fontId="36" fillId="0" borderId="10" xfId="0" applyNumberFormat="1" applyFont="1" applyBorder="1" applyAlignment="1">
      <alignment horizontal="center"/>
    </xf>
    <xf numFmtId="0" fontId="36" fillId="0" borderId="10" xfId="0" applyFont="1" applyBorder="1" applyAlignment="1">
      <alignment horizontal="left"/>
    </xf>
    <xf numFmtId="43" fontId="36" fillId="0" borderId="10" xfId="1" applyFont="1" applyBorder="1"/>
    <xf numFmtId="43" fontId="36" fillId="0" borderId="10" xfId="0" applyNumberFormat="1" applyFont="1" applyBorder="1"/>
    <xf numFmtId="0" fontId="0" fillId="0" borderId="13" xfId="0" applyBorder="1" applyAlignment="1">
      <alignment horizontal="left"/>
    </xf>
    <xf numFmtId="43" fontId="0" fillId="0" borderId="13" xfId="1" applyFont="1" applyBorder="1"/>
    <xf numFmtId="43" fontId="4" fillId="0" borderId="14" xfId="0" applyNumberFormat="1" applyFont="1" applyBorder="1"/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topLeftCell="A103" workbookViewId="0">
      <selection activeCell="B111" sqref="B111"/>
    </sheetView>
  </sheetViews>
  <sheetFormatPr defaultRowHeight="18.75" x14ac:dyDescent="0.3"/>
  <cols>
    <col min="1" max="1" width="11.28515625" style="2" customWidth="1"/>
    <col min="2" max="2" width="46.140625" customWidth="1"/>
    <col min="3" max="3" width="43.140625" style="2" customWidth="1"/>
    <col min="4" max="4" width="19.7109375" style="1" customWidth="1"/>
    <col min="5" max="5" width="18.28515625" customWidth="1"/>
    <col min="6" max="6" width="18.5703125" style="6" customWidth="1"/>
    <col min="7" max="7" width="28.5703125" customWidth="1"/>
    <col min="8" max="8" width="23.28515625" style="16" customWidth="1"/>
    <col min="9" max="9" width="11.140625" style="18" customWidth="1"/>
  </cols>
  <sheetData>
    <row r="1" spans="1:9" x14ac:dyDescent="0.3">
      <c r="A1" s="12"/>
      <c r="B1" t="s">
        <v>1</v>
      </c>
    </row>
    <row r="2" spans="1:9" x14ac:dyDescent="0.3">
      <c r="A2" s="13"/>
      <c r="B2" t="s">
        <v>2</v>
      </c>
    </row>
    <row r="3" spans="1:9" s="6" customFormat="1" ht="9.9499999999999993" customHeight="1" x14ac:dyDescent="0.3">
      <c r="A3" s="7"/>
      <c r="C3" s="7"/>
      <c r="D3" s="8"/>
      <c r="H3" s="17"/>
      <c r="I3" s="19"/>
    </row>
    <row r="4" spans="1:9" x14ac:dyDescent="0.3">
      <c r="B4" s="9" t="s">
        <v>3</v>
      </c>
      <c r="C4" s="9" t="s">
        <v>4</v>
      </c>
      <c r="D4" s="10" t="s">
        <v>5</v>
      </c>
      <c r="E4" s="3" t="s">
        <v>70</v>
      </c>
      <c r="F4" s="14" t="s">
        <v>6</v>
      </c>
    </row>
    <row r="5" spans="1:9" x14ac:dyDescent="0.3">
      <c r="B5" s="9"/>
      <c r="C5" s="9"/>
      <c r="D5" s="10"/>
      <c r="E5" s="3"/>
      <c r="F5" s="14"/>
    </row>
    <row r="7" spans="1:9" ht="18.75" customHeight="1" x14ac:dyDescent="0.25">
      <c r="A7" s="11">
        <v>42963</v>
      </c>
      <c r="B7" s="4" t="s">
        <v>17</v>
      </c>
      <c r="C7" s="2" t="s">
        <v>18</v>
      </c>
      <c r="D7" s="1">
        <v>152700</v>
      </c>
      <c r="E7" s="20">
        <f t="shared" ref="E7:E15" si="0">SUM(D7*0.65)</f>
        <v>99255</v>
      </c>
      <c r="F7" s="20">
        <f t="shared" ref="F7:F15" si="1">SUM(D7*0.35)</f>
        <v>53445</v>
      </c>
      <c r="G7" s="22"/>
      <c r="H7"/>
      <c r="I7"/>
    </row>
    <row r="8" spans="1:9" ht="18.75" customHeight="1" x14ac:dyDescent="0.25">
      <c r="A8" s="11">
        <v>42982</v>
      </c>
      <c r="B8" s="5" t="s">
        <v>19</v>
      </c>
      <c r="C8" s="2" t="s">
        <v>11</v>
      </c>
      <c r="D8" s="1">
        <v>106500</v>
      </c>
      <c r="E8" s="20">
        <f t="shared" si="0"/>
        <v>69225</v>
      </c>
      <c r="F8" s="20">
        <f t="shared" si="1"/>
        <v>37275</v>
      </c>
      <c r="G8" s="22"/>
      <c r="H8"/>
      <c r="I8"/>
    </row>
    <row r="9" spans="1:9" ht="18.75" customHeight="1" x14ac:dyDescent="0.25">
      <c r="A9" s="11">
        <v>43032</v>
      </c>
      <c r="B9" s="5" t="s">
        <v>35</v>
      </c>
      <c r="C9" s="2" t="s">
        <v>13</v>
      </c>
      <c r="D9" s="1">
        <v>150000</v>
      </c>
      <c r="E9" s="20">
        <f t="shared" si="0"/>
        <v>97500</v>
      </c>
      <c r="F9" s="20">
        <f t="shared" si="1"/>
        <v>52500</v>
      </c>
      <c r="G9" s="22"/>
      <c r="H9"/>
      <c r="I9"/>
    </row>
    <row r="10" spans="1:9" ht="18.75" customHeight="1" x14ac:dyDescent="0.25">
      <c r="A10" s="11">
        <v>43057</v>
      </c>
      <c r="B10" s="4" t="s">
        <v>50</v>
      </c>
      <c r="C10" s="2" t="s">
        <v>45</v>
      </c>
      <c r="D10" s="1">
        <v>349500</v>
      </c>
      <c r="E10" s="20">
        <f t="shared" si="0"/>
        <v>227175</v>
      </c>
      <c r="F10" s="20">
        <f t="shared" si="1"/>
        <v>122324.99999999999</v>
      </c>
      <c r="G10" s="22"/>
      <c r="H10"/>
      <c r="I10"/>
    </row>
    <row r="11" spans="1:9" ht="18.75" customHeight="1" x14ac:dyDescent="0.25">
      <c r="A11" s="11">
        <v>43057</v>
      </c>
      <c r="B11" s="4" t="s">
        <v>41</v>
      </c>
      <c r="C11" s="2" t="s">
        <v>11</v>
      </c>
      <c r="D11" s="1">
        <v>37500</v>
      </c>
      <c r="E11" s="20">
        <f t="shared" si="0"/>
        <v>24375</v>
      </c>
      <c r="F11" s="20">
        <f t="shared" si="1"/>
        <v>13125</v>
      </c>
      <c r="H11"/>
      <c r="I11"/>
    </row>
    <row r="12" spans="1:9" ht="18.75" customHeight="1" x14ac:dyDescent="0.25">
      <c r="A12" s="11">
        <v>43066</v>
      </c>
      <c r="B12" s="5" t="s">
        <v>48</v>
      </c>
      <c r="C12" s="2" t="s">
        <v>8</v>
      </c>
      <c r="D12" s="1">
        <v>21000</v>
      </c>
      <c r="E12" s="20">
        <f t="shared" si="0"/>
        <v>13650</v>
      </c>
      <c r="F12" s="20">
        <f t="shared" si="1"/>
        <v>7349.9999999999991</v>
      </c>
      <c r="H12"/>
      <c r="I12"/>
    </row>
    <row r="13" spans="1:9" ht="18.75" customHeight="1" x14ac:dyDescent="0.25">
      <c r="A13" s="11">
        <v>43073</v>
      </c>
      <c r="B13" s="4" t="s">
        <v>42</v>
      </c>
      <c r="C13" s="2" t="s">
        <v>10</v>
      </c>
      <c r="D13" s="1">
        <v>35470</v>
      </c>
      <c r="E13" s="20">
        <f t="shared" si="0"/>
        <v>23055.5</v>
      </c>
      <c r="F13" s="20">
        <f t="shared" si="1"/>
        <v>12414.5</v>
      </c>
      <c r="G13" s="22"/>
      <c r="H13"/>
      <c r="I13"/>
    </row>
    <row r="14" spans="1:9" ht="18.75" customHeight="1" x14ac:dyDescent="0.25">
      <c r="A14" s="11">
        <v>43074</v>
      </c>
      <c r="B14" s="4" t="s">
        <v>43</v>
      </c>
      <c r="C14" s="2" t="s">
        <v>44</v>
      </c>
      <c r="D14" s="1">
        <v>90000</v>
      </c>
      <c r="E14" s="20">
        <f t="shared" si="0"/>
        <v>58500</v>
      </c>
      <c r="F14" s="20">
        <f t="shared" si="1"/>
        <v>31499.999999999996</v>
      </c>
      <c r="G14" s="22"/>
      <c r="H14"/>
      <c r="I14"/>
    </row>
    <row r="15" spans="1:9" ht="18.75" customHeight="1" x14ac:dyDescent="0.25">
      <c r="A15" s="11">
        <v>43074</v>
      </c>
      <c r="B15" s="5" t="s">
        <v>49</v>
      </c>
      <c r="C15" s="2" t="s">
        <v>0</v>
      </c>
      <c r="D15" s="1">
        <v>41000</v>
      </c>
      <c r="E15" s="20">
        <f t="shared" si="0"/>
        <v>26650</v>
      </c>
      <c r="F15" s="20">
        <f t="shared" si="1"/>
        <v>14349.999999999998</v>
      </c>
      <c r="G15" s="22"/>
      <c r="H15"/>
      <c r="I15"/>
    </row>
    <row r="16" spans="1:9" ht="20.25" x14ac:dyDescent="0.4">
      <c r="C16" s="15" t="s">
        <v>9</v>
      </c>
      <c r="D16" s="23">
        <f>SUM(D7:D15)</f>
        <v>983670</v>
      </c>
      <c r="E16" s="24">
        <f>SUM(E7:E15)</f>
        <v>639385.5</v>
      </c>
      <c r="F16" s="25">
        <f>SUM(F7:F15)</f>
        <v>344284.5</v>
      </c>
    </row>
    <row r="17" spans="1:9" x14ac:dyDescent="0.3">
      <c r="E17" t="s">
        <v>69</v>
      </c>
      <c r="F17" s="20">
        <v>-10815</v>
      </c>
    </row>
    <row r="18" spans="1:9" ht="20.25" x14ac:dyDescent="0.4">
      <c r="F18" s="21">
        <f>SUM(F16+F17)</f>
        <v>333469.5</v>
      </c>
      <c r="G18" s="27">
        <v>43125</v>
      </c>
    </row>
    <row r="20" spans="1:9" ht="18.75" customHeight="1" x14ac:dyDescent="0.25">
      <c r="A20" s="11">
        <v>42886</v>
      </c>
      <c r="B20" s="5" t="s">
        <v>59</v>
      </c>
      <c r="C20" s="2" t="s">
        <v>0</v>
      </c>
      <c r="D20" s="20">
        <v>45000</v>
      </c>
      <c r="E20" s="20">
        <f t="shared" ref="E20:E37" si="2">SUM(D20*0.65)</f>
        <v>29250</v>
      </c>
      <c r="F20" s="20">
        <f t="shared" ref="F20:F37" si="3">SUM(D20*0.35)</f>
        <v>15749.999999999998</v>
      </c>
      <c r="G20" s="22"/>
      <c r="H20"/>
      <c r="I20"/>
    </row>
    <row r="21" spans="1:9" ht="18.75" customHeight="1" x14ac:dyDescent="0.25">
      <c r="A21" s="11">
        <v>42961</v>
      </c>
      <c r="B21" s="4" t="s">
        <v>16</v>
      </c>
      <c r="C21" s="2" t="s">
        <v>10</v>
      </c>
      <c r="D21" s="1">
        <v>17530</v>
      </c>
      <c r="E21" s="20">
        <f t="shared" si="2"/>
        <v>11394.5</v>
      </c>
      <c r="F21" s="20">
        <f t="shared" si="3"/>
        <v>6135.5</v>
      </c>
      <c r="G21" s="22"/>
      <c r="H21"/>
      <c r="I21"/>
    </row>
    <row r="22" spans="1:9" ht="18.75" customHeight="1" x14ac:dyDescent="0.25">
      <c r="A22" s="11">
        <v>43004</v>
      </c>
      <c r="B22" s="5" t="s">
        <v>26</v>
      </c>
      <c r="C22" s="2" t="s">
        <v>7</v>
      </c>
      <c r="D22" s="1">
        <v>16000</v>
      </c>
      <c r="E22" s="20">
        <f t="shared" si="2"/>
        <v>10400</v>
      </c>
      <c r="F22" s="20">
        <f t="shared" si="3"/>
        <v>5600</v>
      </c>
      <c r="G22" s="22"/>
      <c r="H22"/>
      <c r="I22"/>
    </row>
    <row r="23" spans="1:9" ht="18.75" customHeight="1" x14ac:dyDescent="0.25">
      <c r="A23" s="11">
        <v>43004</v>
      </c>
      <c r="B23" s="5" t="s">
        <v>27</v>
      </c>
      <c r="C23" s="2" t="s">
        <v>7</v>
      </c>
      <c r="D23" s="1">
        <v>16000</v>
      </c>
      <c r="E23" s="20">
        <f t="shared" si="2"/>
        <v>10400</v>
      </c>
      <c r="F23" s="20">
        <f t="shared" si="3"/>
        <v>5600</v>
      </c>
      <c r="G23" s="22"/>
      <c r="H23"/>
      <c r="I23"/>
    </row>
    <row r="24" spans="1:9" ht="18.75" customHeight="1" x14ac:dyDescent="0.25">
      <c r="A24" s="11">
        <v>43011</v>
      </c>
      <c r="B24" s="4" t="s">
        <v>29</v>
      </c>
      <c r="C24" s="2" t="s">
        <v>0</v>
      </c>
      <c r="D24" s="1">
        <v>50000</v>
      </c>
      <c r="E24" s="20">
        <f t="shared" si="2"/>
        <v>32500</v>
      </c>
      <c r="F24" s="20">
        <f t="shared" si="3"/>
        <v>17500</v>
      </c>
      <c r="G24" s="22"/>
      <c r="H24"/>
      <c r="I24"/>
    </row>
    <row r="25" spans="1:9" ht="18.75" customHeight="1" x14ac:dyDescent="0.25">
      <c r="A25" s="11">
        <v>43025</v>
      </c>
      <c r="B25" s="5" t="s">
        <v>31</v>
      </c>
      <c r="C25" s="2" t="s">
        <v>10</v>
      </c>
      <c r="D25" s="1">
        <v>35000</v>
      </c>
      <c r="E25" s="20">
        <f t="shared" si="2"/>
        <v>22750</v>
      </c>
      <c r="F25" s="20">
        <f t="shared" si="3"/>
        <v>12250</v>
      </c>
      <c r="G25" s="22"/>
      <c r="H25"/>
      <c r="I25"/>
    </row>
    <row r="26" spans="1:9" ht="18.75" customHeight="1" x14ac:dyDescent="0.25">
      <c r="A26" s="11">
        <v>43032</v>
      </c>
      <c r="B26" s="5" t="s">
        <v>32</v>
      </c>
      <c r="C26" s="2" t="s">
        <v>0</v>
      </c>
      <c r="D26" s="1">
        <v>34000</v>
      </c>
      <c r="E26" s="20">
        <f t="shared" si="2"/>
        <v>22100</v>
      </c>
      <c r="F26" s="20">
        <f t="shared" si="3"/>
        <v>11900</v>
      </c>
      <c r="G26" s="26"/>
      <c r="H26"/>
      <c r="I26"/>
    </row>
    <row r="27" spans="1:9" ht="18.75" customHeight="1" x14ac:dyDescent="0.25">
      <c r="A27" s="11">
        <v>43032</v>
      </c>
      <c r="B27" s="5" t="s">
        <v>33</v>
      </c>
      <c r="C27" s="2" t="s">
        <v>0</v>
      </c>
      <c r="D27" s="1">
        <v>34000</v>
      </c>
      <c r="E27" s="20">
        <f t="shared" si="2"/>
        <v>22100</v>
      </c>
      <c r="F27" s="20">
        <f t="shared" si="3"/>
        <v>11900</v>
      </c>
      <c r="G27" s="26"/>
      <c r="H27"/>
      <c r="I27"/>
    </row>
    <row r="28" spans="1:9" ht="18.75" customHeight="1" x14ac:dyDescent="0.25">
      <c r="A28" s="11">
        <v>43032</v>
      </c>
      <c r="B28" s="5" t="s">
        <v>34</v>
      </c>
      <c r="C28" s="2" t="s">
        <v>0</v>
      </c>
      <c r="D28" s="1">
        <v>34000</v>
      </c>
      <c r="E28" s="20">
        <f t="shared" si="2"/>
        <v>22100</v>
      </c>
      <c r="F28" s="20">
        <f t="shared" si="3"/>
        <v>11900</v>
      </c>
      <c r="G28" s="26"/>
      <c r="H28"/>
      <c r="I28"/>
    </row>
    <row r="29" spans="1:9" ht="18.75" customHeight="1" x14ac:dyDescent="0.25">
      <c r="A29" s="11">
        <v>43034</v>
      </c>
      <c r="B29" s="4" t="s">
        <v>36</v>
      </c>
      <c r="C29" s="2" t="s">
        <v>7</v>
      </c>
      <c r="D29" s="1">
        <v>32050</v>
      </c>
      <c r="E29" s="20">
        <f t="shared" si="2"/>
        <v>20832.5</v>
      </c>
      <c r="F29" s="20">
        <f t="shared" si="3"/>
        <v>11217.5</v>
      </c>
      <c r="G29" s="22"/>
      <c r="H29"/>
      <c r="I29"/>
    </row>
    <row r="30" spans="1:9" ht="18.75" customHeight="1" x14ac:dyDescent="0.25">
      <c r="A30" s="11">
        <v>43046</v>
      </c>
      <c r="B30" s="5" t="s">
        <v>39</v>
      </c>
      <c r="C30" s="2" t="s">
        <v>11</v>
      </c>
      <c r="D30" s="1">
        <v>101000</v>
      </c>
      <c r="E30" s="20">
        <f t="shared" si="2"/>
        <v>65650</v>
      </c>
      <c r="F30" s="20">
        <f t="shared" si="3"/>
        <v>35350</v>
      </c>
      <c r="G30" s="22"/>
      <c r="H30"/>
      <c r="I30"/>
    </row>
    <row r="31" spans="1:9" ht="18.75" customHeight="1" x14ac:dyDescent="0.25">
      <c r="A31" s="11">
        <v>43060</v>
      </c>
      <c r="B31" s="5" t="s">
        <v>46</v>
      </c>
      <c r="C31" s="2" t="s">
        <v>10</v>
      </c>
      <c r="D31" s="1">
        <v>40000</v>
      </c>
      <c r="E31" s="20">
        <f t="shared" si="2"/>
        <v>26000</v>
      </c>
      <c r="F31" s="20">
        <f t="shared" si="3"/>
        <v>14000</v>
      </c>
      <c r="G31" s="22"/>
      <c r="H31"/>
      <c r="I31"/>
    </row>
    <row r="32" spans="1:9" ht="18.75" customHeight="1" x14ac:dyDescent="0.25">
      <c r="A32" s="11">
        <v>43076</v>
      </c>
      <c r="B32" s="5" t="s">
        <v>54</v>
      </c>
      <c r="C32" s="2" t="s">
        <v>0</v>
      </c>
      <c r="D32" s="1">
        <v>40000</v>
      </c>
      <c r="E32" s="20">
        <f t="shared" si="2"/>
        <v>26000</v>
      </c>
      <c r="F32" s="20">
        <f t="shared" si="3"/>
        <v>14000</v>
      </c>
      <c r="G32" s="22"/>
      <c r="H32"/>
      <c r="I32"/>
    </row>
    <row r="33" spans="1:9" ht="18.75" customHeight="1" x14ac:dyDescent="0.25">
      <c r="A33" s="11">
        <v>43088</v>
      </c>
      <c r="B33" s="4" t="s">
        <v>58</v>
      </c>
      <c r="C33" s="2" t="s">
        <v>7</v>
      </c>
      <c r="D33" s="1">
        <v>21500</v>
      </c>
      <c r="E33" s="20">
        <f t="shared" si="2"/>
        <v>13975</v>
      </c>
      <c r="F33" s="20">
        <f t="shared" si="3"/>
        <v>7524.9999999999991</v>
      </c>
      <c r="G33" s="22"/>
      <c r="H33"/>
      <c r="I33"/>
    </row>
    <row r="34" spans="1:9" ht="18.75" customHeight="1" x14ac:dyDescent="0.25">
      <c r="A34" s="11">
        <v>43105</v>
      </c>
      <c r="B34" s="5" t="s">
        <v>66</v>
      </c>
      <c r="C34" s="2" t="s">
        <v>11</v>
      </c>
      <c r="D34" s="1">
        <v>29500</v>
      </c>
      <c r="E34" s="20">
        <f t="shared" si="2"/>
        <v>19175</v>
      </c>
      <c r="F34" s="20">
        <f t="shared" si="3"/>
        <v>10325</v>
      </c>
      <c r="G34" s="26"/>
      <c r="H34"/>
      <c r="I34"/>
    </row>
    <row r="35" spans="1:9" ht="18.75" customHeight="1" x14ac:dyDescent="0.25">
      <c r="A35" s="11">
        <v>43110</v>
      </c>
      <c r="B35" s="4" t="s">
        <v>64</v>
      </c>
      <c r="C35" s="2" t="s">
        <v>0</v>
      </c>
      <c r="D35" s="1">
        <v>24500</v>
      </c>
      <c r="E35" s="20">
        <f t="shared" si="2"/>
        <v>15925</v>
      </c>
      <c r="F35" s="20">
        <f t="shared" si="3"/>
        <v>8575</v>
      </c>
      <c r="G35" s="22"/>
      <c r="H35"/>
      <c r="I35"/>
    </row>
    <row r="36" spans="1:9" ht="18.75" customHeight="1" x14ac:dyDescent="0.25">
      <c r="A36" s="11">
        <v>43111</v>
      </c>
      <c r="B36" s="5" t="s">
        <v>68</v>
      </c>
      <c r="C36" s="2" t="s">
        <v>11</v>
      </c>
      <c r="D36" s="1">
        <v>34500</v>
      </c>
      <c r="E36" s="20">
        <f t="shared" si="2"/>
        <v>22425</v>
      </c>
      <c r="F36" s="20">
        <f t="shared" si="3"/>
        <v>12075</v>
      </c>
      <c r="G36" s="22"/>
      <c r="H36"/>
      <c r="I36"/>
    </row>
    <row r="37" spans="1:9" x14ac:dyDescent="0.3">
      <c r="A37" s="11">
        <v>43125</v>
      </c>
      <c r="B37" s="5" t="s">
        <v>74</v>
      </c>
      <c r="C37" s="2" t="s">
        <v>0</v>
      </c>
      <c r="D37" s="1">
        <v>35000</v>
      </c>
      <c r="E37" s="20">
        <f t="shared" si="2"/>
        <v>22750</v>
      </c>
      <c r="F37" s="8">
        <f t="shared" si="3"/>
        <v>12250</v>
      </c>
    </row>
    <row r="38" spans="1:9" ht="20.25" x14ac:dyDescent="0.4">
      <c r="C38" s="15" t="s">
        <v>9</v>
      </c>
      <c r="D38" s="23">
        <f>SUM(D20:D37)</f>
        <v>639580</v>
      </c>
      <c r="E38" s="24">
        <f>SUM(E20:E37)</f>
        <v>415727</v>
      </c>
      <c r="F38" s="25">
        <f>SUM(F20:F37)</f>
        <v>223853</v>
      </c>
      <c r="G38" s="27">
        <v>43157</v>
      </c>
    </row>
    <row r="41" spans="1:9" ht="18.75" customHeight="1" x14ac:dyDescent="0.25">
      <c r="A41" s="11">
        <v>42982</v>
      </c>
      <c r="B41" s="4" t="s">
        <v>100</v>
      </c>
      <c r="C41" s="2" t="s">
        <v>11</v>
      </c>
      <c r="D41" s="1">
        <v>31000</v>
      </c>
      <c r="E41" s="20">
        <f t="shared" ref="E41:E54" si="4">SUM(D41*0.65)</f>
        <v>20150</v>
      </c>
      <c r="F41" s="8">
        <f t="shared" ref="F41:F54" si="5">SUM(D41*0.35)</f>
        <v>10850</v>
      </c>
      <c r="H41"/>
      <c r="I41"/>
    </row>
    <row r="42" spans="1:9" ht="18.75" customHeight="1" x14ac:dyDescent="0.25">
      <c r="A42" s="11">
        <v>43003</v>
      </c>
      <c r="B42" s="4" t="s">
        <v>23</v>
      </c>
      <c r="C42" s="2" t="s">
        <v>10</v>
      </c>
      <c r="D42" s="1">
        <v>149500</v>
      </c>
      <c r="E42" s="20">
        <f t="shared" si="4"/>
        <v>97175</v>
      </c>
      <c r="F42" s="20">
        <f t="shared" si="5"/>
        <v>52325</v>
      </c>
      <c r="G42" s="22"/>
      <c r="H42"/>
      <c r="I42"/>
    </row>
    <row r="43" spans="1:9" ht="18.75" customHeight="1" x14ac:dyDescent="0.25">
      <c r="A43" s="11">
        <v>43024</v>
      </c>
      <c r="B43" s="5" t="s">
        <v>30</v>
      </c>
      <c r="C43" s="2" t="s">
        <v>10</v>
      </c>
      <c r="D43" s="1">
        <v>35000</v>
      </c>
      <c r="E43" s="20">
        <f t="shared" si="4"/>
        <v>22750</v>
      </c>
      <c r="F43" s="20">
        <f t="shared" si="5"/>
        <v>12250</v>
      </c>
      <c r="G43" s="22"/>
      <c r="H43"/>
      <c r="I43"/>
    </row>
    <row r="44" spans="1:9" ht="18.75" customHeight="1" x14ac:dyDescent="0.25">
      <c r="A44" s="11">
        <v>43046</v>
      </c>
      <c r="B44" s="5" t="s">
        <v>37</v>
      </c>
      <c r="C44" s="2" t="s">
        <v>11</v>
      </c>
      <c r="D44" s="1">
        <v>101000</v>
      </c>
      <c r="E44" s="20">
        <f t="shared" si="4"/>
        <v>65650</v>
      </c>
      <c r="F44" s="20">
        <f t="shared" si="5"/>
        <v>35350</v>
      </c>
      <c r="G44" s="22"/>
      <c r="H44"/>
      <c r="I44"/>
    </row>
    <row r="45" spans="1:9" ht="18.75" customHeight="1" x14ac:dyDescent="0.25">
      <c r="A45" s="11">
        <v>43055</v>
      </c>
      <c r="B45" s="4" t="s">
        <v>40</v>
      </c>
      <c r="C45" s="2" t="s">
        <v>12</v>
      </c>
      <c r="D45" s="1">
        <v>85280</v>
      </c>
      <c r="E45" s="20">
        <f t="shared" si="4"/>
        <v>55432</v>
      </c>
      <c r="F45" s="20">
        <f t="shared" si="5"/>
        <v>29847.999999999996</v>
      </c>
      <c r="G45" s="22"/>
      <c r="H45"/>
      <c r="I45"/>
    </row>
    <row r="46" spans="1:9" ht="18.75" customHeight="1" x14ac:dyDescent="0.25">
      <c r="A46" s="11">
        <v>43076</v>
      </c>
      <c r="B46" s="5" t="s">
        <v>53</v>
      </c>
      <c r="C46" s="2" t="s">
        <v>8</v>
      </c>
      <c r="D46" s="1">
        <v>20000</v>
      </c>
      <c r="E46" s="20">
        <f t="shared" si="4"/>
        <v>13000</v>
      </c>
      <c r="F46" s="20">
        <f t="shared" si="5"/>
        <v>7000</v>
      </c>
      <c r="G46" s="22"/>
      <c r="H46"/>
      <c r="I46"/>
    </row>
    <row r="47" spans="1:9" ht="18.75" customHeight="1" x14ac:dyDescent="0.25">
      <c r="A47" s="11">
        <v>43080</v>
      </c>
      <c r="B47" s="4" t="s">
        <v>52</v>
      </c>
      <c r="C47" s="2" t="s">
        <v>11</v>
      </c>
      <c r="D47" s="1">
        <v>32190</v>
      </c>
      <c r="E47" s="20">
        <f t="shared" si="4"/>
        <v>20923.5</v>
      </c>
      <c r="F47" s="20">
        <f t="shared" si="5"/>
        <v>11266.5</v>
      </c>
      <c r="G47" s="22"/>
      <c r="H47"/>
      <c r="I47"/>
    </row>
    <row r="48" spans="1:9" ht="18.75" customHeight="1" x14ac:dyDescent="0.25">
      <c r="A48" s="11">
        <v>43462</v>
      </c>
      <c r="B48" s="5" t="s">
        <v>60</v>
      </c>
      <c r="C48" s="2" t="s">
        <v>0</v>
      </c>
      <c r="D48" s="1">
        <v>34000</v>
      </c>
      <c r="E48" s="20">
        <f t="shared" si="4"/>
        <v>22100</v>
      </c>
      <c r="F48" s="20">
        <f t="shared" si="5"/>
        <v>11900</v>
      </c>
      <c r="G48" s="22"/>
      <c r="H48"/>
      <c r="I48"/>
    </row>
    <row r="49" spans="1:9" ht="18.75" customHeight="1" x14ac:dyDescent="0.25">
      <c r="A49" s="11">
        <v>43146</v>
      </c>
      <c r="B49" s="5" t="s">
        <v>85</v>
      </c>
      <c r="C49" s="2" t="s">
        <v>11</v>
      </c>
      <c r="D49" s="1">
        <v>34000</v>
      </c>
      <c r="E49" s="20">
        <f t="shared" si="4"/>
        <v>22100</v>
      </c>
      <c r="F49" s="8">
        <f t="shared" si="5"/>
        <v>11900</v>
      </c>
      <c r="G49" s="22"/>
      <c r="H49"/>
      <c r="I49"/>
    </row>
    <row r="50" spans="1:9" ht="18.75" customHeight="1" x14ac:dyDescent="0.25">
      <c r="A50" s="11">
        <v>43161</v>
      </c>
      <c r="B50" s="5" t="s">
        <v>89</v>
      </c>
      <c r="C50" s="2" t="s">
        <v>11</v>
      </c>
      <c r="D50" s="1">
        <v>29500</v>
      </c>
      <c r="E50" s="20">
        <f t="shared" si="4"/>
        <v>19175</v>
      </c>
      <c r="F50" s="20">
        <f t="shared" si="5"/>
        <v>10325</v>
      </c>
      <c r="H50"/>
      <c r="I50"/>
    </row>
    <row r="51" spans="1:9" ht="18.75" customHeight="1" x14ac:dyDescent="0.25">
      <c r="A51" s="11">
        <v>43161</v>
      </c>
      <c r="B51" s="5" t="s">
        <v>90</v>
      </c>
      <c r="C51" s="2" t="s">
        <v>11</v>
      </c>
      <c r="D51" s="1">
        <v>29500</v>
      </c>
      <c r="E51" s="20">
        <f t="shared" si="4"/>
        <v>19175</v>
      </c>
      <c r="F51" s="20">
        <f t="shared" si="5"/>
        <v>10325</v>
      </c>
      <c r="H51"/>
      <c r="I51"/>
    </row>
    <row r="52" spans="1:9" ht="18.75" customHeight="1" x14ac:dyDescent="0.25">
      <c r="A52" s="11">
        <v>43161</v>
      </c>
      <c r="B52" s="5" t="s">
        <v>91</v>
      </c>
      <c r="C52" s="2" t="s">
        <v>11</v>
      </c>
      <c r="D52" s="1">
        <v>29500</v>
      </c>
      <c r="E52" s="20">
        <f t="shared" si="4"/>
        <v>19175</v>
      </c>
      <c r="F52" s="20">
        <f t="shared" si="5"/>
        <v>10325</v>
      </c>
      <c r="H52"/>
      <c r="I52"/>
    </row>
    <row r="53" spans="1:9" ht="18.75" customHeight="1" x14ac:dyDescent="0.25">
      <c r="A53" s="11">
        <v>43167</v>
      </c>
      <c r="B53" s="5" t="s">
        <v>98</v>
      </c>
      <c r="C53" s="2" t="s">
        <v>11</v>
      </c>
      <c r="D53" s="1">
        <v>35000</v>
      </c>
      <c r="E53" s="20">
        <f t="shared" si="4"/>
        <v>22750</v>
      </c>
      <c r="F53" s="8">
        <f t="shared" si="5"/>
        <v>12250</v>
      </c>
      <c r="H53"/>
      <c r="I53"/>
    </row>
    <row r="54" spans="1:9" ht="18.75" customHeight="1" x14ac:dyDescent="0.25">
      <c r="A54" s="11">
        <v>43173</v>
      </c>
      <c r="B54" s="4" t="s">
        <v>96</v>
      </c>
      <c r="C54" s="2" t="s">
        <v>7</v>
      </c>
      <c r="D54" s="1">
        <v>18697</v>
      </c>
      <c r="E54" s="20">
        <f t="shared" si="4"/>
        <v>12153.050000000001</v>
      </c>
      <c r="F54" s="8">
        <f t="shared" si="5"/>
        <v>6543.95</v>
      </c>
      <c r="H54"/>
      <c r="I54"/>
    </row>
    <row r="55" spans="1:9" ht="20.25" x14ac:dyDescent="0.4">
      <c r="C55" s="15" t="s">
        <v>9</v>
      </c>
      <c r="D55" s="23">
        <f>SUM(D41:D54)</f>
        <v>664167</v>
      </c>
      <c r="E55" s="24">
        <f>SUM(E41:E54)</f>
        <v>431708.55</v>
      </c>
      <c r="F55" s="25">
        <f>SUM(F41:F54)</f>
        <v>232458.45</v>
      </c>
      <c r="G55" s="27">
        <v>43185</v>
      </c>
    </row>
    <row r="58" spans="1:9" ht="18.75" customHeight="1" x14ac:dyDescent="0.25">
      <c r="A58" s="11">
        <v>43005</v>
      </c>
      <c r="B58" s="5" t="s">
        <v>28</v>
      </c>
      <c r="C58" s="2" t="s">
        <v>11</v>
      </c>
      <c r="D58" s="1">
        <v>39000</v>
      </c>
      <c r="E58" s="20">
        <f t="shared" ref="E58:E78" si="6">SUM(D58*0.65)</f>
        <v>25350</v>
      </c>
      <c r="F58" s="20">
        <f t="shared" ref="F58:F78" si="7">SUM(D58*0.35)</f>
        <v>13650</v>
      </c>
      <c r="G58" s="22"/>
      <c r="H58"/>
      <c r="I58"/>
    </row>
    <row r="59" spans="1:9" ht="18.75" customHeight="1" x14ac:dyDescent="0.25">
      <c r="A59" s="11">
        <v>43045</v>
      </c>
      <c r="B59" s="4" t="s">
        <v>38</v>
      </c>
      <c r="C59" s="2" t="s">
        <v>10</v>
      </c>
      <c r="D59" s="1">
        <v>19010</v>
      </c>
      <c r="E59" s="20">
        <f t="shared" si="6"/>
        <v>12356.5</v>
      </c>
      <c r="F59" s="20">
        <f t="shared" si="7"/>
        <v>6653.5</v>
      </c>
      <c r="G59" s="22"/>
      <c r="H59"/>
      <c r="I59"/>
    </row>
    <row r="60" spans="1:9" ht="18.75" customHeight="1" x14ac:dyDescent="0.25">
      <c r="A60" s="11">
        <v>43056</v>
      </c>
      <c r="B60" s="5" t="s">
        <v>47</v>
      </c>
      <c r="C60" s="2" t="s">
        <v>10</v>
      </c>
      <c r="D60" s="1">
        <v>30000</v>
      </c>
      <c r="E60" s="20">
        <f t="shared" si="6"/>
        <v>19500</v>
      </c>
      <c r="F60" s="20">
        <f t="shared" si="7"/>
        <v>10500</v>
      </c>
      <c r="G60" s="22"/>
      <c r="H60"/>
      <c r="I60"/>
    </row>
    <row r="61" spans="1:9" ht="18.75" customHeight="1" x14ac:dyDescent="0.25">
      <c r="A61" s="11">
        <v>43105</v>
      </c>
      <c r="B61" s="5" t="s">
        <v>67</v>
      </c>
      <c r="C61" s="2" t="s">
        <v>0</v>
      </c>
      <c r="D61" s="1">
        <v>31000</v>
      </c>
      <c r="E61" s="20">
        <f t="shared" si="6"/>
        <v>20150</v>
      </c>
      <c r="F61" s="20">
        <f t="shared" si="7"/>
        <v>10850</v>
      </c>
      <c r="G61" s="22"/>
      <c r="H61"/>
      <c r="I61"/>
    </row>
    <row r="62" spans="1:9" ht="18.75" customHeight="1" x14ac:dyDescent="0.25">
      <c r="A62" s="11">
        <v>43105</v>
      </c>
      <c r="B62" s="5" t="s">
        <v>115</v>
      </c>
      <c r="C62" s="2" t="s">
        <v>0</v>
      </c>
      <c r="D62" s="1">
        <v>31000</v>
      </c>
      <c r="E62" s="20">
        <f t="shared" si="6"/>
        <v>20150</v>
      </c>
      <c r="F62" s="20">
        <f t="shared" si="7"/>
        <v>10850</v>
      </c>
      <c r="G62" s="22"/>
      <c r="H62"/>
      <c r="I62"/>
    </row>
    <row r="63" spans="1:9" ht="18.75" customHeight="1" x14ac:dyDescent="0.25">
      <c r="A63" s="11">
        <v>43105</v>
      </c>
      <c r="B63" s="4" t="s">
        <v>62</v>
      </c>
      <c r="C63" s="2" t="s">
        <v>7</v>
      </c>
      <c r="D63" s="1">
        <v>37500</v>
      </c>
      <c r="E63" s="20">
        <f t="shared" si="6"/>
        <v>24375</v>
      </c>
      <c r="F63" s="20">
        <f t="shared" si="7"/>
        <v>13125</v>
      </c>
      <c r="G63" s="22"/>
      <c r="H63"/>
      <c r="I63"/>
    </row>
    <row r="64" spans="1:9" ht="18.75" customHeight="1" x14ac:dyDescent="0.25">
      <c r="A64" s="11">
        <v>43125</v>
      </c>
      <c r="B64" s="5" t="s">
        <v>73</v>
      </c>
      <c r="C64" s="2" t="s">
        <v>7</v>
      </c>
      <c r="D64" s="1">
        <v>22000</v>
      </c>
      <c r="E64" s="20">
        <f t="shared" si="6"/>
        <v>14300</v>
      </c>
      <c r="F64" s="20">
        <f t="shared" si="7"/>
        <v>7699.9999999999991</v>
      </c>
      <c r="G64" s="22"/>
      <c r="H64"/>
      <c r="I64"/>
    </row>
    <row r="65" spans="1:9" ht="18.75" customHeight="1" x14ac:dyDescent="0.25">
      <c r="A65" s="11">
        <v>43137</v>
      </c>
      <c r="B65" s="4" t="s">
        <v>71</v>
      </c>
      <c r="C65" s="2" t="s">
        <v>11</v>
      </c>
      <c r="D65" s="1">
        <v>20000</v>
      </c>
      <c r="E65" s="20">
        <f t="shared" si="6"/>
        <v>13000</v>
      </c>
      <c r="F65" s="8">
        <f t="shared" si="7"/>
        <v>7000</v>
      </c>
      <c r="G65" s="22"/>
      <c r="H65"/>
      <c r="I65"/>
    </row>
    <row r="66" spans="1:9" ht="18.75" customHeight="1" x14ac:dyDescent="0.25">
      <c r="A66" s="11">
        <v>43137</v>
      </c>
      <c r="B66" s="5" t="s">
        <v>75</v>
      </c>
      <c r="C66" s="2" t="s">
        <v>11</v>
      </c>
      <c r="D66" s="1">
        <v>20000</v>
      </c>
      <c r="E66" s="20">
        <f t="shared" si="6"/>
        <v>13000</v>
      </c>
      <c r="F66" s="8">
        <f t="shared" si="7"/>
        <v>7000</v>
      </c>
      <c r="G66" s="22"/>
      <c r="H66"/>
      <c r="I66"/>
    </row>
    <row r="67" spans="1:9" ht="18.75" customHeight="1" x14ac:dyDescent="0.25">
      <c r="A67" s="11">
        <v>43144</v>
      </c>
      <c r="B67" s="5" t="s">
        <v>77</v>
      </c>
      <c r="C67" s="2" t="s">
        <v>0</v>
      </c>
      <c r="D67" s="1">
        <v>31000</v>
      </c>
      <c r="E67" s="20">
        <f t="shared" si="6"/>
        <v>20150</v>
      </c>
      <c r="F67" s="8">
        <f t="shared" si="7"/>
        <v>10850</v>
      </c>
      <c r="G67" s="22"/>
      <c r="H67"/>
      <c r="I67"/>
    </row>
    <row r="68" spans="1:9" ht="18.75" customHeight="1" x14ac:dyDescent="0.25">
      <c r="A68" s="11">
        <v>43144</v>
      </c>
      <c r="B68" s="5" t="s">
        <v>79</v>
      </c>
      <c r="C68" s="2" t="s">
        <v>0</v>
      </c>
      <c r="D68" s="1">
        <v>31000</v>
      </c>
      <c r="E68" s="20">
        <f t="shared" si="6"/>
        <v>20150</v>
      </c>
      <c r="F68" s="8">
        <f t="shared" si="7"/>
        <v>10850</v>
      </c>
      <c r="G68" s="22"/>
      <c r="H68"/>
      <c r="I68"/>
    </row>
    <row r="69" spans="1:9" ht="18.75" customHeight="1" x14ac:dyDescent="0.25">
      <c r="A69" s="11">
        <v>43144</v>
      </c>
      <c r="B69" s="5" t="s">
        <v>80</v>
      </c>
      <c r="C69" s="2" t="s">
        <v>0</v>
      </c>
      <c r="D69" s="1">
        <v>31000</v>
      </c>
      <c r="E69" s="20">
        <f t="shared" si="6"/>
        <v>20150</v>
      </c>
      <c r="F69" s="8">
        <f t="shared" si="7"/>
        <v>10850</v>
      </c>
      <c r="G69" s="22"/>
      <c r="H69"/>
      <c r="I69"/>
    </row>
    <row r="70" spans="1:9" ht="18.75" customHeight="1" x14ac:dyDescent="0.25">
      <c r="A70" s="11">
        <v>43144</v>
      </c>
      <c r="B70" s="5" t="s">
        <v>81</v>
      </c>
      <c r="C70" s="2" t="s">
        <v>0</v>
      </c>
      <c r="D70" s="1">
        <v>31000</v>
      </c>
      <c r="E70" s="20">
        <f t="shared" si="6"/>
        <v>20150</v>
      </c>
      <c r="F70" s="8">
        <f t="shared" si="7"/>
        <v>10850</v>
      </c>
      <c r="G70" s="22"/>
      <c r="H70"/>
      <c r="I70"/>
    </row>
    <row r="71" spans="1:9" ht="18.75" customHeight="1" x14ac:dyDescent="0.25">
      <c r="A71" s="11">
        <v>43144</v>
      </c>
      <c r="B71" s="5" t="s">
        <v>82</v>
      </c>
      <c r="C71" s="2" t="s">
        <v>0</v>
      </c>
      <c r="D71" s="1">
        <v>31000</v>
      </c>
      <c r="E71" s="20">
        <f t="shared" si="6"/>
        <v>20150</v>
      </c>
      <c r="F71" s="8">
        <f t="shared" si="7"/>
        <v>10850</v>
      </c>
      <c r="G71" s="22"/>
      <c r="H71"/>
      <c r="I71"/>
    </row>
    <row r="72" spans="1:9" ht="18.75" customHeight="1" x14ac:dyDescent="0.25">
      <c r="A72" s="11">
        <v>43144</v>
      </c>
      <c r="B72" s="5" t="s">
        <v>83</v>
      </c>
      <c r="C72" s="2" t="s">
        <v>0</v>
      </c>
      <c r="D72" s="1">
        <v>31000</v>
      </c>
      <c r="E72" s="20">
        <f t="shared" si="6"/>
        <v>20150</v>
      </c>
      <c r="F72" s="8">
        <f t="shared" si="7"/>
        <v>10850</v>
      </c>
      <c r="G72" s="22"/>
      <c r="H72"/>
      <c r="I72"/>
    </row>
    <row r="73" spans="1:9" ht="18.75" customHeight="1" x14ac:dyDescent="0.25">
      <c r="A73" s="11">
        <v>43150</v>
      </c>
      <c r="B73" s="4" t="s">
        <v>84</v>
      </c>
      <c r="C73" s="2" t="s">
        <v>11</v>
      </c>
      <c r="D73" s="1">
        <v>36500</v>
      </c>
      <c r="E73" s="20">
        <f t="shared" si="6"/>
        <v>23725</v>
      </c>
      <c r="F73" s="20">
        <f t="shared" si="7"/>
        <v>12775</v>
      </c>
      <c r="G73" s="22"/>
      <c r="H73"/>
      <c r="I73"/>
    </row>
    <row r="74" spans="1:9" ht="18.75" customHeight="1" x14ac:dyDescent="0.25">
      <c r="A74" s="11">
        <v>43167</v>
      </c>
      <c r="B74" s="5" t="s">
        <v>97</v>
      </c>
      <c r="C74" s="2" t="s">
        <v>0</v>
      </c>
      <c r="D74" s="1">
        <v>46000</v>
      </c>
      <c r="E74" s="20">
        <f t="shared" si="6"/>
        <v>29900</v>
      </c>
      <c r="F74" s="8">
        <f t="shared" si="7"/>
        <v>16099.999999999998</v>
      </c>
      <c r="H74"/>
      <c r="I74"/>
    </row>
    <row r="75" spans="1:9" x14ac:dyDescent="0.3">
      <c r="A75" s="11">
        <v>43173</v>
      </c>
      <c r="B75" s="4" t="s">
        <v>101</v>
      </c>
      <c r="C75" s="2" t="s">
        <v>7</v>
      </c>
      <c r="D75" s="1">
        <v>18697</v>
      </c>
      <c r="E75" s="20">
        <f t="shared" si="6"/>
        <v>12153.050000000001</v>
      </c>
      <c r="F75" s="20">
        <f t="shared" si="7"/>
        <v>6543.95</v>
      </c>
      <c r="G75" s="22"/>
    </row>
    <row r="76" spans="1:9" ht="15" x14ac:dyDescent="0.25">
      <c r="A76" s="11">
        <v>43179</v>
      </c>
      <c r="B76" s="4" t="s">
        <v>102</v>
      </c>
      <c r="C76" s="2" t="s">
        <v>11</v>
      </c>
      <c r="D76" s="1">
        <v>39680</v>
      </c>
      <c r="E76" s="20">
        <f t="shared" si="6"/>
        <v>25792</v>
      </c>
      <c r="F76" s="8">
        <f t="shared" si="7"/>
        <v>13888</v>
      </c>
      <c r="H76"/>
      <c r="I76"/>
    </row>
    <row r="77" spans="1:9" ht="18.75" customHeight="1" x14ac:dyDescent="0.25">
      <c r="A77" s="11">
        <v>43179</v>
      </c>
      <c r="B77" s="4" t="s">
        <v>103</v>
      </c>
      <c r="C77" s="2" t="s">
        <v>11</v>
      </c>
      <c r="D77" s="1">
        <v>39680</v>
      </c>
      <c r="E77" s="20">
        <f t="shared" si="6"/>
        <v>25792</v>
      </c>
      <c r="F77" s="8">
        <f t="shared" si="7"/>
        <v>13888</v>
      </c>
      <c r="H77"/>
      <c r="I77"/>
    </row>
    <row r="78" spans="1:9" x14ac:dyDescent="0.3">
      <c r="A78" s="11">
        <v>43181</v>
      </c>
      <c r="B78" s="5" t="s">
        <v>109</v>
      </c>
      <c r="C78" s="2" t="s">
        <v>11</v>
      </c>
      <c r="D78" s="1">
        <v>29500</v>
      </c>
      <c r="E78" s="20">
        <f t="shared" si="6"/>
        <v>19175</v>
      </c>
      <c r="F78" s="8">
        <f t="shared" si="7"/>
        <v>10325</v>
      </c>
      <c r="G78" s="22"/>
    </row>
    <row r="79" spans="1:9" ht="20.25" x14ac:dyDescent="0.4">
      <c r="C79" s="15" t="s">
        <v>9</v>
      </c>
      <c r="D79" s="23">
        <f>SUM(D58:D78)</f>
        <v>645567</v>
      </c>
      <c r="E79" s="24">
        <f>SUM(E58:E78)</f>
        <v>419618.55</v>
      </c>
      <c r="F79" s="25">
        <f>SUM(F58:F78)</f>
        <v>225948.45</v>
      </c>
      <c r="G79" s="27">
        <v>43216</v>
      </c>
    </row>
    <row r="82" spans="1:9" ht="18.75" customHeight="1" x14ac:dyDescent="0.25">
      <c r="A82" s="11">
        <v>43075</v>
      </c>
      <c r="B82" s="4" t="s">
        <v>51</v>
      </c>
      <c r="C82" s="2" t="s">
        <v>0</v>
      </c>
      <c r="D82" s="1">
        <v>26190</v>
      </c>
      <c r="E82" s="20">
        <f t="shared" ref="E82:E99" si="8">SUM(D82*0.65)</f>
        <v>17023.5</v>
      </c>
      <c r="F82" s="20">
        <f t="shared" ref="F82:F99" si="9">SUM(D82*0.35)</f>
        <v>9166.5</v>
      </c>
      <c r="G82" s="22"/>
      <c r="H82"/>
      <c r="I82"/>
    </row>
    <row r="83" spans="1:9" ht="18.75" customHeight="1" x14ac:dyDescent="0.25">
      <c r="A83" s="11">
        <v>42886</v>
      </c>
      <c r="B83" s="4" t="s">
        <v>15</v>
      </c>
      <c r="C83" s="2" t="s">
        <v>7</v>
      </c>
      <c r="D83" s="20">
        <v>21200</v>
      </c>
      <c r="E83" s="20">
        <f t="shared" si="8"/>
        <v>13780</v>
      </c>
      <c r="F83" s="20">
        <f t="shared" si="9"/>
        <v>7419.9999999999991</v>
      </c>
      <c r="G83" s="22"/>
      <c r="H83"/>
      <c r="I83"/>
    </row>
    <row r="84" spans="1:9" ht="18.75" customHeight="1" x14ac:dyDescent="0.25">
      <c r="A84" s="11">
        <v>42969</v>
      </c>
      <c r="B84" s="4" t="s">
        <v>20</v>
      </c>
      <c r="C84" s="2" t="s">
        <v>10</v>
      </c>
      <c r="D84" s="1">
        <v>11960</v>
      </c>
      <c r="E84" s="20">
        <f t="shared" si="8"/>
        <v>7774</v>
      </c>
      <c r="F84" s="20">
        <f t="shared" si="9"/>
        <v>4186</v>
      </c>
      <c r="G84" s="22"/>
      <c r="H84"/>
      <c r="I84"/>
    </row>
    <row r="85" spans="1:9" ht="18.75" customHeight="1" x14ac:dyDescent="0.25">
      <c r="A85" s="11">
        <v>43161</v>
      </c>
      <c r="B85" s="5" t="s">
        <v>92</v>
      </c>
      <c r="C85" s="2" t="s">
        <v>0</v>
      </c>
      <c r="D85" s="1">
        <v>31000</v>
      </c>
      <c r="E85" s="20">
        <f t="shared" si="8"/>
        <v>20150</v>
      </c>
      <c r="F85" s="20">
        <f t="shared" si="9"/>
        <v>10850</v>
      </c>
      <c r="H85"/>
      <c r="I85"/>
    </row>
    <row r="86" spans="1:9" ht="18.75" customHeight="1" x14ac:dyDescent="0.25">
      <c r="A86" s="11">
        <v>43161</v>
      </c>
      <c r="B86" s="5" t="s">
        <v>93</v>
      </c>
      <c r="C86" s="2" t="s">
        <v>0</v>
      </c>
      <c r="D86" s="1">
        <v>31000</v>
      </c>
      <c r="E86" s="20">
        <f t="shared" si="8"/>
        <v>20150</v>
      </c>
      <c r="F86" s="20">
        <f t="shared" si="9"/>
        <v>10850</v>
      </c>
      <c r="H86"/>
      <c r="I86"/>
    </row>
    <row r="87" spans="1:9" ht="18.75" customHeight="1" x14ac:dyDescent="0.25">
      <c r="A87" s="11">
        <v>43161</v>
      </c>
      <c r="B87" s="5" t="s">
        <v>94</v>
      </c>
      <c r="C87" s="2" t="s">
        <v>0</v>
      </c>
      <c r="D87" s="1">
        <v>31000</v>
      </c>
      <c r="E87" s="20">
        <f t="shared" si="8"/>
        <v>20150</v>
      </c>
      <c r="F87" s="20">
        <f t="shared" si="9"/>
        <v>10850</v>
      </c>
      <c r="H87"/>
      <c r="I87"/>
    </row>
    <row r="88" spans="1:9" ht="18.75" customHeight="1" x14ac:dyDescent="0.25">
      <c r="A88" s="11">
        <v>43167</v>
      </c>
      <c r="B88" s="5" t="s">
        <v>99</v>
      </c>
      <c r="C88" s="2" t="s">
        <v>0</v>
      </c>
      <c r="D88" s="1">
        <v>34000</v>
      </c>
      <c r="E88" s="20">
        <f t="shared" si="8"/>
        <v>22100</v>
      </c>
      <c r="F88" s="8">
        <f t="shared" si="9"/>
        <v>11900</v>
      </c>
      <c r="H88"/>
      <c r="I88"/>
    </row>
    <row r="89" spans="1:9" ht="18.75" customHeight="1" x14ac:dyDescent="0.25">
      <c r="A89" s="11">
        <v>43178</v>
      </c>
      <c r="B89" s="5" t="s">
        <v>105</v>
      </c>
      <c r="C89" s="2" t="s">
        <v>0</v>
      </c>
      <c r="D89" s="1">
        <v>84000</v>
      </c>
      <c r="E89" s="20">
        <f t="shared" si="8"/>
        <v>54600</v>
      </c>
      <c r="F89" s="8">
        <f t="shared" si="9"/>
        <v>29399.999999999996</v>
      </c>
      <c r="H89"/>
      <c r="I89"/>
    </row>
    <row r="90" spans="1:9" ht="18.75" customHeight="1" x14ac:dyDescent="0.25">
      <c r="A90" s="11">
        <v>43178</v>
      </c>
      <c r="B90" s="5" t="s">
        <v>106</v>
      </c>
      <c r="C90" s="2" t="s">
        <v>11</v>
      </c>
      <c r="D90" s="1">
        <v>37000</v>
      </c>
      <c r="E90" s="20">
        <f t="shared" si="8"/>
        <v>24050</v>
      </c>
      <c r="F90" s="8">
        <f t="shared" si="9"/>
        <v>12950</v>
      </c>
      <c r="H90"/>
      <c r="I90"/>
    </row>
    <row r="91" spans="1:9" ht="18.75" customHeight="1" x14ac:dyDescent="0.25">
      <c r="A91" s="11">
        <v>43179</v>
      </c>
      <c r="B91" s="5" t="s">
        <v>107</v>
      </c>
      <c r="C91" s="2" t="s">
        <v>0</v>
      </c>
      <c r="D91" s="1">
        <v>35000</v>
      </c>
      <c r="E91" s="20">
        <f t="shared" si="8"/>
        <v>22750</v>
      </c>
      <c r="F91" s="8">
        <f t="shared" si="9"/>
        <v>12250</v>
      </c>
      <c r="H91"/>
      <c r="I91"/>
    </row>
    <row r="92" spans="1:9" ht="18.75" customHeight="1" x14ac:dyDescent="0.25">
      <c r="A92" s="11">
        <v>43179</v>
      </c>
      <c r="B92" s="5" t="s">
        <v>108</v>
      </c>
      <c r="C92" s="2" t="s">
        <v>11</v>
      </c>
      <c r="D92" s="1">
        <v>30000</v>
      </c>
      <c r="E92" s="20">
        <f t="shared" si="8"/>
        <v>19500</v>
      </c>
      <c r="F92" s="8">
        <f t="shared" si="9"/>
        <v>10500</v>
      </c>
      <c r="H92"/>
      <c r="I92"/>
    </row>
    <row r="93" spans="1:9" ht="18.75" customHeight="1" x14ac:dyDescent="0.25">
      <c r="A93" s="11">
        <v>43201</v>
      </c>
      <c r="B93" s="5" t="s">
        <v>118</v>
      </c>
      <c r="C93" s="2" t="s">
        <v>11</v>
      </c>
      <c r="D93" s="1">
        <v>34500</v>
      </c>
      <c r="E93" s="20">
        <f t="shared" si="8"/>
        <v>22425</v>
      </c>
      <c r="F93" s="8">
        <f t="shared" si="9"/>
        <v>12075</v>
      </c>
      <c r="H93"/>
      <c r="I93"/>
    </row>
    <row r="94" spans="1:9" ht="18.75" customHeight="1" x14ac:dyDescent="0.25">
      <c r="A94" s="11">
        <v>43201</v>
      </c>
      <c r="B94" s="5" t="s">
        <v>119</v>
      </c>
      <c r="C94" s="2" t="s">
        <v>11</v>
      </c>
      <c r="D94" s="1">
        <v>34500</v>
      </c>
      <c r="E94" s="20">
        <f t="shared" si="8"/>
        <v>22425</v>
      </c>
      <c r="F94" s="8">
        <f t="shared" si="9"/>
        <v>12075</v>
      </c>
      <c r="H94"/>
      <c r="I94"/>
    </row>
    <row r="95" spans="1:9" x14ac:dyDescent="0.3">
      <c r="A95" s="11">
        <v>43209</v>
      </c>
      <c r="B95" s="4" t="s">
        <v>124</v>
      </c>
      <c r="C95" s="2" t="s">
        <v>57</v>
      </c>
      <c r="D95" s="1">
        <v>17810</v>
      </c>
      <c r="E95" s="20">
        <f t="shared" si="8"/>
        <v>11576.5</v>
      </c>
      <c r="F95" s="8">
        <f t="shared" si="9"/>
        <v>6233.5</v>
      </c>
    </row>
    <row r="96" spans="1:9" ht="18.75" customHeight="1" x14ac:dyDescent="0.25">
      <c r="A96" s="11">
        <v>43215</v>
      </c>
      <c r="B96" s="5" t="s">
        <v>123</v>
      </c>
      <c r="C96" s="2" t="s">
        <v>11</v>
      </c>
      <c r="D96" s="1">
        <v>29500</v>
      </c>
      <c r="E96" s="20">
        <f t="shared" si="8"/>
        <v>19175</v>
      </c>
      <c r="F96" s="8">
        <f t="shared" si="9"/>
        <v>10325</v>
      </c>
      <c r="H96"/>
      <c r="I96"/>
    </row>
    <row r="97" spans="1:9" ht="18.75" customHeight="1" x14ac:dyDescent="0.25">
      <c r="A97" s="11">
        <v>43220</v>
      </c>
      <c r="B97" s="5" t="s">
        <v>127</v>
      </c>
      <c r="C97" s="2" t="s">
        <v>10</v>
      </c>
      <c r="D97" s="1">
        <v>35000</v>
      </c>
      <c r="E97" s="20">
        <f t="shared" si="8"/>
        <v>22750</v>
      </c>
      <c r="F97" s="8">
        <f t="shared" si="9"/>
        <v>12250</v>
      </c>
      <c r="H97"/>
      <c r="I97"/>
    </row>
    <row r="98" spans="1:9" ht="18.75" customHeight="1" x14ac:dyDescent="0.25">
      <c r="A98" s="11">
        <v>43223</v>
      </c>
      <c r="B98" s="5" t="s">
        <v>132</v>
      </c>
      <c r="C98" s="2" t="s">
        <v>11</v>
      </c>
      <c r="D98" s="1">
        <v>29500</v>
      </c>
      <c r="E98" s="20">
        <f t="shared" si="8"/>
        <v>19175</v>
      </c>
      <c r="F98" s="8">
        <f t="shared" si="9"/>
        <v>10325</v>
      </c>
      <c r="H98"/>
      <c r="I98"/>
    </row>
    <row r="99" spans="1:9" ht="18.75" customHeight="1" x14ac:dyDescent="0.25">
      <c r="A99" s="11">
        <v>43223</v>
      </c>
      <c r="B99" s="5" t="s">
        <v>133</v>
      </c>
      <c r="C99" s="2" t="s">
        <v>134</v>
      </c>
      <c r="D99" s="1">
        <v>40000</v>
      </c>
      <c r="E99" s="20">
        <f t="shared" si="8"/>
        <v>26000</v>
      </c>
      <c r="F99" s="8">
        <f t="shared" si="9"/>
        <v>14000</v>
      </c>
      <c r="H99"/>
      <c r="I99"/>
    </row>
    <row r="100" spans="1:9" ht="20.25" x14ac:dyDescent="0.4">
      <c r="C100" s="15" t="s">
        <v>9</v>
      </c>
      <c r="D100" s="23">
        <f>SUM(D82:D99)</f>
        <v>593160</v>
      </c>
      <c r="E100" s="24">
        <f>SUM(E82:E99)</f>
        <v>385554</v>
      </c>
      <c r="F100" s="25">
        <f>SUM(F82:F99)</f>
        <v>207606</v>
      </c>
      <c r="G100" s="27">
        <v>43249</v>
      </c>
    </row>
    <row r="103" spans="1:9" ht="15" x14ac:dyDescent="0.25">
      <c r="A103" s="11">
        <v>43087</v>
      </c>
      <c r="B103" s="4" t="s">
        <v>56</v>
      </c>
      <c r="C103" s="2" t="s">
        <v>57</v>
      </c>
      <c r="D103" s="1">
        <v>39330</v>
      </c>
      <c r="E103" s="20">
        <f t="shared" ref="E103:E121" si="10">SUM(D103*0.65)</f>
        <v>25564.5</v>
      </c>
      <c r="F103" s="20">
        <f t="shared" ref="F103:F121" si="11">SUM(D103*0.35)</f>
        <v>13765.5</v>
      </c>
      <c r="G103" s="22"/>
      <c r="H103"/>
      <c r="I103"/>
    </row>
    <row r="104" spans="1:9" ht="18.75" customHeight="1" x14ac:dyDescent="0.25">
      <c r="A104" s="11">
        <v>43151</v>
      </c>
      <c r="B104" s="4" t="s">
        <v>86</v>
      </c>
      <c r="C104" s="2" t="s">
        <v>11</v>
      </c>
      <c r="D104" s="1">
        <v>37500</v>
      </c>
      <c r="E104" s="20">
        <f t="shared" si="10"/>
        <v>24375</v>
      </c>
      <c r="F104" s="20">
        <f t="shared" si="11"/>
        <v>13125</v>
      </c>
      <c r="H104"/>
      <c r="I104"/>
    </row>
    <row r="105" spans="1:9" ht="18.75" customHeight="1" x14ac:dyDescent="0.25">
      <c r="A105" s="11">
        <v>43179</v>
      </c>
      <c r="B105" s="4" t="s">
        <v>104</v>
      </c>
      <c r="C105" s="2" t="s">
        <v>11</v>
      </c>
      <c r="D105" s="1">
        <v>21062</v>
      </c>
      <c r="E105" s="20">
        <f t="shared" si="10"/>
        <v>13690.300000000001</v>
      </c>
      <c r="F105" s="8">
        <f t="shared" si="11"/>
        <v>7371.7</v>
      </c>
      <c r="H105"/>
      <c r="I105"/>
    </row>
    <row r="106" spans="1:9" ht="18.75" customHeight="1" x14ac:dyDescent="0.25">
      <c r="A106" s="11">
        <v>43193</v>
      </c>
      <c r="B106" s="5" t="s">
        <v>114</v>
      </c>
      <c r="C106" s="2" t="s">
        <v>10</v>
      </c>
      <c r="D106" s="1">
        <v>36000</v>
      </c>
      <c r="E106" s="20">
        <f t="shared" si="10"/>
        <v>23400</v>
      </c>
      <c r="F106" s="8">
        <f t="shared" si="11"/>
        <v>12600</v>
      </c>
      <c r="H106"/>
      <c r="I106"/>
    </row>
    <row r="107" spans="1:9" ht="18.75" customHeight="1" x14ac:dyDescent="0.25">
      <c r="A107" s="11">
        <v>43193</v>
      </c>
      <c r="B107" s="5" t="s">
        <v>110</v>
      </c>
      <c r="C107" s="2" t="s">
        <v>0</v>
      </c>
      <c r="D107" s="1">
        <v>31000</v>
      </c>
      <c r="E107" s="20">
        <f t="shared" si="10"/>
        <v>20150</v>
      </c>
      <c r="F107" s="8">
        <f t="shared" si="11"/>
        <v>10850</v>
      </c>
      <c r="H107"/>
      <c r="I107"/>
    </row>
    <row r="108" spans="1:9" ht="18.75" customHeight="1" x14ac:dyDescent="0.25">
      <c r="A108" s="11">
        <v>43193</v>
      </c>
      <c r="B108" s="5" t="s">
        <v>111</v>
      </c>
      <c r="C108" s="2" t="s">
        <v>0</v>
      </c>
      <c r="D108" s="1">
        <v>31000</v>
      </c>
      <c r="E108" s="20">
        <f t="shared" si="10"/>
        <v>20150</v>
      </c>
      <c r="F108" s="8">
        <f t="shared" si="11"/>
        <v>10850</v>
      </c>
      <c r="H108"/>
      <c r="I108"/>
    </row>
    <row r="109" spans="1:9" ht="18.75" customHeight="1" x14ac:dyDescent="0.25">
      <c r="A109" s="11">
        <v>43193</v>
      </c>
      <c r="B109" s="5" t="s">
        <v>112</v>
      </c>
      <c r="C109" s="2" t="s">
        <v>0</v>
      </c>
      <c r="D109" s="1">
        <v>31000</v>
      </c>
      <c r="E109" s="20">
        <f t="shared" si="10"/>
        <v>20150</v>
      </c>
      <c r="F109" s="8">
        <f t="shared" si="11"/>
        <v>10850</v>
      </c>
      <c r="H109"/>
      <c r="I109"/>
    </row>
    <row r="110" spans="1:9" ht="18.75" customHeight="1" x14ac:dyDescent="0.25">
      <c r="A110" s="11">
        <v>43193</v>
      </c>
      <c r="B110" s="5" t="s">
        <v>113</v>
      </c>
      <c r="C110" s="2" t="s">
        <v>0</v>
      </c>
      <c r="D110" s="1">
        <v>31000</v>
      </c>
      <c r="E110" s="20">
        <f t="shared" si="10"/>
        <v>20150</v>
      </c>
      <c r="F110" s="8">
        <f t="shared" si="11"/>
        <v>10850</v>
      </c>
      <c r="H110"/>
      <c r="I110"/>
    </row>
    <row r="111" spans="1:9" ht="18.75" customHeight="1" x14ac:dyDescent="0.25">
      <c r="A111" s="11">
        <v>43195</v>
      </c>
      <c r="B111" s="5" t="s">
        <v>116</v>
      </c>
      <c r="C111" s="2" t="s">
        <v>0</v>
      </c>
      <c r="D111" s="1">
        <v>31000</v>
      </c>
      <c r="E111" s="20">
        <f t="shared" si="10"/>
        <v>20150</v>
      </c>
      <c r="F111" s="8">
        <f t="shared" si="11"/>
        <v>10850</v>
      </c>
      <c r="H111"/>
      <c r="I111"/>
    </row>
    <row r="112" spans="1:9" ht="18.75" customHeight="1" x14ac:dyDescent="0.25">
      <c r="A112" s="11">
        <v>43195</v>
      </c>
      <c r="B112" s="5" t="s">
        <v>117</v>
      </c>
      <c r="C112" s="2" t="s">
        <v>10</v>
      </c>
      <c r="D112" s="1">
        <v>30000</v>
      </c>
      <c r="E112" s="20">
        <f t="shared" si="10"/>
        <v>19500</v>
      </c>
      <c r="F112" s="8">
        <f t="shared" si="11"/>
        <v>10500</v>
      </c>
      <c r="H112"/>
      <c r="I112"/>
    </row>
    <row r="113" spans="1:9" ht="18.75" customHeight="1" x14ac:dyDescent="0.25">
      <c r="A113" s="11">
        <v>43214</v>
      </c>
      <c r="B113" s="5" t="s">
        <v>122</v>
      </c>
      <c r="C113" s="2" t="s">
        <v>7</v>
      </c>
      <c r="D113" s="20">
        <v>25000</v>
      </c>
      <c r="E113" s="20">
        <f t="shared" si="10"/>
        <v>16250</v>
      </c>
      <c r="F113" s="20">
        <f t="shared" si="11"/>
        <v>8750</v>
      </c>
      <c r="H113"/>
      <c r="I113"/>
    </row>
    <row r="114" spans="1:9" ht="18.75" customHeight="1" x14ac:dyDescent="0.25">
      <c r="A114" s="11">
        <v>43217</v>
      </c>
      <c r="B114" s="5" t="s">
        <v>126</v>
      </c>
      <c r="C114" s="2" t="s">
        <v>0</v>
      </c>
      <c r="D114" s="1">
        <v>30000</v>
      </c>
      <c r="E114" s="20">
        <f t="shared" si="10"/>
        <v>19500</v>
      </c>
      <c r="F114" s="8">
        <f t="shared" si="11"/>
        <v>10500</v>
      </c>
      <c r="H114"/>
      <c r="I114"/>
    </row>
    <row r="115" spans="1:9" ht="18.75" customHeight="1" x14ac:dyDescent="0.25">
      <c r="A115" s="11">
        <v>43220</v>
      </c>
      <c r="B115" s="5" t="s">
        <v>128</v>
      </c>
      <c r="C115" s="2" t="s">
        <v>10</v>
      </c>
      <c r="D115" s="1">
        <v>30000</v>
      </c>
      <c r="E115" s="20">
        <f t="shared" si="10"/>
        <v>19500</v>
      </c>
      <c r="F115" s="8">
        <f t="shared" si="11"/>
        <v>10500</v>
      </c>
      <c r="H115"/>
      <c r="I115"/>
    </row>
    <row r="116" spans="1:9" ht="18.75" customHeight="1" x14ac:dyDescent="0.25">
      <c r="A116" s="11">
        <v>43222</v>
      </c>
      <c r="B116" s="5" t="s">
        <v>129</v>
      </c>
      <c r="C116" s="2" t="s">
        <v>0</v>
      </c>
      <c r="D116" s="1">
        <v>34500</v>
      </c>
      <c r="E116" s="20">
        <f t="shared" si="10"/>
        <v>22425</v>
      </c>
      <c r="F116" s="8">
        <f t="shared" si="11"/>
        <v>12075</v>
      </c>
      <c r="H116"/>
      <c r="I116"/>
    </row>
    <row r="117" spans="1:9" ht="18.75" customHeight="1" x14ac:dyDescent="0.25">
      <c r="A117" s="11">
        <v>43223</v>
      </c>
      <c r="B117" s="5" t="s">
        <v>130</v>
      </c>
      <c r="C117" s="2" t="s">
        <v>0</v>
      </c>
      <c r="D117" s="1">
        <v>34500</v>
      </c>
      <c r="E117" s="20">
        <f t="shared" si="10"/>
        <v>22425</v>
      </c>
      <c r="F117" s="8">
        <f t="shared" si="11"/>
        <v>12075</v>
      </c>
      <c r="H117"/>
      <c r="I117"/>
    </row>
    <row r="118" spans="1:9" ht="18.75" customHeight="1" x14ac:dyDescent="0.25">
      <c r="A118" s="11">
        <v>43223</v>
      </c>
      <c r="B118" s="5" t="s">
        <v>131</v>
      </c>
      <c r="C118" s="2" t="s">
        <v>11</v>
      </c>
      <c r="D118" s="1">
        <v>29500</v>
      </c>
      <c r="E118" s="20">
        <f t="shared" si="10"/>
        <v>19175</v>
      </c>
      <c r="F118" s="8">
        <f t="shared" si="11"/>
        <v>10325</v>
      </c>
      <c r="G118" s="22"/>
      <c r="H118"/>
      <c r="I118"/>
    </row>
    <row r="119" spans="1:9" ht="18.75" customHeight="1" x14ac:dyDescent="0.25">
      <c r="A119" s="11">
        <v>43235</v>
      </c>
      <c r="B119" s="5" t="s">
        <v>141</v>
      </c>
      <c r="C119" s="2" t="s">
        <v>0</v>
      </c>
      <c r="D119" s="1">
        <v>34500</v>
      </c>
      <c r="E119" s="20">
        <f t="shared" si="10"/>
        <v>22425</v>
      </c>
      <c r="F119" s="8">
        <f t="shared" si="11"/>
        <v>12075</v>
      </c>
      <c r="H119"/>
      <c r="I119"/>
    </row>
    <row r="120" spans="1:9" ht="18.75" customHeight="1" x14ac:dyDescent="0.25">
      <c r="A120" s="11">
        <v>43252</v>
      </c>
      <c r="B120" s="5" t="s">
        <v>146</v>
      </c>
      <c r="C120" s="2" t="s">
        <v>11</v>
      </c>
      <c r="D120" s="1">
        <v>29500</v>
      </c>
      <c r="E120" s="20">
        <f t="shared" si="10"/>
        <v>19175</v>
      </c>
      <c r="F120" s="8">
        <f t="shared" si="11"/>
        <v>10325</v>
      </c>
      <c r="H120"/>
      <c r="I120"/>
    </row>
    <row r="121" spans="1:9" ht="18.75" customHeight="1" x14ac:dyDescent="0.25">
      <c r="A121" s="11">
        <v>43259</v>
      </c>
      <c r="B121" s="5" t="s">
        <v>148</v>
      </c>
      <c r="C121" s="2" t="s">
        <v>0</v>
      </c>
      <c r="D121" s="1">
        <v>34500</v>
      </c>
      <c r="E121" s="20">
        <f t="shared" si="10"/>
        <v>22425</v>
      </c>
      <c r="F121" s="8">
        <f t="shared" si="11"/>
        <v>12075</v>
      </c>
      <c r="H121"/>
      <c r="I121"/>
    </row>
    <row r="122" spans="1:9" ht="20.25" x14ac:dyDescent="0.4">
      <c r="C122" s="15" t="s">
        <v>9</v>
      </c>
      <c r="D122" s="23">
        <f>SUM(D103:D121)</f>
        <v>600892</v>
      </c>
      <c r="E122" s="24">
        <f>SUM(E103:E121)</f>
        <v>390579.8</v>
      </c>
      <c r="F122" s="25">
        <f>SUM(F103:F121)</f>
        <v>210312.2</v>
      </c>
      <c r="G122" s="27">
        <v>43278</v>
      </c>
    </row>
    <row r="125" spans="1:9" ht="18.75" customHeight="1" x14ac:dyDescent="0.25">
      <c r="A125" s="11">
        <v>43003</v>
      </c>
      <c r="B125" s="4" t="s">
        <v>25</v>
      </c>
      <c r="C125" s="2" t="s">
        <v>11</v>
      </c>
      <c r="D125" s="1">
        <v>35150</v>
      </c>
      <c r="E125" s="20">
        <f t="shared" ref="E125:E138" si="12">SUM(D125*0.65)</f>
        <v>22847.5</v>
      </c>
      <c r="F125" s="20">
        <f t="shared" ref="F125:F138" si="13">SUM(D125*0.35)</f>
        <v>12302.5</v>
      </c>
      <c r="G125" s="22"/>
      <c r="H125"/>
      <c r="I125"/>
    </row>
    <row r="126" spans="1:9" ht="18.75" customHeight="1" x14ac:dyDescent="0.25">
      <c r="A126" s="11">
        <v>43082</v>
      </c>
      <c r="B126" s="5" t="s">
        <v>55</v>
      </c>
      <c r="C126" s="2" t="s">
        <v>0</v>
      </c>
      <c r="D126" s="1">
        <v>70000</v>
      </c>
      <c r="E126" s="20">
        <f t="shared" si="12"/>
        <v>45500</v>
      </c>
      <c r="F126" s="20">
        <f t="shared" si="13"/>
        <v>24500</v>
      </c>
      <c r="G126" s="22"/>
      <c r="H126"/>
      <c r="I126"/>
    </row>
    <row r="127" spans="1:9" ht="18.75" customHeight="1" x14ac:dyDescent="0.25">
      <c r="A127" s="11">
        <v>43213</v>
      </c>
      <c r="B127" s="4" t="s">
        <v>125</v>
      </c>
      <c r="C127" s="2" t="s">
        <v>7</v>
      </c>
      <c r="D127" s="1">
        <v>23060</v>
      </c>
      <c r="E127" s="20">
        <f t="shared" si="12"/>
        <v>14989</v>
      </c>
      <c r="F127" s="8">
        <f t="shared" si="13"/>
        <v>8070.9999999999991</v>
      </c>
      <c r="H127"/>
      <c r="I127"/>
    </row>
    <row r="128" spans="1:9" ht="18.75" customHeight="1" x14ac:dyDescent="0.25">
      <c r="A128" s="11">
        <v>43236</v>
      </c>
      <c r="B128" s="4" t="s">
        <v>138</v>
      </c>
      <c r="C128" s="2" t="s">
        <v>7</v>
      </c>
      <c r="D128" s="1">
        <v>8190</v>
      </c>
      <c r="E128" s="20">
        <f t="shared" si="12"/>
        <v>5323.5</v>
      </c>
      <c r="F128" s="8">
        <f t="shared" si="13"/>
        <v>2866.5</v>
      </c>
      <c r="H128"/>
      <c r="I128"/>
    </row>
    <row r="129" spans="1:9" ht="18.75" customHeight="1" x14ac:dyDescent="0.25">
      <c r="A129" s="11">
        <v>43238</v>
      </c>
      <c r="B129" s="4" t="s">
        <v>139</v>
      </c>
      <c r="C129" s="2" t="s">
        <v>7</v>
      </c>
      <c r="D129" s="1">
        <v>10280</v>
      </c>
      <c r="E129" s="20">
        <f t="shared" si="12"/>
        <v>6682</v>
      </c>
      <c r="F129" s="8">
        <f t="shared" si="13"/>
        <v>3597.9999999999995</v>
      </c>
      <c r="H129"/>
      <c r="I129"/>
    </row>
    <row r="130" spans="1:9" ht="18.75" customHeight="1" x14ac:dyDescent="0.25">
      <c r="A130" s="11">
        <v>43257</v>
      </c>
      <c r="B130" s="4" t="s">
        <v>143</v>
      </c>
      <c r="C130" s="2" t="s">
        <v>7</v>
      </c>
      <c r="D130" s="1">
        <v>8880</v>
      </c>
      <c r="E130" s="20">
        <f t="shared" si="12"/>
        <v>5772</v>
      </c>
      <c r="F130" s="8">
        <f t="shared" si="13"/>
        <v>3108</v>
      </c>
      <c r="H130"/>
      <c r="I130"/>
    </row>
    <row r="131" spans="1:9" ht="18.75" customHeight="1" x14ac:dyDescent="0.25">
      <c r="A131" s="11">
        <v>43269</v>
      </c>
      <c r="B131" s="5" t="s">
        <v>156</v>
      </c>
      <c r="C131" s="2" t="s">
        <v>11</v>
      </c>
      <c r="D131" s="1">
        <v>30000</v>
      </c>
      <c r="E131" s="20">
        <f t="shared" si="12"/>
        <v>19500</v>
      </c>
      <c r="F131" s="8">
        <f t="shared" si="13"/>
        <v>10500</v>
      </c>
      <c r="H131"/>
      <c r="I131"/>
    </row>
    <row r="132" spans="1:9" x14ac:dyDescent="0.3">
      <c r="A132" s="11">
        <v>43269</v>
      </c>
      <c r="B132" s="5" t="s">
        <v>155</v>
      </c>
      <c r="C132" s="2" t="s">
        <v>8</v>
      </c>
      <c r="D132" s="1">
        <v>16000</v>
      </c>
      <c r="E132" s="20">
        <f t="shared" si="12"/>
        <v>10400</v>
      </c>
      <c r="F132" s="8">
        <f t="shared" si="13"/>
        <v>5600</v>
      </c>
    </row>
    <row r="133" spans="1:9" ht="18.75" customHeight="1" x14ac:dyDescent="0.25">
      <c r="A133" s="11">
        <v>43270</v>
      </c>
      <c r="B133" s="4" t="s">
        <v>152</v>
      </c>
      <c r="C133" s="2" t="s">
        <v>7</v>
      </c>
      <c r="D133" s="1">
        <v>18696.43</v>
      </c>
      <c r="E133" s="20">
        <f t="shared" si="12"/>
        <v>12152.6795</v>
      </c>
      <c r="F133" s="8">
        <f t="shared" si="13"/>
        <v>6543.7505000000001</v>
      </c>
      <c r="H133"/>
      <c r="I133"/>
    </row>
    <row r="134" spans="1:9" ht="18.75" customHeight="1" x14ac:dyDescent="0.25">
      <c r="A134" s="11">
        <v>43270</v>
      </c>
      <c r="B134" s="4" t="s">
        <v>153</v>
      </c>
      <c r="C134" s="2" t="s">
        <v>7</v>
      </c>
      <c r="D134" s="1">
        <v>18696.43</v>
      </c>
      <c r="E134" s="20">
        <f t="shared" si="12"/>
        <v>12152.6795</v>
      </c>
      <c r="F134" s="8">
        <f t="shared" si="13"/>
        <v>6543.7505000000001</v>
      </c>
      <c r="H134"/>
      <c r="I134"/>
    </row>
    <row r="135" spans="1:9" ht="18.75" customHeight="1" x14ac:dyDescent="0.25">
      <c r="A135" s="11">
        <v>43278</v>
      </c>
      <c r="B135" s="4" t="s">
        <v>154</v>
      </c>
      <c r="C135" s="2" t="s">
        <v>7</v>
      </c>
      <c r="D135" s="1">
        <v>13510</v>
      </c>
      <c r="E135" s="20">
        <f t="shared" si="12"/>
        <v>8781.5</v>
      </c>
      <c r="F135" s="8">
        <f t="shared" si="13"/>
        <v>4728.5</v>
      </c>
      <c r="H135"/>
      <c r="I135"/>
    </row>
    <row r="136" spans="1:9" ht="18.75" customHeight="1" x14ac:dyDescent="0.25">
      <c r="A136" s="11">
        <v>43284</v>
      </c>
      <c r="B136" s="5" t="s">
        <v>159</v>
      </c>
      <c r="C136" s="2" t="s">
        <v>11</v>
      </c>
      <c r="D136" s="1">
        <v>29500</v>
      </c>
      <c r="E136" s="20">
        <f t="shared" si="12"/>
        <v>19175</v>
      </c>
      <c r="F136" s="8">
        <f t="shared" si="13"/>
        <v>10325</v>
      </c>
      <c r="H136"/>
      <c r="I136"/>
    </row>
    <row r="137" spans="1:9" ht="18.75" customHeight="1" x14ac:dyDescent="0.25">
      <c r="A137" s="11">
        <v>43284</v>
      </c>
      <c r="B137" s="5" t="s">
        <v>160</v>
      </c>
      <c r="C137" s="2" t="s">
        <v>0</v>
      </c>
      <c r="D137" s="1">
        <v>36000</v>
      </c>
      <c r="E137" s="20">
        <f t="shared" si="12"/>
        <v>23400</v>
      </c>
      <c r="F137" s="8">
        <f t="shared" si="13"/>
        <v>12600</v>
      </c>
      <c r="H137"/>
      <c r="I137"/>
    </row>
    <row r="138" spans="1:9" ht="18.75" customHeight="1" x14ac:dyDescent="0.25">
      <c r="A138" s="11">
        <v>43284</v>
      </c>
      <c r="B138" s="5" t="s">
        <v>161</v>
      </c>
      <c r="C138" s="2" t="s">
        <v>0</v>
      </c>
      <c r="D138" s="1">
        <v>36000</v>
      </c>
      <c r="E138" s="20">
        <f t="shared" si="12"/>
        <v>23400</v>
      </c>
      <c r="F138" s="8">
        <f t="shared" si="13"/>
        <v>12600</v>
      </c>
      <c r="H138"/>
      <c r="I138"/>
    </row>
    <row r="139" spans="1:9" ht="20.25" x14ac:dyDescent="0.4">
      <c r="C139" s="15" t="s">
        <v>9</v>
      </c>
      <c r="D139" s="23">
        <f>SUM(D125:D138)</f>
        <v>353962.86</v>
      </c>
      <c r="E139" s="24">
        <f>SUM(E125:E138)</f>
        <v>230075.859</v>
      </c>
      <c r="F139" s="25">
        <f>SUM(F125:F138)</f>
        <v>123887.00099999999</v>
      </c>
      <c r="G139" s="27">
        <v>43311</v>
      </c>
    </row>
    <row r="142" spans="1:9" ht="18.75" customHeight="1" x14ac:dyDescent="0.25">
      <c r="A142" s="11">
        <v>43140</v>
      </c>
      <c r="B142" s="4" t="s">
        <v>72</v>
      </c>
      <c r="C142" s="2" t="s">
        <v>0</v>
      </c>
      <c r="D142" s="1">
        <v>26610</v>
      </c>
      <c r="E142" s="20">
        <f t="shared" ref="E142:E152" si="14">SUM(D142*0.65)</f>
        <v>17296.5</v>
      </c>
      <c r="F142" s="8">
        <f t="shared" ref="F142:F152" si="15">SUM(D142*0.35)</f>
        <v>9313.5</v>
      </c>
      <c r="G142" s="22"/>
      <c r="H142"/>
      <c r="I142"/>
    </row>
    <row r="143" spans="1:9" ht="18.75" customHeight="1" x14ac:dyDescent="0.25">
      <c r="A143" s="11">
        <v>43145</v>
      </c>
      <c r="B143" s="4" t="s">
        <v>76</v>
      </c>
      <c r="C143" s="2" t="s">
        <v>11</v>
      </c>
      <c r="D143" s="1">
        <v>37500</v>
      </c>
      <c r="E143" s="20">
        <f t="shared" si="14"/>
        <v>24375</v>
      </c>
      <c r="F143" s="8">
        <f t="shared" si="15"/>
        <v>13125</v>
      </c>
      <c r="G143" s="22"/>
      <c r="H143"/>
      <c r="I143"/>
    </row>
    <row r="144" spans="1:9" ht="18.75" customHeight="1" x14ac:dyDescent="0.25">
      <c r="A144" s="11">
        <v>43145</v>
      </c>
      <c r="B144" s="4" t="s">
        <v>78</v>
      </c>
      <c r="C144" s="2" t="s">
        <v>11</v>
      </c>
      <c r="D144" s="1">
        <v>37500</v>
      </c>
      <c r="E144" s="20">
        <f t="shared" si="14"/>
        <v>24375</v>
      </c>
      <c r="F144" s="8">
        <f t="shared" si="15"/>
        <v>13125</v>
      </c>
      <c r="G144" s="22"/>
      <c r="H144"/>
      <c r="I144"/>
    </row>
    <row r="145" spans="1:9" ht="18.75" customHeight="1" x14ac:dyDescent="0.25">
      <c r="A145" s="11">
        <v>43222</v>
      </c>
      <c r="B145" s="4" t="s">
        <v>136</v>
      </c>
      <c r="C145" s="2" t="s">
        <v>11</v>
      </c>
      <c r="D145" s="1">
        <v>31870</v>
      </c>
      <c r="E145" s="20">
        <f t="shared" si="14"/>
        <v>20715.5</v>
      </c>
      <c r="F145" s="8">
        <f t="shared" si="15"/>
        <v>11154.5</v>
      </c>
      <c r="H145"/>
      <c r="I145"/>
    </row>
    <row r="146" spans="1:9" ht="18.75" customHeight="1" x14ac:dyDescent="0.25">
      <c r="A146" s="11">
        <v>43167</v>
      </c>
      <c r="B146" s="4" t="s">
        <v>95</v>
      </c>
      <c r="C146" s="2" t="s">
        <v>7</v>
      </c>
      <c r="D146" s="1">
        <v>15110</v>
      </c>
      <c r="E146" s="20">
        <f t="shared" si="14"/>
        <v>9821.5</v>
      </c>
      <c r="F146" s="8">
        <f t="shared" si="15"/>
        <v>5288.5</v>
      </c>
      <c r="H146"/>
      <c r="I146"/>
    </row>
    <row r="147" spans="1:9" ht="18.75" customHeight="1" x14ac:dyDescent="0.25">
      <c r="A147" s="11">
        <v>43230</v>
      </c>
      <c r="B147" s="4" t="s">
        <v>137</v>
      </c>
      <c r="C147" s="2" t="s">
        <v>10</v>
      </c>
      <c r="D147" s="1">
        <v>39430</v>
      </c>
      <c r="E147" s="20">
        <f t="shared" si="14"/>
        <v>25629.5</v>
      </c>
      <c r="F147" s="8">
        <f t="shared" si="15"/>
        <v>13800.5</v>
      </c>
      <c r="H147"/>
      <c r="I147"/>
    </row>
    <row r="148" spans="1:9" ht="18.75" customHeight="1" x14ac:dyDescent="0.25">
      <c r="A148" s="11">
        <v>43249</v>
      </c>
      <c r="B148" s="5" t="s">
        <v>145</v>
      </c>
      <c r="C148" s="2" t="s">
        <v>0</v>
      </c>
      <c r="D148" s="1">
        <v>30000</v>
      </c>
      <c r="E148" s="20">
        <f t="shared" si="14"/>
        <v>19500</v>
      </c>
      <c r="F148" s="8">
        <f t="shared" si="15"/>
        <v>10500</v>
      </c>
      <c r="H148"/>
      <c r="I148"/>
    </row>
    <row r="149" spans="1:9" ht="18.75" customHeight="1" x14ac:dyDescent="0.25">
      <c r="A149" s="11">
        <v>43259</v>
      </c>
      <c r="B149" s="5" t="s">
        <v>147</v>
      </c>
      <c r="C149" s="2" t="s">
        <v>0</v>
      </c>
      <c r="D149" s="1">
        <v>40000</v>
      </c>
      <c r="E149" s="20">
        <f t="shared" si="14"/>
        <v>26000</v>
      </c>
      <c r="F149" s="8">
        <f t="shared" si="15"/>
        <v>14000</v>
      </c>
      <c r="H149"/>
      <c r="I149"/>
    </row>
    <row r="150" spans="1:9" ht="18.75" customHeight="1" x14ac:dyDescent="0.25">
      <c r="A150" s="11">
        <v>43290</v>
      </c>
      <c r="B150" s="4" t="s">
        <v>171</v>
      </c>
      <c r="C150" s="2" t="s">
        <v>0</v>
      </c>
      <c r="D150" s="1">
        <v>15780</v>
      </c>
      <c r="E150" s="20">
        <f t="shared" si="14"/>
        <v>10257</v>
      </c>
      <c r="F150" s="8">
        <f t="shared" si="15"/>
        <v>5523</v>
      </c>
      <c r="H150"/>
      <c r="I150"/>
    </row>
    <row r="151" spans="1:9" ht="18.75" customHeight="1" x14ac:dyDescent="0.25">
      <c r="A151" s="11">
        <v>43315</v>
      </c>
      <c r="B151" s="29" t="s">
        <v>178</v>
      </c>
      <c r="C151" s="2" t="s">
        <v>57</v>
      </c>
      <c r="D151" s="1">
        <v>30500</v>
      </c>
      <c r="E151" s="20">
        <f t="shared" si="14"/>
        <v>19825</v>
      </c>
      <c r="F151" s="8">
        <f t="shared" si="15"/>
        <v>10675</v>
      </c>
      <c r="H151"/>
      <c r="I151"/>
    </row>
    <row r="152" spans="1:9" ht="18.75" customHeight="1" x14ac:dyDescent="0.25">
      <c r="A152" s="11">
        <v>43318</v>
      </c>
      <c r="B152" s="28" t="s">
        <v>184</v>
      </c>
      <c r="C152" s="2" t="s">
        <v>11</v>
      </c>
      <c r="D152" s="1">
        <v>29500</v>
      </c>
      <c r="E152" s="20">
        <f t="shared" si="14"/>
        <v>19175</v>
      </c>
      <c r="F152" s="8">
        <f t="shared" si="15"/>
        <v>10325</v>
      </c>
      <c r="H152"/>
      <c r="I152"/>
    </row>
    <row r="153" spans="1:9" ht="20.25" x14ac:dyDescent="0.4">
      <c r="C153" s="15" t="s">
        <v>9</v>
      </c>
      <c r="D153" s="23">
        <f>SUM(D142:D152)</f>
        <v>333800</v>
      </c>
      <c r="E153" s="24">
        <f>SUM(E142:E152)</f>
        <v>216970</v>
      </c>
      <c r="F153" s="25">
        <f>SUM(F142:F152)</f>
        <v>116830</v>
      </c>
      <c r="G153" s="27">
        <v>43342</v>
      </c>
    </row>
    <row r="156" spans="1:9" ht="18" customHeight="1" x14ac:dyDescent="0.25">
      <c r="A156" s="11">
        <v>43101</v>
      </c>
      <c r="B156" s="4" t="s">
        <v>61</v>
      </c>
      <c r="C156" s="2" t="s">
        <v>7</v>
      </c>
      <c r="D156" s="1">
        <v>129000</v>
      </c>
      <c r="E156" s="20">
        <f t="shared" ref="E156:E167" si="16">SUM(D156*0.65)</f>
        <v>83850</v>
      </c>
      <c r="F156" s="20">
        <f t="shared" ref="F156:F167" si="17">SUM(D156*0.35)</f>
        <v>45150</v>
      </c>
      <c r="H156"/>
      <c r="I156"/>
    </row>
    <row r="157" spans="1:9" ht="18.75" customHeight="1" x14ac:dyDescent="0.25">
      <c r="A157" s="11">
        <v>43200</v>
      </c>
      <c r="B157" s="4" t="s">
        <v>121</v>
      </c>
      <c r="C157" s="2" t="s">
        <v>0</v>
      </c>
      <c r="D157" s="1">
        <v>15280</v>
      </c>
      <c r="E157" s="20">
        <f t="shared" si="16"/>
        <v>9932</v>
      </c>
      <c r="F157" s="8">
        <f t="shared" si="17"/>
        <v>5348</v>
      </c>
      <c r="H157"/>
      <c r="I157"/>
    </row>
    <row r="158" spans="1:9" ht="18.75" customHeight="1" x14ac:dyDescent="0.25">
      <c r="A158" s="11">
        <v>43245</v>
      </c>
      <c r="B158" s="4" t="s">
        <v>140</v>
      </c>
      <c r="C158" s="2" t="s">
        <v>7</v>
      </c>
      <c r="D158" s="1">
        <v>11250</v>
      </c>
      <c r="E158" s="20">
        <f t="shared" si="16"/>
        <v>7312.5</v>
      </c>
      <c r="F158" s="8">
        <f t="shared" si="17"/>
        <v>3937.4999999999995</v>
      </c>
      <c r="H158"/>
      <c r="I158"/>
    </row>
    <row r="159" spans="1:9" ht="18.75" customHeight="1" x14ac:dyDescent="0.25">
      <c r="A159" s="11">
        <v>43252</v>
      </c>
      <c r="B159" s="4" t="s">
        <v>142</v>
      </c>
      <c r="C159" s="2" t="s">
        <v>57</v>
      </c>
      <c r="D159" s="1">
        <v>37250</v>
      </c>
      <c r="E159" s="20">
        <f t="shared" si="16"/>
        <v>24212.5</v>
      </c>
      <c r="F159" s="8">
        <f t="shared" si="17"/>
        <v>13037.5</v>
      </c>
      <c r="H159"/>
      <c r="I159"/>
    </row>
    <row r="160" spans="1:9" ht="18.75" customHeight="1" x14ac:dyDescent="0.25">
      <c r="A160" s="11">
        <v>43264</v>
      </c>
      <c r="B160" s="5" t="s">
        <v>150</v>
      </c>
      <c r="C160" s="2" t="s">
        <v>11</v>
      </c>
      <c r="D160" s="1">
        <v>40000</v>
      </c>
      <c r="E160" s="20">
        <f t="shared" si="16"/>
        <v>26000</v>
      </c>
      <c r="F160" s="8">
        <f t="shared" si="17"/>
        <v>14000</v>
      </c>
      <c r="H160"/>
      <c r="I160"/>
    </row>
    <row r="161" spans="1:9" ht="18" customHeight="1" x14ac:dyDescent="0.25">
      <c r="A161" s="11">
        <v>43291</v>
      </c>
      <c r="B161" s="5" t="s">
        <v>162</v>
      </c>
      <c r="C161" s="2" t="s">
        <v>0</v>
      </c>
      <c r="D161" s="1">
        <v>35000</v>
      </c>
      <c r="E161" s="20">
        <f t="shared" si="16"/>
        <v>22750</v>
      </c>
      <c r="F161" s="8">
        <f t="shared" si="17"/>
        <v>12250</v>
      </c>
      <c r="H161"/>
      <c r="I161"/>
    </row>
    <row r="162" spans="1:9" ht="18.75" customHeight="1" x14ac:dyDescent="0.25">
      <c r="A162" s="11">
        <v>43318</v>
      </c>
      <c r="B162" s="29" t="s">
        <v>179</v>
      </c>
      <c r="C162" s="2" t="s">
        <v>7</v>
      </c>
      <c r="D162" s="1">
        <v>32850</v>
      </c>
      <c r="E162" s="20">
        <f t="shared" si="16"/>
        <v>21352.5</v>
      </c>
      <c r="F162" s="8">
        <f t="shared" si="17"/>
        <v>11497.5</v>
      </c>
      <c r="G162" s="22"/>
      <c r="H162"/>
      <c r="I162"/>
    </row>
    <row r="163" spans="1:9" ht="18.75" customHeight="1" x14ac:dyDescent="0.25">
      <c r="A163" s="11">
        <v>43319</v>
      </c>
      <c r="B163" s="29" t="s">
        <v>181</v>
      </c>
      <c r="C163" s="2" t="s">
        <v>11</v>
      </c>
      <c r="D163" s="1">
        <v>37500</v>
      </c>
      <c r="E163" s="20">
        <f t="shared" si="16"/>
        <v>24375</v>
      </c>
      <c r="F163" s="8">
        <f t="shared" si="17"/>
        <v>13125</v>
      </c>
      <c r="H163"/>
      <c r="I163"/>
    </row>
    <row r="164" spans="1:9" ht="18.75" customHeight="1" x14ac:dyDescent="0.25">
      <c r="A164" s="11">
        <v>43335</v>
      </c>
      <c r="B164" s="28" t="s">
        <v>190</v>
      </c>
      <c r="C164" s="2" t="s">
        <v>11</v>
      </c>
      <c r="D164" s="1">
        <v>29500</v>
      </c>
      <c r="E164" s="20">
        <f t="shared" si="16"/>
        <v>19175</v>
      </c>
      <c r="F164" s="8">
        <f t="shared" si="17"/>
        <v>10325</v>
      </c>
      <c r="H164"/>
      <c r="I164"/>
    </row>
    <row r="165" spans="1:9" ht="18" customHeight="1" x14ac:dyDescent="0.25">
      <c r="A165" s="11">
        <v>43335</v>
      </c>
      <c r="B165" s="28" t="s">
        <v>195</v>
      </c>
      <c r="C165" s="2" t="s">
        <v>0</v>
      </c>
      <c r="D165" s="1">
        <v>46500</v>
      </c>
      <c r="E165" s="20">
        <f t="shared" si="16"/>
        <v>30225</v>
      </c>
      <c r="F165" s="8">
        <f t="shared" si="17"/>
        <v>16274.999999999998</v>
      </c>
      <c r="H165"/>
      <c r="I165"/>
    </row>
    <row r="166" spans="1:9" ht="18" customHeight="1" x14ac:dyDescent="0.25">
      <c r="A166" s="11">
        <v>43342</v>
      </c>
      <c r="B166" s="28" t="s">
        <v>196</v>
      </c>
      <c r="C166" s="2" t="s">
        <v>11</v>
      </c>
      <c r="D166" s="1">
        <v>26500</v>
      </c>
      <c r="E166" s="20">
        <f t="shared" si="16"/>
        <v>17225</v>
      </c>
      <c r="F166" s="8">
        <f t="shared" si="17"/>
        <v>9275</v>
      </c>
      <c r="H166"/>
      <c r="I166"/>
    </row>
    <row r="167" spans="1:9" ht="18" customHeight="1" x14ac:dyDescent="0.25">
      <c r="A167" s="11">
        <v>43346</v>
      </c>
      <c r="B167" s="5" t="s">
        <v>197</v>
      </c>
      <c r="C167" s="2" t="s">
        <v>11</v>
      </c>
      <c r="D167" s="1">
        <v>29500</v>
      </c>
      <c r="E167" s="20">
        <f t="shared" si="16"/>
        <v>19175</v>
      </c>
      <c r="F167" s="8">
        <f t="shared" si="17"/>
        <v>10325</v>
      </c>
      <c r="H167"/>
      <c r="I167"/>
    </row>
    <row r="168" spans="1:9" ht="20.25" x14ac:dyDescent="0.4">
      <c r="C168" s="15" t="s">
        <v>9</v>
      </c>
      <c r="D168" s="23">
        <f>SUM(D156:D167)</f>
        <v>470130</v>
      </c>
      <c r="E168" s="24">
        <f>SUM(E156:E167)</f>
        <v>305584.5</v>
      </c>
      <c r="F168" s="24">
        <f>SUM(F156:F167)</f>
        <v>164545.5</v>
      </c>
      <c r="G168" s="27">
        <v>43377</v>
      </c>
    </row>
    <row r="171" spans="1:9" ht="18" customHeight="1" x14ac:dyDescent="0.25">
      <c r="A171" s="11">
        <v>42985</v>
      </c>
      <c r="B171" s="4" t="s">
        <v>21</v>
      </c>
      <c r="C171" s="2" t="s">
        <v>7</v>
      </c>
      <c r="D171" s="20">
        <v>12600</v>
      </c>
      <c r="E171" s="20">
        <f t="shared" ref="E171:E188" si="18">SUM(D171*0.65)</f>
        <v>8190</v>
      </c>
      <c r="F171" s="20">
        <f t="shared" ref="F171:F188" si="19">SUM(D171*0.35)</f>
        <v>4410</v>
      </c>
      <c r="G171" s="22"/>
      <c r="H171"/>
      <c r="I171"/>
    </row>
    <row r="172" spans="1:9" ht="18" customHeight="1" x14ac:dyDescent="0.25">
      <c r="A172" s="11">
        <v>43264</v>
      </c>
      <c r="B172" s="4" t="s">
        <v>151</v>
      </c>
      <c r="C172" s="2" t="s">
        <v>7</v>
      </c>
      <c r="D172" s="20">
        <v>21500</v>
      </c>
      <c r="E172" s="20">
        <f t="shared" si="18"/>
        <v>13975</v>
      </c>
      <c r="F172" s="20">
        <f t="shared" si="19"/>
        <v>7524.9999999999991</v>
      </c>
      <c r="H172"/>
      <c r="I172"/>
    </row>
    <row r="173" spans="1:9" ht="18" customHeight="1" x14ac:dyDescent="0.25">
      <c r="A173" s="11">
        <v>43264</v>
      </c>
      <c r="B173" s="5" t="s">
        <v>149</v>
      </c>
      <c r="C173" s="2" t="s">
        <v>0</v>
      </c>
      <c r="D173" s="1">
        <v>31000</v>
      </c>
      <c r="E173" s="20">
        <f t="shared" si="18"/>
        <v>20150</v>
      </c>
      <c r="F173" s="20">
        <f t="shared" si="19"/>
        <v>10850</v>
      </c>
      <c r="H173"/>
      <c r="I173"/>
    </row>
    <row r="174" spans="1:9" ht="18" customHeight="1" x14ac:dyDescent="0.25">
      <c r="A174" s="11">
        <v>43291</v>
      </c>
      <c r="B174" s="28" t="s">
        <v>163</v>
      </c>
      <c r="C174" s="2" t="s">
        <v>0</v>
      </c>
      <c r="D174" s="1">
        <v>28000</v>
      </c>
      <c r="E174" s="20">
        <f t="shared" si="18"/>
        <v>18200</v>
      </c>
      <c r="F174" s="20">
        <f t="shared" si="19"/>
        <v>9800</v>
      </c>
      <c r="H174"/>
      <c r="I174"/>
    </row>
    <row r="175" spans="1:9" ht="18" customHeight="1" x14ac:dyDescent="0.25">
      <c r="A175" s="11">
        <v>43291</v>
      </c>
      <c r="B175" s="28" t="s">
        <v>164</v>
      </c>
      <c r="C175" s="2" t="s">
        <v>0</v>
      </c>
      <c r="D175" s="1">
        <v>28000</v>
      </c>
      <c r="E175" s="20">
        <f t="shared" si="18"/>
        <v>18200</v>
      </c>
      <c r="F175" s="20">
        <f t="shared" si="19"/>
        <v>9800</v>
      </c>
      <c r="H175"/>
      <c r="I175"/>
    </row>
    <row r="176" spans="1:9" ht="18" customHeight="1" x14ac:dyDescent="0.25">
      <c r="A176" s="11">
        <v>43291</v>
      </c>
      <c r="B176" s="28" t="s">
        <v>165</v>
      </c>
      <c r="C176" s="2" t="s">
        <v>0</v>
      </c>
      <c r="D176" s="1">
        <v>28000</v>
      </c>
      <c r="E176" s="20">
        <f t="shared" si="18"/>
        <v>18200</v>
      </c>
      <c r="F176" s="20">
        <f t="shared" si="19"/>
        <v>9800</v>
      </c>
      <c r="H176"/>
      <c r="I176"/>
    </row>
    <row r="177" spans="1:9" ht="18" customHeight="1" x14ac:dyDescent="0.25">
      <c r="A177" s="11">
        <v>43291</v>
      </c>
      <c r="B177" s="28" t="s">
        <v>166</v>
      </c>
      <c r="C177" s="2" t="s">
        <v>0</v>
      </c>
      <c r="D177" s="1">
        <v>28000</v>
      </c>
      <c r="E177" s="20">
        <f t="shared" si="18"/>
        <v>18200</v>
      </c>
      <c r="F177" s="20">
        <f t="shared" si="19"/>
        <v>9800</v>
      </c>
      <c r="H177"/>
      <c r="I177"/>
    </row>
    <row r="178" spans="1:9" ht="18" customHeight="1" x14ac:dyDescent="0.25">
      <c r="A178" s="11">
        <v>43291</v>
      </c>
      <c r="B178" s="28" t="s">
        <v>167</v>
      </c>
      <c r="C178" s="2" t="s">
        <v>0</v>
      </c>
      <c r="D178" s="1">
        <v>28000</v>
      </c>
      <c r="E178" s="20">
        <f t="shared" si="18"/>
        <v>18200</v>
      </c>
      <c r="F178" s="20">
        <f t="shared" si="19"/>
        <v>9800</v>
      </c>
      <c r="H178"/>
      <c r="I178"/>
    </row>
    <row r="179" spans="1:9" ht="18" customHeight="1" x14ac:dyDescent="0.25">
      <c r="A179" s="11">
        <v>43291</v>
      </c>
      <c r="B179" s="28" t="s">
        <v>168</v>
      </c>
      <c r="C179" s="2" t="s">
        <v>0</v>
      </c>
      <c r="D179" s="1">
        <v>28000</v>
      </c>
      <c r="E179" s="20">
        <f t="shared" si="18"/>
        <v>18200</v>
      </c>
      <c r="F179" s="20">
        <f t="shared" si="19"/>
        <v>9800</v>
      </c>
      <c r="H179"/>
      <c r="I179"/>
    </row>
    <row r="180" spans="1:9" ht="18" customHeight="1" x14ac:dyDescent="0.25">
      <c r="A180" s="11">
        <v>43291</v>
      </c>
      <c r="B180" s="28" t="s">
        <v>169</v>
      </c>
      <c r="C180" s="2" t="s">
        <v>0</v>
      </c>
      <c r="D180" s="1">
        <v>28000</v>
      </c>
      <c r="E180" s="20">
        <f t="shared" si="18"/>
        <v>18200</v>
      </c>
      <c r="F180" s="20">
        <f t="shared" si="19"/>
        <v>9800</v>
      </c>
      <c r="H180"/>
      <c r="I180"/>
    </row>
    <row r="181" spans="1:9" ht="18" customHeight="1" x14ac:dyDescent="0.25">
      <c r="A181" s="11">
        <v>43300</v>
      </c>
      <c r="B181" s="29" t="s">
        <v>173</v>
      </c>
      <c r="C181" s="2" t="s">
        <v>11</v>
      </c>
      <c r="D181" s="1">
        <v>37200</v>
      </c>
      <c r="E181" s="20">
        <f t="shared" si="18"/>
        <v>24180</v>
      </c>
      <c r="F181" s="20">
        <f t="shared" si="19"/>
        <v>13020</v>
      </c>
      <c r="H181"/>
      <c r="I181"/>
    </row>
    <row r="182" spans="1:9" ht="18" customHeight="1" x14ac:dyDescent="0.25">
      <c r="A182" s="11">
        <v>43315</v>
      </c>
      <c r="B182" s="29" t="s">
        <v>175</v>
      </c>
      <c r="C182" s="2" t="s">
        <v>57</v>
      </c>
      <c r="D182" s="1">
        <v>79350</v>
      </c>
      <c r="E182" s="20">
        <f t="shared" si="18"/>
        <v>51577.5</v>
      </c>
      <c r="F182" s="20">
        <f t="shared" si="19"/>
        <v>27772.5</v>
      </c>
      <c r="H182"/>
      <c r="I182"/>
    </row>
    <row r="183" spans="1:9" ht="18" customHeight="1" x14ac:dyDescent="0.25">
      <c r="A183" s="11">
        <v>43325</v>
      </c>
      <c r="B183" s="28" t="s">
        <v>188</v>
      </c>
      <c r="C183" s="2" t="s">
        <v>0</v>
      </c>
      <c r="D183" s="1">
        <v>28000</v>
      </c>
      <c r="E183" s="20">
        <f t="shared" si="18"/>
        <v>18200</v>
      </c>
      <c r="F183" s="20">
        <f t="shared" si="19"/>
        <v>9800</v>
      </c>
      <c r="H183"/>
      <c r="I183"/>
    </row>
    <row r="184" spans="1:9" ht="18" customHeight="1" x14ac:dyDescent="0.25">
      <c r="A184" s="11">
        <v>43325</v>
      </c>
      <c r="B184" s="28" t="s">
        <v>189</v>
      </c>
      <c r="C184" s="2" t="s">
        <v>0</v>
      </c>
      <c r="D184" s="1">
        <v>28000</v>
      </c>
      <c r="E184" s="20">
        <f t="shared" si="18"/>
        <v>18200</v>
      </c>
      <c r="F184" s="20">
        <f t="shared" si="19"/>
        <v>9800</v>
      </c>
      <c r="H184"/>
      <c r="I184"/>
    </row>
    <row r="185" spans="1:9" ht="18" customHeight="1" x14ac:dyDescent="0.25">
      <c r="A185" s="11">
        <v>43341</v>
      </c>
      <c r="B185" s="29" t="s">
        <v>191</v>
      </c>
      <c r="C185" s="2" t="s">
        <v>11</v>
      </c>
      <c r="D185" s="1">
        <v>37900</v>
      </c>
      <c r="E185" s="20">
        <f t="shared" si="18"/>
        <v>24635</v>
      </c>
      <c r="F185" s="20">
        <f t="shared" si="19"/>
        <v>13265</v>
      </c>
      <c r="H185"/>
      <c r="I185"/>
    </row>
    <row r="186" spans="1:9" ht="18" customHeight="1" x14ac:dyDescent="0.25">
      <c r="A186" s="11">
        <v>43347</v>
      </c>
      <c r="B186" s="5" t="s">
        <v>199</v>
      </c>
      <c r="C186" s="2" t="s">
        <v>0</v>
      </c>
      <c r="D186" s="1">
        <v>27000</v>
      </c>
      <c r="E186" s="20">
        <f t="shared" si="18"/>
        <v>17550</v>
      </c>
      <c r="F186" s="20">
        <f t="shared" si="19"/>
        <v>9450</v>
      </c>
      <c r="H186"/>
      <c r="I186"/>
    </row>
    <row r="187" spans="1:9" ht="18" customHeight="1" x14ac:dyDescent="0.25">
      <c r="A187" s="11">
        <v>43355</v>
      </c>
      <c r="B187" s="4" t="s">
        <v>201</v>
      </c>
      <c r="C187" s="2" t="s">
        <v>11</v>
      </c>
      <c r="D187" s="1">
        <v>22860</v>
      </c>
      <c r="E187" s="20">
        <f t="shared" si="18"/>
        <v>14859</v>
      </c>
      <c r="F187" s="20">
        <f t="shared" si="19"/>
        <v>8000.9999999999991</v>
      </c>
      <c r="H187"/>
      <c r="I187"/>
    </row>
    <row r="188" spans="1:9" ht="18" customHeight="1" x14ac:dyDescent="0.25">
      <c r="A188" s="11">
        <v>43362</v>
      </c>
      <c r="B188" s="5" t="s">
        <v>204</v>
      </c>
      <c r="C188" s="2" t="s">
        <v>0</v>
      </c>
      <c r="D188" s="1">
        <v>69000</v>
      </c>
      <c r="E188" s="20">
        <f t="shared" si="18"/>
        <v>44850</v>
      </c>
      <c r="F188" s="20">
        <f t="shared" si="19"/>
        <v>24150</v>
      </c>
      <c r="H188"/>
      <c r="I188"/>
    </row>
    <row r="189" spans="1:9" ht="18" customHeight="1" x14ac:dyDescent="0.4">
      <c r="A189" s="11"/>
      <c r="C189" s="15" t="s">
        <v>9</v>
      </c>
      <c r="D189" s="23">
        <f>SUM(D171:D188)</f>
        <v>590410</v>
      </c>
      <c r="E189" s="24">
        <f>SUM(E171:E188)</f>
        <v>383766.5</v>
      </c>
      <c r="F189" s="24">
        <f>SUM(F171:F188)</f>
        <v>206643.5</v>
      </c>
      <c r="G189" s="27">
        <v>43402</v>
      </c>
      <c r="H189"/>
      <c r="I189"/>
    </row>
    <row r="190" spans="1:9" ht="18" customHeight="1" x14ac:dyDescent="0.25">
      <c r="A190" s="11"/>
      <c r="E190" s="20"/>
      <c r="F190" s="8"/>
      <c r="H190"/>
      <c r="I190"/>
    </row>
    <row r="191" spans="1:9" ht="18" customHeight="1" x14ac:dyDescent="0.25">
      <c r="A191" s="11"/>
      <c r="E191" s="20"/>
      <c r="F191" s="8"/>
      <c r="H191"/>
      <c r="I191"/>
    </row>
    <row r="192" spans="1:9" ht="18" customHeight="1" x14ac:dyDescent="0.25">
      <c r="A192" s="11">
        <v>43284</v>
      </c>
      <c r="B192" s="4" t="s">
        <v>157</v>
      </c>
      <c r="C192" s="2" t="s">
        <v>0</v>
      </c>
      <c r="D192" s="1">
        <v>23250</v>
      </c>
      <c r="E192" s="20">
        <f t="shared" ref="E192:E204" si="20">SUM(D192*0.65)</f>
        <v>15112.5</v>
      </c>
      <c r="F192" s="8">
        <f t="shared" ref="F192:F204" si="21">SUM(D192*0.35)</f>
        <v>8137.4999999999991</v>
      </c>
      <c r="H192"/>
      <c r="I192"/>
    </row>
    <row r="193" spans="1:9" ht="18" customHeight="1" x14ac:dyDescent="0.25">
      <c r="A193" s="11">
        <v>43285</v>
      </c>
      <c r="B193" s="4" t="s">
        <v>170</v>
      </c>
      <c r="C193" s="2" t="s">
        <v>7</v>
      </c>
      <c r="D193" s="1">
        <v>11640</v>
      </c>
      <c r="E193" s="20">
        <f t="shared" si="20"/>
        <v>7566</v>
      </c>
      <c r="F193" s="8">
        <f t="shared" si="21"/>
        <v>4073.9999999999995</v>
      </c>
      <c r="H193"/>
      <c r="I193"/>
    </row>
    <row r="194" spans="1:9" ht="18" customHeight="1" x14ac:dyDescent="0.25">
      <c r="A194" s="11">
        <v>43300</v>
      </c>
      <c r="B194" s="29" t="s">
        <v>174</v>
      </c>
      <c r="C194" s="2" t="s">
        <v>11</v>
      </c>
      <c r="D194" s="1">
        <v>37550</v>
      </c>
      <c r="E194" s="20">
        <f t="shared" si="20"/>
        <v>24407.5</v>
      </c>
      <c r="F194" s="8">
        <f t="shared" si="21"/>
        <v>13142.5</v>
      </c>
      <c r="H194"/>
      <c r="I194"/>
    </row>
    <row r="195" spans="1:9" ht="18" customHeight="1" x14ac:dyDescent="0.25">
      <c r="A195" s="11">
        <v>43318</v>
      </c>
      <c r="B195" s="28" t="s">
        <v>185</v>
      </c>
      <c r="C195" s="2" t="s">
        <v>0</v>
      </c>
      <c r="D195" s="1">
        <v>28000</v>
      </c>
      <c r="E195" s="20">
        <f t="shared" si="20"/>
        <v>18200</v>
      </c>
      <c r="F195" s="8">
        <f t="shared" si="21"/>
        <v>9800</v>
      </c>
      <c r="H195"/>
      <c r="I195"/>
    </row>
    <row r="196" spans="1:9" ht="18" customHeight="1" x14ac:dyDescent="0.25">
      <c r="A196" s="11">
        <v>43374</v>
      </c>
      <c r="B196" s="4" t="s">
        <v>210</v>
      </c>
      <c r="C196" s="2" t="s">
        <v>11</v>
      </c>
      <c r="D196" s="1">
        <v>39910</v>
      </c>
      <c r="E196" s="20">
        <f t="shared" si="20"/>
        <v>25941.5</v>
      </c>
      <c r="F196" s="8">
        <f t="shared" si="21"/>
        <v>13968.5</v>
      </c>
      <c r="H196"/>
      <c r="I196"/>
    </row>
    <row r="197" spans="1:9" ht="18" customHeight="1" x14ac:dyDescent="0.25">
      <c r="A197" s="11">
        <v>43376</v>
      </c>
      <c r="B197" s="4" t="s">
        <v>212</v>
      </c>
      <c r="C197" s="2" t="s">
        <v>11</v>
      </c>
      <c r="D197" s="1">
        <v>39910</v>
      </c>
      <c r="E197" s="20">
        <f t="shared" si="20"/>
        <v>25941.5</v>
      </c>
      <c r="F197" s="8">
        <f t="shared" si="21"/>
        <v>13968.5</v>
      </c>
      <c r="H197"/>
      <c r="I197"/>
    </row>
    <row r="198" spans="1:9" ht="18" customHeight="1" x14ac:dyDescent="0.25">
      <c r="A198" s="11">
        <v>43375</v>
      </c>
      <c r="B198" s="5" t="s">
        <v>211</v>
      </c>
      <c r="C198" s="2" t="s">
        <v>11</v>
      </c>
      <c r="D198" s="1">
        <v>29500</v>
      </c>
      <c r="E198" s="20">
        <f t="shared" si="20"/>
        <v>19175</v>
      </c>
      <c r="F198" s="8">
        <f t="shared" si="21"/>
        <v>10325</v>
      </c>
      <c r="H198"/>
      <c r="I198"/>
    </row>
    <row r="199" spans="1:9" ht="18" customHeight="1" x14ac:dyDescent="0.25">
      <c r="A199" s="11">
        <v>43383</v>
      </c>
      <c r="B199" s="5" t="s">
        <v>218</v>
      </c>
      <c r="C199" s="2" t="s">
        <v>11</v>
      </c>
      <c r="D199" s="1">
        <v>32000</v>
      </c>
      <c r="E199" s="20">
        <f t="shared" si="20"/>
        <v>20800</v>
      </c>
      <c r="F199" s="8">
        <f t="shared" si="21"/>
        <v>11200</v>
      </c>
      <c r="H199"/>
      <c r="I199"/>
    </row>
    <row r="200" spans="1:9" ht="18" customHeight="1" x14ac:dyDescent="0.25">
      <c r="A200" s="11">
        <v>43384</v>
      </c>
      <c r="B200" s="4" t="s">
        <v>214</v>
      </c>
      <c r="C200" s="2" t="s">
        <v>7</v>
      </c>
      <c r="D200" s="1">
        <v>16360</v>
      </c>
      <c r="E200" s="20">
        <f t="shared" si="20"/>
        <v>10634</v>
      </c>
      <c r="F200" s="8">
        <f t="shared" si="21"/>
        <v>5726</v>
      </c>
      <c r="H200"/>
      <c r="I200"/>
    </row>
    <row r="201" spans="1:9" ht="18" customHeight="1" x14ac:dyDescent="0.25">
      <c r="A201" s="11">
        <v>43385</v>
      </c>
      <c r="B201" s="5" t="s">
        <v>221</v>
      </c>
      <c r="C201" s="2" t="s">
        <v>11</v>
      </c>
      <c r="D201" s="1">
        <v>29500</v>
      </c>
      <c r="E201" s="20">
        <f t="shared" si="20"/>
        <v>19175</v>
      </c>
      <c r="F201" s="8">
        <f t="shared" si="21"/>
        <v>10325</v>
      </c>
      <c r="H201"/>
      <c r="I201"/>
    </row>
    <row r="202" spans="1:9" ht="18" customHeight="1" x14ac:dyDescent="0.25">
      <c r="A202" s="11">
        <v>43389</v>
      </c>
      <c r="B202" s="5" t="s">
        <v>222</v>
      </c>
      <c r="C202" s="2" t="s">
        <v>0</v>
      </c>
      <c r="D202" s="1">
        <v>35000</v>
      </c>
      <c r="E202" s="20">
        <f t="shared" si="20"/>
        <v>22750</v>
      </c>
      <c r="F202" s="8">
        <f t="shared" si="21"/>
        <v>12250</v>
      </c>
      <c r="H202"/>
      <c r="I202"/>
    </row>
    <row r="203" spans="1:9" x14ac:dyDescent="0.3">
      <c r="A203" s="11">
        <v>43396</v>
      </c>
      <c r="B203" s="5" t="s">
        <v>226</v>
      </c>
      <c r="C203" s="2" t="s">
        <v>11</v>
      </c>
      <c r="D203" s="1">
        <v>29500</v>
      </c>
      <c r="E203" s="20">
        <f t="shared" si="20"/>
        <v>19175</v>
      </c>
      <c r="F203" s="8">
        <f t="shared" si="21"/>
        <v>10325</v>
      </c>
    </row>
    <row r="204" spans="1:9" x14ac:dyDescent="0.3">
      <c r="A204" s="11">
        <v>43398</v>
      </c>
      <c r="B204" s="5" t="s">
        <v>243</v>
      </c>
      <c r="C204" s="2" t="s">
        <v>7</v>
      </c>
      <c r="D204" s="1">
        <v>26390</v>
      </c>
      <c r="E204" s="20">
        <f t="shared" si="20"/>
        <v>17153.5</v>
      </c>
      <c r="F204" s="8">
        <f t="shared" si="21"/>
        <v>9236.5</v>
      </c>
    </row>
    <row r="205" spans="1:9" ht="20.25" x14ac:dyDescent="0.4">
      <c r="C205" s="15" t="s">
        <v>9</v>
      </c>
      <c r="D205" s="23">
        <f>SUM(D192:D204)</f>
        <v>378510</v>
      </c>
      <c r="E205" s="24">
        <f>SUM(E192:E204)</f>
        <v>246031.5</v>
      </c>
      <c r="F205" s="24">
        <f>SUM(F192:F204)</f>
        <v>132478.5</v>
      </c>
      <c r="G205" s="27">
        <v>43432</v>
      </c>
    </row>
    <row r="206" spans="1:9" x14ac:dyDescent="0.3">
      <c r="F206" s="8"/>
    </row>
    <row r="207" spans="1:9" x14ac:dyDescent="0.3">
      <c r="F207" s="8"/>
    </row>
    <row r="208" spans="1:9" ht="18" customHeight="1" x14ac:dyDescent="0.25">
      <c r="A208" s="11">
        <v>42998</v>
      </c>
      <c r="B208" s="4" t="s">
        <v>22</v>
      </c>
      <c r="C208" s="2" t="s">
        <v>10</v>
      </c>
      <c r="D208" s="1">
        <v>66050</v>
      </c>
      <c r="E208" s="20">
        <f t="shared" ref="E208:E229" si="22">SUM(D208*0.65)</f>
        <v>42932.5</v>
      </c>
      <c r="F208" s="20">
        <f t="shared" ref="F208:F229" si="23">SUM(D208*0.35)</f>
        <v>23117.5</v>
      </c>
      <c r="G208" s="22"/>
      <c r="H208"/>
      <c r="I208"/>
    </row>
    <row r="209" spans="1:9" ht="18" customHeight="1" x14ac:dyDescent="0.25">
      <c r="A209" s="11">
        <v>43280</v>
      </c>
      <c r="B209" s="5" t="s">
        <v>158</v>
      </c>
      <c r="C209" s="2" t="s">
        <v>57</v>
      </c>
      <c r="D209" s="1">
        <v>35000</v>
      </c>
      <c r="E209" s="20">
        <f t="shared" si="22"/>
        <v>22750</v>
      </c>
      <c r="F209" s="8">
        <f t="shared" si="23"/>
        <v>12250</v>
      </c>
      <c r="G209" s="30"/>
      <c r="H209"/>
      <c r="I209"/>
    </row>
    <row r="210" spans="1:9" ht="18" customHeight="1" x14ac:dyDescent="0.25">
      <c r="A210" s="11">
        <v>43293</v>
      </c>
      <c r="B210" s="29" t="s">
        <v>172</v>
      </c>
      <c r="C210" s="2" t="s">
        <v>11</v>
      </c>
      <c r="D210" s="1">
        <v>73000</v>
      </c>
      <c r="E210" s="20">
        <f t="shared" si="22"/>
        <v>47450</v>
      </c>
      <c r="F210" s="8">
        <f t="shared" si="23"/>
        <v>25550</v>
      </c>
      <c r="H210"/>
      <c r="I210"/>
    </row>
    <row r="211" spans="1:9" ht="18" customHeight="1" x14ac:dyDescent="0.25">
      <c r="A211" s="11">
        <v>43305</v>
      </c>
      <c r="B211" s="28" t="s">
        <v>182</v>
      </c>
      <c r="C211" s="2" t="s">
        <v>11</v>
      </c>
      <c r="D211" s="1">
        <v>35200</v>
      </c>
      <c r="E211" s="20">
        <f t="shared" si="22"/>
        <v>22880</v>
      </c>
      <c r="F211" s="8">
        <f t="shared" si="23"/>
        <v>12320</v>
      </c>
      <c r="H211"/>
      <c r="I211"/>
    </row>
    <row r="212" spans="1:9" ht="18" customHeight="1" x14ac:dyDescent="0.25">
      <c r="A212" s="11">
        <v>43346</v>
      </c>
      <c r="B212" s="5" t="s">
        <v>198</v>
      </c>
      <c r="C212" s="2" t="s">
        <v>11</v>
      </c>
      <c r="D212" s="1">
        <v>125893</v>
      </c>
      <c r="E212" s="20">
        <f t="shared" si="22"/>
        <v>81830.45</v>
      </c>
      <c r="F212" s="8">
        <f t="shared" si="23"/>
        <v>44062.549999999996</v>
      </c>
      <c r="H212"/>
      <c r="I212"/>
    </row>
    <row r="213" spans="1:9" ht="18" customHeight="1" x14ac:dyDescent="0.25">
      <c r="A213" s="11">
        <v>43349</v>
      </c>
      <c r="B213" s="4" t="s">
        <v>194</v>
      </c>
      <c r="C213" s="2" t="s">
        <v>11</v>
      </c>
      <c r="D213" s="1">
        <v>38500</v>
      </c>
      <c r="E213" s="20">
        <f t="shared" si="22"/>
        <v>25025</v>
      </c>
      <c r="F213" s="8">
        <f t="shared" si="23"/>
        <v>13475</v>
      </c>
      <c r="H213"/>
      <c r="I213"/>
    </row>
    <row r="214" spans="1:9" ht="18" customHeight="1" x14ac:dyDescent="0.25">
      <c r="A214" s="11">
        <v>43367</v>
      </c>
      <c r="B214" s="4" t="s">
        <v>209</v>
      </c>
      <c r="C214" s="2" t="s">
        <v>11</v>
      </c>
      <c r="D214" s="1">
        <v>22200</v>
      </c>
      <c r="E214" s="20">
        <f t="shared" si="22"/>
        <v>14430</v>
      </c>
      <c r="F214" s="8">
        <f t="shared" si="23"/>
        <v>7769.9999999999991</v>
      </c>
      <c r="H214"/>
      <c r="I214"/>
    </row>
    <row r="215" spans="1:9" ht="18" customHeight="1" x14ac:dyDescent="0.25">
      <c r="A215" s="11">
        <v>43368</v>
      </c>
      <c r="B215" s="5" t="s">
        <v>205</v>
      </c>
      <c r="C215" s="2" t="s">
        <v>8</v>
      </c>
      <c r="D215" s="1">
        <v>28500</v>
      </c>
      <c r="E215" s="20">
        <f t="shared" si="22"/>
        <v>18525</v>
      </c>
      <c r="F215" s="8">
        <f t="shared" si="23"/>
        <v>9975</v>
      </c>
      <c r="H215"/>
      <c r="I215"/>
    </row>
    <row r="216" spans="1:9" ht="18" customHeight="1" x14ac:dyDescent="0.25">
      <c r="A216" s="11">
        <v>43368</v>
      </c>
      <c r="B216" s="5" t="s">
        <v>224</v>
      </c>
      <c r="C216" s="2" t="s">
        <v>0</v>
      </c>
      <c r="D216" s="1">
        <v>30000</v>
      </c>
      <c r="E216" s="20">
        <f t="shared" si="22"/>
        <v>19500</v>
      </c>
      <c r="F216" s="8">
        <f t="shared" si="23"/>
        <v>10500</v>
      </c>
      <c r="H216"/>
      <c r="I216"/>
    </row>
    <row r="217" spans="1:9" ht="18" customHeight="1" x14ac:dyDescent="0.25">
      <c r="A217" s="11">
        <v>43368</v>
      </c>
      <c r="B217" s="5" t="s">
        <v>206</v>
      </c>
      <c r="C217" s="2" t="s">
        <v>0</v>
      </c>
      <c r="D217" s="1">
        <v>30000</v>
      </c>
      <c r="E217" s="20">
        <f t="shared" si="22"/>
        <v>19500</v>
      </c>
      <c r="F217" s="8">
        <f t="shared" si="23"/>
        <v>10500</v>
      </c>
      <c r="H217"/>
      <c r="I217"/>
    </row>
    <row r="218" spans="1:9" ht="18" customHeight="1" x14ac:dyDescent="0.25">
      <c r="A218" s="11">
        <v>43381</v>
      </c>
      <c r="B218" s="4" t="s">
        <v>213</v>
      </c>
      <c r="C218" s="2" t="s">
        <v>11</v>
      </c>
      <c r="D218" s="1">
        <v>31741</v>
      </c>
      <c r="E218" s="20">
        <f t="shared" si="22"/>
        <v>20631.650000000001</v>
      </c>
      <c r="F218" s="8">
        <f t="shared" si="23"/>
        <v>11109.349999999999</v>
      </c>
      <c r="H218"/>
      <c r="I218"/>
    </row>
    <row r="219" spans="1:9" ht="18" customHeight="1" x14ac:dyDescent="0.25">
      <c r="A219" s="11">
        <v>43381</v>
      </c>
      <c r="B219" s="5" t="s">
        <v>217</v>
      </c>
      <c r="C219" s="2" t="s">
        <v>7</v>
      </c>
      <c r="D219" s="1">
        <v>18000</v>
      </c>
      <c r="E219" s="20">
        <f t="shared" si="22"/>
        <v>11700</v>
      </c>
      <c r="F219" s="8">
        <f t="shared" si="23"/>
        <v>6300</v>
      </c>
      <c r="H219"/>
      <c r="I219"/>
    </row>
    <row r="220" spans="1:9" ht="18" customHeight="1" x14ac:dyDescent="0.25">
      <c r="A220" s="11">
        <v>43383</v>
      </c>
      <c r="B220" s="5" t="s">
        <v>219</v>
      </c>
      <c r="C220" s="2" t="s">
        <v>0</v>
      </c>
      <c r="D220" s="1">
        <v>30000</v>
      </c>
      <c r="E220" s="20">
        <f t="shared" si="22"/>
        <v>19500</v>
      </c>
      <c r="F220" s="8">
        <f t="shared" si="23"/>
        <v>10500</v>
      </c>
      <c r="H220"/>
      <c r="I220"/>
    </row>
    <row r="221" spans="1:9" ht="18" customHeight="1" x14ac:dyDescent="0.25">
      <c r="A221" s="11">
        <v>43383</v>
      </c>
      <c r="B221" s="5" t="s">
        <v>220</v>
      </c>
      <c r="C221" s="2" t="s">
        <v>0</v>
      </c>
      <c r="D221" s="1">
        <v>30000</v>
      </c>
      <c r="E221" s="20">
        <f t="shared" si="22"/>
        <v>19500</v>
      </c>
      <c r="F221" s="8">
        <f t="shared" si="23"/>
        <v>10500</v>
      </c>
      <c r="H221"/>
      <c r="I221"/>
    </row>
    <row r="222" spans="1:9" ht="18" customHeight="1" x14ac:dyDescent="0.25">
      <c r="A222" s="11">
        <v>43396</v>
      </c>
      <c r="B222" s="4" t="s">
        <v>240</v>
      </c>
      <c r="C222" s="2" t="s">
        <v>11</v>
      </c>
      <c r="D222" s="1">
        <v>37500</v>
      </c>
      <c r="E222" s="20">
        <f t="shared" si="22"/>
        <v>24375</v>
      </c>
      <c r="F222" s="8">
        <f t="shared" si="23"/>
        <v>13125</v>
      </c>
      <c r="H222"/>
      <c r="I222"/>
    </row>
    <row r="223" spans="1:9" ht="18" customHeight="1" x14ac:dyDescent="0.25">
      <c r="A223" s="11">
        <v>43397</v>
      </c>
      <c r="B223" s="4" t="s">
        <v>242</v>
      </c>
      <c r="C223" s="2" t="s">
        <v>11</v>
      </c>
      <c r="D223" s="1">
        <v>38500</v>
      </c>
      <c r="E223" s="20">
        <f t="shared" si="22"/>
        <v>25025</v>
      </c>
      <c r="F223" s="8">
        <f t="shared" si="23"/>
        <v>13475</v>
      </c>
      <c r="H223"/>
      <c r="I223"/>
    </row>
    <row r="224" spans="1:9" ht="18" customHeight="1" x14ac:dyDescent="0.25">
      <c r="A224" s="11">
        <v>43402</v>
      </c>
      <c r="B224" s="5" t="s">
        <v>232</v>
      </c>
      <c r="C224" s="2" t="s">
        <v>11</v>
      </c>
      <c r="D224" s="1">
        <v>37000</v>
      </c>
      <c r="E224" s="20">
        <f t="shared" si="22"/>
        <v>24050</v>
      </c>
      <c r="F224" s="8">
        <f t="shared" si="23"/>
        <v>12950</v>
      </c>
      <c r="H224"/>
      <c r="I224"/>
    </row>
    <row r="225" spans="1:9" x14ac:dyDescent="0.3">
      <c r="A225" s="11">
        <v>43417</v>
      </c>
      <c r="B225" s="5" t="s">
        <v>266</v>
      </c>
      <c r="C225" s="2" t="s">
        <v>11</v>
      </c>
      <c r="D225" s="1">
        <v>29500</v>
      </c>
      <c r="E225" s="20">
        <f t="shared" si="22"/>
        <v>19175</v>
      </c>
      <c r="F225" s="8">
        <f t="shared" si="23"/>
        <v>10325</v>
      </c>
    </row>
    <row r="226" spans="1:9" x14ac:dyDescent="0.3">
      <c r="A226" s="11">
        <v>43418</v>
      </c>
      <c r="B226" s="5" t="s">
        <v>269</v>
      </c>
      <c r="C226" s="2" t="s">
        <v>11</v>
      </c>
      <c r="D226" s="1">
        <v>29500</v>
      </c>
      <c r="E226" s="20">
        <f t="shared" si="22"/>
        <v>19175</v>
      </c>
      <c r="F226" s="8">
        <f t="shared" si="23"/>
        <v>10325</v>
      </c>
    </row>
    <row r="227" spans="1:9" ht="18" customHeight="1" x14ac:dyDescent="0.25">
      <c r="A227" s="11">
        <v>43423</v>
      </c>
      <c r="B227" s="4" t="s">
        <v>250</v>
      </c>
      <c r="C227" s="2" t="s">
        <v>57</v>
      </c>
      <c r="D227" s="1">
        <v>20400</v>
      </c>
      <c r="E227" s="20">
        <f t="shared" si="22"/>
        <v>13260</v>
      </c>
      <c r="F227" s="8">
        <f t="shared" si="23"/>
        <v>7140</v>
      </c>
      <c r="H227"/>
      <c r="I227"/>
    </row>
    <row r="228" spans="1:9" x14ac:dyDescent="0.3">
      <c r="A228" s="11">
        <v>43426</v>
      </c>
      <c r="B228" s="5" t="s">
        <v>272</v>
      </c>
      <c r="C228" s="2" t="s">
        <v>11</v>
      </c>
      <c r="D228" s="1">
        <v>29500</v>
      </c>
      <c r="E228" s="20">
        <f t="shared" si="22"/>
        <v>19175</v>
      </c>
      <c r="F228" s="8">
        <f t="shared" si="23"/>
        <v>10325</v>
      </c>
    </row>
    <row r="229" spans="1:9" x14ac:dyDescent="0.3">
      <c r="A229" s="11">
        <v>43426</v>
      </c>
      <c r="B229" s="5" t="s">
        <v>273</v>
      </c>
      <c r="C229" s="2" t="s">
        <v>11</v>
      </c>
      <c r="D229" s="1">
        <v>29500</v>
      </c>
      <c r="E229" s="20">
        <f t="shared" si="22"/>
        <v>19175</v>
      </c>
      <c r="F229" s="8">
        <f t="shared" si="23"/>
        <v>10325</v>
      </c>
    </row>
    <row r="230" spans="1:9" ht="20.25" x14ac:dyDescent="0.4">
      <c r="C230" s="15" t="s">
        <v>9</v>
      </c>
      <c r="D230" s="23">
        <f>SUM(D208:D229)</f>
        <v>845484</v>
      </c>
      <c r="E230" s="24">
        <f>SUM(E208:E229)</f>
        <v>549564.60000000009</v>
      </c>
      <c r="F230" s="24">
        <f>SUM(F208:F229)</f>
        <v>295919.40000000002</v>
      </c>
      <c r="G230" s="27">
        <v>43460</v>
      </c>
    </row>
    <row r="233" spans="1:9" ht="18" customHeight="1" x14ac:dyDescent="0.25">
      <c r="A233" s="11">
        <v>43003</v>
      </c>
      <c r="B233" s="4" t="s">
        <v>24</v>
      </c>
      <c r="C233" s="2" t="s">
        <v>0</v>
      </c>
      <c r="D233" s="1">
        <v>26450</v>
      </c>
      <c r="E233" s="20">
        <f t="shared" ref="E233:E264" si="24">SUM(D233*0.65)</f>
        <v>17192.5</v>
      </c>
      <c r="F233" s="20">
        <f t="shared" ref="F233:F264" si="25">SUM(D233*0.35)</f>
        <v>9257.5</v>
      </c>
      <c r="G233" s="22"/>
      <c r="H233"/>
      <c r="I233"/>
    </row>
    <row r="234" spans="1:9" ht="18" customHeight="1" x14ac:dyDescent="0.25">
      <c r="A234" s="11">
        <v>43109</v>
      </c>
      <c r="B234" s="4" t="s">
        <v>63</v>
      </c>
      <c r="C234" s="2" t="s">
        <v>7</v>
      </c>
      <c r="D234" s="1">
        <v>22750</v>
      </c>
      <c r="E234" s="20">
        <f t="shared" si="24"/>
        <v>14787.5</v>
      </c>
      <c r="F234" s="20">
        <f t="shared" si="25"/>
        <v>7962.4999999999991</v>
      </c>
      <c r="G234" s="22"/>
      <c r="H234"/>
      <c r="I234"/>
    </row>
    <row r="235" spans="1:9" ht="18" customHeight="1" x14ac:dyDescent="0.25">
      <c r="A235" s="11">
        <v>43160</v>
      </c>
      <c r="B235" s="4" t="s">
        <v>87</v>
      </c>
      <c r="C235" s="2" t="s">
        <v>0</v>
      </c>
      <c r="D235" s="20">
        <v>22140</v>
      </c>
      <c r="E235" s="20">
        <f t="shared" si="24"/>
        <v>14391</v>
      </c>
      <c r="F235" s="20">
        <f t="shared" si="25"/>
        <v>7748.9999999999991</v>
      </c>
      <c r="H235"/>
      <c r="I235"/>
    </row>
    <row r="236" spans="1:9" ht="18" customHeight="1" x14ac:dyDescent="0.25">
      <c r="A236" s="11">
        <v>43257</v>
      </c>
      <c r="B236" s="4" t="s">
        <v>144</v>
      </c>
      <c r="C236" s="2" t="s">
        <v>7</v>
      </c>
      <c r="D236" s="20">
        <v>10000</v>
      </c>
      <c r="E236" s="20">
        <f t="shared" si="24"/>
        <v>6500</v>
      </c>
      <c r="F236" s="8">
        <f t="shared" si="25"/>
        <v>3500</v>
      </c>
      <c r="H236"/>
      <c r="I236"/>
    </row>
    <row r="237" spans="1:9" ht="18" customHeight="1" x14ac:dyDescent="0.25">
      <c r="A237" s="11">
        <v>43315</v>
      </c>
      <c r="B237" s="29" t="s">
        <v>177</v>
      </c>
      <c r="C237" s="2" t="s">
        <v>11</v>
      </c>
      <c r="D237" s="20">
        <v>21500</v>
      </c>
      <c r="E237" s="20">
        <f t="shared" si="24"/>
        <v>13975</v>
      </c>
      <c r="F237" s="8">
        <f t="shared" si="25"/>
        <v>7524.9999999999991</v>
      </c>
      <c r="H237"/>
      <c r="I237"/>
    </row>
    <row r="238" spans="1:9" ht="18" customHeight="1" x14ac:dyDescent="0.25">
      <c r="A238" s="11">
        <v>43327</v>
      </c>
      <c r="B238" s="29" t="s">
        <v>186</v>
      </c>
      <c r="C238" s="2" t="s">
        <v>0</v>
      </c>
      <c r="D238" s="20">
        <v>21448</v>
      </c>
      <c r="E238" s="20">
        <f t="shared" si="24"/>
        <v>13941.2</v>
      </c>
      <c r="F238" s="8">
        <f t="shared" si="25"/>
        <v>7506.7999999999993</v>
      </c>
      <c r="H238"/>
      <c r="I238"/>
    </row>
    <row r="239" spans="1:9" ht="18" customHeight="1" x14ac:dyDescent="0.25">
      <c r="A239" s="11">
        <v>43327</v>
      </c>
      <c r="B239" s="29" t="s">
        <v>187</v>
      </c>
      <c r="C239" s="2" t="s">
        <v>0</v>
      </c>
      <c r="D239" s="20">
        <v>46630</v>
      </c>
      <c r="E239" s="20">
        <f t="shared" si="24"/>
        <v>30309.5</v>
      </c>
      <c r="F239" s="8">
        <f t="shared" si="25"/>
        <v>16320.499999999998</v>
      </c>
      <c r="H239"/>
      <c r="I239"/>
    </row>
    <row r="240" spans="1:9" ht="18" customHeight="1" x14ac:dyDescent="0.25">
      <c r="A240" s="11">
        <v>43346</v>
      </c>
      <c r="B240" s="4" t="s">
        <v>192</v>
      </c>
      <c r="C240" s="2" t="s">
        <v>11</v>
      </c>
      <c r="D240" s="20">
        <v>18170</v>
      </c>
      <c r="E240" s="20">
        <f t="shared" si="24"/>
        <v>11810.5</v>
      </c>
      <c r="F240" s="8">
        <f t="shared" si="25"/>
        <v>6359.5</v>
      </c>
      <c r="H240"/>
      <c r="I240"/>
    </row>
    <row r="241" spans="1:9" ht="18" customHeight="1" x14ac:dyDescent="0.25">
      <c r="A241" s="11">
        <v>43349</v>
      </c>
      <c r="B241" s="4" t="s">
        <v>193</v>
      </c>
      <c r="C241" s="2" t="s">
        <v>7</v>
      </c>
      <c r="D241" s="20">
        <v>19140</v>
      </c>
      <c r="E241" s="20">
        <f t="shared" si="24"/>
        <v>12441</v>
      </c>
      <c r="F241" s="8">
        <f t="shared" si="25"/>
        <v>6699</v>
      </c>
      <c r="G241" s="30"/>
      <c r="H241"/>
      <c r="I241"/>
    </row>
    <row r="242" spans="1:9" ht="18" customHeight="1" x14ac:dyDescent="0.25">
      <c r="A242" s="11">
        <v>43353</v>
      </c>
      <c r="B242" s="4" t="s">
        <v>200</v>
      </c>
      <c r="C242" s="2" t="s">
        <v>11</v>
      </c>
      <c r="D242" s="20">
        <v>39910</v>
      </c>
      <c r="E242" s="20">
        <f t="shared" si="24"/>
        <v>25941.5</v>
      </c>
      <c r="F242" s="8">
        <f t="shared" si="25"/>
        <v>13968.5</v>
      </c>
      <c r="H242"/>
      <c r="I242"/>
    </row>
    <row r="243" spans="1:9" ht="18" customHeight="1" x14ac:dyDescent="0.25">
      <c r="A243" s="11">
        <v>43368</v>
      </c>
      <c r="B243" s="5" t="s">
        <v>207</v>
      </c>
      <c r="C243" s="2" t="s">
        <v>0</v>
      </c>
      <c r="D243" s="20">
        <v>42000</v>
      </c>
      <c r="E243" s="20">
        <f t="shared" si="24"/>
        <v>27300</v>
      </c>
      <c r="F243" s="8">
        <f t="shared" si="25"/>
        <v>14699.999999999998</v>
      </c>
      <c r="H243"/>
      <c r="I243"/>
    </row>
    <row r="244" spans="1:9" ht="18" customHeight="1" x14ac:dyDescent="0.25">
      <c r="A244" s="11">
        <v>43389</v>
      </c>
      <c r="B244" s="5" t="s">
        <v>223</v>
      </c>
      <c r="C244" s="2" t="s">
        <v>7</v>
      </c>
      <c r="D244" s="20">
        <v>15000</v>
      </c>
      <c r="E244" s="20">
        <f t="shared" si="24"/>
        <v>9750</v>
      </c>
      <c r="F244" s="8">
        <f t="shared" si="25"/>
        <v>5250</v>
      </c>
      <c r="H244"/>
      <c r="I244"/>
    </row>
    <row r="245" spans="1:9" ht="18" customHeight="1" x14ac:dyDescent="0.25">
      <c r="A245" s="11">
        <v>43391</v>
      </c>
      <c r="B245" s="4" t="s">
        <v>239</v>
      </c>
      <c r="C245" s="2" t="s">
        <v>0</v>
      </c>
      <c r="D245" s="20">
        <v>20120</v>
      </c>
      <c r="E245" s="20">
        <f t="shared" si="24"/>
        <v>13078</v>
      </c>
      <c r="F245" s="8">
        <f t="shared" si="25"/>
        <v>7042</v>
      </c>
      <c r="H245"/>
      <c r="I245"/>
    </row>
    <row r="246" spans="1:9" ht="18" customHeight="1" x14ac:dyDescent="0.25">
      <c r="A246" s="11">
        <v>43397</v>
      </c>
      <c r="B246" s="5" t="s">
        <v>228</v>
      </c>
      <c r="C246" s="2" t="s">
        <v>0</v>
      </c>
      <c r="D246" s="20">
        <v>30000</v>
      </c>
      <c r="E246" s="20">
        <f t="shared" si="24"/>
        <v>19500</v>
      </c>
      <c r="F246" s="8">
        <f t="shared" si="25"/>
        <v>10500</v>
      </c>
      <c r="H246"/>
      <c r="I246"/>
    </row>
    <row r="247" spans="1:9" ht="18" customHeight="1" x14ac:dyDescent="0.25">
      <c r="A247" s="11">
        <v>43399</v>
      </c>
      <c r="B247" s="5" t="s">
        <v>230</v>
      </c>
      <c r="C247" s="2" t="s">
        <v>0</v>
      </c>
      <c r="D247" s="20">
        <v>38000</v>
      </c>
      <c r="E247" s="20">
        <f t="shared" si="24"/>
        <v>24700</v>
      </c>
      <c r="F247" s="8">
        <f t="shared" si="25"/>
        <v>13300</v>
      </c>
      <c r="H247"/>
      <c r="I247"/>
    </row>
    <row r="248" spans="1:9" ht="18" customHeight="1" x14ac:dyDescent="0.25">
      <c r="A248" s="11">
        <v>43399</v>
      </c>
      <c r="B248" s="5" t="s">
        <v>231</v>
      </c>
      <c r="C248" s="2" t="s">
        <v>0</v>
      </c>
      <c r="D248" s="20">
        <v>38000</v>
      </c>
      <c r="E248" s="20">
        <f t="shared" si="24"/>
        <v>24700</v>
      </c>
      <c r="F248" s="8">
        <f t="shared" si="25"/>
        <v>13300</v>
      </c>
      <c r="H248"/>
      <c r="I248"/>
    </row>
    <row r="249" spans="1:9" ht="18" customHeight="1" x14ac:dyDescent="0.25">
      <c r="A249" s="11">
        <v>43402</v>
      </c>
      <c r="B249" s="5" t="s">
        <v>233</v>
      </c>
      <c r="C249" s="2" t="s">
        <v>0</v>
      </c>
      <c r="D249" s="20">
        <v>38000</v>
      </c>
      <c r="E249" s="20">
        <f t="shared" si="24"/>
        <v>24700</v>
      </c>
      <c r="F249" s="8">
        <f t="shared" si="25"/>
        <v>13300</v>
      </c>
      <c r="H249"/>
      <c r="I249"/>
    </row>
    <row r="250" spans="1:9" ht="18" customHeight="1" x14ac:dyDescent="0.25">
      <c r="A250" s="11">
        <v>43403</v>
      </c>
      <c r="B250" s="5" t="s">
        <v>234</v>
      </c>
      <c r="C250" s="2" t="s">
        <v>57</v>
      </c>
      <c r="D250" s="20">
        <v>30000</v>
      </c>
      <c r="E250" s="20">
        <f t="shared" si="24"/>
        <v>19500</v>
      </c>
      <c r="F250" s="8">
        <f t="shared" si="25"/>
        <v>10500</v>
      </c>
      <c r="H250"/>
      <c r="I250"/>
    </row>
    <row r="251" spans="1:9" ht="18" customHeight="1" x14ac:dyDescent="0.25">
      <c r="A251" s="11">
        <v>43409</v>
      </c>
      <c r="B251" s="4" t="s">
        <v>244</v>
      </c>
      <c r="C251" s="2" t="s">
        <v>0</v>
      </c>
      <c r="D251" s="20">
        <v>19210</v>
      </c>
      <c r="E251" s="20">
        <f t="shared" si="24"/>
        <v>12486.5</v>
      </c>
      <c r="F251" s="8">
        <f t="shared" si="25"/>
        <v>6723.5</v>
      </c>
      <c r="H251"/>
      <c r="I251"/>
    </row>
    <row r="252" spans="1:9" ht="18" customHeight="1" x14ac:dyDescent="0.25">
      <c r="A252" s="11">
        <v>43416</v>
      </c>
      <c r="B252" s="4" t="s">
        <v>248</v>
      </c>
      <c r="C252" s="2" t="s">
        <v>11</v>
      </c>
      <c r="D252" s="20">
        <v>20445</v>
      </c>
      <c r="E252" s="20">
        <f t="shared" si="24"/>
        <v>13289.25</v>
      </c>
      <c r="F252" s="8">
        <f t="shared" si="25"/>
        <v>7155.75</v>
      </c>
      <c r="H252"/>
      <c r="I252"/>
    </row>
    <row r="253" spans="1:9" ht="18" customHeight="1" x14ac:dyDescent="0.25">
      <c r="A253" s="11">
        <v>43416</v>
      </c>
      <c r="B253" s="4" t="s">
        <v>249</v>
      </c>
      <c r="C253" s="2" t="s">
        <v>11</v>
      </c>
      <c r="D253" s="20">
        <v>20845</v>
      </c>
      <c r="E253" s="20">
        <f t="shared" si="24"/>
        <v>13549.25</v>
      </c>
      <c r="F253" s="8">
        <f t="shared" si="25"/>
        <v>7295.7499999999991</v>
      </c>
      <c r="H253"/>
      <c r="I253"/>
    </row>
    <row r="254" spans="1:9" ht="18" customHeight="1" x14ac:dyDescent="0.25">
      <c r="A254" s="11">
        <v>43417</v>
      </c>
      <c r="B254" s="5" t="s">
        <v>268</v>
      </c>
      <c r="C254" s="2" t="s">
        <v>0</v>
      </c>
      <c r="D254" s="20">
        <v>30000</v>
      </c>
      <c r="E254" s="20">
        <f t="shared" si="24"/>
        <v>19500</v>
      </c>
      <c r="F254" s="8">
        <f t="shared" si="25"/>
        <v>10500</v>
      </c>
      <c r="H254"/>
      <c r="I254"/>
    </row>
    <row r="255" spans="1:9" ht="18" customHeight="1" x14ac:dyDescent="0.25">
      <c r="A255" s="11">
        <v>43424</v>
      </c>
      <c r="B255" s="4" t="s">
        <v>251</v>
      </c>
      <c r="C255" s="2" t="s">
        <v>11</v>
      </c>
      <c r="D255" s="20">
        <v>37570</v>
      </c>
      <c r="E255" s="20">
        <f t="shared" si="24"/>
        <v>24420.5</v>
      </c>
      <c r="F255" s="8">
        <f t="shared" si="25"/>
        <v>13149.5</v>
      </c>
      <c r="H255"/>
      <c r="I255"/>
    </row>
    <row r="256" spans="1:9" ht="18" customHeight="1" x14ac:dyDescent="0.25">
      <c r="A256" s="11">
        <v>43424</v>
      </c>
      <c r="B256" s="5" t="s">
        <v>270</v>
      </c>
      <c r="C256" s="2" t="s">
        <v>0</v>
      </c>
      <c r="D256" s="20">
        <v>30000</v>
      </c>
      <c r="E256" s="20">
        <f t="shared" si="24"/>
        <v>19500</v>
      </c>
      <c r="F256" s="8">
        <f t="shared" si="25"/>
        <v>10500</v>
      </c>
      <c r="H256"/>
      <c r="I256"/>
    </row>
    <row r="257" spans="1:9" ht="18" customHeight="1" x14ac:dyDescent="0.25">
      <c r="A257" s="11">
        <v>43433</v>
      </c>
      <c r="B257" s="4" t="s">
        <v>256</v>
      </c>
      <c r="C257" s="2" t="s">
        <v>7</v>
      </c>
      <c r="D257" s="20">
        <v>17500</v>
      </c>
      <c r="E257" s="20">
        <f t="shared" si="24"/>
        <v>11375</v>
      </c>
      <c r="F257" s="8">
        <f t="shared" si="25"/>
        <v>6125</v>
      </c>
      <c r="H257"/>
      <c r="I257"/>
    </row>
    <row r="258" spans="1:9" x14ac:dyDescent="0.3">
      <c r="A258" s="11">
        <v>43434</v>
      </c>
      <c r="B258" s="5" t="s">
        <v>274</v>
      </c>
      <c r="C258" s="2" t="s">
        <v>11</v>
      </c>
      <c r="D258" s="20">
        <v>29500</v>
      </c>
      <c r="E258" s="20">
        <f t="shared" si="24"/>
        <v>19175</v>
      </c>
      <c r="F258" s="8">
        <f t="shared" si="25"/>
        <v>10325</v>
      </c>
    </row>
    <row r="259" spans="1:9" x14ac:dyDescent="0.3">
      <c r="A259" s="11">
        <v>43434</v>
      </c>
      <c r="B259" s="5" t="s">
        <v>275</v>
      </c>
      <c r="C259" s="2" t="s">
        <v>11</v>
      </c>
      <c r="D259" s="20">
        <v>29500</v>
      </c>
      <c r="E259" s="20">
        <f t="shared" si="24"/>
        <v>19175</v>
      </c>
      <c r="F259" s="8">
        <f t="shared" si="25"/>
        <v>10325</v>
      </c>
    </row>
    <row r="260" spans="1:9" ht="18" customHeight="1" x14ac:dyDescent="0.25">
      <c r="A260" s="11">
        <v>43438</v>
      </c>
      <c r="B260" s="5" t="s">
        <v>284</v>
      </c>
      <c r="C260" s="2" t="s">
        <v>0</v>
      </c>
      <c r="D260" s="20">
        <v>46000</v>
      </c>
      <c r="E260" s="20">
        <f t="shared" si="24"/>
        <v>29900</v>
      </c>
      <c r="F260" s="8">
        <f t="shared" si="25"/>
        <v>16099.999999999998</v>
      </c>
      <c r="H260"/>
      <c r="I260"/>
    </row>
    <row r="261" spans="1:9" ht="18" customHeight="1" x14ac:dyDescent="0.25">
      <c r="A261" s="11">
        <v>43440</v>
      </c>
      <c r="B261" s="4" t="s">
        <v>258</v>
      </c>
      <c r="C261" s="2" t="s">
        <v>7</v>
      </c>
      <c r="D261" s="20">
        <v>17500</v>
      </c>
      <c r="E261" s="20">
        <f t="shared" si="24"/>
        <v>11375</v>
      </c>
      <c r="F261" s="8">
        <f t="shared" si="25"/>
        <v>6125</v>
      </c>
      <c r="H261"/>
      <c r="I261"/>
    </row>
    <row r="262" spans="1:9" ht="18" customHeight="1" x14ac:dyDescent="0.25">
      <c r="A262" s="11">
        <v>43441</v>
      </c>
      <c r="B262" s="4" t="s">
        <v>260</v>
      </c>
      <c r="C262" s="2" t="s">
        <v>11</v>
      </c>
      <c r="D262" s="20">
        <v>39910</v>
      </c>
      <c r="E262" s="20">
        <f t="shared" si="24"/>
        <v>25941.5</v>
      </c>
      <c r="F262" s="8">
        <f t="shared" si="25"/>
        <v>13968.5</v>
      </c>
      <c r="H262"/>
      <c r="I262"/>
    </row>
    <row r="263" spans="1:9" ht="18" customHeight="1" x14ac:dyDescent="0.25">
      <c r="A263" s="11">
        <v>43444</v>
      </c>
      <c r="B263" s="4" t="s">
        <v>262</v>
      </c>
      <c r="C263" s="2" t="s">
        <v>7</v>
      </c>
      <c r="D263" s="20">
        <v>17258</v>
      </c>
      <c r="E263" s="20">
        <f t="shared" si="24"/>
        <v>11217.7</v>
      </c>
      <c r="F263" s="8">
        <f t="shared" si="25"/>
        <v>6040.2999999999993</v>
      </c>
      <c r="H263"/>
      <c r="I263"/>
    </row>
    <row r="264" spans="1:9" ht="18" customHeight="1" x14ac:dyDescent="0.25">
      <c r="A264" s="11">
        <v>43453</v>
      </c>
      <c r="B264" s="5" t="s">
        <v>291</v>
      </c>
      <c r="C264" s="2" t="s">
        <v>0</v>
      </c>
      <c r="D264" s="20">
        <v>31000</v>
      </c>
      <c r="E264" s="20">
        <f t="shared" si="24"/>
        <v>20150</v>
      </c>
      <c r="F264" s="8">
        <f t="shared" si="25"/>
        <v>10850</v>
      </c>
      <c r="H264"/>
      <c r="I264"/>
    </row>
    <row r="265" spans="1:9" ht="20.25" x14ac:dyDescent="0.4">
      <c r="C265" s="15" t="s">
        <v>9</v>
      </c>
      <c r="D265" s="23">
        <f>SUM(D233:D264)</f>
        <v>885496</v>
      </c>
      <c r="E265" s="24">
        <f>SUM(E233:E264)</f>
        <v>575572.39999999991</v>
      </c>
      <c r="F265" s="24">
        <f>SUM(F233:F264)</f>
        <v>309923.59999999998</v>
      </c>
      <c r="G265" s="27">
        <v>43495</v>
      </c>
    </row>
    <row r="269" spans="1:9" ht="18" customHeight="1" x14ac:dyDescent="0.25">
      <c r="H269"/>
      <c r="I269"/>
    </row>
    <row r="270" spans="1:9" ht="18" customHeight="1" x14ac:dyDescent="0.25">
      <c r="H270"/>
      <c r="I270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4"/>
  <sheetViews>
    <sheetView topLeftCell="A124" workbookViewId="0">
      <selection activeCell="B142" sqref="B142"/>
    </sheetView>
  </sheetViews>
  <sheetFormatPr defaultRowHeight="15" x14ac:dyDescent="0.25"/>
  <cols>
    <col min="1" max="1" width="11.28515625" style="2" customWidth="1"/>
    <col min="2" max="2" width="46.140625" customWidth="1"/>
    <col min="3" max="3" width="43.140625" style="2" customWidth="1"/>
    <col min="4" max="4" width="19.7109375" style="1" customWidth="1"/>
    <col min="5" max="5" width="18.28515625" customWidth="1"/>
    <col min="6" max="6" width="18.5703125" style="6" customWidth="1"/>
  </cols>
  <sheetData>
    <row r="1" spans="1:6" x14ac:dyDescent="0.25">
      <c r="A1" s="12"/>
      <c r="B1" t="s">
        <v>1</v>
      </c>
    </row>
    <row r="2" spans="1:6" x14ac:dyDescent="0.25">
      <c r="A2" s="13"/>
      <c r="B2" t="s">
        <v>2</v>
      </c>
    </row>
    <row r="3" spans="1:6" x14ac:dyDescent="0.25">
      <c r="A3" s="7"/>
      <c r="B3" s="6"/>
      <c r="C3" s="7"/>
      <c r="D3" s="8"/>
      <c r="E3" s="6"/>
    </row>
    <row r="4" spans="1:6" x14ac:dyDescent="0.25">
      <c r="B4" s="9" t="s">
        <v>3</v>
      </c>
      <c r="C4" s="9" t="s">
        <v>4</v>
      </c>
      <c r="D4" s="10" t="s">
        <v>5</v>
      </c>
      <c r="E4" s="3" t="s">
        <v>70</v>
      </c>
      <c r="F4" s="14" t="s">
        <v>6</v>
      </c>
    </row>
    <row r="5" spans="1:6" x14ac:dyDescent="0.25">
      <c r="B5" s="9"/>
      <c r="C5" s="9"/>
      <c r="D5" s="10"/>
      <c r="E5" s="3"/>
      <c r="F5" s="14"/>
    </row>
    <row r="6" spans="1:6" ht="18" customHeight="1" x14ac:dyDescent="0.25">
      <c r="A6" s="11">
        <v>43318</v>
      </c>
      <c r="B6" s="29" t="s">
        <v>180</v>
      </c>
      <c r="C6" s="2" t="s">
        <v>8</v>
      </c>
      <c r="D6" s="1">
        <v>106100</v>
      </c>
      <c r="E6" s="20">
        <f t="shared" ref="E6:E16" si="0">SUM(D6*0.65)</f>
        <v>68965</v>
      </c>
      <c r="F6" s="8">
        <f t="shared" ref="F6:F16" si="1">SUM(D6*0.35)</f>
        <v>37135</v>
      </c>
    </row>
    <row r="7" spans="1:6" ht="18" customHeight="1" x14ac:dyDescent="0.25">
      <c r="A7" s="11">
        <v>43389</v>
      </c>
      <c r="B7" s="4" t="s">
        <v>215</v>
      </c>
      <c r="C7" s="2" t="s">
        <v>57</v>
      </c>
      <c r="D7" s="1">
        <v>19790</v>
      </c>
      <c r="E7" s="20">
        <f t="shared" si="0"/>
        <v>12863.5</v>
      </c>
      <c r="F7" s="8">
        <f t="shared" si="1"/>
        <v>6926.5</v>
      </c>
    </row>
    <row r="8" spans="1:6" ht="18" customHeight="1" x14ac:dyDescent="0.25">
      <c r="A8" s="11">
        <v>43389</v>
      </c>
      <c r="B8" s="4" t="s">
        <v>216</v>
      </c>
      <c r="C8" s="2" t="s">
        <v>57</v>
      </c>
      <c r="D8" s="1">
        <v>27780</v>
      </c>
      <c r="E8" s="20">
        <f t="shared" si="0"/>
        <v>18057</v>
      </c>
      <c r="F8" s="8">
        <f t="shared" si="1"/>
        <v>9723</v>
      </c>
    </row>
    <row r="9" spans="1:6" ht="18" customHeight="1" x14ac:dyDescent="0.25">
      <c r="A9" s="11">
        <v>43371</v>
      </c>
      <c r="B9" s="5" t="s">
        <v>208</v>
      </c>
      <c r="C9" s="2" t="s">
        <v>0</v>
      </c>
      <c r="D9" s="1">
        <v>38000</v>
      </c>
      <c r="E9" s="20">
        <f t="shared" si="0"/>
        <v>24700</v>
      </c>
      <c r="F9" s="8">
        <f t="shared" si="1"/>
        <v>13300</v>
      </c>
    </row>
    <row r="10" spans="1:6" ht="18" customHeight="1" x14ac:dyDescent="0.25">
      <c r="A10" s="11">
        <v>43410</v>
      </c>
      <c r="B10" s="5" t="s">
        <v>236</v>
      </c>
      <c r="C10" s="2" t="s">
        <v>57</v>
      </c>
      <c r="D10" s="1">
        <v>25000</v>
      </c>
      <c r="E10" s="20">
        <f t="shared" si="0"/>
        <v>16250</v>
      </c>
      <c r="F10" s="8">
        <f t="shared" si="1"/>
        <v>8750</v>
      </c>
    </row>
    <row r="11" spans="1:6" ht="18" customHeight="1" x14ac:dyDescent="0.25">
      <c r="A11" s="11">
        <v>43410</v>
      </c>
      <c r="B11" s="5" t="s">
        <v>237</v>
      </c>
      <c r="C11" s="2" t="s">
        <v>11</v>
      </c>
      <c r="D11" s="1">
        <v>30000</v>
      </c>
      <c r="E11" s="20">
        <f t="shared" si="0"/>
        <v>19500</v>
      </c>
      <c r="F11" s="8">
        <f t="shared" si="1"/>
        <v>10500</v>
      </c>
    </row>
    <row r="12" spans="1:6" ht="18" customHeight="1" x14ac:dyDescent="0.25">
      <c r="A12" s="11">
        <v>43411</v>
      </c>
      <c r="B12" s="5" t="s">
        <v>238</v>
      </c>
      <c r="C12" s="2" t="s">
        <v>0</v>
      </c>
      <c r="D12" s="1">
        <v>30000</v>
      </c>
      <c r="E12" s="20">
        <f t="shared" si="0"/>
        <v>19500</v>
      </c>
      <c r="F12" s="8">
        <f t="shared" si="1"/>
        <v>10500</v>
      </c>
    </row>
    <row r="13" spans="1:6" ht="18" customHeight="1" x14ac:dyDescent="0.25">
      <c r="A13" s="11">
        <v>43424</v>
      </c>
      <c r="B13" s="4" t="s">
        <v>252</v>
      </c>
      <c r="C13" s="2" t="s">
        <v>11</v>
      </c>
      <c r="D13" s="1">
        <v>39570</v>
      </c>
      <c r="E13" s="20">
        <f t="shared" si="0"/>
        <v>25720.5</v>
      </c>
      <c r="F13" s="8">
        <f t="shared" si="1"/>
        <v>13849.5</v>
      </c>
    </row>
    <row r="14" spans="1:6" ht="18" customHeight="1" x14ac:dyDescent="0.25">
      <c r="A14" s="11">
        <v>43453</v>
      </c>
      <c r="B14" s="5" t="s">
        <v>290</v>
      </c>
      <c r="C14" s="2" t="s">
        <v>57</v>
      </c>
      <c r="D14" s="1">
        <v>30000</v>
      </c>
      <c r="E14" s="20">
        <f t="shared" si="0"/>
        <v>19500</v>
      </c>
      <c r="F14" s="8">
        <f t="shared" si="1"/>
        <v>10500</v>
      </c>
    </row>
    <row r="15" spans="1:6" ht="18" customHeight="1" x14ac:dyDescent="0.25">
      <c r="A15" s="11">
        <v>43469</v>
      </c>
      <c r="B15" s="4" t="s">
        <v>298</v>
      </c>
      <c r="C15" s="2" t="s">
        <v>0</v>
      </c>
      <c r="D15" s="1">
        <v>9806</v>
      </c>
      <c r="E15" s="20">
        <f t="shared" si="0"/>
        <v>6373.9000000000005</v>
      </c>
      <c r="F15" s="8">
        <f t="shared" si="1"/>
        <v>3432.1</v>
      </c>
    </row>
    <row r="16" spans="1:6" ht="18" customHeight="1" x14ac:dyDescent="0.25">
      <c r="A16" s="11">
        <v>43503</v>
      </c>
      <c r="B16" s="4" t="s">
        <v>306</v>
      </c>
      <c r="C16" s="2" t="s">
        <v>0</v>
      </c>
      <c r="D16" s="1">
        <v>37920</v>
      </c>
      <c r="E16" s="20">
        <f t="shared" si="0"/>
        <v>24648</v>
      </c>
      <c r="F16" s="8">
        <f t="shared" si="1"/>
        <v>13272</v>
      </c>
    </row>
    <row r="17" spans="1:9" ht="18" customHeight="1" x14ac:dyDescent="0.4">
      <c r="C17" s="15" t="s">
        <v>9</v>
      </c>
      <c r="D17" s="23">
        <f>SUM(D6:D16)</f>
        <v>393966</v>
      </c>
      <c r="E17" s="24">
        <f>SUM(E6:E16)</f>
        <v>256077.9</v>
      </c>
      <c r="F17" s="25">
        <f>SUM(F6:F16)</f>
        <v>137888.1</v>
      </c>
      <c r="G17" s="32">
        <v>43523</v>
      </c>
    </row>
    <row r="19" spans="1:9" ht="18" customHeight="1" x14ac:dyDescent="0.25">
      <c r="A19" s="11">
        <v>43315</v>
      </c>
      <c r="B19" s="29" t="s">
        <v>176</v>
      </c>
      <c r="C19" s="2" t="s">
        <v>11</v>
      </c>
      <c r="D19" s="1">
        <v>20700</v>
      </c>
      <c r="E19" s="20">
        <f>SUM(D19*0.65)</f>
        <v>13455</v>
      </c>
      <c r="F19" s="8">
        <f>SUM(D19*0.35)</f>
        <v>7244.9999999999991</v>
      </c>
    </row>
    <row r="20" spans="1:9" ht="18" customHeight="1" x14ac:dyDescent="0.25">
      <c r="A20" s="11">
        <v>43361</v>
      </c>
      <c r="B20" s="5" t="s">
        <v>203</v>
      </c>
      <c r="C20" s="2" t="s">
        <v>0</v>
      </c>
      <c r="D20" s="1">
        <v>70000</v>
      </c>
      <c r="E20" s="20">
        <f>SUM(D20*0.65)</f>
        <v>45500</v>
      </c>
      <c r="F20" s="8">
        <f>SUM(D20*0.35)</f>
        <v>24500</v>
      </c>
    </row>
    <row r="21" spans="1:9" ht="18" customHeight="1" x14ac:dyDescent="0.25">
      <c r="A21" s="11">
        <v>43397</v>
      </c>
      <c r="B21" s="4" t="s">
        <v>241</v>
      </c>
      <c r="C21" s="2" t="s">
        <v>11</v>
      </c>
      <c r="D21" s="1">
        <v>38500</v>
      </c>
      <c r="E21" s="20">
        <f t="shared" ref="E21:E37" si="2">SUM(D21*0.65)</f>
        <v>25025</v>
      </c>
      <c r="F21" s="8">
        <f t="shared" ref="F21:F37" si="3">SUM(D21*0.35)</f>
        <v>13475</v>
      </c>
    </row>
    <row r="22" spans="1:9" ht="18" customHeight="1" x14ac:dyDescent="0.25">
      <c r="A22" s="11">
        <v>43404</v>
      </c>
      <c r="B22" s="5" t="s">
        <v>235</v>
      </c>
      <c r="C22" s="2" t="s">
        <v>0</v>
      </c>
      <c r="D22" s="1">
        <v>38000</v>
      </c>
      <c r="E22" s="20">
        <f t="shared" si="2"/>
        <v>24700</v>
      </c>
      <c r="F22" s="8">
        <f t="shared" si="3"/>
        <v>13300</v>
      </c>
    </row>
    <row r="23" spans="1:9" ht="18" customHeight="1" x14ac:dyDescent="0.25">
      <c r="A23" s="11">
        <v>43411</v>
      </c>
      <c r="B23" s="4" t="s">
        <v>245</v>
      </c>
      <c r="C23" s="2" t="s">
        <v>57</v>
      </c>
      <c r="D23" s="1">
        <v>27350</v>
      </c>
      <c r="E23" s="20">
        <f>SUM(D23*0.65)</f>
        <v>17777.5</v>
      </c>
      <c r="F23" s="8">
        <f>SUM(D23*0.35)</f>
        <v>9572.5</v>
      </c>
    </row>
    <row r="24" spans="1:9" ht="18" customHeight="1" x14ac:dyDescent="0.25">
      <c r="A24" s="11">
        <v>43412</v>
      </c>
      <c r="B24" s="4" t="s">
        <v>246</v>
      </c>
      <c r="C24" s="2" t="s">
        <v>8</v>
      </c>
      <c r="D24" s="1">
        <v>17500</v>
      </c>
      <c r="E24" s="20">
        <f>SUM(D24*0.65)</f>
        <v>11375</v>
      </c>
      <c r="F24" s="8">
        <f>SUM(D24*0.35)</f>
        <v>6125</v>
      </c>
    </row>
    <row r="25" spans="1:9" ht="18" customHeight="1" x14ac:dyDescent="0.25">
      <c r="A25" s="11">
        <v>43417</v>
      </c>
      <c r="B25" s="5" t="s">
        <v>267</v>
      </c>
      <c r="C25" s="2" t="s">
        <v>0</v>
      </c>
      <c r="D25" s="1">
        <v>38000</v>
      </c>
      <c r="E25" s="20">
        <f t="shared" si="2"/>
        <v>24700</v>
      </c>
      <c r="F25" s="8">
        <f t="shared" si="3"/>
        <v>13300</v>
      </c>
    </row>
    <row r="26" spans="1:9" ht="18" customHeight="1" x14ac:dyDescent="0.25">
      <c r="A26" s="11">
        <v>43426</v>
      </c>
      <c r="B26" s="4" t="s">
        <v>253</v>
      </c>
      <c r="C26" s="2" t="s">
        <v>57</v>
      </c>
      <c r="D26" s="1">
        <v>15610</v>
      </c>
      <c r="E26" s="20">
        <f>SUM(D26*0.65)</f>
        <v>10146.5</v>
      </c>
      <c r="F26" s="8">
        <f>SUM(D26*0.35)</f>
        <v>5463.5</v>
      </c>
    </row>
    <row r="27" spans="1:9" ht="18.75" x14ac:dyDescent="0.3">
      <c r="A27" s="11">
        <v>43434</v>
      </c>
      <c r="B27" s="5" t="s">
        <v>283</v>
      </c>
      <c r="C27" s="2" t="s">
        <v>57</v>
      </c>
      <c r="D27" s="1">
        <v>35000</v>
      </c>
      <c r="E27" s="20">
        <f t="shared" si="2"/>
        <v>22750</v>
      </c>
      <c r="F27" s="8">
        <f t="shared" si="3"/>
        <v>12250</v>
      </c>
      <c r="H27" s="16"/>
      <c r="I27" s="18"/>
    </row>
    <row r="28" spans="1:9" ht="18.75" x14ac:dyDescent="0.3">
      <c r="A28" s="11">
        <v>43434</v>
      </c>
      <c r="B28" s="5" t="s">
        <v>280</v>
      </c>
      <c r="C28" s="2" t="s">
        <v>11</v>
      </c>
      <c r="D28" s="1">
        <v>29500</v>
      </c>
      <c r="E28" s="20">
        <f>SUM(D28*0.65)</f>
        <v>19175</v>
      </c>
      <c r="F28" s="8">
        <f>SUM(D28*0.35)</f>
        <v>10325</v>
      </c>
      <c r="H28" s="16"/>
      <c r="I28" s="18"/>
    </row>
    <row r="29" spans="1:9" ht="18.75" x14ac:dyDescent="0.3">
      <c r="A29" s="11">
        <v>43434</v>
      </c>
      <c r="B29" s="5" t="s">
        <v>281</v>
      </c>
      <c r="C29" s="2" t="s">
        <v>11</v>
      </c>
      <c r="D29" s="1">
        <v>29500</v>
      </c>
      <c r="E29" s="20">
        <f>SUM(D29*0.65)</f>
        <v>19175</v>
      </c>
      <c r="F29" s="8">
        <f>SUM(D29*0.35)</f>
        <v>10325</v>
      </c>
      <c r="H29" s="16"/>
      <c r="I29" s="18"/>
    </row>
    <row r="30" spans="1:9" ht="18.75" x14ac:dyDescent="0.3">
      <c r="A30" s="11">
        <v>43434</v>
      </c>
      <c r="B30" s="5" t="s">
        <v>282</v>
      </c>
      <c r="C30" s="2" t="s">
        <v>11</v>
      </c>
      <c r="D30" s="1">
        <v>29500</v>
      </c>
      <c r="E30" s="20">
        <f>SUM(D30*0.65)</f>
        <v>19175</v>
      </c>
      <c r="F30" s="8">
        <f>SUM(D30*0.35)</f>
        <v>10325</v>
      </c>
      <c r="H30" s="16"/>
      <c r="I30" s="18"/>
    </row>
    <row r="31" spans="1:9" ht="18" customHeight="1" x14ac:dyDescent="0.25">
      <c r="A31" s="11">
        <v>43444</v>
      </c>
      <c r="B31" s="5" t="s">
        <v>286</v>
      </c>
      <c r="C31" s="2" t="s">
        <v>57</v>
      </c>
      <c r="D31" s="1">
        <v>20000</v>
      </c>
      <c r="E31" s="20">
        <f t="shared" si="2"/>
        <v>13000</v>
      </c>
      <c r="F31" s="8">
        <f t="shared" si="3"/>
        <v>7000</v>
      </c>
    </row>
    <row r="32" spans="1:9" ht="18" customHeight="1" x14ac:dyDescent="0.25">
      <c r="A32" s="11">
        <v>43445</v>
      </c>
      <c r="B32" s="4" t="s">
        <v>264</v>
      </c>
      <c r="C32" s="2" t="s">
        <v>8</v>
      </c>
      <c r="D32" s="1">
        <v>17425</v>
      </c>
      <c r="E32" s="20">
        <f t="shared" si="2"/>
        <v>11326.25</v>
      </c>
      <c r="F32" s="8">
        <f t="shared" si="3"/>
        <v>6098.75</v>
      </c>
    </row>
    <row r="33" spans="1:7" ht="18" customHeight="1" x14ac:dyDescent="0.25">
      <c r="A33" s="11">
        <v>43453</v>
      </c>
      <c r="B33" s="5" t="s">
        <v>289</v>
      </c>
      <c r="C33" s="2" t="s">
        <v>57</v>
      </c>
      <c r="D33" s="1">
        <v>30000</v>
      </c>
      <c r="E33" s="20">
        <f>SUM(D33*0.65)</f>
        <v>19500</v>
      </c>
      <c r="F33" s="8">
        <f>SUM(D33*0.35)</f>
        <v>10500</v>
      </c>
    </row>
    <row r="34" spans="1:7" ht="18" customHeight="1" x14ac:dyDescent="0.25">
      <c r="A34" s="11">
        <v>43474</v>
      </c>
      <c r="B34" s="5" t="s">
        <v>293</v>
      </c>
      <c r="C34" s="2" t="s">
        <v>0</v>
      </c>
      <c r="D34" s="1">
        <v>37000</v>
      </c>
      <c r="E34" s="20">
        <f t="shared" si="2"/>
        <v>24050</v>
      </c>
      <c r="F34" s="8">
        <f t="shared" si="3"/>
        <v>12950</v>
      </c>
    </row>
    <row r="35" spans="1:7" ht="18" customHeight="1" x14ac:dyDescent="0.25">
      <c r="A35" s="11">
        <v>43475</v>
      </c>
      <c r="B35" s="5" t="s">
        <v>295</v>
      </c>
      <c r="C35" s="2" t="s">
        <v>0</v>
      </c>
      <c r="D35" s="1">
        <v>35000</v>
      </c>
      <c r="E35" s="20">
        <f t="shared" si="2"/>
        <v>22750</v>
      </c>
      <c r="F35" s="8">
        <f t="shared" si="3"/>
        <v>12250</v>
      </c>
    </row>
    <row r="36" spans="1:7" ht="18" customHeight="1" x14ac:dyDescent="0.25">
      <c r="A36" s="11">
        <v>43489</v>
      </c>
      <c r="B36" s="5" t="s">
        <v>301</v>
      </c>
      <c r="C36" s="2" t="s">
        <v>0</v>
      </c>
      <c r="D36" s="1">
        <v>41000</v>
      </c>
      <c r="E36" s="20">
        <f t="shared" si="2"/>
        <v>26650</v>
      </c>
      <c r="F36" s="8">
        <f t="shared" si="3"/>
        <v>14349.999999999998</v>
      </c>
    </row>
    <row r="37" spans="1:7" ht="18" customHeight="1" x14ac:dyDescent="0.25">
      <c r="A37" s="11">
        <v>43489</v>
      </c>
      <c r="B37" s="4" t="s">
        <v>305</v>
      </c>
      <c r="C37" s="2" t="s">
        <v>11</v>
      </c>
      <c r="D37" s="1">
        <v>37500</v>
      </c>
      <c r="E37" s="20">
        <f t="shared" si="2"/>
        <v>24375</v>
      </c>
      <c r="F37" s="8">
        <f t="shared" si="3"/>
        <v>13125</v>
      </c>
    </row>
    <row r="38" spans="1:7" ht="19.5" x14ac:dyDescent="0.4">
      <c r="C38" s="15" t="s">
        <v>9</v>
      </c>
      <c r="D38" s="23">
        <f>SUM(D19:D37)</f>
        <v>607085</v>
      </c>
      <c r="E38" s="24">
        <f>SUM(E19:E37)</f>
        <v>394605.25</v>
      </c>
      <c r="F38" s="25">
        <f>SUM(F19:F37)</f>
        <v>212479.75</v>
      </c>
      <c r="G38" s="32">
        <v>43552</v>
      </c>
    </row>
    <row r="40" spans="1:7" ht="18" customHeight="1" x14ac:dyDescent="0.25">
      <c r="A40" s="11">
        <v>43223</v>
      </c>
      <c r="B40" s="5" t="s">
        <v>135</v>
      </c>
      <c r="C40" s="2" t="s">
        <v>11</v>
      </c>
      <c r="D40" s="1">
        <v>70000</v>
      </c>
      <c r="E40" s="20">
        <f t="shared" ref="E40:E48" si="4">SUM(D40*0.65)</f>
        <v>45500</v>
      </c>
      <c r="F40" s="8">
        <f t="shared" ref="F40:F48" si="5">SUM(D40*0.35)</f>
        <v>24500</v>
      </c>
    </row>
    <row r="41" spans="1:7" ht="18" customHeight="1" x14ac:dyDescent="0.25">
      <c r="A41" s="11">
        <v>43475</v>
      </c>
      <c r="B41" s="5" t="s">
        <v>294</v>
      </c>
      <c r="C41" s="2" t="s">
        <v>11</v>
      </c>
      <c r="D41" s="1">
        <v>48000</v>
      </c>
      <c r="E41" s="20">
        <f t="shared" si="4"/>
        <v>31200</v>
      </c>
      <c r="F41" s="8">
        <f t="shared" si="5"/>
        <v>16800</v>
      </c>
    </row>
    <row r="42" spans="1:7" ht="18" customHeight="1" x14ac:dyDescent="0.25">
      <c r="A42" s="11">
        <v>43496</v>
      </c>
      <c r="B42" s="5" t="s">
        <v>303</v>
      </c>
      <c r="C42" s="2" t="s">
        <v>11</v>
      </c>
      <c r="D42" s="1">
        <v>40000</v>
      </c>
      <c r="E42" s="20">
        <f t="shared" si="4"/>
        <v>26000</v>
      </c>
      <c r="F42" s="8">
        <f t="shared" si="5"/>
        <v>14000</v>
      </c>
    </row>
    <row r="43" spans="1:7" ht="18" customHeight="1" x14ac:dyDescent="0.25">
      <c r="A43" s="11">
        <v>43514</v>
      </c>
      <c r="B43" s="4" t="s">
        <v>311</v>
      </c>
      <c r="C43" s="2" t="s">
        <v>0</v>
      </c>
      <c r="D43" s="1">
        <v>41250</v>
      </c>
      <c r="E43" s="20">
        <f t="shared" si="4"/>
        <v>26812.5</v>
      </c>
      <c r="F43" s="8">
        <f t="shared" si="5"/>
        <v>14437.499999999998</v>
      </c>
    </row>
    <row r="44" spans="1:7" ht="18" customHeight="1" x14ac:dyDescent="0.25">
      <c r="A44" s="11">
        <v>43515</v>
      </c>
      <c r="B44" s="5" t="s">
        <v>312</v>
      </c>
      <c r="C44" s="2" t="s">
        <v>0</v>
      </c>
      <c r="D44" s="1">
        <v>34500</v>
      </c>
      <c r="E44" s="20">
        <f t="shared" si="4"/>
        <v>22425</v>
      </c>
      <c r="F44" s="8">
        <f t="shared" si="5"/>
        <v>12075</v>
      </c>
    </row>
    <row r="45" spans="1:7" ht="18" customHeight="1" x14ac:dyDescent="0.25">
      <c r="A45" s="11">
        <v>43529</v>
      </c>
      <c r="B45" s="5" t="s">
        <v>313</v>
      </c>
      <c r="C45" s="2" t="s">
        <v>0</v>
      </c>
      <c r="D45" s="1">
        <v>24500</v>
      </c>
      <c r="E45" s="20">
        <f t="shared" si="4"/>
        <v>15925</v>
      </c>
      <c r="F45" s="8">
        <f t="shared" si="5"/>
        <v>8575</v>
      </c>
    </row>
    <row r="46" spans="1:7" ht="18" customHeight="1" x14ac:dyDescent="0.25">
      <c r="A46" s="11">
        <v>43536</v>
      </c>
      <c r="B46" s="5" t="s">
        <v>316</v>
      </c>
      <c r="C46" s="2" t="s">
        <v>8</v>
      </c>
      <c r="D46" s="1">
        <v>15000</v>
      </c>
      <c r="E46" s="20">
        <f t="shared" si="4"/>
        <v>9750</v>
      </c>
      <c r="F46" s="8">
        <f t="shared" si="5"/>
        <v>5250</v>
      </c>
    </row>
    <row r="47" spans="1:7" ht="18" customHeight="1" x14ac:dyDescent="0.25">
      <c r="A47" s="11">
        <v>43536</v>
      </c>
      <c r="B47" s="5" t="s">
        <v>317</v>
      </c>
      <c r="C47" s="2" t="s">
        <v>0</v>
      </c>
      <c r="D47" s="1">
        <v>48000</v>
      </c>
      <c r="E47" s="20">
        <f t="shared" si="4"/>
        <v>31200</v>
      </c>
      <c r="F47" s="8">
        <f t="shared" si="5"/>
        <v>16800</v>
      </c>
    </row>
    <row r="48" spans="1:7" ht="18" customHeight="1" x14ac:dyDescent="0.25">
      <c r="A48" s="11">
        <v>43546</v>
      </c>
      <c r="B48" s="5" t="s">
        <v>318</v>
      </c>
      <c r="C48" s="2" t="s">
        <v>11</v>
      </c>
      <c r="D48" s="1">
        <v>29500</v>
      </c>
      <c r="E48" s="20">
        <f t="shared" si="4"/>
        <v>19175</v>
      </c>
      <c r="F48" s="8">
        <f t="shared" si="5"/>
        <v>10325</v>
      </c>
    </row>
    <row r="49" spans="1:7" ht="19.5" x14ac:dyDescent="0.4">
      <c r="C49" s="15" t="s">
        <v>9</v>
      </c>
      <c r="D49" s="23">
        <f>SUM(D40:D48)</f>
        <v>350750</v>
      </c>
      <c r="E49" s="24">
        <f>SUM(E40:E48)</f>
        <v>227987.5</v>
      </c>
      <c r="F49" s="25">
        <f>SUM(F40:F48)</f>
        <v>122762.5</v>
      </c>
      <c r="G49" s="32">
        <v>43581</v>
      </c>
    </row>
    <row r="51" spans="1:7" ht="18" customHeight="1" x14ac:dyDescent="0.25">
      <c r="A51" s="11">
        <v>43397</v>
      </c>
      <c r="B51" s="5" t="s">
        <v>229</v>
      </c>
      <c r="C51" s="2" t="s">
        <v>57</v>
      </c>
      <c r="D51" s="1">
        <v>30000</v>
      </c>
      <c r="E51" s="20">
        <f t="shared" ref="E51:E62" si="6">SUM(D51*0.65)</f>
        <v>19500</v>
      </c>
      <c r="F51" s="8">
        <f t="shared" ref="F51:F62" si="7">SUM(D51*0.35)</f>
        <v>10500</v>
      </c>
    </row>
    <row r="52" spans="1:7" ht="18" customHeight="1" x14ac:dyDescent="0.25">
      <c r="A52" s="11">
        <v>43426</v>
      </c>
      <c r="B52" s="4" t="s">
        <v>254</v>
      </c>
      <c r="C52" s="2" t="s">
        <v>57</v>
      </c>
      <c r="D52" s="1">
        <v>14600</v>
      </c>
      <c r="E52" s="20">
        <f t="shared" si="6"/>
        <v>9490</v>
      </c>
      <c r="F52" s="8">
        <f t="shared" si="7"/>
        <v>5110</v>
      </c>
    </row>
    <row r="53" spans="1:7" ht="18" customHeight="1" x14ac:dyDescent="0.25">
      <c r="A53" s="11">
        <v>43445</v>
      </c>
      <c r="B53" s="4" t="s">
        <v>265</v>
      </c>
      <c r="C53" s="2" t="s">
        <v>8</v>
      </c>
      <c r="D53" s="1">
        <v>10126</v>
      </c>
      <c r="E53" s="20">
        <f t="shared" si="6"/>
        <v>6581.9000000000005</v>
      </c>
      <c r="F53" s="8">
        <f t="shared" si="7"/>
        <v>3544.1</v>
      </c>
    </row>
    <row r="54" spans="1:7" ht="18" customHeight="1" x14ac:dyDescent="0.25">
      <c r="A54" s="11">
        <v>43482</v>
      </c>
      <c r="B54" s="5" t="s">
        <v>296</v>
      </c>
      <c r="C54" s="2" t="s">
        <v>57</v>
      </c>
      <c r="D54" s="1">
        <v>68000</v>
      </c>
      <c r="E54" s="20">
        <f t="shared" si="6"/>
        <v>44200</v>
      </c>
      <c r="F54" s="8">
        <f t="shared" si="7"/>
        <v>23800</v>
      </c>
    </row>
    <row r="55" spans="1:7" ht="18" customHeight="1" x14ac:dyDescent="0.25">
      <c r="A55" s="11">
        <v>43451</v>
      </c>
      <c r="B55" s="4" t="s">
        <v>287</v>
      </c>
      <c r="C55" s="2" t="s">
        <v>0</v>
      </c>
      <c r="D55" s="1">
        <v>50000</v>
      </c>
      <c r="E55" s="20">
        <f t="shared" si="6"/>
        <v>32500</v>
      </c>
      <c r="F55" s="8">
        <f t="shared" si="7"/>
        <v>17500</v>
      </c>
    </row>
    <row r="56" spans="1:7" ht="18" customHeight="1" x14ac:dyDescent="0.25">
      <c r="A56" s="11">
        <v>43452</v>
      </c>
      <c r="B56" s="5" t="s">
        <v>292</v>
      </c>
      <c r="C56" s="2" t="s">
        <v>7</v>
      </c>
      <c r="D56" s="1">
        <v>20000</v>
      </c>
      <c r="E56" s="20">
        <f t="shared" si="6"/>
        <v>13000</v>
      </c>
      <c r="F56" s="8">
        <f t="shared" si="7"/>
        <v>7000</v>
      </c>
    </row>
    <row r="57" spans="1:7" ht="18" customHeight="1" x14ac:dyDescent="0.25">
      <c r="A57" s="11">
        <v>43488</v>
      </c>
      <c r="B57" s="5" t="s">
        <v>300</v>
      </c>
      <c r="C57" s="2" t="s">
        <v>299</v>
      </c>
      <c r="D57" s="1">
        <v>194500</v>
      </c>
      <c r="E57" s="20">
        <f t="shared" si="6"/>
        <v>126425</v>
      </c>
      <c r="F57" s="8">
        <f t="shared" si="7"/>
        <v>68075</v>
      </c>
    </row>
    <row r="58" spans="1:7" ht="18" customHeight="1" x14ac:dyDescent="0.25">
      <c r="A58" s="11">
        <v>43503</v>
      </c>
      <c r="B58" s="5" t="s">
        <v>308</v>
      </c>
      <c r="C58" s="2" t="s">
        <v>0</v>
      </c>
      <c r="D58" s="1">
        <v>35500</v>
      </c>
      <c r="E58" s="20">
        <f t="shared" si="6"/>
        <v>23075</v>
      </c>
      <c r="F58" s="8">
        <f t="shared" si="7"/>
        <v>12425</v>
      </c>
    </row>
    <row r="59" spans="1:7" ht="18" customHeight="1" x14ac:dyDescent="0.25">
      <c r="A59" s="11">
        <v>43565</v>
      </c>
      <c r="B59" s="4" t="s">
        <v>320</v>
      </c>
      <c r="C59" s="2" t="s">
        <v>0</v>
      </c>
      <c r="D59" s="1">
        <v>9316</v>
      </c>
      <c r="E59" s="20">
        <f t="shared" si="6"/>
        <v>6055.4000000000005</v>
      </c>
      <c r="F59" s="8">
        <f t="shared" si="7"/>
        <v>3260.6</v>
      </c>
    </row>
    <row r="60" spans="1:7" ht="18" customHeight="1" x14ac:dyDescent="0.25">
      <c r="A60" s="11">
        <v>43579</v>
      </c>
      <c r="B60" s="4" t="s">
        <v>339</v>
      </c>
      <c r="C60" s="2" t="s">
        <v>7</v>
      </c>
      <c r="D60" s="1">
        <v>10292</v>
      </c>
      <c r="E60" s="20">
        <f t="shared" si="6"/>
        <v>6689.8</v>
      </c>
      <c r="F60" s="8">
        <f t="shared" si="7"/>
        <v>3602.2</v>
      </c>
    </row>
    <row r="61" spans="1:7" x14ac:dyDescent="0.25">
      <c r="A61" s="11">
        <v>43580</v>
      </c>
      <c r="B61" s="5" t="s">
        <v>325</v>
      </c>
      <c r="C61" s="2" t="s">
        <v>11</v>
      </c>
      <c r="D61" s="1">
        <v>29500</v>
      </c>
      <c r="E61" s="20">
        <f t="shared" si="6"/>
        <v>19175</v>
      </c>
      <c r="F61" s="8">
        <f t="shared" si="7"/>
        <v>10325</v>
      </c>
    </row>
    <row r="62" spans="1:7" x14ac:dyDescent="0.25">
      <c r="A62" s="11">
        <v>43580</v>
      </c>
      <c r="B62" s="5" t="s">
        <v>326</v>
      </c>
      <c r="C62" s="2" t="s">
        <v>11</v>
      </c>
      <c r="D62" s="1">
        <v>29500</v>
      </c>
      <c r="E62" s="20">
        <f t="shared" si="6"/>
        <v>19175</v>
      </c>
      <c r="F62" s="8">
        <f t="shared" si="7"/>
        <v>10325</v>
      </c>
    </row>
    <row r="63" spans="1:7" ht="18" customHeight="1" x14ac:dyDescent="0.25">
      <c r="A63" s="11">
        <v>43594</v>
      </c>
      <c r="B63" s="5" t="s">
        <v>336</v>
      </c>
      <c r="C63" s="2" t="s">
        <v>0</v>
      </c>
      <c r="D63" s="1">
        <v>69000</v>
      </c>
      <c r="E63" s="20">
        <f>SUM(D63*0.65)</f>
        <v>44850</v>
      </c>
      <c r="F63" s="8">
        <f>SUM(D63*0.35)</f>
        <v>24150</v>
      </c>
    </row>
    <row r="64" spans="1:7" ht="19.5" x14ac:dyDescent="0.4">
      <c r="C64" s="15" t="s">
        <v>9</v>
      </c>
      <c r="D64" s="23">
        <f>SUM(D51:D63)</f>
        <v>570334</v>
      </c>
      <c r="E64" s="24">
        <f>SUM(E51:E63)</f>
        <v>370717.10000000003</v>
      </c>
      <c r="F64" s="25">
        <f>SUM(F51:F63)</f>
        <v>199616.90000000002</v>
      </c>
      <c r="G64" s="33">
        <v>43614</v>
      </c>
    </row>
    <row r="66" spans="1:9" ht="18.75" x14ac:dyDescent="0.3">
      <c r="A66" s="31">
        <v>43434</v>
      </c>
      <c r="B66" s="5" t="s">
        <v>276</v>
      </c>
      <c r="C66" s="2" t="s">
        <v>11</v>
      </c>
      <c r="D66" s="1">
        <v>29500</v>
      </c>
      <c r="E66" s="20">
        <f t="shared" ref="E66:E86" si="8">SUM(D66*0.65)</f>
        <v>19175</v>
      </c>
      <c r="F66" s="8">
        <f t="shared" ref="F66:F86" si="9">SUM(D66*0.35)</f>
        <v>10325</v>
      </c>
      <c r="H66" s="16"/>
      <c r="I66" s="18"/>
    </row>
    <row r="67" spans="1:9" ht="18.75" x14ac:dyDescent="0.3">
      <c r="A67" s="31">
        <v>43434</v>
      </c>
      <c r="B67" s="5" t="s">
        <v>277</v>
      </c>
      <c r="C67" s="2" t="s">
        <v>11</v>
      </c>
      <c r="D67" s="1">
        <v>29500</v>
      </c>
      <c r="E67" s="20">
        <f t="shared" si="8"/>
        <v>19175</v>
      </c>
      <c r="F67" s="8">
        <f t="shared" si="9"/>
        <v>10325</v>
      </c>
      <c r="H67" s="16"/>
      <c r="I67" s="18"/>
    </row>
    <row r="68" spans="1:9" ht="18.75" x14ac:dyDescent="0.3">
      <c r="A68" s="31">
        <v>43434</v>
      </c>
      <c r="B68" s="5" t="s">
        <v>278</v>
      </c>
      <c r="C68" s="2" t="s">
        <v>11</v>
      </c>
      <c r="D68" s="1">
        <v>29500</v>
      </c>
      <c r="E68" s="20">
        <f t="shared" si="8"/>
        <v>19175</v>
      </c>
      <c r="F68" s="8">
        <f t="shared" si="9"/>
        <v>10325</v>
      </c>
      <c r="H68" s="16"/>
      <c r="I68" s="18"/>
    </row>
    <row r="69" spans="1:9" ht="18.75" x14ac:dyDescent="0.3">
      <c r="A69" s="31">
        <v>43434</v>
      </c>
      <c r="B69" s="5" t="s">
        <v>279</v>
      </c>
      <c r="C69" s="2" t="s">
        <v>11</v>
      </c>
      <c r="D69" s="1">
        <v>29500</v>
      </c>
      <c r="E69" s="20">
        <f t="shared" si="8"/>
        <v>19175</v>
      </c>
      <c r="F69" s="8">
        <f t="shared" si="9"/>
        <v>10325</v>
      </c>
      <c r="H69" s="16"/>
      <c r="I69" s="18"/>
    </row>
    <row r="70" spans="1:9" ht="18" customHeight="1" x14ac:dyDescent="0.25">
      <c r="A70" s="31">
        <v>43441</v>
      </c>
      <c r="B70" s="5" t="s">
        <v>285</v>
      </c>
      <c r="C70" s="2" t="s">
        <v>7</v>
      </c>
      <c r="D70" s="1">
        <v>20000</v>
      </c>
      <c r="E70" s="20">
        <f t="shared" si="8"/>
        <v>13000</v>
      </c>
      <c r="F70" s="8">
        <f t="shared" si="9"/>
        <v>7000</v>
      </c>
    </row>
    <row r="71" spans="1:9" ht="18" customHeight="1" x14ac:dyDescent="0.25">
      <c r="A71" s="31">
        <v>43444</v>
      </c>
      <c r="B71" s="4" t="s">
        <v>261</v>
      </c>
      <c r="C71" s="2" t="s">
        <v>11</v>
      </c>
      <c r="D71" s="1">
        <v>37500</v>
      </c>
      <c r="E71" s="20">
        <f t="shared" si="8"/>
        <v>24375</v>
      </c>
      <c r="F71" s="8">
        <f t="shared" si="9"/>
        <v>13125</v>
      </c>
    </row>
    <row r="72" spans="1:9" ht="18" customHeight="1" x14ac:dyDescent="0.25">
      <c r="A72" s="31">
        <v>43451</v>
      </c>
      <c r="B72" s="5" t="s">
        <v>288</v>
      </c>
      <c r="C72" s="2" t="s">
        <v>7</v>
      </c>
      <c r="D72" s="1">
        <v>20000</v>
      </c>
      <c r="E72" s="20">
        <f t="shared" si="8"/>
        <v>13000</v>
      </c>
      <c r="F72" s="8">
        <f t="shared" si="9"/>
        <v>7000</v>
      </c>
    </row>
    <row r="73" spans="1:9" x14ac:dyDescent="0.25">
      <c r="A73" s="11">
        <v>43607</v>
      </c>
      <c r="B73" s="4" t="s">
        <v>348</v>
      </c>
      <c r="C73" s="2" t="s">
        <v>0</v>
      </c>
      <c r="D73" s="1">
        <v>7262</v>
      </c>
      <c r="E73" s="20">
        <f t="shared" si="8"/>
        <v>4720.3</v>
      </c>
      <c r="F73" s="8">
        <f t="shared" si="9"/>
        <v>2541.6999999999998</v>
      </c>
    </row>
    <row r="74" spans="1:9" ht="18" customHeight="1" x14ac:dyDescent="0.25">
      <c r="A74" s="11">
        <v>43581</v>
      </c>
      <c r="B74" s="4" t="s">
        <v>340</v>
      </c>
      <c r="C74" s="2" t="s">
        <v>7</v>
      </c>
      <c r="D74" s="1">
        <v>13313</v>
      </c>
      <c r="E74" s="20">
        <f t="shared" si="8"/>
        <v>8653.4500000000007</v>
      </c>
      <c r="F74" s="8">
        <f t="shared" si="9"/>
        <v>4659.5499999999993</v>
      </c>
    </row>
    <row r="75" spans="1:9" ht="18" customHeight="1" x14ac:dyDescent="0.25">
      <c r="A75" s="11">
        <v>43587</v>
      </c>
      <c r="B75" s="5" t="s">
        <v>333</v>
      </c>
      <c r="C75" s="2" t="s">
        <v>11</v>
      </c>
      <c r="D75" s="1">
        <v>29500</v>
      </c>
      <c r="E75" s="20">
        <f t="shared" si="8"/>
        <v>19175</v>
      </c>
      <c r="F75" s="8">
        <f t="shared" si="9"/>
        <v>10325</v>
      </c>
    </row>
    <row r="76" spans="1:9" ht="18" customHeight="1" x14ac:dyDescent="0.25">
      <c r="A76" s="11">
        <v>43587</v>
      </c>
      <c r="B76" s="4" t="s">
        <v>341</v>
      </c>
      <c r="C76" s="2" t="s">
        <v>57</v>
      </c>
      <c r="D76" s="1">
        <v>22866</v>
      </c>
      <c r="E76" s="20">
        <f t="shared" si="8"/>
        <v>14862.9</v>
      </c>
      <c r="F76" s="8">
        <f t="shared" si="9"/>
        <v>8003.0999999999995</v>
      </c>
    </row>
    <row r="77" spans="1:9" ht="18" customHeight="1" x14ac:dyDescent="0.25">
      <c r="A77" s="11">
        <v>43592</v>
      </c>
      <c r="B77" s="5" t="s">
        <v>334</v>
      </c>
      <c r="C77" s="2" t="s">
        <v>11</v>
      </c>
      <c r="D77" s="1">
        <v>29500</v>
      </c>
      <c r="E77" s="20">
        <f t="shared" si="8"/>
        <v>19175</v>
      </c>
      <c r="F77" s="8">
        <f t="shared" si="9"/>
        <v>10325</v>
      </c>
    </row>
    <row r="78" spans="1:9" ht="18" customHeight="1" x14ac:dyDescent="0.25">
      <c r="A78" s="11">
        <v>43592</v>
      </c>
      <c r="B78" s="5" t="s">
        <v>335</v>
      </c>
      <c r="C78" s="2" t="s">
        <v>11</v>
      </c>
      <c r="D78" s="1">
        <v>29500</v>
      </c>
      <c r="E78" s="20">
        <f t="shared" si="8"/>
        <v>19175</v>
      </c>
      <c r="F78" s="8">
        <f t="shared" si="9"/>
        <v>10325</v>
      </c>
    </row>
    <row r="79" spans="1:9" ht="18" customHeight="1" x14ac:dyDescent="0.25">
      <c r="A79" s="11">
        <v>43594</v>
      </c>
      <c r="B79" s="5" t="s">
        <v>337</v>
      </c>
      <c r="C79" s="2" t="s">
        <v>338</v>
      </c>
      <c r="D79" s="1">
        <v>65000</v>
      </c>
      <c r="E79" s="20">
        <f t="shared" si="8"/>
        <v>42250</v>
      </c>
      <c r="F79" s="8">
        <f t="shared" si="9"/>
        <v>22750</v>
      </c>
    </row>
    <row r="80" spans="1:9" ht="18" customHeight="1" x14ac:dyDescent="0.25">
      <c r="A80" s="11">
        <v>43599</v>
      </c>
      <c r="B80" s="4" t="s">
        <v>343</v>
      </c>
      <c r="C80" s="2" t="s">
        <v>0</v>
      </c>
      <c r="D80" s="1">
        <v>13483</v>
      </c>
      <c r="E80" s="20">
        <f t="shared" si="8"/>
        <v>8763.9500000000007</v>
      </c>
      <c r="F80" s="8">
        <f t="shared" si="9"/>
        <v>4719.0499999999993</v>
      </c>
    </row>
    <row r="81" spans="1:7" ht="18" customHeight="1" x14ac:dyDescent="0.25">
      <c r="A81" s="11">
        <v>43599</v>
      </c>
      <c r="B81" s="4" t="s">
        <v>344</v>
      </c>
      <c r="C81" s="2" t="s">
        <v>0</v>
      </c>
      <c r="D81" s="1">
        <v>13483</v>
      </c>
      <c r="E81" s="20">
        <f t="shared" si="8"/>
        <v>8763.9500000000007</v>
      </c>
      <c r="F81" s="8">
        <f t="shared" si="9"/>
        <v>4719.0499999999993</v>
      </c>
    </row>
    <row r="82" spans="1:7" ht="18" customHeight="1" x14ac:dyDescent="0.25">
      <c r="A82" s="11">
        <v>43599</v>
      </c>
      <c r="B82" s="4" t="s">
        <v>345</v>
      </c>
      <c r="C82" s="2" t="s">
        <v>0</v>
      </c>
      <c r="D82" s="1">
        <v>13483</v>
      </c>
      <c r="E82" s="20">
        <f t="shared" si="8"/>
        <v>8763.9500000000007</v>
      </c>
      <c r="F82" s="8">
        <f t="shared" si="9"/>
        <v>4719.0499999999993</v>
      </c>
    </row>
    <row r="83" spans="1:7" ht="18" customHeight="1" x14ac:dyDescent="0.25">
      <c r="A83" s="11">
        <v>43613</v>
      </c>
      <c r="B83" s="5" t="s">
        <v>350</v>
      </c>
      <c r="C83" s="2" t="s">
        <v>11</v>
      </c>
      <c r="D83" s="1">
        <v>29500</v>
      </c>
      <c r="E83" s="20">
        <f t="shared" si="8"/>
        <v>19175</v>
      </c>
      <c r="F83" s="8">
        <f t="shared" si="9"/>
        <v>10325</v>
      </c>
    </row>
    <row r="84" spans="1:7" ht="18" customHeight="1" x14ac:dyDescent="0.25">
      <c r="A84" s="11">
        <v>43613</v>
      </c>
      <c r="B84" s="5" t="s">
        <v>351</v>
      </c>
      <c r="C84" s="2" t="s">
        <v>11</v>
      </c>
      <c r="D84" s="1">
        <v>29500</v>
      </c>
      <c r="E84" s="20">
        <f t="shared" si="8"/>
        <v>19175</v>
      </c>
      <c r="F84" s="8">
        <f t="shared" si="9"/>
        <v>10325</v>
      </c>
    </row>
    <row r="85" spans="1:7" ht="18" customHeight="1" x14ac:dyDescent="0.25">
      <c r="A85" s="11">
        <v>43613</v>
      </c>
      <c r="B85" s="5" t="s">
        <v>352</v>
      </c>
      <c r="C85" s="2" t="s">
        <v>11</v>
      </c>
      <c r="D85" s="1">
        <v>29500</v>
      </c>
      <c r="E85" s="20">
        <f t="shared" si="8"/>
        <v>19175</v>
      </c>
      <c r="F85" s="8">
        <f t="shared" si="9"/>
        <v>10325</v>
      </c>
    </row>
    <row r="86" spans="1:7" x14ac:dyDescent="0.25">
      <c r="A86" s="11">
        <v>43622</v>
      </c>
      <c r="B86" s="5" t="s">
        <v>353</v>
      </c>
      <c r="C86" s="2" t="s">
        <v>11</v>
      </c>
      <c r="D86" s="1">
        <v>29500</v>
      </c>
      <c r="E86" s="20">
        <f t="shared" si="8"/>
        <v>19175</v>
      </c>
      <c r="F86" s="8">
        <f t="shared" si="9"/>
        <v>10325</v>
      </c>
    </row>
    <row r="87" spans="1:7" ht="19.5" x14ac:dyDescent="0.4">
      <c r="C87" s="15" t="s">
        <v>9</v>
      </c>
      <c r="D87" s="23">
        <f>SUM(D66:D86)</f>
        <v>550890</v>
      </c>
      <c r="E87" s="24">
        <f>SUM(E66:E86)</f>
        <v>358078.5</v>
      </c>
      <c r="F87" s="25">
        <f>SUM(F66:F86)</f>
        <v>192811.49999999997</v>
      </c>
      <c r="G87" s="33">
        <v>43644</v>
      </c>
    </row>
    <row r="89" spans="1:7" ht="18" customHeight="1" x14ac:dyDescent="0.25">
      <c r="A89" s="11">
        <v>43354</v>
      </c>
      <c r="B89" s="5" t="s">
        <v>202</v>
      </c>
      <c r="C89" s="2" t="s">
        <v>57</v>
      </c>
      <c r="D89" s="1">
        <v>30000</v>
      </c>
      <c r="E89" s="20">
        <f t="shared" ref="E89:E103" si="10">SUM(D89*0.65)</f>
        <v>19500</v>
      </c>
      <c r="F89" s="8">
        <f t="shared" ref="F89:F103" si="11">SUM(D89*0.35)</f>
        <v>10500</v>
      </c>
    </row>
    <row r="90" spans="1:7" ht="18" customHeight="1" x14ac:dyDescent="0.25">
      <c r="A90" s="31">
        <v>43392</v>
      </c>
      <c r="B90" s="5" t="s">
        <v>225</v>
      </c>
      <c r="C90" s="2" t="s">
        <v>0</v>
      </c>
      <c r="D90" s="1">
        <v>30000</v>
      </c>
      <c r="E90" s="20">
        <f>SUM(D90*0.65)</f>
        <v>19500</v>
      </c>
      <c r="F90" s="8">
        <f>SUM(D90*0.35)</f>
        <v>10500</v>
      </c>
    </row>
    <row r="91" spans="1:7" ht="18" customHeight="1" x14ac:dyDescent="0.25">
      <c r="A91" s="11">
        <v>43496</v>
      </c>
      <c r="B91" s="5" t="s">
        <v>302</v>
      </c>
      <c r="C91" s="2" t="s">
        <v>7</v>
      </c>
      <c r="D91" s="1">
        <v>20000</v>
      </c>
      <c r="E91" s="20">
        <f t="shared" si="10"/>
        <v>13000</v>
      </c>
      <c r="F91" s="8">
        <f t="shared" si="11"/>
        <v>7000</v>
      </c>
    </row>
    <row r="92" spans="1:7" ht="18" customHeight="1" x14ac:dyDescent="0.25">
      <c r="A92" s="11">
        <v>43532</v>
      </c>
      <c r="B92" s="4" t="s">
        <v>314</v>
      </c>
      <c r="C92" s="2" t="s">
        <v>11</v>
      </c>
      <c r="D92" s="1">
        <v>20855</v>
      </c>
      <c r="E92" s="20">
        <f>SUM(D92*0.65)</f>
        <v>13555.75</v>
      </c>
      <c r="F92" s="8">
        <f>SUM(D92*0.35)</f>
        <v>7299.2499999999991</v>
      </c>
    </row>
    <row r="93" spans="1:7" ht="18" customHeight="1" x14ac:dyDescent="0.25">
      <c r="A93" s="11">
        <v>43560</v>
      </c>
      <c r="B93" s="5" t="s">
        <v>324</v>
      </c>
      <c r="C93" s="2" t="s">
        <v>0</v>
      </c>
      <c r="D93" s="1">
        <v>30000</v>
      </c>
      <c r="E93" s="20">
        <f t="shared" si="10"/>
        <v>19500</v>
      </c>
      <c r="F93" s="8">
        <f t="shared" si="11"/>
        <v>10500</v>
      </c>
    </row>
    <row r="94" spans="1:7" ht="18" customHeight="1" x14ac:dyDescent="0.25">
      <c r="A94" s="11">
        <v>43584</v>
      </c>
      <c r="B94" s="5" t="s">
        <v>331</v>
      </c>
      <c r="C94" s="2" t="s">
        <v>0</v>
      </c>
      <c r="D94" s="1">
        <v>35000</v>
      </c>
      <c r="E94" s="20">
        <f t="shared" si="10"/>
        <v>22750</v>
      </c>
      <c r="F94" s="8">
        <f t="shared" si="11"/>
        <v>12250</v>
      </c>
    </row>
    <row r="95" spans="1:7" ht="18" customHeight="1" x14ac:dyDescent="0.25">
      <c r="A95" s="11">
        <v>43584</v>
      </c>
      <c r="B95" s="5" t="s">
        <v>329</v>
      </c>
      <c r="C95" s="2" t="s">
        <v>57</v>
      </c>
      <c r="D95" s="1">
        <v>38000</v>
      </c>
      <c r="E95" s="20">
        <f>SUM(D95*0.65)</f>
        <v>24700</v>
      </c>
      <c r="F95" s="8">
        <f>SUM(D95*0.35)</f>
        <v>13300</v>
      </c>
    </row>
    <row r="96" spans="1:7" ht="18" customHeight="1" x14ac:dyDescent="0.25">
      <c r="A96" s="11">
        <v>43599</v>
      </c>
      <c r="B96" s="4" t="s">
        <v>346</v>
      </c>
      <c r="C96" s="2" t="s">
        <v>11</v>
      </c>
      <c r="D96" s="1">
        <v>36500</v>
      </c>
      <c r="E96" s="20">
        <f t="shared" si="10"/>
        <v>23725</v>
      </c>
      <c r="F96" s="8">
        <f t="shared" si="11"/>
        <v>12775</v>
      </c>
    </row>
    <row r="97" spans="1:7" ht="18" customHeight="1" x14ac:dyDescent="0.25">
      <c r="A97" s="11">
        <v>43602</v>
      </c>
      <c r="B97" s="4" t="s">
        <v>347</v>
      </c>
      <c r="C97" s="2" t="s">
        <v>7</v>
      </c>
      <c r="D97" s="1">
        <v>21500</v>
      </c>
      <c r="E97" s="20">
        <f>SUM(D97*0.65)</f>
        <v>13975</v>
      </c>
      <c r="F97" s="8">
        <f>SUM(D97*0.35)</f>
        <v>7524.9999999999991</v>
      </c>
    </row>
    <row r="98" spans="1:7" ht="18" customHeight="1" x14ac:dyDescent="0.25">
      <c r="A98" s="11">
        <v>43613</v>
      </c>
      <c r="B98" s="4" t="s">
        <v>349</v>
      </c>
      <c r="C98" s="2" t="s">
        <v>0</v>
      </c>
      <c r="D98" s="1">
        <v>20520</v>
      </c>
      <c r="E98" s="20">
        <f>SUM(D98*0.65)</f>
        <v>13338</v>
      </c>
      <c r="F98" s="8">
        <f>SUM(D98*0.35)</f>
        <v>7181.9999999999991</v>
      </c>
    </row>
    <row r="99" spans="1:7" ht="18" customHeight="1" x14ac:dyDescent="0.25">
      <c r="A99" s="11">
        <v>43616</v>
      </c>
      <c r="B99" s="4" t="s">
        <v>357</v>
      </c>
      <c r="C99" s="2" t="s">
        <v>57</v>
      </c>
      <c r="D99" s="1">
        <v>20070</v>
      </c>
      <c r="E99" s="20">
        <f>SUM(D99*0.65)</f>
        <v>13045.5</v>
      </c>
      <c r="F99" s="8">
        <f>SUM(D99*0.35)</f>
        <v>7024.5</v>
      </c>
    </row>
    <row r="100" spans="1:7" ht="18" customHeight="1" x14ac:dyDescent="0.25">
      <c r="A100" s="11">
        <v>43616</v>
      </c>
      <c r="B100" s="4" t="s">
        <v>358</v>
      </c>
      <c r="C100" s="2" t="s">
        <v>11</v>
      </c>
      <c r="D100" s="1">
        <v>37500</v>
      </c>
      <c r="E100" s="20">
        <f t="shared" si="10"/>
        <v>24375</v>
      </c>
      <c r="F100" s="8">
        <f t="shared" si="11"/>
        <v>13125</v>
      </c>
    </row>
    <row r="101" spans="1:7" ht="18" customHeight="1" x14ac:dyDescent="0.25">
      <c r="A101" s="11">
        <v>43623</v>
      </c>
      <c r="B101" s="5" t="s">
        <v>354</v>
      </c>
      <c r="C101" s="2" t="s">
        <v>11</v>
      </c>
      <c r="D101" s="1">
        <v>29500</v>
      </c>
      <c r="E101" s="20">
        <f t="shared" si="10"/>
        <v>19175</v>
      </c>
      <c r="F101" s="8">
        <f t="shared" si="11"/>
        <v>10325</v>
      </c>
    </row>
    <row r="102" spans="1:7" ht="18" customHeight="1" x14ac:dyDescent="0.25">
      <c r="A102" s="11">
        <v>43627</v>
      </c>
      <c r="B102" s="5" t="s">
        <v>356</v>
      </c>
      <c r="C102" s="2" t="s">
        <v>11</v>
      </c>
      <c r="D102" s="1">
        <v>29500</v>
      </c>
      <c r="E102" s="20">
        <f t="shared" si="10"/>
        <v>19175</v>
      </c>
      <c r="F102" s="8">
        <f t="shared" si="11"/>
        <v>10325</v>
      </c>
    </row>
    <row r="103" spans="1:7" ht="18" customHeight="1" x14ac:dyDescent="0.25">
      <c r="A103" s="11">
        <v>43633</v>
      </c>
      <c r="B103" s="4" t="s">
        <v>363</v>
      </c>
      <c r="C103" s="2" t="s">
        <v>11</v>
      </c>
      <c r="D103" s="1">
        <v>31000</v>
      </c>
      <c r="E103" s="20">
        <f t="shared" si="10"/>
        <v>20150</v>
      </c>
      <c r="F103" s="8">
        <f t="shared" si="11"/>
        <v>10850</v>
      </c>
    </row>
    <row r="104" spans="1:7" ht="18" customHeight="1" x14ac:dyDescent="0.25">
      <c r="A104" s="11">
        <v>43637</v>
      </c>
      <c r="B104" s="5" t="s">
        <v>371</v>
      </c>
      <c r="C104" s="2" t="s">
        <v>11</v>
      </c>
      <c r="D104" s="1">
        <v>29500</v>
      </c>
      <c r="E104" s="20">
        <f t="shared" ref="E104:E110" si="12">SUM(D104*0.65)</f>
        <v>19175</v>
      </c>
      <c r="F104" s="8">
        <f t="shared" ref="F104:F110" si="13">SUM(D104*0.35)</f>
        <v>10325</v>
      </c>
    </row>
    <row r="105" spans="1:7" ht="18" customHeight="1" x14ac:dyDescent="0.25">
      <c r="A105" s="11">
        <v>43642</v>
      </c>
      <c r="B105" s="4" t="s">
        <v>367</v>
      </c>
      <c r="C105" s="2" t="s">
        <v>11</v>
      </c>
      <c r="D105" s="1">
        <v>7262</v>
      </c>
      <c r="E105" s="20">
        <f t="shared" si="12"/>
        <v>4720.3</v>
      </c>
      <c r="F105" s="8">
        <f t="shared" si="13"/>
        <v>2541.6999999999998</v>
      </c>
    </row>
    <row r="106" spans="1:7" ht="18" customHeight="1" x14ac:dyDescent="0.25">
      <c r="A106" s="11">
        <v>43648</v>
      </c>
      <c r="B106" s="5" t="s">
        <v>375</v>
      </c>
      <c r="C106" s="2" t="s">
        <v>11</v>
      </c>
      <c r="D106" s="1">
        <v>29500</v>
      </c>
      <c r="E106" s="20">
        <f t="shared" si="12"/>
        <v>19175</v>
      </c>
      <c r="F106" s="8">
        <f t="shared" si="13"/>
        <v>10325</v>
      </c>
    </row>
    <row r="107" spans="1:7" ht="18" customHeight="1" x14ac:dyDescent="0.25">
      <c r="A107" s="11">
        <v>43654</v>
      </c>
      <c r="B107" s="4" t="s">
        <v>382</v>
      </c>
      <c r="C107" s="2" t="s">
        <v>0</v>
      </c>
      <c r="D107" s="1">
        <v>9893</v>
      </c>
      <c r="E107" s="20">
        <f t="shared" si="12"/>
        <v>6430.45</v>
      </c>
      <c r="F107" s="8">
        <f t="shared" si="13"/>
        <v>3462.5499999999997</v>
      </c>
    </row>
    <row r="108" spans="1:7" ht="18" customHeight="1" x14ac:dyDescent="0.25">
      <c r="A108" s="11">
        <v>43656</v>
      </c>
      <c r="B108" s="5" t="s">
        <v>381</v>
      </c>
      <c r="C108" s="2" t="s">
        <v>11</v>
      </c>
      <c r="D108" s="1">
        <v>29500</v>
      </c>
      <c r="E108" s="20">
        <f t="shared" si="12"/>
        <v>19175</v>
      </c>
      <c r="F108" s="8">
        <f t="shared" si="13"/>
        <v>10325</v>
      </c>
    </row>
    <row r="109" spans="1:7" ht="18" customHeight="1" x14ac:dyDescent="0.25">
      <c r="A109" s="11">
        <v>43657</v>
      </c>
      <c r="B109" s="4" t="s">
        <v>383</v>
      </c>
      <c r="C109" s="2" t="s">
        <v>57</v>
      </c>
      <c r="D109" s="1">
        <v>14727</v>
      </c>
      <c r="E109" s="20">
        <f t="shared" si="12"/>
        <v>9572.5500000000011</v>
      </c>
      <c r="F109" s="8">
        <f t="shared" si="13"/>
        <v>5154.45</v>
      </c>
    </row>
    <row r="110" spans="1:7" ht="18" customHeight="1" x14ac:dyDescent="0.25">
      <c r="A110" s="11">
        <v>43657</v>
      </c>
      <c r="B110" s="4" t="s">
        <v>384</v>
      </c>
      <c r="C110" s="2" t="s">
        <v>57</v>
      </c>
      <c r="D110" s="1">
        <v>14727</v>
      </c>
      <c r="E110" s="20">
        <f t="shared" si="12"/>
        <v>9572.5500000000011</v>
      </c>
      <c r="F110" s="8">
        <f t="shared" si="13"/>
        <v>5154.45</v>
      </c>
    </row>
    <row r="111" spans="1:7" ht="18" customHeight="1" x14ac:dyDescent="0.4">
      <c r="C111" s="15" t="s">
        <v>9</v>
      </c>
      <c r="D111" s="23">
        <f>SUM(D89:D110)</f>
        <v>565054</v>
      </c>
      <c r="E111" s="24">
        <f>SUM(E89:E110)</f>
        <v>367285.1</v>
      </c>
      <c r="F111" s="25">
        <f>SUM(F89:F110)</f>
        <v>197768.90000000002</v>
      </c>
      <c r="G111" s="33">
        <v>43676</v>
      </c>
    </row>
    <row r="112" spans="1:7" ht="18" customHeight="1" x14ac:dyDescent="0.25"/>
    <row r="113" spans="1:6" ht="18" customHeight="1" x14ac:dyDescent="0.25">
      <c r="A113" s="11">
        <v>43425</v>
      </c>
      <c r="B113" s="5" t="s">
        <v>271</v>
      </c>
      <c r="C113" s="2" t="s">
        <v>7</v>
      </c>
      <c r="D113" s="1">
        <v>21000</v>
      </c>
      <c r="E113" s="20">
        <f t="shared" ref="E113:E128" si="14">SUM(D113*0.65)</f>
        <v>13650</v>
      </c>
      <c r="F113" s="8">
        <f t="shared" ref="F113:F128" si="15">SUM(D113*0.35)</f>
        <v>7349.9999999999991</v>
      </c>
    </row>
    <row r="114" spans="1:6" ht="18" customHeight="1" x14ac:dyDescent="0.25">
      <c r="A114" s="11">
        <v>43426</v>
      </c>
      <c r="B114" s="4" t="s">
        <v>255</v>
      </c>
      <c r="C114" s="2" t="s">
        <v>7</v>
      </c>
      <c r="D114" s="1">
        <v>14235</v>
      </c>
      <c r="E114" s="20">
        <f t="shared" si="14"/>
        <v>9252.75</v>
      </c>
      <c r="F114" s="8">
        <f t="shared" si="15"/>
        <v>4982.25</v>
      </c>
    </row>
    <row r="115" spans="1:6" ht="18" customHeight="1" x14ac:dyDescent="0.25">
      <c r="A115" s="11">
        <v>43489</v>
      </c>
      <c r="B115" s="4" t="s">
        <v>304</v>
      </c>
      <c r="C115" s="2" t="s">
        <v>0</v>
      </c>
      <c r="D115" s="1">
        <v>25220</v>
      </c>
      <c r="E115" s="20">
        <f t="shared" si="14"/>
        <v>16393</v>
      </c>
      <c r="F115" s="8">
        <f t="shared" si="15"/>
        <v>8827</v>
      </c>
    </row>
    <row r="116" spans="1:6" ht="18" customHeight="1" x14ac:dyDescent="0.25">
      <c r="A116" s="11">
        <v>43623</v>
      </c>
      <c r="B116" s="5" t="s">
        <v>355</v>
      </c>
      <c r="C116" s="2" t="s">
        <v>11</v>
      </c>
      <c r="D116" s="1">
        <v>160000</v>
      </c>
      <c r="E116" s="20">
        <f t="shared" si="14"/>
        <v>104000</v>
      </c>
      <c r="F116" s="8">
        <f t="shared" si="15"/>
        <v>56000</v>
      </c>
    </row>
    <row r="117" spans="1:6" ht="18" customHeight="1" x14ac:dyDescent="0.25">
      <c r="A117" s="11">
        <v>43634</v>
      </c>
      <c r="B117" s="4" t="s">
        <v>364</v>
      </c>
      <c r="C117" s="2" t="s">
        <v>11</v>
      </c>
      <c r="D117" s="1">
        <v>7061</v>
      </c>
      <c r="E117" s="20">
        <f t="shared" si="14"/>
        <v>4589.6500000000005</v>
      </c>
      <c r="F117" s="8">
        <f t="shared" si="15"/>
        <v>2471.35</v>
      </c>
    </row>
    <row r="118" spans="1:6" ht="18" customHeight="1" x14ac:dyDescent="0.25">
      <c r="A118" s="11">
        <v>43636</v>
      </c>
      <c r="B118" s="5" t="s">
        <v>361</v>
      </c>
      <c r="C118" s="2" t="s">
        <v>11</v>
      </c>
      <c r="D118" s="1">
        <v>35500</v>
      </c>
      <c r="E118" s="20">
        <f t="shared" si="14"/>
        <v>23075</v>
      </c>
      <c r="F118" s="8">
        <f t="shared" si="15"/>
        <v>12425</v>
      </c>
    </row>
    <row r="119" spans="1:6" ht="18" customHeight="1" x14ac:dyDescent="0.25">
      <c r="A119" s="11">
        <v>43640</v>
      </c>
      <c r="B119" s="5" t="s">
        <v>372</v>
      </c>
      <c r="C119" s="2" t="s">
        <v>11</v>
      </c>
      <c r="D119" s="1">
        <v>40000</v>
      </c>
      <c r="E119" s="20">
        <f>SUM(D119*0.65)</f>
        <v>26000</v>
      </c>
      <c r="F119" s="8">
        <f>SUM(D119*0.35)</f>
        <v>14000</v>
      </c>
    </row>
    <row r="120" spans="1:6" ht="18" customHeight="1" x14ac:dyDescent="0.25">
      <c r="A120" s="11">
        <v>43650</v>
      </c>
      <c r="B120" s="4" t="s">
        <v>370</v>
      </c>
      <c r="C120" s="2" t="s">
        <v>11</v>
      </c>
      <c r="D120" s="1">
        <v>37500</v>
      </c>
      <c r="E120" s="20">
        <f t="shared" si="14"/>
        <v>24375</v>
      </c>
      <c r="F120" s="8">
        <f t="shared" si="15"/>
        <v>13125</v>
      </c>
    </row>
    <row r="121" spans="1:6" ht="18" customHeight="1" x14ac:dyDescent="0.25">
      <c r="A121" s="11">
        <v>43656</v>
      </c>
      <c r="B121" s="5" t="s">
        <v>378</v>
      </c>
      <c r="C121" s="2" t="s">
        <v>11</v>
      </c>
      <c r="D121" s="1">
        <v>29500</v>
      </c>
      <c r="E121" s="20">
        <f t="shared" si="14"/>
        <v>19175</v>
      </c>
      <c r="F121" s="8">
        <f t="shared" si="15"/>
        <v>10325</v>
      </c>
    </row>
    <row r="122" spans="1:6" ht="18" customHeight="1" x14ac:dyDescent="0.25">
      <c r="A122" s="11">
        <v>43656</v>
      </c>
      <c r="B122" s="5" t="s">
        <v>379</v>
      </c>
      <c r="C122" s="2" t="s">
        <v>11</v>
      </c>
      <c r="D122" s="1">
        <v>29500</v>
      </c>
      <c r="E122" s="20">
        <f t="shared" si="14"/>
        <v>19175</v>
      </c>
      <c r="F122" s="8">
        <f t="shared" si="15"/>
        <v>10325</v>
      </c>
    </row>
    <row r="123" spans="1:6" ht="18" customHeight="1" x14ac:dyDescent="0.25">
      <c r="A123" s="11">
        <v>43658</v>
      </c>
      <c r="B123" s="4" t="s">
        <v>387</v>
      </c>
      <c r="C123" s="2" t="s">
        <v>0</v>
      </c>
      <c r="D123" s="1">
        <v>13000</v>
      </c>
      <c r="E123" s="20">
        <f t="shared" si="14"/>
        <v>8450</v>
      </c>
      <c r="F123" s="8">
        <f t="shared" si="15"/>
        <v>4550</v>
      </c>
    </row>
    <row r="124" spans="1:6" ht="18" customHeight="1" x14ac:dyDescent="0.25">
      <c r="A124" s="11">
        <v>43669</v>
      </c>
      <c r="B124" s="5" t="s">
        <v>409</v>
      </c>
      <c r="C124" s="2" t="s">
        <v>11</v>
      </c>
      <c r="D124" s="1">
        <v>29500</v>
      </c>
      <c r="E124" s="20">
        <f t="shared" si="14"/>
        <v>19175</v>
      </c>
      <c r="F124" s="8">
        <f t="shared" si="15"/>
        <v>10325</v>
      </c>
    </row>
    <row r="125" spans="1:6" ht="18" customHeight="1" x14ac:dyDescent="0.25">
      <c r="A125" s="11">
        <v>43670</v>
      </c>
      <c r="B125" s="5" t="s">
        <v>410</v>
      </c>
      <c r="C125" s="2" t="s">
        <v>11</v>
      </c>
      <c r="D125" s="1">
        <v>29500</v>
      </c>
      <c r="E125" s="20">
        <f t="shared" si="14"/>
        <v>19175</v>
      </c>
      <c r="F125" s="8">
        <f t="shared" si="15"/>
        <v>10325</v>
      </c>
    </row>
    <row r="126" spans="1:6" ht="18" customHeight="1" x14ac:dyDescent="0.25">
      <c r="A126" s="11">
        <v>43670</v>
      </c>
      <c r="B126" s="5" t="s">
        <v>411</v>
      </c>
      <c r="C126" s="2" t="s">
        <v>11</v>
      </c>
      <c r="D126" s="1">
        <v>29500</v>
      </c>
      <c r="E126" s="20">
        <f t="shared" si="14"/>
        <v>19175</v>
      </c>
      <c r="F126" s="8">
        <f t="shared" si="15"/>
        <v>10325</v>
      </c>
    </row>
    <row r="127" spans="1:6" ht="18" customHeight="1" x14ac:dyDescent="0.25">
      <c r="A127" s="11">
        <v>43675</v>
      </c>
      <c r="B127" s="5" t="s">
        <v>412</v>
      </c>
      <c r="C127" s="2" t="s">
        <v>11</v>
      </c>
      <c r="D127" s="1">
        <v>29500</v>
      </c>
      <c r="E127" s="20">
        <f t="shared" si="14"/>
        <v>19175</v>
      </c>
      <c r="F127" s="8">
        <f t="shared" si="15"/>
        <v>10325</v>
      </c>
    </row>
    <row r="128" spans="1:6" ht="18" customHeight="1" x14ac:dyDescent="0.25">
      <c r="A128" s="11">
        <v>43675</v>
      </c>
      <c r="B128" s="5" t="s">
        <v>413</v>
      </c>
      <c r="C128" s="2" t="s">
        <v>11</v>
      </c>
      <c r="D128" s="1">
        <v>29500</v>
      </c>
      <c r="E128" s="20">
        <f t="shared" si="14"/>
        <v>19175</v>
      </c>
      <c r="F128" s="8">
        <f t="shared" si="15"/>
        <v>10325</v>
      </c>
    </row>
    <row r="129" spans="1:7" ht="18" customHeight="1" x14ac:dyDescent="0.25">
      <c r="A129" s="11">
        <v>43686</v>
      </c>
      <c r="B129" s="5" t="s">
        <v>414</v>
      </c>
      <c r="C129" s="2" t="s">
        <v>11</v>
      </c>
      <c r="D129" s="1">
        <v>29500</v>
      </c>
      <c r="E129" s="20">
        <f>SUM(D129*0.65)</f>
        <v>19175</v>
      </c>
      <c r="F129" s="8">
        <f>SUM(D129*0.35)</f>
        <v>10325</v>
      </c>
    </row>
    <row r="130" spans="1:7" ht="18" customHeight="1" x14ac:dyDescent="0.4">
      <c r="C130" s="15" t="s">
        <v>9</v>
      </c>
      <c r="D130" s="23">
        <f>SUM(D113:D129)</f>
        <v>589516</v>
      </c>
      <c r="E130" s="24">
        <f>SUM(E113:E129)</f>
        <v>383185.4</v>
      </c>
      <c r="F130" s="25">
        <f>SUM(F113:F129)</f>
        <v>206330.6</v>
      </c>
      <c r="G130" s="33">
        <v>43706</v>
      </c>
    </row>
    <row r="131" spans="1:7" ht="18" customHeight="1" x14ac:dyDescent="0.25">
      <c r="E131" s="20"/>
      <c r="F131" s="8"/>
    </row>
    <row r="132" spans="1:7" ht="18" customHeight="1" x14ac:dyDescent="0.25">
      <c r="A132" s="11">
        <v>43441</v>
      </c>
      <c r="B132" s="4" t="s">
        <v>259</v>
      </c>
      <c r="C132" s="2" t="s">
        <v>11</v>
      </c>
      <c r="D132" s="1">
        <v>12088</v>
      </c>
      <c r="E132" s="20">
        <f t="shared" ref="E132:E140" si="16">SUM(D132*0.65)</f>
        <v>7857.2</v>
      </c>
      <c r="F132" s="8">
        <f t="shared" ref="F132:F140" si="17">SUM(D132*0.35)</f>
        <v>4230.8</v>
      </c>
    </row>
    <row r="133" spans="1:7" ht="18" customHeight="1" x14ac:dyDescent="0.25">
      <c r="A133" s="11">
        <v>43467</v>
      </c>
      <c r="B133" s="4" t="s">
        <v>297</v>
      </c>
      <c r="C133" s="2" t="s">
        <v>0</v>
      </c>
      <c r="D133" s="1">
        <v>76840</v>
      </c>
      <c r="E133" s="20">
        <f>SUM(D133*0.65)</f>
        <v>49946</v>
      </c>
      <c r="F133" s="8">
        <f>SUM(D133*0.35)</f>
        <v>26894</v>
      </c>
    </row>
    <row r="134" spans="1:7" ht="18" customHeight="1" x14ac:dyDescent="0.25">
      <c r="A134" s="11">
        <v>43594</v>
      </c>
      <c r="B134" s="4" t="s">
        <v>342</v>
      </c>
      <c r="C134" s="2" t="s">
        <v>11</v>
      </c>
      <c r="D134" s="1">
        <v>36500</v>
      </c>
      <c r="E134" s="20">
        <f t="shared" si="16"/>
        <v>23725</v>
      </c>
      <c r="F134" s="8">
        <f t="shared" si="17"/>
        <v>12775</v>
      </c>
    </row>
    <row r="135" spans="1:7" ht="18" customHeight="1" x14ac:dyDescent="0.25">
      <c r="A135" s="11">
        <v>43619</v>
      </c>
      <c r="B135" s="4" t="s">
        <v>359</v>
      </c>
      <c r="C135" s="2" t="s">
        <v>7</v>
      </c>
      <c r="D135" s="1">
        <v>21500</v>
      </c>
      <c r="E135" s="20">
        <f t="shared" si="16"/>
        <v>13975</v>
      </c>
      <c r="F135" s="8">
        <f t="shared" si="17"/>
        <v>7524.9999999999991</v>
      </c>
    </row>
    <row r="136" spans="1:7" ht="18" customHeight="1" x14ac:dyDescent="0.25">
      <c r="A136" s="11">
        <v>43641</v>
      </c>
      <c r="B136" s="4" t="s">
        <v>368</v>
      </c>
      <c r="C136" s="2" t="s">
        <v>11</v>
      </c>
      <c r="D136" s="1">
        <v>37500</v>
      </c>
      <c r="E136" s="20">
        <f t="shared" si="16"/>
        <v>24375</v>
      </c>
      <c r="F136" s="8">
        <f t="shared" si="17"/>
        <v>13125</v>
      </c>
    </row>
    <row r="137" spans="1:7" ht="18" customHeight="1" x14ac:dyDescent="0.25">
      <c r="A137" s="11">
        <v>43650</v>
      </c>
      <c r="B137" s="5" t="s">
        <v>376</v>
      </c>
      <c r="C137" s="2" t="s">
        <v>57</v>
      </c>
      <c r="D137" s="1">
        <v>40000</v>
      </c>
      <c r="E137" s="20">
        <f>SUM(D137*0.65)</f>
        <v>26000</v>
      </c>
      <c r="F137" s="8">
        <f>SUM(D137*0.35)</f>
        <v>14000</v>
      </c>
    </row>
    <row r="138" spans="1:7" ht="18" customHeight="1" x14ac:dyDescent="0.25">
      <c r="A138" s="11">
        <v>43663</v>
      </c>
      <c r="B138" s="4" t="s">
        <v>388</v>
      </c>
      <c r="C138" s="2" t="s">
        <v>7</v>
      </c>
      <c r="D138" s="1">
        <v>10000</v>
      </c>
      <c r="E138" s="20">
        <f t="shared" si="16"/>
        <v>6500</v>
      </c>
      <c r="F138" s="8">
        <f t="shared" si="17"/>
        <v>3500</v>
      </c>
    </row>
    <row r="139" spans="1:7" ht="18" customHeight="1" x14ac:dyDescent="0.25">
      <c r="A139" s="11">
        <v>43665</v>
      </c>
      <c r="B139" s="4" t="s">
        <v>391</v>
      </c>
      <c r="C139" s="2" t="s">
        <v>7</v>
      </c>
      <c r="D139" s="1">
        <v>12340</v>
      </c>
      <c r="E139" s="20">
        <f t="shared" si="16"/>
        <v>8021</v>
      </c>
      <c r="F139" s="8">
        <f t="shared" si="17"/>
        <v>4319</v>
      </c>
    </row>
    <row r="140" spans="1:7" ht="18" customHeight="1" x14ac:dyDescent="0.25">
      <c r="A140" s="11">
        <v>43682</v>
      </c>
      <c r="B140" s="4" t="s">
        <v>404</v>
      </c>
      <c r="C140" s="2" t="s">
        <v>0</v>
      </c>
      <c r="D140" s="1">
        <v>13483</v>
      </c>
      <c r="E140" s="20">
        <f t="shared" si="16"/>
        <v>8763.9500000000007</v>
      </c>
      <c r="F140" s="8">
        <f t="shared" si="17"/>
        <v>4719.0499999999993</v>
      </c>
    </row>
    <row r="141" spans="1:7" ht="18" customHeight="1" x14ac:dyDescent="0.25">
      <c r="A141" s="11">
        <v>43682</v>
      </c>
      <c r="B141" s="4" t="s">
        <v>403</v>
      </c>
      <c r="C141" s="2" t="s">
        <v>0</v>
      </c>
      <c r="D141" s="1">
        <v>13483</v>
      </c>
      <c r="E141" s="20">
        <f>SUM(D141*0.65)</f>
        <v>8763.9500000000007</v>
      </c>
      <c r="F141" s="8">
        <f>SUM(D141*0.35)</f>
        <v>4719.0499999999993</v>
      </c>
    </row>
    <row r="142" spans="1:7" ht="18" customHeight="1" x14ac:dyDescent="0.25">
      <c r="A142" s="11">
        <v>43692</v>
      </c>
      <c r="B142" s="4" t="s">
        <v>417</v>
      </c>
      <c r="C142" s="2" t="s">
        <v>11</v>
      </c>
      <c r="D142" s="1">
        <v>15615</v>
      </c>
      <c r="E142" s="20">
        <f>SUM(D142*0.65)</f>
        <v>10149.75</v>
      </c>
      <c r="F142" s="8">
        <f>SUM(D142*0.35)</f>
        <v>5465.25</v>
      </c>
    </row>
    <row r="143" spans="1:7" ht="18" customHeight="1" x14ac:dyDescent="0.25">
      <c r="A143" s="11">
        <v>43704</v>
      </c>
      <c r="B143" s="5" t="s">
        <v>429</v>
      </c>
      <c r="C143" s="2" t="s">
        <v>11</v>
      </c>
      <c r="D143" s="1">
        <v>29500</v>
      </c>
      <c r="E143" s="20">
        <f>SUM(D143*0.65)</f>
        <v>19175</v>
      </c>
      <c r="F143" s="8">
        <f>SUM(D143*0.35)</f>
        <v>10325</v>
      </c>
    </row>
    <row r="144" spans="1:7" ht="18" customHeight="1" x14ac:dyDescent="0.25">
      <c r="A144" s="11">
        <v>43704</v>
      </c>
      <c r="B144" s="5" t="s">
        <v>430</v>
      </c>
      <c r="C144" s="2" t="s">
        <v>11</v>
      </c>
      <c r="D144" s="1">
        <v>29500</v>
      </c>
      <c r="E144" s="20">
        <f>SUM(D144*0.65)</f>
        <v>19175</v>
      </c>
      <c r="F144" s="8">
        <f>SUM(D144*0.35)</f>
        <v>10325</v>
      </c>
    </row>
    <row r="145" spans="1:7" ht="19.5" x14ac:dyDescent="0.4">
      <c r="C145" s="15" t="s">
        <v>9</v>
      </c>
      <c r="D145" s="23">
        <f>SUM(D132:D144)</f>
        <v>348349</v>
      </c>
      <c r="E145" s="24">
        <f>SUM(E132:E144)</f>
        <v>226426.85000000003</v>
      </c>
      <c r="F145" s="25">
        <f>SUM(F132:F144)</f>
        <v>121922.15000000001</v>
      </c>
      <c r="G145" s="33">
        <v>43735</v>
      </c>
    </row>
    <row r="147" spans="1:7" ht="18" customHeight="1" x14ac:dyDescent="0.25">
      <c r="A147" s="11">
        <v>43437</v>
      </c>
      <c r="B147" s="4" t="s">
        <v>257</v>
      </c>
      <c r="C147" s="2" t="s">
        <v>7</v>
      </c>
      <c r="D147" s="1">
        <v>19500</v>
      </c>
      <c r="E147" s="20">
        <f t="shared" ref="E147:E170" si="18">SUM(D147*0.65)</f>
        <v>12675</v>
      </c>
      <c r="F147" s="8">
        <f t="shared" ref="F147:F170" si="19">SUM(D147*0.35)</f>
        <v>6825</v>
      </c>
    </row>
    <row r="148" spans="1:7" ht="18" customHeight="1" x14ac:dyDescent="0.25">
      <c r="A148" s="11">
        <v>43577</v>
      </c>
      <c r="B148" s="5" t="s">
        <v>327</v>
      </c>
      <c r="C148" s="2" t="s">
        <v>328</v>
      </c>
      <c r="D148" s="1">
        <v>200000</v>
      </c>
      <c r="E148" s="20">
        <f t="shared" si="18"/>
        <v>130000</v>
      </c>
      <c r="F148" s="8">
        <f t="shared" si="19"/>
        <v>70000</v>
      </c>
    </row>
    <row r="149" spans="1:7" ht="18" customHeight="1" x14ac:dyDescent="0.25">
      <c r="A149" s="11">
        <v>43584</v>
      </c>
      <c r="B149" s="5" t="s">
        <v>330</v>
      </c>
      <c r="C149" s="2" t="s">
        <v>0</v>
      </c>
      <c r="D149" s="1">
        <v>35000</v>
      </c>
      <c r="E149" s="20">
        <f t="shared" si="18"/>
        <v>22750</v>
      </c>
      <c r="F149" s="8">
        <f t="shared" si="19"/>
        <v>12250</v>
      </c>
    </row>
    <row r="150" spans="1:7" ht="18" customHeight="1" x14ac:dyDescent="0.25">
      <c r="A150" s="11">
        <v>43584</v>
      </c>
      <c r="B150" s="5" t="s">
        <v>332</v>
      </c>
      <c r="C150" s="2" t="s">
        <v>0</v>
      </c>
      <c r="D150" s="1">
        <v>40000</v>
      </c>
      <c r="E150" s="20">
        <f t="shared" si="18"/>
        <v>26000</v>
      </c>
      <c r="F150" s="8">
        <f t="shared" si="19"/>
        <v>14000</v>
      </c>
    </row>
    <row r="151" spans="1:7" ht="18" customHeight="1" x14ac:dyDescent="0.25">
      <c r="A151" s="11">
        <v>43647</v>
      </c>
      <c r="B151" s="4" t="s">
        <v>369</v>
      </c>
      <c r="C151" s="2" t="s">
        <v>11</v>
      </c>
      <c r="D151" s="1">
        <v>35500</v>
      </c>
      <c r="E151" s="20">
        <f t="shared" si="18"/>
        <v>23075</v>
      </c>
      <c r="F151" s="8">
        <f t="shared" si="19"/>
        <v>12425</v>
      </c>
    </row>
    <row r="152" spans="1:7" ht="18" customHeight="1" x14ac:dyDescent="0.25">
      <c r="A152" s="11">
        <v>43657</v>
      </c>
      <c r="B152" s="4" t="s">
        <v>385</v>
      </c>
      <c r="C152" s="2" t="s">
        <v>0</v>
      </c>
      <c r="D152" s="1">
        <v>16926</v>
      </c>
      <c r="E152" s="20">
        <f t="shared" si="18"/>
        <v>11001.9</v>
      </c>
      <c r="F152" s="8">
        <f t="shared" si="19"/>
        <v>5924.0999999999995</v>
      </c>
    </row>
    <row r="153" spans="1:7" ht="18" customHeight="1" x14ac:dyDescent="0.25">
      <c r="A153" s="11">
        <v>43662</v>
      </c>
      <c r="B153" s="5" t="s">
        <v>392</v>
      </c>
      <c r="C153" s="2" t="s">
        <v>11</v>
      </c>
      <c r="D153" s="1">
        <v>30000</v>
      </c>
      <c r="E153" s="20">
        <f t="shared" si="18"/>
        <v>19500</v>
      </c>
      <c r="F153" s="8">
        <f t="shared" si="19"/>
        <v>10500</v>
      </c>
    </row>
    <row r="154" spans="1:7" ht="18" customHeight="1" x14ac:dyDescent="0.25">
      <c r="A154" s="11">
        <v>43665</v>
      </c>
      <c r="B154" s="5" t="s">
        <v>394</v>
      </c>
      <c r="C154" s="2" t="s">
        <v>11</v>
      </c>
      <c r="D154" s="1">
        <v>36000</v>
      </c>
      <c r="E154" s="20">
        <f t="shared" si="18"/>
        <v>23400</v>
      </c>
      <c r="F154" s="8">
        <f t="shared" si="19"/>
        <v>12600</v>
      </c>
    </row>
    <row r="155" spans="1:7" ht="18" customHeight="1" x14ac:dyDescent="0.25">
      <c r="A155" s="11">
        <v>43704</v>
      </c>
      <c r="B155" s="5" t="s">
        <v>426</v>
      </c>
      <c r="C155" s="2" t="s">
        <v>0</v>
      </c>
      <c r="D155" s="1">
        <v>29500</v>
      </c>
      <c r="E155" s="20">
        <f t="shared" si="18"/>
        <v>19175</v>
      </c>
      <c r="F155" s="8">
        <f t="shared" si="19"/>
        <v>10325</v>
      </c>
    </row>
    <row r="156" spans="1:7" ht="18" customHeight="1" x14ac:dyDescent="0.25">
      <c r="A156" s="11">
        <v>43704</v>
      </c>
      <c r="B156" s="5" t="s">
        <v>435</v>
      </c>
      <c r="C156" s="2" t="s">
        <v>11</v>
      </c>
      <c r="D156" s="1">
        <v>29500</v>
      </c>
      <c r="E156" s="20">
        <f t="shared" si="18"/>
        <v>19175</v>
      </c>
      <c r="F156" s="8">
        <f t="shared" si="19"/>
        <v>10325</v>
      </c>
    </row>
    <row r="157" spans="1:7" ht="18" customHeight="1" x14ac:dyDescent="0.25">
      <c r="A157" s="11">
        <v>43710</v>
      </c>
      <c r="B157" s="4" t="s">
        <v>420</v>
      </c>
      <c r="C157" s="2" t="s">
        <v>11</v>
      </c>
      <c r="D157" s="1">
        <v>17929</v>
      </c>
      <c r="E157" s="20">
        <f t="shared" si="18"/>
        <v>11653.85</v>
      </c>
      <c r="F157" s="8">
        <f t="shared" si="19"/>
        <v>6275.15</v>
      </c>
    </row>
    <row r="158" spans="1:7" ht="18" customHeight="1" x14ac:dyDescent="0.25">
      <c r="A158" s="11">
        <v>43710</v>
      </c>
      <c r="B158" s="4" t="s">
        <v>422</v>
      </c>
      <c r="C158" s="2" t="s">
        <v>7</v>
      </c>
      <c r="D158" s="1">
        <v>13239</v>
      </c>
      <c r="E158" s="20">
        <f t="shared" si="18"/>
        <v>8605.35</v>
      </c>
      <c r="F158" s="8">
        <f t="shared" si="19"/>
        <v>4633.6499999999996</v>
      </c>
    </row>
    <row r="159" spans="1:7" ht="18" customHeight="1" x14ac:dyDescent="0.25">
      <c r="A159" s="11">
        <v>43710</v>
      </c>
      <c r="B159" s="4" t="s">
        <v>423</v>
      </c>
      <c r="C159" s="2" t="s">
        <v>0</v>
      </c>
      <c r="D159" s="1">
        <v>19585</v>
      </c>
      <c r="E159" s="20">
        <f t="shared" si="18"/>
        <v>12730.25</v>
      </c>
      <c r="F159" s="8">
        <f t="shared" si="19"/>
        <v>6854.75</v>
      </c>
    </row>
    <row r="160" spans="1:7" ht="18" customHeight="1" x14ac:dyDescent="0.25">
      <c r="A160" s="11">
        <v>43711</v>
      </c>
      <c r="B160" s="5" t="s">
        <v>438</v>
      </c>
      <c r="C160" s="2" t="s">
        <v>7</v>
      </c>
      <c r="D160" s="1">
        <v>20000</v>
      </c>
      <c r="E160" s="20">
        <f t="shared" si="18"/>
        <v>13000</v>
      </c>
      <c r="F160" s="8">
        <f t="shared" si="19"/>
        <v>7000</v>
      </c>
    </row>
    <row r="161" spans="1:7" ht="18" customHeight="1" x14ac:dyDescent="0.25">
      <c r="A161" s="11">
        <v>43713</v>
      </c>
      <c r="B161" s="4" t="s">
        <v>441</v>
      </c>
      <c r="C161" s="2" t="s">
        <v>11</v>
      </c>
      <c r="D161" s="1">
        <v>17500</v>
      </c>
      <c r="E161" s="20">
        <f t="shared" si="18"/>
        <v>11375</v>
      </c>
      <c r="F161" s="8">
        <f t="shared" si="19"/>
        <v>6125</v>
      </c>
    </row>
    <row r="162" spans="1:7" ht="18" customHeight="1" x14ac:dyDescent="0.25">
      <c r="A162" s="11">
        <v>43714</v>
      </c>
      <c r="B162" s="5" t="s">
        <v>439</v>
      </c>
      <c r="C162" s="2" t="s">
        <v>0</v>
      </c>
      <c r="D162" s="1">
        <v>37500</v>
      </c>
      <c r="E162" s="20">
        <f t="shared" si="18"/>
        <v>24375</v>
      </c>
      <c r="F162" s="8">
        <f t="shared" si="19"/>
        <v>13125</v>
      </c>
    </row>
    <row r="163" spans="1:7" ht="18" customHeight="1" x14ac:dyDescent="0.25">
      <c r="A163" s="11">
        <v>43714</v>
      </c>
      <c r="B163" s="5" t="s">
        <v>440</v>
      </c>
      <c r="C163" s="2" t="s">
        <v>11</v>
      </c>
      <c r="D163" s="1">
        <v>29500</v>
      </c>
      <c r="E163" s="20">
        <f t="shared" si="18"/>
        <v>19175</v>
      </c>
      <c r="F163" s="8">
        <f t="shared" si="19"/>
        <v>10325</v>
      </c>
    </row>
    <row r="164" spans="1:7" ht="18" customHeight="1" x14ac:dyDescent="0.25">
      <c r="A164" s="11">
        <v>43718</v>
      </c>
      <c r="B164" s="4" t="s">
        <v>445</v>
      </c>
      <c r="C164" s="2" t="s">
        <v>0</v>
      </c>
      <c r="D164" s="1">
        <v>7644</v>
      </c>
      <c r="E164" s="20">
        <f t="shared" si="18"/>
        <v>4968.6000000000004</v>
      </c>
      <c r="F164" s="8">
        <f t="shared" si="19"/>
        <v>2675.3999999999996</v>
      </c>
    </row>
    <row r="165" spans="1:7" ht="18" customHeight="1" x14ac:dyDescent="0.25">
      <c r="A165" s="11">
        <v>43719</v>
      </c>
      <c r="B165" s="5" t="s">
        <v>442</v>
      </c>
      <c r="C165" s="2" t="s">
        <v>11</v>
      </c>
      <c r="D165" s="1">
        <v>29500</v>
      </c>
      <c r="E165" s="20">
        <f t="shared" si="18"/>
        <v>19175</v>
      </c>
      <c r="F165" s="8">
        <f t="shared" si="19"/>
        <v>10325</v>
      </c>
    </row>
    <row r="166" spans="1:7" ht="18" customHeight="1" x14ac:dyDescent="0.25">
      <c r="A166" s="11">
        <v>43720</v>
      </c>
      <c r="B166" s="5" t="s">
        <v>443</v>
      </c>
      <c r="C166" s="2" t="s">
        <v>7</v>
      </c>
      <c r="D166" s="1">
        <v>20000</v>
      </c>
      <c r="E166" s="20">
        <f t="shared" si="18"/>
        <v>13000</v>
      </c>
      <c r="F166" s="8">
        <f t="shared" si="19"/>
        <v>7000</v>
      </c>
    </row>
    <row r="167" spans="1:7" ht="18" customHeight="1" x14ac:dyDescent="0.25">
      <c r="A167" s="11">
        <v>43720</v>
      </c>
      <c r="B167" s="4" t="s">
        <v>446</v>
      </c>
      <c r="C167" s="2" t="s">
        <v>0</v>
      </c>
      <c r="D167" s="1">
        <v>15500</v>
      </c>
      <c r="E167" s="20">
        <f t="shared" si="18"/>
        <v>10075</v>
      </c>
      <c r="F167" s="8">
        <f t="shared" si="19"/>
        <v>5425</v>
      </c>
    </row>
    <row r="168" spans="1:7" ht="18" customHeight="1" x14ac:dyDescent="0.25">
      <c r="A168" s="11">
        <v>43725</v>
      </c>
      <c r="B168" s="5" t="s">
        <v>451</v>
      </c>
      <c r="C168" s="2" t="s">
        <v>11</v>
      </c>
      <c r="D168" s="1">
        <v>29500</v>
      </c>
      <c r="E168" s="20">
        <f t="shared" si="18"/>
        <v>19175</v>
      </c>
      <c r="F168" s="8">
        <f t="shared" si="19"/>
        <v>10325</v>
      </c>
    </row>
    <row r="169" spans="1:7" ht="18" customHeight="1" x14ac:dyDescent="0.25">
      <c r="A169" s="11">
        <v>43730</v>
      </c>
      <c r="B169" s="5" t="s">
        <v>453</v>
      </c>
      <c r="C169" s="2" t="s">
        <v>11</v>
      </c>
      <c r="D169" s="1">
        <v>29500</v>
      </c>
      <c r="E169" s="20">
        <f t="shared" si="18"/>
        <v>19175</v>
      </c>
      <c r="F169" s="8">
        <f t="shared" si="19"/>
        <v>10325</v>
      </c>
    </row>
    <row r="170" spans="1:7" ht="18" customHeight="1" x14ac:dyDescent="0.25">
      <c r="A170" s="11">
        <v>43740</v>
      </c>
      <c r="B170" s="4" t="s">
        <v>468</v>
      </c>
      <c r="C170" s="2" t="s">
        <v>11</v>
      </c>
      <c r="D170" s="1">
        <v>6406</v>
      </c>
      <c r="E170" s="20">
        <f t="shared" si="18"/>
        <v>4163.9000000000005</v>
      </c>
      <c r="F170" s="8">
        <f t="shared" si="19"/>
        <v>2242.1</v>
      </c>
    </row>
    <row r="171" spans="1:7" ht="18" customHeight="1" x14ac:dyDescent="0.4">
      <c r="C171" s="15" t="s">
        <v>9</v>
      </c>
      <c r="D171" s="23">
        <f>SUM(D147:D170)</f>
        <v>765229</v>
      </c>
      <c r="E171" s="24">
        <f>SUM(E147:E170)</f>
        <v>497398.85</v>
      </c>
      <c r="F171" s="25">
        <f>SUM(F147:F170)</f>
        <v>267830.14999999997</v>
      </c>
      <c r="G171" s="33">
        <v>43767</v>
      </c>
    </row>
    <row r="173" spans="1:7" ht="18" customHeight="1" x14ac:dyDescent="0.25">
      <c r="A173" s="11">
        <v>43538</v>
      </c>
      <c r="B173" s="4" t="s">
        <v>315</v>
      </c>
      <c r="C173" s="2" t="s">
        <v>57</v>
      </c>
      <c r="D173" s="1">
        <v>23099</v>
      </c>
      <c r="E173" s="20">
        <f t="shared" ref="E173:E189" si="20">SUM(D173*0.65)</f>
        <v>15014.35</v>
      </c>
      <c r="F173" s="8">
        <f t="shared" ref="F173:F189" si="21">SUM(D173*0.35)</f>
        <v>8084.65</v>
      </c>
    </row>
    <row r="174" spans="1:7" ht="18" customHeight="1" x14ac:dyDescent="0.25">
      <c r="A174" s="11">
        <v>43644</v>
      </c>
      <c r="B174" s="5" t="s">
        <v>373</v>
      </c>
      <c r="C174" s="2" t="s">
        <v>0</v>
      </c>
      <c r="D174" s="1">
        <v>35000</v>
      </c>
      <c r="E174" s="20">
        <f t="shared" si="20"/>
        <v>22750</v>
      </c>
      <c r="F174" s="8">
        <f t="shared" si="21"/>
        <v>12250</v>
      </c>
    </row>
    <row r="175" spans="1:7" ht="18" customHeight="1" x14ac:dyDescent="0.25">
      <c r="A175" s="11">
        <v>43655</v>
      </c>
      <c r="B175" s="5" t="s">
        <v>377</v>
      </c>
      <c r="C175" s="2" t="s">
        <v>0</v>
      </c>
      <c r="D175" s="1">
        <v>38000</v>
      </c>
      <c r="E175" s="20">
        <f t="shared" si="20"/>
        <v>24700</v>
      </c>
      <c r="F175" s="8">
        <f t="shared" si="21"/>
        <v>13300</v>
      </c>
    </row>
    <row r="176" spans="1:7" ht="18" customHeight="1" x14ac:dyDescent="0.25">
      <c r="A176" s="11">
        <v>43656</v>
      </c>
      <c r="B176" s="5" t="s">
        <v>380</v>
      </c>
      <c r="C176" s="2" t="s">
        <v>0</v>
      </c>
      <c r="D176" s="1">
        <v>37500</v>
      </c>
      <c r="E176" s="20">
        <f>SUM(D176*0.65)</f>
        <v>24375</v>
      </c>
      <c r="F176" s="8">
        <f>SUM(D176*0.35)</f>
        <v>13125</v>
      </c>
    </row>
    <row r="177" spans="1:6" ht="18" customHeight="1" x14ac:dyDescent="0.25">
      <c r="A177" s="11">
        <v>43658</v>
      </c>
      <c r="B177" s="4" t="s">
        <v>386</v>
      </c>
      <c r="C177" s="2" t="s">
        <v>7</v>
      </c>
      <c r="D177" s="1">
        <v>25405</v>
      </c>
      <c r="E177" s="20">
        <f t="shared" si="20"/>
        <v>16513.25</v>
      </c>
      <c r="F177" s="8">
        <f t="shared" si="21"/>
        <v>8891.75</v>
      </c>
    </row>
    <row r="178" spans="1:6" ht="18" customHeight="1" x14ac:dyDescent="0.25">
      <c r="A178" s="11">
        <v>43663</v>
      </c>
      <c r="B178" s="5" t="s">
        <v>393</v>
      </c>
      <c r="C178" s="2" t="s">
        <v>0</v>
      </c>
      <c r="D178" s="1">
        <v>38000</v>
      </c>
      <c r="E178" s="20">
        <f>SUM(D178*0.65)</f>
        <v>24700</v>
      </c>
      <c r="F178" s="8">
        <f>SUM(D178*0.35)</f>
        <v>13300</v>
      </c>
    </row>
    <row r="179" spans="1:6" ht="18" customHeight="1" x14ac:dyDescent="0.25">
      <c r="A179" s="11">
        <v>43692</v>
      </c>
      <c r="B179" s="4" t="s">
        <v>415</v>
      </c>
      <c r="C179" s="2" t="s">
        <v>57</v>
      </c>
      <c r="D179" s="1">
        <v>7550</v>
      </c>
      <c r="E179" s="20">
        <f t="shared" si="20"/>
        <v>4907.5</v>
      </c>
      <c r="F179" s="8">
        <f t="shared" si="21"/>
        <v>2642.5</v>
      </c>
    </row>
    <row r="180" spans="1:6" ht="18" customHeight="1" x14ac:dyDescent="0.25">
      <c r="A180" s="11">
        <v>43692</v>
      </c>
      <c r="B180" s="5" t="s">
        <v>425</v>
      </c>
      <c r="C180" s="2" t="s">
        <v>7</v>
      </c>
      <c r="D180" s="1">
        <v>20000</v>
      </c>
      <c r="E180" s="20">
        <f t="shared" si="20"/>
        <v>13000</v>
      </c>
      <c r="F180" s="8">
        <f t="shared" si="21"/>
        <v>7000</v>
      </c>
    </row>
    <row r="181" spans="1:6" ht="18" customHeight="1" x14ac:dyDescent="0.25">
      <c r="A181" s="11">
        <v>43704</v>
      </c>
      <c r="B181" s="4" t="s">
        <v>418</v>
      </c>
      <c r="C181" s="2" t="s">
        <v>11</v>
      </c>
      <c r="D181" s="1">
        <v>15615</v>
      </c>
      <c r="E181" s="20">
        <f>SUM(D181*0.65)</f>
        <v>10149.75</v>
      </c>
      <c r="F181" s="8">
        <f>SUM(D181*0.35)</f>
        <v>5465.25</v>
      </c>
    </row>
    <row r="182" spans="1:6" ht="18" customHeight="1" x14ac:dyDescent="0.25">
      <c r="A182" s="11">
        <v>43706</v>
      </c>
      <c r="B182" s="5" t="s">
        <v>436</v>
      </c>
      <c r="C182" s="2" t="s">
        <v>0</v>
      </c>
      <c r="D182" s="1">
        <v>36000</v>
      </c>
      <c r="E182" s="20">
        <f t="shared" si="20"/>
        <v>23400</v>
      </c>
      <c r="F182" s="8">
        <f t="shared" si="21"/>
        <v>12600</v>
      </c>
    </row>
    <row r="183" spans="1:6" ht="18" customHeight="1" x14ac:dyDescent="0.25">
      <c r="A183" s="11">
        <v>43710</v>
      </c>
      <c r="B183" s="4" t="s">
        <v>421</v>
      </c>
      <c r="C183" s="2" t="s">
        <v>57</v>
      </c>
      <c r="D183" s="1">
        <v>10642</v>
      </c>
      <c r="E183" s="20">
        <f>SUM(D183*0.65)</f>
        <v>6917.3</v>
      </c>
      <c r="F183" s="8">
        <f>SUM(D183*0.35)</f>
        <v>3724.7</v>
      </c>
    </row>
    <row r="184" spans="1:6" ht="18" customHeight="1" x14ac:dyDescent="0.25">
      <c r="A184" s="11">
        <v>43717</v>
      </c>
      <c r="B184" s="4" t="s">
        <v>444</v>
      </c>
      <c r="C184" s="2" t="s">
        <v>11</v>
      </c>
      <c r="D184" s="1">
        <v>13558</v>
      </c>
      <c r="E184" s="20">
        <f>SUM(D184*0.65)</f>
        <v>8812.7000000000007</v>
      </c>
      <c r="F184" s="8">
        <f>SUM(D184*0.35)</f>
        <v>4745.2999999999993</v>
      </c>
    </row>
    <row r="185" spans="1:6" ht="18" customHeight="1" x14ac:dyDescent="0.25">
      <c r="A185" s="11">
        <v>43724</v>
      </c>
      <c r="B185" s="5" t="s">
        <v>449</v>
      </c>
      <c r="C185" s="2" t="s">
        <v>0</v>
      </c>
      <c r="D185" s="1">
        <v>37500</v>
      </c>
      <c r="E185" s="20">
        <f>SUM(D185*0.65)</f>
        <v>24375</v>
      </c>
      <c r="F185" s="8">
        <f>SUM(D185*0.35)</f>
        <v>13125</v>
      </c>
    </row>
    <row r="186" spans="1:6" ht="18" customHeight="1" x14ac:dyDescent="0.25">
      <c r="A186" s="11">
        <v>43724</v>
      </c>
      <c r="B186" s="5" t="s">
        <v>450</v>
      </c>
      <c r="C186" s="2" t="s">
        <v>0</v>
      </c>
      <c r="D186" s="1">
        <v>37500</v>
      </c>
      <c r="E186" s="20">
        <f>SUM(D186*0.65)</f>
        <v>24375</v>
      </c>
      <c r="F186" s="8">
        <f>SUM(D186*0.35)</f>
        <v>13125</v>
      </c>
    </row>
    <row r="187" spans="1:6" ht="18" customHeight="1" x14ac:dyDescent="0.25">
      <c r="A187" s="11">
        <v>43732</v>
      </c>
      <c r="B187" s="4" t="s">
        <v>462</v>
      </c>
      <c r="C187" s="2" t="s">
        <v>11</v>
      </c>
      <c r="D187" s="1">
        <v>75000</v>
      </c>
      <c r="E187" s="20">
        <f>SUM(D187*0.65)</f>
        <v>48750</v>
      </c>
      <c r="F187" s="8">
        <f>SUM(D187*0.35)</f>
        <v>26250</v>
      </c>
    </row>
    <row r="188" spans="1:6" ht="18" customHeight="1" x14ac:dyDescent="0.25">
      <c r="A188" s="11">
        <v>43733</v>
      </c>
      <c r="B188" s="4" t="s">
        <v>464</v>
      </c>
      <c r="C188" s="2" t="s">
        <v>7</v>
      </c>
      <c r="D188" s="1">
        <v>10500</v>
      </c>
      <c r="E188" s="20">
        <f t="shared" si="20"/>
        <v>6825</v>
      </c>
      <c r="F188" s="8">
        <f t="shared" si="21"/>
        <v>3674.9999999999995</v>
      </c>
    </row>
    <row r="189" spans="1:6" ht="18" customHeight="1" x14ac:dyDescent="0.25">
      <c r="A189" s="11">
        <v>43740</v>
      </c>
      <c r="B189" s="4" t="s">
        <v>468</v>
      </c>
      <c r="C189" s="2" t="s">
        <v>11</v>
      </c>
      <c r="D189" s="1">
        <v>6406</v>
      </c>
      <c r="E189" s="20">
        <f t="shared" si="20"/>
        <v>4163.9000000000005</v>
      </c>
      <c r="F189" s="8">
        <f t="shared" si="21"/>
        <v>2242.1</v>
      </c>
    </row>
    <row r="190" spans="1:6" ht="18" customHeight="1" x14ac:dyDescent="0.25">
      <c r="A190" s="11">
        <v>43749</v>
      </c>
      <c r="B190" s="4" t="s">
        <v>469</v>
      </c>
      <c r="C190" s="2" t="s">
        <v>7</v>
      </c>
      <c r="D190" s="1">
        <v>9165</v>
      </c>
      <c r="E190" s="20">
        <f t="shared" ref="E190:E196" si="22">SUM(D190*0.65)</f>
        <v>5957.25</v>
      </c>
      <c r="F190" s="8">
        <f t="shared" ref="F190:F196" si="23">SUM(D190*0.35)</f>
        <v>3207.75</v>
      </c>
    </row>
    <row r="191" spans="1:6" ht="18" customHeight="1" x14ac:dyDescent="0.25">
      <c r="A191" s="11">
        <v>43762</v>
      </c>
      <c r="B191" s="4" t="s">
        <v>479</v>
      </c>
      <c r="C191" s="2" t="s">
        <v>467</v>
      </c>
      <c r="D191" s="1">
        <v>34500</v>
      </c>
      <c r="E191" s="20">
        <f t="shared" si="22"/>
        <v>22425</v>
      </c>
      <c r="F191" s="8">
        <f t="shared" si="23"/>
        <v>12075</v>
      </c>
    </row>
    <row r="192" spans="1:6" ht="18" customHeight="1" x14ac:dyDescent="0.25">
      <c r="A192" s="11">
        <v>43768</v>
      </c>
      <c r="B192" s="5" t="s">
        <v>496</v>
      </c>
      <c r="C192" s="2" t="s">
        <v>467</v>
      </c>
      <c r="D192" s="1">
        <v>29500</v>
      </c>
      <c r="E192" s="20">
        <f t="shared" si="22"/>
        <v>19175</v>
      </c>
      <c r="F192" s="8">
        <f t="shared" si="23"/>
        <v>10325</v>
      </c>
    </row>
    <row r="193" spans="1:8" ht="18" customHeight="1" x14ac:dyDescent="0.25">
      <c r="A193" s="11">
        <v>43774</v>
      </c>
      <c r="B193" s="4" t="s">
        <v>485</v>
      </c>
      <c r="C193" s="2" t="s">
        <v>7</v>
      </c>
      <c r="D193" s="1">
        <v>6406</v>
      </c>
      <c r="E193" s="20">
        <f t="shared" si="22"/>
        <v>4163.9000000000005</v>
      </c>
      <c r="F193" s="8">
        <f t="shared" si="23"/>
        <v>2242.1</v>
      </c>
    </row>
    <row r="194" spans="1:8" ht="18" customHeight="1" x14ac:dyDescent="0.25">
      <c r="A194" s="11">
        <v>43774</v>
      </c>
      <c r="B194" s="5" t="s">
        <v>497</v>
      </c>
      <c r="C194" s="2" t="s">
        <v>467</v>
      </c>
      <c r="D194" s="1">
        <v>29500</v>
      </c>
      <c r="E194" s="20">
        <f t="shared" si="22"/>
        <v>19175</v>
      </c>
      <c r="F194" s="8">
        <f t="shared" si="23"/>
        <v>10325</v>
      </c>
    </row>
    <row r="195" spans="1:8" ht="18" customHeight="1" x14ac:dyDescent="0.25">
      <c r="A195" s="11">
        <v>43777</v>
      </c>
      <c r="B195" s="5" t="s">
        <v>500</v>
      </c>
      <c r="C195" s="2" t="s">
        <v>467</v>
      </c>
      <c r="D195" s="1">
        <v>29500</v>
      </c>
      <c r="E195" s="20">
        <f>SUM(D195*0.65)</f>
        <v>19175</v>
      </c>
      <c r="F195" s="8">
        <f>SUM(D195*0.35)</f>
        <v>10325</v>
      </c>
    </row>
    <row r="196" spans="1:8" ht="18" customHeight="1" x14ac:dyDescent="0.25">
      <c r="A196" s="11">
        <v>43782</v>
      </c>
      <c r="B196" s="5" t="s">
        <v>502</v>
      </c>
      <c r="C196" s="2" t="s">
        <v>467</v>
      </c>
      <c r="D196" s="1">
        <v>30000</v>
      </c>
      <c r="E196" s="20">
        <f t="shared" si="22"/>
        <v>19500</v>
      </c>
      <c r="F196" s="8">
        <f t="shared" si="23"/>
        <v>10500</v>
      </c>
    </row>
    <row r="197" spans="1:8" ht="18" customHeight="1" x14ac:dyDescent="0.4">
      <c r="C197" s="15" t="s">
        <v>9</v>
      </c>
      <c r="D197" s="23">
        <f>SUM(D173:D196)</f>
        <v>635846</v>
      </c>
      <c r="E197" s="24">
        <f>SUM(E173:E196)</f>
        <v>413299.9</v>
      </c>
      <c r="F197" s="25">
        <f>SUM(F173:F196)</f>
        <v>222546.1</v>
      </c>
      <c r="G197" s="33">
        <v>43782</v>
      </c>
      <c r="H197" s="33">
        <v>43797</v>
      </c>
    </row>
    <row r="198" spans="1:8" ht="18" customHeight="1" x14ac:dyDescent="0.25">
      <c r="F198" s="8"/>
    </row>
    <row r="199" spans="1:8" ht="18" customHeight="1" x14ac:dyDescent="0.25">
      <c r="A199" s="11">
        <v>43509</v>
      </c>
      <c r="B199" s="4" t="s">
        <v>309</v>
      </c>
      <c r="C199" s="2" t="s">
        <v>57</v>
      </c>
      <c r="D199" s="1">
        <v>19260</v>
      </c>
      <c r="E199" s="20">
        <f t="shared" ref="E199:E213" si="24">SUM(D199*0.65)</f>
        <v>12519</v>
      </c>
      <c r="F199" s="8">
        <f t="shared" ref="F199:F213" si="25">SUM(D199*0.35)</f>
        <v>6741</v>
      </c>
    </row>
    <row r="200" spans="1:8" ht="18" customHeight="1" x14ac:dyDescent="0.25">
      <c r="A200" s="11">
        <v>43509</v>
      </c>
      <c r="B200" s="4" t="s">
        <v>310</v>
      </c>
      <c r="C200" s="2" t="s">
        <v>57</v>
      </c>
      <c r="D200" s="1">
        <v>19260</v>
      </c>
      <c r="E200" s="20">
        <f t="shared" si="24"/>
        <v>12519</v>
      </c>
      <c r="F200" s="8">
        <f t="shared" si="25"/>
        <v>6741</v>
      </c>
    </row>
    <row r="201" spans="1:8" ht="18" customHeight="1" x14ac:dyDescent="0.25">
      <c r="A201" s="11">
        <v>43557</v>
      </c>
      <c r="B201" s="5" t="s">
        <v>323</v>
      </c>
      <c r="C201" s="2" t="s">
        <v>7</v>
      </c>
      <c r="D201" s="1">
        <v>27500</v>
      </c>
      <c r="E201" s="20">
        <f>SUM(D201*0.65)</f>
        <v>17875</v>
      </c>
      <c r="F201" s="8">
        <f>SUM(D201*0.35)</f>
        <v>9625</v>
      </c>
    </row>
    <row r="202" spans="1:8" ht="18" customHeight="1" x14ac:dyDescent="0.25">
      <c r="A202" s="11">
        <v>43630</v>
      </c>
      <c r="B202" s="4" t="s">
        <v>362</v>
      </c>
      <c r="C202" s="2" t="s">
        <v>57</v>
      </c>
      <c r="D202" s="1">
        <v>11445</v>
      </c>
      <c r="E202" s="20">
        <f>SUM(D202*0.65)</f>
        <v>7439.25</v>
      </c>
      <c r="F202" s="8">
        <f>SUM(D202*0.35)</f>
        <v>4005.7499999999995</v>
      </c>
    </row>
    <row r="203" spans="1:8" ht="18" customHeight="1" x14ac:dyDescent="0.25">
      <c r="A203" s="11">
        <v>43634</v>
      </c>
      <c r="B203" s="4" t="s">
        <v>365</v>
      </c>
      <c r="C203" s="2" t="s">
        <v>57</v>
      </c>
      <c r="D203" s="1">
        <v>19675</v>
      </c>
      <c r="E203" s="20">
        <f t="shared" si="24"/>
        <v>12788.75</v>
      </c>
      <c r="F203" s="8">
        <f t="shared" si="25"/>
        <v>6886.25</v>
      </c>
    </row>
    <row r="204" spans="1:8" ht="18" customHeight="1" x14ac:dyDescent="0.25">
      <c r="A204" s="11">
        <v>43690</v>
      </c>
      <c r="B204" s="4" t="s">
        <v>406</v>
      </c>
      <c r="C204" s="2" t="s">
        <v>0</v>
      </c>
      <c r="D204" s="1">
        <v>14500</v>
      </c>
      <c r="E204" s="20">
        <f t="shared" ref="E204:E209" si="26">SUM(D204*0.65)</f>
        <v>9425</v>
      </c>
      <c r="F204" s="8">
        <f t="shared" ref="F204:F209" si="27">SUM(D204*0.35)</f>
        <v>5075</v>
      </c>
    </row>
    <row r="205" spans="1:8" ht="18" customHeight="1" x14ac:dyDescent="0.25">
      <c r="A205" s="11">
        <v>43704</v>
      </c>
      <c r="B205" s="5" t="s">
        <v>428</v>
      </c>
      <c r="C205" s="2" t="s">
        <v>11</v>
      </c>
      <c r="D205" s="1">
        <v>29500</v>
      </c>
      <c r="E205" s="20">
        <f t="shared" si="26"/>
        <v>19175</v>
      </c>
      <c r="F205" s="8">
        <f t="shared" si="27"/>
        <v>10325</v>
      </c>
    </row>
    <row r="206" spans="1:8" ht="18" customHeight="1" x14ac:dyDescent="0.25">
      <c r="A206" s="11">
        <v>43704</v>
      </c>
      <c r="B206" s="5" t="s">
        <v>431</v>
      </c>
      <c r="C206" s="2" t="s">
        <v>11</v>
      </c>
      <c r="D206" s="1">
        <v>29500</v>
      </c>
      <c r="E206" s="20">
        <f t="shared" si="26"/>
        <v>19175</v>
      </c>
      <c r="F206" s="8">
        <f t="shared" si="27"/>
        <v>10325</v>
      </c>
    </row>
    <row r="207" spans="1:8" ht="18" customHeight="1" x14ac:dyDescent="0.25">
      <c r="A207" s="11">
        <v>43704</v>
      </c>
      <c r="B207" s="5" t="s">
        <v>432</v>
      </c>
      <c r="C207" s="2" t="s">
        <v>11</v>
      </c>
      <c r="D207" s="1">
        <v>29500</v>
      </c>
      <c r="E207" s="20">
        <f t="shared" si="26"/>
        <v>19175</v>
      </c>
      <c r="F207" s="8">
        <f t="shared" si="27"/>
        <v>10325</v>
      </c>
    </row>
    <row r="208" spans="1:8" ht="18" customHeight="1" x14ac:dyDescent="0.25">
      <c r="A208" s="11">
        <v>43704</v>
      </c>
      <c r="B208" s="5" t="s">
        <v>433</v>
      </c>
      <c r="C208" s="2" t="s">
        <v>11</v>
      </c>
      <c r="D208" s="1">
        <v>29500</v>
      </c>
      <c r="E208" s="20">
        <f t="shared" si="26"/>
        <v>19175</v>
      </c>
      <c r="F208" s="8">
        <f t="shared" si="27"/>
        <v>10325</v>
      </c>
    </row>
    <row r="209" spans="1:7" ht="18" customHeight="1" x14ac:dyDescent="0.25">
      <c r="A209" s="11">
        <v>43738</v>
      </c>
      <c r="B209" s="5" t="s">
        <v>455</v>
      </c>
      <c r="C209" s="2" t="s">
        <v>11</v>
      </c>
      <c r="D209" s="20">
        <v>64500</v>
      </c>
      <c r="E209" s="20">
        <f t="shared" si="26"/>
        <v>41925</v>
      </c>
      <c r="F209" s="8">
        <f t="shared" si="27"/>
        <v>22575</v>
      </c>
    </row>
    <row r="210" spans="1:7" ht="18" customHeight="1" x14ac:dyDescent="0.25">
      <c r="A210" s="11">
        <v>43739</v>
      </c>
      <c r="B210" s="4" t="s">
        <v>466</v>
      </c>
      <c r="C210" s="2" t="s">
        <v>467</v>
      </c>
      <c r="D210" s="1">
        <v>101562</v>
      </c>
      <c r="E210" s="20">
        <f t="shared" si="24"/>
        <v>66015.3</v>
      </c>
      <c r="F210" s="8">
        <f t="shared" si="25"/>
        <v>35546.699999999997</v>
      </c>
    </row>
    <row r="211" spans="1:7" ht="18" customHeight="1" x14ac:dyDescent="0.25">
      <c r="A211" s="11">
        <v>43774</v>
      </c>
      <c r="B211" s="4" t="s">
        <v>487</v>
      </c>
      <c r="C211" s="2" t="s">
        <v>0</v>
      </c>
      <c r="D211" s="1">
        <v>8001</v>
      </c>
      <c r="E211" s="20">
        <f t="shared" si="24"/>
        <v>5200.6500000000005</v>
      </c>
      <c r="F211" s="8">
        <f t="shared" si="25"/>
        <v>2800.35</v>
      </c>
    </row>
    <row r="212" spans="1:7" ht="18" customHeight="1" x14ac:dyDescent="0.25">
      <c r="A212" s="11">
        <v>43774</v>
      </c>
      <c r="B212" s="4" t="s">
        <v>488</v>
      </c>
      <c r="C212" s="2" t="s">
        <v>0</v>
      </c>
      <c r="D212" s="1">
        <v>8001</v>
      </c>
      <c r="E212" s="20">
        <f t="shared" si="24"/>
        <v>5200.6500000000005</v>
      </c>
      <c r="F212" s="8">
        <f t="shared" si="25"/>
        <v>2800.35</v>
      </c>
    </row>
    <row r="213" spans="1:7" ht="18" customHeight="1" x14ac:dyDescent="0.25">
      <c r="A213" s="11">
        <v>43774</v>
      </c>
      <c r="B213" s="4" t="s">
        <v>489</v>
      </c>
      <c r="C213" s="2" t="s">
        <v>0</v>
      </c>
      <c r="D213" s="1">
        <v>8001</v>
      </c>
      <c r="E213" s="20">
        <f t="shared" si="24"/>
        <v>5200.6500000000005</v>
      </c>
      <c r="F213" s="8">
        <f t="shared" si="25"/>
        <v>2800.35</v>
      </c>
    </row>
    <row r="214" spans="1:7" ht="18" customHeight="1" x14ac:dyDescent="0.25">
      <c r="A214" s="11">
        <v>43776</v>
      </c>
      <c r="B214" s="5" t="s">
        <v>498</v>
      </c>
      <c r="C214" s="2" t="s">
        <v>0</v>
      </c>
      <c r="D214" s="1">
        <v>37000</v>
      </c>
      <c r="E214" s="20">
        <f t="shared" ref="E214:E222" si="28">SUM(D214*0.65)</f>
        <v>24050</v>
      </c>
      <c r="F214" s="8">
        <f t="shared" ref="F214:F222" si="29">SUM(D214*0.35)</f>
        <v>12950</v>
      </c>
    </row>
    <row r="215" spans="1:7" ht="18" customHeight="1" x14ac:dyDescent="0.25">
      <c r="A215" s="11">
        <v>43782</v>
      </c>
      <c r="B215" s="5" t="s">
        <v>501</v>
      </c>
      <c r="C215" s="2" t="s">
        <v>467</v>
      </c>
      <c r="D215" s="1">
        <v>29500</v>
      </c>
      <c r="E215" s="20">
        <f t="shared" si="28"/>
        <v>19175</v>
      </c>
      <c r="F215" s="8">
        <f t="shared" si="29"/>
        <v>10325</v>
      </c>
    </row>
    <row r="216" spans="1:7" ht="18" customHeight="1" x14ac:dyDescent="0.25">
      <c r="A216" s="11">
        <v>43783</v>
      </c>
      <c r="B216" s="5" t="s">
        <v>504</v>
      </c>
      <c r="C216" s="2" t="s">
        <v>467</v>
      </c>
      <c r="D216" s="1">
        <v>29500</v>
      </c>
      <c r="E216" s="20">
        <f t="shared" si="28"/>
        <v>19175</v>
      </c>
      <c r="F216" s="8">
        <f t="shared" si="29"/>
        <v>10325</v>
      </c>
    </row>
    <row r="217" spans="1:7" ht="18" customHeight="1" x14ac:dyDescent="0.25">
      <c r="A217" s="11">
        <v>43784</v>
      </c>
      <c r="B217" s="5" t="s">
        <v>505</v>
      </c>
      <c r="C217" s="2" t="s">
        <v>467</v>
      </c>
      <c r="D217" s="1">
        <v>29500</v>
      </c>
      <c r="E217" s="20">
        <f t="shared" si="28"/>
        <v>19175</v>
      </c>
      <c r="F217" s="8">
        <f t="shared" si="29"/>
        <v>10325</v>
      </c>
    </row>
    <row r="218" spans="1:7" ht="18" customHeight="1" x14ac:dyDescent="0.25">
      <c r="A218" s="11">
        <v>43787</v>
      </c>
      <c r="B218" s="5" t="s">
        <v>508</v>
      </c>
      <c r="C218" s="2" t="s">
        <v>467</v>
      </c>
      <c r="D218" s="1">
        <v>29500</v>
      </c>
      <c r="E218" s="20">
        <f t="shared" si="28"/>
        <v>19175</v>
      </c>
      <c r="F218" s="8">
        <f t="shared" si="29"/>
        <v>10325</v>
      </c>
    </row>
    <row r="219" spans="1:7" ht="18" customHeight="1" x14ac:dyDescent="0.25">
      <c r="A219" s="11">
        <v>43788</v>
      </c>
      <c r="B219" s="5" t="s">
        <v>510</v>
      </c>
      <c r="C219" s="2" t="s">
        <v>511</v>
      </c>
      <c r="D219" s="1">
        <v>25000</v>
      </c>
      <c r="E219" s="20">
        <f t="shared" si="28"/>
        <v>16250</v>
      </c>
      <c r="F219" s="8">
        <f t="shared" si="29"/>
        <v>8750</v>
      </c>
    </row>
    <row r="220" spans="1:7" ht="18" customHeight="1" x14ac:dyDescent="0.25">
      <c r="A220" s="11">
        <v>43791</v>
      </c>
      <c r="B220" s="5" t="s">
        <v>530</v>
      </c>
      <c r="C220" s="2" t="s">
        <v>7</v>
      </c>
      <c r="D220" s="1">
        <v>21000</v>
      </c>
      <c r="E220" s="20">
        <f t="shared" si="28"/>
        <v>13650</v>
      </c>
      <c r="F220" s="8">
        <f t="shared" si="29"/>
        <v>7349.9999999999991</v>
      </c>
    </row>
    <row r="221" spans="1:7" ht="18" customHeight="1" x14ac:dyDescent="0.25">
      <c r="A221" s="11">
        <v>43791</v>
      </c>
      <c r="B221" s="5" t="s">
        <v>531</v>
      </c>
      <c r="C221" s="2" t="s">
        <v>7</v>
      </c>
      <c r="D221" s="1">
        <v>21000</v>
      </c>
      <c r="E221" s="20">
        <f t="shared" si="28"/>
        <v>13650</v>
      </c>
      <c r="F221" s="8">
        <f t="shared" si="29"/>
        <v>7349.9999999999991</v>
      </c>
    </row>
    <row r="222" spans="1:7" ht="18" customHeight="1" x14ac:dyDescent="0.25">
      <c r="A222" s="11">
        <v>43796</v>
      </c>
      <c r="B222" s="4" t="s">
        <v>521</v>
      </c>
      <c r="C222" s="2" t="s">
        <v>57</v>
      </c>
      <c r="D222" s="1">
        <v>26105</v>
      </c>
      <c r="E222" s="20">
        <f t="shared" si="28"/>
        <v>16968.25</v>
      </c>
      <c r="F222" s="8">
        <f t="shared" si="29"/>
        <v>9136.75</v>
      </c>
    </row>
    <row r="223" spans="1:7" ht="18" customHeight="1" x14ac:dyDescent="0.4">
      <c r="C223" s="15" t="s">
        <v>9</v>
      </c>
      <c r="D223" s="23">
        <f>SUM(D199:D222)</f>
        <v>667810</v>
      </c>
      <c r="E223" s="24">
        <f>SUM(E199:E222)</f>
        <v>434076.50000000006</v>
      </c>
      <c r="F223" s="25">
        <f>SUM(F199:F222)</f>
        <v>233733.50000000003</v>
      </c>
      <c r="G223" s="33">
        <v>44188</v>
      </c>
    </row>
    <row r="224" spans="1:7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4"/>
  <sheetViews>
    <sheetView tabSelected="1" topLeftCell="A861" workbookViewId="0">
      <selection activeCell="D877" sqref="D877"/>
    </sheetView>
  </sheetViews>
  <sheetFormatPr defaultRowHeight="15" x14ac:dyDescent="0.25"/>
  <cols>
    <col min="1" max="1" width="10" style="61" customWidth="1"/>
    <col min="2" max="2" width="46.140625" customWidth="1"/>
    <col min="3" max="4" width="43.140625" style="74" customWidth="1"/>
    <col min="5" max="5" width="19.7109375" style="1" hidden="1" customWidth="1"/>
    <col min="6" max="6" width="19.5703125" hidden="1" customWidth="1"/>
    <col min="7" max="7" width="19.7109375" customWidth="1"/>
    <col min="9" max="9" width="13.7109375" bestFit="1" customWidth="1"/>
  </cols>
  <sheetData>
    <row r="1" spans="1:7" x14ac:dyDescent="0.25">
      <c r="A1" s="58"/>
      <c r="B1" t="s">
        <v>1</v>
      </c>
    </row>
    <row r="2" spans="1:7" x14ac:dyDescent="0.25">
      <c r="A2" s="59"/>
      <c r="B2" t="s">
        <v>2</v>
      </c>
    </row>
    <row r="3" spans="1:7" x14ac:dyDescent="0.25">
      <c r="A3" s="60"/>
      <c r="B3" s="6"/>
      <c r="C3" s="75"/>
      <c r="D3" s="75"/>
      <c r="E3" s="8"/>
      <c r="F3" s="6"/>
    </row>
    <row r="4" spans="1:7" x14ac:dyDescent="0.25">
      <c r="B4" s="9" t="s">
        <v>3</v>
      </c>
      <c r="C4" s="76" t="s">
        <v>4</v>
      </c>
      <c r="D4" s="76"/>
      <c r="E4" s="10" t="s">
        <v>5</v>
      </c>
      <c r="F4" s="3" t="s">
        <v>70</v>
      </c>
      <c r="G4" s="3" t="s">
        <v>6</v>
      </c>
    </row>
    <row r="5" spans="1:7" x14ac:dyDescent="0.25">
      <c r="B5" s="9"/>
      <c r="C5" s="76"/>
      <c r="D5" s="76"/>
      <c r="E5" s="10"/>
      <c r="F5" s="3"/>
      <c r="G5" s="3"/>
    </row>
    <row r="6" spans="1:7" ht="18" customHeight="1" x14ac:dyDescent="0.25">
      <c r="A6" s="61">
        <v>43668</v>
      </c>
      <c r="B6" s="4" t="s">
        <v>398</v>
      </c>
      <c r="C6" s="74" t="s">
        <v>57</v>
      </c>
      <c r="E6" s="1">
        <v>17500</v>
      </c>
      <c r="F6" s="20">
        <f t="shared" ref="F6:F40" si="0">SUM(E6*0.65)</f>
        <v>11375</v>
      </c>
      <c r="G6" s="20">
        <f t="shared" ref="G6:G40" si="1">SUM(E6*0.35)</f>
        <v>6125</v>
      </c>
    </row>
    <row r="7" spans="1:7" ht="18" customHeight="1" x14ac:dyDescent="0.25">
      <c r="A7" s="61">
        <v>43677</v>
      </c>
      <c r="B7" s="4" t="s">
        <v>402</v>
      </c>
      <c r="C7" s="74" t="s">
        <v>0</v>
      </c>
      <c r="E7" s="1">
        <v>60300</v>
      </c>
      <c r="F7" s="20">
        <f t="shared" si="0"/>
        <v>39195</v>
      </c>
      <c r="G7" s="20">
        <f t="shared" si="1"/>
        <v>21105</v>
      </c>
    </row>
    <row r="8" spans="1:7" ht="18" customHeight="1" x14ac:dyDescent="0.25">
      <c r="A8" s="61">
        <v>43704</v>
      </c>
      <c r="B8" s="5" t="s">
        <v>434</v>
      </c>
      <c r="C8" s="74" t="s">
        <v>11</v>
      </c>
      <c r="E8" s="1">
        <v>29500</v>
      </c>
      <c r="F8" s="20">
        <f t="shared" si="0"/>
        <v>19175</v>
      </c>
      <c r="G8" s="20">
        <f t="shared" si="1"/>
        <v>10325</v>
      </c>
    </row>
    <row r="9" spans="1:7" ht="18" customHeight="1" x14ac:dyDescent="0.25">
      <c r="A9" s="61">
        <v>43721</v>
      </c>
      <c r="B9" s="5" t="s">
        <v>448</v>
      </c>
      <c r="C9" s="74" t="s">
        <v>7</v>
      </c>
      <c r="E9" s="1">
        <v>20000</v>
      </c>
      <c r="F9" s="20">
        <f t="shared" si="0"/>
        <v>13000</v>
      </c>
      <c r="G9" s="20">
        <f t="shared" si="1"/>
        <v>7000</v>
      </c>
    </row>
    <row r="10" spans="1:7" ht="18" customHeight="1" x14ac:dyDescent="0.25">
      <c r="A10" s="61">
        <v>43738</v>
      </c>
      <c r="B10" s="5" t="s">
        <v>454</v>
      </c>
      <c r="C10" s="74" t="s">
        <v>11</v>
      </c>
      <c r="E10" s="1">
        <v>37500</v>
      </c>
      <c r="F10" s="20">
        <f t="shared" si="0"/>
        <v>24375</v>
      </c>
      <c r="G10" s="20">
        <f t="shared" si="1"/>
        <v>13125</v>
      </c>
    </row>
    <row r="11" spans="1:7" ht="18" customHeight="1" x14ac:dyDescent="0.25">
      <c r="A11" s="61">
        <v>43753</v>
      </c>
      <c r="B11" s="4" t="s">
        <v>473</v>
      </c>
      <c r="C11" s="74" t="s">
        <v>474</v>
      </c>
      <c r="E11" s="1">
        <v>10904</v>
      </c>
      <c r="F11" s="20">
        <f t="shared" si="0"/>
        <v>7087.6</v>
      </c>
      <c r="G11" s="20">
        <f t="shared" si="1"/>
        <v>3816.3999999999996</v>
      </c>
    </row>
    <row r="12" spans="1:7" ht="18" customHeight="1" x14ac:dyDescent="0.25">
      <c r="A12" s="61">
        <v>43753</v>
      </c>
      <c r="B12" s="4" t="s">
        <v>475</v>
      </c>
      <c r="C12" s="74" t="s">
        <v>474</v>
      </c>
      <c r="E12" s="1">
        <v>10904</v>
      </c>
      <c r="F12" s="20">
        <f t="shared" si="0"/>
        <v>7087.6</v>
      </c>
      <c r="G12" s="20">
        <f t="shared" si="1"/>
        <v>3816.3999999999996</v>
      </c>
    </row>
    <row r="13" spans="1:7" ht="18" customHeight="1" x14ac:dyDescent="0.25">
      <c r="A13" s="61">
        <v>43753</v>
      </c>
      <c r="B13" s="4" t="s">
        <v>476</v>
      </c>
      <c r="C13" s="74" t="s">
        <v>474</v>
      </c>
      <c r="E13" s="1">
        <v>10904</v>
      </c>
      <c r="F13" s="20">
        <f t="shared" si="0"/>
        <v>7087.6</v>
      </c>
      <c r="G13" s="20">
        <f t="shared" si="1"/>
        <v>3816.3999999999996</v>
      </c>
    </row>
    <row r="14" spans="1:7" ht="18" customHeight="1" x14ac:dyDescent="0.25">
      <c r="A14" s="61">
        <v>43753</v>
      </c>
      <c r="B14" s="4" t="s">
        <v>477</v>
      </c>
      <c r="C14" s="74" t="s">
        <v>474</v>
      </c>
      <c r="E14" s="1">
        <v>13000</v>
      </c>
      <c r="F14" s="20">
        <f t="shared" si="0"/>
        <v>8450</v>
      </c>
      <c r="G14" s="20">
        <f t="shared" si="1"/>
        <v>4550</v>
      </c>
    </row>
    <row r="15" spans="1:7" ht="18" customHeight="1" x14ac:dyDescent="0.25">
      <c r="A15" s="61">
        <v>43760</v>
      </c>
      <c r="B15" s="4" t="s">
        <v>478</v>
      </c>
      <c r="C15" s="74" t="s">
        <v>7</v>
      </c>
      <c r="E15" s="1">
        <v>11004</v>
      </c>
      <c r="F15" s="20">
        <f t="shared" si="0"/>
        <v>7152.6</v>
      </c>
      <c r="G15" s="20">
        <f t="shared" si="1"/>
        <v>3851.3999999999996</v>
      </c>
    </row>
    <row r="16" spans="1:7" ht="18" customHeight="1" x14ac:dyDescent="0.25">
      <c r="A16" s="61">
        <v>43760</v>
      </c>
      <c r="B16" s="5" t="s">
        <v>481</v>
      </c>
      <c r="C16" s="74" t="s">
        <v>0</v>
      </c>
      <c r="E16" s="1">
        <v>25000</v>
      </c>
      <c r="F16" s="20">
        <f t="shared" si="0"/>
        <v>16250</v>
      </c>
      <c r="G16" s="20">
        <f t="shared" si="1"/>
        <v>8750</v>
      </c>
    </row>
    <row r="17" spans="1:7" ht="18" customHeight="1" x14ac:dyDescent="0.25">
      <c r="A17" s="61">
        <v>43760</v>
      </c>
      <c r="B17" s="5" t="s">
        <v>482</v>
      </c>
      <c r="C17" s="74" t="s">
        <v>0</v>
      </c>
      <c r="E17" s="1">
        <v>25000</v>
      </c>
      <c r="F17" s="20">
        <f t="shared" si="0"/>
        <v>16250</v>
      </c>
      <c r="G17" s="20">
        <f t="shared" si="1"/>
        <v>8750</v>
      </c>
    </row>
    <row r="18" spans="1:7" ht="18" customHeight="1" x14ac:dyDescent="0.25">
      <c r="A18" s="61">
        <v>43762</v>
      </c>
      <c r="B18" s="5" t="s">
        <v>483</v>
      </c>
      <c r="C18" s="74" t="s">
        <v>7</v>
      </c>
      <c r="E18" s="1">
        <v>10000</v>
      </c>
      <c r="F18" s="20">
        <f t="shared" si="0"/>
        <v>6500</v>
      </c>
      <c r="G18" s="20">
        <f t="shared" si="1"/>
        <v>3500</v>
      </c>
    </row>
    <row r="19" spans="1:7" ht="18" customHeight="1" x14ac:dyDescent="0.25">
      <c r="A19" s="61">
        <v>43774</v>
      </c>
      <c r="B19" s="4" t="s">
        <v>490</v>
      </c>
      <c r="C19" s="74" t="s">
        <v>474</v>
      </c>
      <c r="E19" s="1">
        <v>10904</v>
      </c>
      <c r="F19" s="20">
        <f t="shared" si="0"/>
        <v>7087.6</v>
      </c>
      <c r="G19" s="20">
        <f t="shared" si="1"/>
        <v>3816.3999999999996</v>
      </c>
    </row>
    <row r="20" spans="1:7" ht="18" customHeight="1" x14ac:dyDescent="0.25">
      <c r="A20" s="61">
        <v>43774</v>
      </c>
      <c r="B20" s="4" t="s">
        <v>491</v>
      </c>
      <c r="C20" s="74" t="s">
        <v>474</v>
      </c>
      <c r="E20" s="1">
        <v>10904</v>
      </c>
      <c r="F20" s="20">
        <f t="shared" si="0"/>
        <v>7087.6</v>
      </c>
      <c r="G20" s="20">
        <f t="shared" si="1"/>
        <v>3816.3999999999996</v>
      </c>
    </row>
    <row r="21" spans="1:7" ht="18" customHeight="1" x14ac:dyDescent="0.25">
      <c r="A21" s="61">
        <v>44145</v>
      </c>
      <c r="B21" s="4" t="s">
        <v>546</v>
      </c>
      <c r="C21" s="74" t="s">
        <v>511</v>
      </c>
      <c r="E21" s="1">
        <v>12494</v>
      </c>
      <c r="F21" s="20">
        <f t="shared" si="0"/>
        <v>8121.1</v>
      </c>
      <c r="G21" s="20">
        <f t="shared" si="1"/>
        <v>4372.8999999999996</v>
      </c>
    </row>
    <row r="22" spans="1:7" ht="18" customHeight="1" x14ac:dyDescent="0.25">
      <c r="A22" s="61">
        <v>44145</v>
      </c>
      <c r="B22" s="4" t="s">
        <v>547</v>
      </c>
      <c r="C22" s="74" t="s">
        <v>511</v>
      </c>
      <c r="E22" s="1">
        <v>12494</v>
      </c>
      <c r="F22" s="20">
        <f t="shared" si="0"/>
        <v>8121.1</v>
      </c>
      <c r="G22" s="20">
        <f t="shared" si="1"/>
        <v>4372.8999999999996</v>
      </c>
    </row>
    <row r="23" spans="1:7" ht="18" customHeight="1" x14ac:dyDescent="0.25">
      <c r="A23" s="61">
        <v>44145</v>
      </c>
      <c r="B23" s="4" t="s">
        <v>548</v>
      </c>
      <c r="C23" s="74" t="s">
        <v>511</v>
      </c>
      <c r="E23" s="1">
        <v>12494</v>
      </c>
      <c r="F23" s="20">
        <f t="shared" si="0"/>
        <v>8121.1</v>
      </c>
      <c r="G23" s="20">
        <f t="shared" si="1"/>
        <v>4372.8999999999996</v>
      </c>
    </row>
    <row r="24" spans="1:7" ht="18" customHeight="1" x14ac:dyDescent="0.25">
      <c r="A24" s="61">
        <v>43789</v>
      </c>
      <c r="B24" s="5" t="s">
        <v>526</v>
      </c>
      <c r="C24" s="74" t="s">
        <v>511</v>
      </c>
      <c r="E24" s="1">
        <v>34500</v>
      </c>
      <c r="F24" s="20">
        <f t="shared" si="0"/>
        <v>22425</v>
      </c>
      <c r="G24" s="20">
        <f t="shared" si="1"/>
        <v>12075</v>
      </c>
    </row>
    <row r="25" spans="1:7" ht="18" customHeight="1" x14ac:dyDescent="0.25">
      <c r="A25" s="61">
        <v>43789</v>
      </c>
      <c r="B25" s="5" t="s">
        <v>527</v>
      </c>
      <c r="C25" s="74" t="s">
        <v>511</v>
      </c>
      <c r="E25" s="1">
        <v>34500</v>
      </c>
      <c r="F25" s="20">
        <f t="shared" si="0"/>
        <v>22425</v>
      </c>
      <c r="G25" s="20">
        <f t="shared" si="1"/>
        <v>12075</v>
      </c>
    </row>
    <row r="26" spans="1:7" ht="18" customHeight="1" x14ac:dyDescent="0.25">
      <c r="A26" s="61">
        <v>43789</v>
      </c>
      <c r="B26" s="5" t="s">
        <v>528</v>
      </c>
      <c r="C26" s="74" t="s">
        <v>511</v>
      </c>
      <c r="E26" s="1">
        <v>34500</v>
      </c>
      <c r="F26" s="20">
        <f t="shared" si="0"/>
        <v>22425</v>
      </c>
      <c r="G26" s="20">
        <f t="shared" si="1"/>
        <v>12075</v>
      </c>
    </row>
    <row r="27" spans="1:7" ht="18" customHeight="1" x14ac:dyDescent="0.25">
      <c r="A27" s="61">
        <v>43789</v>
      </c>
      <c r="B27" s="5" t="s">
        <v>529</v>
      </c>
      <c r="C27" s="74" t="s">
        <v>467</v>
      </c>
      <c r="E27" s="1">
        <v>29500</v>
      </c>
      <c r="F27" s="20">
        <f t="shared" si="0"/>
        <v>19175</v>
      </c>
      <c r="G27" s="20">
        <f t="shared" si="1"/>
        <v>10325</v>
      </c>
    </row>
    <row r="28" spans="1:7" ht="18" customHeight="1" x14ac:dyDescent="0.25">
      <c r="A28" s="61">
        <v>43789</v>
      </c>
      <c r="B28" s="4" t="s">
        <v>514</v>
      </c>
      <c r="C28" s="74" t="s">
        <v>10</v>
      </c>
      <c r="E28" s="1">
        <v>19500</v>
      </c>
      <c r="F28" s="20">
        <f t="shared" si="0"/>
        <v>12675</v>
      </c>
      <c r="G28" s="20">
        <f t="shared" si="1"/>
        <v>6825</v>
      </c>
    </row>
    <row r="29" spans="1:7" ht="18" customHeight="1" x14ac:dyDescent="0.25">
      <c r="A29" s="61">
        <v>43791</v>
      </c>
      <c r="B29" s="5" t="s">
        <v>533</v>
      </c>
      <c r="C29" s="74" t="s">
        <v>534</v>
      </c>
      <c r="E29" s="1">
        <v>33000</v>
      </c>
      <c r="F29" s="20">
        <f t="shared" si="0"/>
        <v>21450</v>
      </c>
      <c r="G29" s="20">
        <f t="shared" si="1"/>
        <v>11550</v>
      </c>
    </row>
    <row r="30" spans="1:7" ht="18" customHeight="1" x14ac:dyDescent="0.25">
      <c r="A30" s="61">
        <v>43795</v>
      </c>
      <c r="B30" s="5" t="s">
        <v>535</v>
      </c>
      <c r="C30" s="74" t="s">
        <v>467</v>
      </c>
      <c r="E30" s="1">
        <v>25000</v>
      </c>
      <c r="F30" s="20">
        <f t="shared" si="0"/>
        <v>16250</v>
      </c>
      <c r="G30" s="20">
        <f t="shared" si="1"/>
        <v>8750</v>
      </c>
    </row>
    <row r="31" spans="1:7" ht="18" customHeight="1" x14ac:dyDescent="0.25">
      <c r="A31" s="61">
        <v>43795</v>
      </c>
      <c r="B31" s="5" t="s">
        <v>536</v>
      </c>
      <c r="C31" s="74" t="s">
        <v>0</v>
      </c>
      <c r="E31" s="1">
        <v>30000</v>
      </c>
      <c r="F31" s="20">
        <f t="shared" si="0"/>
        <v>19500</v>
      </c>
      <c r="G31" s="20">
        <f t="shared" si="1"/>
        <v>10500</v>
      </c>
    </row>
    <row r="32" spans="1:7" ht="18" customHeight="1" x14ac:dyDescent="0.25">
      <c r="A32" s="61">
        <v>43795</v>
      </c>
      <c r="B32" s="5" t="s">
        <v>537</v>
      </c>
      <c r="C32" s="74" t="s">
        <v>0</v>
      </c>
      <c r="E32" s="1">
        <v>30000</v>
      </c>
      <c r="F32" s="20">
        <f t="shared" si="0"/>
        <v>19500</v>
      </c>
      <c r="G32" s="20">
        <f t="shared" si="1"/>
        <v>10500</v>
      </c>
    </row>
    <row r="33" spans="1:8" ht="18" customHeight="1" x14ac:dyDescent="0.25">
      <c r="A33" s="61">
        <v>43795</v>
      </c>
      <c r="B33" s="5" t="s">
        <v>538</v>
      </c>
      <c r="C33" s="74" t="s">
        <v>467</v>
      </c>
      <c r="E33" s="1">
        <v>29500</v>
      </c>
      <c r="F33" s="20">
        <f t="shared" si="0"/>
        <v>19175</v>
      </c>
      <c r="G33" s="20">
        <f t="shared" si="1"/>
        <v>10325</v>
      </c>
    </row>
    <row r="34" spans="1:8" ht="18" customHeight="1" x14ac:dyDescent="0.25">
      <c r="A34" s="61">
        <v>43797</v>
      </c>
      <c r="B34" s="5" t="s">
        <v>539</v>
      </c>
      <c r="C34" s="74" t="s">
        <v>11</v>
      </c>
      <c r="E34" s="1">
        <v>29500</v>
      </c>
      <c r="F34" s="20">
        <f t="shared" si="0"/>
        <v>19175</v>
      </c>
      <c r="G34" s="20">
        <f t="shared" si="1"/>
        <v>10325</v>
      </c>
    </row>
    <row r="35" spans="1:8" ht="18" customHeight="1" x14ac:dyDescent="0.25">
      <c r="A35" s="61">
        <v>43797</v>
      </c>
      <c r="B35" s="5" t="s">
        <v>540</v>
      </c>
      <c r="C35" s="74" t="s">
        <v>11</v>
      </c>
      <c r="E35" s="1">
        <v>29500</v>
      </c>
      <c r="F35" s="20">
        <f t="shared" si="0"/>
        <v>19175</v>
      </c>
      <c r="G35" s="20">
        <f t="shared" si="1"/>
        <v>10325</v>
      </c>
    </row>
    <row r="36" spans="1:8" ht="18" customHeight="1" x14ac:dyDescent="0.25">
      <c r="A36" s="61">
        <v>43797</v>
      </c>
      <c r="B36" s="5" t="s">
        <v>541</v>
      </c>
      <c r="C36" s="74" t="s">
        <v>11</v>
      </c>
      <c r="E36" s="1">
        <v>29500</v>
      </c>
      <c r="F36" s="20">
        <f t="shared" si="0"/>
        <v>19175</v>
      </c>
      <c r="G36" s="20">
        <f t="shared" si="1"/>
        <v>10325</v>
      </c>
    </row>
    <row r="37" spans="1:8" ht="18" customHeight="1" x14ac:dyDescent="0.25">
      <c r="A37" s="61">
        <v>44175</v>
      </c>
      <c r="B37" s="5" t="s">
        <v>553</v>
      </c>
      <c r="C37" s="74" t="s">
        <v>11</v>
      </c>
      <c r="E37" s="1">
        <v>29500</v>
      </c>
      <c r="F37" s="20">
        <f t="shared" si="0"/>
        <v>19175</v>
      </c>
      <c r="G37" s="20">
        <f t="shared" si="1"/>
        <v>10325</v>
      </c>
    </row>
    <row r="38" spans="1:8" x14ac:dyDescent="0.25">
      <c r="A38" s="61">
        <v>44178</v>
      </c>
      <c r="B38" s="4" t="s">
        <v>551</v>
      </c>
      <c r="C38" s="74" t="s">
        <v>467</v>
      </c>
      <c r="E38" s="20">
        <v>20500</v>
      </c>
      <c r="F38" s="20">
        <f t="shared" si="0"/>
        <v>13325</v>
      </c>
      <c r="G38" s="20">
        <f t="shared" si="1"/>
        <v>7174.9999999999991</v>
      </c>
    </row>
    <row r="39" spans="1:8" x14ac:dyDescent="0.25">
      <c r="A39" s="61">
        <v>44184</v>
      </c>
      <c r="B39" s="5" t="s">
        <v>556</v>
      </c>
      <c r="C39" s="74" t="s">
        <v>511</v>
      </c>
      <c r="E39" s="1">
        <v>21000</v>
      </c>
      <c r="F39" s="20">
        <f t="shared" si="0"/>
        <v>13650</v>
      </c>
      <c r="G39" s="20">
        <f t="shared" si="1"/>
        <v>7349.9999999999991</v>
      </c>
    </row>
    <row r="40" spans="1:8" x14ac:dyDescent="0.25">
      <c r="A40" s="61">
        <v>44184</v>
      </c>
      <c r="B40" s="5" t="s">
        <v>557</v>
      </c>
      <c r="C40" s="74" t="s">
        <v>511</v>
      </c>
      <c r="E40" s="20">
        <v>21000</v>
      </c>
      <c r="F40" s="20">
        <f t="shared" si="0"/>
        <v>13650</v>
      </c>
      <c r="G40" s="20">
        <f t="shared" si="1"/>
        <v>7349.9999999999991</v>
      </c>
    </row>
    <row r="41" spans="1:8" ht="19.5" x14ac:dyDescent="0.4">
      <c r="C41" s="77" t="s">
        <v>9</v>
      </c>
      <c r="D41" s="77"/>
      <c r="E41" s="23">
        <f>SUM(E6:E40)</f>
        <v>821306</v>
      </c>
      <c r="F41" s="24">
        <f>SUM(F6:F40)</f>
        <v>533848.9</v>
      </c>
      <c r="G41" s="25">
        <f>SUM(G6:G40)</f>
        <v>287457.09999999998</v>
      </c>
      <c r="H41" s="33">
        <v>43857</v>
      </c>
    </row>
    <row r="42" spans="1:8" ht="19.5" x14ac:dyDescent="0.4">
      <c r="C42" s="78"/>
      <c r="D42" s="78"/>
      <c r="E42" s="23"/>
      <c r="F42" s="24"/>
      <c r="G42" s="25"/>
      <c r="H42" s="32"/>
    </row>
    <row r="43" spans="1:8" ht="18" customHeight="1" x14ac:dyDescent="0.25">
      <c r="A43" s="61">
        <v>43549</v>
      </c>
      <c r="B43" s="5" t="s">
        <v>319</v>
      </c>
      <c r="C43" s="74" t="s">
        <v>0</v>
      </c>
      <c r="E43" s="1">
        <v>44500</v>
      </c>
      <c r="F43" s="20">
        <f t="shared" ref="F43:F68" si="2">SUM(E43*0.65)</f>
        <v>28925</v>
      </c>
      <c r="G43" s="20">
        <f t="shared" ref="G43:G68" si="3">SUM(E43*0.35)</f>
        <v>15574.999999999998</v>
      </c>
    </row>
    <row r="44" spans="1:8" ht="18" customHeight="1" x14ac:dyDescent="0.25">
      <c r="A44" s="61">
        <v>43566</v>
      </c>
      <c r="B44" s="4" t="s">
        <v>322</v>
      </c>
      <c r="C44" s="74" t="s">
        <v>57</v>
      </c>
      <c r="E44" s="1">
        <v>24777</v>
      </c>
      <c r="F44" s="20">
        <f t="shared" si="2"/>
        <v>16105.050000000001</v>
      </c>
      <c r="G44" s="20">
        <f t="shared" si="3"/>
        <v>8671.9499999999989</v>
      </c>
    </row>
    <row r="45" spans="1:8" ht="18" customHeight="1" x14ac:dyDescent="0.25">
      <c r="A45" s="61">
        <v>43707</v>
      </c>
      <c r="B45" s="5" t="s">
        <v>437</v>
      </c>
      <c r="C45" s="74" t="s">
        <v>7</v>
      </c>
      <c r="E45" s="1">
        <v>30000</v>
      </c>
      <c r="F45" s="20">
        <f t="shared" si="2"/>
        <v>19500</v>
      </c>
      <c r="G45" s="20">
        <f t="shared" si="3"/>
        <v>10500</v>
      </c>
    </row>
    <row r="46" spans="1:8" ht="18" customHeight="1" x14ac:dyDescent="0.25">
      <c r="A46" s="61">
        <v>43720</v>
      </c>
      <c r="B46" s="5" t="s">
        <v>447</v>
      </c>
      <c r="C46" s="74" t="s">
        <v>57</v>
      </c>
      <c r="E46" s="1">
        <v>37000</v>
      </c>
      <c r="F46" s="20">
        <f t="shared" si="2"/>
        <v>24050</v>
      </c>
      <c r="G46" s="20">
        <f t="shared" si="3"/>
        <v>12950</v>
      </c>
    </row>
    <row r="47" spans="1:8" ht="18" customHeight="1" x14ac:dyDescent="0.25">
      <c r="A47" s="61">
        <v>43726</v>
      </c>
      <c r="B47" s="4" t="s">
        <v>457</v>
      </c>
      <c r="C47" s="74" t="s">
        <v>57</v>
      </c>
      <c r="E47" s="1">
        <v>8808</v>
      </c>
      <c r="F47" s="20">
        <f t="shared" si="2"/>
        <v>5725.2</v>
      </c>
      <c r="G47" s="20">
        <f t="shared" si="3"/>
        <v>3082.7999999999997</v>
      </c>
    </row>
    <row r="48" spans="1:8" ht="18" customHeight="1" x14ac:dyDescent="0.25">
      <c r="A48" s="61">
        <v>43728</v>
      </c>
      <c r="B48" s="4" t="s">
        <v>459</v>
      </c>
      <c r="C48" s="74" t="s">
        <v>7</v>
      </c>
      <c r="E48" s="1">
        <v>7679</v>
      </c>
      <c r="F48" s="20">
        <f t="shared" si="2"/>
        <v>4991.3500000000004</v>
      </c>
      <c r="G48" s="20">
        <f t="shared" si="3"/>
        <v>2687.6499999999996</v>
      </c>
    </row>
    <row r="49" spans="1:7" ht="18" customHeight="1" x14ac:dyDescent="0.25">
      <c r="A49" s="61">
        <v>43759</v>
      </c>
      <c r="B49" s="5" t="s">
        <v>493</v>
      </c>
      <c r="C49" s="74" t="s">
        <v>494</v>
      </c>
      <c r="E49" s="1">
        <v>32500</v>
      </c>
      <c r="F49" s="20">
        <f t="shared" si="2"/>
        <v>21125</v>
      </c>
      <c r="G49" s="20">
        <f t="shared" si="3"/>
        <v>11375</v>
      </c>
    </row>
    <row r="50" spans="1:7" ht="18" customHeight="1" x14ac:dyDescent="0.25">
      <c r="A50" s="61">
        <v>43768</v>
      </c>
      <c r="B50" s="5" t="s">
        <v>495</v>
      </c>
      <c r="C50" s="74" t="s">
        <v>57</v>
      </c>
      <c r="E50" s="1">
        <v>28000</v>
      </c>
      <c r="F50" s="20">
        <f t="shared" si="2"/>
        <v>18200</v>
      </c>
      <c r="G50" s="20">
        <f t="shared" si="3"/>
        <v>9800</v>
      </c>
    </row>
    <row r="51" spans="1:7" ht="18" customHeight="1" x14ac:dyDescent="0.25">
      <c r="A51" s="61">
        <v>43776</v>
      </c>
      <c r="B51" s="5" t="s">
        <v>499</v>
      </c>
      <c r="C51" s="74" t="s">
        <v>7</v>
      </c>
      <c r="E51" s="1">
        <v>10000</v>
      </c>
      <c r="F51" s="20">
        <f t="shared" si="2"/>
        <v>6500</v>
      </c>
      <c r="G51" s="20">
        <f t="shared" si="3"/>
        <v>3500</v>
      </c>
    </row>
    <row r="52" spans="1:7" ht="18" customHeight="1" x14ac:dyDescent="0.25">
      <c r="A52" s="61">
        <v>43776</v>
      </c>
      <c r="B52" s="4" t="s">
        <v>492</v>
      </c>
      <c r="C52" s="74" t="s">
        <v>57</v>
      </c>
      <c r="E52" s="1">
        <v>19500</v>
      </c>
      <c r="F52" s="20">
        <f t="shared" si="2"/>
        <v>12675</v>
      </c>
      <c r="G52" s="35">
        <f t="shared" si="3"/>
        <v>6825</v>
      </c>
    </row>
    <row r="53" spans="1:7" ht="18" customHeight="1" x14ac:dyDescent="0.25">
      <c r="A53" s="61">
        <v>43789</v>
      </c>
      <c r="B53" s="4" t="s">
        <v>512</v>
      </c>
      <c r="C53" s="74" t="s">
        <v>467</v>
      </c>
      <c r="E53" s="1">
        <v>14416</v>
      </c>
      <c r="F53" s="20">
        <f t="shared" si="2"/>
        <v>9370.4</v>
      </c>
      <c r="G53" s="20">
        <f t="shared" si="3"/>
        <v>5045.5999999999995</v>
      </c>
    </row>
    <row r="54" spans="1:7" ht="18" customHeight="1" x14ac:dyDescent="0.25">
      <c r="A54" s="61">
        <v>43789</v>
      </c>
      <c r="B54" s="4" t="s">
        <v>513</v>
      </c>
      <c r="C54" s="74" t="s">
        <v>467</v>
      </c>
      <c r="E54" s="1">
        <v>14416</v>
      </c>
      <c r="F54" s="20">
        <f t="shared" si="2"/>
        <v>9370.4</v>
      </c>
      <c r="G54" s="20">
        <f t="shared" si="3"/>
        <v>5045.5999999999995</v>
      </c>
    </row>
    <row r="55" spans="1:7" ht="18" customHeight="1" x14ac:dyDescent="0.25">
      <c r="A55" s="61">
        <v>43790</v>
      </c>
      <c r="B55" s="4" t="s">
        <v>516</v>
      </c>
      <c r="C55" s="74" t="s">
        <v>7</v>
      </c>
      <c r="E55" s="1">
        <v>9500</v>
      </c>
      <c r="F55" s="20">
        <f t="shared" si="2"/>
        <v>6175</v>
      </c>
      <c r="G55" s="20">
        <f t="shared" si="3"/>
        <v>3325</v>
      </c>
    </row>
    <row r="56" spans="1:7" ht="18" customHeight="1" x14ac:dyDescent="0.25">
      <c r="A56" s="61">
        <v>43802</v>
      </c>
      <c r="B56" s="5" t="s">
        <v>544</v>
      </c>
      <c r="C56" s="74" t="s">
        <v>534</v>
      </c>
      <c r="E56" s="1">
        <v>15000</v>
      </c>
      <c r="F56" s="20">
        <f t="shared" si="2"/>
        <v>9750</v>
      </c>
      <c r="G56" s="20">
        <f t="shared" si="3"/>
        <v>5250</v>
      </c>
    </row>
    <row r="57" spans="1:7" ht="18" customHeight="1" x14ac:dyDescent="0.25">
      <c r="A57" s="61">
        <v>43802</v>
      </c>
      <c r="B57" s="5" t="s">
        <v>545</v>
      </c>
      <c r="C57" s="74" t="s">
        <v>7</v>
      </c>
      <c r="E57" s="1">
        <v>15000</v>
      </c>
      <c r="F57" s="20">
        <f t="shared" si="2"/>
        <v>9750</v>
      </c>
      <c r="G57" s="20">
        <f t="shared" si="3"/>
        <v>5250</v>
      </c>
    </row>
    <row r="58" spans="1:7" ht="18" customHeight="1" x14ac:dyDescent="0.25">
      <c r="A58" s="61">
        <v>44175</v>
      </c>
      <c r="B58" s="5" t="s">
        <v>554</v>
      </c>
      <c r="C58" s="74" t="s">
        <v>11</v>
      </c>
      <c r="E58" s="1">
        <v>29500</v>
      </c>
      <c r="F58" s="20">
        <f t="shared" si="2"/>
        <v>19175</v>
      </c>
      <c r="G58" s="20">
        <f t="shared" si="3"/>
        <v>10325</v>
      </c>
    </row>
    <row r="59" spans="1:7" ht="18" customHeight="1" x14ac:dyDescent="0.25">
      <c r="A59" s="61">
        <v>44184</v>
      </c>
      <c r="B59" s="5" t="s">
        <v>555</v>
      </c>
      <c r="C59" s="74" t="s">
        <v>7</v>
      </c>
      <c r="E59" s="1">
        <v>21000</v>
      </c>
      <c r="F59" s="20">
        <f t="shared" si="2"/>
        <v>13650</v>
      </c>
      <c r="G59" s="20">
        <f t="shared" si="3"/>
        <v>7349.9999999999991</v>
      </c>
    </row>
    <row r="60" spans="1:7" ht="18" customHeight="1" x14ac:dyDescent="0.25">
      <c r="A60" s="61">
        <v>44188</v>
      </c>
      <c r="B60" s="5" t="s">
        <v>558</v>
      </c>
      <c r="C60" s="74" t="s">
        <v>11</v>
      </c>
      <c r="E60" s="1">
        <v>29500</v>
      </c>
      <c r="F60" s="20">
        <f t="shared" si="2"/>
        <v>19175</v>
      </c>
      <c r="G60" s="20">
        <f t="shared" si="3"/>
        <v>10325</v>
      </c>
    </row>
    <row r="61" spans="1:7" ht="18" customHeight="1" x14ac:dyDescent="0.25">
      <c r="A61" s="61">
        <v>44188</v>
      </c>
      <c r="B61" s="5" t="s">
        <v>559</v>
      </c>
      <c r="C61" s="74" t="s">
        <v>11</v>
      </c>
      <c r="E61" s="1">
        <v>29500</v>
      </c>
      <c r="F61" s="20">
        <f t="shared" si="2"/>
        <v>19175</v>
      </c>
      <c r="G61" s="20">
        <f t="shared" si="3"/>
        <v>10325</v>
      </c>
    </row>
    <row r="62" spans="1:7" ht="18" customHeight="1" x14ac:dyDescent="0.25">
      <c r="A62" s="61">
        <v>44188</v>
      </c>
      <c r="B62" s="5" t="s">
        <v>560</v>
      </c>
      <c r="C62" s="74" t="s">
        <v>11</v>
      </c>
      <c r="E62" s="1">
        <v>29500</v>
      </c>
      <c r="F62" s="20">
        <f t="shared" si="2"/>
        <v>19175</v>
      </c>
      <c r="G62" s="20">
        <f t="shared" si="3"/>
        <v>10325</v>
      </c>
    </row>
    <row r="63" spans="1:7" x14ac:dyDescent="0.25">
      <c r="A63" s="61">
        <v>43851</v>
      </c>
      <c r="B63" s="4" t="s">
        <v>566</v>
      </c>
      <c r="C63" s="74" t="s">
        <v>11</v>
      </c>
      <c r="E63" s="20">
        <v>6406</v>
      </c>
      <c r="F63" s="20">
        <f t="shared" si="2"/>
        <v>4163.9000000000005</v>
      </c>
      <c r="G63" s="20">
        <f t="shared" si="3"/>
        <v>2242.1</v>
      </c>
    </row>
    <row r="64" spans="1:7" ht="18" customHeight="1" x14ac:dyDescent="0.25">
      <c r="A64" s="61">
        <v>43864</v>
      </c>
      <c r="B64" s="5" t="s">
        <v>574</v>
      </c>
      <c r="C64" s="74" t="s">
        <v>511</v>
      </c>
      <c r="E64" s="1">
        <v>21000</v>
      </c>
      <c r="F64" s="20">
        <f t="shared" si="2"/>
        <v>13650</v>
      </c>
      <c r="G64" s="20">
        <f t="shared" si="3"/>
        <v>7349.9999999999991</v>
      </c>
    </row>
    <row r="65" spans="1:8" ht="18" customHeight="1" x14ac:dyDescent="0.25">
      <c r="A65" s="61">
        <v>43864</v>
      </c>
      <c r="B65" s="5" t="s">
        <v>575</v>
      </c>
      <c r="C65" s="74" t="s">
        <v>511</v>
      </c>
      <c r="E65" s="1">
        <v>21000</v>
      </c>
      <c r="F65" s="20">
        <f t="shared" si="2"/>
        <v>13650</v>
      </c>
      <c r="G65" s="20">
        <f t="shared" si="3"/>
        <v>7349.9999999999991</v>
      </c>
    </row>
    <row r="66" spans="1:8" ht="18" customHeight="1" x14ac:dyDescent="0.25">
      <c r="A66" s="61">
        <v>43864</v>
      </c>
      <c r="B66" s="5" t="s">
        <v>572</v>
      </c>
      <c r="C66" s="74" t="s">
        <v>511</v>
      </c>
      <c r="E66" s="1">
        <v>34500</v>
      </c>
      <c r="F66" s="20">
        <f t="shared" si="2"/>
        <v>22425</v>
      </c>
      <c r="G66" s="35">
        <f t="shared" si="3"/>
        <v>12075</v>
      </c>
    </row>
    <row r="67" spans="1:8" ht="18" customHeight="1" x14ac:dyDescent="0.25">
      <c r="A67" s="61">
        <v>43864</v>
      </c>
      <c r="B67" s="5" t="s">
        <v>573</v>
      </c>
      <c r="C67" s="74" t="s">
        <v>511</v>
      </c>
      <c r="E67" s="1">
        <v>34500</v>
      </c>
      <c r="F67" s="20">
        <f t="shared" si="2"/>
        <v>22425</v>
      </c>
      <c r="G67" s="35">
        <f t="shared" si="3"/>
        <v>12075</v>
      </c>
    </row>
    <row r="68" spans="1:8" ht="18" customHeight="1" x14ac:dyDescent="0.25">
      <c r="A68" s="61">
        <v>43864</v>
      </c>
      <c r="B68" s="4" t="s">
        <v>577</v>
      </c>
      <c r="C68" s="74" t="s">
        <v>57</v>
      </c>
      <c r="E68" s="1">
        <v>19200</v>
      </c>
      <c r="F68" s="20">
        <f t="shared" si="2"/>
        <v>12480</v>
      </c>
      <c r="G68" s="35">
        <f t="shared" si="3"/>
        <v>6720</v>
      </c>
    </row>
    <row r="69" spans="1:8" ht="19.5" x14ac:dyDescent="0.4">
      <c r="C69" s="77" t="s">
        <v>9</v>
      </c>
      <c r="D69" s="77"/>
      <c r="E69" s="23">
        <f>SUM(E43:E68)</f>
        <v>586702</v>
      </c>
      <c r="F69" s="24">
        <f>SUM(F43:F68)</f>
        <v>381356.30000000005</v>
      </c>
      <c r="G69" s="25">
        <f>SUM(G43:G68)</f>
        <v>205345.7</v>
      </c>
      <c r="H69" s="33">
        <v>43870</v>
      </c>
    </row>
    <row r="70" spans="1:8" x14ac:dyDescent="0.25">
      <c r="E70" s="20"/>
      <c r="F70" s="20"/>
      <c r="G70" s="20"/>
    </row>
    <row r="71" spans="1:8" ht="18" customHeight="1" x14ac:dyDescent="0.25">
      <c r="A71" s="61">
        <v>43663</v>
      </c>
      <c r="B71" s="4" t="s">
        <v>389</v>
      </c>
      <c r="C71" s="74" t="s">
        <v>7</v>
      </c>
      <c r="E71" s="1">
        <v>16500</v>
      </c>
      <c r="F71" s="20">
        <f t="shared" ref="F71:F91" si="4">SUM(E71*0.65)</f>
        <v>10725</v>
      </c>
      <c r="G71" s="35">
        <f t="shared" ref="G71:G91" si="5">SUM(E71*0.35)</f>
        <v>5775</v>
      </c>
    </row>
    <row r="72" spans="1:8" ht="18" customHeight="1" x14ac:dyDescent="0.25">
      <c r="A72" s="61">
        <v>43668</v>
      </c>
      <c r="B72" s="4" t="s">
        <v>397</v>
      </c>
      <c r="C72" s="74" t="s">
        <v>7</v>
      </c>
      <c r="E72" s="1">
        <v>11500</v>
      </c>
      <c r="F72" s="20">
        <f t="shared" si="4"/>
        <v>7475</v>
      </c>
      <c r="G72" s="35">
        <f t="shared" si="5"/>
        <v>4024.9999999999995</v>
      </c>
    </row>
    <row r="73" spans="1:8" ht="18" customHeight="1" x14ac:dyDescent="0.25">
      <c r="A73" s="61">
        <v>43670</v>
      </c>
      <c r="B73" s="4" t="s">
        <v>400</v>
      </c>
      <c r="C73" s="74" t="s">
        <v>11</v>
      </c>
      <c r="E73" s="1">
        <v>37000</v>
      </c>
      <c r="F73" s="20">
        <f t="shared" si="4"/>
        <v>24050</v>
      </c>
      <c r="G73" s="35">
        <f t="shared" si="5"/>
        <v>12950</v>
      </c>
    </row>
    <row r="74" spans="1:8" ht="18" customHeight="1" x14ac:dyDescent="0.25">
      <c r="A74" s="61">
        <v>43670</v>
      </c>
      <c r="B74" s="4" t="s">
        <v>401</v>
      </c>
      <c r="C74" s="74" t="s">
        <v>0</v>
      </c>
      <c r="E74" s="1">
        <v>18840</v>
      </c>
      <c r="F74" s="20">
        <f t="shared" si="4"/>
        <v>12246</v>
      </c>
      <c r="G74" s="35">
        <f t="shared" si="5"/>
        <v>6594</v>
      </c>
    </row>
    <row r="75" spans="1:8" ht="18" customHeight="1" x14ac:dyDescent="0.25">
      <c r="A75" s="61">
        <v>43690</v>
      </c>
      <c r="B75" s="4" t="s">
        <v>407</v>
      </c>
      <c r="C75" s="74" t="s">
        <v>57</v>
      </c>
      <c r="E75" s="1">
        <v>10664</v>
      </c>
      <c r="F75" s="20">
        <f t="shared" si="4"/>
        <v>6931.6</v>
      </c>
      <c r="G75" s="35">
        <f t="shared" si="5"/>
        <v>3732.3999999999996</v>
      </c>
    </row>
    <row r="76" spans="1:8" ht="18" customHeight="1" x14ac:dyDescent="0.25">
      <c r="A76" s="61">
        <v>43690</v>
      </c>
      <c r="B76" s="4" t="s">
        <v>408</v>
      </c>
      <c r="C76" s="74" t="s">
        <v>57</v>
      </c>
      <c r="E76" s="1">
        <v>10583</v>
      </c>
      <c r="F76" s="20">
        <f t="shared" si="4"/>
        <v>6878.95</v>
      </c>
      <c r="G76" s="35">
        <f t="shared" si="5"/>
        <v>3704.0499999999997</v>
      </c>
    </row>
    <row r="77" spans="1:8" ht="18" customHeight="1" x14ac:dyDescent="0.25">
      <c r="A77" s="61">
        <v>43704</v>
      </c>
      <c r="B77" s="4" t="s">
        <v>419</v>
      </c>
      <c r="C77" s="74" t="s">
        <v>0</v>
      </c>
      <c r="E77" s="1">
        <v>24920</v>
      </c>
      <c r="F77" s="20">
        <f t="shared" si="4"/>
        <v>16198</v>
      </c>
      <c r="G77" s="35">
        <f t="shared" si="5"/>
        <v>8722</v>
      </c>
    </row>
    <row r="78" spans="1:8" ht="18" customHeight="1" x14ac:dyDescent="0.25">
      <c r="A78" s="61">
        <v>43725</v>
      </c>
      <c r="B78" s="4" t="s">
        <v>484</v>
      </c>
      <c r="C78" s="74" t="s">
        <v>11</v>
      </c>
      <c r="E78" s="1">
        <v>10951</v>
      </c>
      <c r="F78" s="20">
        <f t="shared" si="4"/>
        <v>7118.1500000000005</v>
      </c>
      <c r="G78" s="35">
        <f t="shared" si="5"/>
        <v>3832.85</v>
      </c>
    </row>
    <row r="79" spans="1:8" ht="18" customHeight="1" x14ac:dyDescent="0.25">
      <c r="A79" s="61">
        <v>43731</v>
      </c>
      <c r="B79" s="4" t="s">
        <v>460</v>
      </c>
      <c r="C79" s="74" t="s">
        <v>7</v>
      </c>
      <c r="E79" s="1">
        <v>7500</v>
      </c>
      <c r="F79" s="20">
        <f t="shared" si="4"/>
        <v>4875</v>
      </c>
      <c r="G79" s="35">
        <f t="shared" si="5"/>
        <v>2625</v>
      </c>
    </row>
    <row r="80" spans="1:8" ht="18" customHeight="1" x14ac:dyDescent="0.25">
      <c r="A80" s="61">
        <v>43731</v>
      </c>
      <c r="B80" s="4" t="s">
        <v>461</v>
      </c>
      <c r="C80" s="74" t="s">
        <v>7</v>
      </c>
      <c r="E80" s="1">
        <v>7500</v>
      </c>
      <c r="F80" s="20">
        <f t="shared" si="4"/>
        <v>4875</v>
      </c>
      <c r="G80" s="35">
        <f t="shared" si="5"/>
        <v>2625</v>
      </c>
    </row>
    <row r="81" spans="1:8" ht="18" customHeight="1" x14ac:dyDescent="0.25">
      <c r="A81" s="61">
        <v>43732</v>
      </c>
      <c r="B81" s="4" t="s">
        <v>463</v>
      </c>
      <c r="C81" s="74" t="s">
        <v>11</v>
      </c>
      <c r="E81" s="1">
        <v>10629</v>
      </c>
      <c r="F81" s="20">
        <f t="shared" si="4"/>
        <v>6908.85</v>
      </c>
      <c r="G81" s="35">
        <f t="shared" si="5"/>
        <v>3720.1499999999996</v>
      </c>
    </row>
    <row r="82" spans="1:8" ht="18" customHeight="1" x14ac:dyDescent="0.25">
      <c r="A82" s="61">
        <v>43753</v>
      </c>
      <c r="B82" s="4" t="s">
        <v>471</v>
      </c>
      <c r="C82" s="74" t="s">
        <v>467</v>
      </c>
      <c r="E82" s="1">
        <v>10215</v>
      </c>
      <c r="F82" s="20">
        <f t="shared" si="4"/>
        <v>6639.75</v>
      </c>
      <c r="G82" s="35">
        <f t="shared" si="5"/>
        <v>3575.25</v>
      </c>
    </row>
    <row r="83" spans="1:8" ht="18" customHeight="1" x14ac:dyDescent="0.25">
      <c r="A83" s="61">
        <v>43762</v>
      </c>
      <c r="B83" s="4" t="s">
        <v>480</v>
      </c>
      <c r="C83" s="74" t="s">
        <v>467</v>
      </c>
      <c r="E83" s="1">
        <v>10629</v>
      </c>
      <c r="F83" s="20">
        <f t="shared" si="4"/>
        <v>6908.85</v>
      </c>
      <c r="G83" s="35">
        <f t="shared" si="5"/>
        <v>3720.1499999999996</v>
      </c>
    </row>
    <row r="84" spans="1:8" ht="18" customHeight="1" x14ac:dyDescent="0.25">
      <c r="A84" s="61">
        <v>43774</v>
      </c>
      <c r="B84" s="4" t="s">
        <v>486</v>
      </c>
      <c r="C84" s="74" t="s">
        <v>467</v>
      </c>
      <c r="E84" s="1">
        <v>11479</v>
      </c>
      <c r="F84" s="20">
        <f t="shared" si="4"/>
        <v>7461.35</v>
      </c>
      <c r="G84" s="35">
        <f t="shared" si="5"/>
        <v>4017.6499999999996</v>
      </c>
    </row>
    <row r="85" spans="1:8" ht="18" customHeight="1" x14ac:dyDescent="0.25">
      <c r="A85" s="61">
        <v>44145</v>
      </c>
      <c r="B85" s="4" t="s">
        <v>549</v>
      </c>
      <c r="C85" s="74" t="s">
        <v>57</v>
      </c>
      <c r="E85" s="1">
        <v>19500</v>
      </c>
      <c r="F85" s="20">
        <f t="shared" si="4"/>
        <v>12675</v>
      </c>
      <c r="G85" s="35">
        <f t="shared" si="5"/>
        <v>6825</v>
      </c>
    </row>
    <row r="86" spans="1:8" ht="18" customHeight="1" x14ac:dyDescent="0.25">
      <c r="A86" s="61">
        <v>44145</v>
      </c>
      <c r="B86" s="4" t="s">
        <v>550</v>
      </c>
      <c r="C86" s="74" t="s">
        <v>57</v>
      </c>
      <c r="E86" s="1">
        <v>19500</v>
      </c>
      <c r="F86" s="20">
        <f t="shared" si="4"/>
        <v>12675</v>
      </c>
      <c r="G86" s="35">
        <f t="shared" si="5"/>
        <v>6825</v>
      </c>
    </row>
    <row r="87" spans="1:8" ht="18" customHeight="1" x14ac:dyDescent="0.25">
      <c r="A87" s="61">
        <v>43787</v>
      </c>
      <c r="B87" s="5" t="s">
        <v>509</v>
      </c>
      <c r="C87" s="74" t="s">
        <v>7</v>
      </c>
      <c r="E87" s="1">
        <v>10000</v>
      </c>
      <c r="F87" s="20">
        <f t="shared" si="4"/>
        <v>6500</v>
      </c>
      <c r="G87" s="35">
        <f t="shared" si="5"/>
        <v>3500</v>
      </c>
    </row>
    <row r="88" spans="1:8" ht="18" customHeight="1" x14ac:dyDescent="0.25">
      <c r="A88" s="61">
        <v>43791</v>
      </c>
      <c r="B88" s="5" t="s">
        <v>532</v>
      </c>
      <c r="C88" s="74" t="s">
        <v>7</v>
      </c>
      <c r="E88" s="1">
        <v>10000</v>
      </c>
      <c r="F88" s="20">
        <f t="shared" si="4"/>
        <v>6500</v>
      </c>
      <c r="G88" s="35">
        <f t="shared" si="5"/>
        <v>3500</v>
      </c>
    </row>
    <row r="89" spans="1:8" ht="18" customHeight="1" x14ac:dyDescent="0.25">
      <c r="A89" s="61">
        <v>43791</v>
      </c>
      <c r="B89" s="4" t="s">
        <v>518</v>
      </c>
      <c r="C89" s="74" t="s">
        <v>7</v>
      </c>
      <c r="E89" s="1">
        <v>19864</v>
      </c>
      <c r="F89" s="20">
        <f t="shared" si="4"/>
        <v>12911.6</v>
      </c>
      <c r="G89" s="35">
        <f t="shared" si="5"/>
        <v>6952.4</v>
      </c>
    </row>
    <row r="90" spans="1:8" ht="18" customHeight="1" x14ac:dyDescent="0.25">
      <c r="A90" s="61">
        <v>43791</v>
      </c>
      <c r="B90" s="4" t="s">
        <v>517</v>
      </c>
      <c r="C90" s="74" t="s">
        <v>7</v>
      </c>
      <c r="E90" s="1">
        <v>19864</v>
      </c>
      <c r="F90" s="20">
        <f t="shared" si="4"/>
        <v>12911.6</v>
      </c>
      <c r="G90" s="35">
        <f t="shared" si="5"/>
        <v>6952.4</v>
      </c>
    </row>
    <row r="91" spans="1:8" ht="18" customHeight="1" x14ac:dyDescent="0.25">
      <c r="A91" s="61">
        <v>43794</v>
      </c>
      <c r="B91" s="4" t="s">
        <v>520</v>
      </c>
      <c r="C91" s="74" t="s">
        <v>0</v>
      </c>
      <c r="E91" s="1">
        <v>16885</v>
      </c>
      <c r="F91" s="20">
        <f t="shared" si="4"/>
        <v>10975.25</v>
      </c>
      <c r="G91" s="35">
        <f t="shared" si="5"/>
        <v>5909.75</v>
      </c>
    </row>
    <row r="92" spans="1:8" ht="18" customHeight="1" x14ac:dyDescent="0.4">
      <c r="C92" s="77" t="s">
        <v>9</v>
      </c>
      <c r="D92" s="77"/>
      <c r="E92" s="23">
        <f>SUM(E71:E91)</f>
        <v>314523</v>
      </c>
      <c r="F92" s="24">
        <f>SUM(F71:F91)</f>
        <v>204439.95</v>
      </c>
      <c r="G92" s="25">
        <f>SUM(G71:G91)</f>
        <v>110083.04999999999</v>
      </c>
      <c r="H92" s="36">
        <v>44132</v>
      </c>
    </row>
    <row r="93" spans="1:8" ht="18" customHeight="1" x14ac:dyDescent="0.25">
      <c r="E93" s="20"/>
      <c r="F93" s="20"/>
      <c r="G93" s="20"/>
    </row>
    <row r="94" spans="1:8" ht="18" customHeight="1" x14ac:dyDescent="0.25">
      <c r="A94" s="61">
        <v>43663</v>
      </c>
      <c r="B94" s="4" t="s">
        <v>390</v>
      </c>
      <c r="C94" s="74" t="s">
        <v>7</v>
      </c>
      <c r="E94" s="1">
        <v>16500</v>
      </c>
      <c r="F94" s="20">
        <f t="shared" ref="F94:F108" si="6">SUM(E94*0.65)</f>
        <v>10725</v>
      </c>
      <c r="G94" s="35">
        <f t="shared" ref="G94:G108" si="7">SUM(E94*0.35)</f>
        <v>5775</v>
      </c>
    </row>
    <row r="95" spans="1:8" ht="18" customHeight="1" x14ac:dyDescent="0.25">
      <c r="A95" s="61">
        <v>43665</v>
      </c>
      <c r="B95" s="5" t="s">
        <v>395</v>
      </c>
      <c r="C95" s="74" t="s">
        <v>0</v>
      </c>
      <c r="E95" s="1">
        <v>35714.29</v>
      </c>
      <c r="F95" s="20">
        <f t="shared" si="6"/>
        <v>23214.288500000002</v>
      </c>
      <c r="G95" s="35">
        <f t="shared" si="7"/>
        <v>12500.0015</v>
      </c>
    </row>
    <row r="96" spans="1:8" ht="18" customHeight="1" x14ac:dyDescent="0.25">
      <c r="A96" s="61">
        <v>43665</v>
      </c>
      <c r="B96" s="5" t="s">
        <v>396</v>
      </c>
      <c r="C96" s="74" t="s">
        <v>0</v>
      </c>
      <c r="E96" s="1">
        <v>35714.29</v>
      </c>
      <c r="F96" s="20">
        <f t="shared" si="6"/>
        <v>23214.288500000002</v>
      </c>
      <c r="G96" s="35">
        <f t="shared" si="7"/>
        <v>12500.0015</v>
      </c>
    </row>
    <row r="97" spans="1:8" ht="18" customHeight="1" x14ac:dyDescent="0.25">
      <c r="A97" s="61">
        <v>43803</v>
      </c>
      <c r="B97" s="4" t="s">
        <v>523</v>
      </c>
      <c r="C97" s="74" t="s">
        <v>11</v>
      </c>
      <c r="E97" s="1">
        <v>85500</v>
      </c>
      <c r="F97" s="20">
        <f t="shared" si="6"/>
        <v>55575</v>
      </c>
      <c r="G97" s="35">
        <f t="shared" si="7"/>
        <v>29924.999999999996</v>
      </c>
    </row>
    <row r="98" spans="1:8" ht="18" customHeight="1" x14ac:dyDescent="0.25">
      <c r="A98" s="61">
        <v>43803</v>
      </c>
      <c r="B98" s="4" t="s">
        <v>525</v>
      </c>
      <c r="C98" s="74" t="s">
        <v>7</v>
      </c>
      <c r="E98" s="1">
        <v>7050</v>
      </c>
      <c r="F98" s="20">
        <f t="shared" si="6"/>
        <v>4582.5</v>
      </c>
      <c r="G98" s="35">
        <f t="shared" si="7"/>
        <v>2467.5</v>
      </c>
    </row>
    <row r="99" spans="1:8" x14ac:dyDescent="0.25">
      <c r="A99" s="61">
        <v>44184</v>
      </c>
      <c r="B99" s="4" t="s">
        <v>552</v>
      </c>
      <c r="C99" s="74" t="s">
        <v>7</v>
      </c>
      <c r="E99" s="20">
        <v>7100</v>
      </c>
      <c r="F99" s="20">
        <f t="shared" si="6"/>
        <v>4615</v>
      </c>
      <c r="G99" s="35">
        <f t="shared" si="7"/>
        <v>2485</v>
      </c>
    </row>
    <row r="100" spans="1:8" ht="18" customHeight="1" x14ac:dyDescent="0.25">
      <c r="A100" s="61">
        <v>43838</v>
      </c>
      <c r="B100" s="5" t="s">
        <v>562</v>
      </c>
      <c r="C100" s="74" t="s">
        <v>511</v>
      </c>
      <c r="E100" s="1">
        <v>75000</v>
      </c>
      <c r="F100" s="20">
        <f t="shared" si="6"/>
        <v>48750</v>
      </c>
      <c r="G100" s="35">
        <f t="shared" si="7"/>
        <v>26250</v>
      </c>
    </row>
    <row r="101" spans="1:8" ht="18" customHeight="1" x14ac:dyDescent="0.25">
      <c r="A101" s="61">
        <v>43838</v>
      </c>
      <c r="B101" s="5" t="s">
        <v>563</v>
      </c>
      <c r="C101" s="74" t="s">
        <v>11</v>
      </c>
      <c r="E101" s="1">
        <v>29500</v>
      </c>
      <c r="F101" s="20">
        <f t="shared" si="6"/>
        <v>19175</v>
      </c>
      <c r="G101" s="35">
        <f t="shared" si="7"/>
        <v>10325</v>
      </c>
    </row>
    <row r="102" spans="1:8" ht="18" customHeight="1" x14ac:dyDescent="0.25">
      <c r="A102" s="61">
        <v>43845</v>
      </c>
      <c r="B102" s="5" t="s">
        <v>568</v>
      </c>
      <c r="C102" s="74" t="s">
        <v>11</v>
      </c>
      <c r="E102" s="1">
        <v>29500</v>
      </c>
      <c r="F102" s="20">
        <f t="shared" si="6"/>
        <v>19175</v>
      </c>
      <c r="G102" s="35">
        <f t="shared" si="7"/>
        <v>10325</v>
      </c>
    </row>
    <row r="103" spans="1:8" ht="18" customHeight="1" x14ac:dyDescent="0.25">
      <c r="A103" s="61">
        <v>43851</v>
      </c>
      <c r="B103" s="4" t="s">
        <v>567</v>
      </c>
      <c r="C103" s="74" t="s">
        <v>511</v>
      </c>
      <c r="E103" s="1">
        <v>5657</v>
      </c>
      <c r="F103" s="20">
        <f t="shared" si="6"/>
        <v>3677.05</v>
      </c>
      <c r="G103" s="35">
        <f t="shared" si="7"/>
        <v>1979.9499999999998</v>
      </c>
    </row>
    <row r="104" spans="1:8" ht="18" customHeight="1" x14ac:dyDescent="0.25">
      <c r="A104" s="61">
        <v>43866</v>
      </c>
      <c r="B104" s="5" t="s">
        <v>581</v>
      </c>
      <c r="C104" s="74" t="s">
        <v>0</v>
      </c>
      <c r="E104" s="1">
        <v>30000</v>
      </c>
      <c r="F104" s="20">
        <f t="shared" si="6"/>
        <v>19500</v>
      </c>
      <c r="G104" s="35">
        <f t="shared" si="7"/>
        <v>10500</v>
      </c>
    </row>
    <row r="105" spans="1:8" ht="18" customHeight="1" x14ac:dyDescent="0.25">
      <c r="A105" s="61">
        <v>43878</v>
      </c>
      <c r="B105" s="5" t="s">
        <v>584</v>
      </c>
      <c r="C105" s="74" t="s">
        <v>511</v>
      </c>
      <c r="E105" s="1">
        <v>35000</v>
      </c>
      <c r="F105" s="20">
        <f t="shared" si="6"/>
        <v>22750</v>
      </c>
      <c r="G105" s="35">
        <f t="shared" si="7"/>
        <v>12250</v>
      </c>
    </row>
    <row r="106" spans="1:8" ht="18" customHeight="1" x14ac:dyDescent="0.25">
      <c r="A106" s="61">
        <v>43900</v>
      </c>
      <c r="B106" s="5" t="s">
        <v>588</v>
      </c>
      <c r="C106" s="74" t="s">
        <v>11</v>
      </c>
      <c r="E106" s="1">
        <v>29500</v>
      </c>
      <c r="F106" s="20">
        <f t="shared" si="6"/>
        <v>19175</v>
      </c>
      <c r="G106" s="35">
        <f t="shared" si="7"/>
        <v>10325</v>
      </c>
    </row>
    <row r="107" spans="1:8" ht="18" customHeight="1" x14ac:dyDescent="0.25">
      <c r="A107" s="61">
        <v>43906</v>
      </c>
      <c r="B107" s="5" t="s">
        <v>589</v>
      </c>
      <c r="C107" s="74" t="s">
        <v>11</v>
      </c>
      <c r="E107" s="1">
        <v>28000</v>
      </c>
      <c r="F107" s="20">
        <f t="shared" si="6"/>
        <v>18200</v>
      </c>
      <c r="G107" s="35">
        <f t="shared" si="7"/>
        <v>9800</v>
      </c>
    </row>
    <row r="108" spans="1:8" ht="18" customHeight="1" x14ac:dyDescent="0.25">
      <c r="A108" s="61">
        <v>44088</v>
      </c>
      <c r="B108" s="5" t="s">
        <v>603</v>
      </c>
      <c r="C108" s="74" t="s">
        <v>57</v>
      </c>
      <c r="E108" s="1">
        <v>27500</v>
      </c>
      <c r="F108" s="20">
        <f t="shared" si="6"/>
        <v>17875</v>
      </c>
      <c r="G108" s="35">
        <f t="shared" si="7"/>
        <v>9625</v>
      </c>
    </row>
    <row r="109" spans="1:8" ht="19.5" x14ac:dyDescent="0.4">
      <c r="C109" s="77" t="s">
        <v>9</v>
      </c>
      <c r="D109" s="77"/>
      <c r="E109" s="23">
        <f>SUM(E94:E108)</f>
        <v>477235.58</v>
      </c>
      <c r="F109" s="24">
        <f>SUM(F94:F108)</f>
        <v>310203.12699999998</v>
      </c>
      <c r="G109" s="25">
        <f>SUM(G94:G108)</f>
        <v>167032.45299999998</v>
      </c>
      <c r="H109" s="36">
        <v>44152</v>
      </c>
    </row>
    <row r="110" spans="1:8" x14ac:dyDescent="0.25">
      <c r="E110" s="20"/>
      <c r="F110" s="20"/>
      <c r="G110" s="20"/>
    </row>
    <row r="111" spans="1:8" x14ac:dyDescent="0.25">
      <c r="E111" s="20"/>
      <c r="F111" s="20"/>
      <c r="G111" s="20"/>
    </row>
    <row r="112" spans="1:8" ht="18" customHeight="1" x14ac:dyDescent="0.25">
      <c r="A112" s="61">
        <v>43644</v>
      </c>
      <c r="B112" s="5" t="s">
        <v>374</v>
      </c>
      <c r="C112" s="74" t="s">
        <v>0</v>
      </c>
      <c r="E112" s="1">
        <v>30000</v>
      </c>
      <c r="F112" s="20">
        <f t="shared" ref="F112:F118" si="8">SUM(E112*0.65)</f>
        <v>19500</v>
      </c>
      <c r="G112" s="35">
        <f t="shared" ref="G112:G118" si="9">SUM(E112*0.35)</f>
        <v>10500</v>
      </c>
    </row>
    <row r="113" spans="1:8" ht="18" customHeight="1" x14ac:dyDescent="0.25">
      <c r="A113" s="61">
        <v>43753</v>
      </c>
      <c r="B113" s="4" t="s">
        <v>472</v>
      </c>
      <c r="C113" s="74" t="s">
        <v>467</v>
      </c>
      <c r="E113" s="1">
        <v>10629</v>
      </c>
      <c r="F113" s="20">
        <f t="shared" si="8"/>
        <v>6908.85</v>
      </c>
      <c r="G113" s="35">
        <f t="shared" si="9"/>
        <v>3720.1499999999996</v>
      </c>
    </row>
    <row r="114" spans="1:8" ht="18" customHeight="1" x14ac:dyDescent="0.25">
      <c r="A114" s="61">
        <v>43896</v>
      </c>
      <c r="B114" s="5" t="s">
        <v>587</v>
      </c>
      <c r="C114" s="74" t="s">
        <v>11</v>
      </c>
      <c r="E114" s="1">
        <v>29500</v>
      </c>
      <c r="F114" s="20">
        <f t="shared" si="8"/>
        <v>19175</v>
      </c>
      <c r="G114" s="35">
        <f t="shared" si="9"/>
        <v>10325</v>
      </c>
    </row>
    <row r="115" spans="1:8" ht="18" customHeight="1" x14ac:dyDescent="0.25">
      <c r="A115" s="61">
        <v>44042</v>
      </c>
      <c r="B115" s="5" t="s">
        <v>601</v>
      </c>
      <c r="C115" s="74" t="s">
        <v>511</v>
      </c>
      <c r="E115" s="1">
        <v>47500</v>
      </c>
      <c r="F115" s="20">
        <f t="shared" si="8"/>
        <v>30875</v>
      </c>
      <c r="G115" s="35">
        <f t="shared" si="9"/>
        <v>16625</v>
      </c>
    </row>
    <row r="116" spans="1:8" ht="18" customHeight="1" x14ac:dyDescent="0.25">
      <c r="A116" s="61">
        <v>44046</v>
      </c>
      <c r="B116" s="5" t="s">
        <v>594</v>
      </c>
      <c r="C116" s="74" t="s">
        <v>595</v>
      </c>
      <c r="E116" s="1">
        <v>1189700</v>
      </c>
      <c r="F116" s="20">
        <f t="shared" si="8"/>
        <v>773305</v>
      </c>
      <c r="G116" s="35">
        <f t="shared" si="9"/>
        <v>416395</v>
      </c>
    </row>
    <row r="117" spans="1:8" ht="18" customHeight="1" x14ac:dyDescent="0.25">
      <c r="A117" s="61">
        <v>44109</v>
      </c>
      <c r="B117" s="5" t="s">
        <v>609</v>
      </c>
      <c r="C117" s="74" t="s">
        <v>11</v>
      </c>
      <c r="E117" s="1">
        <v>29500</v>
      </c>
      <c r="F117" s="20">
        <f t="shared" si="8"/>
        <v>19175</v>
      </c>
      <c r="G117" s="35">
        <f t="shared" si="9"/>
        <v>10325</v>
      </c>
    </row>
    <row r="118" spans="1:8" x14ac:dyDescent="0.25">
      <c r="A118" s="61">
        <v>44159</v>
      </c>
      <c r="B118" s="5" t="s">
        <v>615</v>
      </c>
      <c r="C118" s="74" t="s">
        <v>11</v>
      </c>
      <c r="E118" s="1">
        <v>29500</v>
      </c>
      <c r="F118" s="20">
        <f t="shared" si="8"/>
        <v>19175</v>
      </c>
      <c r="G118" s="35">
        <f t="shared" si="9"/>
        <v>10325</v>
      </c>
    </row>
    <row r="119" spans="1:8" ht="19.5" x14ac:dyDescent="0.4">
      <c r="C119" s="77" t="s">
        <v>9</v>
      </c>
      <c r="D119" s="77"/>
      <c r="E119" s="23">
        <f>SUM(E112:E118)</f>
        <v>1366329</v>
      </c>
      <c r="F119" s="24">
        <f>SUM(F112:F118)</f>
        <v>888113.85</v>
      </c>
      <c r="G119" s="25">
        <f>SUM(G112:G118)</f>
        <v>478215.15</v>
      </c>
      <c r="H119" s="36">
        <v>44537</v>
      </c>
    </row>
    <row r="120" spans="1:8" x14ac:dyDescent="0.25">
      <c r="E120" s="20"/>
      <c r="F120" s="20"/>
      <c r="G120" s="35"/>
    </row>
    <row r="121" spans="1:8" ht="18" customHeight="1" x14ac:dyDescent="0.25">
      <c r="A121" s="61">
        <v>43858</v>
      </c>
      <c r="B121" s="5" t="s">
        <v>582</v>
      </c>
      <c r="C121" s="74" t="s">
        <v>11</v>
      </c>
      <c r="E121" s="1">
        <v>29500</v>
      </c>
      <c r="F121" s="20">
        <f t="shared" ref="F121:F130" si="10">SUM(E121*0.65)</f>
        <v>19175</v>
      </c>
      <c r="G121" s="35">
        <f t="shared" ref="G121:G130" si="11">SUM(E121*0.35)</f>
        <v>10325</v>
      </c>
    </row>
    <row r="122" spans="1:8" ht="18" customHeight="1" x14ac:dyDescent="0.25">
      <c r="A122" s="61">
        <v>43858</v>
      </c>
      <c r="B122" s="5" t="s">
        <v>570</v>
      </c>
      <c r="C122" s="74" t="s">
        <v>511</v>
      </c>
      <c r="E122" s="1">
        <v>25000</v>
      </c>
      <c r="F122" s="20">
        <f t="shared" si="10"/>
        <v>16250</v>
      </c>
      <c r="G122" s="35">
        <f t="shared" si="11"/>
        <v>8750</v>
      </c>
    </row>
    <row r="123" spans="1:8" ht="18" customHeight="1" x14ac:dyDescent="0.25">
      <c r="A123" s="61">
        <v>44028</v>
      </c>
      <c r="B123" s="4" t="s">
        <v>600</v>
      </c>
      <c r="C123" s="74" t="s">
        <v>7</v>
      </c>
      <c r="E123" s="1">
        <v>14600</v>
      </c>
      <c r="F123" s="20">
        <f t="shared" si="10"/>
        <v>9490</v>
      </c>
      <c r="G123" s="35">
        <f t="shared" si="11"/>
        <v>5110</v>
      </c>
    </row>
    <row r="124" spans="1:8" ht="18" customHeight="1" x14ac:dyDescent="0.25">
      <c r="A124" s="61">
        <v>44032</v>
      </c>
      <c r="B124" s="5" t="s">
        <v>593</v>
      </c>
      <c r="C124" s="74" t="s">
        <v>11</v>
      </c>
      <c r="E124" s="1">
        <v>70000</v>
      </c>
      <c r="F124" s="20">
        <f t="shared" si="10"/>
        <v>45500</v>
      </c>
      <c r="G124" s="35">
        <f t="shared" si="11"/>
        <v>24500</v>
      </c>
    </row>
    <row r="125" spans="1:8" ht="18" customHeight="1" x14ac:dyDescent="0.25">
      <c r="A125" s="61">
        <v>43686</v>
      </c>
      <c r="B125" s="4" t="s">
        <v>405</v>
      </c>
      <c r="C125" s="74" t="s">
        <v>11</v>
      </c>
      <c r="E125" s="1">
        <v>14500</v>
      </c>
      <c r="F125" s="20">
        <f t="shared" si="10"/>
        <v>9425</v>
      </c>
      <c r="G125" s="35">
        <f t="shared" si="11"/>
        <v>5075</v>
      </c>
    </row>
    <row r="126" spans="1:8" ht="18" customHeight="1" x14ac:dyDescent="0.25">
      <c r="A126" s="61">
        <v>43692</v>
      </c>
      <c r="B126" s="5" t="s">
        <v>424</v>
      </c>
      <c r="C126" s="74" t="s">
        <v>0</v>
      </c>
      <c r="E126" s="1">
        <v>138000</v>
      </c>
      <c r="F126" s="20">
        <f t="shared" si="10"/>
        <v>89700</v>
      </c>
      <c r="G126" s="35">
        <f t="shared" si="11"/>
        <v>48300</v>
      </c>
    </row>
    <row r="127" spans="1:8" ht="18" customHeight="1" x14ac:dyDescent="0.25">
      <c r="A127" s="61">
        <v>44084</v>
      </c>
      <c r="B127" s="4" t="s">
        <v>602</v>
      </c>
      <c r="C127" s="74" t="s">
        <v>511</v>
      </c>
      <c r="E127" s="1">
        <v>19500</v>
      </c>
      <c r="F127" s="20">
        <f t="shared" si="10"/>
        <v>12675</v>
      </c>
      <c r="G127" s="35">
        <f t="shared" si="11"/>
        <v>6825</v>
      </c>
    </row>
    <row r="128" spans="1:8" ht="18" customHeight="1" x14ac:dyDescent="0.25">
      <c r="A128" s="61">
        <v>43728</v>
      </c>
      <c r="B128" s="4" t="s">
        <v>458</v>
      </c>
      <c r="C128" s="74" t="s">
        <v>7</v>
      </c>
      <c r="E128" s="1">
        <v>7500</v>
      </c>
      <c r="F128" s="20">
        <f t="shared" si="10"/>
        <v>4875</v>
      </c>
      <c r="G128" s="35">
        <f t="shared" si="11"/>
        <v>2625</v>
      </c>
    </row>
    <row r="129" spans="1:8" ht="18" customHeight="1" x14ac:dyDescent="0.25">
      <c r="A129" s="61">
        <v>44099</v>
      </c>
      <c r="B129" s="4" t="s">
        <v>605</v>
      </c>
      <c r="C129" s="74" t="s">
        <v>11</v>
      </c>
      <c r="E129" s="1">
        <v>19500</v>
      </c>
      <c r="F129" s="20">
        <f t="shared" si="10"/>
        <v>12675</v>
      </c>
      <c r="G129" s="35">
        <f t="shared" si="11"/>
        <v>6825</v>
      </c>
    </row>
    <row r="130" spans="1:8" ht="18" customHeight="1" x14ac:dyDescent="0.25">
      <c r="A130" s="61">
        <v>44099</v>
      </c>
      <c r="B130" s="4" t="s">
        <v>604</v>
      </c>
      <c r="C130" s="74" t="s">
        <v>511</v>
      </c>
      <c r="E130" s="1">
        <v>20000</v>
      </c>
      <c r="F130" s="20">
        <f t="shared" si="10"/>
        <v>13000</v>
      </c>
      <c r="G130" s="35">
        <f t="shared" si="11"/>
        <v>7000</v>
      </c>
    </row>
    <row r="131" spans="1:8" ht="18" customHeight="1" x14ac:dyDescent="0.4">
      <c r="C131" s="77" t="s">
        <v>9</v>
      </c>
      <c r="D131" s="77"/>
      <c r="E131" s="23">
        <f>SUM(E121:E130)</f>
        <v>358100</v>
      </c>
      <c r="F131" s="24">
        <f>SUM(F121:F130)</f>
        <v>232765</v>
      </c>
      <c r="G131" s="25">
        <f>SUM(G121:G130)</f>
        <v>125335</v>
      </c>
      <c r="H131" s="36">
        <v>44321</v>
      </c>
    </row>
    <row r="132" spans="1:8" ht="18" customHeight="1" x14ac:dyDescent="0.25">
      <c r="E132" s="20"/>
      <c r="F132" s="20"/>
      <c r="G132" s="35"/>
    </row>
    <row r="133" spans="1:8" ht="18" customHeight="1" x14ac:dyDescent="0.25">
      <c r="A133" s="61">
        <v>44109</v>
      </c>
      <c r="B133" s="5" t="s">
        <v>596</v>
      </c>
      <c r="C133" s="74" t="s">
        <v>595</v>
      </c>
      <c r="E133" s="1">
        <v>190000</v>
      </c>
      <c r="F133" s="20">
        <f t="shared" ref="F133:F141" si="12">SUM(E133*0.65)</f>
        <v>123500</v>
      </c>
      <c r="G133" s="35">
        <f t="shared" ref="G133:G141" si="13">SUM(E133*0.35)</f>
        <v>66500</v>
      </c>
    </row>
    <row r="134" spans="1:8" ht="18" customHeight="1" x14ac:dyDescent="0.25">
      <c r="A134" s="61">
        <v>44109</v>
      </c>
      <c r="B134" s="5" t="s">
        <v>598</v>
      </c>
      <c r="C134" s="74" t="s">
        <v>11</v>
      </c>
      <c r="E134" s="1">
        <v>29500</v>
      </c>
      <c r="F134" s="20">
        <f t="shared" si="12"/>
        <v>19175</v>
      </c>
      <c r="G134" s="35">
        <f t="shared" si="13"/>
        <v>10325</v>
      </c>
    </row>
    <row r="135" spans="1:8" ht="18" customHeight="1" x14ac:dyDescent="0.25">
      <c r="A135" s="61">
        <v>44125</v>
      </c>
      <c r="B135" s="5" t="s">
        <v>610</v>
      </c>
      <c r="C135" s="74" t="s">
        <v>11</v>
      </c>
      <c r="E135" s="1">
        <v>38000</v>
      </c>
      <c r="F135" s="20">
        <f t="shared" si="12"/>
        <v>24700</v>
      </c>
      <c r="G135" s="35">
        <f t="shared" si="13"/>
        <v>13300</v>
      </c>
    </row>
    <row r="136" spans="1:8" ht="18" customHeight="1" x14ac:dyDescent="0.25">
      <c r="A136" s="61">
        <v>44152</v>
      </c>
      <c r="B136" s="5" t="s">
        <v>613</v>
      </c>
      <c r="C136" s="74" t="s">
        <v>511</v>
      </c>
      <c r="E136" s="1">
        <v>20500</v>
      </c>
      <c r="F136" s="20">
        <f t="shared" si="12"/>
        <v>13325</v>
      </c>
      <c r="G136" s="35">
        <f t="shared" si="13"/>
        <v>7174.9999999999991</v>
      </c>
    </row>
    <row r="137" spans="1:8" ht="18" customHeight="1" x14ac:dyDescent="0.25">
      <c r="A137" s="61">
        <v>44153</v>
      </c>
      <c r="B137" s="5" t="s">
        <v>614</v>
      </c>
      <c r="C137" s="74" t="s">
        <v>511</v>
      </c>
      <c r="E137" s="1">
        <v>30000</v>
      </c>
      <c r="F137" s="20">
        <f t="shared" si="12"/>
        <v>19500</v>
      </c>
      <c r="G137" s="35">
        <f t="shared" si="13"/>
        <v>10500</v>
      </c>
    </row>
    <row r="138" spans="1:8" ht="18" customHeight="1" x14ac:dyDescent="0.25">
      <c r="A138" s="61">
        <v>44158</v>
      </c>
      <c r="B138" s="4" t="s">
        <v>618</v>
      </c>
      <c r="C138" s="74" t="s">
        <v>511</v>
      </c>
      <c r="E138" s="1">
        <v>28500</v>
      </c>
      <c r="F138" s="20">
        <f t="shared" si="12"/>
        <v>18525</v>
      </c>
      <c r="G138" s="35">
        <f t="shared" si="13"/>
        <v>9975</v>
      </c>
    </row>
    <row r="139" spans="1:8" x14ac:dyDescent="0.25">
      <c r="A139" s="61">
        <v>44182</v>
      </c>
      <c r="B139" s="4" t="s">
        <v>620</v>
      </c>
      <c r="C139" s="74" t="s">
        <v>11</v>
      </c>
      <c r="E139" s="20">
        <v>31000</v>
      </c>
      <c r="F139" s="20">
        <f t="shared" si="12"/>
        <v>20150</v>
      </c>
      <c r="G139" s="20">
        <f t="shared" si="13"/>
        <v>10850</v>
      </c>
    </row>
    <row r="140" spans="1:8" x14ac:dyDescent="0.25">
      <c r="A140" s="61">
        <v>44159</v>
      </c>
      <c r="B140" s="5" t="s">
        <v>615</v>
      </c>
      <c r="C140" s="74" t="s">
        <v>11</v>
      </c>
      <c r="E140" s="20">
        <v>29500</v>
      </c>
      <c r="F140" s="20">
        <f t="shared" si="12"/>
        <v>19175</v>
      </c>
      <c r="G140" s="20">
        <f t="shared" si="13"/>
        <v>10325</v>
      </c>
    </row>
    <row r="141" spans="1:8" x14ac:dyDescent="0.25">
      <c r="A141" s="61">
        <v>44169</v>
      </c>
      <c r="B141" s="5" t="s">
        <v>621</v>
      </c>
      <c r="C141" s="74" t="s">
        <v>511</v>
      </c>
      <c r="E141" s="20">
        <v>15000</v>
      </c>
      <c r="F141" s="20">
        <f t="shared" si="12"/>
        <v>9750</v>
      </c>
      <c r="G141" s="20">
        <f t="shared" si="13"/>
        <v>5250</v>
      </c>
    </row>
    <row r="142" spans="1:8" ht="18" customHeight="1" x14ac:dyDescent="0.4">
      <c r="C142" s="77" t="s">
        <v>9</v>
      </c>
      <c r="D142" s="77"/>
      <c r="E142" s="23">
        <f>SUM(E132:E141)</f>
        <v>412000</v>
      </c>
      <c r="F142" s="24">
        <f>SUM(F132:F141)</f>
        <v>267800</v>
      </c>
      <c r="G142" s="25">
        <f>SUM(G132:G141)</f>
        <v>144200</v>
      </c>
      <c r="H142" s="36">
        <v>44363</v>
      </c>
    </row>
    <row r="143" spans="1:8" x14ac:dyDescent="0.25">
      <c r="E143" s="20"/>
      <c r="F143" s="20"/>
      <c r="G143" s="20"/>
    </row>
    <row r="144" spans="1:8" x14ac:dyDescent="0.25">
      <c r="A144" s="62" t="s">
        <v>622</v>
      </c>
      <c r="E144" s="20"/>
      <c r="F144" s="20"/>
      <c r="G144" s="20"/>
    </row>
    <row r="145" spans="1:7" ht="15" customHeight="1" x14ac:dyDescent="0.25">
      <c r="A145" s="61">
        <v>44208</v>
      </c>
      <c r="B145" t="s">
        <v>623</v>
      </c>
      <c r="C145" s="74" t="s">
        <v>624</v>
      </c>
      <c r="E145" s="20">
        <v>34500</v>
      </c>
      <c r="F145" s="20">
        <f t="shared" ref="F145:F161" si="14">SUM(E145*0.65)</f>
        <v>22425</v>
      </c>
      <c r="G145" s="20">
        <f t="shared" ref="G145:G161" si="15">SUM(E145*0.35)</f>
        <v>12075</v>
      </c>
    </row>
    <row r="146" spans="1:7" ht="15" customHeight="1" x14ac:dyDescent="0.25">
      <c r="A146" s="61">
        <v>43837</v>
      </c>
      <c r="B146" t="s">
        <v>564</v>
      </c>
      <c r="C146" s="74" t="s">
        <v>11</v>
      </c>
      <c r="E146" s="1">
        <v>13100</v>
      </c>
      <c r="F146" s="20">
        <f t="shared" si="14"/>
        <v>8515</v>
      </c>
      <c r="G146" s="35">
        <f t="shared" si="15"/>
        <v>4585</v>
      </c>
    </row>
    <row r="147" spans="1:7" ht="15" customHeight="1" x14ac:dyDescent="0.25">
      <c r="A147" s="61">
        <v>44228</v>
      </c>
      <c r="B147" t="s">
        <v>625</v>
      </c>
      <c r="C147" s="74" t="s">
        <v>11</v>
      </c>
      <c r="E147" s="1">
        <v>25000</v>
      </c>
      <c r="F147" s="20">
        <f t="shared" si="14"/>
        <v>16250</v>
      </c>
      <c r="G147" s="35">
        <f t="shared" si="15"/>
        <v>8750</v>
      </c>
    </row>
    <row r="148" spans="1:7" ht="15" customHeight="1" x14ac:dyDescent="0.25">
      <c r="A148" s="61">
        <v>44242</v>
      </c>
      <c r="B148" t="s">
        <v>634</v>
      </c>
      <c r="C148" s="74" t="s">
        <v>11</v>
      </c>
      <c r="E148" s="20">
        <v>24500</v>
      </c>
      <c r="F148" s="20">
        <f t="shared" si="14"/>
        <v>15925</v>
      </c>
      <c r="G148" s="20">
        <f t="shared" si="15"/>
        <v>8575</v>
      </c>
    </row>
    <row r="149" spans="1:7" ht="15" customHeight="1" x14ac:dyDescent="0.25">
      <c r="A149" s="61">
        <v>44242</v>
      </c>
      <c r="B149" t="s">
        <v>635</v>
      </c>
      <c r="C149" s="74" t="s">
        <v>11</v>
      </c>
      <c r="E149" s="20">
        <v>24500</v>
      </c>
      <c r="F149" s="20">
        <f t="shared" si="14"/>
        <v>15925</v>
      </c>
      <c r="G149" s="20">
        <f t="shared" si="15"/>
        <v>8575</v>
      </c>
    </row>
    <row r="150" spans="1:7" ht="15" customHeight="1" x14ac:dyDescent="0.25">
      <c r="A150" s="61">
        <v>44273</v>
      </c>
      <c r="B150" t="s">
        <v>628</v>
      </c>
      <c r="C150" s="74" t="s">
        <v>7</v>
      </c>
      <c r="E150" s="20">
        <v>38000</v>
      </c>
      <c r="F150" s="20">
        <f t="shared" si="14"/>
        <v>24700</v>
      </c>
      <c r="G150" s="20">
        <f t="shared" si="15"/>
        <v>13300</v>
      </c>
    </row>
    <row r="151" spans="1:7" ht="15" customHeight="1" x14ac:dyDescent="0.25">
      <c r="A151" s="61">
        <v>44294</v>
      </c>
      <c r="B151" t="s">
        <v>638</v>
      </c>
      <c r="C151" s="74" t="s">
        <v>11</v>
      </c>
      <c r="E151" s="20">
        <v>24500</v>
      </c>
      <c r="F151" s="20">
        <f t="shared" si="14"/>
        <v>15925</v>
      </c>
      <c r="G151" s="20">
        <f t="shared" si="15"/>
        <v>8575</v>
      </c>
    </row>
    <row r="152" spans="1:7" ht="15" customHeight="1" x14ac:dyDescent="0.25">
      <c r="A152" s="61">
        <v>44294</v>
      </c>
      <c r="B152" t="s">
        <v>639</v>
      </c>
      <c r="C152" s="74" t="s">
        <v>11</v>
      </c>
      <c r="E152" s="20">
        <v>24500</v>
      </c>
      <c r="F152" s="20">
        <f t="shared" si="14"/>
        <v>15925</v>
      </c>
      <c r="G152" s="20">
        <f t="shared" si="15"/>
        <v>8575</v>
      </c>
    </row>
    <row r="153" spans="1:7" ht="15" customHeight="1" x14ac:dyDescent="0.25">
      <c r="A153" s="61">
        <v>44294</v>
      </c>
      <c r="B153" t="s">
        <v>651</v>
      </c>
      <c r="C153" s="74" t="s">
        <v>11</v>
      </c>
      <c r="E153" s="20">
        <v>24500</v>
      </c>
      <c r="F153" s="20">
        <f t="shared" si="14"/>
        <v>15925</v>
      </c>
      <c r="G153" s="20">
        <f t="shared" si="15"/>
        <v>8575</v>
      </c>
    </row>
    <row r="154" spans="1:7" ht="15" customHeight="1" x14ac:dyDescent="0.25">
      <c r="A154" s="61">
        <v>43977</v>
      </c>
      <c r="B154" t="s">
        <v>591</v>
      </c>
      <c r="C154" s="74" t="s">
        <v>11</v>
      </c>
      <c r="E154" s="1">
        <v>29500</v>
      </c>
      <c r="F154" s="20">
        <f t="shared" si="14"/>
        <v>19175</v>
      </c>
      <c r="G154" s="35">
        <f t="shared" si="15"/>
        <v>10325</v>
      </c>
    </row>
    <row r="155" spans="1:7" ht="15" customHeight="1" x14ac:dyDescent="0.25">
      <c r="A155" s="61">
        <v>44015</v>
      </c>
      <c r="B155" t="s">
        <v>599</v>
      </c>
      <c r="C155" s="74" t="s">
        <v>11</v>
      </c>
      <c r="E155" s="1">
        <v>12256</v>
      </c>
      <c r="F155" s="20">
        <f t="shared" si="14"/>
        <v>7966.4000000000005</v>
      </c>
      <c r="G155" s="35">
        <f t="shared" si="15"/>
        <v>4289.5999999999995</v>
      </c>
    </row>
    <row r="156" spans="1:7" ht="15" customHeight="1" x14ac:dyDescent="0.25">
      <c r="A156" s="61">
        <v>44112</v>
      </c>
      <c r="B156" t="s">
        <v>607</v>
      </c>
      <c r="C156" s="74" t="s">
        <v>11</v>
      </c>
      <c r="E156" s="1">
        <v>12256</v>
      </c>
      <c r="F156" s="20">
        <f t="shared" si="14"/>
        <v>7966.4000000000005</v>
      </c>
      <c r="G156" s="35">
        <f t="shared" si="15"/>
        <v>4289.5999999999995</v>
      </c>
    </row>
    <row r="157" spans="1:7" ht="15" customHeight="1" x14ac:dyDescent="0.25">
      <c r="A157" s="61">
        <v>44112</v>
      </c>
      <c r="B157" t="s">
        <v>608</v>
      </c>
      <c r="C157" s="74" t="s">
        <v>11</v>
      </c>
      <c r="E157" s="1">
        <v>12256</v>
      </c>
      <c r="F157" s="20">
        <f t="shared" si="14"/>
        <v>7966.4000000000005</v>
      </c>
      <c r="G157" s="35">
        <f t="shared" si="15"/>
        <v>4289.5999999999995</v>
      </c>
    </row>
    <row r="158" spans="1:7" ht="15" customHeight="1" x14ac:dyDescent="0.25">
      <c r="A158" s="61">
        <v>44127</v>
      </c>
      <c r="B158" t="s">
        <v>611</v>
      </c>
      <c r="C158" s="74" t="s">
        <v>11</v>
      </c>
      <c r="E158" s="1">
        <v>29500</v>
      </c>
      <c r="F158" s="20">
        <f t="shared" si="14"/>
        <v>19175</v>
      </c>
      <c r="G158" s="35">
        <f t="shared" si="15"/>
        <v>10325</v>
      </c>
    </row>
    <row r="159" spans="1:7" ht="15" customHeight="1" x14ac:dyDescent="0.25">
      <c r="A159" s="61">
        <v>44145</v>
      </c>
      <c r="B159" t="s">
        <v>612</v>
      </c>
      <c r="C159" s="74" t="s">
        <v>11</v>
      </c>
      <c r="E159" s="1">
        <v>29500</v>
      </c>
      <c r="F159" s="20">
        <f t="shared" si="14"/>
        <v>19175</v>
      </c>
      <c r="G159" s="35">
        <f t="shared" si="15"/>
        <v>10325</v>
      </c>
    </row>
    <row r="160" spans="1:7" ht="15" customHeight="1" x14ac:dyDescent="0.25">
      <c r="A160" s="61">
        <v>44230</v>
      </c>
      <c r="B160" t="s">
        <v>632</v>
      </c>
      <c r="C160" s="74" t="s">
        <v>11</v>
      </c>
      <c r="E160" s="1">
        <v>31000</v>
      </c>
      <c r="F160" s="20">
        <f t="shared" si="14"/>
        <v>20150</v>
      </c>
      <c r="G160" s="35">
        <f t="shared" si="15"/>
        <v>10850</v>
      </c>
    </row>
    <row r="161" spans="1:8" ht="15" customHeight="1" x14ac:dyDescent="0.25">
      <c r="A161" s="61">
        <v>44238</v>
      </c>
      <c r="B161" t="s">
        <v>633</v>
      </c>
      <c r="C161" s="74" t="s">
        <v>11</v>
      </c>
      <c r="E161" s="1">
        <v>11241</v>
      </c>
      <c r="F161" s="20">
        <f t="shared" si="14"/>
        <v>7306.6500000000005</v>
      </c>
      <c r="G161" s="35">
        <f t="shared" si="15"/>
        <v>3934.35</v>
      </c>
    </row>
    <row r="162" spans="1:8" ht="20.100000000000001" customHeight="1" x14ac:dyDescent="0.4">
      <c r="C162" s="77" t="s">
        <v>9</v>
      </c>
      <c r="D162" s="77"/>
      <c r="E162" s="23">
        <f>SUM(E145:E161)</f>
        <v>400609</v>
      </c>
      <c r="F162" s="24">
        <f>SUM(F145:F161)</f>
        <v>260395.84999999998</v>
      </c>
      <c r="G162" s="25">
        <f>SUM(G145:G161)</f>
        <v>140213.15000000002</v>
      </c>
      <c r="H162" s="36">
        <v>44467</v>
      </c>
    </row>
    <row r="163" spans="1:8" ht="15" customHeight="1" x14ac:dyDescent="0.25">
      <c r="E163" s="20"/>
      <c r="F163" s="20"/>
      <c r="G163" s="20"/>
    </row>
    <row r="164" spans="1:8" ht="15" customHeight="1" x14ac:dyDescent="0.25">
      <c r="A164" s="61">
        <v>43668</v>
      </c>
      <c r="B164" t="s">
        <v>399</v>
      </c>
      <c r="C164" s="74" t="s">
        <v>11</v>
      </c>
      <c r="E164" s="1">
        <v>17500</v>
      </c>
      <c r="F164" s="20">
        <f t="shared" ref="F164:F180" si="16">SUM(E164*0.65)</f>
        <v>11375</v>
      </c>
      <c r="G164" s="35">
        <f t="shared" ref="G164:G180" si="17">SUM(E164*0.35)</f>
        <v>6125</v>
      </c>
    </row>
    <row r="165" spans="1:8" ht="15" customHeight="1" x14ac:dyDescent="0.25">
      <c r="A165" s="61">
        <v>44244</v>
      </c>
      <c r="B165" t="s">
        <v>636</v>
      </c>
      <c r="C165" s="74" t="s">
        <v>11</v>
      </c>
      <c r="E165" s="20">
        <v>10629</v>
      </c>
      <c r="F165" s="20">
        <f t="shared" si="16"/>
        <v>6908.85</v>
      </c>
      <c r="G165" s="20">
        <f t="shared" si="17"/>
        <v>3720.1499999999996</v>
      </c>
    </row>
    <row r="166" spans="1:8" ht="15" customHeight="1" x14ac:dyDescent="0.25">
      <c r="A166" s="61">
        <v>44260</v>
      </c>
      <c r="B166" t="s">
        <v>662</v>
      </c>
      <c r="C166" s="74" t="s">
        <v>467</v>
      </c>
      <c r="E166" s="20">
        <v>29500</v>
      </c>
      <c r="F166" s="20">
        <f t="shared" si="16"/>
        <v>19175</v>
      </c>
      <c r="G166" s="20">
        <f t="shared" si="17"/>
        <v>10325</v>
      </c>
      <c r="H166" s="33"/>
    </row>
    <row r="167" spans="1:8" ht="15" customHeight="1" x14ac:dyDescent="0.25">
      <c r="A167" s="61">
        <v>44294</v>
      </c>
      <c r="B167" t="s">
        <v>630</v>
      </c>
      <c r="C167" s="74" t="s">
        <v>467</v>
      </c>
      <c r="E167" s="20">
        <v>29500</v>
      </c>
      <c r="F167" s="20">
        <f t="shared" si="16"/>
        <v>19175</v>
      </c>
      <c r="G167" s="20">
        <f t="shared" si="17"/>
        <v>10325</v>
      </c>
      <c r="H167" s="33"/>
    </row>
    <row r="168" spans="1:8" ht="15" customHeight="1" x14ac:dyDescent="0.25">
      <c r="A168" s="61">
        <v>44294</v>
      </c>
      <c r="B168" t="s">
        <v>631</v>
      </c>
      <c r="C168" s="74" t="s">
        <v>467</v>
      </c>
      <c r="E168" s="20">
        <v>29500</v>
      </c>
      <c r="F168" s="20">
        <f t="shared" si="16"/>
        <v>19175</v>
      </c>
      <c r="G168" s="20">
        <f t="shared" si="17"/>
        <v>10325</v>
      </c>
      <c r="H168" s="33"/>
    </row>
    <row r="169" spans="1:8" ht="15" customHeight="1" x14ac:dyDescent="0.25">
      <c r="A169" s="61">
        <v>44315</v>
      </c>
      <c r="B169" t="s">
        <v>661</v>
      </c>
      <c r="C169" s="74" t="s">
        <v>57</v>
      </c>
      <c r="E169" s="20">
        <v>35000</v>
      </c>
      <c r="F169" s="20">
        <f t="shared" si="16"/>
        <v>22750</v>
      </c>
      <c r="G169" s="20">
        <f t="shared" si="17"/>
        <v>12250</v>
      </c>
      <c r="H169" s="33"/>
    </row>
    <row r="170" spans="1:8" ht="15" customHeight="1" x14ac:dyDescent="0.25">
      <c r="A170" s="61">
        <v>44331</v>
      </c>
      <c r="B170" t="s">
        <v>660</v>
      </c>
      <c r="C170" s="74" t="s">
        <v>467</v>
      </c>
      <c r="E170" s="20">
        <v>29500</v>
      </c>
      <c r="F170" s="20">
        <f t="shared" si="16"/>
        <v>19175</v>
      </c>
      <c r="G170" s="35">
        <f t="shared" si="17"/>
        <v>10325</v>
      </c>
    </row>
    <row r="171" spans="1:8" ht="15" customHeight="1" x14ac:dyDescent="0.25">
      <c r="A171" s="61">
        <v>44334</v>
      </c>
      <c r="B171" t="s">
        <v>650</v>
      </c>
      <c r="C171" s="74" t="s">
        <v>467</v>
      </c>
      <c r="E171" s="20">
        <v>24500</v>
      </c>
      <c r="F171" s="20">
        <f t="shared" si="16"/>
        <v>15925</v>
      </c>
      <c r="G171" s="35">
        <f t="shared" si="17"/>
        <v>8575</v>
      </c>
    </row>
    <row r="172" spans="1:8" ht="15" customHeight="1" x14ac:dyDescent="0.25">
      <c r="A172" s="61">
        <v>44334</v>
      </c>
      <c r="B172" t="s">
        <v>649</v>
      </c>
      <c r="C172" s="74" t="s">
        <v>467</v>
      </c>
      <c r="E172" s="20">
        <v>24500</v>
      </c>
      <c r="F172" s="20">
        <f t="shared" si="16"/>
        <v>15925</v>
      </c>
      <c r="G172" s="35">
        <f t="shared" si="17"/>
        <v>8575</v>
      </c>
    </row>
    <row r="173" spans="1:8" ht="15" customHeight="1" x14ac:dyDescent="0.25">
      <c r="A173" s="61">
        <v>44340</v>
      </c>
      <c r="B173" t="s">
        <v>659</v>
      </c>
      <c r="C173" s="74" t="s">
        <v>653</v>
      </c>
      <c r="E173" s="20">
        <v>20000</v>
      </c>
      <c r="F173" s="20">
        <f t="shared" si="16"/>
        <v>13000</v>
      </c>
      <c r="G173" s="35">
        <f t="shared" si="17"/>
        <v>7000</v>
      </c>
    </row>
    <row r="174" spans="1:8" ht="15" customHeight="1" x14ac:dyDescent="0.25">
      <c r="A174" s="61">
        <v>44340</v>
      </c>
      <c r="B174" t="s">
        <v>658</v>
      </c>
      <c r="C174" s="74" t="s">
        <v>467</v>
      </c>
      <c r="E174" s="20">
        <v>25000</v>
      </c>
      <c r="F174" s="20">
        <f t="shared" si="16"/>
        <v>16250</v>
      </c>
      <c r="G174" s="35">
        <f t="shared" si="17"/>
        <v>8750</v>
      </c>
    </row>
    <row r="175" spans="1:8" ht="15" customHeight="1" x14ac:dyDescent="0.25">
      <c r="A175" s="61">
        <v>44340</v>
      </c>
      <c r="B175" t="s">
        <v>657</v>
      </c>
      <c r="C175" s="74" t="s">
        <v>467</v>
      </c>
      <c r="E175" s="20">
        <v>25000</v>
      </c>
      <c r="F175" s="20">
        <f t="shared" si="16"/>
        <v>16250</v>
      </c>
      <c r="G175" s="35">
        <f t="shared" si="17"/>
        <v>8750</v>
      </c>
    </row>
    <row r="176" spans="1:8" ht="15" customHeight="1" x14ac:dyDescent="0.25">
      <c r="A176" s="61">
        <v>44340</v>
      </c>
      <c r="B176" t="s">
        <v>656</v>
      </c>
      <c r="C176" s="74" t="s">
        <v>467</v>
      </c>
      <c r="E176" s="20">
        <v>25000</v>
      </c>
      <c r="F176" s="20">
        <f t="shared" si="16"/>
        <v>16250</v>
      </c>
      <c r="G176" s="35">
        <f t="shared" si="17"/>
        <v>8750</v>
      </c>
    </row>
    <row r="177" spans="1:8" ht="15" customHeight="1" x14ac:dyDescent="0.25">
      <c r="A177" s="61">
        <v>44340</v>
      </c>
      <c r="B177" t="s">
        <v>655</v>
      </c>
      <c r="C177" s="74" t="s">
        <v>467</v>
      </c>
      <c r="E177" s="20">
        <v>25000</v>
      </c>
      <c r="F177" s="20">
        <f t="shared" si="16"/>
        <v>16250</v>
      </c>
      <c r="G177" s="35">
        <f t="shared" si="17"/>
        <v>8750</v>
      </c>
    </row>
    <row r="178" spans="1:8" ht="15" customHeight="1" x14ac:dyDescent="0.25">
      <c r="A178" s="61">
        <v>44349</v>
      </c>
      <c r="B178" t="s">
        <v>648</v>
      </c>
      <c r="C178" s="74" t="s">
        <v>467</v>
      </c>
      <c r="E178" s="20">
        <v>24500</v>
      </c>
      <c r="F178" s="20">
        <f t="shared" si="16"/>
        <v>15925</v>
      </c>
      <c r="G178" s="35">
        <f t="shared" si="17"/>
        <v>8575</v>
      </c>
    </row>
    <row r="179" spans="1:8" ht="15" customHeight="1" x14ac:dyDescent="0.25">
      <c r="A179" s="61">
        <v>44349</v>
      </c>
      <c r="B179" t="s">
        <v>647</v>
      </c>
      <c r="C179" s="74" t="s">
        <v>467</v>
      </c>
      <c r="E179" s="20">
        <v>24500</v>
      </c>
      <c r="F179" s="20">
        <f t="shared" si="16"/>
        <v>15925</v>
      </c>
      <c r="G179" s="35">
        <f t="shared" si="17"/>
        <v>8575</v>
      </c>
    </row>
    <row r="180" spans="1:8" ht="15" customHeight="1" x14ac:dyDescent="0.25">
      <c r="A180" s="61">
        <v>44349</v>
      </c>
      <c r="B180" t="s">
        <v>646</v>
      </c>
      <c r="C180" s="74" t="s">
        <v>467</v>
      </c>
      <c r="E180" s="20">
        <v>24500</v>
      </c>
      <c r="F180" s="20">
        <f t="shared" si="16"/>
        <v>15925</v>
      </c>
      <c r="G180" s="35">
        <f t="shared" si="17"/>
        <v>8575</v>
      </c>
    </row>
    <row r="181" spans="1:8" ht="20.100000000000001" customHeight="1" x14ac:dyDescent="0.4">
      <c r="C181" s="77" t="s">
        <v>9</v>
      </c>
      <c r="D181" s="77"/>
      <c r="E181" s="23">
        <f>SUM(E164:E180)</f>
        <v>423629</v>
      </c>
      <c r="F181" s="24">
        <f>SUM(F164:F180)</f>
        <v>275358.84999999998</v>
      </c>
      <c r="G181" s="25">
        <f>SUM(G164:G180)</f>
        <v>148270.15</v>
      </c>
      <c r="H181" s="36">
        <v>44505</v>
      </c>
    </row>
    <row r="182" spans="1:8" ht="15" customHeight="1" x14ac:dyDescent="0.25">
      <c r="E182" s="20"/>
      <c r="F182" s="20"/>
      <c r="G182" s="35"/>
    </row>
    <row r="183" spans="1:8" ht="15" customHeight="1" x14ac:dyDescent="0.25">
      <c r="E183" s="20"/>
      <c r="F183" s="20"/>
      <c r="G183" s="35"/>
    </row>
    <row r="184" spans="1:8" ht="15" customHeight="1" x14ac:dyDescent="0.25">
      <c r="E184" s="20"/>
      <c r="F184" s="20"/>
      <c r="G184" s="35"/>
    </row>
    <row r="185" spans="1:8" ht="15" customHeight="1" x14ac:dyDescent="0.25">
      <c r="A185" s="61">
        <v>43753</v>
      </c>
      <c r="B185" t="s">
        <v>470</v>
      </c>
      <c r="C185" s="74" t="s">
        <v>467</v>
      </c>
      <c r="E185" s="1">
        <v>10215</v>
      </c>
      <c r="F185" s="20">
        <f t="shared" ref="F185:F199" si="18">SUM(E185*0.65)</f>
        <v>6639.75</v>
      </c>
      <c r="G185" s="35">
        <f t="shared" ref="G185:G199" si="19">SUM(E185*0.35)</f>
        <v>3575.25</v>
      </c>
    </row>
    <row r="186" spans="1:8" ht="18" customHeight="1" x14ac:dyDescent="0.25">
      <c r="A186" s="61">
        <v>43833</v>
      </c>
      <c r="B186" t="s">
        <v>561</v>
      </c>
      <c r="C186" s="74" t="s">
        <v>511</v>
      </c>
      <c r="E186" s="1">
        <v>35000</v>
      </c>
      <c r="F186" s="20">
        <f t="shared" si="18"/>
        <v>22750</v>
      </c>
      <c r="G186" s="35">
        <f t="shared" si="19"/>
        <v>12250</v>
      </c>
    </row>
    <row r="187" spans="1:8" ht="15" customHeight="1" x14ac:dyDescent="0.25">
      <c r="A187" s="61">
        <v>44349</v>
      </c>
      <c r="B187" t="s">
        <v>645</v>
      </c>
      <c r="C187" s="74" t="s">
        <v>467</v>
      </c>
      <c r="E187" s="20">
        <v>24500</v>
      </c>
      <c r="F187" s="20">
        <f t="shared" si="18"/>
        <v>15925</v>
      </c>
      <c r="G187" s="35">
        <f t="shared" si="19"/>
        <v>8575</v>
      </c>
    </row>
    <row r="188" spans="1:8" ht="15" customHeight="1" x14ac:dyDescent="0.25">
      <c r="A188" s="61">
        <v>44349</v>
      </c>
      <c r="B188" t="s">
        <v>644</v>
      </c>
      <c r="C188" s="74" t="s">
        <v>467</v>
      </c>
      <c r="E188" s="20">
        <v>24500</v>
      </c>
      <c r="F188" s="20">
        <f t="shared" si="18"/>
        <v>15925</v>
      </c>
      <c r="G188" s="35">
        <f t="shared" si="19"/>
        <v>8575</v>
      </c>
    </row>
    <row r="189" spans="1:8" ht="15" customHeight="1" x14ac:dyDescent="0.25">
      <c r="A189" s="61">
        <v>44349</v>
      </c>
      <c r="B189" t="s">
        <v>643</v>
      </c>
      <c r="C189" s="74" t="s">
        <v>467</v>
      </c>
      <c r="E189" s="20">
        <v>24500</v>
      </c>
      <c r="F189" s="20">
        <f t="shared" si="18"/>
        <v>15925</v>
      </c>
      <c r="G189" s="35">
        <f t="shared" si="19"/>
        <v>8575</v>
      </c>
    </row>
    <row r="190" spans="1:8" ht="15" customHeight="1" x14ac:dyDescent="0.25">
      <c r="A190" s="61">
        <v>44349</v>
      </c>
      <c r="B190" t="s">
        <v>642</v>
      </c>
      <c r="C190" s="74" t="s">
        <v>467</v>
      </c>
      <c r="E190" s="20">
        <v>24500</v>
      </c>
      <c r="F190" s="20">
        <f t="shared" si="18"/>
        <v>15925</v>
      </c>
      <c r="G190" s="35">
        <f t="shared" si="19"/>
        <v>8575</v>
      </c>
    </row>
    <row r="191" spans="1:8" ht="15" customHeight="1" x14ac:dyDescent="0.25">
      <c r="A191" s="61">
        <v>44349</v>
      </c>
      <c r="B191" t="s">
        <v>641</v>
      </c>
      <c r="C191" s="74" t="s">
        <v>467</v>
      </c>
      <c r="E191" s="20">
        <v>24500</v>
      </c>
      <c r="F191" s="20">
        <f t="shared" si="18"/>
        <v>15925</v>
      </c>
      <c r="G191" s="35">
        <f t="shared" si="19"/>
        <v>8575</v>
      </c>
    </row>
    <row r="192" spans="1:8" ht="15" customHeight="1" x14ac:dyDescent="0.25">
      <c r="A192" s="61">
        <v>44362</v>
      </c>
      <c r="B192" t="s">
        <v>640</v>
      </c>
      <c r="C192" s="74" t="s">
        <v>467</v>
      </c>
      <c r="E192" s="20">
        <v>18500</v>
      </c>
      <c r="F192" s="20">
        <f t="shared" si="18"/>
        <v>12025</v>
      </c>
      <c r="G192" s="35">
        <f t="shared" si="19"/>
        <v>6475</v>
      </c>
    </row>
    <row r="193" spans="1:8" ht="15" customHeight="1" x14ac:dyDescent="0.25">
      <c r="A193" s="61">
        <v>44363</v>
      </c>
      <c r="B193" t="s">
        <v>654</v>
      </c>
      <c r="C193" s="74" t="s">
        <v>467</v>
      </c>
      <c r="E193" s="20">
        <v>29500</v>
      </c>
      <c r="F193" s="20">
        <f t="shared" si="18"/>
        <v>19175</v>
      </c>
      <c r="G193" s="35">
        <f t="shared" si="19"/>
        <v>10325</v>
      </c>
    </row>
    <row r="194" spans="1:8" ht="15" customHeight="1" x14ac:dyDescent="0.25">
      <c r="A194" s="61">
        <v>44406</v>
      </c>
      <c r="B194" t="s">
        <v>676</v>
      </c>
      <c r="C194" s="74" t="s">
        <v>653</v>
      </c>
      <c r="E194" s="20">
        <v>20000</v>
      </c>
      <c r="F194" s="20">
        <f t="shared" si="18"/>
        <v>13000</v>
      </c>
      <c r="G194" s="35">
        <f t="shared" si="19"/>
        <v>7000</v>
      </c>
    </row>
    <row r="195" spans="1:8" ht="15" customHeight="1" x14ac:dyDescent="0.25">
      <c r="A195" s="61">
        <v>44411</v>
      </c>
      <c r="B195" t="s">
        <v>652</v>
      </c>
      <c r="C195" s="74" t="s">
        <v>653</v>
      </c>
      <c r="E195" s="20">
        <v>24500</v>
      </c>
      <c r="F195" s="20">
        <f t="shared" si="18"/>
        <v>15925</v>
      </c>
      <c r="G195" s="35">
        <f t="shared" si="19"/>
        <v>8575</v>
      </c>
    </row>
    <row r="196" spans="1:8" ht="15" customHeight="1" x14ac:dyDescent="0.25">
      <c r="A196" s="61">
        <v>44440</v>
      </c>
      <c r="B196" t="s">
        <v>685</v>
      </c>
      <c r="C196" s="74" t="s">
        <v>467</v>
      </c>
      <c r="E196" s="20">
        <v>31300</v>
      </c>
      <c r="F196" s="20">
        <f t="shared" si="18"/>
        <v>20345</v>
      </c>
      <c r="G196" s="35">
        <f t="shared" si="19"/>
        <v>10955</v>
      </c>
    </row>
    <row r="197" spans="1:8" ht="15" customHeight="1" x14ac:dyDescent="0.25">
      <c r="A197" s="61">
        <v>44441</v>
      </c>
      <c r="B197" t="s">
        <v>680</v>
      </c>
      <c r="C197" s="74" t="s">
        <v>57</v>
      </c>
      <c r="E197" s="20">
        <v>25600</v>
      </c>
      <c r="F197" s="20">
        <f t="shared" si="18"/>
        <v>16640</v>
      </c>
      <c r="G197" s="35">
        <f t="shared" si="19"/>
        <v>8960</v>
      </c>
    </row>
    <row r="198" spans="1:8" ht="15" customHeight="1" x14ac:dyDescent="0.25">
      <c r="A198" s="61">
        <v>44470</v>
      </c>
      <c r="B198" t="s">
        <v>697</v>
      </c>
      <c r="C198" s="74" t="s">
        <v>653</v>
      </c>
      <c r="E198" s="20">
        <v>20000</v>
      </c>
      <c r="F198" s="20">
        <f t="shared" si="18"/>
        <v>13000</v>
      </c>
      <c r="G198" s="35">
        <f t="shared" si="19"/>
        <v>7000</v>
      </c>
    </row>
    <row r="199" spans="1:8" ht="15" customHeight="1" x14ac:dyDescent="0.25">
      <c r="A199" s="61">
        <v>44470</v>
      </c>
      <c r="B199" t="s">
        <v>698</v>
      </c>
      <c r="C199" s="74" t="s">
        <v>653</v>
      </c>
      <c r="E199" s="20">
        <v>20000</v>
      </c>
      <c r="F199" s="20">
        <f t="shared" si="18"/>
        <v>13000</v>
      </c>
      <c r="G199" s="35">
        <f t="shared" si="19"/>
        <v>7000</v>
      </c>
      <c r="H199" s="33"/>
    </row>
    <row r="200" spans="1:8" ht="20.25" customHeight="1" x14ac:dyDescent="0.4">
      <c r="C200" s="77" t="s">
        <v>9</v>
      </c>
      <c r="D200" s="77"/>
      <c r="E200" s="23">
        <f>SUM(E185:E199)</f>
        <v>357115</v>
      </c>
      <c r="F200" s="24">
        <f>SUM(F185:F199)</f>
        <v>232124.75</v>
      </c>
      <c r="G200" s="39">
        <f>SUM(G185:G199)</f>
        <v>124990.25</v>
      </c>
      <c r="H200" s="36">
        <v>44701</v>
      </c>
    </row>
    <row r="201" spans="1:8" ht="15" customHeight="1" x14ac:dyDescent="0.25">
      <c r="E201" s="20"/>
      <c r="F201" s="20"/>
      <c r="G201" s="35"/>
    </row>
    <row r="202" spans="1:8" ht="15" customHeight="1" x14ac:dyDescent="0.25">
      <c r="E202" s="20"/>
      <c r="F202" s="20"/>
      <c r="G202" s="35"/>
    </row>
    <row r="203" spans="1:8" ht="15" customHeight="1" x14ac:dyDescent="0.25">
      <c r="A203" s="61">
        <v>44461</v>
      </c>
      <c r="B203" t="s">
        <v>699</v>
      </c>
      <c r="C203" s="74" t="s">
        <v>653</v>
      </c>
      <c r="E203" s="20">
        <v>20000</v>
      </c>
      <c r="F203" s="20">
        <f t="shared" ref="F203:F215" si="20">SUM(E203*0.65)</f>
        <v>13000</v>
      </c>
      <c r="G203" s="35">
        <f t="shared" ref="G203:G215" si="21">SUM(E203*0.35)</f>
        <v>7000</v>
      </c>
    </row>
    <row r="204" spans="1:8" ht="18" customHeight="1" x14ac:dyDescent="0.25">
      <c r="A204" s="61">
        <v>44453</v>
      </c>
      <c r="B204" t="s">
        <v>683</v>
      </c>
      <c r="C204" s="74" t="s">
        <v>7</v>
      </c>
      <c r="E204" s="1">
        <v>18000</v>
      </c>
      <c r="F204" s="20">
        <f t="shared" si="20"/>
        <v>11700</v>
      </c>
      <c r="G204" s="35">
        <f t="shared" si="21"/>
        <v>6300</v>
      </c>
    </row>
    <row r="205" spans="1:8" ht="18" customHeight="1" x14ac:dyDescent="0.25">
      <c r="A205" s="61">
        <v>43783</v>
      </c>
      <c r="B205" t="s">
        <v>503</v>
      </c>
      <c r="C205" s="74" t="s">
        <v>7</v>
      </c>
      <c r="E205" s="1">
        <v>10000</v>
      </c>
      <c r="F205" s="20">
        <f t="shared" si="20"/>
        <v>6500</v>
      </c>
      <c r="G205" s="35">
        <f t="shared" si="21"/>
        <v>3500</v>
      </c>
    </row>
    <row r="206" spans="1:8" ht="18" customHeight="1" x14ac:dyDescent="0.25">
      <c r="A206" s="61">
        <v>43859</v>
      </c>
      <c r="B206" s="37" t="s">
        <v>571</v>
      </c>
      <c r="C206" s="74" t="s">
        <v>11</v>
      </c>
      <c r="E206" s="1">
        <v>20000</v>
      </c>
      <c r="F206" s="20">
        <f t="shared" si="20"/>
        <v>13000</v>
      </c>
      <c r="G206" s="35">
        <f t="shared" si="21"/>
        <v>7000</v>
      </c>
    </row>
    <row r="207" spans="1:8" ht="18" customHeight="1" x14ac:dyDescent="0.25">
      <c r="A207" s="61">
        <v>44249</v>
      </c>
      <c r="B207" t="s">
        <v>626</v>
      </c>
      <c r="C207" s="74" t="s">
        <v>11</v>
      </c>
      <c r="E207" s="1">
        <v>29500</v>
      </c>
      <c r="F207" s="20">
        <f t="shared" si="20"/>
        <v>19175</v>
      </c>
      <c r="G207" s="35">
        <f t="shared" si="21"/>
        <v>10325</v>
      </c>
    </row>
    <row r="208" spans="1:8" ht="18" customHeight="1" x14ac:dyDescent="0.25">
      <c r="A208" s="61">
        <v>44260</v>
      </c>
      <c r="B208" t="s">
        <v>627</v>
      </c>
      <c r="C208" s="74" t="s">
        <v>11</v>
      </c>
      <c r="E208" s="1">
        <v>29500</v>
      </c>
      <c r="F208" s="20">
        <f t="shared" si="20"/>
        <v>19175</v>
      </c>
      <c r="G208" s="35">
        <f t="shared" si="21"/>
        <v>10325</v>
      </c>
    </row>
    <row r="209" spans="1:8" x14ac:dyDescent="0.25">
      <c r="A209" s="61">
        <v>44279</v>
      </c>
      <c r="B209" t="s">
        <v>629</v>
      </c>
      <c r="C209" s="74" t="s">
        <v>11</v>
      </c>
      <c r="E209" s="20">
        <v>29500</v>
      </c>
      <c r="F209" s="20">
        <f t="shared" si="20"/>
        <v>19175</v>
      </c>
      <c r="G209" s="20">
        <f t="shared" si="21"/>
        <v>10325</v>
      </c>
    </row>
    <row r="210" spans="1:8" x14ac:dyDescent="0.25">
      <c r="A210" s="61">
        <v>44331</v>
      </c>
      <c r="B210" t="s">
        <v>669</v>
      </c>
      <c r="C210" s="74" t="s">
        <v>11</v>
      </c>
      <c r="E210" s="20">
        <v>59000</v>
      </c>
      <c r="F210" s="20">
        <f t="shared" si="20"/>
        <v>38350</v>
      </c>
      <c r="G210" s="20">
        <f t="shared" si="21"/>
        <v>20650</v>
      </c>
    </row>
    <row r="211" spans="1:8" ht="18" customHeight="1" x14ac:dyDescent="0.25">
      <c r="A211" s="61">
        <v>44378</v>
      </c>
      <c r="B211" t="s">
        <v>670</v>
      </c>
      <c r="C211" s="74" t="s">
        <v>11</v>
      </c>
      <c r="E211" s="1">
        <v>29500</v>
      </c>
      <c r="F211" s="20">
        <f t="shared" si="20"/>
        <v>19175</v>
      </c>
      <c r="G211" s="35">
        <f t="shared" si="21"/>
        <v>10325</v>
      </c>
    </row>
    <row r="212" spans="1:8" ht="18" customHeight="1" x14ac:dyDescent="0.25">
      <c r="A212" s="61">
        <v>44384</v>
      </c>
      <c r="B212" t="s">
        <v>672</v>
      </c>
      <c r="C212" s="74" t="s">
        <v>653</v>
      </c>
      <c r="E212" s="1">
        <v>34500</v>
      </c>
      <c r="F212" s="20">
        <f t="shared" si="20"/>
        <v>22425</v>
      </c>
      <c r="G212" s="35">
        <f t="shared" si="21"/>
        <v>12075</v>
      </c>
    </row>
    <row r="213" spans="1:8" ht="18" customHeight="1" x14ac:dyDescent="0.25">
      <c r="A213" s="61">
        <v>44386</v>
      </c>
      <c r="B213" t="s">
        <v>673</v>
      </c>
      <c r="C213" s="74" t="s">
        <v>653</v>
      </c>
      <c r="E213" s="1">
        <v>34500</v>
      </c>
      <c r="F213" s="20">
        <f t="shared" si="20"/>
        <v>22425</v>
      </c>
      <c r="G213" s="35">
        <f t="shared" si="21"/>
        <v>12075</v>
      </c>
    </row>
    <row r="214" spans="1:8" ht="18" customHeight="1" x14ac:dyDescent="0.25">
      <c r="A214" s="61">
        <v>44386</v>
      </c>
      <c r="B214" t="s">
        <v>674</v>
      </c>
      <c r="C214" s="74" t="s">
        <v>8</v>
      </c>
      <c r="E214" s="1">
        <v>21000</v>
      </c>
      <c r="F214" s="20">
        <f t="shared" si="20"/>
        <v>13650</v>
      </c>
      <c r="G214" s="35">
        <f t="shared" si="21"/>
        <v>7349.9999999999991</v>
      </c>
    </row>
    <row r="215" spans="1:8" ht="18" customHeight="1" x14ac:dyDescent="0.25">
      <c r="A215" s="61">
        <v>44389</v>
      </c>
      <c r="B215" t="s">
        <v>675</v>
      </c>
      <c r="C215" s="74" t="s">
        <v>8</v>
      </c>
      <c r="E215" s="1">
        <v>14500</v>
      </c>
      <c r="F215" s="20">
        <f t="shared" si="20"/>
        <v>9425</v>
      </c>
      <c r="G215" s="35">
        <f t="shared" si="21"/>
        <v>5075</v>
      </c>
    </row>
    <row r="216" spans="1:8" ht="20.25" customHeight="1" x14ac:dyDescent="0.4">
      <c r="C216" s="77" t="s">
        <v>9</v>
      </c>
      <c r="D216" s="77"/>
      <c r="E216" s="23">
        <f>SUM(E202:E214)</f>
        <v>335000</v>
      </c>
      <c r="F216" s="24">
        <f>SUM(F202:F214)</f>
        <v>217750</v>
      </c>
      <c r="G216" s="39">
        <f>SUM(G203:G215)</f>
        <v>122325</v>
      </c>
      <c r="H216" s="36">
        <v>44728</v>
      </c>
    </row>
    <row r="217" spans="1:8" ht="18" customHeight="1" x14ac:dyDescent="0.25">
      <c r="F217" s="20"/>
      <c r="G217" s="35"/>
    </row>
    <row r="218" spans="1:8" ht="18" customHeight="1" x14ac:dyDescent="0.25">
      <c r="F218" s="20"/>
      <c r="G218" s="35"/>
    </row>
    <row r="219" spans="1:8" x14ac:dyDescent="0.25">
      <c r="A219" s="61">
        <v>44260</v>
      </c>
      <c r="B219" t="s">
        <v>637</v>
      </c>
      <c r="C219" s="74" t="s">
        <v>57</v>
      </c>
      <c r="E219" s="1">
        <v>27729</v>
      </c>
      <c r="F219" s="20">
        <f t="shared" ref="F219:F227" si="22">SUM(E219*0.65)</f>
        <v>18023.850000000002</v>
      </c>
      <c r="G219" s="20">
        <f t="shared" ref="G219:G227" si="23">SUM(E219*0.35)</f>
        <v>9705.15</v>
      </c>
    </row>
    <row r="220" spans="1:8" ht="18" customHeight="1" x14ac:dyDescent="0.25">
      <c r="A220" s="61">
        <v>44406</v>
      </c>
      <c r="B220" t="s">
        <v>677</v>
      </c>
      <c r="C220" s="74" t="s">
        <v>653</v>
      </c>
      <c r="E220" s="1">
        <v>25000</v>
      </c>
      <c r="F220" s="20">
        <f t="shared" si="22"/>
        <v>16250</v>
      </c>
      <c r="G220" s="35">
        <f t="shared" si="23"/>
        <v>8750</v>
      </c>
    </row>
    <row r="221" spans="1:8" ht="18" customHeight="1" x14ac:dyDescent="0.25">
      <c r="A221" s="61">
        <v>44805</v>
      </c>
      <c r="B221" t="s">
        <v>678</v>
      </c>
      <c r="C221" s="74" t="s">
        <v>11</v>
      </c>
      <c r="E221" s="1">
        <v>30800</v>
      </c>
      <c r="F221" s="20">
        <f t="shared" si="22"/>
        <v>20020</v>
      </c>
      <c r="G221" s="35">
        <f t="shared" si="23"/>
        <v>10780</v>
      </c>
    </row>
    <row r="222" spans="1:8" ht="18" customHeight="1" x14ac:dyDescent="0.25">
      <c r="A222" s="61">
        <v>44806</v>
      </c>
      <c r="B222" t="s">
        <v>679</v>
      </c>
      <c r="C222" s="74" t="s">
        <v>11</v>
      </c>
      <c r="E222" s="1">
        <v>31300</v>
      </c>
      <c r="F222" s="20">
        <f t="shared" si="22"/>
        <v>20345</v>
      </c>
      <c r="G222" s="35">
        <f t="shared" si="23"/>
        <v>10955</v>
      </c>
    </row>
    <row r="223" spans="1:8" ht="18" customHeight="1" x14ac:dyDescent="0.25">
      <c r="A223" s="61">
        <v>44817</v>
      </c>
      <c r="B223" t="s">
        <v>681</v>
      </c>
      <c r="C223" s="74" t="s">
        <v>653</v>
      </c>
      <c r="E223" s="1">
        <v>24500</v>
      </c>
      <c r="F223" s="20">
        <f t="shared" si="22"/>
        <v>15925</v>
      </c>
      <c r="G223" s="35">
        <f t="shared" si="23"/>
        <v>8575</v>
      </c>
    </row>
    <row r="224" spans="1:8" ht="18" customHeight="1" x14ac:dyDescent="0.25">
      <c r="A224" s="61">
        <v>44884</v>
      </c>
      <c r="B224" t="s">
        <v>694</v>
      </c>
      <c r="C224" s="74" t="s">
        <v>653</v>
      </c>
      <c r="E224" s="1">
        <v>10000</v>
      </c>
      <c r="F224" s="20">
        <f t="shared" si="22"/>
        <v>6500</v>
      </c>
      <c r="G224" s="35">
        <f t="shared" si="23"/>
        <v>3500</v>
      </c>
    </row>
    <row r="225" spans="1:8" ht="18" customHeight="1" x14ac:dyDescent="0.25">
      <c r="A225" s="61">
        <v>44884</v>
      </c>
      <c r="B225" t="s">
        <v>693</v>
      </c>
      <c r="C225" s="74" t="s">
        <v>653</v>
      </c>
      <c r="E225" s="1">
        <v>20000</v>
      </c>
      <c r="F225" s="20">
        <f t="shared" si="22"/>
        <v>13000</v>
      </c>
      <c r="G225" s="35">
        <f t="shared" si="23"/>
        <v>7000</v>
      </c>
    </row>
    <row r="226" spans="1:8" ht="18" customHeight="1" x14ac:dyDescent="0.25">
      <c r="A226" s="61">
        <v>44910</v>
      </c>
      <c r="B226" t="s">
        <v>687</v>
      </c>
      <c r="C226" s="74" t="s">
        <v>653</v>
      </c>
      <c r="E226" s="1">
        <v>190000</v>
      </c>
      <c r="F226" s="20">
        <f t="shared" si="22"/>
        <v>123500</v>
      </c>
      <c r="G226" s="35">
        <f t="shared" si="23"/>
        <v>66500</v>
      </c>
    </row>
    <row r="227" spans="1:8" ht="18" customHeight="1" x14ac:dyDescent="0.25">
      <c r="A227" s="61">
        <v>44911</v>
      </c>
      <c r="B227" t="s">
        <v>686</v>
      </c>
      <c r="C227" s="74" t="s">
        <v>8</v>
      </c>
      <c r="E227" s="1">
        <v>14500</v>
      </c>
      <c r="F227" s="20">
        <f t="shared" si="22"/>
        <v>9425</v>
      </c>
      <c r="G227" s="35">
        <f t="shared" si="23"/>
        <v>5075</v>
      </c>
    </row>
    <row r="228" spans="1:8" ht="18" customHeight="1" x14ac:dyDescent="0.4">
      <c r="C228" s="77" t="s">
        <v>9</v>
      </c>
      <c r="D228" s="77"/>
      <c r="E228" s="23">
        <f>SUM(E219:E227)</f>
        <v>373829</v>
      </c>
      <c r="F228" s="24">
        <f>SUM(F219:F227)</f>
        <v>242988.85</v>
      </c>
      <c r="G228" s="39">
        <f>SUM(G219:G227)</f>
        <v>130840.15</v>
      </c>
      <c r="H228" s="36">
        <v>44755</v>
      </c>
    </row>
    <row r="229" spans="1:8" ht="18" customHeight="1" x14ac:dyDescent="0.25">
      <c r="F229" s="20"/>
      <c r="G229" s="35"/>
    </row>
    <row r="230" spans="1:8" ht="18" customHeight="1" x14ac:dyDescent="0.25">
      <c r="F230" s="20"/>
      <c r="G230" s="35"/>
    </row>
    <row r="231" spans="1:8" ht="18" customHeight="1" x14ac:dyDescent="0.25">
      <c r="A231" s="61">
        <v>44456</v>
      </c>
      <c r="B231" t="s">
        <v>684</v>
      </c>
      <c r="C231" s="74" t="s">
        <v>8</v>
      </c>
      <c r="E231" s="1">
        <v>20000</v>
      </c>
      <c r="F231" s="20">
        <f t="shared" ref="F231:F246" si="24">SUM(E231*0.65)</f>
        <v>13000</v>
      </c>
      <c r="G231" s="35">
        <f t="shared" ref="G231:G246" si="25">SUM(E231*0.35)</f>
        <v>7000</v>
      </c>
    </row>
    <row r="232" spans="1:8" ht="18" customHeight="1" x14ac:dyDescent="0.25">
      <c r="A232" s="61">
        <v>44354</v>
      </c>
      <c r="B232" t="s">
        <v>663</v>
      </c>
      <c r="C232" s="74" t="s">
        <v>57</v>
      </c>
      <c r="E232" s="1">
        <v>17848</v>
      </c>
      <c r="F232" s="20">
        <f t="shared" si="24"/>
        <v>11601.2</v>
      </c>
      <c r="G232" s="35">
        <f t="shared" si="25"/>
        <v>6246.7999999999993</v>
      </c>
    </row>
    <row r="233" spans="1:8" ht="18" customHeight="1" x14ac:dyDescent="0.25">
      <c r="A233" s="61">
        <v>44410</v>
      </c>
      <c r="B233" t="s">
        <v>664</v>
      </c>
      <c r="C233" s="74" t="s">
        <v>665</v>
      </c>
      <c r="E233" s="1">
        <v>19000</v>
      </c>
      <c r="F233" s="20">
        <f t="shared" si="24"/>
        <v>12350</v>
      </c>
      <c r="G233" s="35">
        <f t="shared" si="25"/>
        <v>6650</v>
      </c>
    </row>
    <row r="234" spans="1:8" ht="18" customHeight="1" x14ac:dyDescent="0.25">
      <c r="A234" s="61">
        <v>44417</v>
      </c>
      <c r="B234" t="s">
        <v>666</v>
      </c>
      <c r="C234" s="74" t="s">
        <v>11</v>
      </c>
      <c r="E234" s="1">
        <v>24500</v>
      </c>
      <c r="F234" s="20">
        <f t="shared" si="24"/>
        <v>15925</v>
      </c>
      <c r="G234" s="35">
        <f t="shared" si="25"/>
        <v>8575</v>
      </c>
    </row>
    <row r="235" spans="1:8" ht="18" customHeight="1" x14ac:dyDescent="0.25">
      <c r="A235" s="61">
        <v>43103</v>
      </c>
      <c r="B235" s="5" t="s">
        <v>65</v>
      </c>
      <c r="C235" s="74" t="s">
        <v>0</v>
      </c>
      <c r="E235" s="1">
        <v>34500</v>
      </c>
      <c r="F235" s="20">
        <f t="shared" si="24"/>
        <v>22425</v>
      </c>
      <c r="G235" s="35">
        <f t="shared" si="25"/>
        <v>12075</v>
      </c>
      <c r="H235" s="22"/>
    </row>
    <row r="236" spans="1:8" ht="18" customHeight="1" x14ac:dyDescent="0.25">
      <c r="A236" s="61">
        <v>44154</v>
      </c>
      <c r="B236" t="s">
        <v>616</v>
      </c>
      <c r="C236" s="74" t="s">
        <v>11</v>
      </c>
      <c r="E236" s="1">
        <v>14500</v>
      </c>
      <c r="F236" s="20">
        <f t="shared" si="24"/>
        <v>9425</v>
      </c>
      <c r="G236" s="35">
        <f t="shared" si="25"/>
        <v>5075</v>
      </c>
    </row>
    <row r="237" spans="1:8" ht="18" customHeight="1" x14ac:dyDescent="0.25">
      <c r="A237" s="61">
        <v>43866</v>
      </c>
      <c r="B237" t="s">
        <v>580</v>
      </c>
      <c r="C237" s="74" t="s">
        <v>11</v>
      </c>
      <c r="E237" s="1">
        <v>12256</v>
      </c>
      <c r="F237" s="20">
        <f t="shared" si="24"/>
        <v>7966.4000000000005</v>
      </c>
      <c r="G237" s="35">
        <f t="shared" si="25"/>
        <v>4289.5999999999995</v>
      </c>
    </row>
    <row r="238" spans="1:8" ht="18" customHeight="1" x14ac:dyDescent="0.25">
      <c r="A238" s="61">
        <v>44378</v>
      </c>
      <c r="B238" t="s">
        <v>671</v>
      </c>
      <c r="C238" s="74" t="s">
        <v>11</v>
      </c>
      <c r="E238" s="1">
        <v>29500</v>
      </c>
      <c r="F238" s="20">
        <f t="shared" si="24"/>
        <v>19175</v>
      </c>
      <c r="G238" s="35">
        <f t="shared" si="25"/>
        <v>10325</v>
      </c>
    </row>
    <row r="239" spans="1:8" ht="18" customHeight="1" x14ac:dyDescent="0.25">
      <c r="A239" s="61">
        <v>44453</v>
      </c>
      <c r="B239" t="s">
        <v>682</v>
      </c>
      <c r="C239" s="74" t="s">
        <v>653</v>
      </c>
      <c r="E239" s="1">
        <v>30000</v>
      </c>
      <c r="F239" s="20">
        <f t="shared" si="24"/>
        <v>19500</v>
      </c>
      <c r="G239" s="35">
        <f t="shared" si="25"/>
        <v>10500</v>
      </c>
    </row>
    <row r="240" spans="1:8" ht="18" customHeight="1" x14ac:dyDescent="0.25">
      <c r="A240" s="61">
        <v>44838</v>
      </c>
      <c r="B240" t="s">
        <v>695</v>
      </c>
      <c r="C240" s="74" t="s">
        <v>11</v>
      </c>
      <c r="E240" s="1">
        <v>29500</v>
      </c>
      <c r="F240" s="20">
        <f t="shared" si="24"/>
        <v>19175</v>
      </c>
      <c r="G240" s="35">
        <f t="shared" si="25"/>
        <v>10325</v>
      </c>
    </row>
    <row r="241" spans="1:9" ht="18" customHeight="1" x14ac:dyDescent="0.25">
      <c r="A241" s="61">
        <v>43416</v>
      </c>
      <c r="B241" s="4" t="s">
        <v>247</v>
      </c>
      <c r="C241" s="74" t="s">
        <v>11</v>
      </c>
      <c r="E241" s="1">
        <v>19750</v>
      </c>
      <c r="F241" s="20">
        <f t="shared" si="24"/>
        <v>12837.5</v>
      </c>
      <c r="G241" s="35">
        <f t="shared" si="25"/>
        <v>6912.5</v>
      </c>
      <c r="H241" t="s">
        <v>712</v>
      </c>
      <c r="I241" s="1"/>
    </row>
    <row r="242" spans="1:9" ht="18" customHeight="1" x14ac:dyDescent="0.25">
      <c r="A242" s="61">
        <v>44901</v>
      </c>
      <c r="B242" t="s">
        <v>690</v>
      </c>
      <c r="C242" s="74" t="s">
        <v>11</v>
      </c>
      <c r="E242" s="1">
        <v>29500</v>
      </c>
      <c r="F242" s="20">
        <f t="shared" si="24"/>
        <v>19175</v>
      </c>
      <c r="G242" s="35">
        <f t="shared" si="25"/>
        <v>10325</v>
      </c>
    </row>
    <row r="243" spans="1:9" ht="18" customHeight="1" x14ac:dyDescent="0.25">
      <c r="A243" s="61">
        <v>44902</v>
      </c>
      <c r="B243" t="s">
        <v>689</v>
      </c>
      <c r="C243" s="74" t="s">
        <v>653</v>
      </c>
      <c r="E243" s="1">
        <v>25000</v>
      </c>
      <c r="F243" s="20">
        <f t="shared" si="24"/>
        <v>16250</v>
      </c>
      <c r="G243" s="35">
        <f t="shared" si="25"/>
        <v>8750</v>
      </c>
    </row>
    <row r="244" spans="1:9" ht="18" customHeight="1" x14ac:dyDescent="0.25">
      <c r="A244" s="61">
        <v>44904</v>
      </c>
      <c r="B244" t="s">
        <v>688</v>
      </c>
      <c r="C244" s="74" t="s">
        <v>653</v>
      </c>
      <c r="E244" s="1">
        <v>30000</v>
      </c>
      <c r="F244" s="20">
        <f t="shared" si="24"/>
        <v>19500</v>
      </c>
      <c r="G244" s="35">
        <f t="shared" si="25"/>
        <v>10500</v>
      </c>
    </row>
    <row r="245" spans="1:9" ht="18" customHeight="1" x14ac:dyDescent="0.25">
      <c r="A245" s="61">
        <v>43445</v>
      </c>
      <c r="B245" s="4" t="s">
        <v>263</v>
      </c>
      <c r="C245" s="74" t="s">
        <v>7</v>
      </c>
      <c r="E245" s="1">
        <v>8845</v>
      </c>
      <c r="F245" s="20">
        <f t="shared" si="24"/>
        <v>5749.25</v>
      </c>
      <c r="G245" s="35">
        <f t="shared" si="25"/>
        <v>3095.75</v>
      </c>
      <c r="H245" t="s">
        <v>712</v>
      </c>
      <c r="I245" s="1"/>
    </row>
    <row r="246" spans="1:9" ht="18" customHeight="1" x14ac:dyDescent="0.25">
      <c r="A246" s="61">
        <v>43565</v>
      </c>
      <c r="B246" t="s">
        <v>321</v>
      </c>
      <c r="C246" s="74" t="s">
        <v>0</v>
      </c>
      <c r="E246" s="1">
        <v>12250</v>
      </c>
      <c r="F246" s="20">
        <f t="shared" si="24"/>
        <v>7962.5</v>
      </c>
      <c r="G246" s="35">
        <f t="shared" si="25"/>
        <v>4287.5</v>
      </c>
      <c r="H246" t="s">
        <v>712</v>
      </c>
      <c r="I246" s="1"/>
    </row>
    <row r="247" spans="1:9" ht="18" customHeight="1" x14ac:dyDescent="0.4">
      <c r="C247" s="77" t="s">
        <v>9</v>
      </c>
      <c r="D247" s="77"/>
      <c r="E247" s="23">
        <f ca="1">SUM(E231:E253)</f>
        <v>403652</v>
      </c>
      <c r="F247" s="24">
        <f ca="1">SUM(F231:F253)</f>
        <v>262373.8</v>
      </c>
      <c r="G247" s="39">
        <f>SUM(G231:G246)</f>
        <v>124932.15</v>
      </c>
      <c r="H247" s="36">
        <v>44778</v>
      </c>
      <c r="I247" s="20"/>
    </row>
    <row r="248" spans="1:9" ht="18" customHeight="1" x14ac:dyDescent="0.25">
      <c r="E248" s="20"/>
      <c r="F248" s="20"/>
      <c r="G248" s="35"/>
      <c r="I248" s="20"/>
    </row>
    <row r="249" spans="1:9" ht="18" customHeight="1" x14ac:dyDescent="0.25">
      <c r="E249" s="20"/>
      <c r="F249" s="20"/>
      <c r="G249" s="35"/>
      <c r="I249" s="20"/>
    </row>
    <row r="250" spans="1:9" ht="18" customHeight="1" x14ac:dyDescent="0.25">
      <c r="A250" s="61">
        <v>43633</v>
      </c>
      <c r="B250" t="s">
        <v>360</v>
      </c>
      <c r="C250" s="74" t="s">
        <v>57</v>
      </c>
      <c r="E250" s="20">
        <v>17500</v>
      </c>
      <c r="F250" s="20">
        <f t="shared" ref="F250:F275" si="26">SUM(E250*0.65)</f>
        <v>11375</v>
      </c>
      <c r="G250" s="35">
        <f t="shared" ref="G250:G275" si="27">SUM(E250*0.35)</f>
        <v>6125</v>
      </c>
      <c r="H250" t="s">
        <v>712</v>
      </c>
      <c r="I250" s="20"/>
    </row>
    <row r="251" spans="1:9" ht="18" customHeight="1" x14ac:dyDescent="0.25">
      <c r="A251" s="61">
        <v>43642</v>
      </c>
      <c r="B251" t="s">
        <v>366</v>
      </c>
      <c r="C251" s="74" t="s">
        <v>7</v>
      </c>
      <c r="E251" s="1">
        <v>9118</v>
      </c>
      <c r="F251" s="20">
        <f t="shared" si="26"/>
        <v>5926.7</v>
      </c>
      <c r="G251" s="35">
        <f t="shared" si="27"/>
        <v>3191.2999999999997</v>
      </c>
      <c r="H251" t="s">
        <v>712</v>
      </c>
      <c r="I251" s="1"/>
    </row>
    <row r="252" spans="1:9" ht="18" customHeight="1" x14ac:dyDescent="0.25">
      <c r="A252" s="61">
        <v>43697</v>
      </c>
      <c r="B252" t="s">
        <v>416</v>
      </c>
      <c r="C252" s="74" t="s">
        <v>57</v>
      </c>
      <c r="E252" s="1">
        <v>9250</v>
      </c>
      <c r="F252" s="20">
        <f t="shared" si="26"/>
        <v>6012.5</v>
      </c>
      <c r="G252" s="35">
        <f t="shared" si="27"/>
        <v>3237.5</v>
      </c>
      <c r="H252" t="s">
        <v>712</v>
      </c>
      <c r="I252" s="1"/>
    </row>
    <row r="253" spans="1:9" ht="18" customHeight="1" x14ac:dyDescent="0.25">
      <c r="A253" s="61">
        <v>43704</v>
      </c>
      <c r="B253" t="s">
        <v>427</v>
      </c>
      <c r="C253" s="74" t="s">
        <v>11</v>
      </c>
      <c r="E253" s="20">
        <v>10835</v>
      </c>
      <c r="F253" s="20">
        <f t="shared" si="26"/>
        <v>7042.75</v>
      </c>
      <c r="G253" s="35">
        <f t="shared" si="27"/>
        <v>3792.2499999999995</v>
      </c>
      <c r="H253" t="s">
        <v>712</v>
      </c>
      <c r="I253" s="20"/>
    </row>
    <row r="254" spans="1:9" ht="18" customHeight="1" x14ac:dyDescent="0.25">
      <c r="A254" s="61">
        <v>43725</v>
      </c>
      <c r="B254" t="s">
        <v>452</v>
      </c>
      <c r="C254" s="74" t="s">
        <v>11</v>
      </c>
      <c r="E254" s="1">
        <v>82000</v>
      </c>
      <c r="F254" s="20">
        <f t="shared" si="26"/>
        <v>53300</v>
      </c>
      <c r="G254" s="35">
        <f t="shared" si="27"/>
        <v>28699.999999999996</v>
      </c>
    </row>
    <row r="255" spans="1:9" ht="18" customHeight="1" x14ac:dyDescent="0.25">
      <c r="A255" s="61">
        <v>43725</v>
      </c>
      <c r="B255" t="s">
        <v>456</v>
      </c>
      <c r="C255" s="74" t="s">
        <v>7</v>
      </c>
      <c r="E255" s="1">
        <v>4518</v>
      </c>
      <c r="F255" s="20">
        <f t="shared" si="26"/>
        <v>2936.7000000000003</v>
      </c>
      <c r="G255" s="35">
        <f t="shared" si="27"/>
        <v>1581.3</v>
      </c>
      <c r="H255" t="s">
        <v>712</v>
      </c>
      <c r="I255" s="1"/>
    </row>
    <row r="256" spans="1:9" ht="18" customHeight="1" x14ac:dyDescent="0.25">
      <c r="A256" s="61">
        <v>43739</v>
      </c>
      <c r="B256" t="s">
        <v>465</v>
      </c>
      <c r="C256" s="74" t="s">
        <v>7</v>
      </c>
      <c r="E256" s="1">
        <v>3582.5</v>
      </c>
      <c r="F256" s="20">
        <f t="shared" si="26"/>
        <v>2328.625</v>
      </c>
      <c r="G256" s="35">
        <f t="shared" si="27"/>
        <v>1253.875</v>
      </c>
      <c r="H256" t="s">
        <v>712</v>
      </c>
      <c r="I256" s="1"/>
    </row>
    <row r="257" spans="1:9" ht="18" customHeight="1" x14ac:dyDescent="0.25">
      <c r="A257" s="61">
        <v>44838</v>
      </c>
      <c r="B257" t="s">
        <v>696</v>
      </c>
      <c r="C257" s="74" t="s">
        <v>11</v>
      </c>
      <c r="E257" s="1">
        <v>29500</v>
      </c>
      <c r="F257" s="20">
        <f t="shared" si="26"/>
        <v>19175</v>
      </c>
      <c r="G257" s="35">
        <f t="shared" si="27"/>
        <v>10325</v>
      </c>
      <c r="H257" s="2" t="s">
        <v>713</v>
      </c>
    </row>
    <row r="258" spans="1:9" ht="18" customHeight="1" x14ac:dyDescent="0.25">
      <c r="A258" s="61">
        <v>43789</v>
      </c>
      <c r="B258" t="s">
        <v>515</v>
      </c>
      <c r="C258" s="74" t="s">
        <v>7</v>
      </c>
      <c r="E258" s="1">
        <v>12500</v>
      </c>
      <c r="F258" s="20">
        <f t="shared" si="26"/>
        <v>8125</v>
      </c>
      <c r="G258" s="35">
        <f t="shared" si="27"/>
        <v>4375</v>
      </c>
      <c r="H258" t="s">
        <v>712</v>
      </c>
      <c r="I258" s="1"/>
    </row>
    <row r="259" spans="1:9" ht="18" customHeight="1" x14ac:dyDescent="0.25">
      <c r="A259" s="61">
        <v>43794</v>
      </c>
      <c r="B259" t="s">
        <v>519</v>
      </c>
      <c r="C259" s="74" t="s">
        <v>7</v>
      </c>
      <c r="E259" s="1">
        <v>3000</v>
      </c>
      <c r="F259" s="20">
        <f t="shared" si="26"/>
        <v>1950</v>
      </c>
      <c r="G259" s="35">
        <f t="shared" si="27"/>
        <v>1050</v>
      </c>
      <c r="H259" t="s">
        <v>712</v>
      </c>
      <c r="I259" s="1"/>
    </row>
    <row r="260" spans="1:9" ht="18" customHeight="1" x14ac:dyDescent="0.25">
      <c r="A260" s="61">
        <v>43796</v>
      </c>
      <c r="B260" t="s">
        <v>522</v>
      </c>
      <c r="C260" s="74" t="s">
        <v>7</v>
      </c>
      <c r="E260" s="1">
        <v>5175.5893000000005</v>
      </c>
      <c r="F260" s="20">
        <f t="shared" si="26"/>
        <v>3364.1330450000005</v>
      </c>
      <c r="G260" s="35">
        <f t="shared" si="27"/>
        <v>1811.4562550000001</v>
      </c>
      <c r="H260" t="s">
        <v>712</v>
      </c>
      <c r="I260" s="1"/>
    </row>
    <row r="261" spans="1:9" ht="18" customHeight="1" x14ac:dyDescent="0.25">
      <c r="A261" s="61">
        <v>43802</v>
      </c>
      <c r="B261" t="s">
        <v>542</v>
      </c>
      <c r="C261" s="74" t="s">
        <v>534</v>
      </c>
      <c r="E261" s="1">
        <v>5335</v>
      </c>
      <c r="F261" s="20">
        <f t="shared" si="26"/>
        <v>3467.75</v>
      </c>
      <c r="G261" s="35">
        <f t="shared" si="27"/>
        <v>1867.2499999999998</v>
      </c>
      <c r="H261" t="s">
        <v>712</v>
      </c>
      <c r="I261" s="1"/>
    </row>
    <row r="262" spans="1:9" ht="18" customHeight="1" x14ac:dyDescent="0.25">
      <c r="A262" s="61">
        <v>43802</v>
      </c>
      <c r="B262" t="s">
        <v>543</v>
      </c>
      <c r="C262" s="74" t="s">
        <v>534</v>
      </c>
      <c r="E262" s="1">
        <v>5000</v>
      </c>
      <c r="F262" s="20">
        <f t="shared" si="26"/>
        <v>3250</v>
      </c>
      <c r="G262" s="35">
        <f t="shared" si="27"/>
        <v>1750</v>
      </c>
      <c r="H262" t="s">
        <v>712</v>
      </c>
      <c r="I262" s="1"/>
    </row>
    <row r="263" spans="1:9" ht="18" customHeight="1" x14ac:dyDescent="0.25">
      <c r="A263" s="61">
        <v>43803</v>
      </c>
      <c r="B263" t="s">
        <v>524</v>
      </c>
      <c r="C263" s="74" t="s">
        <v>11</v>
      </c>
      <c r="E263" s="1">
        <v>6326.06</v>
      </c>
      <c r="F263" s="20">
        <f t="shared" si="26"/>
        <v>4111.9390000000003</v>
      </c>
      <c r="G263" s="35">
        <f t="shared" si="27"/>
        <v>2214.1210000000001</v>
      </c>
      <c r="H263" t="s">
        <v>712</v>
      </c>
      <c r="I263" s="1"/>
    </row>
    <row r="264" spans="1:9" ht="18" customHeight="1" x14ac:dyDescent="0.25">
      <c r="A264" s="61">
        <v>43864</v>
      </c>
      <c r="B264" s="37" t="s">
        <v>576</v>
      </c>
      <c r="C264" s="74" t="s">
        <v>11</v>
      </c>
      <c r="E264" s="1">
        <v>12500</v>
      </c>
      <c r="F264" s="20">
        <f t="shared" si="26"/>
        <v>8125</v>
      </c>
      <c r="G264" s="35">
        <f t="shared" si="27"/>
        <v>4375</v>
      </c>
      <c r="H264" t="s">
        <v>712</v>
      </c>
      <c r="I264" s="1"/>
    </row>
    <row r="265" spans="1:9" ht="18" customHeight="1" x14ac:dyDescent="0.25">
      <c r="A265" s="61">
        <v>43866</v>
      </c>
      <c r="B265" t="s">
        <v>578</v>
      </c>
      <c r="C265" s="74" t="s">
        <v>579</v>
      </c>
      <c r="E265" s="1">
        <v>9800</v>
      </c>
      <c r="F265" s="20">
        <f t="shared" si="26"/>
        <v>6370</v>
      </c>
      <c r="G265" s="35">
        <f t="shared" si="27"/>
        <v>3430</v>
      </c>
      <c r="H265" t="s">
        <v>712</v>
      </c>
      <c r="I265" s="1"/>
    </row>
    <row r="266" spans="1:9" ht="18" customHeight="1" x14ac:dyDescent="0.25">
      <c r="A266" s="61">
        <v>43878</v>
      </c>
      <c r="B266" s="37" t="s">
        <v>583</v>
      </c>
      <c r="C266" s="74" t="s">
        <v>7</v>
      </c>
      <c r="E266" s="41">
        <v>7576.5</v>
      </c>
      <c r="F266" s="20">
        <f t="shared" si="26"/>
        <v>4924.7250000000004</v>
      </c>
      <c r="G266" s="35">
        <f t="shared" si="27"/>
        <v>2651.7749999999996</v>
      </c>
      <c r="H266" t="s">
        <v>712</v>
      </c>
      <c r="I266" s="41"/>
    </row>
    <row r="267" spans="1:9" ht="18" customHeight="1" x14ac:dyDescent="0.25">
      <c r="A267" s="61">
        <v>44453</v>
      </c>
      <c r="B267" t="s">
        <v>668</v>
      </c>
      <c r="C267" s="74" t="s">
        <v>7</v>
      </c>
      <c r="E267" s="1">
        <v>8900</v>
      </c>
      <c r="F267" s="20">
        <f t="shared" si="26"/>
        <v>5785</v>
      </c>
      <c r="G267" s="35">
        <f t="shared" si="27"/>
        <v>3115</v>
      </c>
      <c r="H267" s="2" t="s">
        <v>714</v>
      </c>
    </row>
    <row r="268" spans="1:9" ht="18" customHeight="1" x14ac:dyDescent="0.25">
      <c r="A268" s="61">
        <v>44104</v>
      </c>
      <c r="B268" t="s">
        <v>606</v>
      </c>
      <c r="C268" s="74" t="s">
        <v>511</v>
      </c>
      <c r="E268" s="1">
        <v>3905</v>
      </c>
      <c r="F268" s="20">
        <f t="shared" si="26"/>
        <v>2538.25</v>
      </c>
      <c r="G268" s="35">
        <f t="shared" si="27"/>
        <v>1366.75</v>
      </c>
      <c r="H268" t="s">
        <v>712</v>
      </c>
      <c r="I268" s="1"/>
    </row>
    <row r="269" spans="1:9" x14ac:dyDescent="0.25">
      <c r="A269" s="61">
        <v>44567</v>
      </c>
      <c r="B269" s="43" t="s">
        <v>710</v>
      </c>
      <c r="C269" s="74" t="s">
        <v>57</v>
      </c>
      <c r="E269" s="1">
        <v>20000</v>
      </c>
      <c r="F269" s="20">
        <f t="shared" si="26"/>
        <v>13000</v>
      </c>
      <c r="G269" s="35">
        <f t="shared" si="27"/>
        <v>7000</v>
      </c>
      <c r="H269" s="2" t="s">
        <v>714</v>
      </c>
      <c r="I269" s="38"/>
    </row>
    <row r="270" spans="1:9" x14ac:dyDescent="0.25">
      <c r="A270" s="61">
        <v>44579</v>
      </c>
      <c r="B270" t="s">
        <v>704</v>
      </c>
      <c r="C270" s="74" t="s">
        <v>7</v>
      </c>
      <c r="E270" s="1">
        <v>22130</v>
      </c>
      <c r="F270" s="20">
        <f t="shared" si="26"/>
        <v>14384.5</v>
      </c>
      <c r="G270" s="35">
        <f t="shared" si="27"/>
        <v>7745.4999999999991</v>
      </c>
      <c r="H270" s="2" t="s">
        <v>714</v>
      </c>
    </row>
    <row r="271" spans="1:9" x14ac:dyDescent="0.25">
      <c r="A271" s="61">
        <v>44579</v>
      </c>
      <c r="B271" s="43" t="s">
        <v>705</v>
      </c>
      <c r="C271" s="74" t="s">
        <v>700</v>
      </c>
      <c r="E271" s="1">
        <v>19770</v>
      </c>
      <c r="F271" s="20">
        <f t="shared" si="26"/>
        <v>12850.5</v>
      </c>
      <c r="G271" s="35">
        <f t="shared" si="27"/>
        <v>6919.5</v>
      </c>
      <c r="H271" s="2" t="s">
        <v>714</v>
      </c>
    </row>
    <row r="272" spans="1:9" x14ac:dyDescent="0.25">
      <c r="A272" s="61">
        <v>44579</v>
      </c>
      <c r="B272" s="43" t="s">
        <v>706</v>
      </c>
      <c r="C272" s="74" t="s">
        <v>700</v>
      </c>
      <c r="E272" s="1">
        <v>9550</v>
      </c>
      <c r="F272" s="20">
        <f t="shared" si="26"/>
        <v>6207.5</v>
      </c>
      <c r="G272" s="35">
        <f t="shared" si="27"/>
        <v>3342.5</v>
      </c>
      <c r="H272" s="2" t="s">
        <v>714</v>
      </c>
    </row>
    <row r="273" spans="1:9" x14ac:dyDescent="0.25">
      <c r="A273" s="61">
        <v>44582</v>
      </c>
      <c r="B273" s="43" t="s">
        <v>707</v>
      </c>
      <c r="C273" s="74" t="s">
        <v>467</v>
      </c>
      <c r="E273" s="1">
        <v>24500</v>
      </c>
      <c r="F273" s="20">
        <f t="shared" si="26"/>
        <v>15925</v>
      </c>
      <c r="G273" s="35">
        <f t="shared" si="27"/>
        <v>8575</v>
      </c>
      <c r="H273" s="2" t="s">
        <v>714</v>
      </c>
    </row>
    <row r="274" spans="1:9" x14ac:dyDescent="0.25">
      <c r="A274" s="61">
        <v>44582</v>
      </c>
      <c r="B274" s="43" t="s">
        <v>708</v>
      </c>
      <c r="C274" s="74" t="s">
        <v>467</v>
      </c>
      <c r="E274" s="1">
        <v>24500</v>
      </c>
      <c r="F274" s="20">
        <f t="shared" si="26"/>
        <v>15925</v>
      </c>
      <c r="G274" s="35">
        <f t="shared" si="27"/>
        <v>8575</v>
      </c>
      <c r="H274" s="2" t="s">
        <v>714</v>
      </c>
    </row>
    <row r="275" spans="1:9" x14ac:dyDescent="0.25">
      <c r="A275" s="61">
        <v>44592</v>
      </c>
      <c r="B275" s="43" t="s">
        <v>709</v>
      </c>
      <c r="C275" s="74" t="s">
        <v>700</v>
      </c>
      <c r="E275" s="1">
        <v>9550</v>
      </c>
      <c r="F275" s="20">
        <f t="shared" si="26"/>
        <v>6207.5</v>
      </c>
      <c r="G275" s="35">
        <f t="shared" si="27"/>
        <v>3342.5</v>
      </c>
      <c r="H275" s="2" t="s">
        <v>714</v>
      </c>
    </row>
    <row r="276" spans="1:9" ht="19.5" x14ac:dyDescent="0.4">
      <c r="C276" s="77" t="s">
        <v>9</v>
      </c>
      <c r="D276" s="77"/>
      <c r="E276" s="23">
        <f>SUM(E250:E275)</f>
        <v>376321.64929999999</v>
      </c>
      <c r="F276" s="24">
        <f>SUM(F250:F275)</f>
        <v>244609.07204500001</v>
      </c>
      <c r="G276" s="39">
        <f>SUM(G250:G275)</f>
        <v>131712.57725499998</v>
      </c>
      <c r="H276" s="36">
        <v>44812</v>
      </c>
    </row>
    <row r="277" spans="1:9" x14ac:dyDescent="0.25">
      <c r="E277" s="20"/>
      <c r="F277" s="20"/>
      <c r="G277" s="20"/>
    </row>
    <row r="278" spans="1:9" ht="18" customHeight="1" x14ac:dyDescent="0.25">
      <c r="A278" s="61">
        <v>44840</v>
      </c>
      <c r="B278" t="s">
        <v>716</v>
      </c>
      <c r="C278" s="74" t="s">
        <v>653</v>
      </c>
      <c r="E278" s="1">
        <v>14000</v>
      </c>
      <c r="F278" s="20">
        <f t="shared" ref="F278:F298" si="28">SUM(E278*0.65)</f>
        <v>9100</v>
      </c>
      <c r="G278" s="35">
        <f t="shared" ref="G278:G298" si="29">SUM(E278*0.35)</f>
        <v>4900</v>
      </c>
      <c r="H278" s="2"/>
      <c r="I278" s="2"/>
    </row>
    <row r="279" spans="1:9" ht="18" customHeight="1" x14ac:dyDescent="0.25">
      <c r="A279" s="61">
        <v>44525</v>
      </c>
      <c r="B279" t="s">
        <v>715</v>
      </c>
      <c r="C279" s="74" t="s">
        <v>653</v>
      </c>
      <c r="E279" s="1">
        <v>15457</v>
      </c>
      <c r="F279" s="20">
        <f t="shared" si="28"/>
        <v>10047.050000000001</v>
      </c>
      <c r="G279" s="35">
        <f t="shared" si="29"/>
        <v>5409.95</v>
      </c>
      <c r="H279" s="2"/>
      <c r="I279" s="2"/>
    </row>
    <row r="280" spans="1:9" ht="18" customHeight="1" x14ac:dyDescent="0.25">
      <c r="A280" s="61">
        <v>44526</v>
      </c>
      <c r="B280" t="s">
        <v>717</v>
      </c>
      <c r="C280" s="74" t="s">
        <v>11</v>
      </c>
      <c r="E280" s="1">
        <v>24500</v>
      </c>
      <c r="F280" s="20">
        <f t="shared" si="28"/>
        <v>15925</v>
      </c>
      <c r="G280" s="35">
        <f t="shared" si="29"/>
        <v>8575</v>
      </c>
      <c r="H280" s="2"/>
      <c r="I280" s="2"/>
    </row>
    <row r="281" spans="1:9" ht="18" customHeight="1" x14ac:dyDescent="0.25">
      <c r="A281" s="61">
        <v>44526</v>
      </c>
      <c r="B281" t="s">
        <v>718</v>
      </c>
      <c r="C281" s="74" t="s">
        <v>11</v>
      </c>
      <c r="E281" s="1">
        <v>24500</v>
      </c>
      <c r="F281" s="20">
        <f t="shared" si="28"/>
        <v>15925</v>
      </c>
      <c r="G281" s="35">
        <f t="shared" si="29"/>
        <v>8575</v>
      </c>
      <c r="H281" s="2"/>
      <c r="I281" s="2"/>
    </row>
    <row r="282" spans="1:9" ht="18" customHeight="1" x14ac:dyDescent="0.25">
      <c r="A282" s="61">
        <v>44607</v>
      </c>
      <c r="B282" t="s">
        <v>711</v>
      </c>
      <c r="C282" s="74" t="s">
        <v>7</v>
      </c>
      <c r="E282" s="20">
        <v>20500</v>
      </c>
      <c r="F282" s="20">
        <f t="shared" si="28"/>
        <v>13325</v>
      </c>
      <c r="G282" s="35">
        <f t="shared" si="29"/>
        <v>7174.9999999999991</v>
      </c>
    </row>
    <row r="283" spans="1:9" ht="18" customHeight="1" x14ac:dyDescent="0.25">
      <c r="A283" s="61">
        <v>44613</v>
      </c>
      <c r="B283" t="s">
        <v>719</v>
      </c>
      <c r="C283" s="74" t="s">
        <v>653</v>
      </c>
      <c r="E283" s="20">
        <v>25000</v>
      </c>
      <c r="F283" s="20">
        <f t="shared" si="28"/>
        <v>16250</v>
      </c>
      <c r="G283" s="35">
        <f t="shared" si="29"/>
        <v>8750</v>
      </c>
    </row>
    <row r="284" spans="1:9" ht="18" customHeight="1" x14ac:dyDescent="0.25">
      <c r="A284" s="61">
        <v>44593</v>
      </c>
      <c r="B284" t="s">
        <v>720</v>
      </c>
      <c r="C284" s="74" t="s">
        <v>57</v>
      </c>
      <c r="E284" s="20">
        <v>7600</v>
      </c>
      <c r="F284" s="20">
        <f t="shared" si="28"/>
        <v>4940</v>
      </c>
      <c r="G284" s="35">
        <f t="shared" si="29"/>
        <v>2660</v>
      </c>
    </row>
    <row r="285" spans="1:9" ht="18" customHeight="1" x14ac:dyDescent="0.25">
      <c r="A285" s="61">
        <v>44602</v>
      </c>
      <c r="B285" t="s">
        <v>721</v>
      </c>
      <c r="C285" s="74" t="s">
        <v>653</v>
      </c>
      <c r="E285" s="20">
        <v>14100</v>
      </c>
      <c r="F285" s="20">
        <f t="shared" si="28"/>
        <v>9165</v>
      </c>
      <c r="G285" s="35">
        <f t="shared" si="29"/>
        <v>4935</v>
      </c>
    </row>
    <row r="286" spans="1:9" ht="18" customHeight="1" x14ac:dyDescent="0.25">
      <c r="A286" s="61">
        <v>44627</v>
      </c>
      <c r="B286" t="s">
        <v>723</v>
      </c>
      <c r="C286" s="74" t="s">
        <v>653</v>
      </c>
      <c r="E286" s="20">
        <v>16000</v>
      </c>
      <c r="F286" s="20">
        <f t="shared" si="28"/>
        <v>10400</v>
      </c>
      <c r="G286" s="35">
        <f t="shared" si="29"/>
        <v>5600</v>
      </c>
    </row>
    <row r="287" spans="1:9" ht="18" customHeight="1" x14ac:dyDescent="0.25">
      <c r="A287" s="61">
        <v>44624</v>
      </c>
      <c r="B287" t="s">
        <v>724</v>
      </c>
      <c r="C287" s="74" t="s">
        <v>11</v>
      </c>
      <c r="E287" s="20">
        <v>24500</v>
      </c>
      <c r="F287" s="20">
        <f t="shared" si="28"/>
        <v>15925</v>
      </c>
      <c r="G287" s="35">
        <f t="shared" si="29"/>
        <v>8575</v>
      </c>
    </row>
    <row r="288" spans="1:9" ht="18" customHeight="1" x14ac:dyDescent="0.25">
      <c r="A288" s="61">
        <v>44641</v>
      </c>
      <c r="B288" t="s">
        <v>725</v>
      </c>
      <c r="C288" s="74" t="s">
        <v>700</v>
      </c>
      <c r="E288" s="20">
        <v>9550</v>
      </c>
      <c r="F288" s="20">
        <f t="shared" si="28"/>
        <v>6207.5</v>
      </c>
      <c r="G288" s="35">
        <f t="shared" si="29"/>
        <v>3342.5</v>
      </c>
    </row>
    <row r="289" spans="1:8" ht="18" customHeight="1" x14ac:dyDescent="0.25">
      <c r="A289" s="61">
        <v>44651</v>
      </c>
      <c r="B289" t="s">
        <v>726</v>
      </c>
      <c r="C289" s="74" t="s">
        <v>11</v>
      </c>
      <c r="E289" s="20">
        <v>19000</v>
      </c>
      <c r="F289" s="20">
        <f t="shared" si="28"/>
        <v>12350</v>
      </c>
      <c r="G289" s="35">
        <f t="shared" si="29"/>
        <v>6650</v>
      </c>
    </row>
    <row r="290" spans="1:8" ht="18" customHeight="1" x14ac:dyDescent="0.25">
      <c r="A290" s="61">
        <v>44662</v>
      </c>
      <c r="B290" t="s">
        <v>727</v>
      </c>
      <c r="C290" s="74" t="s">
        <v>57</v>
      </c>
      <c r="E290" s="20">
        <v>15000</v>
      </c>
      <c r="F290" s="20">
        <f t="shared" si="28"/>
        <v>9750</v>
      </c>
      <c r="G290" s="35">
        <f t="shared" si="29"/>
        <v>5250</v>
      </c>
    </row>
    <row r="291" spans="1:8" ht="18" customHeight="1" x14ac:dyDescent="0.25">
      <c r="A291" s="61">
        <v>44672</v>
      </c>
      <c r="B291" t="s">
        <v>728</v>
      </c>
      <c r="C291" s="74" t="s">
        <v>11</v>
      </c>
      <c r="E291" s="20">
        <v>29500</v>
      </c>
      <c r="F291" s="20">
        <f t="shared" si="28"/>
        <v>19175</v>
      </c>
      <c r="G291" s="35">
        <f t="shared" si="29"/>
        <v>10325</v>
      </c>
    </row>
    <row r="292" spans="1:8" ht="18" customHeight="1" x14ac:dyDescent="0.25">
      <c r="A292" s="61">
        <v>44673</v>
      </c>
      <c r="B292" t="s">
        <v>729</v>
      </c>
      <c r="C292" s="74" t="s">
        <v>653</v>
      </c>
      <c r="E292" s="20">
        <v>19000</v>
      </c>
      <c r="F292" s="20">
        <f t="shared" si="28"/>
        <v>12350</v>
      </c>
      <c r="G292" s="35">
        <f t="shared" si="29"/>
        <v>6650</v>
      </c>
    </row>
    <row r="293" spans="1:8" ht="18" customHeight="1" x14ac:dyDescent="0.25">
      <c r="A293" s="61">
        <v>44680</v>
      </c>
      <c r="B293" t="s">
        <v>730</v>
      </c>
      <c r="C293" s="74" t="s">
        <v>11</v>
      </c>
      <c r="E293" s="20">
        <v>24500</v>
      </c>
      <c r="F293" s="20">
        <f t="shared" si="28"/>
        <v>15925</v>
      </c>
      <c r="G293" s="35">
        <f t="shared" si="29"/>
        <v>8575</v>
      </c>
    </row>
    <row r="294" spans="1:8" ht="18" customHeight="1" x14ac:dyDescent="0.25">
      <c r="A294" s="61">
        <v>44706</v>
      </c>
      <c r="B294" t="s">
        <v>732</v>
      </c>
      <c r="C294" s="74" t="s">
        <v>11</v>
      </c>
      <c r="E294" s="20">
        <v>10057</v>
      </c>
      <c r="F294" s="20">
        <f t="shared" si="28"/>
        <v>6537.05</v>
      </c>
      <c r="G294" s="20">
        <f t="shared" si="29"/>
        <v>3519.95</v>
      </c>
    </row>
    <row r="295" spans="1:8" ht="18" customHeight="1" x14ac:dyDescent="0.25">
      <c r="A295" s="61">
        <v>44699</v>
      </c>
      <c r="B295" s="47" t="s">
        <v>737</v>
      </c>
      <c r="C295" s="74" t="s">
        <v>653</v>
      </c>
      <c r="E295" s="20">
        <v>11000</v>
      </c>
      <c r="F295" s="20">
        <f t="shared" si="28"/>
        <v>7150</v>
      </c>
      <c r="G295" s="20">
        <f t="shared" si="29"/>
        <v>3849.9999999999995</v>
      </c>
    </row>
    <row r="296" spans="1:8" ht="18" customHeight="1" x14ac:dyDescent="0.25">
      <c r="A296" s="61">
        <v>44700</v>
      </c>
      <c r="B296" s="47" t="s">
        <v>738</v>
      </c>
      <c r="C296" s="74" t="s">
        <v>653</v>
      </c>
      <c r="E296" s="20">
        <v>11000</v>
      </c>
      <c r="F296" s="20">
        <f t="shared" si="28"/>
        <v>7150</v>
      </c>
      <c r="G296" s="20">
        <f t="shared" si="29"/>
        <v>3849.9999999999995</v>
      </c>
    </row>
    <row r="297" spans="1:8" ht="18" customHeight="1" x14ac:dyDescent="0.25">
      <c r="A297" s="63">
        <v>44739</v>
      </c>
      <c r="B297" s="47" t="s">
        <v>739</v>
      </c>
      <c r="C297" s="74" t="s">
        <v>57</v>
      </c>
      <c r="E297" s="20">
        <v>16130</v>
      </c>
      <c r="F297" s="20">
        <f t="shared" si="28"/>
        <v>10484.5</v>
      </c>
      <c r="G297" s="20">
        <f t="shared" si="29"/>
        <v>5645.5</v>
      </c>
    </row>
    <row r="298" spans="1:8" ht="18" customHeight="1" x14ac:dyDescent="0.25">
      <c r="A298" s="63">
        <v>44739</v>
      </c>
      <c r="B298" s="47" t="s">
        <v>740</v>
      </c>
      <c r="C298" s="74" t="s">
        <v>700</v>
      </c>
      <c r="E298" s="20">
        <v>33160</v>
      </c>
      <c r="F298" s="20">
        <f t="shared" si="28"/>
        <v>21554</v>
      </c>
      <c r="G298" s="20">
        <f t="shared" si="29"/>
        <v>11606</v>
      </c>
    </row>
    <row r="299" spans="1:8" ht="18" customHeight="1" x14ac:dyDescent="0.4">
      <c r="B299" s="48"/>
      <c r="C299" s="77" t="s">
        <v>9</v>
      </c>
      <c r="D299" s="77"/>
      <c r="E299" s="23">
        <f>SUM(E278:E298)</f>
        <v>384054</v>
      </c>
      <c r="F299" s="24">
        <f>SUM(F278:F298)</f>
        <v>249635.09999999998</v>
      </c>
      <c r="G299" s="39">
        <f>SUM(G278:G298)</f>
        <v>134418.9</v>
      </c>
      <c r="H299" s="36">
        <v>44880</v>
      </c>
    </row>
    <row r="300" spans="1:8" ht="18" customHeight="1" x14ac:dyDescent="0.25">
      <c r="B300" s="48"/>
      <c r="E300" s="20"/>
      <c r="F300" s="20">
        <f t="shared" ref="F300:F332" si="30">SUM(E300*0.65)</f>
        <v>0</v>
      </c>
      <c r="G300" s="20">
        <f t="shared" ref="G300:G332" si="31">SUM(E300*0.35)</f>
        <v>0</v>
      </c>
    </row>
    <row r="301" spans="1:8" ht="18" customHeight="1" x14ac:dyDescent="0.25">
      <c r="A301" s="65" t="s">
        <v>784</v>
      </c>
      <c r="B301" s="45" t="s">
        <v>734</v>
      </c>
      <c r="C301" s="79" t="s">
        <v>735</v>
      </c>
      <c r="D301" s="194"/>
      <c r="E301" s="1">
        <v>15500</v>
      </c>
      <c r="F301" s="20">
        <f t="shared" si="30"/>
        <v>10075</v>
      </c>
      <c r="G301" s="35">
        <f t="shared" si="31"/>
        <v>5425</v>
      </c>
      <c r="H301" s="2"/>
    </row>
    <row r="302" spans="1:8" ht="18" customHeight="1" x14ac:dyDescent="0.25">
      <c r="A302" s="65">
        <v>44727</v>
      </c>
      <c r="B302" s="45" t="s">
        <v>736</v>
      </c>
      <c r="C302" s="79" t="s">
        <v>735</v>
      </c>
      <c r="D302" s="194"/>
      <c r="E302" s="1">
        <v>13430</v>
      </c>
      <c r="F302" s="20">
        <f t="shared" si="30"/>
        <v>8729.5</v>
      </c>
      <c r="G302" s="35">
        <f t="shared" si="31"/>
        <v>4700.5</v>
      </c>
      <c r="H302" s="2"/>
    </row>
    <row r="303" spans="1:8" ht="18" customHeight="1" x14ac:dyDescent="0.25">
      <c r="A303" s="66">
        <v>44728</v>
      </c>
      <c r="B303" s="51" t="s">
        <v>799</v>
      </c>
      <c r="C303" s="52" t="s">
        <v>11</v>
      </c>
      <c r="D303" s="52"/>
      <c r="E303" s="1">
        <v>15000</v>
      </c>
      <c r="F303" s="20">
        <f t="shared" si="30"/>
        <v>9750</v>
      </c>
      <c r="G303" s="35">
        <f t="shared" si="31"/>
        <v>5250</v>
      </c>
      <c r="H303" s="2"/>
    </row>
    <row r="304" spans="1:8" ht="18" customHeight="1" x14ac:dyDescent="0.25">
      <c r="A304" s="65">
        <v>44746</v>
      </c>
      <c r="B304" s="45" t="s">
        <v>741</v>
      </c>
      <c r="C304" s="79" t="s">
        <v>742</v>
      </c>
      <c r="D304" s="194"/>
      <c r="E304" s="1">
        <v>25000</v>
      </c>
      <c r="F304" s="20">
        <f t="shared" si="30"/>
        <v>16250</v>
      </c>
      <c r="G304" s="35">
        <f t="shared" si="31"/>
        <v>8750</v>
      </c>
      <c r="H304" s="2"/>
    </row>
    <row r="305" spans="1:8" ht="18" customHeight="1" x14ac:dyDescent="0.25">
      <c r="A305" s="65">
        <v>44753</v>
      </c>
      <c r="B305" s="45" t="s">
        <v>743</v>
      </c>
      <c r="C305" s="79" t="s">
        <v>744</v>
      </c>
      <c r="D305" s="194"/>
      <c r="E305" s="1">
        <v>10000</v>
      </c>
      <c r="F305" s="20">
        <f t="shared" si="30"/>
        <v>6500</v>
      </c>
      <c r="G305" s="35">
        <f t="shared" si="31"/>
        <v>3500</v>
      </c>
      <c r="H305" s="2"/>
    </row>
    <row r="306" spans="1:8" ht="18" customHeight="1" x14ac:dyDescent="0.25">
      <c r="A306" s="65">
        <v>44755</v>
      </c>
      <c r="B306" s="45" t="s">
        <v>747</v>
      </c>
      <c r="C306" s="79" t="s">
        <v>742</v>
      </c>
      <c r="D306" s="194"/>
      <c r="E306" s="1">
        <v>10000</v>
      </c>
      <c r="F306" s="20">
        <f t="shared" si="30"/>
        <v>6500</v>
      </c>
      <c r="G306" s="35">
        <f t="shared" si="31"/>
        <v>3500</v>
      </c>
      <c r="H306" s="2"/>
    </row>
    <row r="307" spans="1:8" ht="18" customHeight="1" x14ac:dyDescent="0.25">
      <c r="A307" s="65">
        <v>44755</v>
      </c>
      <c r="B307" s="45" t="s">
        <v>748</v>
      </c>
      <c r="C307" s="79" t="s">
        <v>742</v>
      </c>
      <c r="D307" s="194"/>
      <c r="E307" s="1">
        <v>10000</v>
      </c>
      <c r="F307" s="20">
        <f t="shared" si="30"/>
        <v>6500</v>
      </c>
      <c r="G307" s="35">
        <f t="shared" si="31"/>
        <v>3500</v>
      </c>
      <c r="H307" s="2"/>
    </row>
    <row r="308" spans="1:8" ht="18" customHeight="1" x14ac:dyDescent="0.25">
      <c r="A308" s="65">
        <v>44767</v>
      </c>
      <c r="B308" s="45" t="s">
        <v>749</v>
      </c>
      <c r="C308" s="79" t="s">
        <v>750</v>
      </c>
      <c r="D308" s="194"/>
      <c r="E308" s="1">
        <v>13500</v>
      </c>
      <c r="F308" s="20">
        <f t="shared" si="30"/>
        <v>8775</v>
      </c>
      <c r="G308" s="35">
        <f t="shared" si="31"/>
        <v>4725</v>
      </c>
      <c r="H308" s="2"/>
    </row>
    <row r="309" spans="1:8" ht="18" customHeight="1" x14ac:dyDescent="0.25">
      <c r="A309" s="65">
        <v>44743</v>
      </c>
      <c r="B309" s="45" t="s">
        <v>751</v>
      </c>
      <c r="C309" s="79" t="s">
        <v>752</v>
      </c>
      <c r="D309" s="194"/>
      <c r="E309" s="1">
        <v>8173</v>
      </c>
      <c r="F309" s="20">
        <f t="shared" si="30"/>
        <v>5312.45</v>
      </c>
      <c r="G309" s="35">
        <f t="shared" si="31"/>
        <v>2860.5499999999997</v>
      </c>
      <c r="H309" s="2"/>
    </row>
    <row r="310" spans="1:8" ht="18" customHeight="1" x14ac:dyDescent="0.25">
      <c r="A310" s="65">
        <v>44756</v>
      </c>
      <c r="B310" s="45" t="s">
        <v>757</v>
      </c>
      <c r="C310" s="79" t="s">
        <v>752</v>
      </c>
      <c r="D310" s="194"/>
      <c r="E310" s="1">
        <v>10673</v>
      </c>
      <c r="F310" s="20">
        <f t="shared" si="30"/>
        <v>6937.45</v>
      </c>
      <c r="G310" s="35">
        <f t="shared" si="31"/>
        <v>3735.5499999999997</v>
      </c>
      <c r="H310" s="2"/>
    </row>
    <row r="311" spans="1:8" ht="18" customHeight="1" x14ac:dyDescent="0.25">
      <c r="A311" s="65">
        <v>44771</v>
      </c>
      <c r="B311" s="45" t="s">
        <v>760</v>
      </c>
      <c r="C311" s="79" t="s">
        <v>761</v>
      </c>
      <c r="D311" s="194"/>
      <c r="E311" s="1">
        <v>16500</v>
      </c>
      <c r="F311" s="20">
        <f t="shared" si="30"/>
        <v>10725</v>
      </c>
      <c r="G311" s="35">
        <f t="shared" si="31"/>
        <v>5775</v>
      </c>
      <c r="H311" s="2"/>
    </row>
    <row r="312" spans="1:8" ht="18" customHeight="1" x14ac:dyDescent="0.25">
      <c r="A312" s="65">
        <v>44782</v>
      </c>
      <c r="B312" s="45" t="s">
        <v>764</v>
      </c>
      <c r="C312" s="79" t="s">
        <v>765</v>
      </c>
      <c r="D312" s="194"/>
      <c r="E312" s="1">
        <v>24500</v>
      </c>
      <c r="F312" s="20">
        <f t="shared" si="30"/>
        <v>15925</v>
      </c>
      <c r="G312" s="35">
        <f t="shared" si="31"/>
        <v>8575</v>
      </c>
      <c r="H312" s="2"/>
    </row>
    <row r="313" spans="1:8" x14ac:dyDescent="0.25">
      <c r="A313" s="65">
        <v>44790</v>
      </c>
      <c r="B313" s="45" t="s">
        <v>766</v>
      </c>
      <c r="C313" s="79" t="s">
        <v>767</v>
      </c>
      <c r="D313" s="194"/>
      <c r="E313" s="1">
        <v>8870</v>
      </c>
      <c r="F313" s="20">
        <f t="shared" si="30"/>
        <v>5765.5</v>
      </c>
      <c r="G313" s="35">
        <f t="shared" si="31"/>
        <v>3104.5</v>
      </c>
      <c r="H313" s="2"/>
    </row>
    <row r="314" spans="1:8" x14ac:dyDescent="0.25">
      <c r="A314" s="65">
        <v>44803</v>
      </c>
      <c r="B314" s="45" t="s">
        <v>768</v>
      </c>
      <c r="C314" s="79" t="s">
        <v>744</v>
      </c>
      <c r="D314" s="194"/>
      <c r="E314" s="1">
        <v>24400</v>
      </c>
      <c r="F314" s="20">
        <f t="shared" si="30"/>
        <v>15860</v>
      </c>
      <c r="G314" s="35">
        <f t="shared" si="31"/>
        <v>8540</v>
      </c>
      <c r="H314" s="2"/>
    </row>
    <row r="315" spans="1:8" x14ac:dyDescent="0.25">
      <c r="A315" s="65">
        <v>44774</v>
      </c>
      <c r="B315" s="45" t="s">
        <v>769</v>
      </c>
      <c r="C315" s="79" t="s">
        <v>770</v>
      </c>
      <c r="D315" s="194"/>
      <c r="E315" s="1">
        <v>43500</v>
      </c>
      <c r="F315" s="20">
        <f t="shared" si="30"/>
        <v>28275</v>
      </c>
      <c r="G315" s="35">
        <f t="shared" si="31"/>
        <v>15224.999999999998</v>
      </c>
      <c r="H315" s="2"/>
    </row>
    <row r="316" spans="1:8" x14ac:dyDescent="0.25">
      <c r="A316" s="65">
        <v>44774</v>
      </c>
      <c r="B316" s="45" t="s">
        <v>771</v>
      </c>
      <c r="C316" s="79" t="s">
        <v>772</v>
      </c>
      <c r="D316" s="194"/>
      <c r="E316" s="1">
        <v>10000</v>
      </c>
      <c r="F316" s="20">
        <f t="shared" si="30"/>
        <v>6500</v>
      </c>
      <c r="G316" s="35">
        <f t="shared" si="31"/>
        <v>3500</v>
      </c>
      <c r="H316" s="2"/>
    </row>
    <row r="317" spans="1:8" x14ac:dyDescent="0.25">
      <c r="A317" s="65">
        <v>44774</v>
      </c>
      <c r="B317" s="45" t="s">
        <v>773</v>
      </c>
      <c r="C317" s="79" t="s">
        <v>774</v>
      </c>
      <c r="D317" s="194"/>
      <c r="E317" s="1">
        <v>10000</v>
      </c>
      <c r="F317" s="20">
        <f t="shared" si="30"/>
        <v>6500</v>
      </c>
      <c r="G317" s="35">
        <f t="shared" si="31"/>
        <v>3500</v>
      </c>
      <c r="H317" s="2"/>
    </row>
    <row r="318" spans="1:8" ht="18" customHeight="1" x14ac:dyDescent="0.25">
      <c r="A318" s="65">
        <v>44781</v>
      </c>
      <c r="B318" s="49" t="s">
        <v>762</v>
      </c>
      <c r="C318" s="79" t="s">
        <v>763</v>
      </c>
      <c r="D318" s="194"/>
      <c r="E318" s="1">
        <v>9500</v>
      </c>
      <c r="F318" s="20">
        <f t="shared" si="30"/>
        <v>6175</v>
      </c>
      <c r="G318" s="35">
        <f t="shared" si="31"/>
        <v>3325</v>
      </c>
      <c r="H318" s="2"/>
    </row>
    <row r="319" spans="1:8" x14ac:dyDescent="0.25">
      <c r="A319" s="65">
        <v>44782</v>
      </c>
      <c r="B319" s="45" t="s">
        <v>775</v>
      </c>
      <c r="C319" s="79" t="s">
        <v>776</v>
      </c>
      <c r="D319" s="194"/>
      <c r="E319" s="1">
        <v>10000</v>
      </c>
      <c r="F319" s="20">
        <f t="shared" si="30"/>
        <v>6500</v>
      </c>
      <c r="G319" s="35">
        <f t="shared" si="31"/>
        <v>3500</v>
      </c>
      <c r="H319" s="2"/>
    </row>
    <row r="320" spans="1:8" x14ac:dyDescent="0.25">
      <c r="A320" s="65">
        <v>44783</v>
      </c>
      <c r="B320" s="45" t="s">
        <v>777</v>
      </c>
      <c r="C320" s="79" t="s">
        <v>778</v>
      </c>
      <c r="D320" s="194"/>
      <c r="E320" s="1">
        <v>25000</v>
      </c>
      <c r="F320" s="20">
        <f t="shared" si="30"/>
        <v>16250</v>
      </c>
      <c r="G320" s="35">
        <f t="shared" si="31"/>
        <v>8750</v>
      </c>
      <c r="H320" s="2"/>
    </row>
    <row r="321" spans="1:8" x14ac:dyDescent="0.25">
      <c r="A321" s="65">
        <v>44795</v>
      </c>
      <c r="B321" s="50" t="s">
        <v>779</v>
      </c>
      <c r="C321" s="79" t="s">
        <v>780</v>
      </c>
      <c r="D321" s="194"/>
      <c r="E321" s="1">
        <v>24500</v>
      </c>
      <c r="F321" s="20">
        <f t="shared" si="30"/>
        <v>15925</v>
      </c>
      <c r="G321" s="35">
        <f t="shared" si="31"/>
        <v>8575</v>
      </c>
      <c r="H321" s="2"/>
    </row>
    <row r="322" spans="1:8" x14ac:dyDescent="0.25">
      <c r="A322" s="65">
        <v>44796</v>
      </c>
      <c r="B322" s="50" t="s">
        <v>781</v>
      </c>
      <c r="C322" s="79" t="s">
        <v>782</v>
      </c>
      <c r="D322" s="194"/>
      <c r="E322" s="1">
        <v>28000</v>
      </c>
      <c r="F322" s="20">
        <f t="shared" si="30"/>
        <v>18200</v>
      </c>
      <c r="G322" s="35">
        <f t="shared" si="31"/>
        <v>9800</v>
      </c>
      <c r="H322" s="2"/>
    </row>
    <row r="323" spans="1:8" x14ac:dyDescent="0.25">
      <c r="A323" s="65">
        <v>44797</v>
      </c>
      <c r="B323" s="50" t="s">
        <v>783</v>
      </c>
      <c r="C323" s="79" t="s">
        <v>756</v>
      </c>
      <c r="D323" s="194"/>
      <c r="E323" s="1">
        <v>14500</v>
      </c>
      <c r="F323" s="20">
        <f t="shared" si="30"/>
        <v>9425</v>
      </c>
      <c r="G323" s="35">
        <f t="shared" si="31"/>
        <v>5075</v>
      </c>
      <c r="H323" s="2"/>
    </row>
    <row r="324" spans="1:8" x14ac:dyDescent="0.25">
      <c r="A324" s="65">
        <v>44810</v>
      </c>
      <c r="B324" s="45" t="s">
        <v>785</v>
      </c>
      <c r="C324" s="79" t="s">
        <v>761</v>
      </c>
      <c r="D324" s="194"/>
      <c r="E324" s="1">
        <v>9500</v>
      </c>
      <c r="F324" s="20">
        <f t="shared" si="30"/>
        <v>6175</v>
      </c>
      <c r="G324" s="35">
        <f t="shared" si="31"/>
        <v>3325</v>
      </c>
    </row>
    <row r="325" spans="1:8" x14ac:dyDescent="0.25">
      <c r="A325" s="65">
        <v>44818</v>
      </c>
      <c r="B325" s="45" t="s">
        <v>786</v>
      </c>
      <c r="C325" s="79" t="s">
        <v>787</v>
      </c>
      <c r="D325" s="194"/>
      <c r="E325" s="20">
        <v>9500</v>
      </c>
      <c r="F325" s="20">
        <f t="shared" si="30"/>
        <v>6175</v>
      </c>
      <c r="G325" s="35">
        <f t="shared" si="31"/>
        <v>3325</v>
      </c>
    </row>
    <row r="326" spans="1:8" x14ac:dyDescent="0.25">
      <c r="A326" s="65">
        <v>44820</v>
      </c>
      <c r="B326" s="45" t="s">
        <v>789</v>
      </c>
      <c r="C326" s="79" t="s">
        <v>790</v>
      </c>
      <c r="D326" s="194"/>
      <c r="E326" s="20">
        <v>14474</v>
      </c>
      <c r="F326" s="20">
        <f t="shared" si="30"/>
        <v>9408.1</v>
      </c>
      <c r="G326" s="35">
        <f t="shared" si="31"/>
        <v>5065.8999999999996</v>
      </c>
    </row>
    <row r="327" spans="1:8" x14ac:dyDescent="0.25">
      <c r="A327" s="65">
        <v>44805</v>
      </c>
      <c r="B327" s="45" t="s">
        <v>791</v>
      </c>
      <c r="C327" s="79" t="s">
        <v>761</v>
      </c>
      <c r="D327" s="194"/>
      <c r="E327" s="20">
        <v>29500</v>
      </c>
      <c r="F327" s="20">
        <f t="shared" si="30"/>
        <v>19175</v>
      </c>
      <c r="G327" s="35">
        <f t="shared" si="31"/>
        <v>10325</v>
      </c>
    </row>
    <row r="328" spans="1:8" x14ac:dyDescent="0.25">
      <c r="A328" s="65">
        <v>44805</v>
      </c>
      <c r="B328" s="45" t="s">
        <v>792</v>
      </c>
      <c r="C328" s="79" t="s">
        <v>793</v>
      </c>
      <c r="D328" s="194"/>
      <c r="E328" s="20">
        <v>190000</v>
      </c>
      <c r="F328" s="20">
        <f t="shared" si="30"/>
        <v>123500</v>
      </c>
      <c r="G328" s="35">
        <f t="shared" si="31"/>
        <v>66500</v>
      </c>
    </row>
    <row r="329" spans="1:8" x14ac:dyDescent="0.25">
      <c r="A329" s="65">
        <v>44806</v>
      </c>
      <c r="B329" s="45" t="s">
        <v>794</v>
      </c>
      <c r="C329" s="79" t="s">
        <v>780</v>
      </c>
      <c r="D329" s="194"/>
      <c r="E329" s="20">
        <v>39500</v>
      </c>
      <c r="F329" s="20">
        <f t="shared" si="30"/>
        <v>25675</v>
      </c>
      <c r="G329" s="35">
        <f t="shared" si="31"/>
        <v>13825</v>
      </c>
    </row>
    <row r="330" spans="1:8" x14ac:dyDescent="0.25">
      <c r="A330" s="65">
        <v>44810</v>
      </c>
      <c r="B330" s="45" t="s">
        <v>795</v>
      </c>
      <c r="C330" s="79" t="s">
        <v>796</v>
      </c>
      <c r="D330" s="194"/>
      <c r="E330" s="1">
        <v>10000</v>
      </c>
      <c r="F330" s="20">
        <f t="shared" si="30"/>
        <v>6500</v>
      </c>
      <c r="G330" s="35">
        <f t="shared" si="31"/>
        <v>3500</v>
      </c>
    </row>
    <row r="331" spans="1:8" x14ac:dyDescent="0.25">
      <c r="A331" s="65">
        <v>44810</v>
      </c>
      <c r="B331" s="45" t="s">
        <v>797</v>
      </c>
      <c r="C331" s="79" t="s">
        <v>772</v>
      </c>
      <c r="D331" s="194"/>
      <c r="E331" s="1">
        <v>25000</v>
      </c>
      <c r="F331" s="20">
        <f t="shared" si="30"/>
        <v>16250</v>
      </c>
      <c r="G331" s="35">
        <f t="shared" si="31"/>
        <v>8750</v>
      </c>
    </row>
    <row r="332" spans="1:8" s="53" customFormat="1" ht="18" customHeight="1" x14ac:dyDescent="0.4">
      <c r="A332" s="64"/>
      <c r="C332" s="77" t="s">
        <v>9</v>
      </c>
      <c r="D332" s="77"/>
      <c r="E332" s="54">
        <f>SUM(E301:E331)</f>
        <v>708020</v>
      </c>
      <c r="F332" s="54">
        <f t="shared" si="30"/>
        <v>460213</v>
      </c>
      <c r="G332" s="55">
        <f t="shared" si="31"/>
        <v>247806.99999999997</v>
      </c>
    </row>
    <row r="333" spans="1:8" x14ac:dyDescent="0.25">
      <c r="E333" s="20"/>
      <c r="F333" s="20"/>
      <c r="G333" s="35">
        <v>-100000</v>
      </c>
      <c r="H333" s="36">
        <v>45288</v>
      </c>
    </row>
    <row r="334" spans="1:8" ht="19.5" thickBot="1" x14ac:dyDescent="0.45">
      <c r="E334" s="20"/>
      <c r="F334" s="20"/>
      <c r="G334" s="56">
        <f>SUM(G332:G333)</f>
        <v>147806.99999999997</v>
      </c>
      <c r="H334" s="36">
        <v>44939</v>
      </c>
    </row>
    <row r="335" spans="1:8" ht="15.75" thickTop="1" x14ac:dyDescent="0.25">
      <c r="E335" s="20"/>
      <c r="F335" s="20"/>
      <c r="G335" s="35"/>
    </row>
    <row r="336" spans="1:8" ht="18" customHeight="1" x14ac:dyDescent="0.25">
      <c r="A336" s="67">
        <v>43852</v>
      </c>
      <c r="B336" s="68" t="s">
        <v>569</v>
      </c>
      <c r="C336" s="80" t="s">
        <v>7</v>
      </c>
      <c r="D336" s="80"/>
      <c r="E336" s="69">
        <v>5000</v>
      </c>
      <c r="F336" s="70">
        <f t="shared" ref="F336:F363" si="32">SUM(E336*0.65)</f>
        <v>3250</v>
      </c>
      <c r="G336" s="70">
        <f t="shared" ref="G336:G363" si="33">SUM(E336*0.35)</f>
        <v>1750</v>
      </c>
      <c r="H336" s="40"/>
    </row>
    <row r="337" spans="1:9" x14ac:dyDescent="0.25">
      <c r="A337" s="87">
        <v>44701</v>
      </c>
      <c r="B337" s="88" t="s">
        <v>731</v>
      </c>
      <c r="C337" s="89" t="s">
        <v>7</v>
      </c>
      <c r="D337" s="89"/>
      <c r="E337" s="90">
        <v>12130</v>
      </c>
      <c r="F337" s="91">
        <f t="shared" si="32"/>
        <v>7884.5</v>
      </c>
      <c r="G337" s="91">
        <f t="shared" si="33"/>
        <v>4245.5</v>
      </c>
      <c r="H337" s="2"/>
    </row>
    <row r="338" spans="1:9" ht="18" customHeight="1" x14ac:dyDescent="0.25">
      <c r="A338" s="67">
        <v>44447</v>
      </c>
      <c r="B338" s="71" t="s">
        <v>667</v>
      </c>
      <c r="C338" s="80" t="s">
        <v>57</v>
      </c>
      <c r="D338" s="80"/>
      <c r="E338" s="69">
        <v>13500</v>
      </c>
      <c r="F338" s="70">
        <f t="shared" si="32"/>
        <v>8775</v>
      </c>
      <c r="G338" s="70">
        <f t="shared" si="33"/>
        <v>4725</v>
      </c>
      <c r="H338" s="40"/>
      <c r="I338" s="2"/>
    </row>
    <row r="339" spans="1:9" x14ac:dyDescent="0.25">
      <c r="A339" s="72">
        <v>44818</v>
      </c>
      <c r="B339" s="73" t="s">
        <v>788</v>
      </c>
      <c r="C339" s="81" t="s">
        <v>787</v>
      </c>
      <c r="D339" s="81"/>
      <c r="E339" s="69">
        <v>14500</v>
      </c>
      <c r="F339" s="70">
        <f t="shared" si="32"/>
        <v>9425</v>
      </c>
      <c r="G339" s="70">
        <f t="shared" si="33"/>
        <v>5075</v>
      </c>
      <c r="H339" s="2"/>
    </row>
    <row r="340" spans="1:9" x14ac:dyDescent="0.25">
      <c r="A340" s="72">
        <v>44824</v>
      </c>
      <c r="B340" s="73" t="s">
        <v>798</v>
      </c>
      <c r="C340" s="81" t="s">
        <v>772</v>
      </c>
      <c r="D340" s="81"/>
      <c r="E340" s="69">
        <v>5000</v>
      </c>
      <c r="F340" s="70">
        <f t="shared" si="32"/>
        <v>3250</v>
      </c>
      <c r="G340" s="70">
        <f t="shared" si="33"/>
        <v>1750</v>
      </c>
      <c r="H340" s="2"/>
    </row>
    <row r="341" spans="1:9" x14ac:dyDescent="0.25">
      <c r="A341" s="67">
        <v>44841</v>
      </c>
      <c r="B341" s="73" t="s">
        <v>800</v>
      </c>
      <c r="C341" s="81" t="s">
        <v>744</v>
      </c>
      <c r="D341" s="81"/>
      <c r="E341" s="70">
        <v>10000</v>
      </c>
      <c r="F341" s="70">
        <f t="shared" si="32"/>
        <v>6500</v>
      </c>
      <c r="G341" s="70">
        <f t="shared" si="33"/>
        <v>3500</v>
      </c>
    </row>
    <row r="342" spans="1:9" x14ac:dyDescent="0.25">
      <c r="A342" s="72">
        <v>44846</v>
      </c>
      <c r="B342" s="73" t="s">
        <v>806</v>
      </c>
      <c r="C342" s="81" t="s">
        <v>772</v>
      </c>
      <c r="D342" s="81"/>
      <c r="E342" s="70">
        <v>11800</v>
      </c>
      <c r="F342" s="70">
        <f t="shared" si="32"/>
        <v>7670</v>
      </c>
      <c r="G342" s="70">
        <f t="shared" si="33"/>
        <v>4130</v>
      </c>
    </row>
    <row r="343" spans="1:9" x14ac:dyDescent="0.25">
      <c r="A343" s="97">
        <v>44846</v>
      </c>
      <c r="B343" s="57" t="s">
        <v>863</v>
      </c>
      <c r="C343" s="46" t="s">
        <v>805</v>
      </c>
      <c r="D343" s="46"/>
      <c r="E343" s="90">
        <v>12300</v>
      </c>
      <c r="F343" s="91">
        <f t="shared" si="32"/>
        <v>7995</v>
      </c>
      <c r="G343" s="91">
        <f t="shared" si="33"/>
        <v>4305</v>
      </c>
      <c r="H343" s="2"/>
    </row>
    <row r="344" spans="1:9" x14ac:dyDescent="0.25">
      <c r="A344" s="72">
        <v>44847</v>
      </c>
      <c r="B344" s="73" t="s">
        <v>807</v>
      </c>
      <c r="C344" s="81" t="s">
        <v>808</v>
      </c>
      <c r="D344" s="81"/>
      <c r="E344" s="69">
        <v>9500</v>
      </c>
      <c r="F344" s="70">
        <f t="shared" si="32"/>
        <v>6175</v>
      </c>
      <c r="G344" s="70">
        <f t="shared" si="33"/>
        <v>3325</v>
      </c>
    </row>
    <row r="345" spans="1:9" x14ac:dyDescent="0.25">
      <c r="A345" s="72">
        <v>44847</v>
      </c>
      <c r="B345" s="73" t="s">
        <v>809</v>
      </c>
      <c r="C345" s="81" t="s">
        <v>808</v>
      </c>
      <c r="D345" s="81"/>
      <c r="E345" s="69">
        <v>9500</v>
      </c>
      <c r="F345" s="70">
        <f t="shared" si="32"/>
        <v>6175</v>
      </c>
      <c r="G345" s="70">
        <f t="shared" si="33"/>
        <v>3325</v>
      </c>
    </row>
    <row r="346" spans="1:9" x14ac:dyDescent="0.25">
      <c r="A346" s="72">
        <v>44847</v>
      </c>
      <c r="B346" s="73" t="s">
        <v>810</v>
      </c>
      <c r="C346" s="81" t="s">
        <v>808</v>
      </c>
      <c r="D346" s="81"/>
      <c r="E346" s="69">
        <v>9500</v>
      </c>
      <c r="F346" s="70">
        <f t="shared" si="32"/>
        <v>6175</v>
      </c>
      <c r="G346" s="70">
        <f t="shared" si="33"/>
        <v>3325</v>
      </c>
    </row>
    <row r="347" spans="1:9" x14ac:dyDescent="0.25">
      <c r="A347" s="72">
        <v>44853</v>
      </c>
      <c r="B347" s="73" t="s">
        <v>811</v>
      </c>
      <c r="C347" s="81" t="s">
        <v>761</v>
      </c>
      <c r="D347" s="81"/>
      <c r="E347" s="70">
        <v>10000</v>
      </c>
      <c r="F347" s="70">
        <f t="shared" si="32"/>
        <v>6500</v>
      </c>
      <c r="G347" s="70">
        <f t="shared" si="33"/>
        <v>3500</v>
      </c>
    </row>
    <row r="348" spans="1:9" x14ac:dyDescent="0.25">
      <c r="A348" s="72">
        <v>44859</v>
      </c>
      <c r="B348" s="73" t="s">
        <v>814</v>
      </c>
      <c r="C348" s="81" t="s">
        <v>772</v>
      </c>
      <c r="D348" s="81"/>
      <c r="E348" s="69">
        <v>15000</v>
      </c>
      <c r="F348" s="70">
        <f t="shared" si="32"/>
        <v>9750</v>
      </c>
      <c r="G348" s="70">
        <f t="shared" si="33"/>
        <v>5250</v>
      </c>
    </row>
    <row r="349" spans="1:9" x14ac:dyDescent="0.25">
      <c r="A349" s="72">
        <v>44860</v>
      </c>
      <c r="B349" s="73" t="s">
        <v>815</v>
      </c>
      <c r="C349" s="81" t="s">
        <v>816</v>
      </c>
      <c r="D349" s="81"/>
      <c r="E349" s="69">
        <v>9500</v>
      </c>
      <c r="F349" s="70">
        <f t="shared" si="32"/>
        <v>6175</v>
      </c>
      <c r="G349" s="70">
        <f t="shared" si="33"/>
        <v>3325</v>
      </c>
    </row>
    <row r="350" spans="1:9" x14ac:dyDescent="0.25">
      <c r="A350" s="97">
        <v>44860</v>
      </c>
      <c r="B350" s="57" t="s">
        <v>817</v>
      </c>
      <c r="C350" s="46" t="s">
        <v>816</v>
      </c>
      <c r="D350" s="46"/>
      <c r="E350" s="90">
        <v>9500</v>
      </c>
      <c r="F350" s="91">
        <f t="shared" si="32"/>
        <v>6175</v>
      </c>
      <c r="G350" s="91">
        <f t="shared" si="33"/>
        <v>3325</v>
      </c>
      <c r="H350" s="2"/>
    </row>
    <row r="351" spans="1:9" x14ac:dyDescent="0.25">
      <c r="A351" s="72">
        <v>44862</v>
      </c>
      <c r="B351" s="73" t="s">
        <v>818</v>
      </c>
      <c r="C351" s="81" t="s">
        <v>819</v>
      </c>
      <c r="D351" s="81"/>
      <c r="E351" s="70">
        <v>29000</v>
      </c>
      <c r="F351" s="70">
        <f t="shared" si="32"/>
        <v>18850</v>
      </c>
      <c r="G351" s="70">
        <f t="shared" si="33"/>
        <v>10150</v>
      </c>
    </row>
    <row r="352" spans="1:9" x14ac:dyDescent="0.25">
      <c r="A352" s="72">
        <v>44862</v>
      </c>
      <c r="B352" s="73" t="s">
        <v>820</v>
      </c>
      <c r="C352" s="81" t="s">
        <v>761</v>
      </c>
      <c r="D352" s="81"/>
      <c r="E352" s="70">
        <v>10000</v>
      </c>
      <c r="F352" s="70">
        <f t="shared" si="32"/>
        <v>6500</v>
      </c>
      <c r="G352" s="70">
        <f t="shared" si="33"/>
        <v>3500</v>
      </c>
    </row>
    <row r="353" spans="1:8" x14ac:dyDescent="0.25">
      <c r="A353" s="72">
        <v>44837</v>
      </c>
      <c r="B353" s="73" t="s">
        <v>821</v>
      </c>
      <c r="C353" s="81" t="s">
        <v>822</v>
      </c>
      <c r="D353" s="81"/>
      <c r="E353" s="70">
        <v>24500</v>
      </c>
      <c r="F353" s="70">
        <f t="shared" si="32"/>
        <v>15925</v>
      </c>
      <c r="G353" s="70">
        <f t="shared" si="33"/>
        <v>8575</v>
      </c>
    </row>
    <row r="354" spans="1:8" x14ac:dyDescent="0.25">
      <c r="A354" s="72">
        <v>44840</v>
      </c>
      <c r="B354" s="73" t="s">
        <v>823</v>
      </c>
      <c r="C354" s="81" t="s">
        <v>824</v>
      </c>
      <c r="D354" s="81"/>
      <c r="E354" s="70">
        <v>16180</v>
      </c>
      <c r="F354" s="70">
        <f t="shared" si="32"/>
        <v>10517</v>
      </c>
      <c r="G354" s="70">
        <f t="shared" si="33"/>
        <v>5663</v>
      </c>
    </row>
    <row r="355" spans="1:8" x14ac:dyDescent="0.25">
      <c r="A355" s="72">
        <v>44840</v>
      </c>
      <c r="B355" s="73" t="s">
        <v>825</v>
      </c>
      <c r="C355" s="81" t="s">
        <v>808</v>
      </c>
      <c r="D355" s="81"/>
      <c r="E355" s="70">
        <v>28831</v>
      </c>
      <c r="F355" s="70">
        <f t="shared" si="32"/>
        <v>18740.150000000001</v>
      </c>
      <c r="G355" s="70">
        <f t="shared" si="33"/>
        <v>10090.849999999999</v>
      </c>
    </row>
    <row r="356" spans="1:8" x14ac:dyDescent="0.25">
      <c r="A356" s="72">
        <v>44841</v>
      </c>
      <c r="B356" s="73" t="s">
        <v>826</v>
      </c>
      <c r="C356" s="81" t="s">
        <v>761</v>
      </c>
      <c r="D356" s="81"/>
      <c r="E356" s="70">
        <v>24500</v>
      </c>
      <c r="F356" s="70">
        <f t="shared" si="32"/>
        <v>15925</v>
      </c>
      <c r="G356" s="70">
        <f t="shared" si="33"/>
        <v>8575</v>
      </c>
    </row>
    <row r="357" spans="1:8" x14ac:dyDescent="0.25">
      <c r="A357" s="72">
        <v>44845</v>
      </c>
      <c r="B357" s="73" t="s">
        <v>827</v>
      </c>
      <c r="C357" s="81" t="s">
        <v>822</v>
      </c>
      <c r="D357" s="81"/>
      <c r="E357" s="70">
        <v>9500</v>
      </c>
      <c r="F357" s="70">
        <f t="shared" si="32"/>
        <v>6175</v>
      </c>
      <c r="G357" s="70">
        <f t="shared" si="33"/>
        <v>3325</v>
      </c>
    </row>
    <row r="358" spans="1:8" ht="15" customHeight="1" x14ac:dyDescent="0.25">
      <c r="A358" s="72">
        <v>44868</v>
      </c>
      <c r="B358" s="73" t="s">
        <v>828</v>
      </c>
      <c r="C358" s="81" t="s">
        <v>754</v>
      </c>
      <c r="D358" s="81"/>
      <c r="E358" s="70">
        <v>9500</v>
      </c>
      <c r="F358" s="70">
        <f t="shared" si="32"/>
        <v>6175</v>
      </c>
      <c r="G358" s="70">
        <f t="shared" si="33"/>
        <v>3325</v>
      </c>
    </row>
    <row r="359" spans="1:8" x14ac:dyDescent="0.25">
      <c r="A359" s="72">
        <v>44868</v>
      </c>
      <c r="B359" s="73" t="s">
        <v>829</v>
      </c>
      <c r="C359" s="81" t="s">
        <v>761</v>
      </c>
      <c r="D359" s="81"/>
      <c r="E359" s="70">
        <v>24500</v>
      </c>
      <c r="F359" s="70">
        <f t="shared" si="32"/>
        <v>15925</v>
      </c>
      <c r="G359" s="70">
        <f t="shared" si="33"/>
        <v>8575</v>
      </c>
    </row>
    <row r="360" spans="1:8" x14ac:dyDescent="0.25">
      <c r="A360" s="72">
        <v>44876</v>
      </c>
      <c r="B360" s="73" t="s">
        <v>830</v>
      </c>
      <c r="C360" s="82" t="s">
        <v>761</v>
      </c>
      <c r="D360" s="82"/>
      <c r="E360" s="70">
        <v>24500</v>
      </c>
      <c r="F360" s="70">
        <f t="shared" si="32"/>
        <v>15925</v>
      </c>
      <c r="G360" s="70">
        <f t="shared" si="33"/>
        <v>8575</v>
      </c>
    </row>
    <row r="361" spans="1:8" x14ac:dyDescent="0.25">
      <c r="A361" s="72">
        <v>44876</v>
      </c>
      <c r="B361" s="73" t="s">
        <v>831</v>
      </c>
      <c r="C361" s="82" t="s">
        <v>761</v>
      </c>
      <c r="D361" s="82"/>
      <c r="E361" s="70">
        <v>24500</v>
      </c>
      <c r="F361" s="70">
        <f t="shared" si="32"/>
        <v>15925</v>
      </c>
      <c r="G361" s="70">
        <f t="shared" si="33"/>
        <v>8575</v>
      </c>
    </row>
    <row r="362" spans="1:8" x14ac:dyDescent="0.25">
      <c r="A362" s="72">
        <v>44886</v>
      </c>
      <c r="B362" s="73" t="s">
        <v>835</v>
      </c>
      <c r="C362" s="82" t="s">
        <v>761</v>
      </c>
      <c r="D362" s="82"/>
      <c r="E362" s="70">
        <v>24500</v>
      </c>
      <c r="F362" s="70">
        <f t="shared" si="32"/>
        <v>15925</v>
      </c>
      <c r="G362" s="70">
        <f t="shared" si="33"/>
        <v>8575</v>
      </c>
    </row>
    <row r="363" spans="1:8" x14ac:dyDescent="0.25">
      <c r="A363" s="72">
        <v>44873</v>
      </c>
      <c r="B363" s="73" t="s">
        <v>838</v>
      </c>
      <c r="C363" s="81" t="s">
        <v>839</v>
      </c>
      <c r="D363" s="81"/>
      <c r="E363" s="70">
        <v>9500</v>
      </c>
      <c r="F363" s="70">
        <f t="shared" si="32"/>
        <v>6175</v>
      </c>
      <c r="G363" s="70">
        <f t="shared" si="33"/>
        <v>3325</v>
      </c>
    </row>
    <row r="364" spans="1:8" ht="19.5" x14ac:dyDescent="0.4">
      <c r="A364" s="83"/>
      <c r="B364" s="84"/>
      <c r="C364" s="77" t="s">
        <v>9</v>
      </c>
      <c r="D364" s="77"/>
      <c r="E364" s="54">
        <f>SUM(E336:E363)</f>
        <v>416241</v>
      </c>
      <c r="F364" s="54">
        <f>SUM(F336:F363)</f>
        <v>270556.65000000002</v>
      </c>
      <c r="G364" s="55">
        <f>SUM(G336:G363)</f>
        <v>145684.35</v>
      </c>
      <c r="H364" s="36">
        <v>44970</v>
      </c>
    </row>
    <row r="365" spans="1:8" x14ac:dyDescent="0.25">
      <c r="A365" s="83"/>
      <c r="B365" s="84"/>
      <c r="C365" s="85"/>
      <c r="D365" s="85"/>
      <c r="E365" s="86"/>
      <c r="F365" s="86"/>
      <c r="G365" s="86"/>
    </row>
    <row r="366" spans="1:8" ht="15" customHeight="1" x14ac:dyDescent="0.25">
      <c r="A366" s="97">
        <v>44755</v>
      </c>
      <c r="B366" s="100" t="s">
        <v>745</v>
      </c>
      <c r="C366" s="100" t="s">
        <v>746</v>
      </c>
      <c r="D366" s="100"/>
      <c r="E366" s="103">
        <v>30000</v>
      </c>
      <c r="F366" s="103">
        <f t="shared" ref="F366:F390" si="34">SUM(E366*0.65)</f>
        <v>19500</v>
      </c>
      <c r="G366" s="103">
        <f t="shared" ref="G366:G390" si="35">SUM(E366*0.35)</f>
        <v>10500</v>
      </c>
      <c r="H366" s="2"/>
    </row>
    <row r="367" spans="1:8" ht="15" customHeight="1" x14ac:dyDescent="0.25">
      <c r="A367" s="97">
        <v>44841</v>
      </c>
      <c r="B367" s="45" t="s">
        <v>802</v>
      </c>
      <c r="C367" s="45" t="s">
        <v>744</v>
      </c>
      <c r="D367" s="45"/>
      <c r="E367" s="99">
        <v>15000</v>
      </c>
      <c r="F367" s="98">
        <f t="shared" si="34"/>
        <v>9750</v>
      </c>
      <c r="G367" s="98">
        <f t="shared" si="35"/>
        <v>5250</v>
      </c>
      <c r="H367" s="2"/>
    </row>
    <row r="368" spans="1:8" ht="15" customHeight="1" x14ac:dyDescent="0.25">
      <c r="A368" s="97">
        <v>44846</v>
      </c>
      <c r="B368" s="45" t="s">
        <v>804</v>
      </c>
      <c r="C368" s="45" t="s">
        <v>772</v>
      </c>
      <c r="D368" s="45"/>
      <c r="E368" s="99">
        <v>10000</v>
      </c>
      <c r="F368" s="98">
        <f t="shared" si="34"/>
        <v>6500</v>
      </c>
      <c r="G368" s="98">
        <f t="shared" si="35"/>
        <v>3500</v>
      </c>
      <c r="H368" s="2"/>
    </row>
    <row r="369" spans="1:8" ht="15" customHeight="1" x14ac:dyDescent="0.25">
      <c r="A369" s="65">
        <v>44873</v>
      </c>
      <c r="B369" s="45" t="s">
        <v>840</v>
      </c>
      <c r="C369" s="100" t="s">
        <v>839</v>
      </c>
      <c r="D369" s="100"/>
      <c r="E369" s="98">
        <v>9500</v>
      </c>
      <c r="F369" s="98">
        <f t="shared" si="34"/>
        <v>6175</v>
      </c>
      <c r="G369" s="98">
        <f t="shared" si="35"/>
        <v>3325</v>
      </c>
    </row>
    <row r="370" spans="1:8" ht="15" customHeight="1" x14ac:dyDescent="0.25">
      <c r="A370" s="65">
        <v>44873</v>
      </c>
      <c r="B370" s="45" t="s">
        <v>841</v>
      </c>
      <c r="C370" s="100" t="s">
        <v>842</v>
      </c>
      <c r="D370" s="100"/>
      <c r="E370" s="98">
        <v>15000</v>
      </c>
      <c r="F370" s="98">
        <f t="shared" si="34"/>
        <v>9750</v>
      </c>
      <c r="G370" s="98">
        <f t="shared" si="35"/>
        <v>5250</v>
      </c>
    </row>
    <row r="371" spans="1:8" ht="15" customHeight="1" x14ac:dyDescent="0.25">
      <c r="A371" s="65">
        <v>44879</v>
      </c>
      <c r="B371" s="45" t="s">
        <v>843</v>
      </c>
      <c r="C371" s="100" t="s">
        <v>772</v>
      </c>
      <c r="D371" s="100"/>
      <c r="E371" s="98">
        <v>10000</v>
      </c>
      <c r="F371" s="98">
        <f t="shared" si="34"/>
        <v>6500</v>
      </c>
      <c r="G371" s="98">
        <f t="shared" si="35"/>
        <v>3500</v>
      </c>
    </row>
    <row r="372" spans="1:8" ht="15" customHeight="1" x14ac:dyDescent="0.25">
      <c r="A372" s="65">
        <v>44883</v>
      </c>
      <c r="B372" s="45" t="s">
        <v>846</v>
      </c>
      <c r="C372" s="100" t="s">
        <v>744</v>
      </c>
      <c r="D372" s="100"/>
      <c r="E372" s="98">
        <v>15000</v>
      </c>
      <c r="F372" s="98">
        <f t="shared" si="34"/>
        <v>9750</v>
      </c>
      <c r="G372" s="98">
        <f t="shared" si="35"/>
        <v>5250</v>
      </c>
    </row>
    <row r="373" spans="1:8" ht="15" customHeight="1" x14ac:dyDescent="0.25">
      <c r="A373" s="97">
        <v>44893</v>
      </c>
      <c r="B373" s="45" t="s">
        <v>837</v>
      </c>
      <c r="C373" s="45" t="s">
        <v>834</v>
      </c>
      <c r="D373" s="45"/>
      <c r="E373" s="99">
        <v>5829</v>
      </c>
      <c r="F373" s="98">
        <f t="shared" si="34"/>
        <v>3788.85</v>
      </c>
      <c r="G373" s="98">
        <f t="shared" si="35"/>
        <v>2040.1499999999999</v>
      </c>
      <c r="H373" s="2"/>
    </row>
    <row r="374" spans="1:8" ht="15" customHeight="1" x14ac:dyDescent="0.25">
      <c r="A374" s="97">
        <v>44883</v>
      </c>
      <c r="B374" s="100" t="s">
        <v>833</v>
      </c>
      <c r="C374" s="100" t="s">
        <v>834</v>
      </c>
      <c r="D374" s="100"/>
      <c r="E374" s="103">
        <v>6000</v>
      </c>
      <c r="F374" s="103">
        <f t="shared" si="34"/>
        <v>3900</v>
      </c>
      <c r="G374" s="103">
        <f t="shared" si="35"/>
        <v>2100</v>
      </c>
      <c r="H374" s="2"/>
    </row>
    <row r="375" spans="1:8" ht="15" customHeight="1" x14ac:dyDescent="0.25">
      <c r="A375" s="97">
        <v>45274</v>
      </c>
      <c r="B375" s="100" t="s">
        <v>860</v>
      </c>
      <c r="C375" s="100" t="s">
        <v>744</v>
      </c>
      <c r="D375" s="100"/>
      <c r="E375" s="103">
        <v>7160</v>
      </c>
      <c r="F375" s="103">
        <f t="shared" si="34"/>
        <v>4654</v>
      </c>
      <c r="G375" s="103">
        <f t="shared" si="35"/>
        <v>2506</v>
      </c>
      <c r="H375" s="2"/>
    </row>
    <row r="376" spans="1:8" ht="15" customHeight="1" x14ac:dyDescent="0.25">
      <c r="A376" s="97">
        <v>45287</v>
      </c>
      <c r="B376" s="100" t="s">
        <v>862</v>
      </c>
      <c r="C376" s="100" t="s">
        <v>808</v>
      </c>
      <c r="D376" s="100"/>
      <c r="E376" s="103">
        <v>10714</v>
      </c>
      <c r="F376" s="103">
        <f t="shared" si="34"/>
        <v>6964.1</v>
      </c>
      <c r="G376" s="103">
        <f t="shared" si="35"/>
        <v>3749.8999999999996</v>
      </c>
      <c r="H376" s="2"/>
    </row>
    <row r="377" spans="1:8" ht="15" customHeight="1" x14ac:dyDescent="0.25">
      <c r="A377" s="97">
        <v>44901</v>
      </c>
      <c r="B377" s="45" t="s">
        <v>849</v>
      </c>
      <c r="C377" s="45" t="s">
        <v>761</v>
      </c>
      <c r="D377" s="45"/>
      <c r="E377" s="99">
        <v>9500</v>
      </c>
      <c r="F377" s="98">
        <f t="shared" si="34"/>
        <v>6175</v>
      </c>
      <c r="G377" s="98">
        <f t="shared" si="35"/>
        <v>3325</v>
      </c>
      <c r="H377" s="2"/>
    </row>
    <row r="378" spans="1:8" ht="15" customHeight="1" x14ac:dyDescent="0.25">
      <c r="A378" s="65">
        <v>44901</v>
      </c>
      <c r="B378" s="45" t="s">
        <v>850</v>
      </c>
      <c r="C378" s="100" t="s">
        <v>851</v>
      </c>
      <c r="D378" s="100"/>
      <c r="E378" s="98">
        <v>5000</v>
      </c>
      <c r="F378" s="98">
        <f t="shared" si="34"/>
        <v>3250</v>
      </c>
      <c r="G378" s="98">
        <f t="shared" si="35"/>
        <v>1750</v>
      </c>
    </row>
    <row r="379" spans="1:8" ht="15" customHeight="1" x14ac:dyDescent="0.25">
      <c r="A379" s="65">
        <v>44902</v>
      </c>
      <c r="B379" s="45" t="s">
        <v>852</v>
      </c>
      <c r="C379" s="100" t="s">
        <v>772</v>
      </c>
      <c r="D379" s="100"/>
      <c r="E379" s="98">
        <v>15000</v>
      </c>
      <c r="F379" s="98">
        <f t="shared" si="34"/>
        <v>9750</v>
      </c>
      <c r="G379" s="98">
        <f t="shared" si="35"/>
        <v>5250</v>
      </c>
    </row>
    <row r="380" spans="1:8" ht="15" customHeight="1" x14ac:dyDescent="0.25">
      <c r="A380" s="65">
        <v>45275</v>
      </c>
      <c r="B380" s="45" t="s">
        <v>853</v>
      </c>
      <c r="C380" s="100" t="s">
        <v>780</v>
      </c>
      <c r="D380" s="100"/>
      <c r="E380" s="98">
        <v>9000</v>
      </c>
      <c r="F380" s="98">
        <f t="shared" si="34"/>
        <v>5850</v>
      </c>
      <c r="G380" s="98">
        <f t="shared" si="35"/>
        <v>3150</v>
      </c>
    </row>
    <row r="381" spans="1:8" ht="15" customHeight="1" x14ac:dyDescent="0.25">
      <c r="A381" s="65">
        <v>44897</v>
      </c>
      <c r="B381" s="45" t="s">
        <v>854</v>
      </c>
      <c r="C381" s="100" t="s">
        <v>855</v>
      </c>
      <c r="D381" s="100"/>
      <c r="E381" s="98">
        <v>6000</v>
      </c>
      <c r="F381" s="98">
        <f t="shared" si="34"/>
        <v>3900</v>
      </c>
      <c r="G381" s="98">
        <f t="shared" si="35"/>
        <v>2100</v>
      </c>
    </row>
    <row r="382" spans="1:8" ht="15" customHeight="1" x14ac:dyDescent="0.25">
      <c r="A382" s="65">
        <v>44900</v>
      </c>
      <c r="B382" s="45" t="s">
        <v>856</v>
      </c>
      <c r="C382" s="100" t="s">
        <v>761</v>
      </c>
      <c r="D382" s="100"/>
      <c r="E382" s="98">
        <v>24500</v>
      </c>
      <c r="F382" s="98">
        <f t="shared" si="34"/>
        <v>15925</v>
      </c>
      <c r="G382" s="98">
        <f t="shared" si="35"/>
        <v>8575</v>
      </c>
    </row>
    <row r="383" spans="1:8" ht="15" customHeight="1" x14ac:dyDescent="0.25">
      <c r="A383" s="97">
        <v>44908</v>
      </c>
      <c r="B383" s="45" t="s">
        <v>859</v>
      </c>
      <c r="C383" s="45" t="s">
        <v>808</v>
      </c>
      <c r="D383" s="45"/>
      <c r="E383" s="99">
        <v>10759</v>
      </c>
      <c r="F383" s="98">
        <f t="shared" si="34"/>
        <v>6993.35</v>
      </c>
      <c r="G383" s="98">
        <f t="shared" si="35"/>
        <v>3765.6499999999996</v>
      </c>
      <c r="H383" s="2"/>
    </row>
    <row r="384" spans="1:8" ht="15" customHeight="1" x14ac:dyDescent="0.25">
      <c r="A384" s="65">
        <v>45275</v>
      </c>
      <c r="B384" s="45" t="s">
        <v>861</v>
      </c>
      <c r="C384" s="100" t="s">
        <v>808</v>
      </c>
      <c r="D384" s="100"/>
      <c r="E384" s="99">
        <v>21830</v>
      </c>
      <c r="F384" s="98">
        <f t="shared" si="34"/>
        <v>14189.5</v>
      </c>
      <c r="G384" s="98">
        <f t="shared" si="35"/>
        <v>7640.4999999999991</v>
      </c>
    </row>
    <row r="385" spans="1:8" ht="15" customHeight="1" x14ac:dyDescent="0.25">
      <c r="A385" s="104">
        <v>44720</v>
      </c>
      <c r="B385" s="101" t="s">
        <v>733</v>
      </c>
      <c r="C385" s="102" t="s">
        <v>653</v>
      </c>
      <c r="D385" s="102"/>
      <c r="E385" s="99">
        <v>13900</v>
      </c>
      <c r="F385" s="98">
        <f t="shared" si="34"/>
        <v>9035</v>
      </c>
      <c r="G385" s="98">
        <f t="shared" si="35"/>
        <v>4865</v>
      </c>
      <c r="H385" s="2"/>
    </row>
    <row r="386" spans="1:8" ht="15" customHeight="1" x14ac:dyDescent="0.25">
      <c r="A386" s="97">
        <v>44845</v>
      </c>
      <c r="B386" s="100" t="s">
        <v>801</v>
      </c>
      <c r="C386" s="100" t="s">
        <v>774</v>
      </c>
      <c r="D386" s="100"/>
      <c r="E386" s="103">
        <v>10000</v>
      </c>
      <c r="F386" s="103">
        <f t="shared" si="34"/>
        <v>6500</v>
      </c>
      <c r="G386" s="103">
        <f t="shared" si="35"/>
        <v>3500</v>
      </c>
      <c r="H386" s="2"/>
    </row>
    <row r="387" spans="1:8" ht="15" customHeight="1" x14ac:dyDescent="0.25">
      <c r="A387" s="97">
        <v>44845</v>
      </c>
      <c r="B387" s="100" t="s">
        <v>803</v>
      </c>
      <c r="C387" s="100" t="s">
        <v>772</v>
      </c>
      <c r="D387" s="100"/>
      <c r="E387" s="103">
        <v>10000</v>
      </c>
      <c r="F387" s="103">
        <f t="shared" si="34"/>
        <v>6500</v>
      </c>
      <c r="G387" s="103">
        <f t="shared" si="35"/>
        <v>3500</v>
      </c>
      <c r="H387" s="2"/>
    </row>
    <row r="388" spans="1:8" ht="15" customHeight="1" x14ac:dyDescent="0.25">
      <c r="A388" s="97">
        <v>44859</v>
      </c>
      <c r="B388" s="100" t="s">
        <v>813</v>
      </c>
      <c r="C388" s="100" t="s">
        <v>808</v>
      </c>
      <c r="D388" s="100"/>
      <c r="E388" s="103">
        <v>10000</v>
      </c>
      <c r="F388" s="103">
        <f t="shared" si="34"/>
        <v>6500</v>
      </c>
      <c r="G388" s="103">
        <f t="shared" si="35"/>
        <v>3500</v>
      </c>
      <c r="H388" s="2"/>
    </row>
    <row r="389" spans="1:8" ht="15" customHeight="1" x14ac:dyDescent="0.25">
      <c r="A389" s="97">
        <v>44883</v>
      </c>
      <c r="B389" s="100" t="s">
        <v>844</v>
      </c>
      <c r="C389" s="100" t="s">
        <v>845</v>
      </c>
      <c r="D389" s="100"/>
      <c r="E389" s="103">
        <v>14500</v>
      </c>
      <c r="F389" s="103">
        <f t="shared" si="34"/>
        <v>9425</v>
      </c>
      <c r="G389" s="103">
        <f t="shared" si="35"/>
        <v>5075</v>
      </c>
      <c r="H389" s="2"/>
    </row>
    <row r="390" spans="1:8" ht="15" customHeight="1" x14ac:dyDescent="0.25">
      <c r="A390" s="97">
        <v>44904</v>
      </c>
      <c r="B390" s="100" t="s">
        <v>858</v>
      </c>
      <c r="C390" s="100" t="s">
        <v>744</v>
      </c>
      <c r="D390" s="100"/>
      <c r="E390" s="103">
        <v>8460</v>
      </c>
      <c r="F390" s="103">
        <f t="shared" si="34"/>
        <v>5499</v>
      </c>
      <c r="G390" s="103">
        <f t="shared" si="35"/>
        <v>2961</v>
      </c>
      <c r="H390" s="2"/>
    </row>
    <row r="392" spans="1:8" ht="19.5" x14ac:dyDescent="0.4">
      <c r="C392" s="77" t="s">
        <v>9</v>
      </c>
      <c r="D392" s="77"/>
      <c r="E392" s="54">
        <f>SUM(E366:E391)</f>
        <v>302652</v>
      </c>
      <c r="F392" s="54">
        <f>SUM(F366:F391)</f>
        <v>196723.80000000002</v>
      </c>
      <c r="G392" s="55">
        <f>SUM(G366:G391)</f>
        <v>105928.2</v>
      </c>
      <c r="H392" s="36">
        <v>45100</v>
      </c>
    </row>
    <row r="393" spans="1:8" x14ac:dyDescent="0.25">
      <c r="E393" s="20"/>
    </row>
    <row r="394" spans="1:8" ht="15" customHeight="1" x14ac:dyDescent="0.25">
      <c r="A394" s="132">
        <v>44879</v>
      </c>
      <c r="B394" s="96" t="s">
        <v>832</v>
      </c>
      <c r="C394" s="96" t="s">
        <v>808</v>
      </c>
      <c r="D394" s="96"/>
      <c r="E394" s="92">
        <v>21302</v>
      </c>
      <c r="F394" s="92">
        <f t="shared" ref="F394:F431" si="36">SUM(E394*0.65)</f>
        <v>13846.300000000001</v>
      </c>
      <c r="G394" s="92">
        <f t="shared" ref="G394:G431" si="37">SUM(E394*0.35)</f>
        <v>7455.7</v>
      </c>
      <c r="H394" s="2"/>
    </row>
    <row r="395" spans="1:8" ht="15" customHeight="1" x14ac:dyDescent="0.25">
      <c r="A395" s="132">
        <v>44888</v>
      </c>
      <c r="B395" s="96" t="s">
        <v>836</v>
      </c>
      <c r="C395" s="96" t="s">
        <v>744</v>
      </c>
      <c r="D395" s="96"/>
      <c r="E395" s="92">
        <v>6395</v>
      </c>
      <c r="F395" s="92">
        <f t="shared" si="36"/>
        <v>4156.75</v>
      </c>
      <c r="G395" s="92">
        <f t="shared" si="37"/>
        <v>2238.25</v>
      </c>
      <c r="H395" s="2"/>
    </row>
    <row r="396" spans="1:8" ht="15" customHeight="1" x14ac:dyDescent="0.25">
      <c r="A396" s="132">
        <v>44847</v>
      </c>
      <c r="B396" s="96" t="s">
        <v>812</v>
      </c>
      <c r="C396" s="96" t="s">
        <v>808</v>
      </c>
      <c r="D396" s="96"/>
      <c r="E396" s="92">
        <v>9500</v>
      </c>
      <c r="F396" s="92">
        <f t="shared" si="36"/>
        <v>6175</v>
      </c>
      <c r="G396" s="92">
        <f t="shared" si="37"/>
        <v>3325</v>
      </c>
      <c r="H396" s="2"/>
    </row>
    <row r="397" spans="1:8" ht="15" customHeight="1" x14ac:dyDescent="0.25">
      <c r="A397" s="132">
        <v>44747</v>
      </c>
      <c r="B397" s="96" t="s">
        <v>753</v>
      </c>
      <c r="C397" s="96" t="s">
        <v>754</v>
      </c>
      <c r="D397" s="96"/>
      <c r="E397" s="92">
        <v>11500</v>
      </c>
      <c r="F397" s="92">
        <f t="shared" si="36"/>
        <v>7475</v>
      </c>
      <c r="G397" s="92">
        <f t="shared" si="37"/>
        <v>4024.9999999999995</v>
      </c>
      <c r="H397" s="2"/>
    </row>
    <row r="398" spans="1:8" ht="15" customHeight="1" x14ac:dyDescent="0.25">
      <c r="A398" s="132">
        <v>44756</v>
      </c>
      <c r="B398" s="96" t="s">
        <v>755</v>
      </c>
      <c r="C398" s="96" t="s">
        <v>756</v>
      </c>
      <c r="D398" s="96"/>
      <c r="E398" s="92">
        <v>9500</v>
      </c>
      <c r="F398" s="92">
        <f t="shared" si="36"/>
        <v>6175</v>
      </c>
      <c r="G398" s="92">
        <f t="shared" si="37"/>
        <v>3325</v>
      </c>
      <c r="H398" s="2"/>
    </row>
    <row r="399" spans="1:8" ht="15" customHeight="1" x14ac:dyDescent="0.25">
      <c r="A399" s="132">
        <v>44901</v>
      </c>
      <c r="B399" s="96" t="s">
        <v>857</v>
      </c>
      <c r="C399" s="96" t="s">
        <v>761</v>
      </c>
      <c r="D399" s="96"/>
      <c r="E399" s="92">
        <v>11500</v>
      </c>
      <c r="F399" s="92">
        <f t="shared" si="36"/>
        <v>7475</v>
      </c>
      <c r="G399" s="92">
        <f t="shared" si="37"/>
        <v>4024.9999999999995</v>
      </c>
      <c r="H399" s="2"/>
    </row>
    <row r="400" spans="1:8" ht="15" customHeight="1" x14ac:dyDescent="0.25">
      <c r="A400" s="132">
        <v>44931</v>
      </c>
      <c r="B400" s="105" t="s">
        <v>864</v>
      </c>
      <c r="C400" s="105" t="s">
        <v>744</v>
      </c>
      <c r="D400" s="105"/>
      <c r="E400" s="35">
        <v>15000</v>
      </c>
      <c r="F400" s="92">
        <f t="shared" si="36"/>
        <v>9750</v>
      </c>
      <c r="G400" s="92">
        <f t="shared" si="37"/>
        <v>5250</v>
      </c>
    </row>
    <row r="401" spans="1:8" ht="15" customHeight="1" x14ac:dyDescent="0.25">
      <c r="A401" s="132">
        <v>44946</v>
      </c>
      <c r="B401" s="105" t="s">
        <v>865</v>
      </c>
      <c r="C401" s="105" t="s">
        <v>752</v>
      </c>
      <c r="D401" s="105"/>
      <c r="E401" s="106">
        <v>8500</v>
      </c>
      <c r="F401" s="92">
        <f t="shared" si="36"/>
        <v>5525</v>
      </c>
      <c r="G401" s="92">
        <f t="shared" si="37"/>
        <v>2975</v>
      </c>
    </row>
    <row r="402" spans="1:8" ht="15" customHeight="1" x14ac:dyDescent="0.25">
      <c r="A402" s="132">
        <v>44950</v>
      </c>
      <c r="B402" s="105" t="s">
        <v>866</v>
      </c>
      <c r="C402" s="105" t="s">
        <v>780</v>
      </c>
      <c r="D402" s="105"/>
      <c r="E402" s="106">
        <v>14500</v>
      </c>
      <c r="F402" s="92">
        <f t="shared" si="36"/>
        <v>9425</v>
      </c>
      <c r="G402" s="92">
        <f t="shared" si="37"/>
        <v>5075</v>
      </c>
    </row>
    <row r="403" spans="1:8" ht="15" customHeight="1" x14ac:dyDescent="0.25">
      <c r="A403" s="132">
        <v>44929</v>
      </c>
      <c r="B403" s="105" t="s">
        <v>867</v>
      </c>
      <c r="C403" s="107" t="s">
        <v>761</v>
      </c>
      <c r="D403" s="107"/>
      <c r="E403" s="35">
        <v>24500</v>
      </c>
      <c r="F403" s="92">
        <f t="shared" si="36"/>
        <v>15925</v>
      </c>
      <c r="G403" s="92">
        <f t="shared" si="37"/>
        <v>8575</v>
      </c>
    </row>
    <row r="404" spans="1:8" ht="15" customHeight="1" x14ac:dyDescent="0.25">
      <c r="A404" s="132">
        <v>44929</v>
      </c>
      <c r="B404" s="105" t="s">
        <v>868</v>
      </c>
      <c r="C404" s="107" t="s">
        <v>761</v>
      </c>
      <c r="D404" s="107"/>
      <c r="E404" s="35">
        <v>24500</v>
      </c>
      <c r="F404" s="92">
        <f t="shared" si="36"/>
        <v>15925</v>
      </c>
      <c r="G404" s="92">
        <f t="shared" si="37"/>
        <v>8575</v>
      </c>
    </row>
    <row r="405" spans="1:8" ht="15" customHeight="1" x14ac:dyDescent="0.25">
      <c r="A405" s="132">
        <v>44935</v>
      </c>
      <c r="B405" s="105" t="s">
        <v>869</v>
      </c>
      <c r="C405" s="105" t="s">
        <v>787</v>
      </c>
      <c r="D405" s="105"/>
      <c r="E405" s="35">
        <v>9500</v>
      </c>
      <c r="F405" s="92">
        <f t="shared" si="36"/>
        <v>6175</v>
      </c>
      <c r="G405" s="92">
        <f t="shared" si="37"/>
        <v>3325</v>
      </c>
    </row>
    <row r="406" spans="1:8" ht="15" customHeight="1" x14ac:dyDescent="0.25">
      <c r="A406" s="132">
        <v>44936</v>
      </c>
      <c r="B406" s="105" t="s">
        <v>870</v>
      </c>
      <c r="C406" s="105" t="s">
        <v>752</v>
      </c>
      <c r="D406" s="105"/>
      <c r="E406" s="106">
        <v>11949</v>
      </c>
      <c r="F406" s="92">
        <f t="shared" si="36"/>
        <v>7766.85</v>
      </c>
      <c r="G406" s="92">
        <f t="shared" si="37"/>
        <v>4182.1499999999996</v>
      </c>
    </row>
    <row r="407" spans="1:8" ht="15" customHeight="1" x14ac:dyDescent="0.25">
      <c r="A407" s="132">
        <v>44943</v>
      </c>
      <c r="B407" s="105" t="s">
        <v>871</v>
      </c>
      <c r="C407" s="105" t="s">
        <v>752</v>
      </c>
      <c r="D407" s="105"/>
      <c r="E407" s="35">
        <v>8550</v>
      </c>
      <c r="F407" s="92">
        <f t="shared" si="36"/>
        <v>5557.5</v>
      </c>
      <c r="G407" s="92">
        <f t="shared" si="37"/>
        <v>2992.5</v>
      </c>
    </row>
    <row r="408" spans="1:8" x14ac:dyDescent="0.25">
      <c r="A408" s="132">
        <v>44958</v>
      </c>
      <c r="B408" s="105" t="s">
        <v>872</v>
      </c>
      <c r="C408" s="105" t="s">
        <v>772</v>
      </c>
      <c r="D408" s="105"/>
      <c r="E408" s="35">
        <v>5000</v>
      </c>
      <c r="F408" s="92">
        <f t="shared" si="36"/>
        <v>3250</v>
      </c>
      <c r="G408" s="92">
        <f t="shared" si="37"/>
        <v>1750</v>
      </c>
      <c r="H408" s="2"/>
    </row>
    <row r="409" spans="1:8" x14ac:dyDescent="0.25">
      <c r="A409" s="132">
        <v>44958</v>
      </c>
      <c r="B409" s="105" t="s">
        <v>873</v>
      </c>
      <c r="C409" s="105" t="s">
        <v>772</v>
      </c>
      <c r="D409" s="105"/>
      <c r="E409" s="35">
        <v>5000</v>
      </c>
      <c r="F409" s="92">
        <f t="shared" si="36"/>
        <v>3250</v>
      </c>
      <c r="G409" s="92">
        <f t="shared" si="37"/>
        <v>1750</v>
      </c>
      <c r="H409" s="2"/>
    </row>
    <row r="410" spans="1:8" x14ac:dyDescent="0.25">
      <c r="A410" s="132">
        <v>44958</v>
      </c>
      <c r="B410" s="105" t="s">
        <v>874</v>
      </c>
      <c r="C410" s="105" t="s">
        <v>744</v>
      </c>
      <c r="D410" s="105"/>
      <c r="E410" s="35">
        <v>15400</v>
      </c>
      <c r="F410" s="92">
        <f t="shared" si="36"/>
        <v>10010</v>
      </c>
      <c r="G410" s="92">
        <f t="shared" si="37"/>
        <v>5390</v>
      </c>
      <c r="H410" s="2"/>
    </row>
    <row r="411" spans="1:8" x14ac:dyDescent="0.25">
      <c r="A411" s="132">
        <v>44974</v>
      </c>
      <c r="B411" s="105" t="s">
        <v>875</v>
      </c>
      <c r="C411" s="105" t="s">
        <v>772</v>
      </c>
      <c r="D411" s="105"/>
      <c r="E411" s="35">
        <v>10000</v>
      </c>
      <c r="F411" s="92">
        <f t="shared" si="36"/>
        <v>6500</v>
      </c>
      <c r="G411" s="92">
        <f t="shared" si="37"/>
        <v>3500</v>
      </c>
      <c r="H411" s="2"/>
    </row>
    <row r="412" spans="1:8" x14ac:dyDescent="0.25">
      <c r="A412" s="132">
        <v>10990</v>
      </c>
      <c r="B412" s="105" t="s">
        <v>876</v>
      </c>
      <c r="C412" s="105" t="s">
        <v>808</v>
      </c>
      <c r="D412" s="105"/>
      <c r="E412" s="35">
        <v>10000</v>
      </c>
      <c r="F412" s="92">
        <f t="shared" si="36"/>
        <v>6500</v>
      </c>
      <c r="G412" s="92">
        <f t="shared" si="37"/>
        <v>3500</v>
      </c>
      <c r="H412" s="2"/>
    </row>
    <row r="413" spans="1:8" x14ac:dyDescent="0.25">
      <c r="A413" s="132">
        <v>44978</v>
      </c>
      <c r="B413" s="105" t="s">
        <v>877</v>
      </c>
      <c r="C413" s="105" t="s">
        <v>772</v>
      </c>
      <c r="D413" s="105"/>
      <c r="E413" s="35">
        <v>28500</v>
      </c>
      <c r="F413" s="92">
        <f t="shared" si="36"/>
        <v>18525</v>
      </c>
      <c r="G413" s="92">
        <f t="shared" si="37"/>
        <v>9975</v>
      </c>
      <c r="H413" s="2"/>
    </row>
    <row r="414" spans="1:8" x14ac:dyDescent="0.25">
      <c r="A414" s="132">
        <v>44979</v>
      </c>
      <c r="B414" s="105" t="s">
        <v>878</v>
      </c>
      <c r="C414" s="105" t="s">
        <v>879</v>
      </c>
      <c r="D414" s="105"/>
      <c r="E414" s="35">
        <v>9500</v>
      </c>
      <c r="F414" s="92">
        <f t="shared" si="36"/>
        <v>6175</v>
      </c>
      <c r="G414" s="92">
        <f t="shared" si="37"/>
        <v>3325</v>
      </c>
      <c r="H414" s="2"/>
    </row>
    <row r="415" spans="1:8" x14ac:dyDescent="0.25">
      <c r="A415" s="132">
        <v>44964</v>
      </c>
      <c r="B415" s="105" t="s">
        <v>880</v>
      </c>
      <c r="C415" s="105" t="s">
        <v>763</v>
      </c>
      <c r="D415" s="105"/>
      <c r="E415" s="35">
        <v>9500</v>
      </c>
      <c r="F415" s="92">
        <f t="shared" si="36"/>
        <v>6175</v>
      </c>
      <c r="G415" s="92">
        <f t="shared" si="37"/>
        <v>3325</v>
      </c>
      <c r="H415" s="2"/>
    </row>
    <row r="416" spans="1:8" x14ac:dyDescent="0.25">
      <c r="A416" s="132">
        <v>44967</v>
      </c>
      <c r="B416" s="105" t="s">
        <v>881</v>
      </c>
      <c r="C416" s="105" t="s">
        <v>763</v>
      </c>
      <c r="D416" s="105"/>
      <c r="E416" s="35">
        <v>9500</v>
      </c>
      <c r="F416" s="92">
        <f t="shared" si="36"/>
        <v>6175</v>
      </c>
      <c r="G416" s="92">
        <f t="shared" si="37"/>
        <v>3325</v>
      </c>
      <c r="H416" s="2"/>
    </row>
    <row r="417" spans="1:8" x14ac:dyDescent="0.25">
      <c r="A417" s="132">
        <v>44985</v>
      </c>
      <c r="B417" s="105" t="s">
        <v>884</v>
      </c>
      <c r="C417" s="105" t="s">
        <v>752</v>
      </c>
      <c r="D417" s="105"/>
      <c r="E417" s="35">
        <v>7800</v>
      </c>
      <c r="F417" s="92">
        <f t="shared" si="36"/>
        <v>5070</v>
      </c>
      <c r="G417" s="92">
        <f t="shared" si="37"/>
        <v>2730</v>
      </c>
      <c r="H417" s="2"/>
    </row>
    <row r="418" spans="1:8" x14ac:dyDescent="0.25">
      <c r="A418" s="132">
        <v>44986</v>
      </c>
      <c r="B418" s="105" t="s">
        <v>886</v>
      </c>
      <c r="C418" s="105" t="s">
        <v>752</v>
      </c>
      <c r="D418" s="105"/>
      <c r="E418" s="35">
        <v>5820</v>
      </c>
      <c r="F418" s="92">
        <f t="shared" si="36"/>
        <v>3783</v>
      </c>
      <c r="G418" s="92">
        <f t="shared" si="37"/>
        <v>2036.9999999999998</v>
      </c>
      <c r="H418" s="2"/>
    </row>
    <row r="419" spans="1:8" x14ac:dyDescent="0.25">
      <c r="A419" s="132">
        <v>44986</v>
      </c>
      <c r="B419" s="105" t="s">
        <v>887</v>
      </c>
      <c r="C419" s="105" t="s">
        <v>653</v>
      </c>
      <c r="D419" s="105"/>
      <c r="E419" s="35">
        <v>10000</v>
      </c>
      <c r="F419" s="92">
        <f t="shared" si="36"/>
        <v>6500</v>
      </c>
      <c r="G419" s="92">
        <f t="shared" si="37"/>
        <v>3500</v>
      </c>
      <c r="H419" s="2"/>
    </row>
    <row r="420" spans="1:8" x14ac:dyDescent="0.25">
      <c r="A420" s="132">
        <v>44986</v>
      </c>
      <c r="B420" s="105" t="s">
        <v>888</v>
      </c>
      <c r="C420" s="105" t="s">
        <v>653</v>
      </c>
      <c r="D420" s="105"/>
      <c r="E420" s="35">
        <v>13000</v>
      </c>
      <c r="F420" s="92">
        <f t="shared" si="36"/>
        <v>8450</v>
      </c>
      <c r="G420" s="92">
        <f t="shared" si="37"/>
        <v>4550</v>
      </c>
      <c r="H420" s="2"/>
    </row>
    <row r="421" spans="1:8" x14ac:dyDescent="0.25">
      <c r="A421" s="132">
        <v>44991</v>
      </c>
      <c r="B421" s="105" t="s">
        <v>889</v>
      </c>
      <c r="C421" s="105" t="s">
        <v>752</v>
      </c>
      <c r="D421" s="105"/>
      <c r="E421" s="35">
        <v>6536</v>
      </c>
      <c r="F421" s="92">
        <f t="shared" si="36"/>
        <v>4248.4000000000005</v>
      </c>
      <c r="G421" s="92">
        <f t="shared" si="37"/>
        <v>2287.6</v>
      </c>
      <c r="H421" s="2"/>
    </row>
    <row r="422" spans="1:8" x14ac:dyDescent="0.25">
      <c r="A422" s="132">
        <v>44998</v>
      </c>
      <c r="B422" s="108" t="s">
        <v>890</v>
      </c>
      <c r="C422" s="105" t="s">
        <v>744</v>
      </c>
      <c r="D422" s="105"/>
      <c r="E422" s="35">
        <v>10250</v>
      </c>
      <c r="F422" s="92">
        <f t="shared" si="36"/>
        <v>6662.5</v>
      </c>
      <c r="G422" s="92">
        <f t="shared" si="37"/>
        <v>3587.4999999999995</v>
      </c>
      <c r="H422" s="2"/>
    </row>
    <row r="423" spans="1:8" x14ac:dyDescent="0.25">
      <c r="A423" s="132">
        <v>44999</v>
      </c>
      <c r="B423" s="105" t="s">
        <v>892</v>
      </c>
      <c r="C423" s="105" t="s">
        <v>653</v>
      </c>
      <c r="D423" s="105"/>
      <c r="E423" s="35">
        <v>8000</v>
      </c>
      <c r="F423" s="92">
        <f t="shared" si="36"/>
        <v>5200</v>
      </c>
      <c r="G423" s="92">
        <f t="shared" si="37"/>
        <v>2800</v>
      </c>
      <c r="H423" s="2"/>
    </row>
    <row r="424" spans="1:8" x14ac:dyDescent="0.25">
      <c r="A424" s="132">
        <v>45008</v>
      </c>
      <c r="B424" s="105" t="s">
        <v>893</v>
      </c>
      <c r="C424" s="105" t="s">
        <v>763</v>
      </c>
      <c r="D424" s="105"/>
      <c r="E424" s="35">
        <v>7500</v>
      </c>
      <c r="F424" s="92">
        <f t="shared" si="36"/>
        <v>4875</v>
      </c>
      <c r="G424" s="92">
        <f t="shared" si="37"/>
        <v>2625</v>
      </c>
      <c r="H424" s="2"/>
    </row>
    <row r="425" spans="1:8" x14ac:dyDescent="0.25">
      <c r="A425" s="132">
        <v>44986</v>
      </c>
      <c r="B425" s="105" t="s">
        <v>897</v>
      </c>
      <c r="C425" s="105" t="s">
        <v>772</v>
      </c>
      <c r="D425" s="105"/>
      <c r="E425" s="35">
        <v>10000</v>
      </c>
      <c r="F425" s="92">
        <f t="shared" si="36"/>
        <v>6500</v>
      </c>
      <c r="G425" s="92">
        <f t="shared" si="37"/>
        <v>3500</v>
      </c>
      <c r="H425" s="2"/>
    </row>
    <row r="426" spans="1:8" x14ac:dyDescent="0.25">
      <c r="A426" s="132">
        <v>44986</v>
      </c>
      <c r="B426" s="105" t="s">
        <v>898</v>
      </c>
      <c r="C426" s="105" t="s">
        <v>772</v>
      </c>
      <c r="D426" s="105"/>
      <c r="E426" s="35">
        <v>10000</v>
      </c>
      <c r="F426" s="92">
        <f t="shared" si="36"/>
        <v>6500</v>
      </c>
      <c r="G426" s="92">
        <f t="shared" si="37"/>
        <v>3500</v>
      </c>
      <c r="H426" s="2"/>
    </row>
    <row r="427" spans="1:8" x14ac:dyDescent="0.25">
      <c r="A427" s="132">
        <v>44992</v>
      </c>
      <c r="B427" s="105" t="s">
        <v>899</v>
      </c>
      <c r="C427" s="105" t="s">
        <v>879</v>
      </c>
      <c r="D427" s="105"/>
      <c r="E427" s="35">
        <v>9500</v>
      </c>
      <c r="F427" s="92">
        <f t="shared" si="36"/>
        <v>6175</v>
      </c>
      <c r="G427" s="92">
        <f t="shared" si="37"/>
        <v>3325</v>
      </c>
      <c r="H427" s="2"/>
    </row>
    <row r="428" spans="1:8" x14ac:dyDescent="0.25">
      <c r="A428" s="132">
        <v>44992</v>
      </c>
      <c r="B428" s="105" t="s">
        <v>900</v>
      </c>
      <c r="C428" s="105" t="s">
        <v>879</v>
      </c>
      <c r="D428" s="105"/>
      <c r="E428" s="35">
        <v>9500</v>
      </c>
      <c r="F428" s="92">
        <f t="shared" si="36"/>
        <v>6175</v>
      </c>
      <c r="G428" s="92">
        <f t="shared" si="37"/>
        <v>3325</v>
      </c>
      <c r="H428" s="2"/>
    </row>
    <row r="429" spans="1:8" x14ac:dyDescent="0.25">
      <c r="A429" s="132">
        <v>44994</v>
      </c>
      <c r="B429" s="105" t="s">
        <v>903</v>
      </c>
      <c r="C429" s="105" t="s">
        <v>772</v>
      </c>
      <c r="D429" s="105"/>
      <c r="E429" s="35">
        <v>10000</v>
      </c>
      <c r="F429" s="92">
        <f t="shared" si="36"/>
        <v>6500</v>
      </c>
      <c r="G429" s="92">
        <f t="shared" si="37"/>
        <v>3500</v>
      </c>
      <c r="H429" s="2"/>
    </row>
    <row r="430" spans="1:8" x14ac:dyDescent="0.25">
      <c r="A430" s="132">
        <v>44994</v>
      </c>
      <c r="B430" s="105" t="s">
        <v>904</v>
      </c>
      <c r="C430" s="105" t="s">
        <v>744</v>
      </c>
      <c r="D430" s="105"/>
      <c r="E430" s="35">
        <v>10000</v>
      </c>
      <c r="F430" s="92">
        <f t="shared" si="36"/>
        <v>6500</v>
      </c>
      <c r="G430" s="92">
        <f t="shared" si="37"/>
        <v>3500</v>
      </c>
      <c r="H430" s="2"/>
    </row>
    <row r="431" spans="1:8" x14ac:dyDescent="0.25">
      <c r="A431" s="132">
        <v>44994</v>
      </c>
      <c r="B431" s="105" t="s">
        <v>905</v>
      </c>
      <c r="C431" s="105" t="s">
        <v>772</v>
      </c>
      <c r="D431" s="105"/>
      <c r="E431" s="35">
        <v>10000</v>
      </c>
      <c r="F431" s="92">
        <f t="shared" si="36"/>
        <v>6500</v>
      </c>
      <c r="G431" s="92">
        <f t="shared" si="37"/>
        <v>3500</v>
      </c>
      <c r="H431" s="2"/>
    </row>
    <row r="432" spans="1:8" ht="19.5" x14ac:dyDescent="0.4">
      <c r="C432" s="77" t="s">
        <v>9</v>
      </c>
      <c r="D432" s="77"/>
      <c r="E432" s="54">
        <f>SUM(E394:E431)</f>
        <v>427002</v>
      </c>
      <c r="F432" s="54">
        <f>SUM(F394:F431)</f>
        <v>277551.30000000005</v>
      </c>
      <c r="G432" s="55">
        <f>SUM(G394:G431)</f>
        <v>149450.70000000001</v>
      </c>
      <c r="H432" s="36">
        <v>45133</v>
      </c>
    </row>
    <row r="434" spans="1:8" ht="20.100000000000001" customHeight="1" x14ac:dyDescent="0.25">
      <c r="A434" s="132">
        <v>44760</v>
      </c>
      <c r="B434" s="96" t="s">
        <v>758</v>
      </c>
      <c r="C434" s="96" t="s">
        <v>759</v>
      </c>
      <c r="D434" s="96"/>
      <c r="E434" s="92">
        <v>10000</v>
      </c>
      <c r="F434" s="92">
        <f t="shared" ref="F434:F469" si="38">SUM(E434*0.65)</f>
        <v>6500</v>
      </c>
      <c r="G434" s="92">
        <f t="shared" ref="G434:G469" si="39">SUM(E434*0.35)</f>
        <v>3500</v>
      </c>
      <c r="H434" s="2"/>
    </row>
    <row r="435" spans="1:8" x14ac:dyDescent="0.25">
      <c r="A435" s="132">
        <v>44980</v>
      </c>
      <c r="B435" s="105" t="s">
        <v>883</v>
      </c>
      <c r="C435" s="105" t="s">
        <v>653</v>
      </c>
      <c r="D435" s="105"/>
      <c r="E435" s="20">
        <v>8000</v>
      </c>
      <c r="F435" s="92">
        <f t="shared" si="38"/>
        <v>5200</v>
      </c>
      <c r="G435" s="92">
        <f t="shared" si="39"/>
        <v>2800</v>
      </c>
      <c r="H435" s="2"/>
    </row>
    <row r="436" spans="1:8" x14ac:dyDescent="0.25">
      <c r="A436" s="132">
        <v>45005</v>
      </c>
      <c r="B436" s="105" t="s">
        <v>907</v>
      </c>
      <c r="C436" s="105" t="s">
        <v>908</v>
      </c>
      <c r="D436" s="105"/>
      <c r="E436" s="20">
        <v>10000</v>
      </c>
      <c r="F436" s="92">
        <f t="shared" si="38"/>
        <v>6500</v>
      </c>
      <c r="G436" s="92">
        <f t="shared" si="39"/>
        <v>3500</v>
      </c>
      <c r="H436" s="2"/>
    </row>
    <row r="437" spans="1:8" x14ac:dyDescent="0.25">
      <c r="A437" s="132">
        <v>45009</v>
      </c>
      <c r="B437" s="105" t="s">
        <v>895</v>
      </c>
      <c r="C437" s="105" t="s">
        <v>772</v>
      </c>
      <c r="D437" s="105"/>
      <c r="E437" s="20">
        <v>7590</v>
      </c>
      <c r="F437" s="92">
        <f t="shared" si="38"/>
        <v>4933.5</v>
      </c>
      <c r="G437" s="92">
        <f t="shared" si="39"/>
        <v>2656.5</v>
      </c>
      <c r="H437" s="2"/>
    </row>
    <row r="438" spans="1:8" x14ac:dyDescent="0.25">
      <c r="A438" s="132">
        <v>45028</v>
      </c>
      <c r="B438" s="105" t="s">
        <v>913</v>
      </c>
      <c r="C438" s="105" t="s">
        <v>787</v>
      </c>
      <c r="D438" s="105"/>
      <c r="E438" s="20">
        <v>19500</v>
      </c>
      <c r="F438" s="92">
        <f t="shared" si="38"/>
        <v>12675</v>
      </c>
      <c r="G438" s="92">
        <f t="shared" si="39"/>
        <v>6825</v>
      </c>
      <c r="H438" s="2"/>
    </row>
    <row r="439" spans="1:8" x14ac:dyDescent="0.25">
      <c r="A439" s="132">
        <v>45028</v>
      </c>
      <c r="B439" s="105" t="s">
        <v>914</v>
      </c>
      <c r="C439" s="105" t="s">
        <v>834</v>
      </c>
      <c r="D439" s="105"/>
      <c r="E439" s="20">
        <v>5000</v>
      </c>
      <c r="F439" s="92">
        <f t="shared" si="38"/>
        <v>3250</v>
      </c>
      <c r="G439" s="92">
        <f t="shared" si="39"/>
        <v>1750</v>
      </c>
      <c r="H439" s="2"/>
    </row>
    <row r="440" spans="1:8" x14ac:dyDescent="0.25">
      <c r="A440" s="132">
        <v>45028</v>
      </c>
      <c r="B440" s="105" t="s">
        <v>915</v>
      </c>
      <c r="C440" s="105" t="s">
        <v>763</v>
      </c>
      <c r="D440" s="105"/>
      <c r="E440" s="20">
        <v>9500</v>
      </c>
      <c r="F440" s="92">
        <f t="shared" si="38"/>
        <v>6175</v>
      </c>
      <c r="G440" s="92">
        <f t="shared" si="39"/>
        <v>3325</v>
      </c>
      <c r="H440" s="2"/>
    </row>
    <row r="441" spans="1:8" x14ac:dyDescent="0.25">
      <c r="A441" s="132">
        <v>45028</v>
      </c>
      <c r="B441" s="105" t="s">
        <v>916</v>
      </c>
      <c r="C441" s="105" t="s">
        <v>763</v>
      </c>
      <c r="D441" s="105"/>
      <c r="E441" s="20">
        <v>9500</v>
      </c>
      <c r="F441" s="92">
        <f t="shared" si="38"/>
        <v>6175</v>
      </c>
      <c r="G441" s="92">
        <f t="shared" si="39"/>
        <v>3325</v>
      </c>
      <c r="H441" s="2"/>
    </row>
    <row r="442" spans="1:8" x14ac:dyDescent="0.25">
      <c r="A442" s="132">
        <v>45029</v>
      </c>
      <c r="B442" s="105" t="s">
        <v>917</v>
      </c>
      <c r="C442" s="105" t="s">
        <v>761</v>
      </c>
      <c r="D442" s="105"/>
      <c r="E442" s="20">
        <v>24500</v>
      </c>
      <c r="F442" s="92">
        <f t="shared" si="38"/>
        <v>15925</v>
      </c>
      <c r="G442" s="92">
        <f t="shared" si="39"/>
        <v>8575</v>
      </c>
      <c r="H442" s="2"/>
    </row>
    <row r="443" spans="1:8" x14ac:dyDescent="0.25">
      <c r="A443" s="132">
        <v>45030</v>
      </c>
      <c r="B443" s="105" t="s">
        <v>918</v>
      </c>
      <c r="C443" s="105" t="s">
        <v>772</v>
      </c>
      <c r="D443" s="105"/>
      <c r="E443" s="20">
        <v>11280</v>
      </c>
      <c r="F443" s="92">
        <f t="shared" si="38"/>
        <v>7332</v>
      </c>
      <c r="G443" s="92">
        <f t="shared" si="39"/>
        <v>3947.9999999999995</v>
      </c>
      <c r="H443" s="2"/>
    </row>
    <row r="444" spans="1:8" x14ac:dyDescent="0.25">
      <c r="A444" s="132">
        <v>45033</v>
      </c>
      <c r="B444" s="105" t="s">
        <v>910</v>
      </c>
      <c r="C444" s="105" t="s">
        <v>911</v>
      </c>
      <c r="D444" s="105"/>
      <c r="E444" s="1">
        <v>8500</v>
      </c>
      <c r="F444" s="92">
        <f t="shared" si="38"/>
        <v>5525</v>
      </c>
      <c r="G444" s="92">
        <f t="shared" si="39"/>
        <v>2975</v>
      </c>
      <c r="H444" s="2"/>
    </row>
    <row r="445" spans="1:8" x14ac:dyDescent="0.25">
      <c r="A445" s="132">
        <v>45048</v>
      </c>
      <c r="B445" s="105" t="s">
        <v>924</v>
      </c>
      <c r="C445" s="105" t="s">
        <v>780</v>
      </c>
      <c r="D445" s="105"/>
      <c r="E445" s="20">
        <v>10000</v>
      </c>
      <c r="F445" s="92">
        <f t="shared" si="38"/>
        <v>6500</v>
      </c>
      <c r="G445" s="92">
        <f t="shared" si="39"/>
        <v>3500</v>
      </c>
      <c r="H445" s="2"/>
    </row>
    <row r="446" spans="1:8" x14ac:dyDescent="0.25">
      <c r="A446" s="132">
        <v>45048</v>
      </c>
      <c r="B446" s="105" t="s">
        <v>925</v>
      </c>
      <c r="C446" s="105" t="s">
        <v>772</v>
      </c>
      <c r="D446" s="105"/>
      <c r="E446" s="20">
        <v>10000</v>
      </c>
      <c r="F446" s="92">
        <f t="shared" si="38"/>
        <v>6500</v>
      </c>
      <c r="G446" s="92">
        <f t="shared" si="39"/>
        <v>3500</v>
      </c>
      <c r="H446" s="2"/>
    </row>
    <row r="447" spans="1:8" x14ac:dyDescent="0.25">
      <c r="A447" s="132">
        <v>45049</v>
      </c>
      <c r="B447" s="105" t="s">
        <v>926</v>
      </c>
      <c r="C447" s="105" t="s">
        <v>927</v>
      </c>
      <c r="D447" s="105"/>
      <c r="E447" s="20">
        <v>10000</v>
      </c>
      <c r="F447" s="92">
        <f t="shared" si="38"/>
        <v>6500</v>
      </c>
      <c r="G447" s="92">
        <f t="shared" si="39"/>
        <v>3500</v>
      </c>
      <c r="H447" s="2"/>
    </row>
    <row r="448" spans="1:8" x14ac:dyDescent="0.25">
      <c r="A448" s="132">
        <v>45049</v>
      </c>
      <c r="B448" s="105" t="s">
        <v>928</v>
      </c>
      <c r="C448" s="105" t="s">
        <v>780</v>
      </c>
      <c r="D448" s="105"/>
      <c r="E448" s="20">
        <v>10000</v>
      </c>
      <c r="F448" s="92">
        <f t="shared" si="38"/>
        <v>6500</v>
      </c>
      <c r="G448" s="92">
        <f t="shared" si="39"/>
        <v>3500</v>
      </c>
      <c r="H448" s="2"/>
    </row>
    <row r="449" spans="1:8" x14ac:dyDescent="0.25">
      <c r="A449" s="132">
        <v>45058</v>
      </c>
      <c r="B449" s="105" t="s">
        <v>931</v>
      </c>
      <c r="C449" s="105" t="s">
        <v>932</v>
      </c>
      <c r="D449" s="105"/>
      <c r="E449" s="20">
        <v>8000</v>
      </c>
      <c r="F449" s="92">
        <f t="shared" si="38"/>
        <v>5200</v>
      </c>
      <c r="G449" s="92">
        <f t="shared" si="39"/>
        <v>2800</v>
      </c>
      <c r="H449" s="2"/>
    </row>
    <row r="450" spans="1:8" x14ac:dyDescent="0.25">
      <c r="A450" s="132">
        <v>45068</v>
      </c>
      <c r="B450" s="105" t="s">
        <v>933</v>
      </c>
      <c r="C450" s="105" t="s">
        <v>772</v>
      </c>
      <c r="D450" s="105"/>
      <c r="E450" s="20">
        <v>10500</v>
      </c>
      <c r="F450" s="92">
        <f t="shared" si="38"/>
        <v>6825</v>
      </c>
      <c r="G450" s="92">
        <f t="shared" si="39"/>
        <v>3674.9999999999995</v>
      </c>
      <c r="H450" s="2"/>
    </row>
    <row r="451" spans="1:8" x14ac:dyDescent="0.25">
      <c r="A451" s="132">
        <v>45063</v>
      </c>
      <c r="B451" s="105" t="s">
        <v>938</v>
      </c>
      <c r="C451" s="105" t="s">
        <v>939</v>
      </c>
      <c r="D451" s="105"/>
      <c r="E451" s="20">
        <v>37500</v>
      </c>
      <c r="F451" s="92">
        <f t="shared" si="38"/>
        <v>24375</v>
      </c>
      <c r="G451" s="92">
        <f t="shared" si="39"/>
        <v>13125</v>
      </c>
      <c r="H451" s="2"/>
    </row>
    <row r="452" spans="1:8" x14ac:dyDescent="0.25">
      <c r="A452" s="132">
        <v>45068</v>
      </c>
      <c r="B452" s="105" t="s">
        <v>941</v>
      </c>
      <c r="C452" s="105" t="s">
        <v>752</v>
      </c>
      <c r="D452" s="105"/>
      <c r="E452" s="20">
        <v>9360</v>
      </c>
      <c r="F452" s="92">
        <f t="shared" si="38"/>
        <v>6084</v>
      </c>
      <c r="G452" s="92">
        <f t="shared" si="39"/>
        <v>3276</v>
      </c>
      <c r="H452" s="2"/>
    </row>
    <row r="453" spans="1:8" x14ac:dyDescent="0.25">
      <c r="A453" s="132">
        <v>45068</v>
      </c>
      <c r="B453" s="105" t="s">
        <v>942</v>
      </c>
      <c r="C453" s="105" t="s">
        <v>824</v>
      </c>
      <c r="D453" s="105"/>
      <c r="E453" s="20">
        <v>43800</v>
      </c>
      <c r="F453" s="92">
        <f t="shared" si="38"/>
        <v>28470</v>
      </c>
      <c r="G453" s="92">
        <f t="shared" si="39"/>
        <v>15329.999999999998</v>
      </c>
      <c r="H453" s="2"/>
    </row>
    <row r="454" spans="1:8" x14ac:dyDescent="0.25">
      <c r="A454" s="132">
        <v>45077</v>
      </c>
      <c r="B454" s="105" t="s">
        <v>943</v>
      </c>
      <c r="C454" s="105" t="s">
        <v>752</v>
      </c>
      <c r="D454" s="105"/>
      <c r="E454" s="20">
        <v>7350</v>
      </c>
      <c r="F454" s="92">
        <f t="shared" si="38"/>
        <v>4777.5</v>
      </c>
      <c r="G454" s="92">
        <f t="shared" si="39"/>
        <v>2572.5</v>
      </c>
      <c r="H454" s="2"/>
    </row>
    <row r="455" spans="1:8" x14ac:dyDescent="0.25">
      <c r="A455" s="132">
        <v>45078</v>
      </c>
      <c r="B455" s="105" t="s">
        <v>945</v>
      </c>
      <c r="C455" s="105" t="s">
        <v>772</v>
      </c>
      <c r="D455" s="105"/>
      <c r="E455" s="1">
        <v>10000</v>
      </c>
      <c r="F455" s="92">
        <f t="shared" si="38"/>
        <v>6500</v>
      </c>
      <c r="G455" s="92">
        <f t="shared" si="39"/>
        <v>3500</v>
      </c>
      <c r="H455" s="2"/>
    </row>
    <row r="456" spans="1:8" x14ac:dyDescent="0.25">
      <c r="A456" s="132">
        <v>45083</v>
      </c>
      <c r="B456" s="105" t="s">
        <v>947</v>
      </c>
      <c r="C456" s="105" t="s">
        <v>772</v>
      </c>
      <c r="D456" s="105"/>
      <c r="E456" s="1">
        <v>10000</v>
      </c>
      <c r="F456" s="92">
        <f t="shared" si="38"/>
        <v>6500</v>
      </c>
      <c r="G456" s="92">
        <f t="shared" si="39"/>
        <v>3500</v>
      </c>
      <c r="H456" s="2"/>
    </row>
    <row r="457" spans="1:8" x14ac:dyDescent="0.25">
      <c r="A457" s="132">
        <v>45084</v>
      </c>
      <c r="B457" s="105" t="s">
        <v>948</v>
      </c>
      <c r="C457" s="105" t="s">
        <v>949</v>
      </c>
      <c r="D457" s="105"/>
      <c r="E457" s="1">
        <v>8500</v>
      </c>
      <c r="F457" s="92">
        <f t="shared" si="38"/>
        <v>5525</v>
      </c>
      <c r="G457" s="92">
        <f t="shared" si="39"/>
        <v>2975</v>
      </c>
      <c r="H457" s="2"/>
    </row>
    <row r="458" spans="1:8" x14ac:dyDescent="0.25">
      <c r="A458" s="132">
        <v>45085</v>
      </c>
      <c r="B458" s="105" t="s">
        <v>952</v>
      </c>
      <c r="C458" s="105" t="s">
        <v>808</v>
      </c>
      <c r="D458" s="105"/>
      <c r="E458" s="1">
        <v>8500</v>
      </c>
      <c r="F458" s="92">
        <f t="shared" si="38"/>
        <v>5525</v>
      </c>
      <c r="G458" s="92">
        <f t="shared" si="39"/>
        <v>2975</v>
      </c>
      <c r="H458" s="2"/>
    </row>
    <row r="459" spans="1:8" x14ac:dyDescent="0.25">
      <c r="A459" s="132">
        <v>45093</v>
      </c>
      <c r="B459" s="105" t="s">
        <v>953</v>
      </c>
      <c r="C459" s="105" t="s">
        <v>752</v>
      </c>
      <c r="D459" s="105"/>
      <c r="E459" s="1">
        <v>8500</v>
      </c>
      <c r="F459" s="92">
        <f t="shared" si="38"/>
        <v>5525</v>
      </c>
      <c r="G459" s="92">
        <f t="shared" si="39"/>
        <v>2975</v>
      </c>
      <c r="H459" s="2"/>
    </row>
    <row r="460" spans="1:8" x14ac:dyDescent="0.25">
      <c r="A460" s="132">
        <v>45097</v>
      </c>
      <c r="B460" s="105" t="s">
        <v>954</v>
      </c>
      <c r="C460" s="105" t="s">
        <v>955</v>
      </c>
      <c r="D460" s="105"/>
      <c r="E460" s="1">
        <v>8500</v>
      </c>
      <c r="F460" s="92">
        <f t="shared" si="38"/>
        <v>5525</v>
      </c>
      <c r="G460" s="92">
        <f t="shared" si="39"/>
        <v>2975</v>
      </c>
      <c r="H460" s="2"/>
    </row>
    <row r="461" spans="1:8" x14ac:dyDescent="0.25">
      <c r="A461" s="132">
        <v>45090</v>
      </c>
      <c r="B461" s="105" t="s">
        <v>959</v>
      </c>
      <c r="C461" s="105" t="s">
        <v>808</v>
      </c>
      <c r="D461" s="105"/>
      <c r="E461" s="1">
        <v>9860</v>
      </c>
      <c r="F461" s="92">
        <f t="shared" si="38"/>
        <v>6409</v>
      </c>
      <c r="G461" s="92">
        <f t="shared" si="39"/>
        <v>3451</v>
      </c>
      <c r="H461" s="2"/>
    </row>
    <row r="462" spans="1:8" x14ac:dyDescent="0.25">
      <c r="A462" s="132">
        <v>45097</v>
      </c>
      <c r="B462" s="105" t="s">
        <v>960</v>
      </c>
      <c r="C462" s="105" t="s">
        <v>744</v>
      </c>
      <c r="D462" s="105"/>
      <c r="E462" s="1">
        <v>7000</v>
      </c>
      <c r="F462" s="92">
        <f t="shared" si="38"/>
        <v>4550</v>
      </c>
      <c r="G462" s="92">
        <f t="shared" si="39"/>
        <v>2450</v>
      </c>
      <c r="H462" s="2"/>
    </row>
    <row r="463" spans="1:8" x14ac:dyDescent="0.25">
      <c r="A463" s="132">
        <v>45110</v>
      </c>
      <c r="B463" s="105" t="s">
        <v>962</v>
      </c>
      <c r="C463" s="105" t="s">
        <v>834</v>
      </c>
      <c r="D463" s="105"/>
      <c r="E463" s="1">
        <v>7660</v>
      </c>
      <c r="F463" s="92">
        <f t="shared" si="38"/>
        <v>4979</v>
      </c>
      <c r="G463" s="92">
        <f t="shared" si="39"/>
        <v>2681</v>
      </c>
      <c r="H463" s="2"/>
    </row>
    <row r="464" spans="1:8" x14ac:dyDescent="0.25">
      <c r="A464" s="132">
        <v>45110</v>
      </c>
      <c r="B464" s="105" t="s">
        <v>964</v>
      </c>
      <c r="C464" s="105" t="s">
        <v>763</v>
      </c>
      <c r="D464" s="105"/>
      <c r="E464" s="1">
        <v>9500</v>
      </c>
      <c r="F464" s="92">
        <f t="shared" si="38"/>
        <v>6175</v>
      </c>
      <c r="G464" s="92">
        <f t="shared" si="39"/>
        <v>3325</v>
      </c>
      <c r="H464" s="2"/>
    </row>
    <row r="465" spans="1:8" x14ac:dyDescent="0.25">
      <c r="A465" s="132">
        <v>45110</v>
      </c>
      <c r="B465" s="105" t="s">
        <v>965</v>
      </c>
      <c r="C465" s="105" t="s">
        <v>763</v>
      </c>
      <c r="D465" s="105"/>
      <c r="E465" s="1">
        <v>9500</v>
      </c>
      <c r="F465" s="92">
        <f t="shared" si="38"/>
        <v>6175</v>
      </c>
      <c r="G465" s="92">
        <f t="shared" si="39"/>
        <v>3325</v>
      </c>
      <c r="H465" s="2"/>
    </row>
    <row r="466" spans="1:8" x14ac:dyDescent="0.25">
      <c r="A466" s="132">
        <v>45110</v>
      </c>
      <c r="B466" s="105" t="s">
        <v>966</v>
      </c>
      <c r="C466" s="105" t="s">
        <v>763</v>
      </c>
      <c r="D466" s="105"/>
      <c r="E466" s="1">
        <v>9500</v>
      </c>
      <c r="F466" s="92">
        <f t="shared" si="38"/>
        <v>6175</v>
      </c>
      <c r="G466" s="92">
        <f t="shared" si="39"/>
        <v>3325</v>
      </c>
      <c r="H466" s="2"/>
    </row>
    <row r="467" spans="1:8" x14ac:dyDescent="0.25">
      <c r="A467" s="132">
        <v>45110</v>
      </c>
      <c r="B467" s="105" t="s">
        <v>967</v>
      </c>
      <c r="C467" s="105" t="s">
        <v>763</v>
      </c>
      <c r="D467" s="105"/>
      <c r="E467" s="1">
        <v>9500</v>
      </c>
      <c r="F467" s="92">
        <f t="shared" si="38"/>
        <v>6175</v>
      </c>
      <c r="G467" s="92">
        <f t="shared" si="39"/>
        <v>3325</v>
      </c>
      <c r="H467" s="2"/>
    </row>
    <row r="468" spans="1:8" x14ac:dyDescent="0.25">
      <c r="A468" s="132">
        <v>45110</v>
      </c>
      <c r="B468" s="105" t="s">
        <v>968</v>
      </c>
      <c r="C468" s="105" t="s">
        <v>763</v>
      </c>
      <c r="D468" s="105"/>
      <c r="E468" s="1">
        <v>9500</v>
      </c>
      <c r="F468" s="92">
        <f t="shared" si="38"/>
        <v>6175</v>
      </c>
      <c r="G468" s="92">
        <f t="shared" si="39"/>
        <v>3325</v>
      </c>
      <c r="H468" s="2"/>
    </row>
    <row r="469" spans="1:8" x14ac:dyDescent="0.25">
      <c r="A469" s="132">
        <v>45112</v>
      </c>
      <c r="B469" s="105" t="s">
        <v>975</v>
      </c>
      <c r="C469" s="105" t="s">
        <v>976</v>
      </c>
      <c r="D469" s="105"/>
      <c r="E469" s="1">
        <v>10000</v>
      </c>
      <c r="F469" s="92">
        <f t="shared" si="38"/>
        <v>6500</v>
      </c>
      <c r="G469" s="92">
        <f t="shared" si="39"/>
        <v>3500</v>
      </c>
      <c r="H469" s="2"/>
    </row>
    <row r="470" spans="1:8" ht="19.5" x14ac:dyDescent="0.4">
      <c r="C470" s="77" t="s">
        <v>9</v>
      </c>
      <c r="D470" s="77"/>
      <c r="E470" s="54">
        <f>SUM(E434:E469)</f>
        <v>415900</v>
      </c>
      <c r="F470" s="54">
        <f>SUM(F434:F469)</f>
        <v>270335</v>
      </c>
      <c r="G470" s="55">
        <f>SUM(G434:G469)</f>
        <v>145565</v>
      </c>
      <c r="H470" s="36">
        <v>45167</v>
      </c>
    </row>
    <row r="472" spans="1:8" x14ac:dyDescent="0.25">
      <c r="A472" s="132">
        <v>44986</v>
      </c>
      <c r="B472" s="105" t="s">
        <v>885</v>
      </c>
      <c r="C472" s="105" t="s">
        <v>744</v>
      </c>
      <c r="D472" s="105"/>
      <c r="E472" s="35">
        <v>9360</v>
      </c>
      <c r="F472" s="92">
        <f t="shared" ref="F472:F489" si="40">SUM(E472*0.65)</f>
        <v>6084</v>
      </c>
      <c r="G472" s="92">
        <f t="shared" ref="G472:G489" si="41">SUM(E472*0.35)</f>
        <v>3276</v>
      </c>
      <c r="H472" s="2"/>
    </row>
    <row r="473" spans="1:8" x14ac:dyDescent="0.25">
      <c r="A473" s="132">
        <v>44998</v>
      </c>
      <c r="B473" s="105" t="s">
        <v>891</v>
      </c>
      <c r="C473" s="105" t="s">
        <v>787</v>
      </c>
      <c r="D473" s="105"/>
      <c r="E473" s="35">
        <v>9500</v>
      </c>
      <c r="F473" s="92">
        <f t="shared" si="40"/>
        <v>6175</v>
      </c>
      <c r="G473" s="92">
        <f t="shared" si="41"/>
        <v>3325</v>
      </c>
      <c r="H473" s="2"/>
    </row>
    <row r="474" spans="1:8" x14ac:dyDescent="0.25">
      <c r="A474" s="132">
        <v>45009</v>
      </c>
      <c r="B474" s="105" t="s">
        <v>894</v>
      </c>
      <c r="C474" s="105" t="s">
        <v>752</v>
      </c>
      <c r="D474" s="105"/>
      <c r="E474" s="35">
        <v>5790</v>
      </c>
      <c r="F474" s="92">
        <f t="shared" si="40"/>
        <v>3763.5</v>
      </c>
      <c r="G474" s="92">
        <f t="shared" si="41"/>
        <v>2026.4999999999998</v>
      </c>
      <c r="H474" s="2"/>
    </row>
    <row r="475" spans="1:8" x14ac:dyDescent="0.25">
      <c r="A475" s="132">
        <v>45014</v>
      </c>
      <c r="B475" s="105" t="s">
        <v>923</v>
      </c>
      <c r="C475" s="105" t="s">
        <v>752</v>
      </c>
      <c r="D475" s="105"/>
      <c r="E475" s="109">
        <v>6000</v>
      </c>
      <c r="F475" s="92">
        <f t="shared" si="40"/>
        <v>3900</v>
      </c>
      <c r="G475" s="92">
        <f t="shared" si="41"/>
        <v>2100</v>
      </c>
      <c r="H475" s="2"/>
    </row>
    <row r="476" spans="1:8" x14ac:dyDescent="0.25">
      <c r="A476" s="132">
        <v>44986</v>
      </c>
      <c r="B476" s="105" t="s">
        <v>896</v>
      </c>
      <c r="C476" s="105" t="s">
        <v>744</v>
      </c>
      <c r="D476" s="105"/>
      <c r="E476" s="35">
        <v>10000</v>
      </c>
      <c r="F476" s="92">
        <f t="shared" si="40"/>
        <v>6500</v>
      </c>
      <c r="G476" s="92">
        <f t="shared" si="41"/>
        <v>3500</v>
      </c>
      <c r="H476" s="2"/>
    </row>
    <row r="477" spans="1:8" x14ac:dyDescent="0.25">
      <c r="A477" s="132">
        <v>45007</v>
      </c>
      <c r="B477" s="96" t="s">
        <v>909</v>
      </c>
      <c r="C477" s="107" t="s">
        <v>808</v>
      </c>
      <c r="D477" s="107"/>
      <c r="E477" s="109">
        <v>8500</v>
      </c>
      <c r="F477" s="92">
        <f t="shared" si="40"/>
        <v>5525</v>
      </c>
      <c r="G477" s="92">
        <f t="shared" si="41"/>
        <v>2975</v>
      </c>
      <c r="H477" s="2"/>
    </row>
    <row r="478" spans="1:8" x14ac:dyDescent="0.25">
      <c r="A478" s="132">
        <v>45034</v>
      </c>
      <c r="B478" s="105" t="s">
        <v>920</v>
      </c>
      <c r="C478" s="105" t="s">
        <v>780</v>
      </c>
      <c r="D478" s="105"/>
      <c r="E478" s="35">
        <v>10500</v>
      </c>
      <c r="F478" s="92">
        <f t="shared" si="40"/>
        <v>6825</v>
      </c>
      <c r="G478" s="92">
        <f t="shared" si="41"/>
        <v>3674.9999999999995</v>
      </c>
      <c r="H478" s="2"/>
    </row>
    <row r="479" spans="1:8" x14ac:dyDescent="0.25">
      <c r="A479" s="132">
        <v>45040</v>
      </c>
      <c r="B479" s="105" t="s">
        <v>921</v>
      </c>
      <c r="C479" s="105" t="s">
        <v>787</v>
      </c>
      <c r="D479" s="105"/>
      <c r="E479" s="35">
        <v>9500</v>
      </c>
      <c r="F479" s="92">
        <f t="shared" si="40"/>
        <v>6175</v>
      </c>
      <c r="G479" s="92">
        <f t="shared" si="41"/>
        <v>3325</v>
      </c>
      <c r="H479" s="2"/>
    </row>
    <row r="480" spans="1:8" x14ac:dyDescent="0.25">
      <c r="A480" s="132">
        <v>45041</v>
      </c>
      <c r="B480" s="105" t="s">
        <v>922</v>
      </c>
      <c r="C480" s="105" t="s">
        <v>824</v>
      </c>
      <c r="D480" s="105"/>
      <c r="E480" s="35">
        <v>7250</v>
      </c>
      <c r="F480" s="92">
        <f t="shared" si="40"/>
        <v>4712.5</v>
      </c>
      <c r="G480" s="92">
        <f t="shared" si="41"/>
        <v>2537.5</v>
      </c>
      <c r="H480" s="2"/>
    </row>
    <row r="481" spans="1:8" x14ac:dyDescent="0.25">
      <c r="A481" s="132">
        <v>45057</v>
      </c>
      <c r="B481" s="105" t="s">
        <v>936</v>
      </c>
      <c r="C481" s="105" t="s">
        <v>787</v>
      </c>
      <c r="D481" s="105"/>
      <c r="E481" s="35">
        <v>11500</v>
      </c>
      <c r="F481" s="92">
        <f t="shared" si="40"/>
        <v>7475</v>
      </c>
      <c r="G481" s="92">
        <f t="shared" si="41"/>
        <v>4024.9999999999995</v>
      </c>
      <c r="H481" s="2"/>
    </row>
    <row r="482" spans="1:8" x14ac:dyDescent="0.25">
      <c r="A482" s="132">
        <v>45005</v>
      </c>
      <c r="B482" s="105" t="s">
        <v>906</v>
      </c>
      <c r="C482" s="105" t="s">
        <v>744</v>
      </c>
      <c r="D482" s="105"/>
      <c r="E482" s="35">
        <v>10000</v>
      </c>
      <c r="F482" s="92">
        <f t="shared" si="40"/>
        <v>6500</v>
      </c>
      <c r="G482" s="92">
        <f t="shared" si="41"/>
        <v>3500</v>
      </c>
      <c r="H482" s="2"/>
    </row>
    <row r="483" spans="1:8" x14ac:dyDescent="0.25">
      <c r="A483" s="132">
        <v>45077</v>
      </c>
      <c r="B483" s="105" t="s">
        <v>944</v>
      </c>
      <c r="C483" s="105" t="s">
        <v>787</v>
      </c>
      <c r="D483" s="105"/>
      <c r="E483" s="35">
        <v>24500</v>
      </c>
      <c r="F483" s="92">
        <f t="shared" si="40"/>
        <v>15925</v>
      </c>
      <c r="G483" s="92">
        <f t="shared" si="41"/>
        <v>8575</v>
      </c>
      <c r="H483" s="2"/>
    </row>
    <row r="484" spans="1:8" x14ac:dyDescent="0.25">
      <c r="A484" s="132">
        <v>45083</v>
      </c>
      <c r="B484" s="105" t="s">
        <v>946</v>
      </c>
      <c r="C484" s="105" t="s">
        <v>744</v>
      </c>
      <c r="D484" s="105"/>
      <c r="E484" s="109">
        <v>8500</v>
      </c>
      <c r="F484" s="92">
        <f t="shared" si="40"/>
        <v>5525</v>
      </c>
      <c r="G484" s="92">
        <f t="shared" si="41"/>
        <v>2975</v>
      </c>
      <c r="H484" s="2"/>
    </row>
    <row r="485" spans="1:8" x14ac:dyDescent="0.25">
      <c r="A485" s="132">
        <v>45107</v>
      </c>
      <c r="B485" s="105" t="s">
        <v>961</v>
      </c>
      <c r="C485" s="105" t="s">
        <v>808</v>
      </c>
      <c r="D485" s="105"/>
      <c r="E485" s="109">
        <v>9360</v>
      </c>
      <c r="F485" s="92">
        <f t="shared" si="40"/>
        <v>6084</v>
      </c>
      <c r="G485" s="92">
        <f t="shared" si="41"/>
        <v>3276</v>
      </c>
      <c r="H485" s="2"/>
    </row>
    <row r="486" spans="1:8" x14ac:dyDescent="0.25">
      <c r="A486" s="132">
        <v>45135</v>
      </c>
      <c r="B486" s="105" t="s">
        <v>978</v>
      </c>
      <c r="C486" s="105" t="s">
        <v>780</v>
      </c>
      <c r="D486" s="105"/>
      <c r="E486" s="35">
        <v>8500</v>
      </c>
      <c r="F486" s="92">
        <f t="shared" si="40"/>
        <v>5525</v>
      </c>
      <c r="G486" s="92">
        <f t="shared" si="41"/>
        <v>2975</v>
      </c>
      <c r="H486" s="2"/>
    </row>
    <row r="487" spans="1:8" x14ac:dyDescent="0.25">
      <c r="A487" s="132">
        <v>45084</v>
      </c>
      <c r="B487" s="105" t="s">
        <v>950</v>
      </c>
      <c r="C487" s="105" t="s">
        <v>756</v>
      </c>
      <c r="D487" s="105"/>
      <c r="E487" s="109">
        <v>8500</v>
      </c>
      <c r="F487" s="92">
        <f t="shared" si="40"/>
        <v>5525</v>
      </c>
      <c r="G487" s="92">
        <f t="shared" si="41"/>
        <v>2975</v>
      </c>
      <c r="H487" s="2"/>
    </row>
    <row r="488" spans="1:8" x14ac:dyDescent="0.25">
      <c r="A488" s="132">
        <v>45113</v>
      </c>
      <c r="B488" s="105" t="s">
        <v>979</v>
      </c>
      <c r="C488" s="105" t="s">
        <v>744</v>
      </c>
      <c r="D488" s="105"/>
      <c r="E488" s="109">
        <v>12400</v>
      </c>
      <c r="F488" s="92">
        <f t="shared" si="40"/>
        <v>8060</v>
      </c>
      <c r="G488" s="92">
        <f t="shared" si="41"/>
        <v>4340</v>
      </c>
      <c r="H488" s="2"/>
    </row>
    <row r="489" spans="1:8" x14ac:dyDescent="0.25">
      <c r="A489" s="132">
        <v>45131</v>
      </c>
      <c r="B489" s="105" t="s">
        <v>972</v>
      </c>
      <c r="C489" s="105" t="s">
        <v>834</v>
      </c>
      <c r="D489" s="105"/>
      <c r="E489" s="35">
        <v>9705</v>
      </c>
      <c r="F489" s="92">
        <f t="shared" si="40"/>
        <v>6308.25</v>
      </c>
      <c r="G489" s="92">
        <f t="shared" si="41"/>
        <v>3396.75</v>
      </c>
      <c r="H489" s="2"/>
    </row>
    <row r="490" spans="1:8" ht="19.5" x14ac:dyDescent="0.4">
      <c r="C490" s="77" t="s">
        <v>9</v>
      </c>
      <c r="D490" s="77"/>
      <c r="E490" s="54">
        <f>SUM(E472:E489)</f>
        <v>179365</v>
      </c>
      <c r="F490" s="54">
        <f>SUM(F472:F489)</f>
        <v>116587.25</v>
      </c>
      <c r="G490" s="55">
        <f>SUM(G472:G489)</f>
        <v>62777.75</v>
      </c>
      <c r="H490" s="36">
        <v>45204</v>
      </c>
    </row>
    <row r="491" spans="1:8" x14ac:dyDescent="0.25">
      <c r="E491" s="109"/>
    </row>
    <row r="493" spans="1:8" x14ac:dyDescent="0.25">
      <c r="A493" s="66">
        <v>45077</v>
      </c>
      <c r="B493" s="51" t="s">
        <v>1118</v>
      </c>
      <c r="C493" s="94" t="s">
        <v>57</v>
      </c>
      <c r="D493" s="94"/>
      <c r="E493" s="150">
        <v>20260</v>
      </c>
      <c r="F493" s="92">
        <f t="shared" ref="F493:F510" si="42">SUM(E493*0.65)</f>
        <v>13169</v>
      </c>
      <c r="G493" s="92">
        <f t="shared" ref="G493:G510" si="43">SUM(E493*0.35)</f>
        <v>7091</v>
      </c>
    </row>
    <row r="494" spans="1:8" x14ac:dyDescent="0.25">
      <c r="A494" s="132">
        <v>45086</v>
      </c>
      <c r="B494" s="105" t="s">
        <v>958</v>
      </c>
      <c r="C494" s="105" t="s">
        <v>780</v>
      </c>
      <c r="D494" s="105"/>
      <c r="E494" s="35">
        <v>14500</v>
      </c>
      <c r="F494" s="92">
        <f t="shared" si="42"/>
        <v>9425</v>
      </c>
      <c r="G494" s="92">
        <f t="shared" si="43"/>
        <v>5075</v>
      </c>
      <c r="H494" s="2"/>
    </row>
    <row r="495" spans="1:8" x14ac:dyDescent="0.25">
      <c r="A495" s="132">
        <v>45098</v>
      </c>
      <c r="B495" s="105" t="s">
        <v>956</v>
      </c>
      <c r="C495" s="105" t="s">
        <v>744</v>
      </c>
      <c r="D495" s="105"/>
      <c r="E495" s="35">
        <v>8500</v>
      </c>
      <c r="F495" s="92">
        <f t="shared" si="42"/>
        <v>5525</v>
      </c>
      <c r="G495" s="92">
        <f t="shared" si="43"/>
        <v>2975</v>
      </c>
      <c r="H495" s="2"/>
    </row>
    <row r="496" spans="1:8" x14ac:dyDescent="0.25">
      <c r="A496" s="132">
        <v>45119</v>
      </c>
      <c r="B496" s="105" t="s">
        <v>977</v>
      </c>
      <c r="C496" s="105" t="s">
        <v>976</v>
      </c>
      <c r="D496" s="105"/>
      <c r="E496" s="35">
        <v>10000</v>
      </c>
      <c r="F496" s="92">
        <f t="shared" si="42"/>
        <v>6500</v>
      </c>
      <c r="G496" s="92">
        <f t="shared" si="43"/>
        <v>3500</v>
      </c>
      <c r="H496" s="2"/>
    </row>
    <row r="497" spans="1:8" x14ac:dyDescent="0.25">
      <c r="A497" s="132">
        <v>45130</v>
      </c>
      <c r="B497" s="105" t="s">
        <v>971</v>
      </c>
      <c r="C497" s="105" t="s">
        <v>808</v>
      </c>
      <c r="D497" s="105"/>
      <c r="E497" s="35">
        <v>18400</v>
      </c>
      <c r="F497" s="92">
        <f t="shared" si="42"/>
        <v>11960</v>
      </c>
      <c r="G497" s="92">
        <f t="shared" si="43"/>
        <v>6440</v>
      </c>
      <c r="H497" s="2"/>
    </row>
    <row r="498" spans="1:8" x14ac:dyDescent="0.25">
      <c r="A498" s="132">
        <v>45134</v>
      </c>
      <c r="B498" s="105" t="s">
        <v>973</v>
      </c>
      <c r="C498" s="105" t="s">
        <v>765</v>
      </c>
      <c r="D498" s="105"/>
      <c r="E498" s="35">
        <v>11500</v>
      </c>
      <c r="F498" s="92">
        <f t="shared" si="42"/>
        <v>7475</v>
      </c>
      <c r="G498" s="92">
        <f t="shared" si="43"/>
        <v>4024.9999999999995</v>
      </c>
      <c r="H498" s="2"/>
    </row>
    <row r="499" spans="1:8" x14ac:dyDescent="0.25">
      <c r="A499" s="66">
        <v>45154</v>
      </c>
      <c r="B499" s="105" t="s">
        <v>1093</v>
      </c>
      <c r="C499" s="105" t="s">
        <v>761</v>
      </c>
      <c r="D499" s="105"/>
      <c r="E499" s="35">
        <v>9500</v>
      </c>
      <c r="F499" s="92">
        <f t="shared" si="42"/>
        <v>6175</v>
      </c>
      <c r="G499" s="92">
        <f t="shared" si="43"/>
        <v>3325</v>
      </c>
    </row>
    <row r="500" spans="1:8" x14ac:dyDescent="0.25">
      <c r="A500" s="132">
        <v>45160</v>
      </c>
      <c r="B500" s="105" t="s">
        <v>1092</v>
      </c>
      <c r="C500" s="105" t="s">
        <v>787</v>
      </c>
      <c r="D500" s="105"/>
      <c r="E500" s="35">
        <v>24500</v>
      </c>
      <c r="F500" s="92">
        <f t="shared" si="42"/>
        <v>15925</v>
      </c>
      <c r="G500" s="92">
        <f t="shared" si="43"/>
        <v>8575</v>
      </c>
      <c r="H500" s="2"/>
    </row>
    <row r="501" spans="1:8" x14ac:dyDescent="0.25">
      <c r="A501" s="132">
        <v>45160</v>
      </c>
      <c r="B501" s="105" t="s">
        <v>984</v>
      </c>
      <c r="C501" s="105" t="s">
        <v>787</v>
      </c>
      <c r="D501" s="105"/>
      <c r="E501" s="35">
        <v>24500</v>
      </c>
      <c r="F501" s="92">
        <f t="shared" si="42"/>
        <v>15925</v>
      </c>
      <c r="G501" s="92">
        <f t="shared" si="43"/>
        <v>8575</v>
      </c>
      <c r="H501" s="2"/>
    </row>
    <row r="502" spans="1:8" x14ac:dyDescent="0.25">
      <c r="A502" s="132">
        <v>45162</v>
      </c>
      <c r="B502" s="105" t="s">
        <v>985</v>
      </c>
      <c r="C502" s="105" t="s">
        <v>772</v>
      </c>
      <c r="D502" s="105"/>
      <c r="E502" s="35">
        <v>6700</v>
      </c>
      <c r="F502" s="92">
        <f t="shared" si="42"/>
        <v>4355</v>
      </c>
      <c r="G502" s="92">
        <f t="shared" si="43"/>
        <v>2345</v>
      </c>
      <c r="H502" s="2"/>
    </row>
    <row r="503" spans="1:8" x14ac:dyDescent="0.25">
      <c r="A503" s="132">
        <v>45168</v>
      </c>
      <c r="B503" s="105" t="s">
        <v>986</v>
      </c>
      <c r="C503" s="105" t="s">
        <v>761</v>
      </c>
      <c r="D503" s="105"/>
      <c r="E503" s="35">
        <v>24500</v>
      </c>
      <c r="F503" s="92">
        <f t="shared" si="42"/>
        <v>15925</v>
      </c>
      <c r="G503" s="92">
        <f t="shared" si="43"/>
        <v>8575</v>
      </c>
      <c r="H503" s="2"/>
    </row>
    <row r="504" spans="1:8" x14ac:dyDescent="0.25">
      <c r="A504" s="132">
        <v>45191</v>
      </c>
      <c r="B504" s="105" t="s">
        <v>1105</v>
      </c>
      <c r="C504" s="105" t="s">
        <v>824</v>
      </c>
      <c r="D504" s="105"/>
      <c r="E504" s="35">
        <v>8500</v>
      </c>
      <c r="F504" s="92">
        <f t="shared" si="42"/>
        <v>5525</v>
      </c>
      <c r="G504" s="92">
        <f t="shared" si="43"/>
        <v>2975</v>
      </c>
    </row>
    <row r="505" spans="1:8" x14ac:dyDescent="0.25">
      <c r="A505" s="132">
        <v>45197</v>
      </c>
      <c r="B505" s="105" t="s">
        <v>1094</v>
      </c>
      <c r="C505" s="105" t="s">
        <v>808</v>
      </c>
      <c r="D505" s="105"/>
      <c r="E505" s="35">
        <v>10000</v>
      </c>
      <c r="F505" s="92">
        <f t="shared" si="42"/>
        <v>6500</v>
      </c>
      <c r="G505" s="92">
        <f t="shared" si="43"/>
        <v>3500</v>
      </c>
    </row>
    <row r="506" spans="1:8" x14ac:dyDescent="0.25">
      <c r="A506" s="132">
        <v>45197</v>
      </c>
      <c r="B506" s="105" t="s">
        <v>1095</v>
      </c>
      <c r="C506" s="105" t="s">
        <v>808</v>
      </c>
      <c r="D506" s="105"/>
      <c r="E506" s="35">
        <v>8500</v>
      </c>
      <c r="F506" s="92">
        <f t="shared" si="42"/>
        <v>5525</v>
      </c>
      <c r="G506" s="92">
        <f t="shared" si="43"/>
        <v>2975</v>
      </c>
    </row>
    <row r="507" spans="1:8" x14ac:dyDescent="0.25">
      <c r="A507" s="132">
        <v>45208</v>
      </c>
      <c r="B507" s="140" t="s">
        <v>1098</v>
      </c>
      <c r="C507" s="105" t="s">
        <v>911</v>
      </c>
      <c r="D507" s="105"/>
      <c r="E507" s="35">
        <v>8500</v>
      </c>
      <c r="F507" s="92">
        <f t="shared" si="42"/>
        <v>5525</v>
      </c>
      <c r="G507" s="92">
        <f t="shared" si="43"/>
        <v>2975</v>
      </c>
    </row>
    <row r="508" spans="1:8" x14ac:dyDescent="0.25">
      <c r="A508" s="132">
        <v>45208</v>
      </c>
      <c r="B508" s="140" t="s">
        <v>1099</v>
      </c>
      <c r="C508" s="105" t="s">
        <v>1100</v>
      </c>
      <c r="D508" s="105"/>
      <c r="E508" s="35">
        <v>8500</v>
      </c>
      <c r="F508" s="92">
        <f t="shared" si="42"/>
        <v>5525</v>
      </c>
      <c r="G508" s="92">
        <f t="shared" si="43"/>
        <v>2975</v>
      </c>
    </row>
    <row r="509" spans="1:8" x14ac:dyDescent="0.25">
      <c r="A509" s="132">
        <v>45210</v>
      </c>
      <c r="B509" s="140" t="s">
        <v>1096</v>
      </c>
      <c r="C509" s="105" t="s">
        <v>787</v>
      </c>
      <c r="D509" s="105"/>
      <c r="E509" s="35">
        <v>11500</v>
      </c>
      <c r="F509" s="92">
        <f t="shared" si="42"/>
        <v>7475</v>
      </c>
      <c r="G509" s="92">
        <f t="shared" si="43"/>
        <v>4024.9999999999995</v>
      </c>
    </row>
    <row r="510" spans="1:8" x14ac:dyDescent="0.25">
      <c r="A510" s="132">
        <v>45211</v>
      </c>
      <c r="B510" s="140" t="s">
        <v>1097</v>
      </c>
      <c r="C510" s="105" t="s">
        <v>808</v>
      </c>
      <c r="D510" s="105"/>
      <c r="E510" s="35">
        <v>19100</v>
      </c>
      <c r="F510" s="92">
        <f t="shared" si="42"/>
        <v>12415</v>
      </c>
      <c r="G510" s="92">
        <f t="shared" si="43"/>
        <v>6685</v>
      </c>
    </row>
    <row r="511" spans="1:8" ht="19.5" x14ac:dyDescent="0.4">
      <c r="C511" s="77" t="s">
        <v>9</v>
      </c>
      <c r="D511" s="77"/>
      <c r="E511" s="54">
        <f>SUM(E492:E510)</f>
        <v>247460</v>
      </c>
      <c r="F511" s="54">
        <f>SUM(F492:F510)</f>
        <v>160849</v>
      </c>
      <c r="G511" s="55">
        <f>SUM(G492:G510)</f>
        <v>86611</v>
      </c>
      <c r="H511" s="36">
        <v>45611</v>
      </c>
    </row>
    <row r="512" spans="1:8" x14ac:dyDescent="0.25">
      <c r="E512" s="109"/>
    </row>
    <row r="513" spans="1:8" x14ac:dyDescent="0.25">
      <c r="A513" s="44">
        <v>44979</v>
      </c>
      <c r="B513" s="45" t="s">
        <v>882</v>
      </c>
      <c r="C513" s="46" t="s">
        <v>763</v>
      </c>
      <c r="D513" s="195"/>
      <c r="E513" s="20">
        <v>11500</v>
      </c>
      <c r="F513" s="92">
        <f t="shared" ref="F513:F537" si="44">SUM(E513*0.65)</f>
        <v>7475</v>
      </c>
      <c r="G513" s="92">
        <f t="shared" ref="G513:G537" si="45">SUM(E513*0.35)</f>
        <v>4024.9999999999995</v>
      </c>
      <c r="H513" s="2"/>
    </row>
    <row r="514" spans="1:8" x14ac:dyDescent="0.25">
      <c r="A514" s="44">
        <v>45055</v>
      </c>
      <c r="B514" s="45" t="s">
        <v>934</v>
      </c>
      <c r="C514" s="158" t="s">
        <v>935</v>
      </c>
      <c r="D514" s="196"/>
      <c r="E514" s="20">
        <v>8500</v>
      </c>
      <c r="F514" s="92">
        <f t="shared" si="44"/>
        <v>5525</v>
      </c>
      <c r="G514" s="92">
        <f t="shared" si="45"/>
        <v>2975</v>
      </c>
      <c r="H514" s="2"/>
    </row>
    <row r="515" spans="1:8" x14ac:dyDescent="0.25">
      <c r="A515" s="44">
        <v>45063</v>
      </c>
      <c r="B515" s="45" t="s">
        <v>940</v>
      </c>
      <c r="C515" s="159" t="s">
        <v>765</v>
      </c>
      <c r="D515" s="197"/>
      <c r="E515" s="20">
        <v>11500</v>
      </c>
      <c r="F515" s="92">
        <f t="shared" si="44"/>
        <v>7475</v>
      </c>
      <c r="G515" s="92">
        <f t="shared" si="45"/>
        <v>4024.9999999999995</v>
      </c>
      <c r="H515" s="2"/>
    </row>
    <row r="516" spans="1:8" x14ac:dyDescent="0.25">
      <c r="A516" s="44">
        <v>45084</v>
      </c>
      <c r="B516" s="45" t="s">
        <v>951</v>
      </c>
      <c r="C516" s="158" t="s">
        <v>756</v>
      </c>
      <c r="D516" s="196"/>
      <c r="E516" s="20">
        <v>8500</v>
      </c>
      <c r="F516" s="92">
        <f t="shared" si="44"/>
        <v>5525</v>
      </c>
      <c r="G516" s="92">
        <f t="shared" si="45"/>
        <v>2975</v>
      </c>
      <c r="H516" s="2"/>
    </row>
    <row r="517" spans="1:8" x14ac:dyDescent="0.25">
      <c r="A517" s="44">
        <v>45124</v>
      </c>
      <c r="B517" s="45" t="s">
        <v>1101</v>
      </c>
      <c r="C517" s="159" t="s">
        <v>879</v>
      </c>
      <c r="D517" s="197"/>
      <c r="E517" s="20">
        <v>9500</v>
      </c>
      <c r="F517" s="92">
        <f t="shared" si="44"/>
        <v>6175</v>
      </c>
      <c r="G517" s="92">
        <f t="shared" si="45"/>
        <v>3325</v>
      </c>
      <c r="H517" s="2"/>
    </row>
    <row r="518" spans="1:8" x14ac:dyDescent="0.25">
      <c r="A518" s="44">
        <v>45153</v>
      </c>
      <c r="B518" s="45" t="s">
        <v>980</v>
      </c>
      <c r="C518" s="158" t="s">
        <v>981</v>
      </c>
      <c r="D518" s="196"/>
      <c r="E518" s="20">
        <v>9000</v>
      </c>
      <c r="F518" s="92">
        <f t="shared" si="44"/>
        <v>5850</v>
      </c>
      <c r="G518" s="92">
        <f t="shared" si="45"/>
        <v>3150</v>
      </c>
      <c r="H518" s="2"/>
    </row>
    <row r="519" spans="1:8" x14ac:dyDescent="0.25">
      <c r="A519" s="44">
        <v>45153</v>
      </c>
      <c r="B519" s="45" t="s">
        <v>982</v>
      </c>
      <c r="C519" s="158" t="s">
        <v>981</v>
      </c>
      <c r="D519" s="196"/>
      <c r="E519" s="20">
        <v>9000</v>
      </c>
      <c r="F519" s="92">
        <f t="shared" si="44"/>
        <v>5850</v>
      </c>
      <c r="G519" s="92">
        <f t="shared" si="45"/>
        <v>3150</v>
      </c>
      <c r="H519" s="2"/>
    </row>
    <row r="520" spans="1:8" x14ac:dyDescent="0.25">
      <c r="A520" s="44">
        <v>45182</v>
      </c>
      <c r="B520" s="45" t="s">
        <v>1104</v>
      </c>
      <c r="C520" s="161" t="s">
        <v>824</v>
      </c>
      <c r="D520" s="198"/>
      <c r="E520" s="1">
        <v>26000</v>
      </c>
      <c r="F520" s="92">
        <f t="shared" si="44"/>
        <v>16900</v>
      </c>
      <c r="G520" s="92">
        <f t="shared" si="45"/>
        <v>9100</v>
      </c>
      <c r="H520" s="74" t="s">
        <v>1161</v>
      </c>
    </row>
    <row r="521" spans="1:8" x14ac:dyDescent="0.25">
      <c r="A521" s="138">
        <v>45184</v>
      </c>
      <c r="B521" s="139" t="s">
        <v>1109</v>
      </c>
      <c r="C521" s="160" t="s">
        <v>808</v>
      </c>
      <c r="D521" s="197"/>
      <c r="E521" s="1">
        <v>14500</v>
      </c>
      <c r="F521" s="92">
        <f t="shared" si="44"/>
        <v>9425</v>
      </c>
      <c r="G521" s="92">
        <f t="shared" si="45"/>
        <v>5075</v>
      </c>
      <c r="H521" s="74" t="s">
        <v>1161</v>
      </c>
    </row>
    <row r="522" spans="1:8" x14ac:dyDescent="0.25">
      <c r="A522" s="44">
        <v>45191</v>
      </c>
      <c r="B522" s="45" t="s">
        <v>1110</v>
      </c>
      <c r="C522" s="158" t="s">
        <v>976</v>
      </c>
      <c r="D522" s="196"/>
      <c r="E522" s="1">
        <v>8000</v>
      </c>
      <c r="F522" s="92">
        <f t="shared" si="44"/>
        <v>5200</v>
      </c>
      <c r="G522" s="92">
        <f t="shared" si="45"/>
        <v>2800</v>
      </c>
      <c r="H522" s="74" t="s">
        <v>1161</v>
      </c>
    </row>
    <row r="523" spans="1:8" x14ac:dyDescent="0.25">
      <c r="A523" s="44">
        <v>45204</v>
      </c>
      <c r="B523" s="57" t="s">
        <v>1115</v>
      </c>
      <c r="C523" s="159" t="s">
        <v>1116</v>
      </c>
      <c r="D523" s="197"/>
      <c r="E523" s="1">
        <v>19200</v>
      </c>
      <c r="F523" s="92">
        <f t="shared" si="44"/>
        <v>12480</v>
      </c>
      <c r="G523" s="35">
        <f t="shared" si="45"/>
        <v>6720</v>
      </c>
      <c r="H523" s="2"/>
    </row>
    <row r="524" spans="1:8" x14ac:dyDescent="0.25">
      <c r="A524" s="44">
        <v>45210</v>
      </c>
      <c r="B524" s="57" t="s">
        <v>1096</v>
      </c>
      <c r="C524" s="161" t="s">
        <v>787</v>
      </c>
      <c r="D524" s="198"/>
      <c r="E524" s="1">
        <v>11500</v>
      </c>
      <c r="F524" s="92">
        <f t="shared" si="44"/>
        <v>7475</v>
      </c>
      <c r="G524" s="92">
        <f t="shared" si="45"/>
        <v>4024.9999999999995</v>
      </c>
    </row>
    <row r="525" spans="1:8" x14ac:dyDescent="0.25">
      <c r="A525" s="44">
        <v>45211</v>
      </c>
      <c r="B525" s="57" t="s">
        <v>1097</v>
      </c>
      <c r="C525" s="159" t="s">
        <v>808</v>
      </c>
      <c r="D525" s="197"/>
      <c r="E525" s="1">
        <v>19100</v>
      </c>
      <c r="F525" s="92">
        <f t="shared" si="44"/>
        <v>12415</v>
      </c>
      <c r="G525" s="92">
        <f t="shared" si="45"/>
        <v>6685</v>
      </c>
    </row>
    <row r="526" spans="1:8" x14ac:dyDescent="0.25">
      <c r="A526" s="44">
        <v>45208</v>
      </c>
      <c r="B526" s="57" t="s">
        <v>1098</v>
      </c>
      <c r="C526" s="46" t="s">
        <v>911</v>
      </c>
      <c r="D526" s="195"/>
      <c r="E526" s="1">
        <v>8500</v>
      </c>
      <c r="F526" s="92">
        <f t="shared" si="44"/>
        <v>5525</v>
      </c>
      <c r="G526" s="92">
        <f t="shared" si="45"/>
        <v>2975</v>
      </c>
    </row>
    <row r="527" spans="1:8" x14ac:dyDescent="0.25">
      <c r="A527" s="44">
        <v>45208</v>
      </c>
      <c r="B527" s="57" t="s">
        <v>1099</v>
      </c>
      <c r="C527" s="45" t="s">
        <v>1100</v>
      </c>
      <c r="D527" s="105"/>
      <c r="E527" s="1">
        <v>8500</v>
      </c>
      <c r="F527" s="92">
        <f t="shared" si="44"/>
        <v>5525</v>
      </c>
      <c r="G527" s="92">
        <f t="shared" si="45"/>
        <v>2975</v>
      </c>
    </row>
    <row r="528" spans="1:8" x14ac:dyDescent="0.25">
      <c r="A528" s="44">
        <v>45209</v>
      </c>
      <c r="B528" s="57" t="s">
        <v>1119</v>
      </c>
      <c r="C528" s="161" t="s">
        <v>787</v>
      </c>
      <c r="D528" s="198"/>
      <c r="E528" s="1">
        <v>10500</v>
      </c>
      <c r="F528" s="92">
        <f t="shared" si="44"/>
        <v>6825</v>
      </c>
      <c r="G528" s="92">
        <f t="shared" si="45"/>
        <v>3674.9999999999995</v>
      </c>
    </row>
    <row r="529" spans="1:8" x14ac:dyDescent="0.25">
      <c r="A529" s="44">
        <v>45219</v>
      </c>
      <c r="B529" s="57" t="s">
        <v>1120</v>
      </c>
      <c r="C529" s="158" t="s">
        <v>772</v>
      </c>
      <c r="D529" s="196"/>
      <c r="E529" s="1">
        <v>10000</v>
      </c>
      <c r="F529" s="92">
        <f t="shared" si="44"/>
        <v>6500</v>
      </c>
      <c r="G529" s="92">
        <f t="shared" si="45"/>
        <v>3500</v>
      </c>
    </row>
    <row r="530" spans="1:8" x14ac:dyDescent="0.25">
      <c r="A530" s="44">
        <v>45219</v>
      </c>
      <c r="B530" s="57" t="s">
        <v>1121</v>
      </c>
      <c r="C530" s="158" t="s">
        <v>772</v>
      </c>
      <c r="D530" s="196"/>
      <c r="E530" s="1">
        <v>10000</v>
      </c>
      <c r="F530" s="92">
        <f t="shared" si="44"/>
        <v>6500</v>
      </c>
      <c r="G530" s="92">
        <f t="shared" si="45"/>
        <v>3500</v>
      </c>
    </row>
    <row r="531" spans="1:8" x14ac:dyDescent="0.25">
      <c r="A531" s="44">
        <v>45222</v>
      </c>
      <c r="B531" s="57" t="s">
        <v>1122</v>
      </c>
      <c r="C531" s="161" t="s">
        <v>787</v>
      </c>
      <c r="D531" s="198"/>
      <c r="E531" s="1">
        <v>10500</v>
      </c>
      <c r="F531" s="92">
        <f t="shared" si="44"/>
        <v>6825</v>
      </c>
      <c r="G531" s="92">
        <f t="shared" si="45"/>
        <v>3674.9999999999995</v>
      </c>
    </row>
    <row r="532" spans="1:8" x14ac:dyDescent="0.25">
      <c r="A532" s="44">
        <v>45230</v>
      </c>
      <c r="B532" s="57" t="s">
        <v>1123</v>
      </c>
      <c r="C532" s="46" t="s">
        <v>1124</v>
      </c>
      <c r="D532" s="195"/>
      <c r="E532" s="1">
        <v>9400</v>
      </c>
      <c r="F532" s="92">
        <f t="shared" si="44"/>
        <v>6110</v>
      </c>
      <c r="G532" s="92">
        <f t="shared" si="45"/>
        <v>3290</v>
      </c>
    </row>
    <row r="533" spans="1:8" x14ac:dyDescent="0.25">
      <c r="A533" s="44">
        <v>45252</v>
      </c>
      <c r="B533" s="57" t="s">
        <v>1125</v>
      </c>
      <c r="C533" s="158" t="s">
        <v>774</v>
      </c>
      <c r="D533" s="196"/>
      <c r="E533" s="1">
        <v>8500</v>
      </c>
      <c r="F533" s="92">
        <f t="shared" si="44"/>
        <v>5525</v>
      </c>
      <c r="G533" s="92">
        <f t="shared" si="45"/>
        <v>2975</v>
      </c>
    </row>
    <row r="534" spans="1:8" x14ac:dyDescent="0.25">
      <c r="A534" s="44">
        <v>45260</v>
      </c>
      <c r="B534" s="57" t="s">
        <v>1126</v>
      </c>
      <c r="C534" s="46" t="s">
        <v>1124</v>
      </c>
      <c r="D534" s="195"/>
      <c r="E534" s="1">
        <v>9500</v>
      </c>
      <c r="F534" s="92">
        <f t="shared" si="44"/>
        <v>6175</v>
      </c>
      <c r="G534" s="92">
        <f t="shared" si="45"/>
        <v>3325</v>
      </c>
    </row>
    <row r="535" spans="1:8" x14ac:dyDescent="0.25">
      <c r="A535" s="44">
        <v>45236</v>
      </c>
      <c r="B535" s="57" t="s">
        <v>1127</v>
      </c>
      <c r="C535" s="158" t="s">
        <v>1128</v>
      </c>
      <c r="D535" s="196"/>
      <c r="E535" s="1">
        <v>17700</v>
      </c>
      <c r="F535" s="92">
        <f t="shared" si="44"/>
        <v>11505</v>
      </c>
      <c r="G535" s="92">
        <f t="shared" si="45"/>
        <v>6195</v>
      </c>
    </row>
    <row r="536" spans="1:8" x14ac:dyDescent="0.25">
      <c r="A536" s="44">
        <v>45240</v>
      </c>
      <c r="B536" s="57" t="s">
        <v>1129</v>
      </c>
      <c r="C536" s="159" t="s">
        <v>761</v>
      </c>
      <c r="D536" s="197"/>
      <c r="E536" s="1">
        <v>18500</v>
      </c>
      <c r="F536" s="92">
        <f t="shared" si="44"/>
        <v>12025</v>
      </c>
      <c r="G536" s="92">
        <f t="shared" si="45"/>
        <v>6475</v>
      </c>
    </row>
    <row r="537" spans="1:8" x14ac:dyDescent="0.25">
      <c r="A537" s="44">
        <v>45245</v>
      </c>
      <c r="B537" s="57" t="s">
        <v>1130</v>
      </c>
      <c r="C537" s="159" t="s">
        <v>761</v>
      </c>
      <c r="D537" s="197"/>
      <c r="E537" s="1">
        <v>24500</v>
      </c>
      <c r="F537" s="92">
        <f t="shared" si="44"/>
        <v>15925</v>
      </c>
      <c r="G537" s="92">
        <f t="shared" si="45"/>
        <v>8575</v>
      </c>
    </row>
    <row r="538" spans="1:8" ht="19.5" x14ac:dyDescent="0.4">
      <c r="C538" s="77" t="s">
        <v>9</v>
      </c>
      <c r="D538" s="77"/>
      <c r="E538" s="54">
        <f>SUM(E513:E537)</f>
        <v>311900</v>
      </c>
      <c r="F538" s="54">
        <f>SUM(F513:F537)</f>
        <v>202735</v>
      </c>
      <c r="G538" s="55">
        <f>SUM(G513:G537)</f>
        <v>109165</v>
      </c>
      <c r="H538" s="36">
        <v>45303</v>
      </c>
    </row>
    <row r="540" spans="1:8" x14ac:dyDescent="0.25">
      <c r="A540" s="44">
        <v>45033</v>
      </c>
      <c r="B540" s="45" t="s">
        <v>919</v>
      </c>
      <c r="C540" s="45" t="s">
        <v>834</v>
      </c>
      <c r="D540" s="105"/>
      <c r="E540" s="20">
        <v>5290</v>
      </c>
      <c r="F540" s="92">
        <f t="shared" ref="F540:F570" si="46">SUM(E540*0.65)</f>
        <v>3438.5</v>
      </c>
      <c r="G540" s="92">
        <f t="shared" ref="G540:G570" si="47">SUM(E540*0.35)</f>
        <v>1851.4999999999998</v>
      </c>
      <c r="H540" s="2"/>
    </row>
    <row r="541" spans="1:8" x14ac:dyDescent="0.25">
      <c r="A541" s="44">
        <v>45051</v>
      </c>
      <c r="B541" s="57" t="s">
        <v>1114</v>
      </c>
      <c r="C541" s="45" t="s">
        <v>780</v>
      </c>
      <c r="D541" s="105"/>
      <c r="E541" s="20">
        <v>15500</v>
      </c>
      <c r="F541" s="92">
        <f t="shared" si="46"/>
        <v>10075</v>
      </c>
      <c r="G541" s="35">
        <f t="shared" si="47"/>
        <v>5425</v>
      </c>
      <c r="H541" s="2"/>
    </row>
    <row r="542" spans="1:8" x14ac:dyDescent="0.25">
      <c r="A542" s="44">
        <v>45082</v>
      </c>
      <c r="B542" s="45" t="s">
        <v>1091</v>
      </c>
      <c r="C542" s="45" t="s">
        <v>763</v>
      </c>
      <c r="D542" s="105"/>
      <c r="E542" s="20">
        <v>7500</v>
      </c>
      <c r="F542" s="92">
        <f t="shared" si="46"/>
        <v>4875</v>
      </c>
      <c r="G542" s="92">
        <f t="shared" si="47"/>
        <v>2625</v>
      </c>
      <c r="H542" s="2"/>
    </row>
    <row r="543" spans="1:8" x14ac:dyDescent="0.25">
      <c r="A543" s="44">
        <v>45110</v>
      </c>
      <c r="B543" s="45" t="s">
        <v>963</v>
      </c>
      <c r="C543" s="45" t="s">
        <v>834</v>
      </c>
      <c r="D543" s="105"/>
      <c r="E543" s="20">
        <v>5600</v>
      </c>
      <c r="F543" s="92">
        <f t="shared" si="46"/>
        <v>3640</v>
      </c>
      <c r="G543" s="92">
        <f t="shared" si="47"/>
        <v>1959.9999999999998</v>
      </c>
      <c r="H543" s="2"/>
    </row>
    <row r="544" spans="1:8" x14ac:dyDescent="0.25">
      <c r="A544" s="44">
        <v>45118</v>
      </c>
      <c r="B544" s="45" t="s">
        <v>969</v>
      </c>
      <c r="C544" s="45" t="s">
        <v>834</v>
      </c>
      <c r="D544" s="105"/>
      <c r="E544" s="20">
        <v>5600</v>
      </c>
      <c r="F544" s="92">
        <f t="shared" si="46"/>
        <v>3640</v>
      </c>
      <c r="G544" s="92">
        <f t="shared" si="47"/>
        <v>1959.9999999999998</v>
      </c>
      <c r="H544" s="2"/>
    </row>
    <row r="545" spans="1:16" x14ac:dyDescent="0.25">
      <c r="A545" s="44">
        <v>45154</v>
      </c>
      <c r="B545" s="45" t="s">
        <v>1102</v>
      </c>
      <c r="C545" s="152" t="s">
        <v>879</v>
      </c>
      <c r="D545" s="105"/>
      <c r="E545" s="133">
        <v>9500</v>
      </c>
      <c r="F545" s="92">
        <f t="shared" si="46"/>
        <v>6175</v>
      </c>
      <c r="G545" s="35">
        <f t="shared" si="47"/>
        <v>3325</v>
      </c>
      <c r="H545" s="133"/>
      <c r="I545" s="134"/>
      <c r="J545" s="135"/>
      <c r="K545" s="136"/>
      <c r="L545" s="135"/>
      <c r="M545" s="136"/>
      <c r="N545" s="137"/>
      <c r="O545" s="35"/>
      <c r="P545" s="35"/>
    </row>
    <row r="546" spans="1:16" x14ac:dyDescent="0.25">
      <c r="A546" s="44">
        <v>45174</v>
      </c>
      <c r="B546" s="45" t="s">
        <v>1108</v>
      </c>
      <c r="C546" s="45" t="s">
        <v>787</v>
      </c>
      <c r="D546" s="105"/>
      <c r="E546" s="20">
        <v>9500</v>
      </c>
      <c r="F546" s="92">
        <f t="shared" si="46"/>
        <v>6175</v>
      </c>
      <c r="G546" s="92">
        <f t="shared" si="47"/>
        <v>3325</v>
      </c>
      <c r="H546" s="2"/>
    </row>
    <row r="547" spans="1:16" x14ac:dyDescent="0.25">
      <c r="A547" s="44">
        <v>45197</v>
      </c>
      <c r="B547" s="45" t="s">
        <v>1106</v>
      </c>
      <c r="C547" s="45" t="s">
        <v>1107</v>
      </c>
      <c r="D547" s="105"/>
      <c r="E547" s="20">
        <v>10000</v>
      </c>
      <c r="F547" s="92">
        <f t="shared" si="46"/>
        <v>6500</v>
      </c>
      <c r="G547" s="92">
        <f t="shared" si="47"/>
        <v>3500</v>
      </c>
      <c r="H547" s="2"/>
    </row>
    <row r="548" spans="1:16" x14ac:dyDescent="0.25">
      <c r="A548" s="44">
        <v>45204</v>
      </c>
      <c r="B548" s="57" t="s">
        <v>1113</v>
      </c>
      <c r="C548" s="45" t="s">
        <v>761</v>
      </c>
      <c r="D548" s="105"/>
      <c r="E548" s="20">
        <v>24500</v>
      </c>
      <c r="F548" s="92">
        <f t="shared" si="46"/>
        <v>15925</v>
      </c>
      <c r="G548" s="92">
        <f t="shared" si="47"/>
        <v>8575</v>
      </c>
      <c r="H548" s="2"/>
    </row>
    <row r="549" spans="1:16" x14ac:dyDescent="0.25">
      <c r="A549" s="44">
        <v>45209</v>
      </c>
      <c r="B549" s="57" t="s">
        <v>1137</v>
      </c>
      <c r="C549" s="45" t="s">
        <v>1136</v>
      </c>
      <c r="D549" s="105"/>
      <c r="E549" s="20">
        <v>8500</v>
      </c>
      <c r="F549" s="92">
        <f t="shared" si="46"/>
        <v>5525</v>
      </c>
      <c r="G549" s="35">
        <f t="shared" si="47"/>
        <v>2975</v>
      </c>
      <c r="H549" s="2"/>
    </row>
    <row r="550" spans="1:16" x14ac:dyDescent="0.25">
      <c r="A550" s="44">
        <v>45209</v>
      </c>
      <c r="B550" s="57" t="s">
        <v>1138</v>
      </c>
      <c r="C550" s="45" t="s">
        <v>1136</v>
      </c>
      <c r="D550" s="105"/>
      <c r="E550" s="20">
        <v>8500</v>
      </c>
      <c r="F550" s="92">
        <f t="shared" si="46"/>
        <v>5525</v>
      </c>
      <c r="G550" s="35">
        <f t="shared" si="47"/>
        <v>2975</v>
      </c>
      <c r="H550" s="2"/>
    </row>
    <row r="551" spans="1:16" x14ac:dyDescent="0.25">
      <c r="A551" s="44">
        <v>45209</v>
      </c>
      <c r="B551" s="57" t="s">
        <v>1131</v>
      </c>
      <c r="C551" s="45" t="s">
        <v>1132</v>
      </c>
      <c r="D551" s="105"/>
      <c r="E551" s="20">
        <v>20500</v>
      </c>
      <c r="F551" s="92">
        <f t="shared" si="46"/>
        <v>13325</v>
      </c>
      <c r="G551" s="35">
        <f t="shared" si="47"/>
        <v>7174.9999999999991</v>
      </c>
      <c r="H551" s="2"/>
    </row>
    <row r="552" spans="1:16" x14ac:dyDescent="0.25">
      <c r="A552" s="44">
        <v>45209</v>
      </c>
      <c r="B552" s="57" t="s">
        <v>1133</v>
      </c>
      <c r="C552" s="45" t="s">
        <v>1134</v>
      </c>
      <c r="D552" s="105"/>
      <c r="E552" s="20">
        <v>10000</v>
      </c>
      <c r="F552" s="92">
        <f t="shared" si="46"/>
        <v>6500</v>
      </c>
      <c r="G552" s="35">
        <f t="shared" si="47"/>
        <v>3500</v>
      </c>
      <c r="H552" s="2"/>
    </row>
    <row r="553" spans="1:16" x14ac:dyDescent="0.25">
      <c r="A553" s="44">
        <v>45209</v>
      </c>
      <c r="B553" s="57" t="s">
        <v>1135</v>
      </c>
      <c r="C553" s="45" t="s">
        <v>1136</v>
      </c>
      <c r="D553" s="105"/>
      <c r="E553" s="20">
        <v>8500</v>
      </c>
      <c r="F553" s="92">
        <f t="shared" si="46"/>
        <v>5525</v>
      </c>
      <c r="G553" s="35">
        <f t="shared" si="47"/>
        <v>2975</v>
      </c>
      <c r="H553" s="2"/>
    </row>
    <row r="554" spans="1:16" x14ac:dyDescent="0.25">
      <c r="A554" s="44">
        <v>45209</v>
      </c>
      <c r="B554" s="57" t="s">
        <v>1139</v>
      </c>
      <c r="C554" s="45" t="s">
        <v>1136</v>
      </c>
      <c r="D554" s="105"/>
      <c r="E554" s="20">
        <v>8500</v>
      </c>
      <c r="F554" s="92">
        <f t="shared" si="46"/>
        <v>5525</v>
      </c>
      <c r="G554" s="35">
        <f t="shared" si="47"/>
        <v>2975</v>
      </c>
      <c r="H554" s="2"/>
    </row>
    <row r="555" spans="1:16" x14ac:dyDescent="0.25">
      <c r="A555" s="44">
        <v>45210</v>
      </c>
      <c r="B555" s="57" t="s">
        <v>1140</v>
      </c>
      <c r="C555" s="45" t="s">
        <v>744</v>
      </c>
      <c r="D555" s="105"/>
      <c r="E555" s="20">
        <v>8500</v>
      </c>
      <c r="F555" s="92">
        <f t="shared" si="46"/>
        <v>5525</v>
      </c>
      <c r="G555" s="35">
        <f t="shared" si="47"/>
        <v>2975</v>
      </c>
      <c r="H555" s="2"/>
    </row>
    <row r="556" spans="1:16" x14ac:dyDescent="0.25">
      <c r="A556" s="44">
        <v>45219</v>
      </c>
      <c r="B556" s="57" t="s">
        <v>1144</v>
      </c>
      <c r="C556" s="45" t="s">
        <v>772</v>
      </c>
      <c r="D556" s="105"/>
      <c r="E556" s="20">
        <v>12500</v>
      </c>
      <c r="F556" s="92">
        <f t="shared" si="46"/>
        <v>8125</v>
      </c>
      <c r="G556" s="35">
        <f t="shared" si="47"/>
        <v>4375</v>
      </c>
      <c r="H556" s="2"/>
    </row>
    <row r="557" spans="1:16" x14ac:dyDescent="0.25">
      <c r="A557" s="44">
        <v>45236</v>
      </c>
      <c r="B557" s="57" t="s">
        <v>1151</v>
      </c>
      <c r="C557" s="45" t="s">
        <v>744</v>
      </c>
      <c r="D557" s="105"/>
      <c r="E557" s="20">
        <v>16100</v>
      </c>
      <c r="F557" s="92">
        <f t="shared" si="46"/>
        <v>10465</v>
      </c>
      <c r="G557" s="35">
        <f t="shared" si="47"/>
        <v>5635</v>
      </c>
      <c r="H557" s="2"/>
    </row>
    <row r="558" spans="1:16" x14ac:dyDescent="0.25">
      <c r="A558" s="44">
        <v>45246</v>
      </c>
      <c r="B558" s="57" t="s">
        <v>1146</v>
      </c>
      <c r="C558" s="45" t="s">
        <v>787</v>
      </c>
      <c r="D558" s="105"/>
      <c r="E558" s="20">
        <v>10000</v>
      </c>
      <c r="F558" s="92">
        <f t="shared" si="46"/>
        <v>6500</v>
      </c>
      <c r="G558" s="35">
        <f t="shared" si="47"/>
        <v>3500</v>
      </c>
      <c r="H558" s="2"/>
    </row>
    <row r="559" spans="1:16" x14ac:dyDescent="0.25">
      <c r="A559" s="44">
        <v>45247</v>
      </c>
      <c r="B559" s="57" t="s">
        <v>1147</v>
      </c>
      <c r="C559" s="45" t="s">
        <v>778</v>
      </c>
      <c r="D559" s="105"/>
      <c r="E559" s="20">
        <v>8000</v>
      </c>
      <c r="F559" s="92">
        <f t="shared" si="46"/>
        <v>5200</v>
      </c>
      <c r="G559" s="35">
        <f t="shared" si="47"/>
        <v>2800</v>
      </c>
      <c r="H559" s="2"/>
    </row>
    <row r="560" spans="1:16" x14ac:dyDescent="0.25">
      <c r="A560" s="44">
        <v>45260</v>
      </c>
      <c r="B560" s="57" t="s">
        <v>1150</v>
      </c>
      <c r="C560" s="45" t="s">
        <v>1124</v>
      </c>
      <c r="D560" s="105"/>
      <c r="E560" s="20">
        <v>9500</v>
      </c>
      <c r="F560" s="92">
        <f t="shared" si="46"/>
        <v>6175</v>
      </c>
      <c r="G560" s="35">
        <f t="shared" si="47"/>
        <v>3325</v>
      </c>
      <c r="H560" s="2"/>
    </row>
    <row r="561" spans="1:8" x14ac:dyDescent="0.25">
      <c r="A561" s="44">
        <v>45273</v>
      </c>
      <c r="B561" s="45" t="s">
        <v>1156</v>
      </c>
      <c r="C561" s="45" t="s">
        <v>772</v>
      </c>
      <c r="D561" s="105"/>
      <c r="E561" s="20">
        <v>15000</v>
      </c>
      <c r="F561" s="92">
        <f t="shared" si="46"/>
        <v>9750</v>
      </c>
      <c r="G561" s="35">
        <f t="shared" si="47"/>
        <v>5250</v>
      </c>
      <c r="H561" s="2"/>
    </row>
    <row r="562" spans="1:8" x14ac:dyDescent="0.25">
      <c r="A562" s="44">
        <v>45641</v>
      </c>
      <c r="B562" s="45" t="s">
        <v>1158</v>
      </c>
      <c r="C562" s="45" t="s">
        <v>772</v>
      </c>
      <c r="D562" s="105"/>
      <c r="E562" s="20">
        <v>8500</v>
      </c>
      <c r="F562" s="92">
        <f t="shared" si="46"/>
        <v>5525</v>
      </c>
      <c r="G562" s="35">
        <f t="shared" si="47"/>
        <v>2975</v>
      </c>
      <c r="H562" s="2"/>
    </row>
    <row r="563" spans="1:8" x14ac:dyDescent="0.25">
      <c r="A563" s="44">
        <v>45299</v>
      </c>
      <c r="B563" s="45" t="s">
        <v>1163</v>
      </c>
      <c r="C563" s="45" t="s">
        <v>808</v>
      </c>
      <c r="D563" s="105"/>
      <c r="E563" s="20">
        <v>19100</v>
      </c>
      <c r="F563" s="92">
        <f t="shared" si="46"/>
        <v>12415</v>
      </c>
      <c r="G563" s="35">
        <f t="shared" si="47"/>
        <v>6685</v>
      </c>
      <c r="H563" s="2"/>
    </row>
    <row r="564" spans="1:8" x14ac:dyDescent="0.25">
      <c r="A564" s="44">
        <v>45299</v>
      </c>
      <c r="B564" s="45" t="s">
        <v>1164</v>
      </c>
      <c r="C564" s="45" t="s">
        <v>744</v>
      </c>
      <c r="D564" s="105"/>
      <c r="E564" s="20">
        <v>14500</v>
      </c>
      <c r="F564" s="92">
        <f t="shared" si="46"/>
        <v>9425</v>
      </c>
      <c r="G564" s="35">
        <f t="shared" si="47"/>
        <v>5075</v>
      </c>
      <c r="H564" s="2"/>
    </row>
    <row r="565" spans="1:8" x14ac:dyDescent="0.25">
      <c r="A565" s="44">
        <v>45300</v>
      </c>
      <c r="B565" s="45" t="s">
        <v>1165</v>
      </c>
      <c r="C565" s="45" t="s">
        <v>834</v>
      </c>
      <c r="D565" s="105"/>
      <c r="E565" s="20">
        <v>7100</v>
      </c>
      <c r="F565" s="92">
        <f t="shared" si="46"/>
        <v>4615</v>
      </c>
      <c r="G565" s="35">
        <f t="shared" si="47"/>
        <v>2485</v>
      </c>
      <c r="H565" s="2"/>
    </row>
    <row r="566" spans="1:8" x14ac:dyDescent="0.25">
      <c r="A566" s="44">
        <v>45308</v>
      </c>
      <c r="B566" s="45" t="s">
        <v>1166</v>
      </c>
      <c r="C566" s="153" t="s">
        <v>1167</v>
      </c>
      <c r="D566" s="107"/>
      <c r="E566" s="20">
        <v>11500</v>
      </c>
      <c r="F566" s="92">
        <f t="shared" si="46"/>
        <v>7475</v>
      </c>
      <c r="G566" s="35">
        <f t="shared" si="47"/>
        <v>4024.9999999999995</v>
      </c>
      <c r="H566" s="2"/>
    </row>
    <row r="567" spans="1:8" x14ac:dyDescent="0.25">
      <c r="A567" s="44">
        <v>45320</v>
      </c>
      <c r="B567" s="45" t="s">
        <v>1168</v>
      </c>
      <c r="C567" s="45" t="s">
        <v>808</v>
      </c>
      <c r="D567" s="105"/>
      <c r="E567" s="20">
        <v>19000</v>
      </c>
      <c r="F567" s="92">
        <f t="shared" si="46"/>
        <v>12350</v>
      </c>
      <c r="G567" s="35">
        <f t="shared" si="47"/>
        <v>6650</v>
      </c>
      <c r="H567" s="2"/>
    </row>
    <row r="568" spans="1:8" x14ac:dyDescent="0.25">
      <c r="A568" s="44">
        <v>45321</v>
      </c>
      <c r="B568" s="45" t="s">
        <v>1169</v>
      </c>
      <c r="C568" s="153" t="s">
        <v>1170</v>
      </c>
      <c r="D568" s="107"/>
      <c r="E568" s="20">
        <v>8500</v>
      </c>
      <c r="F568" s="92">
        <f t="shared" si="46"/>
        <v>5525</v>
      </c>
      <c r="G568" s="35">
        <f t="shared" si="47"/>
        <v>2975</v>
      </c>
      <c r="H568" s="2"/>
    </row>
    <row r="569" spans="1:8" x14ac:dyDescent="0.25">
      <c r="A569" s="44">
        <v>45309</v>
      </c>
      <c r="B569" s="45" t="s">
        <v>1171</v>
      </c>
      <c r="C569" s="153" t="s">
        <v>772</v>
      </c>
      <c r="D569" s="107"/>
      <c r="E569" s="20">
        <v>8500</v>
      </c>
      <c r="F569" s="92">
        <f t="shared" si="46"/>
        <v>5525</v>
      </c>
      <c r="G569" s="35">
        <f t="shared" si="47"/>
        <v>2975</v>
      </c>
      <c r="H569" s="2"/>
    </row>
    <row r="570" spans="1:8" x14ac:dyDescent="0.25">
      <c r="A570" s="44">
        <v>45310</v>
      </c>
      <c r="B570" s="45" t="s">
        <v>1172</v>
      </c>
      <c r="C570" s="153" t="s">
        <v>1173</v>
      </c>
      <c r="D570" s="107"/>
      <c r="E570" s="20">
        <v>10000</v>
      </c>
      <c r="F570" s="92">
        <f t="shared" si="46"/>
        <v>6500</v>
      </c>
      <c r="G570" s="35">
        <f t="shared" si="47"/>
        <v>3500</v>
      </c>
      <c r="H570" s="2"/>
    </row>
    <row r="571" spans="1:8" x14ac:dyDescent="0.25">
      <c r="E571" s="20"/>
      <c r="F571" s="151" t="s">
        <v>1162</v>
      </c>
      <c r="G571" s="35">
        <v>-2800</v>
      </c>
    </row>
    <row r="572" spans="1:8" ht="19.5" x14ac:dyDescent="0.4">
      <c r="C572" s="78" t="s">
        <v>9</v>
      </c>
      <c r="D572" s="78"/>
      <c r="E572" s="54">
        <f>SUM(E540:E571)</f>
        <v>343790</v>
      </c>
      <c r="F572" s="54">
        <f>SUM(F540:F571)</f>
        <v>223463.5</v>
      </c>
      <c r="G572" s="154">
        <f>SUM(G540:G571)</f>
        <v>117526.5</v>
      </c>
      <c r="H572" s="36">
        <v>45363</v>
      </c>
    </row>
    <row r="573" spans="1:8" ht="19.5" x14ac:dyDescent="0.4">
      <c r="C573" s="78"/>
      <c r="D573" s="78"/>
      <c r="E573" s="54"/>
      <c r="F573" s="54"/>
      <c r="G573" s="154"/>
    </row>
    <row r="574" spans="1:8" ht="19.5" x14ac:dyDescent="0.4">
      <c r="C574" s="78"/>
      <c r="D574" s="78"/>
      <c r="E574" s="54"/>
      <c r="F574" s="54"/>
      <c r="G574" s="154"/>
    </row>
    <row r="575" spans="1:8" x14ac:dyDescent="0.25">
      <c r="A575" s="44">
        <v>45119</v>
      </c>
      <c r="B575" s="45" t="s">
        <v>970</v>
      </c>
      <c r="C575" s="45" t="s">
        <v>744</v>
      </c>
      <c r="D575" s="105"/>
      <c r="E575" s="20">
        <v>10360</v>
      </c>
      <c r="F575" s="92">
        <f t="shared" ref="F575:F585" si="48">SUM(E575*0.65)</f>
        <v>6734</v>
      </c>
      <c r="G575" s="92">
        <f t="shared" ref="G575:G585" si="49">SUM(E575*0.35)</f>
        <v>3625.9999999999995</v>
      </c>
      <c r="H575" s="2"/>
    </row>
    <row r="576" spans="1:8" x14ac:dyDescent="0.25">
      <c r="A576" s="44">
        <v>45557</v>
      </c>
      <c r="B576" s="45" t="s">
        <v>1198</v>
      </c>
      <c r="C576" s="153" t="s">
        <v>772</v>
      </c>
      <c r="D576" s="107"/>
      <c r="E576" s="20">
        <v>10325</v>
      </c>
      <c r="F576" s="92">
        <f t="shared" si="48"/>
        <v>6711.25</v>
      </c>
      <c r="G576" s="92">
        <f t="shared" si="49"/>
        <v>3613.7499999999995</v>
      </c>
      <c r="H576" s="2"/>
    </row>
    <row r="577" spans="1:8" x14ac:dyDescent="0.25">
      <c r="A577" s="44">
        <v>45215</v>
      </c>
      <c r="B577" s="57" t="s">
        <v>1142</v>
      </c>
      <c r="C577" s="45" t="s">
        <v>1143</v>
      </c>
      <c r="D577" s="105"/>
      <c r="E577" s="1">
        <v>17500</v>
      </c>
      <c r="F577" s="92">
        <f t="shared" si="48"/>
        <v>11375</v>
      </c>
      <c r="G577" s="35">
        <f t="shared" si="49"/>
        <v>6125</v>
      </c>
      <c r="H577" s="2"/>
    </row>
    <row r="578" spans="1:8" x14ac:dyDescent="0.25">
      <c r="A578" s="44">
        <v>45299</v>
      </c>
      <c r="B578" s="45" t="s">
        <v>1178</v>
      </c>
      <c r="C578" s="45" t="s">
        <v>744</v>
      </c>
      <c r="D578" s="105"/>
      <c r="E578" s="1">
        <v>10000</v>
      </c>
      <c r="F578" s="92">
        <f t="shared" si="48"/>
        <v>6500</v>
      </c>
      <c r="G578" s="35">
        <f t="shared" si="49"/>
        <v>3500</v>
      </c>
    </row>
    <row r="579" spans="1:8" x14ac:dyDescent="0.25">
      <c r="A579" s="44">
        <v>45329</v>
      </c>
      <c r="B579" s="45" t="s">
        <v>1181</v>
      </c>
      <c r="C579" s="45" t="s">
        <v>780</v>
      </c>
      <c r="D579" s="105"/>
      <c r="E579" s="1">
        <v>15500</v>
      </c>
      <c r="F579" s="92">
        <f t="shared" si="48"/>
        <v>10075</v>
      </c>
      <c r="G579" s="35">
        <f t="shared" si="49"/>
        <v>5425</v>
      </c>
    </row>
    <row r="580" spans="1:8" x14ac:dyDescent="0.25">
      <c r="A580" s="44">
        <v>45341</v>
      </c>
      <c r="B580" s="45" t="s">
        <v>1184</v>
      </c>
      <c r="C580" s="45" t="s">
        <v>754</v>
      </c>
      <c r="D580" s="105"/>
      <c r="E580" s="1">
        <v>8500</v>
      </c>
      <c r="F580" s="92">
        <f t="shared" si="48"/>
        <v>5525</v>
      </c>
      <c r="G580" s="35">
        <f t="shared" si="49"/>
        <v>2975</v>
      </c>
    </row>
    <row r="581" spans="1:8" x14ac:dyDescent="0.25">
      <c r="A581" s="44">
        <v>45246</v>
      </c>
      <c r="B581" s="57" t="s">
        <v>1148</v>
      </c>
      <c r="C581" s="45" t="s">
        <v>1149</v>
      </c>
      <c r="D581" s="105"/>
      <c r="E581" s="1">
        <v>8000</v>
      </c>
      <c r="F581" s="92">
        <f t="shared" si="48"/>
        <v>5200</v>
      </c>
      <c r="G581" s="35">
        <f t="shared" si="49"/>
        <v>2800</v>
      </c>
      <c r="H581" s="2"/>
    </row>
    <row r="582" spans="1:8" x14ac:dyDescent="0.25">
      <c r="A582" s="44">
        <v>45265</v>
      </c>
      <c r="B582" s="45" t="s">
        <v>1155</v>
      </c>
      <c r="C582" s="45" t="s">
        <v>761</v>
      </c>
      <c r="D582" s="105"/>
      <c r="E582" s="1">
        <v>9500</v>
      </c>
      <c r="F582" s="92">
        <f t="shared" si="48"/>
        <v>6175</v>
      </c>
      <c r="G582" s="35">
        <f t="shared" si="49"/>
        <v>3325</v>
      </c>
      <c r="H582" s="2"/>
    </row>
    <row r="583" spans="1:8" x14ac:dyDescent="0.25">
      <c r="A583" s="44">
        <v>45273</v>
      </c>
      <c r="B583" s="45" t="s">
        <v>1157</v>
      </c>
      <c r="C583" s="45" t="s">
        <v>772</v>
      </c>
      <c r="D583" s="105"/>
      <c r="E583" s="1">
        <v>10000</v>
      </c>
      <c r="F583" s="92">
        <f t="shared" si="48"/>
        <v>6500</v>
      </c>
      <c r="G583" s="35">
        <f t="shared" si="49"/>
        <v>3500</v>
      </c>
      <c r="H583" s="2"/>
    </row>
    <row r="584" spans="1:8" x14ac:dyDescent="0.25">
      <c r="A584" s="44">
        <v>45385</v>
      </c>
      <c r="B584" s="45" t="s">
        <v>1199</v>
      </c>
      <c r="C584" s="45" t="s">
        <v>790</v>
      </c>
      <c r="D584" s="105"/>
      <c r="E584" s="155">
        <v>10000</v>
      </c>
      <c r="F584" s="92">
        <f t="shared" si="48"/>
        <v>6500</v>
      </c>
      <c r="G584" s="92">
        <f t="shared" si="49"/>
        <v>3500</v>
      </c>
    </row>
    <row r="585" spans="1:8" x14ac:dyDescent="0.25">
      <c r="A585" s="44">
        <v>45406</v>
      </c>
      <c r="B585" s="45" t="s">
        <v>1204</v>
      </c>
      <c r="C585" s="45" t="s">
        <v>790</v>
      </c>
      <c r="D585" s="105"/>
      <c r="E585" s="20">
        <v>7500</v>
      </c>
      <c r="F585" s="92">
        <f t="shared" si="48"/>
        <v>4875</v>
      </c>
      <c r="G585" s="35">
        <f t="shared" si="49"/>
        <v>2625</v>
      </c>
    </row>
    <row r="586" spans="1:8" ht="19.5" x14ac:dyDescent="0.4">
      <c r="C586" s="78" t="s">
        <v>9</v>
      </c>
      <c r="D586" s="78"/>
      <c r="E586" s="54">
        <f>SUM(E575:E585)</f>
        <v>117185</v>
      </c>
      <c r="F586" s="54">
        <f>SUM(F575:F585)</f>
        <v>76170.25</v>
      </c>
      <c r="G586" s="154">
        <f>SUM(G575:G585)</f>
        <v>41014.75</v>
      </c>
      <c r="H586" s="36">
        <v>45426</v>
      </c>
    </row>
    <row r="588" spans="1:8" x14ac:dyDescent="0.25">
      <c r="A588" s="44">
        <v>45169</v>
      </c>
      <c r="B588" s="45" t="s">
        <v>1103</v>
      </c>
      <c r="C588" s="45" t="s">
        <v>744</v>
      </c>
      <c r="D588" s="105"/>
      <c r="E588" s="1">
        <v>10960</v>
      </c>
      <c r="F588" s="92">
        <f t="shared" ref="F588:F602" si="50">SUM(E588*0.65)</f>
        <v>7124</v>
      </c>
      <c r="G588" s="92">
        <f t="shared" ref="G588:G602" si="51">SUM(E588*0.35)</f>
        <v>3835.9999999999995</v>
      </c>
      <c r="H588" s="2"/>
    </row>
    <row r="589" spans="1:8" x14ac:dyDescent="0.25">
      <c r="A589" s="44">
        <v>45211</v>
      </c>
      <c r="B589" s="57" t="s">
        <v>1117</v>
      </c>
      <c r="C589" s="45" t="s">
        <v>744</v>
      </c>
      <c r="D589" s="105"/>
      <c r="E589" s="1">
        <v>16100</v>
      </c>
      <c r="F589" s="92">
        <f t="shared" si="50"/>
        <v>10465</v>
      </c>
      <c r="G589" s="35">
        <f t="shared" si="51"/>
        <v>5635</v>
      </c>
      <c r="H589" s="2"/>
    </row>
    <row r="590" spans="1:8" x14ac:dyDescent="0.25">
      <c r="A590" s="44">
        <v>45240</v>
      </c>
      <c r="B590" s="57" t="s">
        <v>1145</v>
      </c>
      <c r="C590" s="45" t="s">
        <v>744</v>
      </c>
      <c r="D590" s="105"/>
      <c r="E590" s="1">
        <v>41000</v>
      </c>
      <c r="F590" s="92">
        <f t="shared" si="50"/>
        <v>26650</v>
      </c>
      <c r="G590" s="35">
        <f t="shared" si="51"/>
        <v>14349.999999999998</v>
      </c>
      <c r="H590" s="2"/>
    </row>
    <row r="591" spans="1:8" x14ac:dyDescent="0.25">
      <c r="A591" s="44">
        <v>45366</v>
      </c>
      <c r="B591" s="50" t="s">
        <v>1191</v>
      </c>
      <c r="C591" s="45" t="s">
        <v>772</v>
      </c>
      <c r="D591" s="105"/>
      <c r="E591" s="155">
        <v>8500</v>
      </c>
      <c r="F591" s="92">
        <f t="shared" si="50"/>
        <v>5525</v>
      </c>
      <c r="G591" s="92">
        <f t="shared" si="51"/>
        <v>2975</v>
      </c>
    </row>
    <row r="592" spans="1:8" x14ac:dyDescent="0.25">
      <c r="A592" s="44">
        <v>45293</v>
      </c>
      <c r="B592" s="45" t="s">
        <v>1174</v>
      </c>
      <c r="C592" s="45" t="s">
        <v>790</v>
      </c>
      <c r="D592" s="105"/>
      <c r="E592" s="155">
        <v>11500</v>
      </c>
      <c r="F592" s="92">
        <f t="shared" si="50"/>
        <v>7475</v>
      </c>
      <c r="G592" s="92">
        <f t="shared" si="51"/>
        <v>4024.9999999999995</v>
      </c>
    </row>
    <row r="593" spans="1:8" x14ac:dyDescent="0.25">
      <c r="A593" s="44">
        <v>45355</v>
      </c>
      <c r="B593" s="45" t="s">
        <v>1185</v>
      </c>
      <c r="C593" s="45" t="s">
        <v>778</v>
      </c>
      <c r="D593" s="105"/>
      <c r="E593" s="155">
        <v>8500</v>
      </c>
      <c r="F593" s="92">
        <f t="shared" si="50"/>
        <v>5525</v>
      </c>
      <c r="G593" s="92">
        <f t="shared" si="51"/>
        <v>2975</v>
      </c>
    </row>
    <row r="594" spans="1:8" x14ac:dyDescent="0.25">
      <c r="A594" s="44">
        <v>45355</v>
      </c>
      <c r="B594" s="45" t="s">
        <v>1186</v>
      </c>
      <c r="C594" s="45" t="s">
        <v>772</v>
      </c>
      <c r="D594" s="105"/>
      <c r="E594" s="155">
        <v>8500</v>
      </c>
      <c r="F594" s="92">
        <f t="shared" si="50"/>
        <v>5525</v>
      </c>
      <c r="G594" s="92">
        <f t="shared" si="51"/>
        <v>2975</v>
      </c>
    </row>
    <row r="595" spans="1:8" x14ac:dyDescent="0.25">
      <c r="A595" s="44">
        <v>45357</v>
      </c>
      <c r="B595" s="50" t="s">
        <v>1187</v>
      </c>
      <c r="C595" s="45" t="s">
        <v>848</v>
      </c>
      <c r="D595" s="105"/>
      <c r="E595" s="155">
        <v>9000</v>
      </c>
      <c r="F595" s="92">
        <f t="shared" si="50"/>
        <v>5850</v>
      </c>
      <c r="G595" s="92">
        <f t="shared" si="51"/>
        <v>3150</v>
      </c>
    </row>
    <row r="596" spans="1:8" x14ac:dyDescent="0.25">
      <c r="A596" s="44">
        <v>45362</v>
      </c>
      <c r="B596" s="50" t="s">
        <v>1189</v>
      </c>
      <c r="C596" s="45" t="s">
        <v>1190</v>
      </c>
      <c r="D596" s="105"/>
      <c r="E596" s="155">
        <v>8000</v>
      </c>
      <c r="F596" s="92">
        <f t="shared" si="50"/>
        <v>5200</v>
      </c>
      <c r="G596" s="92">
        <f t="shared" si="51"/>
        <v>2800</v>
      </c>
    </row>
    <row r="597" spans="1:8" x14ac:dyDescent="0.25">
      <c r="A597" s="44">
        <v>45366</v>
      </c>
      <c r="B597" s="50" t="s">
        <v>1192</v>
      </c>
      <c r="C597" s="45" t="s">
        <v>772</v>
      </c>
      <c r="D597" s="105"/>
      <c r="E597" s="155">
        <v>8500</v>
      </c>
      <c r="F597" s="92">
        <f t="shared" si="50"/>
        <v>5525</v>
      </c>
      <c r="G597" s="92">
        <f t="shared" si="51"/>
        <v>2975</v>
      </c>
    </row>
    <row r="598" spans="1:8" x14ac:dyDescent="0.25">
      <c r="A598" s="44">
        <v>45369</v>
      </c>
      <c r="B598" s="50" t="s">
        <v>1193</v>
      </c>
      <c r="C598" s="45" t="s">
        <v>778</v>
      </c>
      <c r="D598" s="105"/>
      <c r="E598" s="155">
        <v>8500</v>
      </c>
      <c r="F598" s="92">
        <f t="shared" si="50"/>
        <v>5525</v>
      </c>
      <c r="G598" s="92">
        <f t="shared" si="51"/>
        <v>2975</v>
      </c>
    </row>
    <row r="599" spans="1:8" x14ac:dyDescent="0.25">
      <c r="A599" s="44">
        <v>45394</v>
      </c>
      <c r="B599" s="45" t="s">
        <v>1201</v>
      </c>
      <c r="C599" s="45" t="s">
        <v>808</v>
      </c>
      <c r="D599" s="105"/>
      <c r="E599" s="155">
        <v>8500</v>
      </c>
      <c r="F599" s="92">
        <f t="shared" si="50"/>
        <v>5525</v>
      </c>
      <c r="G599" s="92">
        <f t="shared" si="51"/>
        <v>2975</v>
      </c>
    </row>
    <row r="600" spans="1:8" x14ac:dyDescent="0.25">
      <c r="A600" s="44">
        <v>45386</v>
      </c>
      <c r="B600" s="45" t="s">
        <v>1202</v>
      </c>
      <c r="C600" s="45" t="s">
        <v>976</v>
      </c>
      <c r="D600" s="105"/>
      <c r="E600" s="20">
        <v>14500</v>
      </c>
      <c r="F600" s="92">
        <f t="shared" si="50"/>
        <v>9425</v>
      </c>
      <c r="G600" s="35">
        <f t="shared" si="51"/>
        <v>5075</v>
      </c>
    </row>
    <row r="601" spans="1:8" x14ac:dyDescent="0.25">
      <c r="A601" s="44">
        <v>45418</v>
      </c>
      <c r="B601" s="45" t="s">
        <v>1207</v>
      </c>
      <c r="C601" s="45" t="s">
        <v>778</v>
      </c>
      <c r="D601" s="105"/>
      <c r="E601" s="1">
        <v>17000</v>
      </c>
      <c r="F601" s="92">
        <f t="shared" si="50"/>
        <v>11050</v>
      </c>
      <c r="G601" s="35">
        <f t="shared" si="51"/>
        <v>5950</v>
      </c>
    </row>
    <row r="602" spans="1:8" x14ac:dyDescent="0.25">
      <c r="A602" s="44">
        <v>45421</v>
      </c>
      <c r="B602" s="45" t="s">
        <v>1213</v>
      </c>
      <c r="C602" s="45" t="s">
        <v>780</v>
      </c>
      <c r="D602" s="105"/>
      <c r="E602" s="20">
        <v>8500</v>
      </c>
      <c r="F602" s="92">
        <f t="shared" si="50"/>
        <v>5525</v>
      </c>
      <c r="G602" s="35">
        <f t="shared" si="51"/>
        <v>2975</v>
      </c>
    </row>
    <row r="603" spans="1:8" x14ac:dyDescent="0.25">
      <c r="F603" s="151" t="s">
        <v>1206</v>
      </c>
      <c r="G603" s="35">
        <v>-2975</v>
      </c>
    </row>
    <row r="604" spans="1:8" ht="19.5" x14ac:dyDescent="0.4">
      <c r="A604" s="95"/>
      <c r="B604" s="105"/>
      <c r="C604" s="78" t="s">
        <v>9</v>
      </c>
      <c r="D604" s="78"/>
      <c r="E604" s="54">
        <f>SUM(E588:E602)</f>
        <v>187560</v>
      </c>
      <c r="F604" s="54">
        <f>SUM(F588:F602)</f>
        <v>121914</v>
      </c>
      <c r="G604" s="154">
        <f>SUM(G588:G603)</f>
        <v>62671</v>
      </c>
      <c r="H604" s="36">
        <v>45464</v>
      </c>
    </row>
    <row r="606" spans="1:8" x14ac:dyDescent="0.25">
      <c r="A606" s="44">
        <v>44993</v>
      </c>
      <c r="B606" s="45" t="s">
        <v>901</v>
      </c>
      <c r="C606" s="45" t="s">
        <v>902</v>
      </c>
      <c r="D606" s="105"/>
      <c r="E606" s="20">
        <v>4000</v>
      </c>
      <c r="F606" s="92">
        <f t="shared" ref="F606:F624" si="52">SUM(E606*0.65)</f>
        <v>2600</v>
      </c>
      <c r="G606" s="92">
        <f t="shared" ref="G606:G624" si="53">SUM(E606*0.35)</f>
        <v>1400</v>
      </c>
      <c r="H606" s="74"/>
    </row>
    <row r="607" spans="1:8" x14ac:dyDescent="0.25">
      <c r="A607" s="44">
        <v>45212</v>
      </c>
      <c r="B607" s="156" t="s">
        <v>1141</v>
      </c>
      <c r="C607" s="45" t="s">
        <v>1134</v>
      </c>
      <c r="D607" s="105"/>
      <c r="E607" s="1">
        <v>8500</v>
      </c>
      <c r="F607" s="92">
        <f t="shared" si="52"/>
        <v>5525</v>
      </c>
      <c r="G607" s="35">
        <f t="shared" si="53"/>
        <v>2975</v>
      </c>
      <c r="H607" s="2"/>
    </row>
    <row r="608" spans="1:8" x14ac:dyDescent="0.25">
      <c r="A608" s="44">
        <v>45246</v>
      </c>
      <c r="B608" s="156" t="s">
        <v>1152</v>
      </c>
      <c r="C608" s="45" t="s">
        <v>1153</v>
      </c>
      <c r="D608" s="105"/>
      <c r="E608" s="1">
        <v>8500</v>
      </c>
      <c r="F608" s="92">
        <f t="shared" si="52"/>
        <v>5525</v>
      </c>
      <c r="G608" s="35">
        <f t="shared" si="53"/>
        <v>2975</v>
      </c>
      <c r="H608" s="2"/>
    </row>
    <row r="609" spans="1:8" x14ac:dyDescent="0.25">
      <c r="A609" s="44">
        <v>45253</v>
      </c>
      <c r="B609" s="156" t="s">
        <v>1154</v>
      </c>
      <c r="C609" s="45" t="s">
        <v>787</v>
      </c>
      <c r="D609" s="105"/>
      <c r="E609" s="1">
        <v>9500</v>
      </c>
      <c r="F609" s="92">
        <f t="shared" si="52"/>
        <v>6175</v>
      </c>
      <c r="G609" s="35">
        <f t="shared" si="53"/>
        <v>3325</v>
      </c>
      <c r="H609" s="2"/>
    </row>
    <row r="610" spans="1:8" x14ac:dyDescent="0.25">
      <c r="A610" s="44">
        <v>45645</v>
      </c>
      <c r="B610" s="45" t="s">
        <v>1205</v>
      </c>
      <c r="C610" s="45" t="s">
        <v>1159</v>
      </c>
      <c r="D610" s="105"/>
      <c r="E610" s="1">
        <v>10000</v>
      </c>
      <c r="F610" s="92">
        <f t="shared" si="52"/>
        <v>6500</v>
      </c>
      <c r="G610" s="35">
        <f t="shared" si="53"/>
        <v>3500</v>
      </c>
      <c r="H610" s="2"/>
    </row>
    <row r="611" spans="1:8" x14ac:dyDescent="0.25">
      <c r="A611" s="44">
        <v>45329</v>
      </c>
      <c r="B611" s="45" t="s">
        <v>1182</v>
      </c>
      <c r="C611" s="45" t="s">
        <v>772</v>
      </c>
      <c r="D611" s="105"/>
      <c r="E611" s="155">
        <v>9100</v>
      </c>
      <c r="F611" s="92">
        <f t="shared" si="52"/>
        <v>5915</v>
      </c>
      <c r="G611" s="92">
        <f t="shared" si="53"/>
        <v>3185</v>
      </c>
    </row>
    <row r="612" spans="1:8" x14ac:dyDescent="0.25">
      <c r="A612" s="44">
        <v>45336</v>
      </c>
      <c r="B612" s="156" t="s">
        <v>1180</v>
      </c>
      <c r="C612" s="45" t="s">
        <v>774</v>
      </c>
      <c r="D612" s="105"/>
      <c r="E612" s="155">
        <v>6000</v>
      </c>
      <c r="F612" s="92">
        <f t="shared" si="52"/>
        <v>3900</v>
      </c>
      <c r="G612" s="92">
        <f t="shared" si="53"/>
        <v>2100</v>
      </c>
    </row>
    <row r="613" spans="1:8" x14ac:dyDescent="0.25">
      <c r="A613" s="44">
        <v>45357</v>
      </c>
      <c r="B613" s="157" t="s">
        <v>1188</v>
      </c>
      <c r="C613" s="45" t="s">
        <v>778</v>
      </c>
      <c r="D613" s="105"/>
      <c r="E613" s="155">
        <v>9500</v>
      </c>
      <c r="F613" s="92">
        <f t="shared" si="52"/>
        <v>6175</v>
      </c>
      <c r="G613" s="92">
        <f t="shared" si="53"/>
        <v>3325</v>
      </c>
    </row>
    <row r="614" spans="1:8" x14ac:dyDescent="0.25">
      <c r="A614" s="44">
        <v>45352</v>
      </c>
      <c r="B614" s="45" t="s">
        <v>1194</v>
      </c>
      <c r="C614" s="45" t="s">
        <v>787</v>
      </c>
      <c r="D614" s="105"/>
      <c r="E614" s="155">
        <v>10500</v>
      </c>
      <c r="F614" s="92">
        <f t="shared" si="52"/>
        <v>6825</v>
      </c>
      <c r="G614" s="92">
        <f t="shared" si="53"/>
        <v>3674.9999999999995</v>
      </c>
    </row>
    <row r="615" spans="1:8" x14ac:dyDescent="0.25">
      <c r="A615" s="44">
        <v>45362</v>
      </c>
      <c r="B615" s="45" t="s">
        <v>1195</v>
      </c>
      <c r="C615" s="45" t="s">
        <v>787</v>
      </c>
      <c r="D615" s="105"/>
      <c r="E615" s="155">
        <v>9500</v>
      </c>
      <c r="F615" s="92">
        <f t="shared" si="52"/>
        <v>6175</v>
      </c>
      <c r="G615" s="92">
        <f t="shared" si="53"/>
        <v>3325</v>
      </c>
    </row>
    <row r="616" spans="1:8" x14ac:dyDescent="0.25">
      <c r="A616" s="44">
        <v>45394</v>
      </c>
      <c r="B616" s="45" t="s">
        <v>1200</v>
      </c>
      <c r="C616" s="45" t="s">
        <v>765</v>
      </c>
      <c r="D616" s="105"/>
      <c r="E616" s="155">
        <v>8500</v>
      </c>
      <c r="F616" s="92">
        <f t="shared" si="52"/>
        <v>5525</v>
      </c>
      <c r="G616" s="92">
        <f t="shared" si="53"/>
        <v>2975</v>
      </c>
    </row>
    <row r="617" spans="1:8" x14ac:dyDescent="0.25">
      <c r="A617" s="44">
        <v>45421</v>
      </c>
      <c r="B617" s="45" t="s">
        <v>1214</v>
      </c>
      <c r="C617" s="45" t="s">
        <v>780</v>
      </c>
      <c r="D617" s="105"/>
      <c r="E617" s="20">
        <v>8500</v>
      </c>
      <c r="F617" s="92">
        <f t="shared" si="52"/>
        <v>5525</v>
      </c>
      <c r="G617" s="35">
        <f t="shared" si="53"/>
        <v>2975</v>
      </c>
    </row>
    <row r="618" spans="1:8" x14ac:dyDescent="0.25">
      <c r="A618" s="44">
        <v>45421</v>
      </c>
      <c r="B618" s="45" t="s">
        <v>1210</v>
      </c>
      <c r="C618" s="45" t="s">
        <v>772</v>
      </c>
      <c r="D618" s="105"/>
      <c r="E618" s="20">
        <v>10000</v>
      </c>
      <c r="F618" s="92">
        <f t="shared" si="52"/>
        <v>6500</v>
      </c>
      <c r="G618" s="35">
        <f t="shared" si="53"/>
        <v>3500</v>
      </c>
    </row>
    <row r="619" spans="1:8" x14ac:dyDescent="0.25">
      <c r="A619" s="44">
        <v>45421</v>
      </c>
      <c r="B619" s="45" t="s">
        <v>1211</v>
      </c>
      <c r="C619" s="45" t="s">
        <v>761</v>
      </c>
      <c r="D619" s="105"/>
      <c r="E619" s="20">
        <v>8500</v>
      </c>
      <c r="F619" s="92">
        <f t="shared" si="52"/>
        <v>5525</v>
      </c>
      <c r="G619" s="35">
        <f t="shared" si="53"/>
        <v>2975</v>
      </c>
    </row>
    <row r="620" spans="1:8" x14ac:dyDescent="0.25">
      <c r="A620" s="44">
        <v>45433</v>
      </c>
      <c r="B620" s="45" t="s">
        <v>1216</v>
      </c>
      <c r="C620" s="45" t="s">
        <v>744</v>
      </c>
      <c r="D620" s="105"/>
      <c r="E620" s="20">
        <v>16900</v>
      </c>
      <c r="F620" s="92">
        <f t="shared" si="52"/>
        <v>10985</v>
      </c>
      <c r="G620" s="35">
        <f t="shared" si="53"/>
        <v>5915</v>
      </c>
    </row>
    <row r="621" spans="1:8" x14ac:dyDescent="0.25">
      <c r="A621" s="44">
        <v>45447</v>
      </c>
      <c r="B621" s="45" t="s">
        <v>1217</v>
      </c>
      <c r="C621" s="45" t="s">
        <v>772</v>
      </c>
      <c r="D621" s="105"/>
      <c r="E621" s="20">
        <v>9000</v>
      </c>
      <c r="F621" s="92">
        <f t="shared" si="52"/>
        <v>5850</v>
      </c>
      <c r="G621" s="35">
        <f t="shared" si="53"/>
        <v>3150</v>
      </c>
    </row>
    <row r="622" spans="1:8" x14ac:dyDescent="0.25">
      <c r="A622" s="44">
        <v>45457</v>
      </c>
      <c r="B622" s="45" t="s">
        <v>1226</v>
      </c>
      <c r="C622" s="45" t="s">
        <v>744</v>
      </c>
      <c r="D622" s="105"/>
      <c r="E622" s="1">
        <v>9000</v>
      </c>
      <c r="F622" s="92">
        <f t="shared" si="52"/>
        <v>5850</v>
      </c>
      <c r="G622" s="35">
        <f t="shared" si="53"/>
        <v>3150</v>
      </c>
    </row>
    <row r="623" spans="1:8" x14ac:dyDescent="0.25">
      <c r="A623" s="44">
        <v>45463</v>
      </c>
      <c r="B623" s="45" t="s">
        <v>1227</v>
      </c>
      <c r="C623" s="45" t="s">
        <v>744</v>
      </c>
      <c r="D623" s="105"/>
      <c r="E623" s="1">
        <v>10500</v>
      </c>
      <c r="F623" s="92">
        <f t="shared" si="52"/>
        <v>6825</v>
      </c>
      <c r="G623" s="35">
        <f t="shared" si="53"/>
        <v>3674.9999999999995</v>
      </c>
    </row>
    <row r="624" spans="1:8" x14ac:dyDescent="0.25">
      <c r="A624" s="44">
        <v>45463</v>
      </c>
      <c r="B624" s="45" t="s">
        <v>1228</v>
      </c>
      <c r="C624" s="45" t="s">
        <v>808</v>
      </c>
      <c r="D624" s="105"/>
      <c r="E624" s="1">
        <v>8000</v>
      </c>
      <c r="F624" s="92">
        <f t="shared" si="52"/>
        <v>5200</v>
      </c>
      <c r="G624" s="35">
        <f t="shared" si="53"/>
        <v>2800</v>
      </c>
    </row>
    <row r="625" spans="1:8" ht="19.5" x14ac:dyDescent="0.4">
      <c r="C625" s="78" t="s">
        <v>9</v>
      </c>
      <c r="D625" s="78"/>
      <c r="E625" s="54">
        <f>SUM(E606:E624)</f>
        <v>174000</v>
      </c>
      <c r="F625" s="54">
        <f>SUM(F606:F624)</f>
        <v>113100</v>
      </c>
      <c r="G625" s="154">
        <f>SUM(G606:G624)</f>
        <v>60900</v>
      </c>
      <c r="H625" s="36">
        <v>45504</v>
      </c>
    </row>
    <row r="627" spans="1:8" x14ac:dyDescent="0.25">
      <c r="A627" s="44">
        <v>45406</v>
      </c>
      <c r="B627" s="45" t="s">
        <v>1242</v>
      </c>
      <c r="C627" s="45" t="s">
        <v>808</v>
      </c>
      <c r="D627" s="105"/>
      <c r="E627" s="155">
        <v>8000</v>
      </c>
      <c r="F627" s="92">
        <f>SUM(E627*0.65)</f>
        <v>5200</v>
      </c>
      <c r="G627" s="35">
        <f>SUM(E627*0.35)</f>
        <v>2800</v>
      </c>
    </row>
    <row r="628" spans="1:8" x14ac:dyDescent="0.25">
      <c r="A628" s="44">
        <v>45421</v>
      </c>
      <c r="B628" s="45" t="s">
        <v>1212</v>
      </c>
      <c r="C628" s="45" t="s">
        <v>780</v>
      </c>
      <c r="D628" s="105"/>
      <c r="E628" s="20">
        <v>8500</v>
      </c>
      <c r="F628" s="92">
        <f t="shared" ref="F628:F637" si="54">SUM(E628*0.65)</f>
        <v>5525</v>
      </c>
      <c r="G628" s="35">
        <f t="shared" ref="G628:G637" si="55">SUM(E628*0.35)</f>
        <v>2975</v>
      </c>
    </row>
    <row r="629" spans="1:8" x14ac:dyDescent="0.25">
      <c r="A629" s="44">
        <v>45425</v>
      </c>
      <c r="B629" s="45" t="s">
        <v>1215</v>
      </c>
      <c r="C629" s="45" t="s">
        <v>744</v>
      </c>
      <c r="D629" s="105"/>
      <c r="E629" s="20">
        <v>8500</v>
      </c>
      <c r="F629" s="92">
        <f t="shared" si="54"/>
        <v>5525</v>
      </c>
      <c r="G629" s="35">
        <f t="shared" si="55"/>
        <v>2975</v>
      </c>
    </row>
    <row r="630" spans="1:8" x14ac:dyDescent="0.25">
      <c r="A630" s="44">
        <v>45449</v>
      </c>
      <c r="B630" s="45" t="s">
        <v>1218</v>
      </c>
      <c r="C630" s="45" t="s">
        <v>772</v>
      </c>
      <c r="D630" s="105"/>
      <c r="E630" s="20">
        <v>8500</v>
      </c>
      <c r="F630" s="92">
        <f t="shared" si="54"/>
        <v>5525</v>
      </c>
      <c r="G630" s="35">
        <f t="shared" si="55"/>
        <v>2975</v>
      </c>
    </row>
    <row r="631" spans="1:8" x14ac:dyDescent="0.25">
      <c r="A631" s="44">
        <v>45453</v>
      </c>
      <c r="B631" s="45" t="s">
        <v>1225</v>
      </c>
      <c r="C631" s="45" t="s">
        <v>780</v>
      </c>
      <c r="D631" s="105"/>
      <c r="E631" s="1">
        <v>8500</v>
      </c>
      <c r="F631" s="92">
        <f t="shared" si="54"/>
        <v>5525</v>
      </c>
      <c r="G631" s="35">
        <f t="shared" si="55"/>
        <v>2975</v>
      </c>
    </row>
    <row r="632" spans="1:8" x14ac:dyDescent="0.25">
      <c r="A632" s="44">
        <v>45456</v>
      </c>
      <c r="B632" s="45" t="s">
        <v>1220</v>
      </c>
      <c r="C632" s="45" t="s">
        <v>772</v>
      </c>
      <c r="D632" s="105"/>
      <c r="E632" s="20">
        <v>8500</v>
      </c>
      <c r="F632" s="92">
        <f>SUM(E632*0.65)</f>
        <v>5525</v>
      </c>
      <c r="G632" s="35">
        <f>SUM(E632*0.35)</f>
        <v>2975</v>
      </c>
    </row>
    <row r="633" spans="1:8" x14ac:dyDescent="0.25">
      <c r="A633" s="44">
        <v>45462</v>
      </c>
      <c r="B633" s="45" t="s">
        <v>1221</v>
      </c>
      <c r="C633" s="45" t="s">
        <v>834</v>
      </c>
      <c r="D633" s="105"/>
      <c r="E633" s="20">
        <v>8500</v>
      </c>
      <c r="F633" s="92">
        <f t="shared" si="54"/>
        <v>5525</v>
      </c>
      <c r="G633" s="35">
        <f t="shared" si="55"/>
        <v>2975</v>
      </c>
    </row>
    <row r="634" spans="1:8" x14ac:dyDescent="0.25">
      <c r="A634" s="44">
        <v>45462</v>
      </c>
      <c r="B634" s="45" t="s">
        <v>1222</v>
      </c>
      <c r="C634" s="45" t="s">
        <v>834</v>
      </c>
      <c r="D634" s="105"/>
      <c r="E634" s="20">
        <v>8500</v>
      </c>
      <c r="F634" s="92">
        <f t="shared" si="54"/>
        <v>5525</v>
      </c>
      <c r="G634" s="35">
        <f t="shared" si="55"/>
        <v>2975</v>
      </c>
    </row>
    <row r="635" spans="1:8" x14ac:dyDescent="0.25">
      <c r="A635" s="44">
        <v>45462</v>
      </c>
      <c r="B635" s="45" t="s">
        <v>1223</v>
      </c>
      <c r="C635" s="45" t="s">
        <v>834</v>
      </c>
      <c r="D635" s="105"/>
      <c r="E635" s="20">
        <v>8500</v>
      </c>
      <c r="F635" s="92">
        <f t="shared" si="54"/>
        <v>5525</v>
      </c>
      <c r="G635" s="35">
        <f t="shared" si="55"/>
        <v>2975</v>
      </c>
    </row>
    <row r="636" spans="1:8" x14ac:dyDescent="0.25">
      <c r="A636" s="44">
        <v>45476</v>
      </c>
      <c r="B636" s="44" t="s">
        <v>1230</v>
      </c>
      <c r="C636" s="45" t="s">
        <v>808</v>
      </c>
      <c r="D636" s="105"/>
      <c r="E636" s="1">
        <v>11100</v>
      </c>
      <c r="F636" s="92">
        <f t="shared" si="54"/>
        <v>7215</v>
      </c>
      <c r="G636" s="35">
        <f t="shared" si="55"/>
        <v>3884.9999999999995</v>
      </c>
    </row>
    <row r="637" spans="1:8" x14ac:dyDescent="0.25">
      <c r="A637" s="44">
        <v>45483</v>
      </c>
      <c r="B637" s="45" t="s">
        <v>1238</v>
      </c>
      <c r="C637" s="45" t="s">
        <v>1239</v>
      </c>
      <c r="D637" s="105"/>
      <c r="E637" s="1">
        <v>8500</v>
      </c>
      <c r="F637" s="92">
        <f t="shared" si="54"/>
        <v>5525</v>
      </c>
      <c r="G637" s="35">
        <f t="shared" si="55"/>
        <v>2975</v>
      </c>
    </row>
    <row r="638" spans="1:8" x14ac:dyDescent="0.25">
      <c r="A638" s="44">
        <v>45524</v>
      </c>
      <c r="B638" s="46" t="s">
        <v>1243</v>
      </c>
      <c r="C638" s="80" t="s">
        <v>1253</v>
      </c>
      <c r="D638" s="94"/>
      <c r="F638" s="92"/>
      <c r="G638" s="35">
        <v>8925</v>
      </c>
    </row>
    <row r="639" spans="1:8" x14ac:dyDescent="0.25">
      <c r="A639" s="44">
        <v>45524</v>
      </c>
      <c r="B639" s="46" t="s">
        <v>1244</v>
      </c>
      <c r="C639" s="80" t="s">
        <v>1253</v>
      </c>
      <c r="D639" s="94"/>
      <c r="F639" s="92"/>
      <c r="G639" s="35">
        <v>2100</v>
      </c>
    </row>
    <row r="640" spans="1:8" x14ac:dyDescent="0.25">
      <c r="A640" s="44">
        <v>45526</v>
      </c>
      <c r="B640" s="46" t="s">
        <v>1245</v>
      </c>
      <c r="C640" s="80" t="s">
        <v>1254</v>
      </c>
      <c r="D640" s="94"/>
      <c r="F640" s="92"/>
      <c r="G640" s="35">
        <v>2562.5</v>
      </c>
    </row>
    <row r="641" spans="1:8" x14ac:dyDescent="0.25">
      <c r="A641" s="44">
        <v>45526</v>
      </c>
      <c r="B641" s="46" t="s">
        <v>1246</v>
      </c>
      <c r="C641" s="80" t="s">
        <v>1254</v>
      </c>
      <c r="D641" s="94"/>
      <c r="F641" s="92"/>
      <c r="G641" s="35">
        <v>2100</v>
      </c>
    </row>
    <row r="642" spans="1:8" ht="19.5" x14ac:dyDescent="0.4">
      <c r="C642" s="78" t="s">
        <v>9</v>
      </c>
      <c r="D642" s="78"/>
      <c r="E642" s="54">
        <f>SUM(E627:E637)</f>
        <v>95600</v>
      </c>
      <c r="F642" s="54">
        <f>SUM(F627:F637)</f>
        <v>62140</v>
      </c>
      <c r="G642" s="154">
        <f>SUM(G627:G641)</f>
        <v>49147.5</v>
      </c>
      <c r="H642" s="36">
        <v>45546</v>
      </c>
    </row>
    <row r="644" spans="1:8" x14ac:dyDescent="0.25">
      <c r="A644" s="44">
        <v>45304</v>
      </c>
      <c r="B644" s="45" t="s">
        <v>1175</v>
      </c>
      <c r="C644" s="45" t="s">
        <v>765</v>
      </c>
      <c r="D644" s="105"/>
      <c r="E644" s="155">
        <v>10500</v>
      </c>
      <c r="F644" s="92">
        <f t="shared" ref="F644:F649" si="56">SUM(E644*0.65)</f>
        <v>6825</v>
      </c>
      <c r="G644" s="92">
        <f t="shared" ref="G644:G649" si="57">SUM(E644*0.35)</f>
        <v>3674.9999999999995</v>
      </c>
    </row>
    <row r="645" spans="1:8" x14ac:dyDescent="0.25">
      <c r="A645" s="93">
        <v>45376</v>
      </c>
      <c r="B645" s="45" t="s">
        <v>1197</v>
      </c>
      <c r="C645" s="45" t="s">
        <v>752</v>
      </c>
      <c r="D645" s="105"/>
      <c r="E645" s="155">
        <v>5100</v>
      </c>
      <c r="F645" s="92">
        <f t="shared" si="56"/>
        <v>3315</v>
      </c>
      <c r="G645" s="92">
        <f t="shared" si="57"/>
        <v>1785</v>
      </c>
    </row>
    <row r="646" spans="1:8" x14ac:dyDescent="0.25">
      <c r="A646" s="44">
        <v>45456</v>
      </c>
      <c r="B646" s="45" t="s">
        <v>1219</v>
      </c>
      <c r="C646" s="45" t="s">
        <v>772</v>
      </c>
      <c r="D646" s="105"/>
      <c r="E646" s="20">
        <v>8500</v>
      </c>
      <c r="F646" s="92">
        <f t="shared" si="56"/>
        <v>5525</v>
      </c>
      <c r="G646" s="86">
        <f t="shared" si="57"/>
        <v>2975</v>
      </c>
    </row>
    <row r="647" spans="1:8" x14ac:dyDescent="0.25">
      <c r="A647" s="44">
        <v>45484</v>
      </c>
      <c r="B647" s="45" t="s">
        <v>1240</v>
      </c>
      <c r="C647" s="45" t="s">
        <v>744</v>
      </c>
      <c r="D647" s="105"/>
      <c r="E647" s="1">
        <v>8500</v>
      </c>
      <c r="F647" s="92">
        <f t="shared" si="56"/>
        <v>5525</v>
      </c>
      <c r="G647" s="86">
        <f t="shared" si="57"/>
        <v>2975</v>
      </c>
    </row>
    <row r="648" spans="1:8" x14ac:dyDescent="0.25">
      <c r="A648" s="44">
        <v>45490</v>
      </c>
      <c r="B648" s="45" t="s">
        <v>1232</v>
      </c>
      <c r="C648" s="45" t="s">
        <v>772</v>
      </c>
      <c r="D648" s="105"/>
      <c r="E648" s="1">
        <v>8000</v>
      </c>
      <c r="F648" s="92">
        <f t="shared" si="56"/>
        <v>5200</v>
      </c>
      <c r="G648" s="35">
        <f t="shared" si="57"/>
        <v>2800</v>
      </c>
    </row>
    <row r="649" spans="1:8" x14ac:dyDescent="0.25">
      <c r="A649" s="44">
        <v>45135</v>
      </c>
      <c r="B649" s="45" t="s">
        <v>974</v>
      </c>
      <c r="C649" s="45" t="s">
        <v>763</v>
      </c>
      <c r="D649" s="105"/>
      <c r="E649" s="20">
        <v>6500</v>
      </c>
      <c r="F649" s="92">
        <f t="shared" si="56"/>
        <v>4225</v>
      </c>
      <c r="G649" s="92">
        <f t="shared" si="57"/>
        <v>2275</v>
      </c>
      <c r="H649" s="2"/>
    </row>
    <row r="650" spans="1:8" x14ac:dyDescent="0.25">
      <c r="A650" s="162">
        <v>45551</v>
      </c>
      <c r="B650" s="46" t="s">
        <v>1247</v>
      </c>
      <c r="C650" s="80" t="s">
        <v>1251</v>
      </c>
      <c r="D650" s="94"/>
      <c r="G650" s="150">
        <v>15470</v>
      </c>
    </row>
    <row r="651" spans="1:8" x14ac:dyDescent="0.25">
      <c r="A651" s="162">
        <v>45555</v>
      </c>
      <c r="B651" s="46" t="s">
        <v>1248</v>
      </c>
      <c r="C651" s="80" t="s">
        <v>1252</v>
      </c>
      <c r="D651" s="94"/>
      <c r="G651" s="150">
        <v>3325</v>
      </c>
    </row>
    <row r="652" spans="1:8" x14ac:dyDescent="0.25">
      <c r="A652" s="162">
        <v>45555</v>
      </c>
      <c r="B652" s="45" t="s">
        <v>1249</v>
      </c>
      <c r="C652" s="80" t="s">
        <v>1252</v>
      </c>
      <c r="D652" s="94"/>
      <c r="G652" s="150">
        <v>7000</v>
      </c>
    </row>
    <row r="653" spans="1:8" x14ac:dyDescent="0.25">
      <c r="A653" s="162">
        <v>45555</v>
      </c>
      <c r="B653" s="46" t="s">
        <v>1250</v>
      </c>
      <c r="C653" s="80" t="s">
        <v>1252</v>
      </c>
      <c r="D653" s="94"/>
      <c r="G653" s="150">
        <v>4042.5</v>
      </c>
    </row>
    <row r="654" spans="1:8" x14ac:dyDescent="0.25">
      <c r="A654" s="162">
        <v>45562</v>
      </c>
      <c r="B654" s="45" t="s">
        <v>1255</v>
      </c>
      <c r="C654" s="80" t="s">
        <v>1259</v>
      </c>
      <c r="D654" s="94"/>
      <c r="G654" s="150">
        <v>1785</v>
      </c>
    </row>
    <row r="655" spans="1:8" x14ac:dyDescent="0.25">
      <c r="A655" s="162">
        <v>45562</v>
      </c>
      <c r="B655" s="45" t="s">
        <v>1256</v>
      </c>
      <c r="C655" s="80" t="s">
        <v>1259</v>
      </c>
      <c r="D655" s="94"/>
      <c r="G655" s="150">
        <v>3150</v>
      </c>
    </row>
    <row r="656" spans="1:8" x14ac:dyDescent="0.25">
      <c r="A656" s="162">
        <v>45562</v>
      </c>
      <c r="B656" s="46" t="s">
        <v>1257</v>
      </c>
      <c r="C656" s="80" t="s">
        <v>1259</v>
      </c>
      <c r="D656" s="94"/>
      <c r="G656" s="150">
        <v>2975</v>
      </c>
    </row>
    <row r="657" spans="1:8" x14ac:dyDescent="0.25">
      <c r="A657" s="162">
        <v>45562</v>
      </c>
      <c r="B657" s="46" t="s">
        <v>1258</v>
      </c>
      <c r="C657" s="80" t="s">
        <v>1259</v>
      </c>
      <c r="D657" s="94"/>
      <c r="G657" s="150">
        <v>3500</v>
      </c>
    </row>
    <row r="658" spans="1:8" ht="19.5" x14ac:dyDescent="0.4">
      <c r="C658" s="78" t="s">
        <v>9</v>
      </c>
      <c r="D658" s="78"/>
      <c r="E658" s="54">
        <f>SUM(E644:E657)</f>
        <v>47100</v>
      </c>
      <c r="F658" s="54">
        <f>SUM(F644:F657)</f>
        <v>30615</v>
      </c>
      <c r="G658" s="154">
        <f>SUM(G644:G657)</f>
        <v>57732.5</v>
      </c>
      <c r="H658" s="36">
        <v>45575</v>
      </c>
    </row>
    <row r="659" spans="1:8" ht="15.75" customHeight="1" x14ac:dyDescent="0.25"/>
    <row r="660" spans="1:8" x14ac:dyDescent="0.25">
      <c r="A660" s="44">
        <v>45387</v>
      </c>
      <c r="B660" s="45" t="s">
        <v>1203</v>
      </c>
      <c r="C660" s="45" t="s">
        <v>765</v>
      </c>
      <c r="D660" s="105"/>
      <c r="E660" s="166">
        <v>10500</v>
      </c>
      <c r="F660" s="167">
        <f>SUM(E660*0.65)</f>
        <v>6825</v>
      </c>
      <c r="G660" s="167">
        <f>SUM(E660*0.35)</f>
        <v>3674.9999999999995</v>
      </c>
    </row>
    <row r="661" spans="1:8" x14ac:dyDescent="0.25">
      <c r="A661" s="44">
        <v>45476</v>
      </c>
      <c r="B661" s="44" t="s">
        <v>1231</v>
      </c>
      <c r="C661" s="45" t="s">
        <v>787</v>
      </c>
      <c r="D661" s="105"/>
      <c r="E661" s="1">
        <v>7500</v>
      </c>
      <c r="F661" s="92">
        <f>SUM(E661*0.65)</f>
        <v>4875</v>
      </c>
      <c r="G661" s="35">
        <f>SUM(E661*0.35)</f>
        <v>2625</v>
      </c>
    </row>
    <row r="662" spans="1:8" x14ac:dyDescent="0.25">
      <c r="A662" s="44">
        <v>45483</v>
      </c>
      <c r="B662" s="45" t="s">
        <v>1236</v>
      </c>
      <c r="C662" s="45" t="s">
        <v>1237</v>
      </c>
      <c r="D662" s="105"/>
      <c r="E662" s="1">
        <v>8000</v>
      </c>
      <c r="F662" s="92">
        <f>SUM(E662*0.65)</f>
        <v>5200</v>
      </c>
      <c r="G662" s="35">
        <f>SUM(E662*0.35)</f>
        <v>2800</v>
      </c>
    </row>
    <row r="663" spans="1:8" x14ac:dyDescent="0.25">
      <c r="A663" s="44">
        <v>45362</v>
      </c>
      <c r="B663" s="45" t="s">
        <v>1196</v>
      </c>
      <c r="C663" s="45" t="s">
        <v>752</v>
      </c>
      <c r="D663" s="105"/>
      <c r="E663" s="155">
        <v>5500</v>
      </c>
      <c r="F663" s="92">
        <f>SUM(E663*0.65)</f>
        <v>3575</v>
      </c>
      <c r="G663" s="92">
        <f>SUM(E663*0.35)</f>
        <v>1924.9999999999998</v>
      </c>
    </row>
    <row r="664" spans="1:8" x14ac:dyDescent="0.25">
      <c r="A664" s="44">
        <v>45561</v>
      </c>
      <c r="B664" s="45" t="s">
        <v>1260</v>
      </c>
      <c r="C664" s="80" t="s">
        <v>1263</v>
      </c>
      <c r="D664" s="94"/>
      <c r="E664" s="105"/>
      <c r="F664" s="133"/>
      <c r="G664" s="165">
        <v>2870</v>
      </c>
    </row>
    <row r="665" spans="1:8" x14ac:dyDescent="0.25">
      <c r="A665" s="44">
        <v>45561</v>
      </c>
      <c r="B665" s="45" t="s">
        <v>1261</v>
      </c>
      <c r="C665" s="80" t="s">
        <v>1263</v>
      </c>
      <c r="D665" s="94"/>
      <c r="E665" s="105"/>
      <c r="F665" s="133"/>
      <c r="G665" s="165">
        <v>2870</v>
      </c>
    </row>
    <row r="666" spans="1:8" x14ac:dyDescent="0.25">
      <c r="A666" s="44">
        <v>45573</v>
      </c>
      <c r="B666" s="57" t="s">
        <v>1264</v>
      </c>
      <c r="C666" s="80" t="s">
        <v>1263</v>
      </c>
      <c r="D666" s="94"/>
      <c r="E666" s="140"/>
      <c r="F666" s="163"/>
      <c r="G666" s="150">
        <v>1575</v>
      </c>
    </row>
    <row r="667" spans="1:8" x14ac:dyDescent="0.25">
      <c r="A667" s="44">
        <v>45561</v>
      </c>
      <c r="B667" s="45" t="s">
        <v>1262</v>
      </c>
      <c r="C667" s="80" t="s">
        <v>1263</v>
      </c>
      <c r="D667" s="94"/>
      <c r="E667" s="164"/>
      <c r="F667" s="163"/>
      <c r="G667" s="150">
        <v>2625</v>
      </c>
    </row>
    <row r="668" spans="1:8" x14ac:dyDescent="0.25">
      <c r="A668" s="44">
        <v>45483</v>
      </c>
      <c r="B668" s="45" t="s">
        <v>1265</v>
      </c>
      <c r="C668" s="80" t="s">
        <v>1263</v>
      </c>
      <c r="D668" s="94"/>
      <c r="E668" s="164"/>
      <c r="F668" s="163"/>
      <c r="G668" s="150">
        <v>3150</v>
      </c>
    </row>
    <row r="669" spans="1:8" x14ac:dyDescent="0.25">
      <c r="A669" s="44">
        <v>45561</v>
      </c>
      <c r="B669" s="45" t="s">
        <v>1266</v>
      </c>
      <c r="C669" s="80" t="s">
        <v>1267</v>
      </c>
      <c r="D669" s="94"/>
      <c r="E669" s="168"/>
      <c r="F669" s="51"/>
      <c r="G669" s="169">
        <v>3150</v>
      </c>
    </row>
    <row r="670" spans="1:8" x14ac:dyDescent="0.25">
      <c r="A670" s="44">
        <v>45586</v>
      </c>
      <c r="B670" s="57" t="s">
        <v>1268</v>
      </c>
      <c r="C670" s="80" t="s">
        <v>1273</v>
      </c>
      <c r="D670" s="94"/>
      <c r="E670" s="168"/>
      <c r="F670" s="51"/>
      <c r="G670" s="169">
        <v>3325</v>
      </c>
    </row>
    <row r="671" spans="1:8" x14ac:dyDescent="0.25">
      <c r="A671" s="44">
        <v>45586</v>
      </c>
      <c r="B671" s="57" t="s">
        <v>1269</v>
      </c>
      <c r="C671" s="80" t="s">
        <v>1273</v>
      </c>
      <c r="D671" s="94"/>
      <c r="E671" s="168"/>
      <c r="F671" s="51"/>
      <c r="G671" s="169">
        <v>3325</v>
      </c>
    </row>
    <row r="672" spans="1:8" x14ac:dyDescent="0.25">
      <c r="A672" s="44">
        <v>45586</v>
      </c>
      <c r="B672" s="57" t="s">
        <v>1270</v>
      </c>
      <c r="C672" s="80" t="s">
        <v>1273</v>
      </c>
      <c r="D672" s="94"/>
      <c r="E672" s="168"/>
      <c r="F672" s="51"/>
      <c r="G672" s="169">
        <v>3325</v>
      </c>
    </row>
    <row r="673" spans="1:8" x14ac:dyDescent="0.25">
      <c r="A673" s="44">
        <v>45581</v>
      </c>
      <c r="B673" s="57" t="s">
        <v>1271</v>
      </c>
      <c r="C673" s="80" t="s">
        <v>1273</v>
      </c>
      <c r="D673" s="94"/>
      <c r="G673" s="150">
        <v>3500</v>
      </c>
    </row>
    <row r="674" spans="1:8" x14ac:dyDescent="0.25">
      <c r="A674" s="44">
        <v>45553</v>
      </c>
      <c r="B674" s="45" t="s">
        <v>1272</v>
      </c>
      <c r="C674" s="80" t="s">
        <v>1273</v>
      </c>
      <c r="D674" s="94"/>
      <c r="G674" s="150">
        <v>3675</v>
      </c>
    </row>
    <row r="675" spans="1:8" x14ac:dyDescent="0.25">
      <c r="A675" s="44">
        <v>45561</v>
      </c>
      <c r="B675" s="45" t="s">
        <v>1274</v>
      </c>
      <c r="C675" s="80" t="s">
        <v>1277</v>
      </c>
      <c r="D675" s="94"/>
      <c r="G675" s="150">
        <v>3045</v>
      </c>
    </row>
    <row r="676" spans="1:8" x14ac:dyDescent="0.25">
      <c r="A676" s="44">
        <v>45561</v>
      </c>
      <c r="B676" s="45" t="s">
        <v>1275</v>
      </c>
      <c r="C676" s="80" t="s">
        <v>1277</v>
      </c>
      <c r="D676" s="94"/>
      <c r="G676" s="150">
        <v>3045</v>
      </c>
    </row>
    <row r="677" spans="1:8" x14ac:dyDescent="0.25">
      <c r="A677" s="44">
        <v>45561</v>
      </c>
      <c r="B677" s="45" t="s">
        <v>1276</v>
      </c>
      <c r="C677" s="80" t="s">
        <v>1277</v>
      </c>
      <c r="D677" s="94"/>
      <c r="G677" s="150">
        <v>3045</v>
      </c>
    </row>
    <row r="679" spans="1:8" ht="19.5" x14ac:dyDescent="0.4">
      <c r="C679" s="78"/>
      <c r="D679" s="78"/>
      <c r="E679" s="54">
        <f>SUM(E660:E678)</f>
        <v>31500</v>
      </c>
      <c r="F679" s="54">
        <f>SUM(F660:F678)</f>
        <v>20475</v>
      </c>
      <c r="G679" s="55">
        <f>SUM(G659:G678)</f>
        <v>53550</v>
      </c>
    </row>
    <row r="680" spans="1:8" ht="19.5" x14ac:dyDescent="0.4">
      <c r="C680" s="78" t="s">
        <v>1278</v>
      </c>
      <c r="D680" s="78"/>
      <c r="E680" s="170"/>
      <c r="F680" s="171"/>
      <c r="G680" s="173">
        <v>-14458.78</v>
      </c>
      <c r="H680" s="36">
        <v>45600</v>
      </c>
    </row>
    <row r="681" spans="1:8" ht="19.5" x14ac:dyDescent="0.4">
      <c r="C681" s="78" t="s">
        <v>9</v>
      </c>
      <c r="D681" s="78"/>
      <c r="E681" s="170"/>
      <c r="F681" s="171"/>
      <c r="G681" s="172">
        <v>39091.22</v>
      </c>
      <c r="H681" s="36">
        <v>45611</v>
      </c>
    </row>
    <row r="682" spans="1:8" x14ac:dyDescent="0.25">
      <c r="A682" s="44">
        <v>45477</v>
      </c>
      <c r="B682" s="45" t="s">
        <v>1234</v>
      </c>
      <c r="C682" s="45" t="s">
        <v>744</v>
      </c>
      <c r="D682" s="45"/>
      <c r="E682" s="90">
        <v>8500</v>
      </c>
      <c r="F682" s="297">
        <f>SUM(E682*0.65)</f>
        <v>5525</v>
      </c>
      <c r="G682" s="91">
        <f>SUM(E682*0.35)</f>
        <v>2975</v>
      </c>
    </row>
    <row r="683" spans="1:8" x14ac:dyDescent="0.25">
      <c r="A683" s="44">
        <v>45490</v>
      </c>
      <c r="B683" s="45" t="s">
        <v>1233</v>
      </c>
      <c r="C683" s="45" t="s">
        <v>744</v>
      </c>
      <c r="D683" s="45"/>
      <c r="E683" s="90">
        <v>8000</v>
      </c>
      <c r="F683" s="297">
        <f t="shared" ref="F683:F693" si="58">SUM(E683*0.65)</f>
        <v>5200</v>
      </c>
      <c r="G683" s="298">
        <f>SUM(E683*0.35)</f>
        <v>2800</v>
      </c>
    </row>
    <row r="684" spans="1:8" x14ac:dyDescent="0.25">
      <c r="A684" s="44">
        <v>45464</v>
      </c>
      <c r="B684" s="45" t="s">
        <v>1229</v>
      </c>
      <c r="C684" s="45" t="s">
        <v>772</v>
      </c>
      <c r="D684" s="45"/>
      <c r="E684" s="90">
        <v>9500</v>
      </c>
      <c r="F684" s="297">
        <f t="shared" si="58"/>
        <v>6175</v>
      </c>
      <c r="G684" s="91">
        <f>SUM(E684*0.35)</f>
        <v>3325</v>
      </c>
      <c r="H684" s="2"/>
    </row>
    <row r="685" spans="1:8" x14ac:dyDescent="0.25">
      <c r="A685" s="44">
        <v>45448</v>
      </c>
      <c r="B685" s="45" t="s">
        <v>1224</v>
      </c>
      <c r="C685" s="45" t="s">
        <v>744</v>
      </c>
      <c r="D685" s="45"/>
      <c r="E685" s="90">
        <v>10500</v>
      </c>
      <c r="F685" s="297">
        <f>SUM(E685*0.65)</f>
        <v>6825</v>
      </c>
      <c r="G685" s="91">
        <f>SUM(E685*0.35)</f>
        <v>3674.9999999999995</v>
      </c>
      <c r="H685" s="2"/>
    </row>
    <row r="686" spans="1:8" x14ac:dyDescent="0.25">
      <c r="A686" s="174">
        <v>45611</v>
      </c>
      <c r="B686" s="88" t="s">
        <v>1279</v>
      </c>
      <c r="C686" s="80" t="s">
        <v>1280</v>
      </c>
      <c r="D686" s="80"/>
      <c r="E686" s="90">
        <v>9000</v>
      </c>
      <c r="F686" s="297">
        <f t="shared" si="58"/>
        <v>5850</v>
      </c>
      <c r="G686" s="299">
        <v>3150</v>
      </c>
    </row>
    <row r="687" spans="1:8" x14ac:dyDescent="0.25">
      <c r="A687" s="44">
        <v>45614</v>
      </c>
      <c r="B687" s="57" t="s">
        <v>1281</v>
      </c>
      <c r="C687" s="80" t="s">
        <v>1283</v>
      </c>
      <c r="D687" s="80"/>
      <c r="E687" s="90"/>
      <c r="F687" s="297">
        <f t="shared" si="58"/>
        <v>0</v>
      </c>
      <c r="G687" s="193">
        <v>3675</v>
      </c>
    </row>
    <row r="688" spans="1:8" x14ac:dyDescent="0.25">
      <c r="A688" s="44">
        <v>45614</v>
      </c>
      <c r="B688" s="57" t="s">
        <v>1282</v>
      </c>
      <c r="C688" s="80" t="s">
        <v>1283</v>
      </c>
      <c r="D688" s="80"/>
      <c r="E688" s="90"/>
      <c r="F688" s="297">
        <f t="shared" si="58"/>
        <v>0</v>
      </c>
      <c r="G688" s="193">
        <v>3675</v>
      </c>
    </row>
    <row r="689" spans="1:8" x14ac:dyDescent="0.25">
      <c r="A689" s="44">
        <v>45517</v>
      </c>
      <c r="B689" s="45" t="s">
        <v>1284</v>
      </c>
      <c r="C689" s="80" t="s">
        <v>1283</v>
      </c>
      <c r="D689" s="80"/>
      <c r="E689" s="90"/>
      <c r="F689" s="297">
        <f t="shared" si="58"/>
        <v>0</v>
      </c>
      <c r="G689" s="193">
        <v>2800</v>
      </c>
    </row>
    <row r="690" spans="1:8" x14ac:dyDescent="0.25">
      <c r="A690" s="44">
        <v>45573</v>
      </c>
      <c r="B690" s="57" t="s">
        <v>1285</v>
      </c>
      <c r="C690" s="80" t="s">
        <v>1283</v>
      </c>
      <c r="D690" s="80"/>
      <c r="E690" s="90"/>
      <c r="F690" s="297">
        <f t="shared" si="58"/>
        <v>0</v>
      </c>
      <c r="G690" s="193">
        <v>1575</v>
      </c>
    </row>
    <row r="691" spans="1:8" x14ac:dyDescent="0.25">
      <c r="A691" s="44">
        <v>45618</v>
      </c>
      <c r="B691" s="57" t="s">
        <v>1286</v>
      </c>
      <c r="C691" s="80" t="s">
        <v>1288</v>
      </c>
      <c r="D691" s="80"/>
      <c r="E691" s="90"/>
      <c r="F691" s="297">
        <f t="shared" si="58"/>
        <v>0</v>
      </c>
      <c r="G691" s="193">
        <v>3675</v>
      </c>
    </row>
    <row r="692" spans="1:8" x14ac:dyDescent="0.25">
      <c r="A692" s="44">
        <v>45617</v>
      </c>
      <c r="B692" s="57" t="s">
        <v>1287</v>
      </c>
      <c r="C692" s="80" t="s">
        <v>1288</v>
      </c>
      <c r="D692" s="80"/>
      <c r="E692" s="90"/>
      <c r="F692" s="297">
        <f t="shared" si="58"/>
        <v>0</v>
      </c>
      <c r="G692" s="193">
        <v>3675</v>
      </c>
    </row>
    <row r="693" spans="1:8" ht="15.75" thickBot="1" x14ac:dyDescent="0.3">
      <c r="A693" s="138">
        <v>45420</v>
      </c>
      <c r="B693" s="139" t="s">
        <v>1208</v>
      </c>
      <c r="C693" s="292" t="s">
        <v>1288</v>
      </c>
      <c r="D693" s="292"/>
      <c r="E693" s="249"/>
      <c r="F693" s="300">
        <f t="shared" si="58"/>
        <v>0</v>
      </c>
      <c r="G693" s="200">
        <v>1785</v>
      </c>
    </row>
    <row r="694" spans="1:8" ht="20.25" thickBot="1" x14ac:dyDescent="0.45">
      <c r="A694" s="260"/>
      <c r="B694" s="261"/>
      <c r="C694" s="252" t="s">
        <v>9</v>
      </c>
      <c r="D694" s="252"/>
      <c r="E694" s="253">
        <f>SUM(E682:E693)</f>
        <v>45500</v>
      </c>
      <c r="F694" s="253">
        <f>SUM(F682:F693)</f>
        <v>29575</v>
      </c>
      <c r="G694" s="254">
        <f>SUM(G682:G693)</f>
        <v>36785</v>
      </c>
      <c r="H694" s="36">
        <v>45646</v>
      </c>
    </row>
    <row r="695" spans="1:8" x14ac:dyDescent="0.25">
      <c r="A695" s="290">
        <v>45624</v>
      </c>
      <c r="B695" s="295" t="s">
        <v>1289</v>
      </c>
      <c r="C695" s="296" t="s">
        <v>1294</v>
      </c>
      <c r="D695" s="296"/>
      <c r="E695" s="259">
        <v>10500</v>
      </c>
      <c r="F695" s="264">
        <f>SUM(E695*0.65)</f>
        <v>6825</v>
      </c>
      <c r="G695" s="264">
        <v>3675</v>
      </c>
    </row>
    <row r="696" spans="1:8" x14ac:dyDescent="0.25">
      <c r="A696" s="44">
        <v>45624</v>
      </c>
      <c r="B696" s="57" t="s">
        <v>1310</v>
      </c>
      <c r="C696" s="80" t="s">
        <v>1294</v>
      </c>
      <c r="D696" s="80"/>
      <c r="E696" s="90">
        <v>10500</v>
      </c>
      <c r="F696" s="193">
        <f t="shared" ref="F696:F708" si="59">SUM(E696*0.65)</f>
        <v>6825</v>
      </c>
      <c r="G696" s="193">
        <v>3675</v>
      </c>
    </row>
    <row r="697" spans="1:8" x14ac:dyDescent="0.25">
      <c r="A697" s="44">
        <v>45624</v>
      </c>
      <c r="B697" s="57" t="s">
        <v>1309</v>
      </c>
      <c r="C697" s="80" t="s">
        <v>1294</v>
      </c>
      <c r="D697" s="80"/>
      <c r="E697" s="90">
        <v>10500</v>
      </c>
      <c r="F697" s="193">
        <f t="shared" si="59"/>
        <v>6825</v>
      </c>
      <c r="G697" s="193">
        <v>3675</v>
      </c>
    </row>
    <row r="698" spans="1:8" x14ac:dyDescent="0.25">
      <c r="A698" s="44">
        <v>45624</v>
      </c>
      <c r="B698" s="57" t="s">
        <v>1290</v>
      </c>
      <c r="C698" s="80" t="s">
        <v>1294</v>
      </c>
      <c r="D698" s="80"/>
      <c r="E698" s="90">
        <v>10500</v>
      </c>
      <c r="F698" s="193">
        <f t="shared" si="59"/>
        <v>6825</v>
      </c>
      <c r="G698" s="193">
        <v>3675</v>
      </c>
    </row>
    <row r="699" spans="1:8" x14ac:dyDescent="0.25">
      <c r="A699" s="44">
        <v>45624</v>
      </c>
      <c r="B699" s="57" t="s">
        <v>1311</v>
      </c>
      <c r="C699" s="80" t="s">
        <v>1294</v>
      </c>
      <c r="D699" s="80"/>
      <c r="E699" s="90">
        <v>10500</v>
      </c>
      <c r="F699" s="193">
        <f t="shared" si="59"/>
        <v>6825</v>
      </c>
      <c r="G699" s="193">
        <v>3675</v>
      </c>
    </row>
    <row r="700" spans="1:8" x14ac:dyDescent="0.25">
      <c r="A700" s="44">
        <v>45624</v>
      </c>
      <c r="B700" s="57" t="s">
        <v>1291</v>
      </c>
      <c r="C700" s="80" t="s">
        <v>1294</v>
      </c>
      <c r="D700" s="80"/>
      <c r="E700" s="90">
        <v>10500</v>
      </c>
      <c r="F700" s="193">
        <f t="shared" si="59"/>
        <v>6825</v>
      </c>
      <c r="G700" s="193">
        <v>3675</v>
      </c>
    </row>
    <row r="701" spans="1:8" x14ac:dyDescent="0.25">
      <c r="A701" s="44">
        <v>45624</v>
      </c>
      <c r="B701" s="57" t="s">
        <v>1292</v>
      </c>
      <c r="C701" s="80" t="s">
        <v>1294</v>
      </c>
      <c r="D701" s="80"/>
      <c r="E701" s="90">
        <v>10500</v>
      </c>
      <c r="F701" s="193">
        <f t="shared" si="59"/>
        <v>6825</v>
      </c>
      <c r="G701" s="193">
        <v>3675</v>
      </c>
    </row>
    <row r="702" spans="1:8" x14ac:dyDescent="0.25">
      <c r="A702" s="44">
        <v>45624</v>
      </c>
      <c r="B702" s="57" t="s">
        <v>1293</v>
      </c>
      <c r="C702" s="80" t="s">
        <v>1294</v>
      </c>
      <c r="D702" s="80"/>
      <c r="E702" s="90">
        <v>10500</v>
      </c>
      <c r="F702" s="193">
        <f t="shared" si="59"/>
        <v>6825</v>
      </c>
      <c r="G702" s="193">
        <v>3675</v>
      </c>
    </row>
    <row r="703" spans="1:8" x14ac:dyDescent="0.25">
      <c r="A703" s="44">
        <v>45631</v>
      </c>
      <c r="B703" s="45" t="s">
        <v>1299</v>
      </c>
      <c r="C703" s="80" t="s">
        <v>1303</v>
      </c>
      <c r="D703" s="80"/>
      <c r="E703" s="90">
        <v>10500</v>
      </c>
      <c r="F703" s="193">
        <f t="shared" si="59"/>
        <v>6825</v>
      </c>
      <c r="G703" s="193">
        <v>3675</v>
      </c>
    </row>
    <row r="704" spans="1:8" x14ac:dyDescent="0.25">
      <c r="A704" s="44">
        <v>45601</v>
      </c>
      <c r="B704" s="57" t="s">
        <v>1304</v>
      </c>
      <c r="C704" s="80" t="s">
        <v>1303</v>
      </c>
      <c r="D704" s="80"/>
      <c r="E704" s="90">
        <v>6500</v>
      </c>
      <c r="F704" s="193">
        <f t="shared" si="59"/>
        <v>4225</v>
      </c>
      <c r="G704" s="193">
        <v>2275</v>
      </c>
    </row>
    <row r="705" spans="1:8" x14ac:dyDescent="0.25">
      <c r="A705" s="44">
        <v>45561</v>
      </c>
      <c r="B705" s="45" t="s">
        <v>1305</v>
      </c>
      <c r="C705" s="80" t="s">
        <v>1303</v>
      </c>
      <c r="D705" s="80"/>
      <c r="E705" s="90">
        <v>11000</v>
      </c>
      <c r="F705" s="193">
        <f t="shared" si="59"/>
        <v>7150</v>
      </c>
      <c r="G705" s="193">
        <v>3850</v>
      </c>
    </row>
    <row r="706" spans="1:8" x14ac:dyDescent="0.25">
      <c r="A706" s="44">
        <v>45582</v>
      </c>
      <c r="B706" s="57" t="s">
        <v>1307</v>
      </c>
      <c r="C706" s="80" t="s">
        <v>1303</v>
      </c>
      <c r="D706" s="80"/>
      <c r="E706" s="90">
        <v>6500</v>
      </c>
      <c r="F706" s="193">
        <f t="shared" si="59"/>
        <v>4225</v>
      </c>
      <c r="G706" s="193">
        <v>2275</v>
      </c>
    </row>
    <row r="707" spans="1:8" x14ac:dyDescent="0.25">
      <c r="A707" s="44">
        <v>45579</v>
      </c>
      <c r="B707" s="57" t="s">
        <v>1306</v>
      </c>
      <c r="C707" s="80" t="s">
        <v>1303</v>
      </c>
      <c r="D707" s="80"/>
      <c r="E707" s="90">
        <v>5500</v>
      </c>
      <c r="F707" s="193">
        <f t="shared" si="59"/>
        <v>3575</v>
      </c>
      <c r="G707" s="193">
        <v>1925</v>
      </c>
    </row>
    <row r="708" spans="1:8" x14ac:dyDescent="0.25">
      <c r="A708" s="44">
        <v>45632</v>
      </c>
      <c r="B708" s="45" t="s">
        <v>1295</v>
      </c>
      <c r="C708" s="80" t="s">
        <v>1296</v>
      </c>
      <c r="D708" s="80"/>
      <c r="E708" s="90">
        <v>10500</v>
      </c>
      <c r="F708" s="193">
        <f t="shared" si="59"/>
        <v>6825</v>
      </c>
      <c r="G708" s="193">
        <v>3675</v>
      </c>
    </row>
    <row r="709" spans="1:8" ht="15.75" thickBot="1" x14ac:dyDescent="0.3">
      <c r="A709" s="138">
        <v>46008</v>
      </c>
      <c r="B709" s="139" t="s">
        <v>1297</v>
      </c>
      <c r="C709" s="292" t="s">
        <v>1296</v>
      </c>
      <c r="D709" s="292"/>
      <c r="E709" s="249">
        <v>10500</v>
      </c>
      <c r="F709" s="200">
        <f>SUM(E709*0.65)</f>
        <v>6825</v>
      </c>
      <c r="G709" s="200">
        <v>3675</v>
      </c>
    </row>
    <row r="710" spans="1:8" ht="20.25" thickBot="1" x14ac:dyDescent="0.45">
      <c r="A710" s="293"/>
      <c r="B710" s="294"/>
      <c r="C710" s="252" t="s">
        <v>9</v>
      </c>
      <c r="D710" s="252"/>
      <c r="E710" s="253">
        <f>SUM(E695:E709)</f>
        <v>145000</v>
      </c>
      <c r="F710" s="253">
        <f>SUM(F695:F709)</f>
        <v>94250</v>
      </c>
      <c r="G710" s="254">
        <f>SUM(G695:G709)</f>
        <v>50750</v>
      </c>
      <c r="H710" s="36">
        <v>45687</v>
      </c>
    </row>
    <row r="711" spans="1:8" x14ac:dyDescent="0.25">
      <c r="A711" s="277">
        <v>45624</v>
      </c>
      <c r="B711" s="278" t="s">
        <v>1298</v>
      </c>
      <c r="C711" s="263" t="s">
        <v>1302</v>
      </c>
      <c r="D711" s="263" t="s">
        <v>1359</v>
      </c>
      <c r="E711" s="259">
        <v>10500</v>
      </c>
      <c r="F711" s="264">
        <f t="shared" ref="F711:F716" si="60">SUM(E711*0.65)</f>
        <v>6825</v>
      </c>
      <c r="G711" s="264">
        <v>3675</v>
      </c>
    </row>
    <row r="712" spans="1:8" x14ac:dyDescent="0.25">
      <c r="A712" s="177">
        <v>45601</v>
      </c>
      <c r="B712" s="178" t="s">
        <v>1300</v>
      </c>
      <c r="C712" s="175" t="s">
        <v>1302</v>
      </c>
      <c r="D712" s="175" t="s">
        <v>1361</v>
      </c>
      <c r="E712" s="90">
        <v>10500</v>
      </c>
      <c r="F712" s="193">
        <f t="shared" si="60"/>
        <v>6825</v>
      </c>
      <c r="G712" s="193">
        <v>3675</v>
      </c>
    </row>
    <row r="713" spans="1:8" x14ac:dyDescent="0.25">
      <c r="A713" s="176">
        <v>45658</v>
      </c>
      <c r="B713" s="175" t="s">
        <v>1308</v>
      </c>
      <c r="C713" s="175" t="s">
        <v>1302</v>
      </c>
      <c r="D713" s="175" t="s">
        <v>1360</v>
      </c>
      <c r="E713" s="90">
        <v>10500</v>
      </c>
      <c r="F713" s="193">
        <f t="shared" si="60"/>
        <v>6825</v>
      </c>
      <c r="G713" s="193">
        <v>3675</v>
      </c>
    </row>
    <row r="714" spans="1:8" x14ac:dyDescent="0.25">
      <c r="A714" s="176">
        <v>45663</v>
      </c>
      <c r="B714" s="175" t="s">
        <v>1301</v>
      </c>
      <c r="C714" s="175" t="s">
        <v>1302</v>
      </c>
      <c r="D714" s="175" t="s">
        <v>1360</v>
      </c>
      <c r="E714" s="90">
        <v>10500</v>
      </c>
      <c r="F714" s="193">
        <f t="shared" si="60"/>
        <v>6825</v>
      </c>
      <c r="G714" s="193">
        <v>3675</v>
      </c>
    </row>
    <row r="715" spans="1:8" x14ac:dyDescent="0.25">
      <c r="A715" s="177">
        <v>45601</v>
      </c>
      <c r="B715" s="178" t="s">
        <v>1312</v>
      </c>
      <c r="C715" s="175" t="s">
        <v>1313</v>
      </c>
      <c r="D715" s="175" t="s">
        <v>1363</v>
      </c>
      <c r="E715" s="90">
        <v>10500</v>
      </c>
      <c r="F715" s="193">
        <f t="shared" si="60"/>
        <v>6825</v>
      </c>
      <c r="G715" s="193">
        <v>2275</v>
      </c>
    </row>
    <row r="716" spans="1:8" x14ac:dyDescent="0.25">
      <c r="A716" s="177">
        <v>45628</v>
      </c>
      <c r="B716" s="178" t="s">
        <v>1315</v>
      </c>
      <c r="C716" s="175" t="s">
        <v>1313</v>
      </c>
      <c r="D716" s="175" t="s">
        <v>1363</v>
      </c>
      <c r="E716" s="90">
        <v>8500</v>
      </c>
      <c r="F716" s="193">
        <f t="shared" si="60"/>
        <v>5525</v>
      </c>
      <c r="G716" s="193">
        <v>2975</v>
      </c>
    </row>
    <row r="717" spans="1:8" x14ac:dyDescent="0.25">
      <c r="A717" s="176">
        <v>45670</v>
      </c>
      <c r="B717" s="175" t="s">
        <v>1314</v>
      </c>
      <c r="C717" s="175" t="s">
        <v>1313</v>
      </c>
      <c r="D717" s="175" t="s">
        <v>1360</v>
      </c>
      <c r="E717" s="90"/>
      <c r="F717" s="193"/>
      <c r="G717" s="193">
        <v>3675</v>
      </c>
    </row>
    <row r="718" spans="1:8" x14ac:dyDescent="0.25">
      <c r="A718" s="176">
        <v>45677</v>
      </c>
      <c r="B718" s="175" t="s">
        <v>1316</v>
      </c>
      <c r="C718" s="175" t="s">
        <v>1317</v>
      </c>
      <c r="D718" s="175" t="s">
        <v>1359</v>
      </c>
      <c r="E718" s="90"/>
      <c r="F718" s="193"/>
      <c r="G718" s="193">
        <v>3675</v>
      </c>
    </row>
    <row r="719" spans="1:8" x14ac:dyDescent="0.25">
      <c r="A719" s="176">
        <v>45679</v>
      </c>
      <c r="B719" s="175" t="s">
        <v>1318</v>
      </c>
      <c r="C719" s="175" t="s">
        <v>1317</v>
      </c>
      <c r="D719" s="175" t="s">
        <v>1361</v>
      </c>
      <c r="E719" s="90"/>
      <c r="F719" s="193"/>
      <c r="G719" s="193">
        <v>3675</v>
      </c>
    </row>
    <row r="720" spans="1:8" x14ac:dyDescent="0.25">
      <c r="A720" s="176">
        <v>45679</v>
      </c>
      <c r="B720" s="175" t="s">
        <v>1318</v>
      </c>
      <c r="C720" s="175" t="s">
        <v>1317</v>
      </c>
      <c r="D720" s="175" t="s">
        <v>1361</v>
      </c>
      <c r="E720" s="90"/>
      <c r="F720" s="193"/>
      <c r="G720" s="193">
        <v>3675</v>
      </c>
    </row>
    <row r="721" spans="1:8" x14ac:dyDescent="0.25">
      <c r="A721" s="176">
        <v>45677</v>
      </c>
      <c r="B721" s="175" t="s">
        <v>1319</v>
      </c>
      <c r="C721" s="175" t="s">
        <v>1317</v>
      </c>
      <c r="D721" s="175" t="s">
        <v>1361</v>
      </c>
      <c r="E721" s="90"/>
      <c r="F721" s="193"/>
      <c r="G721" s="193">
        <v>3675</v>
      </c>
    </row>
    <row r="722" spans="1:8" x14ac:dyDescent="0.25">
      <c r="A722" s="176">
        <v>45677</v>
      </c>
      <c r="B722" s="175" t="s">
        <v>1319</v>
      </c>
      <c r="C722" s="175" t="s">
        <v>1317</v>
      </c>
      <c r="D722" s="175" t="s">
        <v>1361</v>
      </c>
      <c r="E722" s="90"/>
      <c r="F722" s="193"/>
      <c r="G722" s="193">
        <v>3675</v>
      </c>
    </row>
    <row r="723" spans="1:8" ht="15.75" thickBot="1" x14ac:dyDescent="0.3">
      <c r="A723" s="289">
        <v>45680</v>
      </c>
      <c r="B723" s="181" t="s">
        <v>1320</v>
      </c>
      <c r="C723" s="181" t="s">
        <v>1317</v>
      </c>
      <c r="D723" s="181" t="s">
        <v>1360</v>
      </c>
      <c r="E723" s="249"/>
      <c r="F723" s="200"/>
      <c r="G723" s="200">
        <v>3675</v>
      </c>
    </row>
    <row r="724" spans="1:8" ht="20.25" thickBot="1" x14ac:dyDescent="0.45">
      <c r="A724" s="260"/>
      <c r="B724" s="261"/>
      <c r="C724" s="252" t="s">
        <v>9</v>
      </c>
      <c r="D724" s="252"/>
      <c r="E724" s="253">
        <f>SUM(E695:E717)</f>
        <v>351000</v>
      </c>
      <c r="F724" s="253">
        <f>SUM(F695:F717)</f>
        <v>228150</v>
      </c>
      <c r="G724" s="254">
        <f>SUM(G711:G723)</f>
        <v>45675</v>
      </c>
      <c r="H724" s="36">
        <v>45715</v>
      </c>
    </row>
    <row r="725" spans="1:8" x14ac:dyDescent="0.25">
      <c r="A725" s="290">
        <v>45637</v>
      </c>
      <c r="B725" s="291" t="s">
        <v>1321</v>
      </c>
      <c r="C725" s="263" t="s">
        <v>1322</v>
      </c>
      <c r="D725" s="263" t="s">
        <v>1361</v>
      </c>
      <c r="E725" s="259"/>
      <c r="F725" s="202"/>
      <c r="G725" s="264">
        <v>3675</v>
      </c>
    </row>
    <row r="726" spans="1:8" x14ac:dyDescent="0.25">
      <c r="A726" s="44">
        <v>45636</v>
      </c>
      <c r="B726" s="45" t="s">
        <v>1323</v>
      </c>
      <c r="C726" s="175" t="s">
        <v>1324</v>
      </c>
      <c r="D726" s="175" t="s">
        <v>1359</v>
      </c>
      <c r="E726" s="90"/>
      <c r="F726" s="88"/>
      <c r="G726" s="193">
        <v>3675</v>
      </c>
    </row>
    <row r="727" spans="1:8" x14ac:dyDescent="0.25">
      <c r="A727" s="180">
        <v>45707</v>
      </c>
      <c r="B727" s="71" t="s">
        <v>1325</v>
      </c>
      <c r="C727" s="175" t="s">
        <v>1327</v>
      </c>
      <c r="D727" s="175" t="s">
        <v>1360</v>
      </c>
      <c r="E727" s="90"/>
      <c r="F727" s="88"/>
      <c r="G727" s="193">
        <v>3675</v>
      </c>
    </row>
    <row r="728" spans="1:8" ht="15.75" thickBot="1" x14ac:dyDescent="0.3">
      <c r="A728" s="285">
        <v>46010</v>
      </c>
      <c r="B728" s="286" t="s">
        <v>1326</v>
      </c>
      <c r="C728" s="181" t="s">
        <v>1327</v>
      </c>
      <c r="D728" s="181" t="s">
        <v>1361</v>
      </c>
      <c r="E728" s="249"/>
      <c r="F728" s="243"/>
      <c r="G728" s="200">
        <v>3675</v>
      </c>
    </row>
    <row r="729" spans="1:8" ht="20.25" thickBot="1" x14ac:dyDescent="0.45">
      <c r="A729" s="260"/>
      <c r="B729" s="261"/>
      <c r="C729" s="252" t="s">
        <v>9</v>
      </c>
      <c r="D729" s="252"/>
      <c r="E729" s="253">
        <f>SUM(E704:E724)</f>
        <v>607500</v>
      </c>
      <c r="F729" s="253">
        <f>SUM(F704:F724)</f>
        <v>394875</v>
      </c>
      <c r="G729" s="254">
        <f>SUM(G725:G728)</f>
        <v>14700</v>
      </c>
      <c r="H729" s="36">
        <v>45744</v>
      </c>
    </row>
    <row r="730" spans="1:8" x14ac:dyDescent="0.25">
      <c r="A730" s="287">
        <v>45695</v>
      </c>
      <c r="B730" s="288" t="s">
        <v>1328</v>
      </c>
      <c r="C730" s="283" t="s">
        <v>1329</v>
      </c>
      <c r="D730" s="263" t="s">
        <v>1361</v>
      </c>
      <c r="E730" s="259"/>
      <c r="F730" s="202"/>
      <c r="G730" s="264">
        <v>3675</v>
      </c>
    </row>
    <row r="731" spans="1:8" ht="15.75" thickBot="1" x14ac:dyDescent="0.3">
      <c r="A731" s="262">
        <v>45720</v>
      </c>
      <c r="B731" s="279" t="s">
        <v>1331</v>
      </c>
      <c r="C731" s="280" t="s">
        <v>1330</v>
      </c>
      <c r="D731" s="280" t="s">
        <v>653</v>
      </c>
      <c r="E731" s="249"/>
      <c r="F731" s="243"/>
      <c r="G731" s="200">
        <v>3675</v>
      </c>
    </row>
    <row r="732" spans="1:8" ht="20.25" thickBot="1" x14ac:dyDescent="0.45">
      <c r="A732" s="260"/>
      <c r="B732" s="261"/>
      <c r="C732" s="252" t="s">
        <v>9</v>
      </c>
      <c r="D732" s="252"/>
      <c r="E732" s="253">
        <f>SUM(E711:E729)</f>
        <v>1019500</v>
      </c>
      <c r="F732" s="253">
        <f>SUM(F711:F729)</f>
        <v>662675</v>
      </c>
      <c r="G732" s="254">
        <f>SUM(G730:G731)</f>
        <v>7350</v>
      </c>
      <c r="H732" s="36">
        <v>45762</v>
      </c>
    </row>
    <row r="733" spans="1:8" x14ac:dyDescent="0.25">
      <c r="A733" s="281">
        <v>45616</v>
      </c>
      <c r="B733" s="282" t="s">
        <v>1335</v>
      </c>
      <c r="C733" s="283" t="s">
        <v>1336</v>
      </c>
      <c r="D733" s="284" t="s">
        <v>1362</v>
      </c>
      <c r="E733" s="259"/>
      <c r="F733" s="202"/>
      <c r="G733" s="264">
        <v>2975</v>
      </c>
    </row>
    <row r="734" spans="1:8" x14ac:dyDescent="0.25">
      <c r="A734" s="185">
        <v>45616</v>
      </c>
      <c r="B734" s="184" t="s">
        <v>1335</v>
      </c>
      <c r="C734" s="181" t="s">
        <v>1336</v>
      </c>
      <c r="D734" s="190" t="s">
        <v>1362</v>
      </c>
      <c r="E734" s="90"/>
      <c r="F734" s="88"/>
      <c r="G734" s="193">
        <v>2975</v>
      </c>
    </row>
    <row r="735" spans="1:8" x14ac:dyDescent="0.25">
      <c r="A735" s="185">
        <v>45616</v>
      </c>
      <c r="B735" s="184" t="s">
        <v>1335</v>
      </c>
      <c r="C735" s="181" t="s">
        <v>1336</v>
      </c>
      <c r="D735" s="190" t="s">
        <v>1362</v>
      </c>
      <c r="E735" s="90"/>
      <c r="F735" s="88"/>
      <c r="G735" s="193">
        <v>2975</v>
      </c>
    </row>
    <row r="736" spans="1:8" x14ac:dyDescent="0.25">
      <c r="A736" s="186">
        <v>45720</v>
      </c>
      <c r="B736" s="183" t="s">
        <v>1332</v>
      </c>
      <c r="C736" s="181" t="s">
        <v>1336</v>
      </c>
      <c r="D736" s="175" t="s">
        <v>1361</v>
      </c>
      <c r="E736" s="90"/>
      <c r="F736" s="88"/>
      <c r="G736" s="193">
        <v>3675</v>
      </c>
    </row>
    <row r="737" spans="1:8" x14ac:dyDescent="0.25">
      <c r="A737" s="187">
        <v>45664</v>
      </c>
      <c r="B737" s="183" t="s">
        <v>1333</v>
      </c>
      <c r="C737" s="181" t="s">
        <v>1336</v>
      </c>
      <c r="D737" s="175" t="s">
        <v>1361</v>
      </c>
      <c r="E737" s="90"/>
      <c r="F737" s="88"/>
      <c r="G737" s="193">
        <v>3675</v>
      </c>
    </row>
    <row r="738" spans="1:8" x14ac:dyDescent="0.25">
      <c r="A738" s="186">
        <v>45720</v>
      </c>
      <c r="B738" s="183" t="s">
        <v>1334</v>
      </c>
      <c r="C738" s="175" t="s">
        <v>1336</v>
      </c>
      <c r="D738" s="175" t="s">
        <v>1361</v>
      </c>
      <c r="E738" s="90"/>
      <c r="F738" s="88"/>
      <c r="G738" s="193">
        <v>3675</v>
      </c>
    </row>
    <row r="739" spans="1:8" x14ac:dyDescent="0.25">
      <c r="A739" s="186">
        <v>45720</v>
      </c>
      <c r="B739" s="88" t="s">
        <v>1334</v>
      </c>
      <c r="C739" s="175" t="s">
        <v>1337</v>
      </c>
      <c r="D739" s="175" t="s">
        <v>700</v>
      </c>
      <c r="E739" s="90"/>
      <c r="F739" s="88"/>
      <c r="G739" s="193">
        <v>3500</v>
      </c>
    </row>
    <row r="740" spans="1:8" ht="15.75" thickBot="1" x14ac:dyDescent="0.3">
      <c r="A740" s="247">
        <v>45747</v>
      </c>
      <c r="B740" s="243" t="s">
        <v>1338</v>
      </c>
      <c r="C740" s="181" t="s">
        <v>1339</v>
      </c>
      <c r="D740" s="181" t="s">
        <v>1359</v>
      </c>
      <c r="E740" s="249"/>
      <c r="F740" s="243"/>
      <c r="G740" s="200">
        <v>3675</v>
      </c>
    </row>
    <row r="741" spans="1:8" ht="20.25" thickBot="1" x14ac:dyDescent="0.45">
      <c r="A741" s="260"/>
      <c r="B741" s="261"/>
      <c r="C741" s="252" t="s">
        <v>9</v>
      </c>
      <c r="D741" s="252"/>
      <c r="E741" s="253"/>
      <c r="F741" s="253"/>
      <c r="G741" s="254">
        <f>SUM(G733:G740)</f>
        <v>27125</v>
      </c>
      <c r="H741" s="36">
        <v>45792</v>
      </c>
    </row>
    <row r="742" spans="1:8" x14ac:dyDescent="0.25">
      <c r="A742" s="277">
        <v>45611</v>
      </c>
      <c r="B742" s="278" t="s">
        <v>1340</v>
      </c>
      <c r="C742" s="263" t="s">
        <v>1341</v>
      </c>
      <c r="D742" s="263" t="s">
        <v>1361</v>
      </c>
      <c r="E742" s="259"/>
      <c r="F742" s="202"/>
      <c r="G742" s="264">
        <v>3675</v>
      </c>
    </row>
    <row r="743" spans="1:8" x14ac:dyDescent="0.25">
      <c r="A743" s="188">
        <v>45720</v>
      </c>
      <c r="B743" s="175" t="s">
        <v>1342</v>
      </c>
      <c r="C743" s="175" t="s">
        <v>1341</v>
      </c>
      <c r="D743" s="175" t="s">
        <v>1361</v>
      </c>
      <c r="E743" s="90"/>
      <c r="F743" s="88"/>
      <c r="G743" s="193">
        <v>3675</v>
      </c>
    </row>
    <row r="744" spans="1:8" x14ac:dyDescent="0.25">
      <c r="A744" s="188">
        <v>45736</v>
      </c>
      <c r="B744" s="175" t="s">
        <v>1343</v>
      </c>
      <c r="C744" s="175" t="s">
        <v>1341</v>
      </c>
      <c r="D744" s="175" t="s">
        <v>1360</v>
      </c>
      <c r="E744" s="90"/>
      <c r="F744" s="88"/>
      <c r="G744" s="193">
        <v>3675</v>
      </c>
    </row>
    <row r="745" spans="1:8" x14ac:dyDescent="0.25">
      <c r="A745" s="188">
        <v>45768</v>
      </c>
      <c r="B745" s="175" t="s">
        <v>1344</v>
      </c>
      <c r="C745" s="175" t="s">
        <v>1341</v>
      </c>
      <c r="D745" s="175" t="s">
        <v>1360</v>
      </c>
      <c r="E745" s="90"/>
      <c r="F745" s="88"/>
      <c r="G745" s="193">
        <v>3675</v>
      </c>
    </row>
    <row r="746" spans="1:8" x14ac:dyDescent="0.25">
      <c r="A746" s="188">
        <v>45782</v>
      </c>
      <c r="B746" s="175" t="s">
        <v>1345</v>
      </c>
      <c r="C746" s="175" t="s">
        <v>1348</v>
      </c>
      <c r="D746" s="175" t="s">
        <v>1359</v>
      </c>
      <c r="E746" s="90"/>
      <c r="F746" s="88"/>
      <c r="G746" s="193">
        <v>3675</v>
      </c>
    </row>
    <row r="747" spans="1:8" x14ac:dyDescent="0.25">
      <c r="A747" s="188">
        <v>45712</v>
      </c>
      <c r="B747" s="175" t="s">
        <v>1346</v>
      </c>
      <c r="C747" s="175" t="s">
        <v>1348</v>
      </c>
      <c r="D747" s="175" t="s">
        <v>1359</v>
      </c>
      <c r="E747" s="90"/>
      <c r="F747" s="88"/>
      <c r="G747" s="193">
        <v>3675</v>
      </c>
    </row>
    <row r="748" spans="1:8" x14ac:dyDescent="0.25">
      <c r="A748" s="191">
        <v>45063</v>
      </c>
      <c r="B748" s="178" t="s">
        <v>1350</v>
      </c>
      <c r="C748" s="190" t="s">
        <v>1351</v>
      </c>
      <c r="D748" s="190" t="s">
        <v>1362</v>
      </c>
      <c r="E748" s="90"/>
      <c r="F748" s="88"/>
      <c r="G748" s="193">
        <v>3325</v>
      </c>
    </row>
    <row r="749" spans="1:8" x14ac:dyDescent="0.25">
      <c r="A749" s="191">
        <v>45063</v>
      </c>
      <c r="B749" s="178" t="s">
        <v>1349</v>
      </c>
      <c r="C749" s="190" t="s">
        <v>1351</v>
      </c>
      <c r="D749" s="190" t="s">
        <v>1362</v>
      </c>
      <c r="E749" s="90"/>
      <c r="F749" s="88"/>
      <c r="G749" s="193">
        <v>3325</v>
      </c>
    </row>
    <row r="750" spans="1:8" x14ac:dyDescent="0.25">
      <c r="A750" s="188">
        <v>45679</v>
      </c>
      <c r="B750" s="175" t="s">
        <v>1318</v>
      </c>
      <c r="C750" s="175"/>
      <c r="D750" s="175"/>
      <c r="E750" s="90"/>
      <c r="F750" s="88"/>
      <c r="G750" s="88"/>
    </row>
    <row r="751" spans="1:8" x14ac:dyDescent="0.25">
      <c r="A751" s="188"/>
      <c r="B751" s="175" t="s">
        <v>1353</v>
      </c>
      <c r="C751" s="175" t="s">
        <v>1352</v>
      </c>
      <c r="D751" s="175" t="s">
        <v>1361</v>
      </c>
      <c r="E751" s="90"/>
      <c r="F751" s="88"/>
      <c r="G751" s="193">
        <v>3675</v>
      </c>
    </row>
    <row r="752" spans="1:8" x14ac:dyDescent="0.25">
      <c r="A752" s="188"/>
      <c r="B752" s="175" t="s">
        <v>1354</v>
      </c>
      <c r="C752" s="175" t="s">
        <v>1352</v>
      </c>
      <c r="D752" s="175" t="s">
        <v>1361</v>
      </c>
      <c r="E752" s="90"/>
      <c r="F752" s="88"/>
      <c r="G752" s="193">
        <v>3675</v>
      </c>
    </row>
    <row r="753" spans="1:8" ht="15.75" thickBot="1" x14ac:dyDescent="0.3">
      <c r="A753" s="275"/>
      <c r="B753" s="181" t="s">
        <v>700</v>
      </c>
      <c r="C753" s="181" t="s">
        <v>1352</v>
      </c>
      <c r="D753" s="181" t="s">
        <v>1361</v>
      </c>
      <c r="E753" s="249"/>
      <c r="F753" s="243"/>
      <c r="G753" s="200">
        <v>3500</v>
      </c>
    </row>
    <row r="754" spans="1:8" ht="20.25" thickBot="1" x14ac:dyDescent="0.45">
      <c r="A754" s="260"/>
      <c r="B754" s="261"/>
      <c r="C754" s="252" t="s">
        <v>9</v>
      </c>
      <c r="D754" s="252"/>
      <c r="E754" s="253">
        <f>SUM(E728:E742)</f>
        <v>1627000</v>
      </c>
      <c r="F754" s="253">
        <f>SUM(F728:F742)</f>
        <v>1057550</v>
      </c>
      <c r="G754" s="254">
        <f>SUM(G742:G753)</f>
        <v>39550</v>
      </c>
      <c r="H754" s="36">
        <v>45825</v>
      </c>
    </row>
    <row r="755" spans="1:8" x14ac:dyDescent="0.25">
      <c r="A755" s="276">
        <v>45812</v>
      </c>
      <c r="B755" s="202" t="s">
        <v>1358</v>
      </c>
      <c r="C755" s="263" t="s">
        <v>1364</v>
      </c>
      <c r="D755" s="263" t="s">
        <v>1361</v>
      </c>
      <c r="E755" s="259"/>
      <c r="F755" s="202"/>
      <c r="G755" s="264">
        <v>3675</v>
      </c>
    </row>
    <row r="756" spans="1:8" x14ac:dyDescent="0.25">
      <c r="A756" s="199">
        <v>45708</v>
      </c>
      <c r="B756" s="192" t="s">
        <v>1355</v>
      </c>
      <c r="C756" s="89"/>
      <c r="D756" s="89"/>
      <c r="E756" s="90"/>
      <c r="F756" s="88"/>
      <c r="G756" s="88"/>
    </row>
    <row r="757" spans="1:8" x14ac:dyDescent="0.25">
      <c r="A757" s="174"/>
      <c r="B757" s="88" t="s">
        <v>1356</v>
      </c>
      <c r="C757" s="175" t="s">
        <v>1364</v>
      </c>
      <c r="D757" s="175" t="s">
        <v>1359</v>
      </c>
      <c r="E757" s="90"/>
      <c r="F757" s="88"/>
      <c r="G757" s="193">
        <v>3675</v>
      </c>
    </row>
    <row r="758" spans="1:8" x14ac:dyDescent="0.25">
      <c r="A758" s="174"/>
      <c r="B758" s="88" t="s">
        <v>1357</v>
      </c>
      <c r="C758" s="175" t="s">
        <v>1364</v>
      </c>
      <c r="D758" s="175" t="s">
        <v>1359</v>
      </c>
      <c r="E758" s="90"/>
      <c r="F758" s="88"/>
      <c r="G758" s="193">
        <v>3675</v>
      </c>
    </row>
    <row r="759" spans="1:8" x14ac:dyDescent="0.25">
      <c r="A759" s="87">
        <v>45805</v>
      </c>
      <c r="B759" s="88" t="s">
        <v>1365</v>
      </c>
      <c r="C759" s="175" t="s">
        <v>1367</v>
      </c>
      <c r="D759" s="175" t="s">
        <v>1360</v>
      </c>
      <c r="E759" s="90"/>
      <c r="F759" s="88"/>
      <c r="G759" s="193">
        <v>3675</v>
      </c>
    </row>
    <row r="760" spans="1:8" x14ac:dyDescent="0.25">
      <c r="A760" s="87">
        <v>45805</v>
      </c>
      <c r="B760" s="88" t="s">
        <v>1366</v>
      </c>
      <c r="C760" s="175" t="s">
        <v>1367</v>
      </c>
      <c r="D760" s="175" t="s">
        <v>1360</v>
      </c>
      <c r="E760" s="90"/>
      <c r="F760" s="88"/>
      <c r="G760" s="193">
        <v>3675</v>
      </c>
    </row>
    <row r="761" spans="1:8" x14ac:dyDescent="0.25">
      <c r="A761" s="87">
        <v>45803</v>
      </c>
      <c r="B761" s="88" t="s">
        <v>1368</v>
      </c>
      <c r="C761" s="175" t="s">
        <v>1367</v>
      </c>
      <c r="D761" s="175" t="s">
        <v>1360</v>
      </c>
      <c r="E761" s="90"/>
      <c r="F761" s="88"/>
      <c r="G761" s="193">
        <v>3675</v>
      </c>
    </row>
    <row r="762" spans="1:8" x14ac:dyDescent="0.25">
      <c r="A762" s="87">
        <v>45812</v>
      </c>
      <c r="B762" s="88" t="s">
        <v>1369</v>
      </c>
      <c r="C762" s="175" t="s">
        <v>1367</v>
      </c>
      <c r="D762" s="175" t="s">
        <v>1360</v>
      </c>
      <c r="E762" s="90"/>
      <c r="F762" s="88"/>
      <c r="G762" s="193">
        <v>3675</v>
      </c>
    </row>
    <row r="763" spans="1:8" x14ac:dyDescent="0.25">
      <c r="A763" s="87">
        <v>45813</v>
      </c>
      <c r="B763" s="88" t="s">
        <v>1370</v>
      </c>
      <c r="C763" s="175" t="s">
        <v>1371</v>
      </c>
      <c r="D763" s="175" t="s">
        <v>1360</v>
      </c>
      <c r="E763" s="90"/>
      <c r="F763" s="88"/>
      <c r="G763" s="193">
        <v>3675</v>
      </c>
    </row>
    <row r="764" spans="1:8" x14ac:dyDescent="0.25">
      <c r="A764" s="87">
        <v>45825</v>
      </c>
      <c r="B764" s="88" t="s">
        <v>1372</v>
      </c>
      <c r="C764" s="175" t="s">
        <v>1371</v>
      </c>
      <c r="D764" s="175" t="s">
        <v>1375</v>
      </c>
      <c r="E764" s="90"/>
      <c r="F764" s="88"/>
      <c r="G764" s="193">
        <v>2975</v>
      </c>
    </row>
    <row r="765" spans="1:8" ht="15.75" thickBot="1" x14ac:dyDescent="0.3">
      <c r="A765" s="272">
        <v>45772</v>
      </c>
      <c r="B765" s="243" t="s">
        <v>1347</v>
      </c>
      <c r="C765" s="181" t="s">
        <v>1371</v>
      </c>
      <c r="D765" s="181" t="s">
        <v>1359</v>
      </c>
      <c r="E765" s="249"/>
      <c r="F765" s="243"/>
      <c r="G765" s="200">
        <v>3675</v>
      </c>
    </row>
    <row r="766" spans="1:8" ht="20.25" thickBot="1" x14ac:dyDescent="0.45">
      <c r="A766" s="260"/>
      <c r="B766" s="261"/>
      <c r="C766" s="252" t="s">
        <v>9</v>
      </c>
      <c r="D766" s="252"/>
      <c r="E766" s="253">
        <f>SUM(E733:E752)</f>
        <v>0</v>
      </c>
      <c r="F766" s="253">
        <f>SUM(F733:F752)</f>
        <v>0</v>
      </c>
      <c r="G766" s="254">
        <f>SUM(G755:G765)</f>
        <v>36050</v>
      </c>
      <c r="H766" s="36">
        <v>45856</v>
      </c>
    </row>
    <row r="767" spans="1:8" x14ac:dyDescent="0.25">
      <c r="A767" s="273">
        <v>45663</v>
      </c>
      <c r="B767" s="274" t="s">
        <v>1373</v>
      </c>
      <c r="C767" s="263" t="s">
        <v>1377</v>
      </c>
      <c r="D767" s="263" t="s">
        <v>1359</v>
      </c>
      <c r="G767" s="264">
        <v>3675</v>
      </c>
    </row>
    <row r="768" spans="1:8" x14ac:dyDescent="0.25">
      <c r="A768" s="87">
        <v>45786</v>
      </c>
      <c r="B768" s="88" t="s">
        <v>1374</v>
      </c>
      <c r="C768" s="175" t="s">
        <v>1377</v>
      </c>
      <c r="D768" s="175" t="s">
        <v>1359</v>
      </c>
      <c r="G768" s="193">
        <v>3675</v>
      </c>
    </row>
    <row r="769" spans="1:8" x14ac:dyDescent="0.25">
      <c r="A769" s="87">
        <v>45730</v>
      </c>
      <c r="B769" s="88" t="s">
        <v>1378</v>
      </c>
      <c r="C769" s="175" t="s">
        <v>1377</v>
      </c>
      <c r="D769" s="175" t="s">
        <v>1361</v>
      </c>
      <c r="G769" s="193">
        <v>3675</v>
      </c>
    </row>
    <row r="770" spans="1:8" x14ac:dyDescent="0.25">
      <c r="A770" s="87">
        <v>45842</v>
      </c>
      <c r="B770" s="88" t="s">
        <v>1376</v>
      </c>
      <c r="C770" s="175" t="s">
        <v>1377</v>
      </c>
      <c r="D770" s="175" t="s">
        <v>1360</v>
      </c>
      <c r="G770" s="193">
        <v>3675</v>
      </c>
    </row>
    <row r="771" spans="1:8" x14ac:dyDescent="0.25">
      <c r="A771" s="87">
        <v>45841</v>
      </c>
      <c r="B771" s="88" t="s">
        <v>1379</v>
      </c>
      <c r="C771" s="175" t="s">
        <v>1380</v>
      </c>
      <c r="D771" s="175" t="s">
        <v>1361</v>
      </c>
      <c r="G771" s="193">
        <v>3675</v>
      </c>
    </row>
    <row r="772" spans="1:8" x14ac:dyDescent="0.25">
      <c r="A772" s="87">
        <v>45846</v>
      </c>
      <c r="B772" s="88" t="s">
        <v>1381</v>
      </c>
      <c r="C772" s="175" t="s">
        <v>1382</v>
      </c>
      <c r="D772" s="175" t="s">
        <v>1383</v>
      </c>
      <c r="G772" s="193">
        <v>2975</v>
      </c>
    </row>
    <row r="773" spans="1:8" x14ac:dyDescent="0.25">
      <c r="A773" s="87">
        <v>45852</v>
      </c>
      <c r="B773" s="88" t="s">
        <v>1384</v>
      </c>
      <c r="C773" s="175" t="s">
        <v>1385</v>
      </c>
      <c r="D773" s="175" t="s">
        <v>1360</v>
      </c>
      <c r="G773" s="193">
        <v>3675</v>
      </c>
    </row>
    <row r="774" spans="1:8" x14ac:dyDescent="0.25">
      <c r="A774" s="87">
        <v>45848</v>
      </c>
      <c r="B774" s="88" t="s">
        <v>1386</v>
      </c>
      <c r="C774" s="175" t="s">
        <v>1387</v>
      </c>
      <c r="D774" s="175" t="s">
        <v>1360</v>
      </c>
      <c r="G774" s="193">
        <v>3675</v>
      </c>
    </row>
    <row r="775" spans="1:8" x14ac:dyDescent="0.25">
      <c r="A775" s="87">
        <v>45854</v>
      </c>
      <c r="B775" s="88" t="s">
        <v>1388</v>
      </c>
      <c r="C775" s="175" t="s">
        <v>1389</v>
      </c>
      <c r="D775" s="175" t="s">
        <v>1447</v>
      </c>
      <c r="G775" s="193">
        <v>3675</v>
      </c>
    </row>
    <row r="776" spans="1:8" x14ac:dyDescent="0.25">
      <c r="A776" s="87">
        <v>45854</v>
      </c>
      <c r="B776" s="88" t="s">
        <v>1390</v>
      </c>
      <c r="C776" s="175" t="s">
        <v>1391</v>
      </c>
      <c r="D776" s="175" t="s">
        <v>1448</v>
      </c>
      <c r="G776" s="193">
        <v>3675</v>
      </c>
    </row>
    <row r="777" spans="1:8" ht="15.75" thickBot="1" x14ac:dyDescent="0.3">
      <c r="A777" s="271">
        <v>45113</v>
      </c>
      <c r="B777" s="139" t="s">
        <v>1393</v>
      </c>
      <c r="C777" s="181" t="s">
        <v>1392</v>
      </c>
      <c r="D777" s="181" t="s">
        <v>1361</v>
      </c>
      <c r="G777" s="200">
        <v>3675</v>
      </c>
      <c r="H777" s="36"/>
    </row>
    <row r="778" spans="1:8" ht="20.25" thickBot="1" x14ac:dyDescent="0.45">
      <c r="A778" s="260"/>
      <c r="B778" s="261"/>
      <c r="C778" s="252" t="s">
        <v>9</v>
      </c>
      <c r="D778" s="252"/>
      <c r="E778" s="253">
        <f>SUM(E741:E760)</f>
        <v>1627000</v>
      </c>
      <c r="F778" s="253">
        <f>SUM(F741:F760)</f>
        <v>1057550</v>
      </c>
      <c r="G778" s="254">
        <f>SUM(G767:G777)</f>
        <v>39725</v>
      </c>
      <c r="H778" s="36">
        <v>45887</v>
      </c>
    </row>
    <row r="779" spans="1:8" x14ac:dyDescent="0.25">
      <c r="A779" s="201">
        <v>45835</v>
      </c>
      <c r="B779" s="88" t="s">
        <v>1394</v>
      </c>
      <c r="C779" s="175" t="s">
        <v>1397</v>
      </c>
      <c r="D779" s="175" t="s">
        <v>1361</v>
      </c>
      <c r="G779" s="193">
        <v>3675</v>
      </c>
    </row>
    <row r="780" spans="1:8" x14ac:dyDescent="0.25">
      <c r="A780" s="201">
        <v>45827</v>
      </c>
      <c r="B780" s="88" t="s">
        <v>1395</v>
      </c>
      <c r="C780" s="175" t="s">
        <v>1396</v>
      </c>
      <c r="D780" s="181" t="s">
        <v>1398</v>
      </c>
      <c r="G780" s="200">
        <v>2975</v>
      </c>
    </row>
    <row r="781" spans="1:8" x14ac:dyDescent="0.25">
      <c r="A781" s="201">
        <v>45763</v>
      </c>
      <c r="B781" s="88" t="s">
        <v>1403</v>
      </c>
      <c r="C781" s="175" t="s">
        <v>1404</v>
      </c>
      <c r="D781" s="175" t="s">
        <v>1360</v>
      </c>
      <c r="E781" s="90"/>
      <c r="F781" s="88"/>
      <c r="G781" s="193">
        <v>3675</v>
      </c>
    </row>
    <row r="782" spans="1:8" x14ac:dyDescent="0.25">
      <c r="A782" s="201">
        <v>45730</v>
      </c>
      <c r="B782" s="88" t="s">
        <v>1407</v>
      </c>
      <c r="C782" s="175" t="s">
        <v>1408</v>
      </c>
      <c r="D782" s="175" t="s">
        <v>1361</v>
      </c>
      <c r="E782" s="90"/>
      <c r="F782" s="88"/>
      <c r="G782" s="193">
        <v>3675</v>
      </c>
    </row>
    <row r="783" spans="1:8" x14ac:dyDescent="0.25">
      <c r="A783" s="201">
        <v>45831</v>
      </c>
      <c r="B783" s="88" t="s">
        <v>1409</v>
      </c>
      <c r="C783" s="175" t="s">
        <v>1410</v>
      </c>
      <c r="D783" s="175" t="s">
        <v>1359</v>
      </c>
      <c r="E783" s="90"/>
      <c r="F783" s="88"/>
      <c r="G783" s="193">
        <v>3675</v>
      </c>
    </row>
    <row r="784" spans="1:8" x14ac:dyDescent="0.25">
      <c r="A784" s="201">
        <v>45846</v>
      </c>
      <c r="B784" s="88" t="s">
        <v>1411</v>
      </c>
      <c r="C784" s="175" t="s">
        <v>1412</v>
      </c>
      <c r="D784" s="175" t="s">
        <v>1361</v>
      </c>
      <c r="E784" s="90"/>
      <c r="F784" s="88"/>
      <c r="G784" s="193">
        <v>3675</v>
      </c>
    </row>
    <row r="785" spans="1:7" x14ac:dyDescent="0.25">
      <c r="A785" s="204">
        <v>45875</v>
      </c>
      <c r="B785" s="202" t="s">
        <v>1413</v>
      </c>
      <c r="C785" s="175" t="s">
        <v>1414</v>
      </c>
      <c r="D785" s="175" t="s">
        <v>1360</v>
      </c>
      <c r="E785" s="90"/>
      <c r="F785" s="88"/>
      <c r="G785" s="193">
        <v>3675</v>
      </c>
    </row>
    <row r="786" spans="1:7" x14ac:dyDescent="0.25">
      <c r="A786" s="204">
        <v>45875</v>
      </c>
      <c r="B786" s="202" t="s">
        <v>1415</v>
      </c>
      <c r="C786" s="175" t="s">
        <v>1416</v>
      </c>
      <c r="D786" s="175" t="s">
        <v>1360</v>
      </c>
      <c r="E786" s="90"/>
      <c r="F786" s="88"/>
      <c r="G786" s="193">
        <v>3675</v>
      </c>
    </row>
    <row r="787" spans="1:7" x14ac:dyDescent="0.25">
      <c r="A787" s="204">
        <v>45875</v>
      </c>
      <c r="B787" s="202" t="s">
        <v>1417</v>
      </c>
      <c r="C787" s="175" t="s">
        <v>1418</v>
      </c>
      <c r="D787" s="175" t="s">
        <v>1360</v>
      </c>
      <c r="E787" s="90"/>
      <c r="F787" s="88"/>
      <c r="G787" s="193">
        <v>3675</v>
      </c>
    </row>
    <row r="788" spans="1:7" x14ac:dyDescent="0.25">
      <c r="A788" s="204">
        <v>45875</v>
      </c>
      <c r="B788" s="202" t="s">
        <v>1419</v>
      </c>
      <c r="C788" s="175" t="s">
        <v>1420</v>
      </c>
      <c r="D788" s="175" t="s">
        <v>1360</v>
      </c>
      <c r="E788" s="90"/>
      <c r="F788" s="88"/>
      <c r="G788" s="193">
        <v>3675</v>
      </c>
    </row>
    <row r="789" spans="1:7" x14ac:dyDescent="0.25">
      <c r="A789" s="205">
        <v>45876</v>
      </c>
      <c r="B789" s="88" t="s">
        <v>1421</v>
      </c>
      <c r="C789" s="175" t="s">
        <v>1422</v>
      </c>
      <c r="D789" s="175" t="s">
        <v>1359</v>
      </c>
      <c r="E789" s="90"/>
      <c r="F789" s="88"/>
      <c r="G789" s="193">
        <v>3675</v>
      </c>
    </row>
    <row r="790" spans="1:7" x14ac:dyDescent="0.25">
      <c r="A790" s="201">
        <v>45833</v>
      </c>
      <c r="B790" s="88" t="s">
        <v>1426</v>
      </c>
      <c r="C790" s="175" t="s">
        <v>1450</v>
      </c>
      <c r="D790" s="175" t="s">
        <v>1361</v>
      </c>
      <c r="E790" s="90"/>
      <c r="F790" s="88"/>
      <c r="G790" s="193">
        <v>3675</v>
      </c>
    </row>
    <row r="791" spans="1:7" x14ac:dyDescent="0.25">
      <c r="A791" s="201">
        <v>45833</v>
      </c>
      <c r="B791" s="88" t="s">
        <v>1426</v>
      </c>
      <c r="C791" s="175" t="s">
        <v>1450</v>
      </c>
      <c r="D791" s="175" t="s">
        <v>700</v>
      </c>
      <c r="E791" s="90"/>
      <c r="F791" s="88"/>
      <c r="G791" s="193">
        <v>3500</v>
      </c>
    </row>
    <row r="792" spans="1:7" x14ac:dyDescent="0.25">
      <c r="A792" s="204">
        <v>45881</v>
      </c>
      <c r="B792" s="202" t="s">
        <v>1427</v>
      </c>
      <c r="C792" s="217" t="s">
        <v>1428</v>
      </c>
      <c r="D792" s="175" t="s">
        <v>1361</v>
      </c>
      <c r="E792" s="90"/>
      <c r="F792" s="88"/>
      <c r="G792" s="193">
        <v>3675</v>
      </c>
    </row>
    <row r="793" spans="1:7" x14ac:dyDescent="0.25">
      <c r="A793" s="205">
        <v>45887</v>
      </c>
      <c r="B793" s="88" t="s">
        <v>1431</v>
      </c>
      <c r="C793" s="175" t="s">
        <v>1430</v>
      </c>
      <c r="D793" s="175" t="s">
        <v>1359</v>
      </c>
      <c r="E793" s="90"/>
      <c r="F793" s="88"/>
      <c r="G793" s="193">
        <v>3675</v>
      </c>
    </row>
    <row r="794" spans="1:7" x14ac:dyDescent="0.25">
      <c r="A794" s="205">
        <v>45887</v>
      </c>
      <c r="B794" s="88" t="s">
        <v>1429</v>
      </c>
      <c r="C794" s="175" t="s">
        <v>1433</v>
      </c>
      <c r="D794" s="175" t="s">
        <v>1451</v>
      </c>
      <c r="E794" s="90"/>
      <c r="F794" s="88"/>
      <c r="G794" s="193">
        <v>3675</v>
      </c>
    </row>
    <row r="795" spans="1:7" x14ac:dyDescent="0.25">
      <c r="A795" s="201">
        <v>45882</v>
      </c>
      <c r="B795" s="88" t="s">
        <v>1434</v>
      </c>
      <c r="C795" s="175" t="s">
        <v>1432</v>
      </c>
      <c r="D795" s="175" t="s">
        <v>1360</v>
      </c>
      <c r="E795" s="90"/>
      <c r="F795" s="88"/>
      <c r="G795" s="193">
        <v>3675</v>
      </c>
    </row>
    <row r="796" spans="1:7" x14ac:dyDescent="0.25">
      <c r="A796" s="201">
        <v>45839</v>
      </c>
      <c r="B796" s="88" t="s">
        <v>1435</v>
      </c>
      <c r="C796" s="175" t="s">
        <v>1436</v>
      </c>
      <c r="D796" s="175" t="s">
        <v>1361</v>
      </c>
      <c r="E796" s="90"/>
      <c r="F796" s="88"/>
      <c r="G796" s="193">
        <v>3675</v>
      </c>
    </row>
    <row r="797" spans="1:7" x14ac:dyDescent="0.25">
      <c r="A797" s="44">
        <v>45484</v>
      </c>
      <c r="B797" s="45" t="s">
        <v>1241</v>
      </c>
      <c r="C797" s="175" t="s">
        <v>1437</v>
      </c>
      <c r="D797" s="175" t="s">
        <v>1362</v>
      </c>
      <c r="E797" s="90"/>
      <c r="F797" s="88"/>
      <c r="G797" s="193">
        <v>2975</v>
      </c>
    </row>
    <row r="798" spans="1:7" x14ac:dyDescent="0.25">
      <c r="A798" s="204">
        <v>45896</v>
      </c>
      <c r="B798" s="202" t="s">
        <v>1438</v>
      </c>
      <c r="C798" s="175" t="s">
        <v>1439</v>
      </c>
      <c r="D798" s="175" t="s">
        <v>1383</v>
      </c>
      <c r="E798" s="90"/>
      <c r="F798" s="88"/>
      <c r="G798" s="193">
        <v>2975</v>
      </c>
    </row>
    <row r="799" spans="1:7" x14ac:dyDescent="0.25">
      <c r="A799" s="209">
        <v>45895</v>
      </c>
      <c r="B799" s="202" t="s">
        <v>1449</v>
      </c>
      <c r="C799" s="175" t="s">
        <v>1440</v>
      </c>
      <c r="D799" s="175" t="s">
        <v>1361</v>
      </c>
      <c r="E799" s="90"/>
      <c r="F799" s="88"/>
      <c r="G799" s="193">
        <v>3675</v>
      </c>
    </row>
    <row r="800" spans="1:7" x14ac:dyDescent="0.25">
      <c r="A800" s="206">
        <v>45891</v>
      </c>
      <c r="B800" s="202" t="s">
        <v>1441</v>
      </c>
      <c r="C800" s="175" t="s">
        <v>1442</v>
      </c>
      <c r="D800" s="190" t="s">
        <v>1360</v>
      </c>
      <c r="E800" s="90"/>
      <c r="F800" s="88"/>
      <c r="G800" s="193">
        <v>3675</v>
      </c>
    </row>
    <row r="801" spans="1:8" x14ac:dyDescent="0.25">
      <c r="A801" s="180">
        <v>45888</v>
      </c>
      <c r="B801" s="71" t="s">
        <v>1443</v>
      </c>
      <c r="C801" s="175" t="s">
        <v>1444</v>
      </c>
      <c r="D801" s="175" t="s">
        <v>1359</v>
      </c>
      <c r="E801" s="90"/>
      <c r="F801" s="88"/>
      <c r="G801" s="193">
        <v>3675</v>
      </c>
    </row>
    <row r="802" spans="1:8" ht="15.75" thickBot="1" x14ac:dyDescent="0.3">
      <c r="A802" s="270">
        <v>45888</v>
      </c>
      <c r="B802" s="248" t="s">
        <v>1445</v>
      </c>
      <c r="C802" s="181" t="s">
        <v>1446</v>
      </c>
      <c r="D802" s="181" t="s">
        <v>1359</v>
      </c>
      <c r="E802" s="249"/>
      <c r="F802" s="243"/>
      <c r="G802" s="200">
        <v>3675</v>
      </c>
    </row>
    <row r="803" spans="1:8" ht="20.25" thickBot="1" x14ac:dyDescent="0.45">
      <c r="A803" s="260"/>
      <c r="B803" s="261"/>
      <c r="C803" s="252" t="s">
        <v>9</v>
      </c>
      <c r="D803" s="252"/>
      <c r="E803" s="253">
        <f>SUM(E746:E766)</f>
        <v>1627000</v>
      </c>
      <c r="F803" s="253">
        <f>SUM(F746:F766)</f>
        <v>1057550</v>
      </c>
      <c r="G803" s="254">
        <f>SUM(G779:G802)</f>
        <v>85925</v>
      </c>
      <c r="H803" s="36">
        <v>45915</v>
      </c>
    </row>
    <row r="806" spans="1:8" x14ac:dyDescent="0.25">
      <c r="A806" s="203">
        <v>45708</v>
      </c>
      <c r="B806" s="192" t="s">
        <v>1399</v>
      </c>
      <c r="C806" s="175" t="s">
        <v>1401</v>
      </c>
      <c r="D806" s="175" t="s">
        <v>1400</v>
      </c>
      <c r="E806" s="90"/>
      <c r="F806" s="88"/>
      <c r="G806" s="193">
        <v>3675</v>
      </c>
    </row>
    <row r="807" spans="1:8" x14ac:dyDescent="0.25">
      <c r="A807" s="203"/>
      <c r="B807" s="192"/>
      <c r="C807" s="175"/>
      <c r="D807" s="175" t="s">
        <v>700</v>
      </c>
      <c r="E807" s="90"/>
      <c r="F807" s="88"/>
      <c r="G807" s="193">
        <v>6055</v>
      </c>
    </row>
    <row r="808" spans="1:8" ht="15.75" thickBot="1" x14ac:dyDescent="0.3">
      <c r="A808" s="203"/>
      <c r="B808" s="192"/>
      <c r="C808" s="175"/>
      <c r="D808" s="175" t="s">
        <v>134</v>
      </c>
      <c r="E808" s="90"/>
      <c r="F808" s="88"/>
      <c r="G808" s="193">
        <v>45500</v>
      </c>
    </row>
    <row r="809" spans="1:8" ht="20.25" thickBot="1" x14ac:dyDescent="0.45">
      <c r="A809" s="265"/>
      <c r="B809" s="266"/>
      <c r="C809" s="267"/>
      <c r="D809" s="267"/>
      <c r="E809" s="268"/>
      <c r="F809" s="251"/>
      <c r="G809" s="269">
        <f>SUM(G806:G808)</f>
        <v>55230</v>
      </c>
      <c r="H809" s="36">
        <v>45947</v>
      </c>
    </row>
    <row r="810" spans="1:8" x14ac:dyDescent="0.25">
      <c r="A810" s="210">
        <v>45905</v>
      </c>
      <c r="B810" s="202" t="s">
        <v>1452</v>
      </c>
      <c r="C810" s="263" t="s">
        <v>1453</v>
      </c>
      <c r="D810" s="263" t="s">
        <v>1360</v>
      </c>
      <c r="E810" s="259"/>
      <c r="F810" s="202"/>
      <c r="G810" s="264">
        <v>3675</v>
      </c>
    </row>
    <row r="811" spans="1:8" x14ac:dyDescent="0.25">
      <c r="A811" s="186">
        <v>45905</v>
      </c>
      <c r="B811" s="88" t="s">
        <v>1508</v>
      </c>
      <c r="C811" s="175" t="s">
        <v>1454</v>
      </c>
      <c r="D811" s="175" t="s">
        <v>1360</v>
      </c>
      <c r="E811" s="90"/>
      <c r="F811" s="88"/>
      <c r="G811" s="193">
        <v>3675</v>
      </c>
    </row>
    <row r="812" spans="1:8" x14ac:dyDescent="0.25">
      <c r="A812" s="210">
        <v>45916</v>
      </c>
      <c r="B812" s="202" t="s">
        <v>1455</v>
      </c>
      <c r="C812" s="175" t="s">
        <v>1456</v>
      </c>
      <c r="D812" s="175" t="s">
        <v>1360</v>
      </c>
      <c r="E812" s="90"/>
      <c r="F812" s="88"/>
      <c r="G812" s="193">
        <v>3675</v>
      </c>
    </row>
    <row r="813" spans="1:8" x14ac:dyDescent="0.25">
      <c r="A813" s="210">
        <v>45916</v>
      </c>
      <c r="B813" s="202" t="s">
        <v>1457</v>
      </c>
      <c r="C813" s="175" t="s">
        <v>1458</v>
      </c>
      <c r="D813" s="175" t="s">
        <v>1360</v>
      </c>
      <c r="E813" s="90"/>
      <c r="F813" s="88"/>
      <c r="G813" s="193">
        <v>3675</v>
      </c>
    </row>
    <row r="814" spans="1:8" x14ac:dyDescent="0.25">
      <c r="A814" s="211">
        <v>45834</v>
      </c>
      <c r="B814" s="88" t="s">
        <v>1459</v>
      </c>
      <c r="C814" s="175" t="s">
        <v>1460</v>
      </c>
      <c r="D814" s="175" t="s">
        <v>1359</v>
      </c>
      <c r="E814" s="90"/>
      <c r="F814" s="88"/>
      <c r="G814" s="193">
        <v>3675</v>
      </c>
    </row>
    <row r="815" spans="1:8" x14ac:dyDescent="0.25">
      <c r="A815" s="213">
        <v>45902</v>
      </c>
      <c r="B815" s="212" t="s">
        <v>1461</v>
      </c>
      <c r="C815" s="175" t="s">
        <v>1462</v>
      </c>
      <c r="D815" s="175" t="s">
        <v>1359</v>
      </c>
      <c r="E815" s="90"/>
      <c r="F815" s="88"/>
      <c r="G815" s="193">
        <v>3675</v>
      </c>
    </row>
    <row r="816" spans="1:8" x14ac:dyDescent="0.25">
      <c r="A816" s="182">
        <v>45888</v>
      </c>
      <c r="B816" s="71" t="s">
        <v>1463</v>
      </c>
      <c r="C816" s="175" t="s">
        <v>1464</v>
      </c>
      <c r="D816" s="175" t="s">
        <v>1359</v>
      </c>
      <c r="E816" s="90"/>
      <c r="F816" s="88"/>
      <c r="G816" s="193">
        <v>3675</v>
      </c>
    </row>
    <row r="817" spans="1:8" x14ac:dyDescent="0.25">
      <c r="A817" s="186">
        <v>45869</v>
      </c>
      <c r="B817" s="88" t="s">
        <v>1465</v>
      </c>
      <c r="C817" s="175" t="s">
        <v>1466</v>
      </c>
      <c r="D817" s="175" t="s">
        <v>1360</v>
      </c>
      <c r="E817" s="90"/>
      <c r="F817" s="88"/>
      <c r="G817" s="193">
        <v>3675</v>
      </c>
    </row>
    <row r="818" spans="1:8" x14ac:dyDescent="0.25">
      <c r="A818" s="213">
        <v>45918</v>
      </c>
      <c r="B818" s="212" t="s">
        <v>1470</v>
      </c>
      <c r="C818" s="175" t="s">
        <v>1471</v>
      </c>
      <c r="D818" s="175" t="s">
        <v>1360</v>
      </c>
      <c r="E818" s="90"/>
      <c r="F818" s="88"/>
      <c r="G818" s="193">
        <v>3675</v>
      </c>
    </row>
    <row r="819" spans="1:8" x14ac:dyDescent="0.25">
      <c r="A819" s="213">
        <v>45901</v>
      </c>
      <c r="B819" s="212" t="s">
        <v>1472</v>
      </c>
      <c r="C819" s="175" t="s">
        <v>1473</v>
      </c>
      <c r="D819" s="175" t="s">
        <v>1359</v>
      </c>
      <c r="E819" s="90"/>
      <c r="F819" s="88"/>
      <c r="G819" s="193">
        <v>3675</v>
      </c>
    </row>
    <row r="820" spans="1:8" x14ac:dyDescent="0.25">
      <c r="A820" s="213">
        <v>45908</v>
      </c>
      <c r="B820" s="212" t="s">
        <v>1475</v>
      </c>
      <c r="C820" s="175" t="s">
        <v>1474</v>
      </c>
      <c r="D820" s="175" t="s">
        <v>1359</v>
      </c>
      <c r="E820" s="90"/>
      <c r="F820" s="88"/>
      <c r="G820" s="193">
        <v>3675</v>
      </c>
    </row>
    <row r="821" spans="1:8" x14ac:dyDescent="0.25">
      <c r="A821" s="213">
        <v>45915</v>
      </c>
      <c r="B821" s="212" t="s">
        <v>1476</v>
      </c>
      <c r="C821" s="175" t="s">
        <v>1477</v>
      </c>
      <c r="D821" s="175" t="s">
        <v>1383</v>
      </c>
      <c r="E821" s="90"/>
      <c r="F821" s="88"/>
      <c r="G821" s="193">
        <v>2975</v>
      </c>
    </row>
    <row r="822" spans="1:8" x14ac:dyDescent="0.25">
      <c r="A822" s="216">
        <v>45922</v>
      </c>
      <c r="B822" s="215" t="s">
        <v>1478</v>
      </c>
      <c r="C822" s="175" t="s">
        <v>1479</v>
      </c>
      <c r="D822" s="175" t="s">
        <v>1359</v>
      </c>
      <c r="E822" s="90"/>
      <c r="F822" s="88"/>
      <c r="G822" s="193">
        <v>3675</v>
      </c>
    </row>
    <row r="823" spans="1:8" x14ac:dyDescent="0.25">
      <c r="A823" s="210">
        <v>45908</v>
      </c>
      <c r="B823" s="202" t="s">
        <v>1480</v>
      </c>
      <c r="C823" s="175" t="s">
        <v>1481</v>
      </c>
      <c r="D823" s="175" t="s">
        <v>1359</v>
      </c>
      <c r="E823" s="90"/>
      <c r="F823" s="88"/>
      <c r="G823" s="193">
        <v>3675</v>
      </c>
    </row>
    <row r="824" spans="1:8" ht="15.75" thickBot="1" x14ac:dyDescent="0.3">
      <c r="A824" s="262">
        <v>45924</v>
      </c>
      <c r="B824" s="248" t="s">
        <v>1482</v>
      </c>
      <c r="C824" s="181" t="s">
        <v>1483</v>
      </c>
      <c r="D824" s="181" t="s">
        <v>1360</v>
      </c>
      <c r="E824" s="249"/>
      <c r="F824" s="243"/>
      <c r="G824" s="200">
        <v>3675</v>
      </c>
    </row>
    <row r="825" spans="1:8" ht="20.25" thickBot="1" x14ac:dyDescent="0.45">
      <c r="A825" s="260"/>
      <c r="B825" s="261"/>
      <c r="C825" s="252" t="s">
        <v>9</v>
      </c>
      <c r="D825" s="252"/>
      <c r="E825" s="253">
        <f>SUM(E757:E777)</f>
        <v>0</v>
      </c>
      <c r="F825" s="253">
        <f>SUM(F757:F777)</f>
        <v>0</v>
      </c>
      <c r="G825" s="254">
        <f>SUM(G810:G824)</f>
        <v>54425</v>
      </c>
      <c r="H825" s="36">
        <v>45947</v>
      </c>
    </row>
    <row r="826" spans="1:8" x14ac:dyDescent="0.25">
      <c r="A826" s="204">
        <v>45932</v>
      </c>
      <c r="B826" s="202" t="s">
        <v>1484</v>
      </c>
      <c r="C826" s="263" t="s">
        <v>1485</v>
      </c>
      <c r="D826" s="263" t="s">
        <v>1360</v>
      </c>
      <c r="E826" s="259"/>
      <c r="F826" s="202"/>
      <c r="G826" s="264">
        <v>3675</v>
      </c>
    </row>
    <row r="827" spans="1:8" x14ac:dyDescent="0.25">
      <c r="A827" s="201">
        <v>45932</v>
      </c>
      <c r="B827" s="88" t="s">
        <v>1486</v>
      </c>
      <c r="C827" s="175" t="s">
        <v>1487</v>
      </c>
      <c r="D827" s="175" t="s">
        <v>1360</v>
      </c>
      <c r="E827" s="90"/>
      <c r="F827" s="88"/>
      <c r="G827" s="193">
        <v>3675</v>
      </c>
    </row>
    <row r="828" spans="1:8" x14ac:dyDescent="0.25">
      <c r="A828" s="201">
        <v>45932</v>
      </c>
      <c r="B828" s="88" t="s">
        <v>1488</v>
      </c>
      <c r="C828" s="175" t="s">
        <v>1489</v>
      </c>
      <c r="D828" s="175" t="s">
        <v>1360</v>
      </c>
      <c r="E828" s="90"/>
      <c r="F828" s="88"/>
      <c r="G828" s="193">
        <v>3675</v>
      </c>
    </row>
    <row r="829" spans="1:8" x14ac:dyDescent="0.25">
      <c r="A829" s="204">
        <v>45933</v>
      </c>
      <c r="B829" s="202" t="s">
        <v>1490</v>
      </c>
      <c r="C829" s="175" t="s">
        <v>1491</v>
      </c>
      <c r="D829" s="175" t="s">
        <v>1360</v>
      </c>
      <c r="E829" s="90"/>
      <c r="F829" s="88"/>
      <c r="G829" s="193">
        <v>3675</v>
      </c>
    </row>
    <row r="830" spans="1:8" x14ac:dyDescent="0.25">
      <c r="A830" s="201">
        <v>45873</v>
      </c>
      <c r="B830" s="88" t="s">
        <v>1492</v>
      </c>
      <c r="C830" s="175" t="s">
        <v>1493</v>
      </c>
      <c r="D830" s="175" t="s">
        <v>1360</v>
      </c>
      <c r="E830" s="90"/>
      <c r="F830" s="88"/>
      <c r="G830" s="193">
        <v>3675</v>
      </c>
    </row>
    <row r="831" spans="1:8" x14ac:dyDescent="0.25">
      <c r="A831" s="201">
        <v>45854</v>
      </c>
      <c r="B831" s="88" t="s">
        <v>1494</v>
      </c>
      <c r="C831" s="175" t="s">
        <v>1495</v>
      </c>
      <c r="D831" s="175" t="s">
        <v>1360</v>
      </c>
      <c r="E831" s="90"/>
      <c r="F831" s="88"/>
      <c r="G831" s="193">
        <v>3675</v>
      </c>
    </row>
    <row r="832" spans="1:8" x14ac:dyDescent="0.25">
      <c r="A832" s="204">
        <v>45938</v>
      </c>
      <c r="B832" s="202" t="s">
        <v>1496</v>
      </c>
      <c r="C832" s="175" t="s">
        <v>1497</v>
      </c>
      <c r="D832" s="175" t="s">
        <v>1360</v>
      </c>
      <c r="E832" s="90"/>
      <c r="F832" s="88"/>
      <c r="G832" s="193">
        <v>3675</v>
      </c>
    </row>
    <row r="833" spans="1:8" x14ac:dyDescent="0.25">
      <c r="A833" s="201">
        <v>45940</v>
      </c>
      <c r="B833" s="88" t="s">
        <v>1498</v>
      </c>
      <c r="C833" s="175" t="s">
        <v>1499</v>
      </c>
      <c r="D833" s="175" t="s">
        <v>1361</v>
      </c>
      <c r="E833" s="90"/>
      <c r="F833" s="88"/>
      <c r="G833" s="193">
        <v>3675</v>
      </c>
    </row>
    <row r="834" spans="1:8" x14ac:dyDescent="0.25">
      <c r="A834" s="201">
        <v>45930</v>
      </c>
      <c r="B834" s="88" t="s">
        <v>1500</v>
      </c>
      <c r="C834" s="175" t="s">
        <v>1501</v>
      </c>
      <c r="D834" s="175" t="s">
        <v>1361</v>
      </c>
      <c r="E834" s="90"/>
      <c r="F834" s="88"/>
      <c r="G834" s="193">
        <v>3675</v>
      </c>
    </row>
    <row r="835" spans="1:8" x14ac:dyDescent="0.25">
      <c r="A835" s="219">
        <v>45929</v>
      </c>
      <c r="B835" s="215" t="s">
        <v>1502</v>
      </c>
      <c r="C835" s="175" t="s">
        <v>1503</v>
      </c>
      <c r="D835" s="175" t="s">
        <v>1359</v>
      </c>
      <c r="E835" s="90"/>
      <c r="F835" s="88"/>
      <c r="G835" s="193">
        <v>3675</v>
      </c>
    </row>
    <row r="836" spans="1:8" x14ac:dyDescent="0.25">
      <c r="A836" s="179">
        <v>45945</v>
      </c>
      <c r="B836" s="218" t="s">
        <v>1504</v>
      </c>
      <c r="C836" s="175" t="s">
        <v>1505</v>
      </c>
      <c r="D836" s="175" t="s">
        <v>1361</v>
      </c>
      <c r="E836" s="90"/>
      <c r="F836" s="88"/>
      <c r="G836" s="193">
        <v>3675</v>
      </c>
    </row>
    <row r="837" spans="1:8" x14ac:dyDescent="0.25">
      <c r="A837" s="179">
        <v>45945</v>
      </c>
      <c r="B837" s="218" t="s">
        <v>1504</v>
      </c>
      <c r="C837" s="175" t="s">
        <v>1505</v>
      </c>
      <c r="D837" s="175" t="s">
        <v>1361</v>
      </c>
      <c r="E837" s="90"/>
      <c r="F837" s="88"/>
      <c r="G837" s="193">
        <v>3675</v>
      </c>
    </row>
    <row r="838" spans="1:8" x14ac:dyDescent="0.25">
      <c r="A838" s="179">
        <v>45947</v>
      </c>
      <c r="B838" s="212" t="s">
        <v>1506</v>
      </c>
      <c r="C838" s="175" t="s">
        <v>1507</v>
      </c>
      <c r="D838" s="175" t="s">
        <v>1359</v>
      </c>
      <c r="E838" s="90"/>
      <c r="F838" s="88"/>
      <c r="G838" s="193">
        <v>3675</v>
      </c>
    </row>
    <row r="839" spans="1:8" x14ac:dyDescent="0.25">
      <c r="A839" s="207">
        <v>45953</v>
      </c>
      <c r="B839" s="88" t="s">
        <v>1509</v>
      </c>
      <c r="C839" s="175" t="s">
        <v>1510</v>
      </c>
      <c r="D839" s="175" t="s">
        <v>1375</v>
      </c>
      <c r="E839" s="90"/>
      <c r="F839" s="88"/>
      <c r="G839" s="193">
        <v>2975</v>
      </c>
    </row>
    <row r="840" spans="1:8" x14ac:dyDescent="0.25">
      <c r="A840" s="201">
        <v>45763</v>
      </c>
      <c r="B840" s="88" t="s">
        <v>1511</v>
      </c>
      <c r="C840" s="175" t="s">
        <v>1512</v>
      </c>
      <c r="D840" s="175" t="s">
        <v>1375</v>
      </c>
      <c r="E840" s="90"/>
      <c r="F840" s="88"/>
      <c r="G840" s="193">
        <v>2975</v>
      </c>
    </row>
    <row r="841" spans="1:8" x14ac:dyDescent="0.25">
      <c r="A841" s="201">
        <v>45917</v>
      </c>
      <c r="B841" s="88" t="s">
        <v>1513</v>
      </c>
      <c r="C841" s="175" t="s">
        <v>1514</v>
      </c>
      <c r="D841" s="175" t="s">
        <v>1375</v>
      </c>
      <c r="E841" s="90"/>
      <c r="F841" s="88"/>
      <c r="G841" s="193">
        <v>2975</v>
      </c>
    </row>
    <row r="842" spans="1:8" ht="15.75" thickBot="1" x14ac:dyDescent="0.3">
      <c r="A842" s="256">
        <v>45856</v>
      </c>
      <c r="B842" s="243" t="s">
        <v>1423</v>
      </c>
      <c r="C842" s="181" t="s">
        <v>1424</v>
      </c>
      <c r="D842" s="181" t="s">
        <v>1425</v>
      </c>
      <c r="E842" s="249"/>
      <c r="F842" s="243"/>
      <c r="G842" s="200">
        <v>2975</v>
      </c>
    </row>
    <row r="843" spans="1:8" ht="20.25" thickBot="1" x14ac:dyDescent="0.45">
      <c r="A843" s="260"/>
      <c r="B843" s="261"/>
      <c r="C843" s="252" t="s">
        <v>9</v>
      </c>
      <c r="D843" s="252"/>
      <c r="E843" s="253">
        <f>SUM(E775:E796)</f>
        <v>1627000</v>
      </c>
      <c r="F843" s="253">
        <f>SUM(F775:F796)</f>
        <v>1057550</v>
      </c>
      <c r="G843" s="254">
        <f>SUM(G826:G842)</f>
        <v>59675</v>
      </c>
      <c r="H843" s="36">
        <v>45978</v>
      </c>
    </row>
    <row r="846" spans="1:8" x14ac:dyDescent="0.25">
      <c r="A846" s="222">
        <v>45966</v>
      </c>
      <c r="B846" s="223" t="s">
        <v>1515</v>
      </c>
      <c r="C846" s="175" t="s">
        <v>1516</v>
      </c>
      <c r="D846" s="225" t="s">
        <v>1360</v>
      </c>
      <c r="E846" s="227"/>
      <c r="F846" s="220"/>
      <c r="G846" s="228">
        <v>3675</v>
      </c>
    </row>
    <row r="847" spans="1:8" x14ac:dyDescent="0.25">
      <c r="A847" s="224">
        <v>45698</v>
      </c>
      <c r="B847" s="225" t="s">
        <v>1517</v>
      </c>
      <c r="C847" s="175" t="s">
        <v>1518</v>
      </c>
      <c r="D847" s="225" t="s">
        <v>1360</v>
      </c>
      <c r="E847" s="227"/>
      <c r="F847" s="220"/>
      <c r="G847" s="228">
        <v>3675</v>
      </c>
    </row>
    <row r="848" spans="1:8" x14ac:dyDescent="0.25">
      <c r="A848" s="222">
        <v>45897</v>
      </c>
      <c r="B848" s="223" t="s">
        <v>1519</v>
      </c>
      <c r="C848" s="175" t="s">
        <v>1520</v>
      </c>
      <c r="D848" s="220" t="s">
        <v>1359</v>
      </c>
      <c r="E848" s="227"/>
      <c r="F848" s="220"/>
      <c r="G848" s="228">
        <v>3675</v>
      </c>
    </row>
    <row r="849" spans="1:8" x14ac:dyDescent="0.25">
      <c r="A849" s="221">
        <v>45624</v>
      </c>
      <c r="B849" s="226" t="s">
        <v>1521</v>
      </c>
      <c r="C849" s="175" t="s">
        <v>1522</v>
      </c>
      <c r="D849" s="225" t="s">
        <v>1360</v>
      </c>
      <c r="E849" s="227"/>
      <c r="F849" s="220"/>
      <c r="G849" s="228">
        <v>3675</v>
      </c>
    </row>
    <row r="850" spans="1:8" ht="15.75" thickBot="1" x14ac:dyDescent="0.3">
      <c r="A850" s="242"/>
      <c r="B850" s="243"/>
      <c r="C850" s="255"/>
      <c r="D850" s="255"/>
      <c r="E850" s="249"/>
      <c r="F850" s="243"/>
      <c r="G850" s="243"/>
    </row>
    <row r="851" spans="1:8" ht="20.25" thickBot="1" x14ac:dyDescent="0.45">
      <c r="A851" s="250"/>
      <c r="B851" s="251"/>
      <c r="C851" s="252" t="s">
        <v>9</v>
      </c>
      <c r="D851" s="252"/>
      <c r="E851" s="253">
        <f>SUM(E783:E807)</f>
        <v>1627000</v>
      </c>
      <c r="F851" s="253">
        <f>SUM(F783:F807)</f>
        <v>1057550</v>
      </c>
      <c r="G851" s="254">
        <f>SUM(G846:G849)</f>
        <v>14700</v>
      </c>
      <c r="H851" s="36">
        <v>46008</v>
      </c>
    </row>
    <row r="852" spans="1:8" x14ac:dyDescent="0.25">
      <c r="A852" s="257"/>
      <c r="B852" s="202"/>
      <c r="C852" s="258"/>
      <c r="D852" s="258"/>
      <c r="E852" s="259"/>
      <c r="F852" s="202"/>
      <c r="G852" s="202"/>
    </row>
    <row r="853" spans="1:8" x14ac:dyDescent="0.25">
      <c r="A853" s="229">
        <v>45947</v>
      </c>
      <c r="B853" s="220" t="s">
        <v>1523</v>
      </c>
      <c r="C853" s="220" t="s">
        <v>1525</v>
      </c>
      <c r="D853" s="220" t="s">
        <v>1375</v>
      </c>
      <c r="E853" s="227"/>
      <c r="F853" s="220"/>
      <c r="G853" s="228">
        <v>2975</v>
      </c>
    </row>
    <row r="854" spans="1:8" x14ac:dyDescent="0.25">
      <c r="A854" s="230">
        <v>45831</v>
      </c>
      <c r="B854" s="220" t="s">
        <v>1524</v>
      </c>
      <c r="C854" s="220" t="s">
        <v>1526</v>
      </c>
      <c r="D854" s="220" t="s">
        <v>1383</v>
      </c>
      <c r="E854" s="227"/>
      <c r="F854" s="220"/>
      <c r="G854" s="228">
        <v>2975</v>
      </c>
    </row>
    <row r="855" spans="1:8" x14ac:dyDescent="0.25">
      <c r="A855" s="231">
        <v>46006</v>
      </c>
      <c r="B855" s="232" t="s">
        <v>1527</v>
      </c>
      <c r="C855" s="220" t="s">
        <v>1528</v>
      </c>
      <c r="D855" s="225" t="s">
        <v>1360</v>
      </c>
      <c r="E855" s="227"/>
      <c r="F855" s="220"/>
      <c r="G855" s="228">
        <v>3675</v>
      </c>
    </row>
    <row r="856" spans="1:8" x14ac:dyDescent="0.25">
      <c r="A856" s="231">
        <v>46006</v>
      </c>
      <c r="B856" s="232" t="s">
        <v>1530</v>
      </c>
      <c r="C856" s="220" t="s">
        <v>1529</v>
      </c>
      <c r="D856" s="225" t="s">
        <v>1360</v>
      </c>
      <c r="E856" s="227"/>
      <c r="F856" s="220"/>
      <c r="G856" s="228">
        <v>3675</v>
      </c>
    </row>
    <row r="857" spans="1:8" x14ac:dyDescent="0.25">
      <c r="A857" s="229">
        <v>45929</v>
      </c>
      <c r="B857" s="220" t="s">
        <v>1531</v>
      </c>
      <c r="C857" s="220" t="s">
        <v>1532</v>
      </c>
      <c r="D857" s="225" t="s">
        <v>1360</v>
      </c>
      <c r="E857" s="227"/>
      <c r="F857" s="220"/>
      <c r="G857" s="228">
        <v>3675</v>
      </c>
    </row>
    <row r="858" spans="1:8" x14ac:dyDescent="0.25">
      <c r="A858" s="233">
        <v>45995</v>
      </c>
      <c r="B858" s="234" t="s">
        <v>1533</v>
      </c>
      <c r="C858" s="220" t="s">
        <v>1534</v>
      </c>
      <c r="D858" s="225" t="s">
        <v>1360</v>
      </c>
      <c r="E858" s="227"/>
      <c r="F858" s="220"/>
      <c r="G858" s="228">
        <v>3675</v>
      </c>
    </row>
    <row r="859" spans="1:8" x14ac:dyDescent="0.25">
      <c r="A859" s="229">
        <v>45957</v>
      </c>
      <c r="B859" s="220" t="s">
        <v>1536</v>
      </c>
      <c r="C859" s="220" t="s">
        <v>1535</v>
      </c>
      <c r="D859" s="220" t="s">
        <v>1359</v>
      </c>
      <c r="E859" s="227"/>
      <c r="F859" s="220"/>
      <c r="G859" s="228">
        <v>3675</v>
      </c>
    </row>
    <row r="860" spans="1:8" ht="15.75" thickBot="1" x14ac:dyDescent="0.3">
      <c r="A860" s="247"/>
      <c r="B860" s="243"/>
      <c r="C860" s="248"/>
      <c r="D860" s="181"/>
      <c r="E860" s="249"/>
      <c r="F860" s="243"/>
      <c r="G860" s="200"/>
    </row>
    <row r="861" spans="1:8" ht="20.25" thickBot="1" x14ac:dyDescent="0.45">
      <c r="A861" s="250"/>
      <c r="B861" s="251"/>
      <c r="C861" s="252" t="s">
        <v>9</v>
      </c>
      <c r="D861" s="252"/>
      <c r="E861" s="253">
        <f>SUM(E793:E814)</f>
        <v>1627000</v>
      </c>
      <c r="F861" s="253">
        <f>SUM(F793:F814)</f>
        <v>1057550</v>
      </c>
      <c r="G861" s="254">
        <f>SUM(G852:G860)</f>
        <v>24325</v>
      </c>
      <c r="H861" s="36">
        <v>46041</v>
      </c>
    </row>
    <row r="862" spans="1:8" s="245" customFormat="1" x14ac:dyDescent="0.25">
      <c r="A862" s="244"/>
      <c r="C862" s="246"/>
      <c r="D862" s="246"/>
      <c r="E862" s="109"/>
    </row>
    <row r="863" spans="1:8" s="245" customFormat="1" ht="26.25" x14ac:dyDescent="0.4">
      <c r="A863" s="244"/>
      <c r="B863" s="301">
        <v>2026</v>
      </c>
      <c r="C863" s="246"/>
      <c r="D863" s="246"/>
      <c r="E863" s="109"/>
    </row>
    <row r="864" spans="1:8" s="245" customFormat="1" x14ac:dyDescent="0.25">
      <c r="A864" s="229">
        <v>45917</v>
      </c>
      <c r="B864" s="220" t="s">
        <v>1537</v>
      </c>
      <c r="C864" s="220" t="s">
        <v>1538</v>
      </c>
      <c r="D864" s="225" t="s">
        <v>1383</v>
      </c>
      <c r="E864" s="227"/>
      <c r="F864" s="220"/>
      <c r="G864" s="228">
        <v>2975</v>
      </c>
    </row>
    <row r="865" spans="1:7" s="245" customFormat="1" x14ac:dyDescent="0.25">
      <c r="A865" s="303">
        <v>46378</v>
      </c>
      <c r="B865" s="304" t="s">
        <v>1539</v>
      </c>
      <c r="C865" s="220" t="s">
        <v>1540</v>
      </c>
      <c r="D865" s="225" t="s">
        <v>1359</v>
      </c>
      <c r="E865" s="227"/>
      <c r="F865" s="220"/>
      <c r="G865" s="228">
        <v>3675</v>
      </c>
    </row>
    <row r="866" spans="1:7" x14ac:dyDescent="0.25">
      <c r="A866" s="229">
        <v>45940</v>
      </c>
      <c r="B866" s="220" t="s">
        <v>1541</v>
      </c>
      <c r="C866" s="220" t="s">
        <v>1542</v>
      </c>
      <c r="D866" s="225" t="s">
        <v>1361</v>
      </c>
      <c r="E866" s="227"/>
      <c r="F866" s="220"/>
      <c r="G866" s="228">
        <v>3675</v>
      </c>
    </row>
    <row r="867" spans="1:7" x14ac:dyDescent="0.25">
      <c r="A867" s="305">
        <v>46042</v>
      </c>
      <c r="B867" s="306" t="s">
        <v>1543</v>
      </c>
      <c r="C867" s="220" t="s">
        <v>1544</v>
      </c>
      <c r="D867" s="225" t="s">
        <v>1360</v>
      </c>
      <c r="E867" s="227"/>
      <c r="F867" s="220"/>
      <c r="G867" s="228">
        <v>3675</v>
      </c>
    </row>
    <row r="868" spans="1:7" x14ac:dyDescent="0.25">
      <c r="A868" s="302"/>
      <c r="B868" s="220"/>
      <c r="C868" s="225"/>
      <c r="D868" s="225"/>
      <c r="E868" s="227"/>
      <c r="F868" s="220"/>
      <c r="G868" s="228"/>
    </row>
    <row r="869" spans="1:7" x14ac:dyDescent="0.25">
      <c r="A869" s="302"/>
      <c r="B869" s="220"/>
      <c r="C869" s="225"/>
      <c r="D869" s="225"/>
      <c r="E869" s="227"/>
      <c r="F869" s="220"/>
      <c r="G869" s="228"/>
    </row>
    <row r="870" spans="1:7" x14ac:dyDescent="0.25">
      <c r="A870" s="302"/>
      <c r="B870" s="220"/>
      <c r="C870" s="225"/>
      <c r="D870" s="225"/>
      <c r="E870" s="227"/>
      <c r="F870" s="220"/>
      <c r="G870" s="228"/>
    </row>
    <row r="871" spans="1:7" x14ac:dyDescent="0.25">
      <c r="A871" s="302"/>
      <c r="B871" s="220"/>
      <c r="C871" s="225"/>
      <c r="D871" s="225"/>
      <c r="E871" s="227"/>
      <c r="F871" s="220"/>
      <c r="G871" s="228"/>
    </row>
    <row r="872" spans="1:7" x14ac:dyDescent="0.25">
      <c r="A872" s="302"/>
      <c r="B872" s="220"/>
      <c r="C872" s="225"/>
      <c r="D872" s="225"/>
      <c r="E872" s="227"/>
      <c r="F872" s="220"/>
      <c r="G872" s="228"/>
    </row>
    <row r="873" spans="1:7" ht="15.75" thickBot="1" x14ac:dyDescent="0.3">
      <c r="A873" s="307"/>
      <c r="B873" s="306"/>
      <c r="C873" s="308"/>
      <c r="D873" s="308"/>
      <c r="E873" s="309"/>
      <c r="F873" s="306"/>
      <c r="G873" s="310"/>
    </row>
    <row r="874" spans="1:7" ht="23.25" customHeight="1" thickBot="1" x14ac:dyDescent="0.45">
      <c r="A874" s="260"/>
      <c r="B874" s="261"/>
      <c r="C874" s="252" t="s">
        <v>9</v>
      </c>
      <c r="D874" s="311"/>
      <c r="E874" s="312"/>
      <c r="F874" s="261"/>
      <c r="G874" s="313">
        <f>SUM(G864:G873)</f>
        <v>14000</v>
      </c>
    </row>
  </sheetData>
  <phoneticPr fontId="24" type="noConversion"/>
  <pageMargins left="0.7" right="0.7" top="0.75" bottom="0.75" header="0.3" footer="0.3"/>
  <pageSetup scale="7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D580-47F7-4B49-A12A-DF3C62DE3D08}">
  <dimension ref="A5:H18"/>
  <sheetViews>
    <sheetView workbookViewId="0">
      <selection activeCell="B9" sqref="B9"/>
    </sheetView>
  </sheetViews>
  <sheetFormatPr defaultRowHeight="15" x14ac:dyDescent="0.25"/>
  <cols>
    <col min="2" max="2" width="37.140625" customWidth="1"/>
    <col min="3" max="3" width="21" customWidth="1"/>
    <col min="4" max="4" width="33.5703125" customWidth="1"/>
    <col min="5" max="6" width="9.140625" customWidth="1"/>
    <col min="7" max="7" width="16.140625" customWidth="1"/>
  </cols>
  <sheetData>
    <row r="5" spans="1:8" x14ac:dyDescent="0.25">
      <c r="A5" s="201">
        <v>45853</v>
      </c>
      <c r="B5" s="88" t="s">
        <v>1402</v>
      </c>
      <c r="C5" s="175" t="s">
        <v>1401</v>
      </c>
      <c r="D5" s="175" t="s">
        <v>1406</v>
      </c>
      <c r="E5" s="90"/>
      <c r="F5" s="88"/>
      <c r="G5" s="193">
        <v>7350</v>
      </c>
      <c r="H5" s="208"/>
    </row>
    <row r="6" spans="1:8" x14ac:dyDescent="0.25">
      <c r="A6" s="201"/>
      <c r="B6" s="88"/>
      <c r="C6" s="175"/>
      <c r="D6" s="175" t="s">
        <v>1405</v>
      </c>
      <c r="E6" s="90"/>
      <c r="F6" s="88"/>
      <c r="G6" s="193">
        <v>7000</v>
      </c>
    </row>
    <row r="7" spans="1:8" x14ac:dyDescent="0.25">
      <c r="A7" s="201"/>
      <c r="B7" s="88"/>
      <c r="C7" s="175"/>
      <c r="D7" s="175" t="s">
        <v>134</v>
      </c>
      <c r="E7" s="90"/>
      <c r="F7" s="88"/>
      <c r="G7" s="193">
        <v>17500</v>
      </c>
    </row>
    <row r="10" spans="1:8" x14ac:dyDescent="0.25">
      <c r="A10" s="186">
        <v>45902</v>
      </c>
      <c r="B10" s="88" t="s">
        <v>1468</v>
      </c>
      <c r="C10" s="88"/>
      <c r="D10" s="175" t="s">
        <v>1406</v>
      </c>
      <c r="E10" s="90"/>
      <c r="F10" s="88"/>
      <c r="G10" s="193">
        <v>7350</v>
      </c>
    </row>
    <row r="11" spans="1:8" x14ac:dyDescent="0.25">
      <c r="A11" s="186"/>
      <c r="B11" s="88"/>
      <c r="C11" s="88"/>
      <c r="D11" s="175" t="s">
        <v>1405</v>
      </c>
      <c r="E11" s="90"/>
      <c r="F11" s="88"/>
      <c r="G11" s="193">
        <v>7000</v>
      </c>
    </row>
    <row r="12" spans="1:8" x14ac:dyDescent="0.25">
      <c r="A12" s="186"/>
      <c r="B12" s="88"/>
      <c r="C12" s="88"/>
      <c r="D12" s="175" t="s">
        <v>134</v>
      </c>
      <c r="E12" s="90"/>
      <c r="F12" s="88"/>
      <c r="G12" s="193">
        <v>17500</v>
      </c>
    </row>
    <row r="13" spans="1:8" x14ac:dyDescent="0.25">
      <c r="A13" s="186">
        <v>45902</v>
      </c>
      <c r="B13" s="88" t="s">
        <v>1467</v>
      </c>
      <c r="C13" s="88"/>
      <c r="D13" s="175" t="s">
        <v>1406</v>
      </c>
      <c r="E13" s="88"/>
      <c r="F13" s="88"/>
      <c r="G13" s="193">
        <v>7350</v>
      </c>
    </row>
    <row r="14" spans="1:8" x14ac:dyDescent="0.25">
      <c r="A14" s="186"/>
      <c r="B14" s="88"/>
      <c r="C14" s="88"/>
      <c r="D14" s="175" t="s">
        <v>1405</v>
      </c>
      <c r="E14" s="88"/>
      <c r="F14" s="88"/>
      <c r="G14" s="193">
        <v>7000</v>
      </c>
    </row>
    <row r="15" spans="1:8" x14ac:dyDescent="0.25">
      <c r="A15" s="186"/>
      <c r="B15" s="88"/>
      <c r="C15" s="88"/>
      <c r="D15" s="175" t="s">
        <v>134</v>
      </c>
      <c r="E15" s="88"/>
      <c r="F15" s="88"/>
      <c r="G15" s="193">
        <v>17500</v>
      </c>
    </row>
    <row r="18" spans="3:7" x14ac:dyDescent="0.25">
      <c r="C18" s="171" t="s">
        <v>1469</v>
      </c>
      <c r="G18" s="214">
        <f>SUM(G5:G15)</f>
        <v>95550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topLeftCell="A43" workbookViewId="0">
      <selection activeCell="B56" sqref="B56"/>
    </sheetView>
  </sheetViews>
  <sheetFormatPr defaultRowHeight="15" x14ac:dyDescent="0.25"/>
  <cols>
    <col min="1" max="1" width="9.5703125" style="2" customWidth="1"/>
    <col min="2" max="2" width="37.42578125" customWidth="1"/>
    <col min="3" max="3" width="44.140625" style="2" customWidth="1"/>
    <col min="4" max="4" width="13.5703125" style="1" customWidth="1"/>
    <col min="5" max="5" width="13" customWidth="1"/>
    <col min="6" max="6" width="12.7109375" style="35" customWidth="1"/>
    <col min="7" max="7" width="15.140625" style="2" customWidth="1"/>
    <col min="8" max="8" width="8.28515625" bestFit="1" customWidth="1"/>
  </cols>
  <sheetData>
    <row r="1" spans="1:8" ht="18" customHeight="1" x14ac:dyDescent="0.4">
      <c r="A1" s="34">
        <v>2017</v>
      </c>
      <c r="B1" s="6"/>
      <c r="C1" s="7"/>
      <c r="D1" s="8"/>
      <c r="E1" s="6"/>
    </row>
    <row r="2" spans="1:8" ht="18" customHeight="1" x14ac:dyDescent="0.25">
      <c r="A2" s="11">
        <v>42850</v>
      </c>
      <c r="B2" s="5" t="s">
        <v>14</v>
      </c>
      <c r="C2" s="2" t="s">
        <v>13</v>
      </c>
      <c r="D2" s="20">
        <v>150000</v>
      </c>
      <c r="E2" s="20">
        <f>SUM(D2*0.65)</f>
        <v>97500</v>
      </c>
      <c r="F2" s="35">
        <f>SUM(D2*0.35)</f>
        <v>52500</v>
      </c>
      <c r="G2" s="2" t="s">
        <v>701</v>
      </c>
    </row>
    <row r="3" spans="1:8" ht="18" customHeight="1" x14ac:dyDescent="0.25"/>
    <row r="4" spans="1:8" ht="18" customHeight="1" x14ac:dyDescent="0.4">
      <c r="A4" s="34">
        <v>2018</v>
      </c>
    </row>
    <row r="5" spans="1:8" ht="18" customHeight="1" x14ac:dyDescent="0.25">
      <c r="A5" s="11">
        <v>43166</v>
      </c>
      <c r="B5" s="4" t="s">
        <v>88</v>
      </c>
      <c r="C5" s="2" t="s">
        <v>10</v>
      </c>
      <c r="D5" s="1">
        <v>44900</v>
      </c>
      <c r="E5" s="20">
        <f t="shared" ref="E5:E11" si="0">SUM(D5*0.65)</f>
        <v>29185</v>
      </c>
      <c r="F5" s="35">
        <f t="shared" ref="F5:F11" si="1">SUM(D5*0.35)</f>
        <v>15714.999999999998</v>
      </c>
      <c r="G5" s="2" t="s">
        <v>701</v>
      </c>
    </row>
    <row r="6" spans="1:8" ht="18" customHeight="1" x14ac:dyDescent="0.25">
      <c r="A6" s="11">
        <v>43195</v>
      </c>
      <c r="B6" s="4" t="s">
        <v>120</v>
      </c>
      <c r="C6" s="2" t="s">
        <v>0</v>
      </c>
      <c r="D6" s="1">
        <v>22500</v>
      </c>
      <c r="E6" s="20">
        <f t="shared" si="0"/>
        <v>14625</v>
      </c>
      <c r="F6" s="35">
        <f t="shared" si="1"/>
        <v>7874.9999999999991</v>
      </c>
      <c r="G6" s="2" t="s">
        <v>701</v>
      </c>
    </row>
    <row r="7" spans="1:8" ht="18" customHeight="1" x14ac:dyDescent="0.25">
      <c r="A7" s="11">
        <v>43306</v>
      </c>
      <c r="B7" s="28" t="s">
        <v>183</v>
      </c>
      <c r="C7" s="2" t="s">
        <v>11</v>
      </c>
      <c r="D7" s="1">
        <v>34000</v>
      </c>
      <c r="E7" s="20">
        <f t="shared" si="0"/>
        <v>22100</v>
      </c>
      <c r="F7" s="35">
        <f t="shared" si="1"/>
        <v>11900</v>
      </c>
      <c r="G7" s="2" t="s">
        <v>701</v>
      </c>
    </row>
    <row r="8" spans="1:8" ht="18" customHeight="1" x14ac:dyDescent="0.25">
      <c r="A8" s="11">
        <v>43368</v>
      </c>
      <c r="B8" s="5" t="s">
        <v>307</v>
      </c>
      <c r="C8" s="2" t="s">
        <v>0</v>
      </c>
      <c r="D8" s="1">
        <v>42000</v>
      </c>
      <c r="E8" s="20">
        <f t="shared" si="0"/>
        <v>27300</v>
      </c>
      <c r="F8" s="35">
        <f t="shared" si="1"/>
        <v>14699.999999999998</v>
      </c>
      <c r="G8" s="2" t="s">
        <v>701</v>
      </c>
    </row>
    <row r="9" spans="1:8" ht="18" customHeight="1" x14ac:dyDescent="0.25">
      <c r="A9" s="11">
        <v>43396</v>
      </c>
      <c r="B9" s="5" t="s">
        <v>227</v>
      </c>
      <c r="C9" s="2" t="s">
        <v>0</v>
      </c>
      <c r="D9" s="1">
        <v>42000</v>
      </c>
      <c r="E9" s="20">
        <f t="shared" si="0"/>
        <v>27300</v>
      </c>
      <c r="F9" s="35">
        <f t="shared" si="1"/>
        <v>14699.999999999998</v>
      </c>
      <c r="G9" s="2" t="s">
        <v>701</v>
      </c>
    </row>
    <row r="10" spans="1:8" ht="18" customHeight="1" x14ac:dyDescent="0.25">
      <c r="A10" s="11">
        <v>43416</v>
      </c>
      <c r="B10" s="4" t="s">
        <v>247</v>
      </c>
      <c r="C10" s="2" t="s">
        <v>11</v>
      </c>
      <c r="D10" s="1">
        <v>39500</v>
      </c>
      <c r="E10" s="20">
        <f t="shared" si="0"/>
        <v>25675</v>
      </c>
      <c r="F10" s="35">
        <f t="shared" si="1"/>
        <v>13825</v>
      </c>
      <c r="G10" s="40">
        <v>19750</v>
      </c>
      <c r="H10" t="s">
        <v>703</v>
      </c>
    </row>
    <row r="11" spans="1:8" ht="18" customHeight="1" x14ac:dyDescent="0.25">
      <c r="A11" s="11">
        <v>43445</v>
      </c>
      <c r="B11" s="4" t="s">
        <v>263</v>
      </c>
      <c r="C11" s="2" t="s">
        <v>7</v>
      </c>
      <c r="D11" s="1">
        <v>14500</v>
      </c>
      <c r="E11" s="20">
        <f t="shared" si="0"/>
        <v>9425</v>
      </c>
      <c r="F11" s="35">
        <f t="shared" si="1"/>
        <v>5075</v>
      </c>
      <c r="G11" s="40">
        <v>8845</v>
      </c>
      <c r="H11" t="s">
        <v>703</v>
      </c>
    </row>
    <row r="12" spans="1:8" ht="18" customHeight="1" x14ac:dyDescent="0.25"/>
    <row r="13" spans="1:8" ht="18" customHeight="1" x14ac:dyDescent="0.4">
      <c r="A13" s="34">
        <v>2019</v>
      </c>
    </row>
    <row r="14" spans="1:8" ht="18" customHeight="1" x14ac:dyDescent="0.25">
      <c r="A14" s="11">
        <v>43565</v>
      </c>
      <c r="B14" t="s">
        <v>321</v>
      </c>
      <c r="C14" s="2" t="s">
        <v>0</v>
      </c>
      <c r="D14" s="1">
        <v>24500</v>
      </c>
      <c r="E14" s="20">
        <f t="shared" ref="E14:E27" si="2">SUM(D14*0.65)</f>
        <v>15925</v>
      </c>
      <c r="F14" s="35">
        <f t="shared" ref="F14:F27" si="3">SUM(D14*0.35)</f>
        <v>8575</v>
      </c>
      <c r="G14" s="40">
        <v>12250</v>
      </c>
      <c r="H14" t="s">
        <v>703</v>
      </c>
    </row>
    <row r="15" spans="1:8" ht="18" customHeight="1" x14ac:dyDescent="0.25">
      <c r="A15" s="11">
        <v>43633</v>
      </c>
      <c r="B15" t="s">
        <v>360</v>
      </c>
      <c r="C15" s="2" t="s">
        <v>57</v>
      </c>
      <c r="D15" s="20">
        <v>35000</v>
      </c>
      <c r="E15" s="20">
        <f t="shared" si="2"/>
        <v>22750</v>
      </c>
      <c r="F15" s="35">
        <f t="shared" si="3"/>
        <v>12250</v>
      </c>
      <c r="G15" s="42">
        <v>17500</v>
      </c>
      <c r="H15" t="s">
        <v>703</v>
      </c>
    </row>
    <row r="16" spans="1:8" ht="18" customHeight="1" x14ac:dyDescent="0.25">
      <c r="A16" s="11">
        <v>43642</v>
      </c>
      <c r="B16" t="s">
        <v>366</v>
      </c>
      <c r="C16" s="2" t="s">
        <v>7</v>
      </c>
      <c r="D16" s="1">
        <v>18236</v>
      </c>
      <c r="E16" s="20">
        <f t="shared" si="2"/>
        <v>11853.4</v>
      </c>
      <c r="F16" s="35">
        <f t="shared" si="3"/>
        <v>6382.5999999999995</v>
      </c>
      <c r="G16" s="40">
        <v>9118</v>
      </c>
      <c r="H16" t="s">
        <v>703</v>
      </c>
    </row>
    <row r="17" spans="1:8" ht="18" customHeight="1" x14ac:dyDescent="0.25">
      <c r="A17" s="11">
        <v>43697</v>
      </c>
      <c r="B17" t="s">
        <v>416</v>
      </c>
      <c r="C17" s="2" t="s">
        <v>57</v>
      </c>
      <c r="D17" s="1">
        <v>18500</v>
      </c>
      <c r="E17" s="20">
        <f t="shared" si="2"/>
        <v>12025</v>
      </c>
      <c r="F17" s="35">
        <f t="shared" si="3"/>
        <v>6475</v>
      </c>
      <c r="G17" s="40">
        <v>9250</v>
      </c>
      <c r="H17" t="s">
        <v>703</v>
      </c>
    </row>
    <row r="18" spans="1:8" ht="18" customHeight="1" x14ac:dyDescent="0.25">
      <c r="A18" s="11">
        <v>43704</v>
      </c>
      <c r="B18" t="s">
        <v>427</v>
      </c>
      <c r="C18" s="2" t="s">
        <v>11</v>
      </c>
      <c r="D18" s="20">
        <v>25000</v>
      </c>
      <c r="E18" s="20">
        <f t="shared" si="2"/>
        <v>16250</v>
      </c>
      <c r="F18" s="35">
        <f t="shared" si="3"/>
        <v>8750</v>
      </c>
      <c r="G18" s="42">
        <v>10835</v>
      </c>
      <c r="H18" t="s">
        <v>703</v>
      </c>
    </row>
    <row r="19" spans="1:8" ht="18" customHeight="1" x14ac:dyDescent="0.25">
      <c r="A19" s="11">
        <v>43725</v>
      </c>
      <c r="B19" t="s">
        <v>456</v>
      </c>
      <c r="C19" s="2" t="s">
        <v>7</v>
      </c>
      <c r="D19" s="1">
        <v>9036</v>
      </c>
      <c r="E19" s="20">
        <f t="shared" si="2"/>
        <v>5873.4000000000005</v>
      </c>
      <c r="F19" s="35">
        <f t="shared" si="3"/>
        <v>3162.6</v>
      </c>
      <c r="G19" s="40">
        <v>4518</v>
      </c>
      <c r="H19" t="s">
        <v>703</v>
      </c>
    </row>
    <row r="20" spans="1:8" ht="18" customHeight="1" x14ac:dyDescent="0.25">
      <c r="A20" s="11">
        <v>43739</v>
      </c>
      <c r="B20" t="s">
        <v>465</v>
      </c>
      <c r="C20" s="2" t="s">
        <v>7</v>
      </c>
      <c r="D20" s="1">
        <v>7165</v>
      </c>
      <c r="E20" s="20">
        <f t="shared" si="2"/>
        <v>4657.25</v>
      </c>
      <c r="F20" s="35">
        <f t="shared" si="3"/>
        <v>2507.75</v>
      </c>
      <c r="G20" s="40">
        <v>3582.5</v>
      </c>
      <c r="H20" t="s">
        <v>703</v>
      </c>
    </row>
    <row r="21" spans="1:8" ht="18" customHeight="1" x14ac:dyDescent="0.25">
      <c r="A21" s="11">
        <v>43784</v>
      </c>
      <c r="B21" t="s">
        <v>506</v>
      </c>
      <c r="C21" s="2" t="s">
        <v>507</v>
      </c>
      <c r="D21" s="1">
        <v>163000</v>
      </c>
      <c r="E21" s="20">
        <f t="shared" si="2"/>
        <v>105950</v>
      </c>
      <c r="F21" s="35">
        <f t="shared" si="3"/>
        <v>57050</v>
      </c>
      <c r="G21" s="40" t="s">
        <v>702</v>
      </c>
    </row>
    <row r="22" spans="1:8" ht="18" customHeight="1" x14ac:dyDescent="0.25">
      <c r="A22" s="11">
        <v>43789</v>
      </c>
      <c r="B22" t="s">
        <v>515</v>
      </c>
      <c r="C22" s="2" t="s">
        <v>7</v>
      </c>
      <c r="D22" s="1">
        <v>25000</v>
      </c>
      <c r="E22" s="20">
        <f t="shared" si="2"/>
        <v>16250</v>
      </c>
      <c r="F22" s="35">
        <f t="shared" si="3"/>
        <v>8750</v>
      </c>
      <c r="G22" s="40">
        <v>12500</v>
      </c>
      <c r="H22" t="s">
        <v>703</v>
      </c>
    </row>
    <row r="23" spans="1:8" ht="18" customHeight="1" x14ac:dyDescent="0.25">
      <c r="A23" s="11">
        <v>43794</v>
      </c>
      <c r="B23" t="s">
        <v>519</v>
      </c>
      <c r="C23" s="2" t="s">
        <v>7</v>
      </c>
      <c r="D23" s="1">
        <v>6000</v>
      </c>
      <c r="E23" s="20">
        <f t="shared" si="2"/>
        <v>3900</v>
      </c>
      <c r="F23" s="35">
        <f t="shared" si="3"/>
        <v>2100</v>
      </c>
      <c r="G23" s="40">
        <v>3000</v>
      </c>
      <c r="H23" t="s">
        <v>703</v>
      </c>
    </row>
    <row r="24" spans="1:8" ht="18" customHeight="1" x14ac:dyDescent="0.25">
      <c r="A24" s="11">
        <v>43796</v>
      </c>
      <c r="B24" t="s">
        <v>522</v>
      </c>
      <c r="C24" s="2" t="s">
        <v>7</v>
      </c>
      <c r="D24" s="1">
        <v>5657</v>
      </c>
      <c r="E24" s="20">
        <f t="shared" si="2"/>
        <v>3677.05</v>
      </c>
      <c r="F24" s="35">
        <f t="shared" si="3"/>
        <v>1979.9499999999998</v>
      </c>
      <c r="G24" s="40">
        <v>5175.5893000000005</v>
      </c>
      <c r="H24" t="s">
        <v>703</v>
      </c>
    </row>
    <row r="25" spans="1:8" ht="18" customHeight="1" x14ac:dyDescent="0.25">
      <c r="A25" s="11">
        <v>43802</v>
      </c>
      <c r="B25" t="s">
        <v>542</v>
      </c>
      <c r="C25" s="2" t="s">
        <v>534</v>
      </c>
      <c r="D25" s="1">
        <v>10000</v>
      </c>
      <c r="E25" s="20">
        <f t="shared" si="2"/>
        <v>6500</v>
      </c>
      <c r="F25" s="35">
        <f t="shared" si="3"/>
        <v>3500</v>
      </c>
      <c r="G25" s="40">
        <v>5335</v>
      </c>
      <c r="H25" t="s">
        <v>703</v>
      </c>
    </row>
    <row r="26" spans="1:8" ht="18" customHeight="1" x14ac:dyDescent="0.25">
      <c r="A26" s="11">
        <v>43802</v>
      </c>
      <c r="B26" t="s">
        <v>543</v>
      </c>
      <c r="C26" s="2" t="s">
        <v>534</v>
      </c>
      <c r="D26" s="1">
        <v>10000</v>
      </c>
      <c r="E26" s="20">
        <f t="shared" si="2"/>
        <v>6500</v>
      </c>
      <c r="F26" s="35">
        <f t="shared" si="3"/>
        <v>3500</v>
      </c>
      <c r="G26" s="40">
        <v>5000</v>
      </c>
      <c r="H26" t="s">
        <v>703</v>
      </c>
    </row>
    <row r="27" spans="1:8" ht="18" customHeight="1" x14ac:dyDescent="0.25">
      <c r="A27" s="11">
        <v>43803</v>
      </c>
      <c r="B27" t="s">
        <v>524</v>
      </c>
      <c r="C27" s="2" t="s">
        <v>11</v>
      </c>
      <c r="D27" s="1">
        <v>12850</v>
      </c>
      <c r="E27" s="20">
        <f t="shared" si="2"/>
        <v>8352.5</v>
      </c>
      <c r="F27" s="35">
        <f t="shared" si="3"/>
        <v>4497.5</v>
      </c>
      <c r="G27" s="40">
        <v>6326.06</v>
      </c>
      <c r="H27" t="s">
        <v>703</v>
      </c>
    </row>
    <row r="29" spans="1:8" ht="18" customHeight="1" x14ac:dyDescent="0.4">
      <c r="A29" s="34">
        <v>2020</v>
      </c>
    </row>
    <row r="30" spans="1:8" ht="18" customHeight="1" x14ac:dyDescent="0.25">
      <c r="A30" s="11">
        <v>43843</v>
      </c>
      <c r="B30" t="s">
        <v>565</v>
      </c>
      <c r="C30" s="2" t="s">
        <v>619</v>
      </c>
      <c r="D30" s="1">
        <v>21200</v>
      </c>
      <c r="E30" s="20">
        <f t="shared" ref="E30:E40" si="4">SUM(D30*0.65)</f>
        <v>13780</v>
      </c>
      <c r="F30" s="35">
        <f t="shared" ref="F30:F40" si="5">SUM(D30*0.35)</f>
        <v>7419.9999999999991</v>
      </c>
      <c r="G30" s="2" t="s">
        <v>701</v>
      </c>
    </row>
    <row r="31" spans="1:8" ht="18" customHeight="1" x14ac:dyDescent="0.25">
      <c r="A31" s="11">
        <v>43864</v>
      </c>
      <c r="B31" s="37" t="s">
        <v>576</v>
      </c>
      <c r="C31" s="2" t="s">
        <v>11</v>
      </c>
      <c r="D31" s="1">
        <v>25000</v>
      </c>
      <c r="E31" s="20">
        <f t="shared" si="4"/>
        <v>16250</v>
      </c>
      <c r="F31" s="35">
        <f t="shared" si="5"/>
        <v>8750</v>
      </c>
      <c r="G31" s="40">
        <v>12500</v>
      </c>
      <c r="H31" t="s">
        <v>703</v>
      </c>
    </row>
    <row r="32" spans="1:8" ht="18" customHeight="1" x14ac:dyDescent="0.25">
      <c r="A32" s="11">
        <v>43866</v>
      </c>
      <c r="B32" t="s">
        <v>578</v>
      </c>
      <c r="C32" s="2" t="s">
        <v>579</v>
      </c>
      <c r="D32" s="1">
        <v>19600</v>
      </c>
      <c r="E32" s="20">
        <f t="shared" si="4"/>
        <v>12740</v>
      </c>
      <c r="F32" s="35">
        <f t="shared" si="5"/>
        <v>6860</v>
      </c>
      <c r="G32" s="40">
        <v>9800</v>
      </c>
      <c r="H32" t="s">
        <v>703</v>
      </c>
    </row>
    <row r="33" spans="1:8" ht="18" customHeight="1" x14ac:dyDescent="0.25">
      <c r="A33" s="11">
        <v>43878</v>
      </c>
      <c r="B33" s="37" t="s">
        <v>583</v>
      </c>
      <c r="C33" s="2" t="s">
        <v>7</v>
      </c>
      <c r="D33" s="1">
        <v>25000</v>
      </c>
      <c r="E33" s="20">
        <f t="shared" si="4"/>
        <v>16250</v>
      </c>
      <c r="F33" s="35">
        <f t="shared" si="5"/>
        <v>8750</v>
      </c>
      <c r="G33" s="40">
        <v>7576.5</v>
      </c>
      <c r="H33" t="s">
        <v>703</v>
      </c>
    </row>
    <row r="34" spans="1:8" ht="18" customHeight="1" x14ac:dyDescent="0.25">
      <c r="A34" s="11">
        <v>43882</v>
      </c>
      <c r="B34" t="s">
        <v>585</v>
      </c>
      <c r="C34" s="2" t="s">
        <v>57</v>
      </c>
      <c r="D34" s="1">
        <v>15000</v>
      </c>
      <c r="E34" s="20">
        <f t="shared" si="4"/>
        <v>9750</v>
      </c>
      <c r="F34" s="35">
        <f t="shared" si="5"/>
        <v>5250</v>
      </c>
      <c r="G34" s="2" t="s">
        <v>702</v>
      </c>
    </row>
    <row r="35" spans="1:8" ht="18" customHeight="1" x14ac:dyDescent="0.25">
      <c r="A35" s="11">
        <v>43893</v>
      </c>
      <c r="B35" t="s">
        <v>586</v>
      </c>
      <c r="C35" s="2" t="s">
        <v>11</v>
      </c>
      <c r="D35" s="1">
        <v>14043</v>
      </c>
      <c r="E35" s="20">
        <f t="shared" si="4"/>
        <v>9127.9500000000007</v>
      </c>
      <c r="F35" s="35">
        <f t="shared" si="5"/>
        <v>4915.0499999999993</v>
      </c>
      <c r="G35" s="2" t="s">
        <v>701</v>
      </c>
    </row>
    <row r="36" spans="1:8" ht="18" customHeight="1" x14ac:dyDescent="0.25">
      <c r="A36" s="11">
        <v>43902</v>
      </c>
      <c r="B36" s="37" t="s">
        <v>590</v>
      </c>
      <c r="C36" s="2" t="s">
        <v>11</v>
      </c>
      <c r="D36" s="1">
        <v>29500</v>
      </c>
      <c r="E36" s="20">
        <f t="shared" si="4"/>
        <v>19175</v>
      </c>
      <c r="F36" s="35">
        <f t="shared" si="5"/>
        <v>10325</v>
      </c>
      <c r="G36" s="2" t="s">
        <v>701</v>
      </c>
    </row>
    <row r="37" spans="1:8" ht="18" customHeight="1" x14ac:dyDescent="0.25">
      <c r="A37" s="11">
        <v>44019</v>
      </c>
      <c r="B37" s="37" t="s">
        <v>592</v>
      </c>
      <c r="C37" s="2" t="s">
        <v>11</v>
      </c>
      <c r="D37" s="1">
        <v>29500</v>
      </c>
      <c r="E37" s="20">
        <f t="shared" si="4"/>
        <v>19175</v>
      </c>
      <c r="F37" s="35">
        <f t="shared" si="5"/>
        <v>10325</v>
      </c>
      <c r="G37" s="2" t="s">
        <v>701</v>
      </c>
    </row>
    <row r="38" spans="1:8" ht="18" customHeight="1" x14ac:dyDescent="0.25">
      <c r="A38" s="11">
        <v>44104</v>
      </c>
      <c r="B38" t="s">
        <v>606</v>
      </c>
      <c r="C38" s="2" t="s">
        <v>511</v>
      </c>
      <c r="D38" s="1">
        <v>7810</v>
      </c>
      <c r="E38" s="20">
        <f t="shared" si="4"/>
        <v>5076.5</v>
      </c>
      <c r="F38" s="35">
        <f t="shared" si="5"/>
        <v>2733.5</v>
      </c>
      <c r="G38" s="40">
        <v>3905</v>
      </c>
      <c r="H38" t="s">
        <v>703</v>
      </c>
    </row>
    <row r="39" spans="1:8" ht="18" customHeight="1" x14ac:dyDescent="0.25">
      <c r="A39" s="11">
        <v>44109</v>
      </c>
      <c r="B39" s="37" t="s">
        <v>597</v>
      </c>
      <c r="C39" s="2" t="s">
        <v>11</v>
      </c>
      <c r="D39" s="20">
        <v>59000</v>
      </c>
      <c r="E39" s="20">
        <f t="shared" si="4"/>
        <v>38350</v>
      </c>
      <c r="F39" s="35">
        <f t="shared" si="5"/>
        <v>20650</v>
      </c>
      <c r="G39" s="2" t="s">
        <v>701</v>
      </c>
    </row>
    <row r="40" spans="1:8" ht="18" customHeight="1" x14ac:dyDescent="0.25">
      <c r="A40" s="11">
        <v>44154</v>
      </c>
      <c r="B40" t="s">
        <v>617</v>
      </c>
      <c r="C40" s="2" t="s">
        <v>511</v>
      </c>
      <c r="D40" s="1">
        <v>9500</v>
      </c>
      <c r="E40" s="20">
        <f t="shared" si="4"/>
        <v>6175</v>
      </c>
      <c r="F40" s="35">
        <f t="shared" si="5"/>
        <v>3325</v>
      </c>
      <c r="G40" s="2" t="s">
        <v>701</v>
      </c>
    </row>
    <row r="42" spans="1:8" ht="18" customHeight="1" x14ac:dyDescent="0.4">
      <c r="A42" s="34">
        <v>2021</v>
      </c>
      <c r="E42" s="20">
        <f>SUM(D42*0.65)</f>
        <v>0</v>
      </c>
      <c r="F42" s="35">
        <f>SUM(D42*0.35)</f>
        <v>0</v>
      </c>
    </row>
    <row r="43" spans="1:8" ht="18" customHeight="1" x14ac:dyDescent="0.25">
      <c r="A43" s="11">
        <v>44901</v>
      </c>
      <c r="B43" t="s">
        <v>692</v>
      </c>
      <c r="C43" s="2" t="s">
        <v>11</v>
      </c>
      <c r="D43" s="1">
        <v>29500</v>
      </c>
      <c r="E43" s="20">
        <f>SUM(D43*0.65)</f>
        <v>19175</v>
      </c>
      <c r="F43" s="35">
        <f>SUM(D43*0.35)</f>
        <v>10325</v>
      </c>
      <c r="G43" s="2" t="s">
        <v>701</v>
      </c>
    </row>
    <row r="44" spans="1:8" ht="18" customHeight="1" x14ac:dyDescent="0.25">
      <c r="A44" s="11">
        <v>44901</v>
      </c>
      <c r="B44" t="s">
        <v>691</v>
      </c>
      <c r="C44" s="2" t="s">
        <v>11</v>
      </c>
      <c r="D44" s="1">
        <v>29500</v>
      </c>
      <c r="E44" s="20">
        <f>SUM(D44*0.65)</f>
        <v>19175</v>
      </c>
      <c r="F44" s="35">
        <f>SUM(D44*0.35)</f>
        <v>10325</v>
      </c>
      <c r="G44" s="2" t="s">
        <v>701</v>
      </c>
    </row>
    <row r="46" spans="1:8" ht="19.5" x14ac:dyDescent="0.4">
      <c r="A46" s="34">
        <v>2022</v>
      </c>
    </row>
    <row r="47" spans="1:8" ht="20.100000000000001" customHeight="1" x14ac:dyDescent="0.25">
      <c r="A47" s="93">
        <v>44622</v>
      </c>
      <c r="B47" s="94" t="s">
        <v>722</v>
      </c>
      <c r="C47" s="94" t="s">
        <v>653</v>
      </c>
      <c r="D47" s="92">
        <v>25000</v>
      </c>
      <c r="E47" s="92">
        <f>SUM(D47*0.65)</f>
        <v>16250</v>
      </c>
      <c r="F47" s="92">
        <f>SUM(D47*0.35)</f>
        <v>8750</v>
      </c>
    </row>
    <row r="48" spans="1:8" ht="20.100000000000001" customHeight="1" x14ac:dyDescent="0.25">
      <c r="A48" s="95">
        <v>44883</v>
      </c>
      <c r="B48" s="96" t="s">
        <v>847</v>
      </c>
      <c r="C48" s="96" t="s">
        <v>848</v>
      </c>
      <c r="D48" s="92">
        <v>24500</v>
      </c>
      <c r="E48" s="92">
        <f>SUM(D48*0.65)</f>
        <v>15925</v>
      </c>
      <c r="F48" s="92">
        <f>SUM(D48*0.35)</f>
        <v>8575</v>
      </c>
    </row>
    <row r="50" spans="1:7" ht="19.5" x14ac:dyDescent="0.4">
      <c r="A50" s="34">
        <v>2023</v>
      </c>
    </row>
    <row r="51" spans="1:7" x14ac:dyDescent="0.25">
      <c r="A51" s="44">
        <v>45035</v>
      </c>
      <c r="B51" s="45" t="s">
        <v>912</v>
      </c>
      <c r="C51" s="45" t="s">
        <v>787</v>
      </c>
      <c r="D51" s="20">
        <v>10000</v>
      </c>
      <c r="E51" s="92">
        <f t="shared" ref="E51:E57" si="6">SUM(D51*0.65)</f>
        <v>6500</v>
      </c>
      <c r="F51" s="92">
        <f t="shared" ref="F51:F57" si="7">SUM(D51*0.35)</f>
        <v>3500</v>
      </c>
      <c r="G51" s="2" t="s">
        <v>619</v>
      </c>
    </row>
    <row r="52" spans="1:7" x14ac:dyDescent="0.25">
      <c r="A52" s="44">
        <v>45056</v>
      </c>
      <c r="B52" s="45" t="s">
        <v>929</v>
      </c>
      <c r="C52" s="45" t="s">
        <v>930</v>
      </c>
      <c r="D52" s="20">
        <v>11000</v>
      </c>
      <c r="E52" s="92">
        <f t="shared" si="6"/>
        <v>7150</v>
      </c>
      <c r="F52" s="92">
        <f t="shared" si="7"/>
        <v>3849.9999999999995</v>
      </c>
    </row>
    <row r="53" spans="1:7" x14ac:dyDescent="0.25">
      <c r="A53" s="44">
        <v>45057</v>
      </c>
      <c r="B53" s="45" t="s">
        <v>937</v>
      </c>
      <c r="C53" s="45" t="s">
        <v>752</v>
      </c>
      <c r="D53" s="20">
        <v>7460</v>
      </c>
      <c r="E53" s="92">
        <f t="shared" si="6"/>
        <v>4849</v>
      </c>
      <c r="F53" s="92">
        <f t="shared" si="7"/>
        <v>2611</v>
      </c>
    </row>
    <row r="54" spans="1:7" x14ac:dyDescent="0.25">
      <c r="A54" s="44">
        <v>45082</v>
      </c>
      <c r="B54" s="45" t="s">
        <v>957</v>
      </c>
      <c r="C54" s="45" t="s">
        <v>744</v>
      </c>
      <c r="D54" s="20">
        <v>8500</v>
      </c>
      <c r="E54" s="92">
        <f t="shared" si="6"/>
        <v>5525</v>
      </c>
      <c r="F54" s="92">
        <f t="shared" si="7"/>
        <v>2975</v>
      </c>
    </row>
    <row r="55" spans="1:7" x14ac:dyDescent="0.25">
      <c r="A55" s="44">
        <v>45152</v>
      </c>
      <c r="B55" s="45" t="s">
        <v>983</v>
      </c>
      <c r="C55" s="45" t="s">
        <v>752</v>
      </c>
      <c r="D55" s="20">
        <v>8290</v>
      </c>
      <c r="E55" s="92">
        <f t="shared" si="6"/>
        <v>5388.5</v>
      </c>
      <c r="F55" s="92">
        <f t="shared" si="7"/>
        <v>2901.5</v>
      </c>
    </row>
    <row r="56" spans="1:7" x14ac:dyDescent="0.25">
      <c r="A56" s="44">
        <v>45195</v>
      </c>
      <c r="B56" s="45" t="s">
        <v>1111</v>
      </c>
      <c r="C56" s="45" t="s">
        <v>1112</v>
      </c>
      <c r="D56" s="1">
        <v>37500</v>
      </c>
      <c r="E56" s="92">
        <f t="shared" si="6"/>
        <v>24375</v>
      </c>
      <c r="F56" s="92">
        <f t="shared" si="7"/>
        <v>13125</v>
      </c>
    </row>
    <row r="57" spans="1:7" x14ac:dyDescent="0.25">
      <c r="A57" s="44">
        <v>45641</v>
      </c>
      <c r="B57" s="45" t="s">
        <v>1160</v>
      </c>
      <c r="C57" s="45" t="s">
        <v>787</v>
      </c>
      <c r="D57" s="1">
        <v>9500</v>
      </c>
      <c r="E57" s="92">
        <f t="shared" si="6"/>
        <v>6175</v>
      </c>
      <c r="F57" s="35">
        <f t="shared" si="7"/>
        <v>3325</v>
      </c>
    </row>
    <row r="58" spans="1:7" x14ac:dyDescent="0.25">
      <c r="E58" s="92">
        <f>SUM(D58*0.65)</f>
        <v>0</v>
      </c>
      <c r="F58" s="35">
        <f>SUM(D58*0.35)</f>
        <v>0</v>
      </c>
    </row>
    <row r="59" spans="1:7" x14ac:dyDescent="0.25">
      <c r="F59" s="35">
        <f>SUM(D59*0.35)</f>
        <v>0</v>
      </c>
    </row>
    <row r="60" spans="1:7" x14ac:dyDescent="0.25">
      <c r="F60" s="35">
        <f>SUM(D60*0.35)</f>
        <v>0</v>
      </c>
    </row>
    <row r="61" spans="1:7" ht="21" x14ac:dyDescent="0.35">
      <c r="A61" s="189">
        <v>2025</v>
      </c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19B5-EDCE-4FCB-A55C-CFA3F0618C28}">
  <dimension ref="A1:AC38"/>
  <sheetViews>
    <sheetView topLeftCell="A3" workbookViewId="0">
      <selection activeCell="C4" sqref="C4"/>
    </sheetView>
  </sheetViews>
  <sheetFormatPr defaultRowHeight="15" x14ac:dyDescent="0.25"/>
  <cols>
    <col min="1" max="1" width="12.5703125" bestFit="1" customWidth="1"/>
    <col min="2" max="2" width="11.42578125" customWidth="1"/>
    <col min="3" max="3" width="21.7109375" customWidth="1"/>
    <col min="4" max="4" width="31.7109375" customWidth="1"/>
    <col min="5" max="5" width="22.28515625" customWidth="1"/>
    <col min="6" max="6" width="30.28515625" customWidth="1"/>
    <col min="7" max="7" width="13" customWidth="1"/>
    <col min="8" max="8" width="11" customWidth="1"/>
    <col min="9" max="9" width="17.42578125" customWidth="1"/>
  </cols>
  <sheetData>
    <row r="1" spans="1:29" ht="20.100000000000001" customHeight="1" thickBot="1" x14ac:dyDescent="0.3">
      <c r="A1" s="121" t="s">
        <v>987</v>
      </c>
      <c r="B1" s="122" t="s">
        <v>988</v>
      </c>
      <c r="C1" s="122" t="s">
        <v>3</v>
      </c>
      <c r="D1" s="122" t="s">
        <v>989</v>
      </c>
      <c r="E1" s="122" t="s">
        <v>990</v>
      </c>
      <c r="F1" s="122" t="s">
        <v>991</v>
      </c>
      <c r="G1" s="123">
        <v>0.65</v>
      </c>
      <c r="H1" s="123">
        <v>0.35</v>
      </c>
      <c r="I1" s="124" t="s">
        <v>1065</v>
      </c>
      <c r="J1" s="114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</row>
    <row r="2" spans="1:29" s="112" customFormat="1" ht="20.100000000000001" customHeight="1" thickBot="1" x14ac:dyDescent="0.25">
      <c r="A2" s="237">
        <v>45177</v>
      </c>
      <c r="B2" s="239" t="s">
        <v>992</v>
      </c>
      <c r="C2" s="142" t="s">
        <v>1066</v>
      </c>
      <c r="D2" s="142" t="s">
        <v>993</v>
      </c>
      <c r="E2" s="142" t="s">
        <v>994</v>
      </c>
      <c r="F2" s="142" t="s">
        <v>995</v>
      </c>
      <c r="G2" s="143">
        <v>24500</v>
      </c>
      <c r="H2" s="144">
        <v>8575</v>
      </c>
      <c r="I2" s="120" t="s">
        <v>996</v>
      </c>
      <c r="J2" s="113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</row>
    <row r="3" spans="1:29" s="112" customFormat="1" ht="20.100000000000001" customHeight="1" thickBot="1" x14ac:dyDescent="0.25">
      <c r="A3" s="238"/>
      <c r="B3" s="235"/>
      <c r="C3" s="115" t="s">
        <v>1067</v>
      </c>
      <c r="D3" s="115" t="s">
        <v>997</v>
      </c>
      <c r="E3" s="115" t="s">
        <v>994</v>
      </c>
      <c r="F3" s="115" t="s">
        <v>998</v>
      </c>
      <c r="G3" s="116">
        <v>10960</v>
      </c>
      <c r="H3" s="126">
        <v>3835.9999999999995</v>
      </c>
      <c r="I3" s="115" t="s">
        <v>996</v>
      </c>
      <c r="J3" s="113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 spans="1:29" s="112" customFormat="1" ht="20.100000000000001" customHeight="1" thickBot="1" x14ac:dyDescent="0.25">
      <c r="A4" s="238"/>
      <c r="B4" s="235"/>
      <c r="C4" s="115" t="s">
        <v>1068</v>
      </c>
      <c r="D4" s="115" t="s">
        <v>999</v>
      </c>
      <c r="E4" s="115" t="s">
        <v>994</v>
      </c>
      <c r="F4" s="115" t="s">
        <v>1000</v>
      </c>
      <c r="G4" s="116">
        <v>9500</v>
      </c>
      <c r="H4" s="126">
        <v>3325</v>
      </c>
      <c r="I4" s="115" t="s">
        <v>996</v>
      </c>
      <c r="J4" s="113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</row>
    <row r="5" spans="1:29" s="112" customFormat="1" ht="20.100000000000001" customHeight="1" thickBot="1" x14ac:dyDescent="0.25">
      <c r="A5" s="238"/>
      <c r="B5" s="235"/>
      <c r="C5" s="128" t="s">
        <v>1069</v>
      </c>
      <c r="D5" s="128" t="s">
        <v>1001</v>
      </c>
      <c r="E5" s="128" t="s">
        <v>1002</v>
      </c>
      <c r="F5" s="128" t="s">
        <v>1003</v>
      </c>
      <c r="G5" s="125">
        <v>5000</v>
      </c>
      <c r="H5" s="127">
        <v>1750</v>
      </c>
      <c r="I5" s="115"/>
      <c r="J5" s="113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</row>
    <row r="6" spans="1:29" s="112" customFormat="1" ht="20.100000000000001" customHeight="1" thickBot="1" x14ac:dyDescent="0.25">
      <c r="A6" s="238"/>
      <c r="B6" s="235"/>
      <c r="C6" s="115" t="s">
        <v>1071</v>
      </c>
      <c r="D6" s="115" t="s">
        <v>1004</v>
      </c>
      <c r="E6" s="115" t="s">
        <v>10</v>
      </c>
      <c r="F6" s="115" t="s">
        <v>1005</v>
      </c>
      <c r="G6" s="116">
        <v>9500</v>
      </c>
      <c r="H6" s="126">
        <v>3325</v>
      </c>
      <c r="I6" s="115" t="s">
        <v>996</v>
      </c>
      <c r="J6" s="113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</row>
    <row r="7" spans="1:29" s="112" customFormat="1" ht="20.100000000000001" customHeight="1" thickBot="1" x14ac:dyDescent="0.25">
      <c r="A7" s="238"/>
      <c r="B7" s="235"/>
      <c r="C7" s="128" t="s">
        <v>1070</v>
      </c>
      <c r="D7" s="128" t="s">
        <v>1006</v>
      </c>
      <c r="E7" s="128" t="s">
        <v>1002</v>
      </c>
      <c r="F7" s="128" t="s">
        <v>1007</v>
      </c>
      <c r="G7" s="129">
        <v>19500</v>
      </c>
      <c r="H7" s="127">
        <v>6825</v>
      </c>
      <c r="I7" s="115"/>
      <c r="J7" s="113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s="112" customFormat="1" ht="20.100000000000001" customHeight="1" thickBot="1" x14ac:dyDescent="0.25">
      <c r="A8" s="238"/>
      <c r="B8" s="235"/>
      <c r="C8" s="128" t="s">
        <v>1070</v>
      </c>
      <c r="D8" s="128" t="s">
        <v>1008</v>
      </c>
      <c r="E8" s="128" t="s">
        <v>1002</v>
      </c>
      <c r="F8" s="128" t="s">
        <v>1009</v>
      </c>
      <c r="G8" s="129">
        <v>19500</v>
      </c>
      <c r="H8" s="127">
        <v>6825</v>
      </c>
      <c r="I8" s="115"/>
      <c r="J8" s="113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s="112" customFormat="1" ht="20.100000000000001" customHeight="1" thickBot="1" x14ac:dyDescent="0.25">
      <c r="A9" s="238">
        <v>45182</v>
      </c>
      <c r="B9" s="235" t="s">
        <v>1010</v>
      </c>
      <c r="C9" s="115" t="s">
        <v>1072</v>
      </c>
      <c r="D9" s="115" t="s">
        <v>1011</v>
      </c>
      <c r="E9" s="115" t="s">
        <v>994</v>
      </c>
      <c r="F9" s="115" t="s">
        <v>1012</v>
      </c>
      <c r="G9" s="116">
        <v>9500</v>
      </c>
      <c r="H9" s="126">
        <f>SUM(G9*0.35)</f>
        <v>3325</v>
      </c>
      <c r="I9" s="115" t="s">
        <v>996</v>
      </c>
      <c r="J9" s="113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s="112" customFormat="1" ht="20.100000000000001" customHeight="1" thickBot="1" x14ac:dyDescent="0.25">
      <c r="A10" s="238"/>
      <c r="B10" s="235"/>
      <c r="C10" s="145" t="s">
        <v>1072</v>
      </c>
      <c r="D10" s="145" t="s">
        <v>1013</v>
      </c>
      <c r="E10" s="145" t="s">
        <v>994</v>
      </c>
      <c r="F10" s="145" t="s">
        <v>1014</v>
      </c>
      <c r="G10" s="146">
        <v>9500</v>
      </c>
      <c r="H10" s="147">
        <f t="shared" ref="H10:H36" si="0">SUM(G10*0.35)</f>
        <v>3325</v>
      </c>
      <c r="I10" s="115" t="s">
        <v>996</v>
      </c>
      <c r="J10" s="113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s="112" customFormat="1" ht="20.100000000000001" customHeight="1" thickBot="1" x14ac:dyDescent="0.25">
      <c r="A11" s="238"/>
      <c r="B11" s="235"/>
      <c r="C11" s="128" t="s">
        <v>1073</v>
      </c>
      <c r="D11" s="128" t="s">
        <v>1015</v>
      </c>
      <c r="E11" s="128" t="s">
        <v>1002</v>
      </c>
      <c r="F11" s="128" t="s">
        <v>1016</v>
      </c>
      <c r="G11" s="125">
        <v>8000</v>
      </c>
      <c r="H11" s="127">
        <f t="shared" si="0"/>
        <v>2800</v>
      </c>
      <c r="I11" s="115"/>
      <c r="J11" s="113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s="112" customFormat="1" ht="20.100000000000001" customHeight="1" thickBot="1" x14ac:dyDescent="0.25">
      <c r="A12" s="118"/>
      <c r="B12" s="235"/>
      <c r="C12" s="115" t="s">
        <v>1074</v>
      </c>
      <c r="D12" s="115" t="s">
        <v>1017</v>
      </c>
      <c r="E12" s="115" t="s">
        <v>134</v>
      </c>
      <c r="F12" s="115"/>
      <c r="G12" s="116">
        <v>10000</v>
      </c>
      <c r="H12" s="126">
        <f t="shared" si="0"/>
        <v>3500</v>
      </c>
      <c r="I12" s="115" t="s">
        <v>996</v>
      </c>
      <c r="J12" s="113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s="112" customFormat="1" ht="20.100000000000001" customHeight="1" thickBot="1" x14ac:dyDescent="0.25">
      <c r="A13" s="236">
        <v>45184</v>
      </c>
      <c r="B13" s="235"/>
      <c r="C13" s="115" t="s">
        <v>1074</v>
      </c>
      <c r="D13" s="115" t="s">
        <v>1017</v>
      </c>
      <c r="E13" s="115" t="s">
        <v>1018</v>
      </c>
      <c r="F13" s="115" t="s">
        <v>1005</v>
      </c>
      <c r="G13" s="116">
        <v>8000</v>
      </c>
      <c r="H13" s="126">
        <f t="shared" si="0"/>
        <v>2800</v>
      </c>
      <c r="I13" s="115" t="s">
        <v>996</v>
      </c>
      <c r="J13" s="113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s="112" customFormat="1" ht="20.100000000000001" customHeight="1" thickBot="1" x14ac:dyDescent="0.25">
      <c r="A14" s="236"/>
      <c r="B14" s="235"/>
      <c r="C14" s="115" t="s">
        <v>1074</v>
      </c>
      <c r="D14" s="115" t="s">
        <v>1017</v>
      </c>
      <c r="E14" s="115" t="s">
        <v>1019</v>
      </c>
      <c r="F14" s="115" t="s">
        <v>1020</v>
      </c>
      <c r="G14" s="116">
        <v>8000</v>
      </c>
      <c r="H14" s="126">
        <f t="shared" si="0"/>
        <v>2800</v>
      </c>
      <c r="I14" s="115" t="s">
        <v>996</v>
      </c>
      <c r="J14" s="113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</row>
    <row r="15" spans="1:29" s="112" customFormat="1" ht="20.100000000000001" customHeight="1" thickBot="1" x14ac:dyDescent="0.25">
      <c r="A15" s="236"/>
      <c r="B15" s="235"/>
      <c r="C15" s="128" t="s">
        <v>1075</v>
      </c>
      <c r="D15" s="128" t="s">
        <v>1021</v>
      </c>
      <c r="E15" s="128" t="s">
        <v>1018</v>
      </c>
      <c r="F15" s="130" t="s">
        <v>1022</v>
      </c>
      <c r="G15" s="125">
        <v>8000</v>
      </c>
      <c r="H15" s="127">
        <f t="shared" si="0"/>
        <v>2800</v>
      </c>
      <c r="I15" s="115"/>
      <c r="J15" s="113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</row>
    <row r="16" spans="1:29" s="112" customFormat="1" ht="20.100000000000001" customHeight="1" thickBot="1" x14ac:dyDescent="0.25">
      <c r="A16" s="236"/>
      <c r="B16" s="235"/>
      <c r="C16" s="128" t="s">
        <v>1075</v>
      </c>
      <c r="D16" s="128" t="s">
        <v>1021</v>
      </c>
      <c r="E16" s="128" t="s">
        <v>1019</v>
      </c>
      <c r="F16" s="130" t="s">
        <v>1023</v>
      </c>
      <c r="G16" s="125">
        <v>8000</v>
      </c>
      <c r="H16" s="127">
        <f t="shared" si="0"/>
        <v>2800</v>
      </c>
      <c r="I16" s="115"/>
      <c r="J16" s="113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</row>
    <row r="17" spans="1:29" s="112" customFormat="1" ht="20.100000000000001" customHeight="1" thickBot="1" x14ac:dyDescent="0.25">
      <c r="A17" s="236"/>
      <c r="B17" s="235"/>
      <c r="C17" s="128" t="s">
        <v>1075</v>
      </c>
      <c r="D17" s="128" t="s">
        <v>1021</v>
      </c>
      <c r="E17" s="128" t="s">
        <v>134</v>
      </c>
      <c r="F17" s="130"/>
      <c r="G17" s="125">
        <v>10000</v>
      </c>
      <c r="H17" s="127">
        <f t="shared" si="0"/>
        <v>3500</v>
      </c>
      <c r="I17" s="115"/>
      <c r="J17" s="113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</row>
    <row r="18" spans="1:29" s="112" customFormat="1" ht="20.100000000000001" customHeight="1" thickBot="1" x14ac:dyDescent="0.25">
      <c r="A18" s="236"/>
      <c r="B18" s="235"/>
      <c r="C18" s="115" t="s">
        <v>1076</v>
      </c>
      <c r="D18" s="115" t="s">
        <v>1024</v>
      </c>
      <c r="E18" s="115" t="s">
        <v>994</v>
      </c>
      <c r="F18" s="115" t="s">
        <v>1025</v>
      </c>
      <c r="G18" s="117">
        <v>14500</v>
      </c>
      <c r="H18" s="126">
        <f t="shared" si="0"/>
        <v>5075</v>
      </c>
      <c r="I18" s="115" t="s">
        <v>996</v>
      </c>
      <c r="J18" s="113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</row>
    <row r="19" spans="1:29" s="112" customFormat="1" ht="20.100000000000001" customHeight="1" thickBot="1" x14ac:dyDescent="0.25">
      <c r="A19" s="118">
        <v>45187</v>
      </c>
      <c r="B19" s="235" t="s">
        <v>1026</v>
      </c>
      <c r="C19" s="145" t="s">
        <v>1077</v>
      </c>
      <c r="D19" s="145" t="s">
        <v>1027</v>
      </c>
      <c r="E19" s="145" t="s">
        <v>1028</v>
      </c>
      <c r="F19" s="145" t="s">
        <v>1029</v>
      </c>
      <c r="G19" s="146">
        <v>20260</v>
      </c>
      <c r="H19" s="147">
        <f t="shared" si="0"/>
        <v>7091</v>
      </c>
      <c r="I19" s="115" t="s">
        <v>996</v>
      </c>
      <c r="J19" s="113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</row>
    <row r="20" spans="1:29" s="112" customFormat="1" ht="20.100000000000001" customHeight="1" thickBot="1" x14ac:dyDescent="0.25">
      <c r="A20" s="236">
        <v>45191</v>
      </c>
      <c r="B20" s="235"/>
      <c r="C20" s="128" t="s">
        <v>1078</v>
      </c>
      <c r="D20" s="128" t="s">
        <v>1030</v>
      </c>
      <c r="E20" s="128" t="s">
        <v>1002</v>
      </c>
      <c r="F20" s="131" t="s">
        <v>1031</v>
      </c>
      <c r="G20" s="125">
        <v>8000</v>
      </c>
      <c r="H20" s="127">
        <f t="shared" si="0"/>
        <v>2800</v>
      </c>
      <c r="I20" s="115"/>
      <c r="J20" s="113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</row>
    <row r="21" spans="1:29" s="112" customFormat="1" ht="20.100000000000001" customHeight="1" thickBot="1" x14ac:dyDescent="0.25">
      <c r="A21" s="236"/>
      <c r="B21" s="235"/>
      <c r="C21" s="145" t="s">
        <v>1079</v>
      </c>
      <c r="D21" s="145" t="s">
        <v>1032</v>
      </c>
      <c r="E21" s="145" t="s">
        <v>10</v>
      </c>
      <c r="F21" s="148" t="s">
        <v>1033</v>
      </c>
      <c r="G21" s="146">
        <v>8500</v>
      </c>
      <c r="H21" s="147">
        <f t="shared" si="0"/>
        <v>2975</v>
      </c>
      <c r="I21" s="115" t="s">
        <v>996</v>
      </c>
      <c r="J21" s="113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</row>
    <row r="22" spans="1:29" s="112" customFormat="1" ht="20.100000000000001" customHeight="1" thickBot="1" x14ac:dyDescent="0.25">
      <c r="A22" s="236"/>
      <c r="B22" s="235"/>
      <c r="C22" s="115" t="s">
        <v>1080</v>
      </c>
      <c r="D22" s="115" t="s">
        <v>1034</v>
      </c>
      <c r="E22" s="115" t="s">
        <v>994</v>
      </c>
      <c r="F22" s="119" t="s">
        <v>1035</v>
      </c>
      <c r="G22" s="116">
        <v>10325</v>
      </c>
      <c r="H22" s="126">
        <f t="shared" si="0"/>
        <v>3613.7499999999995</v>
      </c>
      <c r="I22" s="115" t="s">
        <v>996</v>
      </c>
      <c r="J22" s="113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</row>
    <row r="23" spans="1:29" s="112" customFormat="1" ht="20.100000000000001" customHeight="1" thickBot="1" x14ac:dyDescent="0.25">
      <c r="A23" s="236"/>
      <c r="B23" s="235"/>
      <c r="C23" s="128" t="s">
        <v>1081</v>
      </c>
      <c r="D23" s="128" t="s">
        <v>1036</v>
      </c>
      <c r="E23" s="128" t="s">
        <v>994</v>
      </c>
      <c r="F23" s="128" t="s">
        <v>1037</v>
      </c>
      <c r="G23" s="125">
        <v>10325</v>
      </c>
      <c r="H23" s="127">
        <f t="shared" si="0"/>
        <v>3613.7499999999995</v>
      </c>
      <c r="I23" s="115"/>
      <c r="J23" s="113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s="112" customFormat="1" ht="20.100000000000001" customHeight="1" thickBot="1" x14ac:dyDescent="0.25">
      <c r="A24" s="236">
        <v>45195</v>
      </c>
      <c r="B24" s="235" t="s">
        <v>1038</v>
      </c>
      <c r="C24" s="128" t="s">
        <v>1082</v>
      </c>
      <c r="D24" s="128" t="s">
        <v>1039</v>
      </c>
      <c r="E24" s="128" t="s">
        <v>1002</v>
      </c>
      <c r="F24" s="128" t="s">
        <v>1040</v>
      </c>
      <c r="G24" s="125">
        <v>8500</v>
      </c>
      <c r="H24" s="127">
        <f t="shared" si="0"/>
        <v>2975</v>
      </c>
      <c r="I24" s="115"/>
      <c r="J24" s="113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spans="1:29" s="112" customFormat="1" ht="20.100000000000001" customHeight="1" thickBot="1" x14ac:dyDescent="0.25">
      <c r="A25" s="236"/>
      <c r="B25" s="235"/>
      <c r="C25" s="128" t="s">
        <v>1083</v>
      </c>
      <c r="D25" s="128" t="s">
        <v>1041</v>
      </c>
      <c r="E25" s="128" t="s">
        <v>1002</v>
      </c>
      <c r="F25" s="128" t="s">
        <v>1042</v>
      </c>
      <c r="G25" s="125">
        <v>10000</v>
      </c>
      <c r="H25" s="127">
        <f t="shared" si="0"/>
        <v>3500</v>
      </c>
      <c r="I25" s="115"/>
      <c r="J25" s="113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</row>
    <row r="26" spans="1:29" s="112" customFormat="1" ht="20.100000000000001" customHeight="1" thickBot="1" x14ac:dyDescent="0.25">
      <c r="A26" s="236">
        <v>45196</v>
      </c>
      <c r="B26" s="235"/>
      <c r="C26" s="235" t="s">
        <v>1084</v>
      </c>
      <c r="D26" s="115" t="s">
        <v>1043</v>
      </c>
      <c r="E26" s="235" t="s">
        <v>1044</v>
      </c>
      <c r="F26" s="115" t="s">
        <v>1045</v>
      </c>
      <c r="G26" s="240">
        <v>47500</v>
      </c>
      <c r="H26" s="240">
        <f t="shared" si="0"/>
        <v>16625</v>
      </c>
      <c r="I26" s="241" t="s">
        <v>996</v>
      </c>
      <c r="J26" s="113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s="112" customFormat="1" ht="20.100000000000001" customHeight="1" thickBot="1" x14ac:dyDescent="0.25">
      <c r="A27" s="236"/>
      <c r="B27" s="235"/>
      <c r="C27" s="235"/>
      <c r="D27" s="115" t="s">
        <v>1046</v>
      </c>
      <c r="E27" s="235"/>
      <c r="F27" s="115" t="s">
        <v>1047</v>
      </c>
      <c r="G27" s="240"/>
      <c r="H27" s="240"/>
      <c r="I27" s="241"/>
      <c r="J27" s="113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 s="112" customFormat="1" ht="20.100000000000001" customHeight="1" thickBot="1" x14ac:dyDescent="0.25">
      <c r="A28" s="236"/>
      <c r="B28" s="235"/>
      <c r="C28" s="235"/>
      <c r="D28" s="115" t="s">
        <v>1048</v>
      </c>
      <c r="E28" s="235"/>
      <c r="F28" s="115" t="s">
        <v>1049</v>
      </c>
      <c r="G28" s="240"/>
      <c r="H28" s="240"/>
      <c r="I28" s="241"/>
      <c r="J28" s="113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</row>
    <row r="29" spans="1:29" s="112" customFormat="1" ht="20.100000000000001" customHeight="1" thickBot="1" x14ac:dyDescent="0.25">
      <c r="A29" s="236"/>
      <c r="B29" s="235"/>
      <c r="C29" s="235"/>
      <c r="D29" s="115" t="s">
        <v>1050</v>
      </c>
      <c r="E29" s="235"/>
      <c r="F29" s="115" t="s">
        <v>1051</v>
      </c>
      <c r="G29" s="240"/>
      <c r="H29" s="240"/>
      <c r="I29" s="241"/>
      <c r="J29" s="113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</row>
    <row r="30" spans="1:29" s="112" customFormat="1" ht="20.100000000000001" customHeight="1" thickBot="1" x14ac:dyDescent="0.25">
      <c r="A30" s="236"/>
      <c r="B30" s="235"/>
      <c r="C30" s="235"/>
      <c r="D30" s="115" t="s">
        <v>1052</v>
      </c>
      <c r="E30" s="235"/>
      <c r="F30" s="115" t="s">
        <v>1053</v>
      </c>
      <c r="G30" s="240"/>
      <c r="H30" s="240"/>
      <c r="I30" s="241"/>
      <c r="J30" s="113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spans="1:29" s="112" customFormat="1" ht="20.100000000000001" customHeight="1" thickBot="1" x14ac:dyDescent="0.25">
      <c r="A31" s="236">
        <v>45198</v>
      </c>
      <c r="B31" s="235"/>
      <c r="C31" s="145" t="s">
        <v>1085</v>
      </c>
      <c r="D31" s="145" t="s">
        <v>1054</v>
      </c>
      <c r="E31" s="145" t="s">
        <v>994</v>
      </c>
      <c r="F31" s="145" t="s">
        <v>1055</v>
      </c>
      <c r="G31" s="146">
        <v>10000</v>
      </c>
      <c r="H31" s="147">
        <f t="shared" si="0"/>
        <v>3500</v>
      </c>
      <c r="I31" s="115" t="s">
        <v>996</v>
      </c>
      <c r="J31" s="113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s="112" customFormat="1" ht="20.100000000000001" customHeight="1" thickBot="1" x14ac:dyDescent="0.25">
      <c r="A32" s="236"/>
      <c r="B32" s="235"/>
      <c r="C32" s="145" t="s">
        <v>1086</v>
      </c>
      <c r="D32" s="145" t="s">
        <v>1056</v>
      </c>
      <c r="E32" s="145" t="s">
        <v>994</v>
      </c>
      <c r="F32" s="145" t="s">
        <v>1057</v>
      </c>
      <c r="G32" s="146">
        <v>8500</v>
      </c>
      <c r="H32" s="147">
        <f t="shared" si="0"/>
        <v>2975</v>
      </c>
      <c r="I32" s="115" t="s">
        <v>996</v>
      </c>
      <c r="J32" s="113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 s="112" customFormat="1" ht="20.100000000000001" customHeight="1" thickBot="1" x14ac:dyDescent="0.25">
      <c r="A33" s="236"/>
      <c r="B33" s="235"/>
      <c r="C33" s="128" t="s">
        <v>1087</v>
      </c>
      <c r="D33" s="128" t="s">
        <v>1041</v>
      </c>
      <c r="E33" s="128" t="s">
        <v>1002</v>
      </c>
      <c r="F33" s="128" t="s">
        <v>1058</v>
      </c>
      <c r="G33" s="125">
        <v>5000</v>
      </c>
      <c r="H33" s="127">
        <f t="shared" si="0"/>
        <v>1750</v>
      </c>
      <c r="I33" s="115"/>
      <c r="J33" s="113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spans="1:29" s="112" customFormat="1" ht="20.100000000000001" customHeight="1" thickBot="1" x14ac:dyDescent="0.25">
      <c r="A34" s="236"/>
      <c r="B34" s="235"/>
      <c r="C34" s="128" t="s">
        <v>1088</v>
      </c>
      <c r="D34" s="128" t="s">
        <v>1021</v>
      </c>
      <c r="E34" s="128" t="s">
        <v>1059</v>
      </c>
      <c r="F34" s="128" t="s">
        <v>1060</v>
      </c>
      <c r="G34" s="125">
        <v>8500</v>
      </c>
      <c r="H34" s="127">
        <f t="shared" si="0"/>
        <v>2975</v>
      </c>
      <c r="I34" s="115"/>
      <c r="J34" s="113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spans="1:29" s="112" customFormat="1" ht="20.100000000000001" customHeight="1" thickBot="1" x14ac:dyDescent="0.25">
      <c r="A35" s="236"/>
      <c r="B35" s="235"/>
      <c r="C35" s="128" t="s">
        <v>1089</v>
      </c>
      <c r="D35" s="128" t="s">
        <v>1061</v>
      </c>
      <c r="E35" s="128" t="s">
        <v>1002</v>
      </c>
      <c r="F35" s="128" t="s">
        <v>1062</v>
      </c>
      <c r="G35" s="125">
        <v>10000</v>
      </c>
      <c r="H35" s="127">
        <f t="shared" si="0"/>
        <v>3500</v>
      </c>
      <c r="I35" s="115"/>
      <c r="J35" s="113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s="112" customFormat="1" ht="35.25" customHeight="1" thickBot="1" x14ac:dyDescent="0.25">
      <c r="A36" s="236"/>
      <c r="B36" s="235"/>
      <c r="C36" s="115" t="s">
        <v>1090</v>
      </c>
      <c r="D36" s="115" t="s">
        <v>1063</v>
      </c>
      <c r="E36" s="115" t="s">
        <v>1002</v>
      </c>
      <c r="F36" s="115" t="s">
        <v>1064</v>
      </c>
      <c r="G36" s="116">
        <v>10000</v>
      </c>
      <c r="H36" s="126">
        <f t="shared" si="0"/>
        <v>3500</v>
      </c>
      <c r="I36" s="115" t="s">
        <v>996</v>
      </c>
      <c r="J36" s="113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s="112" customFormat="1" ht="20.100000000000001" customHeight="1" thickBot="1" x14ac:dyDescent="0.25">
      <c r="A37" s="115"/>
      <c r="B37" s="115"/>
      <c r="C37" s="115"/>
      <c r="D37" s="115"/>
      <c r="E37" s="115"/>
      <c r="F37" s="115"/>
      <c r="G37" s="115"/>
      <c r="H37" s="141">
        <f>SUM(H5+H7+H8+H11+H15+H16+H17+H20+H23+H24+H25+H33+H34+H35)</f>
        <v>48413.75</v>
      </c>
      <c r="I37" s="119"/>
      <c r="J37" s="113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spans="1:29" x14ac:dyDescent="0.25">
      <c r="H38" s="149">
        <f>SUM(H2+H10+H19+H21+H31+H32)</f>
        <v>28441</v>
      </c>
    </row>
  </sheetData>
  <mergeCells count="16">
    <mergeCell ref="G26:G30"/>
    <mergeCell ref="H26:H30"/>
    <mergeCell ref="I26:I30"/>
    <mergeCell ref="A24:A25"/>
    <mergeCell ref="B24:B36"/>
    <mergeCell ref="A26:A30"/>
    <mergeCell ref="C26:C30"/>
    <mergeCell ref="E26:E30"/>
    <mergeCell ref="A31:A36"/>
    <mergeCell ref="B19:B23"/>
    <mergeCell ref="A20:A23"/>
    <mergeCell ref="A2:A8"/>
    <mergeCell ref="B2:B8"/>
    <mergeCell ref="A9:A11"/>
    <mergeCell ref="B9:B18"/>
    <mergeCell ref="A13:A18"/>
  </mergeCells>
  <phoneticPr fontId="24" type="noConversion"/>
  <pageMargins left="0.7" right="0.7" top="0.75" bottom="0.75" header="0.3" footer="0.3"/>
  <pageSetup scale="7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C14" sqref="C14"/>
    </sheetView>
  </sheetViews>
  <sheetFormatPr defaultRowHeight="15" x14ac:dyDescent="0.25"/>
  <cols>
    <col min="1" max="1" width="7.7109375" style="2" customWidth="1"/>
    <col min="2" max="2" width="33.7109375" customWidth="1"/>
    <col min="3" max="3" width="37.140625" style="2" customWidth="1"/>
    <col min="4" max="4" width="15.42578125" style="1" customWidth="1"/>
    <col min="5" max="5" width="16.7109375" customWidth="1"/>
    <col min="6" max="6" width="18.5703125" style="35" customWidth="1"/>
    <col min="7" max="7" width="10.140625" customWidth="1"/>
    <col min="8" max="8" width="24.28515625" customWidth="1"/>
  </cols>
  <sheetData>
    <row r="1" spans="1:6" ht="19.5" x14ac:dyDescent="0.4">
      <c r="A1" s="34"/>
      <c r="D1" s="20"/>
    </row>
    <row r="4" spans="1:6" x14ac:dyDescent="0.25">
      <c r="A4" s="44">
        <v>45309</v>
      </c>
      <c r="B4" s="45" t="s">
        <v>1176</v>
      </c>
      <c r="C4" s="153" t="s">
        <v>744</v>
      </c>
      <c r="D4" s="155">
        <v>9600</v>
      </c>
      <c r="E4" s="92">
        <f t="shared" ref="E4:E9" si="0">SUM(D4*0.65)</f>
        <v>6240</v>
      </c>
      <c r="F4" s="92">
        <f t="shared" ref="F4:F9" si="1">SUM(D4*0.35)</f>
        <v>3360</v>
      </c>
    </row>
    <row r="5" spans="1:6" x14ac:dyDescent="0.25">
      <c r="A5" s="44">
        <v>45314</v>
      </c>
      <c r="B5" s="45" t="s">
        <v>1177</v>
      </c>
      <c r="C5" s="45" t="s">
        <v>787</v>
      </c>
      <c r="D5" s="155">
        <v>9500</v>
      </c>
      <c r="E5" s="92">
        <f t="shared" si="0"/>
        <v>6175</v>
      </c>
      <c r="F5" s="92">
        <f t="shared" si="1"/>
        <v>3325</v>
      </c>
    </row>
    <row r="6" spans="1:6" x14ac:dyDescent="0.25">
      <c r="A6" s="44">
        <v>45336</v>
      </c>
      <c r="B6" s="45" t="s">
        <v>1179</v>
      </c>
      <c r="C6" s="45" t="s">
        <v>744</v>
      </c>
      <c r="D6" s="155">
        <v>9250</v>
      </c>
      <c r="E6" s="92">
        <f t="shared" si="0"/>
        <v>6012.5</v>
      </c>
      <c r="F6" s="92">
        <f t="shared" si="1"/>
        <v>3237.5</v>
      </c>
    </row>
    <row r="7" spans="1:6" x14ac:dyDescent="0.25">
      <c r="A7" s="44">
        <v>45334</v>
      </c>
      <c r="B7" s="45" t="s">
        <v>1183</v>
      </c>
      <c r="C7" s="45" t="s">
        <v>752</v>
      </c>
      <c r="D7" s="155">
        <v>5500</v>
      </c>
      <c r="E7" s="92">
        <f t="shared" si="0"/>
        <v>3575</v>
      </c>
      <c r="F7" s="92">
        <f t="shared" si="1"/>
        <v>1924.9999999999998</v>
      </c>
    </row>
    <row r="8" spans="1:6" x14ac:dyDescent="0.25">
      <c r="A8" s="44">
        <v>45420</v>
      </c>
      <c r="B8" s="45" t="s">
        <v>1208</v>
      </c>
      <c r="C8" s="45" t="s">
        <v>1209</v>
      </c>
      <c r="D8" s="20">
        <v>15300</v>
      </c>
      <c r="E8" s="92">
        <f t="shared" si="0"/>
        <v>9945</v>
      </c>
      <c r="F8" s="35">
        <f t="shared" si="1"/>
        <v>5355</v>
      </c>
    </row>
    <row r="9" spans="1:6" x14ac:dyDescent="0.25">
      <c r="A9" s="44">
        <v>45483</v>
      </c>
      <c r="B9" s="45" t="s">
        <v>1235</v>
      </c>
      <c r="C9" s="45" t="s">
        <v>761</v>
      </c>
      <c r="D9" s="1">
        <v>8500</v>
      </c>
      <c r="E9" s="92">
        <f t="shared" si="0"/>
        <v>5525</v>
      </c>
      <c r="F9" s="35">
        <f t="shared" si="1"/>
        <v>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SOFTWARE - PAID</vt:lpstr>
      <vt:lpstr>2019 - PAID</vt:lpstr>
      <vt:lpstr>Sheet1</vt:lpstr>
      <vt:lpstr>ANDROID PO</vt:lpstr>
      <vt:lpstr>UNPAID</vt:lpstr>
      <vt:lpstr>NEW PO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</dc:creator>
  <cp:lastModifiedBy>JEN</cp:lastModifiedBy>
  <cp:lastPrinted>2024-02-05T02:49:55Z</cp:lastPrinted>
  <dcterms:created xsi:type="dcterms:W3CDTF">2015-06-04T06:13:03Z</dcterms:created>
  <dcterms:modified xsi:type="dcterms:W3CDTF">2026-01-23T07:14:15Z</dcterms:modified>
</cp:coreProperties>
</file>