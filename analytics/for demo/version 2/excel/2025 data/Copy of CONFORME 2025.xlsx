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 FILES\CONFORME\"/>
    </mc:Choice>
  </mc:AlternateContent>
  <xr:revisionPtr revIDLastSave="0" documentId="13_ncr:1_{6C9B2BDE-25D4-4962-A919-4A1E669083B3}" xr6:coauthVersionLast="47" xr6:coauthVersionMax="47" xr10:uidLastSave="{00000000-0000-0000-0000-000000000000}"/>
  <bookViews>
    <workbookView xWindow="-120" yWindow="-120" windowWidth="20730" windowHeight="11160" firstSheet="4" activeTab="11" xr2:uid="{40A74253-7A5A-487F-AFE6-AA8C6E6DAB67}"/>
  </bookViews>
  <sheets>
    <sheet name="JANUARY" sheetId="1" r:id="rId1"/>
    <sheet name="FEBRUARY 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10" r:id="rId8"/>
    <sheet name="SEPTEMBER " sheetId="11" r:id="rId9"/>
    <sheet name="OCTOBER" sheetId="14" r:id="rId10"/>
    <sheet name="NOVEMBER" sheetId="16" r:id="rId11"/>
    <sheet name="DECEMBER " sheetId="17" r:id="rId1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5" i="17" l="1"/>
  <c r="M36" i="17"/>
  <c r="M37" i="17"/>
  <c r="M38" i="17"/>
  <c r="M39" i="17"/>
  <c r="M68" i="17" l="1"/>
  <c r="M67" i="17"/>
  <c r="M66" i="17"/>
  <c r="M27" i="17" l="1"/>
  <c r="M28" i="17"/>
  <c r="M29" i="17"/>
  <c r="M30" i="17"/>
  <c r="M31" i="17"/>
  <c r="M32" i="17"/>
  <c r="M33" i="17"/>
  <c r="M34" i="17"/>
  <c r="M40" i="17"/>
  <c r="M41" i="17"/>
  <c r="M43" i="17"/>
  <c r="M44" i="17"/>
  <c r="M45" i="17"/>
  <c r="M26" i="17"/>
  <c r="M25" i="17"/>
  <c r="M24" i="17"/>
  <c r="M23" i="17"/>
  <c r="M22" i="17"/>
  <c r="M46" i="17"/>
  <c r="M47" i="17"/>
  <c r="M48" i="17"/>
  <c r="M49" i="17"/>
  <c r="M59" i="11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51" i="17"/>
  <c r="M52" i="17"/>
  <c r="M53" i="17"/>
  <c r="M54" i="17"/>
  <c r="M55" i="17"/>
  <c r="M56" i="17"/>
  <c r="M57" i="17"/>
  <c r="M58" i="17"/>
  <c r="M59" i="17"/>
  <c r="M60" i="17"/>
  <c r="M61" i="17"/>
  <c r="M62" i="17"/>
  <c r="M63" i="17"/>
  <c r="M64" i="17"/>
  <c r="M65" i="17"/>
  <c r="M24" i="16" l="1"/>
  <c r="F8" i="17" l="1"/>
  <c r="E8" i="17"/>
  <c r="D8" i="17"/>
  <c r="G8" i="17" l="1"/>
  <c r="M8" i="17" s="1"/>
  <c r="M45" i="16" l="1"/>
  <c r="M44" i="16"/>
  <c r="M43" i="16"/>
  <c r="M23" i="16" l="1"/>
  <c r="M27" i="16"/>
  <c r="M28" i="16"/>
  <c r="M30" i="16"/>
  <c r="M31" i="16"/>
  <c r="M32" i="16"/>
  <c r="M33" i="16"/>
  <c r="M34" i="16"/>
  <c r="M35" i="16"/>
  <c r="M36" i="16"/>
  <c r="M37" i="16"/>
  <c r="M38" i="16"/>
  <c r="M39" i="16"/>
  <c r="M40" i="16"/>
  <c r="M26" i="16"/>
  <c r="M18" i="16"/>
  <c r="M19" i="16"/>
  <c r="M20" i="16"/>
  <c r="M21" i="16"/>
  <c r="M22" i="16"/>
  <c r="M42" i="16" l="1"/>
  <c r="M41" i="16"/>
  <c r="M17" i="16"/>
  <c r="M16" i="16"/>
  <c r="M14" i="16" l="1"/>
  <c r="M15" i="16"/>
  <c r="M8" i="2" l="1"/>
  <c r="M8" i="4"/>
  <c r="M8" i="5"/>
  <c r="F8" i="16"/>
  <c r="M13" i="16"/>
  <c r="M12" i="16"/>
  <c r="M11" i="16"/>
  <c r="M10" i="16"/>
  <c r="M9" i="16"/>
  <c r="E8" i="16"/>
  <c r="D8" i="16"/>
  <c r="G8" i="16" l="1"/>
  <c r="M8" i="16" s="1"/>
  <c r="M33" i="11" l="1"/>
  <c r="M65" i="14" l="1"/>
  <c r="M66" i="14"/>
  <c r="M67" i="14"/>
  <c r="M64" i="14"/>
  <c r="M40" i="14"/>
  <c r="M41" i="14"/>
  <c r="M42" i="14"/>
  <c r="M63" i="14"/>
  <c r="M60" i="14"/>
  <c r="M62" i="14"/>
  <c r="M38" i="14" l="1"/>
  <c r="M37" i="14"/>
  <c r="M36" i="14"/>
  <c r="M45" i="14" l="1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1" i="14"/>
  <c r="M44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39" i="14"/>
  <c r="M30" i="14"/>
  <c r="M31" i="14"/>
  <c r="M32" i="14"/>
  <c r="M33" i="14"/>
  <c r="M34" i="14"/>
  <c r="M35" i="14"/>
  <c r="M29" i="14"/>
  <c r="F8" i="14"/>
  <c r="E8" i="14"/>
  <c r="D8" i="14"/>
  <c r="M8" i="14" l="1"/>
  <c r="G8" i="14"/>
  <c r="M29" i="11" l="1"/>
  <c r="M30" i="11"/>
  <c r="M31" i="11"/>
  <c r="M28" i="11"/>
  <c r="M25" i="11" l="1"/>
  <c r="M26" i="11"/>
  <c r="M27" i="11"/>
  <c r="M24" i="11"/>
  <c r="M23" i="11" l="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60" i="11"/>
  <c r="M42" i="11"/>
  <c r="M34" i="11"/>
  <c r="M35" i="11"/>
  <c r="M36" i="11"/>
  <c r="M37" i="11"/>
  <c r="M38" i="11"/>
  <c r="M39" i="11"/>
  <c r="M40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9" i="11"/>
  <c r="F8" i="10"/>
  <c r="G8" i="10"/>
  <c r="F8" i="11"/>
  <c r="E8" i="11"/>
  <c r="D8" i="11"/>
  <c r="M19" i="10"/>
  <c r="M20" i="10"/>
  <c r="M21" i="10"/>
  <c r="M22" i="10"/>
  <c r="M8" i="11" l="1"/>
  <c r="G8" i="11"/>
  <c r="M30" i="10"/>
  <c r="M31" i="10"/>
  <c r="M48" i="10"/>
  <c r="M15" i="10" l="1"/>
  <c r="M25" i="10"/>
  <c r="M26" i="10"/>
  <c r="M27" i="10"/>
  <c r="M28" i="10"/>
  <c r="M29" i="10"/>
  <c r="M32" i="10"/>
  <c r="M33" i="10"/>
  <c r="M34" i="10"/>
  <c r="E8" i="10" l="1"/>
  <c r="M38" i="10"/>
  <c r="M39" i="10"/>
  <c r="M40" i="10"/>
  <c r="M41" i="10"/>
  <c r="M42" i="10"/>
  <c r="M43" i="10"/>
  <c r="M44" i="10"/>
  <c r="M45" i="10"/>
  <c r="M46" i="10"/>
  <c r="M47" i="10"/>
  <c r="M49" i="10"/>
  <c r="M50" i="10"/>
  <c r="M51" i="10"/>
  <c r="M52" i="10"/>
  <c r="M53" i="10"/>
  <c r="M54" i="10"/>
  <c r="M55" i="10"/>
  <c r="M56" i="10"/>
  <c r="M37" i="10"/>
  <c r="M36" i="10"/>
  <c r="M24" i="10" l="1"/>
  <c r="M17" i="6" l="1"/>
  <c r="D8" i="7" l="1"/>
  <c r="E8" i="7"/>
  <c r="M10" i="10"/>
  <c r="M11" i="10"/>
  <c r="M12" i="10"/>
  <c r="M13" i="10"/>
  <c r="M14" i="10"/>
  <c r="M8" i="10" s="1"/>
  <c r="M16" i="10"/>
  <c r="M17" i="10"/>
  <c r="M18" i="10"/>
  <c r="M9" i="10"/>
  <c r="D8" i="10"/>
  <c r="M34" i="7"/>
  <c r="M33" i="7"/>
  <c r="M58" i="7" l="1"/>
  <c r="M59" i="7"/>
  <c r="M60" i="7"/>
  <c r="M57" i="7"/>
  <c r="M56" i="7"/>
  <c r="M55" i="7"/>
  <c r="M54" i="7"/>
  <c r="M18" i="7"/>
  <c r="M19" i="7"/>
  <c r="M20" i="7"/>
  <c r="M21" i="7"/>
  <c r="M22" i="7"/>
  <c r="M23" i="7"/>
  <c r="M51" i="7" l="1"/>
  <c r="M52" i="7"/>
  <c r="M53" i="7"/>
  <c r="M29" i="7" l="1"/>
  <c r="M30" i="7"/>
  <c r="M26" i="7"/>
  <c r="M27" i="7"/>
  <c r="M28" i="7"/>
  <c r="M31" i="7"/>
  <c r="M32" i="7"/>
  <c r="M15" i="7"/>
  <c r="M16" i="7"/>
  <c r="M17" i="7"/>
  <c r="M49" i="7" l="1"/>
  <c r="M8" i="7" s="1"/>
  <c r="M50" i="7"/>
  <c r="M48" i="7" l="1"/>
  <c r="M47" i="7"/>
  <c r="M46" i="7"/>
  <c r="M45" i="7" l="1"/>
  <c r="M37" i="7" l="1"/>
  <c r="M38" i="7"/>
  <c r="M39" i="7"/>
  <c r="M40" i="7"/>
  <c r="M41" i="7"/>
  <c r="M42" i="7"/>
  <c r="M43" i="7"/>
  <c r="M44" i="7"/>
  <c r="M36" i="7"/>
  <c r="M10" i="7"/>
  <c r="M11" i="7"/>
  <c r="M12" i="7"/>
  <c r="M13" i="7"/>
  <c r="M14" i="7"/>
  <c r="M33" i="6" l="1"/>
  <c r="M34" i="6"/>
  <c r="M25" i="7"/>
  <c r="M24" i="7"/>
  <c r="M9" i="7"/>
  <c r="F8" i="7"/>
  <c r="G8" i="7" s="1"/>
  <c r="M30" i="6"/>
  <c r="M31" i="6"/>
  <c r="M32" i="6"/>
  <c r="M29" i="6" l="1"/>
  <c r="M62" i="6" l="1"/>
  <c r="M63" i="6"/>
  <c r="M64" i="6"/>
  <c r="M24" i="6" l="1"/>
  <c r="M25" i="6"/>
  <c r="M26" i="6"/>
  <c r="M27" i="6"/>
  <c r="M21" i="6"/>
  <c r="M22" i="6"/>
  <c r="M23" i="6"/>
  <c r="M8" i="6" l="1"/>
  <c r="M18" i="6"/>
  <c r="M19" i="6"/>
  <c r="M20" i="6"/>
  <c r="M28" i="6"/>
  <c r="M55" i="6"/>
  <c r="M56" i="6"/>
  <c r="M57" i="6"/>
  <c r="M58" i="6"/>
  <c r="M59" i="6"/>
  <c r="M60" i="6"/>
  <c r="M61" i="6"/>
  <c r="M54" i="6"/>
  <c r="M53" i="6"/>
  <c r="M52" i="6" l="1"/>
  <c r="M51" i="6"/>
  <c r="M43" i="6" l="1"/>
  <c r="M42" i="6"/>
  <c r="M41" i="6"/>
  <c r="M40" i="6"/>
  <c r="M39" i="6"/>
  <c r="M38" i="6"/>
  <c r="M37" i="6"/>
  <c r="M36" i="6"/>
  <c r="M50" i="6"/>
  <c r="M49" i="6"/>
  <c r="M48" i="6"/>
  <c r="M47" i="6"/>
  <c r="M46" i="6"/>
  <c r="M45" i="6"/>
  <c r="M35" i="6"/>
  <c r="M16" i="6"/>
  <c r="M15" i="6"/>
  <c r="M14" i="6"/>
  <c r="M13" i="6"/>
  <c r="M12" i="6"/>
  <c r="M11" i="6"/>
  <c r="M10" i="6"/>
  <c r="M9" i="6"/>
  <c r="F8" i="6"/>
  <c r="E8" i="6"/>
  <c r="D8" i="6"/>
  <c r="M21" i="5" l="1"/>
  <c r="M22" i="5"/>
  <c r="M20" i="5"/>
  <c r="M46" i="5"/>
  <c r="M45" i="5"/>
  <c r="M31" i="5" l="1"/>
  <c r="M18" i="5"/>
  <c r="M16" i="5"/>
  <c r="M15" i="5"/>
  <c r="M44" i="5"/>
  <c r="M14" i="5" l="1"/>
  <c r="M17" i="5"/>
  <c r="M13" i="5"/>
  <c r="M30" i="5" l="1"/>
  <c r="M29" i="5" l="1"/>
  <c r="M28" i="5"/>
  <c r="M41" i="5" l="1"/>
  <c r="M43" i="5"/>
  <c r="M40" i="5"/>
  <c r="M39" i="5"/>
  <c r="M10" i="5" l="1"/>
  <c r="M11" i="5"/>
  <c r="M12" i="5"/>
  <c r="M19" i="5"/>
  <c r="M27" i="5" l="1"/>
  <c r="E8" i="5"/>
  <c r="M34" i="5"/>
  <c r="M35" i="5"/>
  <c r="M36" i="5"/>
  <c r="M37" i="5"/>
  <c r="M38" i="5"/>
  <c r="M33" i="5"/>
  <c r="M49" i="4"/>
  <c r="M50" i="4"/>
  <c r="M9" i="5"/>
  <c r="M23" i="5"/>
  <c r="F8" i="5"/>
  <c r="M23" i="4"/>
  <c r="M24" i="4"/>
  <c r="M26" i="5"/>
  <c r="M25" i="5"/>
  <c r="M24" i="5"/>
  <c r="D8" i="5"/>
  <c r="M46" i="4"/>
  <c r="M47" i="4"/>
  <c r="M41" i="4"/>
  <c r="M42" i="4"/>
  <c r="M43" i="4"/>
  <c r="M44" i="4"/>
  <c r="M45" i="4"/>
  <c r="M21" i="4"/>
  <c r="M22" i="4"/>
  <c r="M20" i="4"/>
  <c r="M19" i="4"/>
  <c r="M18" i="4"/>
  <c r="M17" i="4" l="1"/>
  <c r="M16" i="4"/>
  <c r="M32" i="4" l="1"/>
  <c r="M33" i="4"/>
  <c r="M34" i="4"/>
  <c r="M35" i="4"/>
  <c r="M36" i="4"/>
  <c r="M37" i="4"/>
  <c r="M38" i="4"/>
  <c r="M39" i="4"/>
  <c r="M40" i="4"/>
  <c r="M48" i="4"/>
  <c r="M31" i="4"/>
  <c r="E8" i="4"/>
  <c r="M27" i="4" l="1"/>
  <c r="M28" i="4"/>
  <c r="M29" i="4"/>
  <c r="M26" i="4"/>
  <c r="F8" i="4"/>
  <c r="D8" i="4"/>
  <c r="M15" i="4"/>
  <c r="M10" i="4"/>
  <c r="M11" i="4"/>
  <c r="M12" i="4"/>
  <c r="M13" i="4"/>
  <c r="M14" i="4"/>
  <c r="M9" i="4"/>
  <c r="M25" i="4"/>
  <c r="G8" i="4" l="1"/>
  <c r="M23" i="3" l="1"/>
  <c r="M24" i="3"/>
  <c r="M44" i="3" l="1"/>
  <c r="M22" i="3"/>
  <c r="M43" i="3" l="1"/>
  <c r="M21" i="3" l="1"/>
  <c r="M20" i="3" l="1"/>
  <c r="M18" i="3"/>
  <c r="M17" i="3"/>
  <c r="M16" i="3"/>
  <c r="M15" i="3"/>
  <c r="M11" i="3"/>
  <c r="M12" i="3"/>
  <c r="M13" i="3"/>
  <c r="M14" i="3"/>
  <c r="M19" i="3"/>
  <c r="M25" i="3"/>
  <c r="M26" i="3"/>
  <c r="M27" i="3"/>
  <c r="M28" i="3"/>
  <c r="M29" i="3"/>
  <c r="M30" i="3"/>
  <c r="M31" i="3"/>
  <c r="M32" i="3"/>
  <c r="M34" i="3"/>
  <c r="M35" i="3"/>
  <c r="M36" i="3"/>
  <c r="M37" i="3"/>
  <c r="M38" i="3"/>
  <c r="M39" i="3"/>
  <c r="M40" i="3"/>
  <c r="M41" i="3"/>
  <c r="M42" i="3"/>
  <c r="M10" i="3"/>
  <c r="M9" i="3"/>
  <c r="F8" i="3"/>
  <c r="E8" i="3"/>
  <c r="D8" i="3"/>
  <c r="G8" i="3" l="1"/>
  <c r="M20" i="2" l="1"/>
  <c r="M19" i="2"/>
  <c r="M18" i="2"/>
  <c r="M17" i="2"/>
  <c r="M16" i="2"/>
  <c r="M43" i="2"/>
  <c r="M44" i="2"/>
  <c r="M45" i="2"/>
  <c r="M46" i="2"/>
  <c r="M47" i="2"/>
  <c r="M48" i="2"/>
  <c r="M49" i="2"/>
  <c r="M50" i="2"/>
  <c r="M51" i="2"/>
  <c r="M34" i="2" l="1"/>
  <c r="M35" i="2"/>
  <c r="M36" i="2"/>
  <c r="M37" i="2"/>
  <c r="M38" i="2"/>
  <c r="M40" i="2"/>
  <c r="M41" i="2"/>
  <c r="M42" i="2"/>
  <c r="M33" i="2" l="1"/>
  <c r="M21" i="2"/>
  <c r="M22" i="2"/>
  <c r="M23" i="2"/>
  <c r="M24" i="2"/>
  <c r="M25" i="2"/>
  <c r="M26" i="2"/>
  <c r="M27" i="2"/>
  <c r="M28" i="2"/>
  <c r="M29" i="2"/>
  <c r="M30" i="2"/>
  <c r="M31" i="2"/>
  <c r="M32" i="2"/>
  <c r="F8" i="2"/>
  <c r="E8" i="2"/>
  <c r="D8" i="2"/>
  <c r="F8" i="1"/>
  <c r="E8" i="1"/>
  <c r="D8" i="1"/>
  <c r="M10" i="2"/>
  <c r="M11" i="2"/>
  <c r="M12" i="2"/>
  <c r="M13" i="2"/>
  <c r="M14" i="2"/>
  <c r="M15" i="2"/>
  <c r="M9" i="2"/>
  <c r="M30" i="1"/>
  <c r="M31" i="1"/>
  <c r="M32" i="1"/>
  <c r="M33" i="1"/>
  <c r="M34" i="1"/>
  <c r="M35" i="1"/>
  <c r="M36" i="1"/>
  <c r="M37" i="1"/>
  <c r="M38" i="1"/>
  <c r="M39" i="1"/>
  <c r="G8" i="1" l="1"/>
  <c r="G8" i="2"/>
  <c r="M60" i="1"/>
  <c r="M61" i="1"/>
  <c r="M62" i="1"/>
  <c r="M63" i="1"/>
  <c r="M59" i="1" l="1"/>
  <c r="M51" i="1"/>
  <c r="M52" i="1"/>
  <c r="M53" i="1"/>
  <c r="M54" i="1"/>
  <c r="M55" i="1"/>
  <c r="M56" i="1"/>
  <c r="M50" i="1"/>
  <c r="M10" i="1" l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40" i="1"/>
  <c r="M41" i="1"/>
  <c r="M42" i="1"/>
  <c r="M43" i="1"/>
  <c r="M44" i="1"/>
  <c r="M45" i="1"/>
  <c r="M47" i="1"/>
  <c r="M48" i="1"/>
  <c r="M57" i="1"/>
  <c r="M58" i="1"/>
  <c r="M9" i="1"/>
</calcChain>
</file>

<file path=xl/sharedStrings.xml><?xml version="1.0" encoding="utf-8"?>
<sst xmlns="http://schemas.openxmlformats.org/spreadsheetml/2006/main" count="2495" uniqueCount="1407">
  <si>
    <t>SYLUXENT, INC</t>
  </si>
  <si>
    <t>CONFORME</t>
  </si>
  <si>
    <t>NO DOWNPAYMENT / FULLPAYMENT</t>
  </si>
  <si>
    <t>NEW CLIENT</t>
  </si>
  <si>
    <t>DATE</t>
  </si>
  <si>
    <t>CLIENT</t>
  </si>
  <si>
    <t>PARTICULARS</t>
  </si>
  <si>
    <t>AMOUNT</t>
  </si>
  <si>
    <t>STATUS/ REMARKS</t>
  </si>
  <si>
    <t>PAYMENT</t>
  </si>
  <si>
    <t>BS/SI #</t>
  </si>
  <si>
    <t>TESS</t>
  </si>
  <si>
    <t>JOANNE</t>
  </si>
  <si>
    <t>RUDELYN</t>
  </si>
  <si>
    <t>DP</t>
  </si>
  <si>
    <t>FP</t>
  </si>
  <si>
    <t>BALANCE</t>
  </si>
  <si>
    <t>Month of JAN 2025</t>
  </si>
  <si>
    <t>RDMS SQL VERSION W/ POS HARDWARES</t>
  </si>
  <si>
    <t>SI 4424</t>
  </si>
  <si>
    <t>5-11 TACTICAL - TRINOMA- 001</t>
  </si>
  <si>
    <t>JAZZY FRANCE- AYALA MALLS FELIZ- 002</t>
  </si>
  <si>
    <t>TIONG BAHRU PHILS- ONE AYALA-003</t>
  </si>
  <si>
    <t>BACCHUS SQL VERSION-BIR REGISTRATION FEE</t>
  </si>
  <si>
    <t>TIONG BAHRU PHILS- TRINOMA -004</t>
  </si>
  <si>
    <t>BACCHUS SQL VERSION W/ POS HARDWARES</t>
  </si>
  <si>
    <t>TIONG BAHRU PHILS- ROBINSONS ANTIPOLO-006</t>
  </si>
  <si>
    <t>RHETT EALA -ROCKWELL-007</t>
  </si>
  <si>
    <t>PREVENTIVE MAINTENANCE</t>
  </si>
  <si>
    <t>PAID</t>
  </si>
  <si>
    <t>NINETYGO -SM BICUTAN-008</t>
  </si>
  <si>
    <t>COLDSTONE- SOLENAD 3, SERENDRA, MARQUEE MALL-001</t>
  </si>
  <si>
    <t>3 PREVENTIVE MAINTENANCE</t>
  </si>
  <si>
    <t>HEALTHY SHABU SHABU - ROCKWELL-002</t>
  </si>
  <si>
    <t>EPSON TMU220D USB PRINTER</t>
  </si>
  <si>
    <t>MALAYA'S CAFÉ-003</t>
  </si>
  <si>
    <t>10 EPSON ERC 38B RIBBBON</t>
  </si>
  <si>
    <t>OON- SM SAN MIGUEL GEN SAN-004</t>
  </si>
  <si>
    <t>BACCHUS SQL VERSION- BIR REGISTRATION FEE</t>
  </si>
  <si>
    <t>SI 4428</t>
  </si>
  <si>
    <t>EPSON PRINTER ADAPTOR</t>
  </si>
  <si>
    <t>QUEENS AT BOLLYWOOD GREENBELT 3-005</t>
  </si>
  <si>
    <t>MAMOU AYALA MALLS 30TH-006</t>
  </si>
  <si>
    <t>MONITOR W/ PERIPHERALS</t>
  </si>
  <si>
    <t>SI 4433</t>
  </si>
  <si>
    <t>QUEENS AT BOLLYWOOD GREENBELT 3-007</t>
  </si>
  <si>
    <t>EPSON ERC 38 RIBBON</t>
  </si>
  <si>
    <t>DAJA FOOD SERVICES- RBC ORTIGAS- 008</t>
  </si>
  <si>
    <t>SI 4447</t>
  </si>
  <si>
    <t>POSHTECH TOUCHSCREEN MONITOR</t>
  </si>
  <si>
    <t>SIMPLY THAI-GREENBELT 5 -009</t>
  </si>
  <si>
    <t>POTATO KING NAIA TERMINAL3 -010</t>
  </si>
  <si>
    <t>MINI CASH DRAWER</t>
  </si>
  <si>
    <t>KITCHEN CITY VENICE- 001</t>
  </si>
  <si>
    <t>TSCERES SQL VERSION W/ POS HARDWARES</t>
  </si>
  <si>
    <t>SI 4453</t>
  </si>
  <si>
    <t>TEAMASTER INC- SM MOA MAAX-002</t>
  </si>
  <si>
    <t>IDEAL BREAD &amp; TEA, SM TATAY, CB MALLS, SM MOLINO-003</t>
  </si>
  <si>
    <t>ROYALTEA PHILS, SM NOVA , SM FAIRVIEW- 004</t>
  </si>
  <si>
    <t>2 PREVENTIVE MAINTENANCE</t>
  </si>
  <si>
    <t>TEAMAKERS  CORP- SM BACOOR, ROB. LA UNION-005</t>
  </si>
  <si>
    <t>TEAHUB CORP- SM MINDORO-006</t>
  </si>
  <si>
    <t>EOS POWER ADAPTOR</t>
  </si>
  <si>
    <t>EPSON TMU220A USB</t>
  </si>
  <si>
    <t xml:space="preserve">UPS APC </t>
  </si>
  <si>
    <t>SI 4458</t>
  </si>
  <si>
    <t>ROSANNA OCAMPO ROCKWELL POWERPLANT-009</t>
  </si>
  <si>
    <t>LIGHTERS GALORE GATEWAY-010</t>
  </si>
  <si>
    <t xml:space="preserve">2 ERC RIBBON </t>
  </si>
  <si>
    <t>SI 4455</t>
  </si>
  <si>
    <t>3 ERC RIBBON</t>
  </si>
  <si>
    <t>SI 4457</t>
  </si>
  <si>
    <t>HUZZAH-011</t>
  </si>
  <si>
    <t xml:space="preserve">1 BOX JOURNAL PAPER </t>
  </si>
  <si>
    <t>MAMOU GREENBELT 5-012</t>
  </si>
  <si>
    <t xml:space="preserve">EPSON PRINTER ADAPTER </t>
  </si>
  <si>
    <t>SUNSHINE SUPERMART BAGUIO-013</t>
  </si>
  <si>
    <t>SOFTWARE LICENSE UPGRADE - BIR REGISTRATION FEE</t>
  </si>
  <si>
    <t>SI 4465</t>
  </si>
  <si>
    <t>MALAYA'S CAFÉ UP LOS BANOS- 014</t>
  </si>
  <si>
    <t>LIPA GRILLE SAN FELIPE BATANGAS - 015</t>
  </si>
  <si>
    <t>SI 4470</t>
  </si>
  <si>
    <t>KRAKEN TAKOYAKI LANDMARK MANILA BAY - 016</t>
  </si>
  <si>
    <t>SOFTWARE LICENSE UPGRADE W/ POS HARDWARES</t>
  </si>
  <si>
    <t>BOOKSALE BOOKSTORE SM BICUTAN - 017</t>
  </si>
  <si>
    <t>4 EPSON TMU220D LAN PRINTER</t>
  </si>
  <si>
    <t>PAMANA AND TSOKALATERIA GREENHILLS - 019</t>
  </si>
  <si>
    <t>SOFTWARE ORDERING STATION - CHUWI 2024 TABLET</t>
  </si>
  <si>
    <t>KITCHEN CITY SM ARENA - 011</t>
  </si>
  <si>
    <t>SI 4476</t>
  </si>
  <si>
    <t>CORONADO LANE - BOWLING -012</t>
  </si>
  <si>
    <t xml:space="preserve">MINI CASH BOX </t>
  </si>
  <si>
    <t>FOODEXPRESS MINDORO- 013</t>
  </si>
  <si>
    <t>POSHTECH TOUCSCREEN MONITOR</t>
  </si>
  <si>
    <t>MN+LA APPAREL -014</t>
  </si>
  <si>
    <t>1 BOX JOURNAL PAPER 2 PLY</t>
  </si>
  <si>
    <t>ISSY &amp; CO FESTIVAL -015</t>
  </si>
  <si>
    <t>SI 4480</t>
  </si>
  <si>
    <t>ASIAN KITCHEN GATEWAY -016</t>
  </si>
  <si>
    <t>TSCERES LITE VERSION W/ POS HARDWARES</t>
  </si>
  <si>
    <t>GONGCHA PHILS H.O-017</t>
  </si>
  <si>
    <t>PRINTER HEAD</t>
  </si>
  <si>
    <t>CHINESE INT'L SCHOOL BGC- 018</t>
  </si>
  <si>
    <t>Svl 0018</t>
  </si>
  <si>
    <t>APT8 SM DAVAO-019</t>
  </si>
  <si>
    <t>RDMS SQL VERSION -BIR REGISTRATION FEE</t>
  </si>
  <si>
    <t>APT8 VERTIS-020</t>
  </si>
  <si>
    <t>APT8 H.O.S -021</t>
  </si>
  <si>
    <t>M&amp;W PAETE -022</t>
  </si>
  <si>
    <t>DELL POWERREDGE T360 W/ PERIPHERALS - BIR REGISTRATION FEE</t>
  </si>
  <si>
    <t>SI 4471</t>
  </si>
  <si>
    <t>SI 4472</t>
  </si>
  <si>
    <t>3 MCF, EOS MINI CPU AND DESKTOP W/ PERIPHERALS</t>
  </si>
  <si>
    <t>SI 4500</t>
  </si>
  <si>
    <t>Month of FEB 2025</t>
  </si>
  <si>
    <t>Svl 0032</t>
  </si>
  <si>
    <t>EXTREME OUTDOOR ADVENTURES- TRINOMA-011</t>
  </si>
  <si>
    <t>MCF, DESKTOP CPU W/ PERIPHERALS</t>
  </si>
  <si>
    <t>Svl 0029; SI 4494</t>
  </si>
  <si>
    <t>MELOS - WESTGATE ALABANG- 020</t>
  </si>
  <si>
    <t>BIG BRANDS - ROBINSONS DASMARINAS- 012</t>
  </si>
  <si>
    <t>EPSON TMU220B LAN AND USB PRINTER</t>
  </si>
  <si>
    <t>SI 4491</t>
  </si>
  <si>
    <t>6 PREVENTIVE MAINTENANCE</t>
  </si>
  <si>
    <t>HEALTHY SHABU SHABU; ROCKWELL, ATC, PODIUM, ROB. ERMITA, EDSA SHANGRILA, SM AURA-021</t>
  </si>
  <si>
    <t>PAMANA AND TSOKOLATERIA SM AURA- 022</t>
  </si>
  <si>
    <t>DRAGON DYNESTEA -GONGCHA GAISANO GMALL DAVAO - 024</t>
  </si>
  <si>
    <t>TEAMAKERS CORP- SM PALAWAN, SM ILOILO, ROB. DASMA-025</t>
  </si>
  <si>
    <t>TEAMASTERS INC- SM SEASIDE, SM CEBU-026</t>
  </si>
  <si>
    <t>IDEAL BREAD AND TEA CORP- MARKET2X , URDANETA MAGIC MALL- 027</t>
  </si>
  <si>
    <t>ROYALTEA PHILS - GRAND CENTRAL- 028</t>
  </si>
  <si>
    <t>2 BACCHUS SQL VERSION W/ POS HARDWARES</t>
  </si>
  <si>
    <t>OJO EYEWEAR BAY MALL GEN SAN- 008</t>
  </si>
  <si>
    <t>MAGOOS EASTWOOD-MIDTOWN SPORTS- 009</t>
  </si>
  <si>
    <t>TILLO - SAN JUAN- 029</t>
  </si>
  <si>
    <t xml:space="preserve">RDMS SQL VERSION W/ POS HARDWARES </t>
  </si>
  <si>
    <t>GOOD MOLECULES SAN JUAN-030</t>
  </si>
  <si>
    <t>LUCKY BEAUTY 1 - SAN JUAN - 031</t>
  </si>
  <si>
    <t>LUCKY BEAUTY 2 - SAN JUAN - 032</t>
  </si>
  <si>
    <t>KERDAR NIK INC- ARYA ERMITA MANILA - 018</t>
  </si>
  <si>
    <t>SI 4464</t>
  </si>
  <si>
    <t>MYL SKIN CARE-VMV MEGAMALL-033</t>
  </si>
  <si>
    <t>ZEBRA 2208 BARCODE SCANNER</t>
  </si>
  <si>
    <t>SI 4507</t>
  </si>
  <si>
    <t>SI 4501</t>
  </si>
  <si>
    <t>SI 4502</t>
  </si>
  <si>
    <t>SI 4503</t>
  </si>
  <si>
    <t>SI 4504</t>
  </si>
  <si>
    <t>SI 4487</t>
  </si>
  <si>
    <t>SI 4490</t>
  </si>
  <si>
    <t>SI 4489</t>
  </si>
  <si>
    <t>SI 4488</t>
  </si>
  <si>
    <t>INST. CULINARY MNGT, INC-023</t>
  </si>
  <si>
    <t>SI 4492</t>
  </si>
  <si>
    <t>KARIMADON -SM STA MESA-034</t>
  </si>
  <si>
    <t>SI 4506</t>
  </si>
  <si>
    <t>SI 4518</t>
  </si>
  <si>
    <t>R.A.B.G TRADING -LUCKY BEAUTY 3 - 035</t>
  </si>
  <si>
    <t>WORLD CHIX TRINOMA-036</t>
  </si>
  <si>
    <t xml:space="preserve">POSTECH TOUCHSCREEN MONITOR </t>
  </si>
  <si>
    <t>SI 4519</t>
  </si>
  <si>
    <t>OJO EYEWEAR- GALLERIA SOUTH- 037</t>
  </si>
  <si>
    <t>OJO EYEWEAR- ROB. LIPA - 038</t>
  </si>
  <si>
    <t>OJO EYEWEAR- ROB. IMUS  - 040</t>
  </si>
  <si>
    <t>LUXASIA - ROCKWELL- 041</t>
  </si>
  <si>
    <t>SUNNY DELIGHT - GONGCHA KAWIT CAVITE- 042</t>
  </si>
  <si>
    <t>TSCERES ANDROID W/ POS HARDWARES</t>
  </si>
  <si>
    <t>TEAMASTERS INC - GONGCHA KCC COTABATO-043</t>
  </si>
  <si>
    <t>THE TEA HOUSE BAYMALL- 044</t>
  </si>
  <si>
    <t>TSCERES SQL FULL VERSION W/ POS HARDWARES</t>
  </si>
  <si>
    <t>HARVEST HOTEL NUEVA ECIJA- 045</t>
  </si>
  <si>
    <t xml:space="preserve">BACCHUS ANDROID W/ POS HARDWARES </t>
  </si>
  <si>
    <t>KITCHEN CITY VENICE - 046</t>
  </si>
  <si>
    <t xml:space="preserve">MINI CASH BOX W/ PERIPHERALS </t>
  </si>
  <si>
    <t>REYES BARBECUE SM MOA - 023</t>
  </si>
  <si>
    <t xml:space="preserve">MINI CPU W/ PERIPHERALS </t>
  </si>
  <si>
    <t>HUZZAH - 024</t>
  </si>
  <si>
    <t>HEALTHY SHABUSHABU PODIUM AND ATC - 025</t>
  </si>
  <si>
    <t xml:space="preserve">EOS MINI CPU W/ PERIPHERALS </t>
  </si>
  <si>
    <t>OON - SM DAVAO TALOMO - 026</t>
  </si>
  <si>
    <t>BACCHUS SQL VERSION - BIR REGISTRATION FEE</t>
  </si>
  <si>
    <t>HEXAGON LOUNGE INC - 027</t>
  </si>
  <si>
    <t>RHETT EALA - ROCKWELL -013</t>
  </si>
  <si>
    <t>APC UPS</t>
  </si>
  <si>
    <t>Svl 0019</t>
  </si>
  <si>
    <t>SI 4495</t>
  </si>
  <si>
    <t>SI 4425</t>
  </si>
  <si>
    <t>SI  4436</t>
  </si>
  <si>
    <t>SI 4440</t>
  </si>
  <si>
    <t>SI 4448</t>
  </si>
  <si>
    <t>SI 4515</t>
  </si>
  <si>
    <t>SI 4521</t>
  </si>
  <si>
    <t>SI  4493</t>
  </si>
  <si>
    <t>SI 4486</t>
  </si>
  <si>
    <t>SI 4508</t>
  </si>
  <si>
    <t>SI 4483</t>
  </si>
  <si>
    <t>SI 4484</t>
  </si>
  <si>
    <t>SI 4485</t>
  </si>
  <si>
    <t>SI 4482</t>
  </si>
  <si>
    <t>SI 4481</t>
  </si>
  <si>
    <t>SI 4461</t>
  </si>
  <si>
    <t>SI 4524</t>
  </si>
  <si>
    <t>CHA TRA MUE- SM MOA- 028</t>
  </si>
  <si>
    <t>TEAMAKERS CORP- SUNMALL- 048</t>
  </si>
  <si>
    <t>TEAMASTERS INC SM SUCAT- 047</t>
  </si>
  <si>
    <t>ROYALTEA PHILS - FESTIVAL- 049</t>
  </si>
  <si>
    <t>LOBBY 385- 050</t>
  </si>
  <si>
    <r>
      <t xml:space="preserve">TEAFIT FIT FOR ROYALTEA- HARBOR POINT-007 </t>
    </r>
    <r>
      <rPr>
        <b/>
        <sz val="10"/>
        <color rgb="FFFF0000"/>
        <rFont val="Calibri Light"/>
        <family val="2"/>
        <scheme val="major"/>
      </rPr>
      <t>CLOSED</t>
    </r>
  </si>
  <si>
    <t>SI 4535</t>
  </si>
  <si>
    <t>Month of MAR 2025</t>
  </si>
  <si>
    <t>MOLAVE EL NIDO PALAWAN- 029</t>
  </si>
  <si>
    <t>2 BOX THERMAL PAPER</t>
  </si>
  <si>
    <t>SI 4532</t>
  </si>
  <si>
    <t>SERENITEA METRO GUISANO ATC-030</t>
  </si>
  <si>
    <t>GODEX BARCODE PRINTER WITH STICKER</t>
  </si>
  <si>
    <t>SI 4539</t>
  </si>
  <si>
    <t>TATAY'S GRILL INC PONTIAC FAIRVIEW-031</t>
  </si>
  <si>
    <t xml:space="preserve">SOFTWARE ORDERING STATION W/ PERIPHERALS </t>
  </si>
  <si>
    <t>SERENITEA ROB. PLACE LIPA-032</t>
  </si>
  <si>
    <t>SI 4531/ SI 4540</t>
  </si>
  <si>
    <t>TIONG BAHRU ATC-014</t>
  </si>
  <si>
    <t>TIONG BAHRU LEVISTE MAKATI-015</t>
  </si>
  <si>
    <t>TIONG BAHRU UPTOWN MALL BGC-016</t>
  </si>
  <si>
    <t>TIONG BAHRU LANDMARK BY THE BAY -017</t>
  </si>
  <si>
    <t>TIONG BAHRU ESTANCIA MALL -018</t>
  </si>
  <si>
    <t>TIONG BAHRU EASTWOOD -019</t>
  </si>
  <si>
    <t>SHOP SAMAHAN AYALA MALLS CAPITOL CENTRAL BACOLOD -020</t>
  </si>
  <si>
    <t>RDMS SQL VERSION W/ BIR REGISTRATION FEE AND MODIFICATION</t>
  </si>
  <si>
    <t>TEAMASTERS INC- GONCHA( KCC ZAMBOANGA, RP VALENCIA -051</t>
  </si>
  <si>
    <t>TEAHUB CORP -GONGCHA( SM TUGUEGARAO, ROB. ROXAS, ROB. GEN TRIAS)-052</t>
  </si>
  <si>
    <t>IDEAL BREAD &amp; TEA CORP ( TECHNOPOINT ) - 053</t>
  </si>
  <si>
    <t>GONGCHA PHILS -( AYALA MARIKINA )-054</t>
  </si>
  <si>
    <t>TEAMAKERS CORP- (SM MARILAO, SM BATANGAS , SM DASMA 1)- 055</t>
  </si>
  <si>
    <t>SI 4546</t>
  </si>
  <si>
    <t>SI 4541</t>
  </si>
  <si>
    <t xml:space="preserve">SI 4545/ Si </t>
  </si>
  <si>
    <t xml:space="preserve">MCF / POSEIDON CUSTOMER DISPLAY W/ PERIPHERALS </t>
  </si>
  <si>
    <t>2 MCF / EOS MINI AND DESKTOP W/ PERIPHERALS</t>
  </si>
  <si>
    <t>SI 4549</t>
  </si>
  <si>
    <t>SI 4550</t>
  </si>
  <si>
    <t>SI 4553</t>
  </si>
  <si>
    <t>SI 4556</t>
  </si>
  <si>
    <t>19 PREVENTIVE MAINTENANCE</t>
  </si>
  <si>
    <t>ALI SHAN TEA CORP-SERENITEA - 035 ( BF HOMES, SERIN TAGAYTAY, MANILA BAY 2)</t>
  </si>
  <si>
    <t>JASMINE BLOOM TEA INC - SERENITEA - 037( SOUTHWOOODS, SOLENAD, SAN PEDRO, SM STA ROSA)</t>
  </si>
  <si>
    <t>4 PREVENTIVE MAINTENANCE</t>
  </si>
  <si>
    <t>HUZZAH INC- 038</t>
  </si>
  <si>
    <t>MAMOU THE PODIUM - 039</t>
  </si>
  <si>
    <t>MAMOU ROCKWELL - 040</t>
  </si>
  <si>
    <t>MY HAPPY HOME GREENHILLS -041</t>
  </si>
  <si>
    <t>20 ROLLS JOURNAL PAPER 2 PLY</t>
  </si>
  <si>
    <t>SI 4555</t>
  </si>
  <si>
    <t>SI 4558</t>
  </si>
  <si>
    <t>SI 4557</t>
  </si>
  <si>
    <t>SI 4547</t>
  </si>
  <si>
    <t>EPSON TMU220D USB PRINTER W/ PERIPHERALS</t>
  </si>
  <si>
    <t>DR. KONG -021</t>
  </si>
  <si>
    <t>INST. OF CULINARY MNGT. U.N.MLA.- 056</t>
  </si>
  <si>
    <t>KANZEH SUSHI SM MASINAG - 057</t>
  </si>
  <si>
    <t>1 BOX JOURNAL PAPER 1 PLY</t>
  </si>
  <si>
    <t>SI 4534</t>
  </si>
  <si>
    <t>LUCKY BEAUTY 2- 058</t>
  </si>
  <si>
    <t xml:space="preserve">30 ROLLS JOURNAL PAPER 2 PLY </t>
  </si>
  <si>
    <t>SI 4552</t>
  </si>
  <si>
    <t>Svl 0046</t>
  </si>
  <si>
    <t>ROCKWELL LAND CORPORATION -ROCKWELL MAKATI-042</t>
  </si>
  <si>
    <t>EPSON TMU220B USB PRINTER W/ PERIPHERALS</t>
  </si>
  <si>
    <t>TIONG BAHRU PHILS- GREENHILLS-005</t>
  </si>
  <si>
    <t>SI 4554</t>
  </si>
  <si>
    <t>SI 4523</t>
  </si>
  <si>
    <t>SI 4559</t>
  </si>
  <si>
    <t>Svl 0034</t>
  </si>
  <si>
    <t>SI 4522</t>
  </si>
  <si>
    <t>CLOSED</t>
  </si>
  <si>
    <t>ISSY &amp; CO - ROB. MANILA - 059</t>
  </si>
  <si>
    <t>SI 4562</t>
  </si>
  <si>
    <t>M&amp;W COMP. &amp; IT HQ- 060</t>
  </si>
  <si>
    <t>2 POSEIDON PSD86 SCANNER</t>
  </si>
  <si>
    <t>SI 4568</t>
  </si>
  <si>
    <t>SI 4569</t>
  </si>
  <si>
    <t>SI 4570</t>
  </si>
  <si>
    <t>SI 4571</t>
  </si>
  <si>
    <t>DRAGONWELL TEA INC- 036 (SM BICUTAN, THE DISTRICT DASMA, SM DASMA, ATC METRO GAISON )</t>
  </si>
  <si>
    <t>SERENITEA CO -034 (SM SOUTHMALL)</t>
  </si>
  <si>
    <t>POTATO GIANT - SM CABANATUAN- 043</t>
  </si>
  <si>
    <t>EOS HUNTKEY POWER ADAPTOR</t>
  </si>
  <si>
    <t>SI 4572</t>
  </si>
  <si>
    <t>100 JOURNAL PAPER 1 PLY, THERMAL JOURNAL PAPER</t>
  </si>
  <si>
    <t>OJO EYEWEAR &amp; SERVICES INC- MAKATI-061</t>
  </si>
  <si>
    <t>SI 4573</t>
  </si>
  <si>
    <t>SI 4548</t>
  </si>
  <si>
    <t>SI 4575</t>
  </si>
  <si>
    <t>SI 4576</t>
  </si>
  <si>
    <t>BACOLOD CHICKEN -XENTRO MALL MONTALBAN -044</t>
  </si>
  <si>
    <t>SI 4578</t>
  </si>
  <si>
    <t>PRINTER PARTS</t>
  </si>
  <si>
    <t>SI 4580, SI 4581, SI 4582</t>
  </si>
  <si>
    <t>SERENITEA - GREENHILLS, SAN JUAN, BANAWE- 045</t>
  </si>
  <si>
    <t>AAJ IT SOLUTIONS INC-046</t>
  </si>
  <si>
    <t>3 POSTECH TOUCHSCREEN MONITOR</t>
  </si>
  <si>
    <t>SI 4583</t>
  </si>
  <si>
    <t>CALEDIAN INC -047</t>
  </si>
  <si>
    <t>MCF-WINDOWS 11 PRO</t>
  </si>
  <si>
    <t>SI 4584, Svl 0079</t>
  </si>
  <si>
    <t>FAMOUS AMOS STA ROSA-048</t>
  </si>
  <si>
    <t>TSCERES SQL VERSION - BIR REGISTRATION FEE</t>
  </si>
  <si>
    <t>BACOLOD CHICKEN MOA-049</t>
  </si>
  <si>
    <t>CASH DRAWER</t>
  </si>
  <si>
    <t>SI 4589</t>
  </si>
  <si>
    <t>Svl 0081</t>
  </si>
  <si>
    <t>SI 4586</t>
  </si>
  <si>
    <t>SI 4587</t>
  </si>
  <si>
    <t>SI 4593</t>
  </si>
  <si>
    <t>SI 4594</t>
  </si>
  <si>
    <t>SI 4560</t>
  </si>
  <si>
    <t>TIONG BAHRU PHILS INC0- ATC- 022</t>
  </si>
  <si>
    <t>EPSON TMU220B USB, EPSON TMU220B LAN</t>
  </si>
  <si>
    <t>TIONG BAHRU PHILS INC0- ESTANCIA- 023</t>
  </si>
  <si>
    <t>POTATO GIANT SM CABANATUAN -050</t>
  </si>
  <si>
    <t>SI 4591</t>
  </si>
  <si>
    <t>HUZZAH INC-051</t>
  </si>
  <si>
    <t>SI 4590</t>
  </si>
  <si>
    <t>J&amp;G CHIX - ESTANCIA, EASTWOOD LE GRAND, TRINOMA-062</t>
  </si>
  <si>
    <t>DRAGON DYNASTEA- RP ORMOC - 063</t>
  </si>
  <si>
    <t>TEAHUB CORP- ROB. TACLOBAN, NEW PORT,SM TACLOBAN, SM OLONGAPO, SM ROXAS-065</t>
  </si>
  <si>
    <t>5 PREVENTIVE MAINTENANCE</t>
  </si>
  <si>
    <t>IDEAL BREAD &amp; TEA CORP- FELIZ, UPTOWN MALL BGC-066</t>
  </si>
  <si>
    <t>GONGCHA PHILS BULACAN-067</t>
  </si>
  <si>
    <t>MN+LA APPAREL ONE AYALA- 068</t>
  </si>
  <si>
    <t>GONGCHA PHILS H.O-070</t>
  </si>
  <si>
    <t>SERENITEA -LITTLE BAGUIO SAN JUAN-052</t>
  </si>
  <si>
    <t>SI 4597</t>
  </si>
  <si>
    <t>TGP FRANCHISE VALENZUELA -053</t>
  </si>
  <si>
    <t>SI 4542, SI 4543, SI 4544</t>
  </si>
  <si>
    <t>SI 4600</t>
  </si>
  <si>
    <t>SI 4598</t>
  </si>
  <si>
    <t>SI 4599</t>
  </si>
  <si>
    <t>M&amp;W Townstore-H.O-071</t>
  </si>
  <si>
    <t>3 EPSON TMU220B USB</t>
  </si>
  <si>
    <t>YANKEE CANDLES SM NORTH EDSA-024</t>
  </si>
  <si>
    <t>SI 4601</t>
  </si>
  <si>
    <t>CANELLE FOOD CORP-CINNABON-054</t>
  </si>
  <si>
    <t>WINDOWS 11 PRO</t>
  </si>
  <si>
    <t>SI 4604</t>
  </si>
  <si>
    <t>JASMINE BLOOM TEA INC- SERENITEA ROB. GALLERIA SOUTH -055</t>
  </si>
  <si>
    <t>RAJO ROCKWELL &amp; SHNAG-025</t>
  </si>
  <si>
    <t xml:space="preserve">2 KASPERSKY ANTI VIRUS </t>
  </si>
  <si>
    <t>SI 4603</t>
  </si>
  <si>
    <t>SI 4596</t>
  </si>
  <si>
    <t>TATAY'S GRILL INC - PONTIAC FAIRVIEW - 057</t>
  </si>
  <si>
    <t>LIPA GRILLE RESTAURANT CO-056</t>
  </si>
  <si>
    <t>20 BOX JOURNAL PAPER 2 PLY</t>
  </si>
  <si>
    <t>5 BOX JOURNAL PAPER 2 PLY</t>
  </si>
  <si>
    <t>LIPA GRILLE TAGAYTAY - 058</t>
  </si>
  <si>
    <t>SI 4563</t>
  </si>
  <si>
    <t>SI 4615</t>
  </si>
  <si>
    <t>SI 4614</t>
  </si>
  <si>
    <t>MAGOOS Q. PLAZA- 072</t>
  </si>
  <si>
    <t>EPSON TMU220A USB PRINTER</t>
  </si>
  <si>
    <t>SI 4602</t>
  </si>
  <si>
    <t>SI 4610</t>
  </si>
  <si>
    <t>MAGOOS MKT. SQUARE -073</t>
  </si>
  <si>
    <t>SI 4609</t>
  </si>
  <si>
    <t>PRIME VALUE GROCER CORP LAGUNA-074</t>
  </si>
  <si>
    <t>SYSTEM UPGRADE (TERMINALS AND BACK OFFICE) -BIR REGISTRATION FEE</t>
  </si>
  <si>
    <t>EVER DELIGHT CORP- GONGCHA WALTERMART ARAYAT-075</t>
  </si>
  <si>
    <t>CANELLE FOOD CORP-CINNABON-059</t>
  </si>
  <si>
    <t>3 WINDOWS 11 PRO</t>
  </si>
  <si>
    <t>SI 4608</t>
  </si>
  <si>
    <t>Month of MAY 2025</t>
  </si>
  <si>
    <t xml:space="preserve">EOS MINI CPU I5 W/ PERIPHERALS </t>
  </si>
  <si>
    <t xml:space="preserve">APC UPS </t>
  </si>
  <si>
    <t>MANDARIN SKY EXPRESS INC MARKET 2X- 061</t>
  </si>
  <si>
    <t>APT 8 BGC- 076</t>
  </si>
  <si>
    <t>RDMS SQL VERSION - BIR REGISTRATION FEE</t>
  </si>
  <si>
    <t>APT 8 NUVALI- 077</t>
  </si>
  <si>
    <t>APT 8 CEBU- 078</t>
  </si>
  <si>
    <t>APT 8 CDO- 079</t>
  </si>
  <si>
    <t>APT 8 MARQUEE- 080</t>
  </si>
  <si>
    <t>APT 8 ATC- 081</t>
  </si>
  <si>
    <t>DRAGON DYNESTEA (NE MALL CABANATUAN, ROB. NAGA CAMARINES) - 082</t>
  </si>
  <si>
    <t>TEAMASTERS INC (KCC GENSAN)- 083</t>
  </si>
  <si>
    <t>TEAHUB CORP (BOHOL) -084</t>
  </si>
  <si>
    <t>IDEAL BREAD &amp; TEA CORP (SM BATAAN )-085</t>
  </si>
  <si>
    <t>SI 4619</t>
  </si>
  <si>
    <t xml:space="preserve">1 BOX ERC RIBBON </t>
  </si>
  <si>
    <t>MN+LA APPAREL - CIANNAT - 086</t>
  </si>
  <si>
    <t>ISSY &amp; CO HEAD OFFICE- 087</t>
  </si>
  <si>
    <t xml:space="preserve">MODIFICATION </t>
  </si>
  <si>
    <t>DRAGONWELL TEA INC - SERENITEA SM BICUTAN -060</t>
  </si>
  <si>
    <t>KANEBO MITSUKOSHI-027</t>
  </si>
  <si>
    <t>TIONG BAHRU GREENHILLS -028</t>
  </si>
  <si>
    <t>EPSON TMU220B USB PRINTER</t>
  </si>
  <si>
    <t>BIG BRANDS ROB. IMUS - 029</t>
  </si>
  <si>
    <t>REYES BARBECUE GLORIETTA 4- 062</t>
  </si>
  <si>
    <t>SI 4617</t>
  </si>
  <si>
    <t>SI 4629</t>
  </si>
  <si>
    <t>SI 4628</t>
  </si>
  <si>
    <t>SI 4637</t>
  </si>
  <si>
    <t>SI 4634</t>
  </si>
  <si>
    <t>SI 4633</t>
  </si>
  <si>
    <t>SI 4630</t>
  </si>
  <si>
    <t>SI 4631</t>
  </si>
  <si>
    <t>KITCHEN CITY VENICE -088</t>
  </si>
  <si>
    <t>APT 8 GLORIETTA-089</t>
  </si>
  <si>
    <t>APT8 A. BAY MALL -090</t>
  </si>
  <si>
    <t>SI 4595</t>
  </si>
  <si>
    <t>SI 4644</t>
  </si>
  <si>
    <t>SI 4564</t>
  </si>
  <si>
    <t>SI 4641</t>
  </si>
  <si>
    <t>SI 4638</t>
  </si>
  <si>
    <t>SI 4632</t>
  </si>
  <si>
    <t>SERENITEA SM DASMA-064</t>
  </si>
  <si>
    <t>HUZZAH INC-063</t>
  </si>
  <si>
    <t xml:space="preserve">EPSON TMU220D USB PRINTER </t>
  </si>
  <si>
    <t>2 WINDOWS 11 PRO</t>
  </si>
  <si>
    <t>SUNNY DELIGHT -PACIFIC CENTRAL - 092</t>
  </si>
  <si>
    <t>STROOP &amp; ZO AYALA MALLS MANILA BAY-30</t>
  </si>
  <si>
    <t xml:space="preserve">2 BOX JOURNAL PAPER 2 PLY </t>
  </si>
  <si>
    <t>HOUSE OF OBAGI ROBINSONS PLACE MANILA-031</t>
  </si>
  <si>
    <r>
      <t>OJO EYEWEAR-091-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CANCEL</t>
    </r>
  </si>
  <si>
    <t>SI 4645</t>
  </si>
  <si>
    <t>SI 4646</t>
  </si>
  <si>
    <t>SI 4642/ SI 4639</t>
  </si>
  <si>
    <t>STROOP &amp; ZO AYALA MALLS MANILA BAY -026</t>
  </si>
  <si>
    <r>
      <t xml:space="preserve">CASA REYES A. BAY MALL-010- </t>
    </r>
    <r>
      <rPr>
        <b/>
        <sz val="10"/>
        <color rgb="FFFF0000"/>
        <rFont val="Calibri Light"/>
        <family val="2"/>
        <scheme val="major"/>
      </rPr>
      <t>CANCEL</t>
    </r>
  </si>
  <si>
    <t>DR KONG TRINOMA- 032</t>
  </si>
  <si>
    <t>POS PERIPHERALS</t>
  </si>
  <si>
    <t>SI 4478 / SI 4649</t>
  </si>
  <si>
    <t>SI 4648</t>
  </si>
  <si>
    <t>SI 4647</t>
  </si>
  <si>
    <t>SI 4650</t>
  </si>
  <si>
    <t>HARRY'S CAFÉ CONRAD-066</t>
  </si>
  <si>
    <t>SI 4651</t>
  </si>
  <si>
    <t>SI 4652</t>
  </si>
  <si>
    <t>SI 4653</t>
  </si>
  <si>
    <t>SI 4616</t>
  </si>
  <si>
    <t>Svl 0100</t>
  </si>
  <si>
    <t>LRC- SHISEIDO -093</t>
  </si>
  <si>
    <t>KLEAN KANTEEN SM MEGAMALL- 067</t>
  </si>
  <si>
    <t>HEXAGON RCBC PLAZA MAKATI -068</t>
  </si>
  <si>
    <t>EPSON TMU220B USB PRINTER/ EPSON ERC -38 RIBBON CARTRIDGE</t>
  </si>
  <si>
    <t>MY GOLDEN TEA LEAF, INC.-069</t>
  </si>
  <si>
    <t xml:space="preserve">4 PREVENTIVE MAINTENANCE </t>
  </si>
  <si>
    <t>VISUAL MIX INC BOOKSALE-071</t>
  </si>
  <si>
    <t>8 PREVENTIVE MAINTENANCE</t>
  </si>
  <si>
    <t>BOOKSALE CEBU INC- 070</t>
  </si>
  <si>
    <t>SI 4654</t>
  </si>
  <si>
    <t>SI 4656</t>
  </si>
  <si>
    <t>SI 4655</t>
  </si>
  <si>
    <t>SIGNET MITSUKOSHI-033</t>
  </si>
  <si>
    <t>Svl 0111</t>
  </si>
  <si>
    <t>SI 4627</t>
  </si>
  <si>
    <t>OJO EYEWEAR ROB. CEBU -094</t>
  </si>
  <si>
    <t>SI 4664</t>
  </si>
  <si>
    <t>OJO EYEWEAR STA LUCIA DAVAO -095</t>
  </si>
  <si>
    <t>SI 4665</t>
  </si>
  <si>
    <t>ELS TREN DS APPAREL STORE -072</t>
  </si>
  <si>
    <t>PREVENTIVE MAINTENANCE - BIR REGISTRATION FEE</t>
  </si>
  <si>
    <t>Svl 0103</t>
  </si>
  <si>
    <t>MAMOU SERENDRA - 073</t>
  </si>
  <si>
    <t>POSTECH TOUCHSCREEN MONITOR</t>
  </si>
  <si>
    <t>SI 4666</t>
  </si>
  <si>
    <t>SI 4657</t>
  </si>
  <si>
    <t>SI 4673</t>
  </si>
  <si>
    <t>SI 4675</t>
  </si>
  <si>
    <t>SI 4674</t>
  </si>
  <si>
    <t>SI 4676</t>
  </si>
  <si>
    <t>Month of JUNE 2025</t>
  </si>
  <si>
    <t>CANELLE FOOD CORPORATION - CINNABON-075</t>
  </si>
  <si>
    <t>PRETZEL MAKER ZAMBOANGA -076</t>
  </si>
  <si>
    <t>EOS ADAPTOR</t>
  </si>
  <si>
    <t>SERENITEA (SAN JUAN LITTLE BAGUIO) -077</t>
  </si>
  <si>
    <t>SERENITEA ( CONGRESSIONAL TOWN CENTER, SM CLARK , SM LIGHT, GLORIETTA 4) -78</t>
  </si>
  <si>
    <t>SERENITEA ( TOMAS MORATO, FAIRVIEW BELFAST, UPTOWN CENTER) -079</t>
  </si>
  <si>
    <t>SERENITEA ( ROB. PLACE MANILA, GREENBELT 3, ASEANA , VERTIS NORTH, SM MARILAO BULACAN, GREENFIELD, PETRON MAKATI/ BEL AIR, CENTRAL SQUARE MATALINO) -80</t>
  </si>
  <si>
    <t>SERENITEA (UST LACSON, AYALA CLOVERLEAF) - 081</t>
  </si>
  <si>
    <t>SERENITEA ( BANAWE, ESTANCIAL CAPITOL COMMONS, NLEX, ORTIGAS EXCHANGE REGENCY, GREENHILLS SAN JUAN, SM URDANETA, CALIFORNIA GARDEN ) -082</t>
  </si>
  <si>
    <t>7 PREVENTIVE MAINTENANCE</t>
  </si>
  <si>
    <t>DRAGON DYNESTEA INC ( ROB. PLACE ANTIQUE) -096</t>
  </si>
  <si>
    <t>TEAMASTERS INC ( DIGIS DAVAO, MONTALBAN TOWN CENTER) -097</t>
  </si>
  <si>
    <t>ROYALTEA PHILS ( SM VALENZUELA ) -0100</t>
  </si>
  <si>
    <t>TEAMAKERS CORP ( SM BACOLOD) -0101</t>
  </si>
  <si>
    <t>IDEAL BREAD ( SM ANGONO, ROB. PANGASINAN, LUCENA PACIFIC MALL) -099</t>
  </si>
  <si>
    <t>POTATO CORNER MITSUKOSHI -074</t>
  </si>
  <si>
    <t>SI 4662</t>
  </si>
  <si>
    <t>SI 4660</t>
  </si>
  <si>
    <t>SI 4663</t>
  </si>
  <si>
    <t>SI 4618</t>
  </si>
  <si>
    <t>SI 4659</t>
  </si>
  <si>
    <t>SI 4658</t>
  </si>
  <si>
    <t>SI  4661</t>
  </si>
  <si>
    <t>Svl 0113</t>
  </si>
  <si>
    <t>Svl 0118</t>
  </si>
  <si>
    <t>Svl 0117</t>
  </si>
  <si>
    <t>Svl 0114</t>
  </si>
  <si>
    <t>SI 4613</t>
  </si>
  <si>
    <t>SI 4574</t>
  </si>
  <si>
    <t>Svl 0115</t>
  </si>
  <si>
    <t>KALBROS BAR AND RESTAURANT FESTIVAL MALL-083</t>
  </si>
  <si>
    <t xml:space="preserve">BACCHUS SQL VERSION W/ POS HARDWARES </t>
  </si>
  <si>
    <t>VA BENE PASTA DELI- 065</t>
  </si>
  <si>
    <t>SI 4677</t>
  </si>
  <si>
    <t>SI 4667</t>
  </si>
  <si>
    <t>SI 4672</t>
  </si>
  <si>
    <t>FUN CITY - CIRCUIT MAKATI -034</t>
  </si>
  <si>
    <t>SI 4685</t>
  </si>
  <si>
    <t>Svl 0101</t>
  </si>
  <si>
    <t>SI 4678</t>
  </si>
  <si>
    <t>SI 4670</t>
  </si>
  <si>
    <t>FUN CITY - AYALA MALLS MANILA BAY -035</t>
  </si>
  <si>
    <t>FUN CITY - VERTIS NORTH  -036</t>
  </si>
  <si>
    <t>CASA REYES - A. BAY MALL - 0102</t>
  </si>
  <si>
    <t>SI 4686</t>
  </si>
  <si>
    <t>SI 4687</t>
  </si>
  <si>
    <t>SI 4688</t>
  </si>
  <si>
    <t>CASA REYES - CONNECTICUT -103</t>
  </si>
  <si>
    <t>MN+LA APPAREL HEAD OFFICE -104</t>
  </si>
  <si>
    <t>MODIFICATION</t>
  </si>
  <si>
    <t>Svl 0126</t>
  </si>
  <si>
    <t>Svl 0136- Svl 0139</t>
  </si>
  <si>
    <t>Svl 0130- Svl 0132</t>
  </si>
  <si>
    <t>Svl 0127-Svl 0129, Svl 0133-Svl 0135, Svl 0147-Svl 0148</t>
  </si>
  <si>
    <t>Svl 0149, Svl 0150</t>
  </si>
  <si>
    <t>Svl 0140-Svl 0146</t>
  </si>
  <si>
    <t>Svl 0122</t>
  </si>
  <si>
    <t>Svl 0121</t>
  </si>
  <si>
    <t>BABY NATHAN'S KITCHEN -105</t>
  </si>
  <si>
    <t>TSCERES ANROID VERSION  W/ POS HARDWARES</t>
  </si>
  <si>
    <t>SI 4689</t>
  </si>
  <si>
    <t>M&amp;W TOWNSTORE COMP. &amp; IT HQ -106</t>
  </si>
  <si>
    <t>3 POSEIDON PSD86, 1 EPSON TMU220B USB PRINTER</t>
  </si>
  <si>
    <t>SI 4691</t>
  </si>
  <si>
    <t>GONGCHA PHILS - SM MOA - 107</t>
  </si>
  <si>
    <t>EPSON TM- T82X LAN PRINTER</t>
  </si>
  <si>
    <t>J&amp;G CHICKEN -SM MOA - 108</t>
  </si>
  <si>
    <t>GONGCHA PHILS - HEAD OFFICE - 109</t>
  </si>
  <si>
    <t xml:space="preserve">EPSON PRINTER CABLE </t>
  </si>
  <si>
    <t>KITCHEN CITY VENICE - 110</t>
  </si>
  <si>
    <t xml:space="preserve">DUAL DISPLAY PROGRAM </t>
  </si>
  <si>
    <t>MN+LA APPAREL ONE AYALA-111</t>
  </si>
  <si>
    <t>TERRIE FASHION BOUTIQUE GREENHILLS -037</t>
  </si>
  <si>
    <t>ACER MONITOR</t>
  </si>
  <si>
    <t>MAMOU SERENDRA - 084</t>
  </si>
  <si>
    <t>EPSON TM-T82X THERMAL USB PRINTER</t>
  </si>
  <si>
    <t>MY GOLDEN TEA LEAF, INC - SERENITEA DON- ANTONIO -085</t>
  </si>
  <si>
    <t xml:space="preserve">PREVENTIVE MAINTENANCE -POS PERIPHERALS </t>
  </si>
  <si>
    <t>COLONIAL CREAMERY AYALA FAIRVIEW TERRACES - 086</t>
  </si>
  <si>
    <t>SI 4692</t>
  </si>
  <si>
    <t>SI 4690</t>
  </si>
  <si>
    <t>ISSHIN MAKATI-087</t>
  </si>
  <si>
    <t>MASTER AIRSOFT AYALA MANILA BAY-088</t>
  </si>
  <si>
    <t>SI 4696</t>
  </si>
  <si>
    <t>DERMA 360 ROCKWELL POWERPLANT -039</t>
  </si>
  <si>
    <t>DDR4 8GB RAM</t>
  </si>
  <si>
    <t>HUZZAH INC-089</t>
  </si>
  <si>
    <t>SI 4693</t>
  </si>
  <si>
    <t>SI 4698</t>
  </si>
  <si>
    <t>SI 4699</t>
  </si>
  <si>
    <t>HENLIN WALTERMART MAKILING- 112</t>
  </si>
  <si>
    <t>STAR BSC10 USB PRINTER</t>
  </si>
  <si>
    <t>SI 4700</t>
  </si>
  <si>
    <t>OON SM BACOLOD-090</t>
  </si>
  <si>
    <t>Svl 0110</t>
  </si>
  <si>
    <t>TONALA (OON) SM BACOLOD-091</t>
  </si>
  <si>
    <t>BACOLOD CHICKEN MOA -092</t>
  </si>
  <si>
    <t>FRUITS IN ICE CREAM -AYALA MALLS CENTRIO CDO-093</t>
  </si>
  <si>
    <t>TSCERES SQL VERSION W/ BIR REGISTRATION FEE</t>
  </si>
  <si>
    <t>SI 4714</t>
  </si>
  <si>
    <t>SI 4713</t>
  </si>
  <si>
    <t>KANZEN SUSHI SM MASINAG-113</t>
  </si>
  <si>
    <t>SI 4701</t>
  </si>
  <si>
    <t>PAOTSIN LANDMARK -115</t>
  </si>
  <si>
    <t xml:space="preserve">POS PERIPHERALS </t>
  </si>
  <si>
    <t>SI 4695</t>
  </si>
  <si>
    <t>CHA TRA MUE SM MOA -095</t>
  </si>
  <si>
    <t>SI 4717</t>
  </si>
  <si>
    <t>SI 4679</t>
  </si>
  <si>
    <t>SI 4708</t>
  </si>
  <si>
    <t>SI 4712</t>
  </si>
  <si>
    <t>Svl 0159</t>
  </si>
  <si>
    <t>Svl 0158</t>
  </si>
  <si>
    <t>TEAMASTERS INC- GREENFIELD -064</t>
  </si>
  <si>
    <t>Svl 0163</t>
  </si>
  <si>
    <t>Svl 0162</t>
  </si>
  <si>
    <t>SI 4707</t>
  </si>
  <si>
    <t>Svl 0161</t>
  </si>
  <si>
    <t>SI 4710</t>
  </si>
  <si>
    <t>SI 4703</t>
  </si>
  <si>
    <t>SI 4729</t>
  </si>
  <si>
    <t>SI 4683</t>
  </si>
  <si>
    <t>SI 4702</t>
  </si>
  <si>
    <t>MALAYA'S CAFÉ AGAPITA- 096</t>
  </si>
  <si>
    <t>DANIELITOS HOME KITCHEN AGAPITA-097</t>
  </si>
  <si>
    <t>DANIELITOS HOME KITCHEN TAGAYTAY-098</t>
  </si>
  <si>
    <t>BACCHUS SQL VERSION W/ POS HARDWARES &amp; ORDERING STATION</t>
  </si>
  <si>
    <t>DR KONG GRAND CENTRAL -040</t>
  </si>
  <si>
    <t>SI 4697</t>
  </si>
  <si>
    <t>TIONG BAHRU TORILLO -041</t>
  </si>
  <si>
    <t>Month of JULY 2025</t>
  </si>
  <si>
    <t>TIONG BAHRU SM NORTH THE BLOCK-042</t>
  </si>
  <si>
    <t xml:space="preserve">BACCHUS SQL VERSION W/ POS PERIPHERALS </t>
  </si>
  <si>
    <t>SERENITEA ROB. MANILA-099</t>
  </si>
  <si>
    <t>SI 4726</t>
  </si>
  <si>
    <t>SI 4728</t>
  </si>
  <si>
    <t>30 BOX JOURNAL PAPER 2 PLY</t>
  </si>
  <si>
    <t>EPSON TMU220B PRINTER USB</t>
  </si>
  <si>
    <t>2 BOX JOURNAL PAPER 1 PLY</t>
  </si>
  <si>
    <t>SI 4735</t>
  </si>
  <si>
    <t>M&amp;W TOWNSTORE COMP. &amp; IT HQ-116</t>
  </si>
  <si>
    <t>OJO EYEWEAR &amp; SERVICES INC -117</t>
  </si>
  <si>
    <t>DRAGON DYNASTEA (ROB. MALOLOS, SM LAZARO)- 118</t>
  </si>
  <si>
    <t>TEAMASTER INC (SM GEN SAN , ROB. BUTUAN, GMALL TAGUM)-119</t>
  </si>
  <si>
    <t>TEAHUB CORP (ROB. LIPA, ROB. ILO ILO)- 120</t>
  </si>
  <si>
    <t>IDEAL BREAD (SM ROSALES, STO. TOMAS BATANGAS) -121</t>
  </si>
  <si>
    <t>GONG CHA PHILS (ONE AYALA )- 122</t>
  </si>
  <si>
    <t>ROYALTEA PHILS ( GALLERIA SOUTH )-123</t>
  </si>
  <si>
    <t>TEAMAKERS CORP (ABREEZA DAVAO ) -124</t>
  </si>
  <si>
    <t>LIPA GRILLE RESTAURANT CO-101</t>
  </si>
  <si>
    <t>MADE NICE INC - MAMOU ROCKWELL -102</t>
  </si>
  <si>
    <t>SERENITEA SM MARILAO-100</t>
  </si>
  <si>
    <t>ROCKWELL LAND CORPORATION ROCKWELL MAKATI-103</t>
  </si>
  <si>
    <t>5 EPSON TMU220B USB PRINTER</t>
  </si>
  <si>
    <t>EUROBAKE RESTAURANT BAKESHOP-104</t>
  </si>
  <si>
    <t>HUZZAH INC -105</t>
  </si>
  <si>
    <t>LIPA GRILLE- 106</t>
  </si>
  <si>
    <t>SI 4738</t>
  </si>
  <si>
    <t>SI 4740</t>
  </si>
  <si>
    <t>SI 4741</t>
  </si>
  <si>
    <t>SI 4732</t>
  </si>
  <si>
    <t>ISSY &amp; CO SM FAIRVIEW -125</t>
  </si>
  <si>
    <t>ACESTAR VMV ATC-127</t>
  </si>
  <si>
    <t>HENLIN WALTERMART-126</t>
  </si>
  <si>
    <t>CLUTCH GEAR</t>
  </si>
  <si>
    <t>POWER SUPPLY</t>
  </si>
  <si>
    <t>SI 4733</t>
  </si>
  <si>
    <t>SI 4744</t>
  </si>
  <si>
    <t>SI 4743</t>
  </si>
  <si>
    <t>HIT BY THE ROAD -128</t>
  </si>
  <si>
    <t>ROMAN RESTAURANT U.N.MLA.-0129</t>
  </si>
  <si>
    <t>M&amp;W TOWNSTORE COMP. &amp; IT HQ-130</t>
  </si>
  <si>
    <t>POSEIDON PSD86</t>
  </si>
  <si>
    <t>CANELLE FOOD CORP- CINNABON- 107</t>
  </si>
  <si>
    <t>BACOLOD CHICKEN MOA- 108</t>
  </si>
  <si>
    <t>POTATO GIANT SM BALIWAG-109</t>
  </si>
  <si>
    <t>TSCERES LITE SQL VERSION W/ POS HARDWARES</t>
  </si>
  <si>
    <t>SI 4748</t>
  </si>
  <si>
    <t>MUSTELA SM MEGAMALL-043</t>
  </si>
  <si>
    <t>SOFTWARE UPGRADE RDMS SQL VERSION W/ POS HARDWARES</t>
  </si>
  <si>
    <t>SI 4760</t>
  </si>
  <si>
    <t>MUSTELA SM MOA -044</t>
  </si>
  <si>
    <t>SI 4758</t>
  </si>
  <si>
    <t>MUSTELA AYALA CEBU-045</t>
  </si>
  <si>
    <t>RDMS SQL VERSION W/ BIR REGISTRATION FEE</t>
  </si>
  <si>
    <t>SI 4759</t>
  </si>
  <si>
    <t>BIG BRANDS ROB. STA ROSA-046</t>
  </si>
  <si>
    <t xml:space="preserve">EOS ADAPTOR </t>
  </si>
  <si>
    <t>MICHAEL &amp; CELEST 168 SHOPPING MALL C1-047</t>
  </si>
  <si>
    <t>MICHAEL &amp; CELEST 168 SHOPPING MALL C3-048</t>
  </si>
  <si>
    <t>TANTEASE INC POWERPLANT MALL ROCKWELL-049</t>
  </si>
  <si>
    <t>SI 4756</t>
  </si>
  <si>
    <t>SI 4757</t>
  </si>
  <si>
    <t>DRAGON DYNASTEA (GREENHILLS CENTERMALL)- 131</t>
  </si>
  <si>
    <t>ISSY &amp; CO SEASIDE CEBU -132</t>
  </si>
  <si>
    <t>LUANA LIFESTYLE- HUE BORACAY - 133</t>
  </si>
  <si>
    <t>BACCHUS ANDROID SQL VERSION W/ POS HARDWARES</t>
  </si>
  <si>
    <t>SI 4715</t>
  </si>
  <si>
    <t>SI 4730</t>
  </si>
  <si>
    <t>SI 4731</t>
  </si>
  <si>
    <t>SI 4736</t>
  </si>
  <si>
    <t>SI 4721</t>
  </si>
  <si>
    <t>SI 4722</t>
  </si>
  <si>
    <t>SI 4745</t>
  </si>
  <si>
    <t>SI 4739</t>
  </si>
  <si>
    <t>SI 4746</t>
  </si>
  <si>
    <t>SI 4749</t>
  </si>
  <si>
    <t>SI 4751</t>
  </si>
  <si>
    <t>Svl 171</t>
  </si>
  <si>
    <t>SI 4763</t>
  </si>
  <si>
    <t>SI 4750</t>
  </si>
  <si>
    <t>SI 4752, SI 4753</t>
  </si>
  <si>
    <t>SI 4768</t>
  </si>
  <si>
    <t>SI 4769</t>
  </si>
  <si>
    <t>SI 4765</t>
  </si>
  <si>
    <t>SI 4767</t>
  </si>
  <si>
    <t>PAN DE MANILA SANTOLAN TOWN PLAZA-110</t>
  </si>
  <si>
    <t xml:space="preserve">8 PORT USB HUB, TPLINK USB TO LAN ENTHERNET </t>
  </si>
  <si>
    <t>LORD STOW'S BAKERY - SKY GARDEN ONGPIN -111</t>
  </si>
  <si>
    <t>SI 4770</t>
  </si>
  <si>
    <t>HEALTHY SHABU SHABU -112</t>
  </si>
  <si>
    <t>HENLIN OUTLET LIPA -113</t>
  </si>
  <si>
    <t>TSCERES ANDROID SQL VERSION W/ PERIPHERALS</t>
  </si>
  <si>
    <t>KARIMADON- GLORIETTA 1 -134</t>
  </si>
  <si>
    <t>KARIMADON- SM MANILA  -135</t>
  </si>
  <si>
    <t>KARIMADON SM BICUTAN-136</t>
  </si>
  <si>
    <t>MN+LA APPAREL MEGAMALL-137</t>
  </si>
  <si>
    <t>TEAMAKERS CORP( VICTORY MALL PASAY)-138</t>
  </si>
  <si>
    <t>Svl 0160</t>
  </si>
  <si>
    <t>SI 4737</t>
  </si>
  <si>
    <t>STROOP &amp; ZO AYALA MALLS MANILA BAY-050</t>
  </si>
  <si>
    <t>6 ERC RIBBON</t>
  </si>
  <si>
    <t>.</t>
  </si>
  <si>
    <t>SI 4772</t>
  </si>
  <si>
    <t>SUNNY DELIGHT QUINTIN PAREDES/ PACIFIC CENTRE-114</t>
  </si>
  <si>
    <t>TEAHUB CORP ( FISHERMALL, BATAAN, AYALA CAPITOL BACOLOD, SM ROSARIO ) -098</t>
  </si>
  <si>
    <t>SI 4625</t>
  </si>
  <si>
    <t>SI 4623</t>
  </si>
  <si>
    <t>SI 4620</t>
  </si>
  <si>
    <t>SI 4624</t>
  </si>
  <si>
    <t>SI 4621</t>
  </si>
  <si>
    <t>SI 4622</t>
  </si>
  <si>
    <t>SI 4766</t>
  </si>
  <si>
    <t>SI 4771</t>
  </si>
  <si>
    <t>SI 4773</t>
  </si>
  <si>
    <t>SI 4774</t>
  </si>
  <si>
    <t>COLDSTONE-114</t>
  </si>
  <si>
    <t>Svl 0182</t>
  </si>
  <si>
    <t>HUZZAH INC -115</t>
  </si>
  <si>
    <t>SI 4778</t>
  </si>
  <si>
    <t>SI 4754</t>
  </si>
  <si>
    <t>SI 4755</t>
  </si>
  <si>
    <t>M&amp;W TOWNSTORE-140</t>
  </si>
  <si>
    <t xml:space="preserve">3 EPSON TMU220B USB PRINTER </t>
  </si>
  <si>
    <t>Svl 0179</t>
  </si>
  <si>
    <t>FUN CITY AYALA MALLS FELIZ -051</t>
  </si>
  <si>
    <t>SI 4782</t>
  </si>
  <si>
    <t>SI 4781</t>
  </si>
  <si>
    <t>SI 4783</t>
  </si>
  <si>
    <t>SI 4784</t>
  </si>
  <si>
    <t>Month of AUGUST 2025</t>
  </si>
  <si>
    <t>LUTONG ILOCANO- ROBINSONS TUGUEGARAO-116</t>
  </si>
  <si>
    <t>EPSON TMU220D UBS PRINTER</t>
  </si>
  <si>
    <t>SI 4785</t>
  </si>
  <si>
    <t>SI 4764</t>
  </si>
  <si>
    <t>BACCHUS LITE SQL VERSION W/ BIR REGISTRATION FEE</t>
  </si>
  <si>
    <t>UPGRADE RDMS SQL VERSION - BIR REGISTRATION FEE</t>
  </si>
  <si>
    <t>UPGRADE RDMS SQL VERSION -BIR REGISTRATION FEE</t>
  </si>
  <si>
    <t>OMBU KUSINA-141</t>
  </si>
  <si>
    <t>EPSON T82X USB PRINTER</t>
  </si>
  <si>
    <t>SI  4682/SI 4779</t>
  </si>
  <si>
    <t>Svl 0189</t>
  </si>
  <si>
    <t>SI 4719</t>
  </si>
  <si>
    <t>SI 4720</t>
  </si>
  <si>
    <t>Svl 0187</t>
  </si>
  <si>
    <t>Svl 0186</t>
  </si>
  <si>
    <t>Svl 0188</t>
  </si>
  <si>
    <t>THE HAPPY STATION SANTOLAN TOWN PLAZA-053</t>
  </si>
  <si>
    <t>PREVENTIVE MAINTENANCE &amp; KASPERSKY ANTI VIRUS</t>
  </si>
  <si>
    <t>AQUAFLASK AYALA CENTER CEBU-052</t>
  </si>
  <si>
    <t>M&amp;W SINILOAN-142</t>
  </si>
  <si>
    <t>5 SOFTWARE UPGRADE CASHIERING  1 BACK OFFICE</t>
  </si>
  <si>
    <t>DRAGON DYNESTEA (UPTC, SM DAVAO, NCC MALL PALAWAN)-143</t>
  </si>
  <si>
    <t>SI 4786</t>
  </si>
  <si>
    <t>SI 4789</t>
  </si>
  <si>
    <t>TEAMASTERS INC (TRINOMA POS 2, TANAY TOWN CENTER)-144</t>
  </si>
  <si>
    <t>TEAHUB CORP (SM CAUYAN )-145</t>
  </si>
  <si>
    <t>GONG CHA PHILS (ROB. ILOCOS)-146</t>
  </si>
  <si>
    <t>ROYALTEA PHILS (ROB. NOVA)-148</t>
  </si>
  <si>
    <t>SI 4790</t>
  </si>
  <si>
    <t>SI 4780</t>
  </si>
  <si>
    <t>Svl 0184</t>
  </si>
  <si>
    <t>Svl 0185</t>
  </si>
  <si>
    <t>SI 4776</t>
  </si>
  <si>
    <t>SI 4777</t>
  </si>
  <si>
    <t>SI 4718</t>
  </si>
  <si>
    <t>SI 4734</t>
  </si>
  <si>
    <t>CHU CHU BEAUTY TONDO MANILA -054</t>
  </si>
  <si>
    <t>CHU CHU BEAUTY GREENHILLS -055</t>
  </si>
  <si>
    <t>CHU CHU BEAUTY FESTIVAL MALL-056</t>
  </si>
  <si>
    <t>CHU CHU BEAUTY GLORIETTA-057</t>
  </si>
  <si>
    <t>SI 4795</t>
  </si>
  <si>
    <t>BARISTART COFFEE CAFÉ BGC-118</t>
  </si>
  <si>
    <t>POSTECH ADAPTER WITH CORD</t>
  </si>
  <si>
    <t>SI 4791</t>
  </si>
  <si>
    <t>SI 4792</t>
  </si>
  <si>
    <t>SI 4793</t>
  </si>
  <si>
    <t>Si 4794</t>
  </si>
  <si>
    <t>TEAMAKERS CORP (SM CDO, SERIN TAGAYTAY, SM MARILAO POS 2-147</t>
  </si>
  <si>
    <t>COLONIAL CREAMERY AYALA MALLS FELIZ -094</t>
  </si>
  <si>
    <t>SI 4799</t>
  </si>
  <si>
    <t>CASA REYES AYALA BAY-149</t>
  </si>
  <si>
    <t>SI 4800</t>
  </si>
  <si>
    <t>PAOTSIN GEN. TRIAS -150</t>
  </si>
  <si>
    <t>GUEVARRA'S -151</t>
  </si>
  <si>
    <t>UPGRADE SOFTWARE RDMS SQL VERSION W/ POS HARDWARES</t>
  </si>
  <si>
    <t>VMV ATC -152</t>
  </si>
  <si>
    <t>BIRCH HANDHELD SCANNER</t>
  </si>
  <si>
    <t>SI 4804</t>
  </si>
  <si>
    <t>2 ERC RIBBON</t>
  </si>
  <si>
    <t>SI 4805</t>
  </si>
  <si>
    <t>LIGHTERS GALORE GATEWAY-059</t>
  </si>
  <si>
    <t>TIONG BAHRU UP TOWN CENTER -060</t>
  </si>
  <si>
    <t>DR. KONG HEAD OFFICE-058</t>
  </si>
  <si>
    <t>SI 4811</t>
  </si>
  <si>
    <t>SI 4787, Svl 0193</t>
  </si>
  <si>
    <t>SI 4577, SI 4797, SI 4815</t>
  </si>
  <si>
    <t>Si 4798</t>
  </si>
  <si>
    <t>SI 4812</t>
  </si>
  <si>
    <t>SI 4802</t>
  </si>
  <si>
    <t>CINNABON -119</t>
  </si>
  <si>
    <t>Svl 0205</t>
  </si>
  <si>
    <t>SI 4809</t>
  </si>
  <si>
    <t>EVER DELIGHT (WALTERMART  MABALACAT) -154</t>
  </si>
  <si>
    <t>EVER DELIGHT (VALENZUELA TOWN ) -155</t>
  </si>
  <si>
    <t>SUNNY DELIGHT ( DAVAO DEL SUR)-156</t>
  </si>
  <si>
    <t>CHA TRA MUE ROB. GALLERIA -120</t>
  </si>
  <si>
    <t>CHA TRA MUE ROB. ANTIPOLO -121</t>
  </si>
  <si>
    <t>DESKTOP CPU I5 W/ PERIPHERALS</t>
  </si>
  <si>
    <t>VA BENE PASTA DELI BGC- 123</t>
  </si>
  <si>
    <t>VA BENE PASTA DELI BGC- 124</t>
  </si>
  <si>
    <t>MAMOU GATEWAY -122</t>
  </si>
  <si>
    <t xml:space="preserve">EPSON T82X LAN PRINTER </t>
  </si>
  <si>
    <t>SI 4816</t>
  </si>
  <si>
    <t>SI 4817</t>
  </si>
  <si>
    <t>BLANC NUE ONE AYALA-153</t>
  </si>
  <si>
    <t>PREVENTIVE MAINTENANCE ( AUG. 8 -AUG. 7, 2026)</t>
  </si>
  <si>
    <t>CASA REYES CONNECTICUT-157</t>
  </si>
  <si>
    <t>SI 4806</t>
  </si>
  <si>
    <t>SI 4807</t>
  </si>
  <si>
    <t>SI 4808</t>
  </si>
  <si>
    <t>SI 4818</t>
  </si>
  <si>
    <t>SI 4819</t>
  </si>
  <si>
    <t>HUZZAH INC- 125</t>
  </si>
  <si>
    <t>SHIN CLARA FOOD CORP- MARKET MARKET -126</t>
  </si>
  <si>
    <t>SI 4823</t>
  </si>
  <si>
    <t>COLONIAL CREAMERY AYALA MALLS CLOVERLEAF- 129</t>
  </si>
  <si>
    <t>SI 4827</t>
  </si>
  <si>
    <t>THE CRUNCH HARBOR POINT SUBIC- 061</t>
  </si>
  <si>
    <t>SI 4826</t>
  </si>
  <si>
    <t>SI 4825</t>
  </si>
  <si>
    <t>KANZEN SUSHI SM MASINAG -159</t>
  </si>
  <si>
    <t>1 BOX ERC RIBBON</t>
  </si>
  <si>
    <t>SI 4822</t>
  </si>
  <si>
    <t>OJO EYEWEAR -160</t>
  </si>
  <si>
    <t>2 BOX JOURNAL PAPER 1 PLY , 2 BOX THERMAL PAPER</t>
  </si>
  <si>
    <t>SI 4824</t>
  </si>
  <si>
    <t>SUNNY DELIGHT MAHI CEBU -161</t>
  </si>
  <si>
    <t>ARTWORK INC - SM MANILA -127</t>
  </si>
  <si>
    <t>PREVENTIVE MAINTENANCE W/ BIR REGISTRATION FEE</t>
  </si>
  <si>
    <t>ARTWORK INC - SM FAIRVIEW -128</t>
  </si>
  <si>
    <t>TRUE VISION MARKET MARKET -062</t>
  </si>
  <si>
    <t>Svl 0215/ SI 4828</t>
  </si>
  <si>
    <t>CASA REYES EASTWOOD -158</t>
  </si>
  <si>
    <t>SI 4832</t>
  </si>
  <si>
    <t>SI 4747</t>
  </si>
  <si>
    <t>SI 4830</t>
  </si>
  <si>
    <t>SI 4831</t>
  </si>
  <si>
    <t>Svl 0204</t>
  </si>
  <si>
    <t>Svl 0200</t>
  </si>
  <si>
    <t>Month of SEPTEMBER 2025</t>
  </si>
  <si>
    <t>SERENITEA ESTANCIA -130</t>
  </si>
  <si>
    <t>THE BIG CHILL INC ROCKWELL-131</t>
  </si>
  <si>
    <t>PREVENTIVE MAINTENANCE FEE</t>
  </si>
  <si>
    <t>M&amp;W TOWNSTORES-162</t>
  </si>
  <si>
    <t>TEAHUB  CORP (WALTERMART CALOOCAN) -164</t>
  </si>
  <si>
    <t>GONG CHA PHILS FRANCHISE- (LEGAZPI ALBAY)-163</t>
  </si>
  <si>
    <t>ROYALTEA PHILS (ARANETA POS )-165</t>
  </si>
  <si>
    <t>2 PREVENTIVE MAINTENANCE FEE</t>
  </si>
  <si>
    <t>Svl 0201</t>
  </si>
  <si>
    <t>Svl 0208</t>
  </si>
  <si>
    <t>Svl 0207</t>
  </si>
  <si>
    <t>Svl 0202</t>
  </si>
  <si>
    <t>Svl 0203</t>
  </si>
  <si>
    <t>HUE PALAWAN -167</t>
  </si>
  <si>
    <t>HUE SIARGAO-168</t>
  </si>
  <si>
    <t>CINNABON SM DAVAO -132</t>
  </si>
  <si>
    <t>TS CERES SQL VERSION W/ BIR REGISTRATION</t>
  </si>
  <si>
    <t>MANNY'S SEAFOOD AND GRILL AYALA MALL BACOLOD-133</t>
  </si>
  <si>
    <t>SI 4829</t>
  </si>
  <si>
    <t>SI 4835</t>
  </si>
  <si>
    <t>NEW BOMBAY GLORIETTA 3 - 134</t>
  </si>
  <si>
    <t xml:space="preserve">8GB RAM DDR4 </t>
  </si>
  <si>
    <t>TS CERES  SQL VERSION W/ POS HARDWARES</t>
  </si>
  <si>
    <t>TS CERES SQL VERSION W/ POS HARDWARES</t>
  </si>
  <si>
    <t>CINNABON ATC-135</t>
  </si>
  <si>
    <t>KUANG HENG ROB. MANILA -136</t>
  </si>
  <si>
    <t>SI 4844</t>
  </si>
  <si>
    <t>DILLINGER GREENBELT 3- 137</t>
  </si>
  <si>
    <t>SI 4839</t>
  </si>
  <si>
    <t>SI 4845</t>
  </si>
  <si>
    <t>CHA TRA MUE SM MOA- 138</t>
  </si>
  <si>
    <t>1 BOX BARCODE STICKER (4X3 CM)</t>
  </si>
  <si>
    <t>SI 4837</t>
  </si>
  <si>
    <t>SI 4840</t>
  </si>
  <si>
    <t>SI 4833</t>
  </si>
  <si>
    <t>SI 4848</t>
  </si>
  <si>
    <t>SI 4704</t>
  </si>
  <si>
    <t>SI 4705</t>
  </si>
  <si>
    <t>BACCHUS LITE  SQL VERSION- BIR REGISTRATION FEE</t>
  </si>
  <si>
    <t>Svl 0218</t>
  </si>
  <si>
    <t>SI 4813</t>
  </si>
  <si>
    <t>SI 4810</t>
  </si>
  <si>
    <t>Svl 0220</t>
  </si>
  <si>
    <t>Svl 0219</t>
  </si>
  <si>
    <t>MOTO SM MASINAG-063</t>
  </si>
  <si>
    <t>SI 4841</t>
  </si>
  <si>
    <t>SI 4842</t>
  </si>
  <si>
    <t>MOTO SM SAN MATEO-064</t>
  </si>
  <si>
    <t>FERINO'S CAFÉ- 065</t>
  </si>
  <si>
    <t>SYL25-0094</t>
  </si>
  <si>
    <t>DAN'S BIKE ATC- 066</t>
  </si>
  <si>
    <t>MODIFICATION FEE</t>
  </si>
  <si>
    <t>Svl 0235</t>
  </si>
  <si>
    <t>SI 4849</t>
  </si>
  <si>
    <t>LIGHTERS GALORE GATEWAY-067</t>
  </si>
  <si>
    <t xml:space="preserve">JOURNAL PAPER 1 PLY </t>
  </si>
  <si>
    <t>SI 4850</t>
  </si>
  <si>
    <t>HUZZAH INC - 139</t>
  </si>
  <si>
    <t>SI 4855</t>
  </si>
  <si>
    <t>STEAK BREAK SM CITY MOLINO-140</t>
  </si>
  <si>
    <t>TS CERES LITE SQL W/ BIR REGISTRATION FEE</t>
  </si>
  <si>
    <t>2 BACCHUS ANDROID SQL VERSION W/ POS HARDWARES</t>
  </si>
  <si>
    <t>SI 4836</t>
  </si>
  <si>
    <t>SI 4838</t>
  </si>
  <si>
    <t>M&amp;W TOWNSTORES LUMBAN-169</t>
  </si>
  <si>
    <t>INTEL CORE I5 (5) CASHIERING 8GB/ (1) BACK OFFICE /BIR REGISTRATION FEE AND PREVENTIVE MAINTENANCE</t>
  </si>
  <si>
    <t>SI 4847</t>
  </si>
  <si>
    <t>MN+LA APPAREL ONE AYALA-170</t>
  </si>
  <si>
    <t xml:space="preserve">1 BOX JOURNAL PAPER 2 PLY </t>
  </si>
  <si>
    <t>SI 4856</t>
  </si>
  <si>
    <t>KANZEN SUSHI SM MASINAG-171</t>
  </si>
  <si>
    <t xml:space="preserve">1 BOX JOURNAL PAPER 1 PLY </t>
  </si>
  <si>
    <t>SI 4857</t>
  </si>
  <si>
    <t>SI 4846</t>
  </si>
  <si>
    <t>SIAPNO-TADA OPTICAL SM URDANETA -068</t>
  </si>
  <si>
    <t>SIAPNO-TADA OPTICAL SM ROSALES -069</t>
  </si>
  <si>
    <t>RDMS LITE SQL VERSION W/ BIR REGISTRATION FEE</t>
  </si>
  <si>
    <t>TS CERES LITE SQL VERSION W/ BIR REGISTRATION FEE</t>
  </si>
  <si>
    <t>BC BOS' CHOW CARINDERIA TUGUEGARAO-141</t>
  </si>
  <si>
    <t>SI 4861</t>
  </si>
  <si>
    <t>SI 4864</t>
  </si>
  <si>
    <t>SI 4611</t>
  </si>
  <si>
    <t>SI 4858</t>
  </si>
  <si>
    <t>SI 4852</t>
  </si>
  <si>
    <t>SI 4865</t>
  </si>
  <si>
    <t>SI 4814</t>
  </si>
  <si>
    <t>SI 4859</t>
  </si>
  <si>
    <t>SI 4860</t>
  </si>
  <si>
    <t>METROMART VERMOSA-142</t>
  </si>
  <si>
    <t>SI 4868</t>
  </si>
  <si>
    <t>MELOS WESTGATE ALABANG -143</t>
  </si>
  <si>
    <t>Svl 0243</t>
  </si>
  <si>
    <t>SERENITEA AYALA MALLS EVO CITY -144</t>
  </si>
  <si>
    <t>PREVENTIVE MAINTENANCE FEE/ BIR REG AND WINDOWS 11 PRO</t>
  </si>
  <si>
    <t>KARIMADON ROB. MANILA -174</t>
  </si>
  <si>
    <t>SI 4843</t>
  </si>
  <si>
    <t>Svl 0229</t>
  </si>
  <si>
    <t>Svl 0227</t>
  </si>
  <si>
    <t>Svl 0230</t>
  </si>
  <si>
    <t>Svl 0228</t>
  </si>
  <si>
    <t>Svl 0224</t>
  </si>
  <si>
    <t>SI 4866</t>
  </si>
  <si>
    <t>DILLINGER GREENBELT 3- 145</t>
  </si>
  <si>
    <t xml:space="preserve">10 PCS THERMAL PAPER </t>
  </si>
  <si>
    <t>SI 4854</t>
  </si>
  <si>
    <t>TOMORO PAVILLION MALL LAGUNA -146</t>
  </si>
  <si>
    <t>LIPA GRILLE BATANGAS -147</t>
  </si>
  <si>
    <t xml:space="preserve">30 BOX JOURNAL PAPER 2 PLY </t>
  </si>
  <si>
    <t>SERENITEA AYALA MALLS EVO CITY -148</t>
  </si>
  <si>
    <t>PAOTSIN LANDMARK -175</t>
  </si>
  <si>
    <t>GONG CHA PHILS HEAD OFFICE -176</t>
  </si>
  <si>
    <t>5 PRINTER HEAD</t>
  </si>
  <si>
    <t>SI 4775</t>
  </si>
  <si>
    <t>SI 4869</t>
  </si>
  <si>
    <t>ARTWORK INCORPORATED -033</t>
  </si>
  <si>
    <t>SI 4853</t>
  </si>
  <si>
    <t>ISSY &amp; CO CAPITOL CENTRAL-177</t>
  </si>
  <si>
    <t>SI 4873</t>
  </si>
  <si>
    <t>M&amp;W TOWNSTORES PAETE-178</t>
  </si>
  <si>
    <t>2 EPSON TMU220B USB PRINTER</t>
  </si>
  <si>
    <t>SI 4879</t>
  </si>
  <si>
    <t>FRANCESCO REST. - SAN JUAN- 180</t>
  </si>
  <si>
    <t>FRANKIE GENERAL STORE THE PODIUM -070</t>
  </si>
  <si>
    <t>PREVENTIVE MAINTENANCE FEE W/ POS PERIPHERALS</t>
  </si>
  <si>
    <t>SI 4874/ Svl 0247</t>
  </si>
  <si>
    <t>CMISS CORPORATION - 149</t>
  </si>
  <si>
    <t>SI 4877</t>
  </si>
  <si>
    <t>DENTAL SMILES ROCKWELL -150</t>
  </si>
  <si>
    <t>SIZZLE MANIA (BOS CHOW'S ) SM CENTER TUGUEGARAO DOWNTOWN- 151</t>
  </si>
  <si>
    <t>SI 4878</t>
  </si>
  <si>
    <t>CHICKINGS RESTAURANT MANILA BAY - 152</t>
  </si>
  <si>
    <t>SI 4876</t>
  </si>
  <si>
    <t>SI 4872</t>
  </si>
  <si>
    <t>SI 4871/ Svl 0244</t>
  </si>
  <si>
    <t>Svl 0199</t>
  </si>
  <si>
    <t>SI 4612</t>
  </si>
  <si>
    <t>Svl 0037</t>
  </si>
  <si>
    <t>Svl 0049</t>
  </si>
  <si>
    <t>Svl 0035</t>
  </si>
  <si>
    <t>SI 4469</t>
  </si>
  <si>
    <t>SI 4561</t>
  </si>
  <si>
    <t>Svl 0054</t>
  </si>
  <si>
    <t>SYL25-0013</t>
  </si>
  <si>
    <t>Svl 0036</t>
  </si>
  <si>
    <t>Svl 0048</t>
  </si>
  <si>
    <t>SI 4724</t>
  </si>
  <si>
    <t>SI 4881</t>
  </si>
  <si>
    <t>Month of OCTOBER 2025</t>
  </si>
  <si>
    <t>ISDANG PULO MARKET MARKET -153</t>
  </si>
  <si>
    <t>AQUAFLASK FESTIVAL MALL-071</t>
  </si>
  <si>
    <t>SI 4884</t>
  </si>
  <si>
    <t>AQUAFLASK DESIGN SM DASMA -072</t>
  </si>
  <si>
    <t>SI 4885</t>
  </si>
  <si>
    <t>AQUAFLASK DESIGN SM MARILAO -073</t>
  </si>
  <si>
    <t>SI 4886</t>
  </si>
  <si>
    <t>TEAMASTERS INC (TRINOMA BACK OFFICE, SM AURA POS 2, ROB. PLACE ILIGAN, CLOVERLEAF)-181</t>
  </si>
  <si>
    <t>4 PREVENTIVE MAINTENANCE FEE</t>
  </si>
  <si>
    <t>DRAGON DYNASTEA (3 TORRE) -183</t>
  </si>
  <si>
    <t>TEAHUB CORP (SM CENTRAL OLONGAPO, SM DAET ) -182</t>
  </si>
  <si>
    <t>IDEAL BREAD (METRO TOWN TARLAC, CITYWALK TARLAC) -184</t>
  </si>
  <si>
    <t>TEAMAKERS CORP (LP VISTA MALL , SM DASMA, SM SORSOGON, WALTERMART SILANG )-187</t>
  </si>
  <si>
    <t>SI 4889</t>
  </si>
  <si>
    <t>SI 4887</t>
  </si>
  <si>
    <t>THE VALLEY AYALA MALLS THE 30TH-074</t>
  </si>
  <si>
    <t>SI 4888</t>
  </si>
  <si>
    <t>THE CRUNCH HARBOR POINT SUBIC-075</t>
  </si>
  <si>
    <t>SI 4890</t>
  </si>
  <si>
    <t>APT 8 BGC- 188</t>
  </si>
  <si>
    <t xml:space="preserve">EOS POWER ADAPTOR </t>
  </si>
  <si>
    <t>SI 4880</t>
  </si>
  <si>
    <t>SI 4894</t>
  </si>
  <si>
    <t>KUANG HENG SM MOA- 117</t>
  </si>
  <si>
    <t>BARISTART COFFEE CAFÉ BGC -154</t>
  </si>
  <si>
    <t>EOS POWER SUPPLY</t>
  </si>
  <si>
    <t>SI 4895</t>
  </si>
  <si>
    <t>SI 4892</t>
  </si>
  <si>
    <t>SI 4893</t>
  </si>
  <si>
    <t>SYL25-0103</t>
  </si>
  <si>
    <t>FERINOS CAFÉ AYALA MALLS FELIZ- 076</t>
  </si>
  <si>
    <t>2 PCS ERC RIBBON</t>
  </si>
  <si>
    <t>SI 4891</t>
  </si>
  <si>
    <t>BOOKSALE ( SM DASMA, SM SOUTHMALL, MAKATI CINEMA SQUARE, NEPO MALL ANGELES, SM BAGUIO)-155</t>
  </si>
  <si>
    <t>BOOKSALE ( SM FAIRVIEW, SM LEGAZPI, SM NORTH, SM ILO ILO, ROBINSONS CEBU)</t>
  </si>
  <si>
    <t>ZARAH JUAN POWERPLANT MALL ROCKWELL-157</t>
  </si>
  <si>
    <t>MCF AND KASPERSKY ANTI VIRUS</t>
  </si>
  <si>
    <t>SI 4896/ Svl 0253</t>
  </si>
  <si>
    <t>PAOTSIN MARKET MARKET -189</t>
  </si>
  <si>
    <t>SUPERBOWL M. SQUARE-190</t>
  </si>
  <si>
    <t>YANKEE CANDLES SM MOA -077</t>
  </si>
  <si>
    <t>HUZZAH INC-158</t>
  </si>
  <si>
    <t>SI 4897</t>
  </si>
  <si>
    <t>DILLINGER GREENBELT 3 -159</t>
  </si>
  <si>
    <t>EPSON TMU220D LAN PRINTER</t>
  </si>
  <si>
    <t>DERMA 360 CORP ROCKWELL POWERPLANT -078</t>
  </si>
  <si>
    <t>KASPERSKY ANTI VIRUS</t>
  </si>
  <si>
    <t>SI 4898</t>
  </si>
  <si>
    <t>FRANKIE GENERAL STORE ROCKWELL -079</t>
  </si>
  <si>
    <t>PREVENTIVE MAINTENANCE AND KASPERSKY ANTI VIRUS</t>
  </si>
  <si>
    <t>SI 4907/ Svl 0257</t>
  </si>
  <si>
    <t>DERMA 360 CORP ROCKWELL POWERPLANT -080</t>
  </si>
  <si>
    <t>Svl 0254</t>
  </si>
  <si>
    <t>OJO EYEWEAR -191</t>
  </si>
  <si>
    <t>4 BOX JOURNAL PAPER 1 PLY</t>
  </si>
  <si>
    <t>SI 4901</t>
  </si>
  <si>
    <t>THE VIEW REST. - TAGAYTAY-192</t>
  </si>
  <si>
    <t>PAPA DOMS BAR &amp; REST TAGAYTAY-193</t>
  </si>
  <si>
    <t>MORIBIZ RESTAURANT TAGAYTAY -194</t>
  </si>
  <si>
    <t>LORD STOW'S BAKERY -160</t>
  </si>
  <si>
    <t>3 PREVENTIVE MAINTENANCE FEE</t>
  </si>
  <si>
    <t>METROMART VERMOSA -161</t>
  </si>
  <si>
    <t>1 BOX JOURNAL PAPER 1  PLY, 1 PC ERC RIBBON</t>
  </si>
  <si>
    <t>GONG CHA PHILS (HEAD OFFICE )-195</t>
  </si>
  <si>
    <t>TEAMAKERS CORP (ROB. PALAWAN, VICTORY MALL TANAUAN) -166</t>
  </si>
  <si>
    <t>GONG CHA PHILS (HEAD OFFICE )-196</t>
  </si>
  <si>
    <t>Svl 0251</t>
  </si>
  <si>
    <t>Svl 0256</t>
  </si>
  <si>
    <t>Svl 0255</t>
  </si>
  <si>
    <t>SI 4903</t>
  </si>
  <si>
    <t>SI 4904</t>
  </si>
  <si>
    <t>SI 4905</t>
  </si>
  <si>
    <t>SI 4906</t>
  </si>
  <si>
    <t>SI 4883</t>
  </si>
  <si>
    <t>SI 4875</t>
  </si>
  <si>
    <t>Svl 0249</t>
  </si>
  <si>
    <t>SI 4899</t>
  </si>
  <si>
    <t>SI 4910</t>
  </si>
  <si>
    <t>Svl 0258</t>
  </si>
  <si>
    <t>MAMOU GREENBELT 5-162</t>
  </si>
  <si>
    <t>SI 4902</t>
  </si>
  <si>
    <t>NAIL SPA ROCKWELL-081</t>
  </si>
  <si>
    <t>SI 4917/ Svl 0264</t>
  </si>
  <si>
    <t>SI 4913</t>
  </si>
  <si>
    <t>SI 4914</t>
  </si>
  <si>
    <t>SI 4912</t>
  </si>
  <si>
    <t>SI 4916</t>
  </si>
  <si>
    <t>TATAY'S GRILL INC LUBAO PAMPANGA-163</t>
  </si>
  <si>
    <t>SI 4915</t>
  </si>
  <si>
    <t>SIZZLE MANIA (BOS' CHOW ) ROBINSONS PLACE TUGUEGARAO-164</t>
  </si>
  <si>
    <t>SI 4920</t>
  </si>
  <si>
    <t>EPSON TMU220IIA USB PRINTER</t>
  </si>
  <si>
    <t>MIDTOWN SPORTS CORP-ROB ERMITA -199</t>
  </si>
  <si>
    <t>GONG CHA PHILS (HEAD OFFICE )-198</t>
  </si>
  <si>
    <t>20 PCS EPSON PRINTER CABLE</t>
  </si>
  <si>
    <t>BAGUIO BOWL SPORTS -BAGUIO- 200</t>
  </si>
  <si>
    <t>DR. KONG FAIRVIEW TERRACES -082</t>
  </si>
  <si>
    <t>SI 4820</t>
  </si>
  <si>
    <t>SI 4908</t>
  </si>
  <si>
    <t>SI 4918</t>
  </si>
  <si>
    <t>SI 4922</t>
  </si>
  <si>
    <t>CANCEL</t>
  </si>
  <si>
    <t>SI 4911</t>
  </si>
  <si>
    <t>SAMU ADVERTISEMENT MARKETING SM CITY BACOLOD -165</t>
  </si>
  <si>
    <t>QUEEN AT BOLLYWOODS - 166</t>
  </si>
  <si>
    <t xml:space="preserve">3 EPSON ERC RIBBON </t>
  </si>
  <si>
    <t>SI 4925</t>
  </si>
  <si>
    <t>DR. KONG HEAD OFFICE -083</t>
  </si>
  <si>
    <t>2 2D ZEBRA 2208 BARCODE SCANNER</t>
  </si>
  <si>
    <t>DR. KONG MARKET MARKET -084</t>
  </si>
  <si>
    <t>SI 4927</t>
  </si>
  <si>
    <t>SI 4928</t>
  </si>
  <si>
    <t>SI 4926</t>
  </si>
  <si>
    <t>SI 4929</t>
  </si>
  <si>
    <t>CROWN PIN - PROSHOP FESTIVAL- 069</t>
  </si>
  <si>
    <t>BOWLING MAKATI SQUARE-172</t>
  </si>
  <si>
    <t>SNACK BAR MAKATI. SQUARE-173</t>
  </si>
  <si>
    <t>SERENITEA SM MARILAO -167</t>
  </si>
  <si>
    <t>MCMANA TRADING MANILA GOLD COUNTRY CLUB (VERANDA)-168</t>
  </si>
  <si>
    <t>MCMANA TRADING MANILA GOLD COUNTRY CLUB (S LOUNGE )-169</t>
  </si>
  <si>
    <t>MCMANA TRADING MANILA GOLD COUNTRY ( S LOUNGE , VERANDA )-170</t>
  </si>
  <si>
    <t>ROCKWELL LAND CORPORATION MAKATI-171</t>
  </si>
  <si>
    <t>EVER DELIGHT - WALTERMART SAN FERNANDO-201</t>
  </si>
  <si>
    <t>TS CERES SQL VERSION W/ BIR REGISTRATION FEE</t>
  </si>
  <si>
    <t>EVER DELIGHT -A. TOWN PLAZA-202</t>
  </si>
  <si>
    <t>M&amp;W TOWNSTORES -203</t>
  </si>
  <si>
    <t xml:space="preserve">EPSON TMU220B USB PRINTER </t>
  </si>
  <si>
    <t>MN+LA APPAREL ONE AYALA -204</t>
  </si>
  <si>
    <t>SI 4930</t>
  </si>
  <si>
    <t>SI 4931</t>
  </si>
  <si>
    <t>SI 4932</t>
  </si>
  <si>
    <t>Svl 0267</t>
  </si>
  <si>
    <t>Svl 0263</t>
  </si>
  <si>
    <t>SI 4909</t>
  </si>
  <si>
    <t>Svl 0260</t>
  </si>
  <si>
    <t>Svl 0259</t>
  </si>
  <si>
    <t>Svl 0261</t>
  </si>
  <si>
    <t>Si 4911</t>
  </si>
  <si>
    <t>Svl 0095</t>
  </si>
  <si>
    <t>Svl 0058</t>
  </si>
  <si>
    <t>SI 4680</t>
  </si>
  <si>
    <t>Svl 0067</t>
  </si>
  <si>
    <t>Svl 0059, Svl 0060, Svl 0061, Svl 0062</t>
  </si>
  <si>
    <t>Svl 0063, Svl 0064, Svl 0065, Svl 0066</t>
  </si>
  <si>
    <t>SI 4607</t>
  </si>
  <si>
    <t>SI 4681</t>
  </si>
  <si>
    <t>Svl 0153</t>
  </si>
  <si>
    <t>Svl 0213</t>
  </si>
  <si>
    <t>SI 4821</t>
  </si>
  <si>
    <t>SYL25-0023</t>
  </si>
  <si>
    <t>SI 4851</t>
  </si>
  <si>
    <t>SI 4863</t>
  </si>
  <si>
    <t>SI 4862</t>
  </si>
  <si>
    <t>SI 4924</t>
  </si>
  <si>
    <t>SI 4923</t>
  </si>
  <si>
    <t>RDMS  LITE VERSION -BIR REGISTRATION FEE</t>
  </si>
  <si>
    <t>RDMS LITE SQL VERSION W/ POS HARDWARES</t>
  </si>
  <si>
    <t>TATAY'S GRILL INC LUBAO PAMPANGA-172</t>
  </si>
  <si>
    <t>POSIFLEX MR-21064 MAGNETIC CARD READER</t>
  </si>
  <si>
    <t>SI 4936</t>
  </si>
  <si>
    <t>SERENITEA SM MARILAO -173</t>
  </si>
  <si>
    <t>CANELLE FOOD CORP- CINNABON SM FAIRVIEW-174</t>
  </si>
  <si>
    <t>SWEET STOP STATION - CINNABON ATC-175</t>
  </si>
  <si>
    <t>ROMANTIC BABOY MARKET MARKET -176</t>
  </si>
  <si>
    <t>Svl 0275</t>
  </si>
  <si>
    <t>Month of NOVEMBER 2025</t>
  </si>
  <si>
    <t>THE VIEW REST. TAGAYTAY-205</t>
  </si>
  <si>
    <t xml:space="preserve">1 BOX JOURNAL PAPER 3PLY </t>
  </si>
  <si>
    <t>SI 4937</t>
  </si>
  <si>
    <t>GONG CHA PHILS (HEAD OFFICE )-206</t>
  </si>
  <si>
    <t>5 PCS PRINTER HEAD</t>
  </si>
  <si>
    <t>MAGOOS Q. PLAZA -207</t>
  </si>
  <si>
    <t>TS CERES LITE SQL VERSION W/ POS HARDWARES</t>
  </si>
  <si>
    <r>
      <t xml:space="preserve">OJO EYEWEAR- SAN LORENZO  - 039- </t>
    </r>
    <r>
      <rPr>
        <b/>
        <sz val="10"/>
        <color rgb="FFFF0000"/>
        <rFont val="Calibri Light"/>
        <family val="2"/>
        <scheme val="major"/>
      </rPr>
      <t>CANCEL</t>
    </r>
  </si>
  <si>
    <t>SI 4946</t>
  </si>
  <si>
    <t>MOLAVE EL NIDO PALAWAN -177</t>
  </si>
  <si>
    <t>PREVENTIVE MAINTENANCE FEE/ MODIFICATION FEE</t>
  </si>
  <si>
    <t>Svl 0272</t>
  </si>
  <si>
    <t>ROCKWELL LAND CORPORATION- ROCKWELL MAKATI -178</t>
  </si>
  <si>
    <t xml:space="preserve">3 THINKCENTRE M70'S GEN 5 - 512GB SSD </t>
  </si>
  <si>
    <t>YOOHOO VERMOSA -179</t>
  </si>
  <si>
    <t>SI 4948</t>
  </si>
  <si>
    <t>HUZZAH INC -180</t>
  </si>
  <si>
    <t>SI 4947</t>
  </si>
  <si>
    <t>DRAGON DYNASTEA (TORRE LORENZO, STARMALL BULACAN, SM BALIWAG, CENTRO MALL, RP GAPAN)- 208</t>
  </si>
  <si>
    <t>5 PREVENTIVE  MAINTENANCE FEE</t>
  </si>
  <si>
    <t>TEAMASTERS INC (SM BUTUAN )-209</t>
  </si>
  <si>
    <t>TEAHUB CORP ( FISHERMALL MALABON, ROB. SANTIAGO)-210</t>
  </si>
  <si>
    <t>IDEAL BREAD &amp; TEA CORP( MITSUKOSHI)-211</t>
  </si>
  <si>
    <t>GONG CHA PHILS (WALTERMART PANIQUIT)-212</t>
  </si>
  <si>
    <t>ROYALTEA PHILS ( SM SAN PABLO, SM CENTER PULLILAN)-213</t>
  </si>
  <si>
    <t>J&amp;G CHICKEN (LANDMARK)-214</t>
  </si>
  <si>
    <t>GOOD MOLECULES-215</t>
  </si>
  <si>
    <t>30 PCS JOURNAL PAPER 2 PLY</t>
  </si>
  <si>
    <t>KARIMADON SM BICUTAN -216</t>
  </si>
  <si>
    <t>GONG CHA PHILS (HEAD OFFICE )-217</t>
  </si>
  <si>
    <t xml:space="preserve">2 EPSON TMU220D USB PRINTER </t>
  </si>
  <si>
    <t>5 PCS EPSON PRINTER HEAD</t>
  </si>
  <si>
    <t>GONG CHA PHILS ( SM SAN LAZARO, WALTERMART CONCEPTION , AYALA MARIKINA, RIVERBANKS MALL)-185</t>
  </si>
  <si>
    <t xml:space="preserve">PAOTSIN ROB. BAGONG SILANG -197 </t>
  </si>
  <si>
    <r>
      <t xml:space="preserve">ROYALTEA PHILS ( SOUTHWOODS </t>
    </r>
    <r>
      <rPr>
        <b/>
        <sz val="11"/>
        <color rgb="FFFF0000"/>
        <rFont val="Calibri"/>
        <family val="2"/>
        <scheme val="minor"/>
      </rPr>
      <t>CLOSED</t>
    </r>
    <r>
      <rPr>
        <sz val="11"/>
        <color theme="1"/>
        <rFont val="Calibri"/>
        <family val="2"/>
        <scheme val="minor"/>
      </rPr>
      <t>),( SM CENTER SAN PEDRO)-186</t>
    </r>
  </si>
  <si>
    <t>SI 4964</t>
  </si>
  <si>
    <t>BACCHUS SQL LITE VERSION W/ POS HARDWARES</t>
  </si>
  <si>
    <t>SI 4959</t>
  </si>
  <si>
    <t>ARTISAN EMPORIUM SM MEGAMALL -182</t>
  </si>
  <si>
    <t>SI 4956</t>
  </si>
  <si>
    <t>JSFI CHICKEN BACOLOD VERTIS NORTH-183</t>
  </si>
  <si>
    <t>JSFI CHICKEN BACOLOD GLORIETA 4 -181</t>
  </si>
  <si>
    <t>SI 4958</t>
  </si>
  <si>
    <t>DESKTOP CPU W/ POS PERIPHERALS</t>
  </si>
  <si>
    <t>SI 4963</t>
  </si>
  <si>
    <t>DAN'S BIKESHOP SM AURA-085</t>
  </si>
  <si>
    <t>SI 4941</t>
  </si>
  <si>
    <t>SI 4966</t>
  </si>
  <si>
    <t>SI 4967</t>
  </si>
  <si>
    <t>SI 4943</t>
  </si>
  <si>
    <t>SI 4942</t>
  </si>
  <si>
    <t>SI 4945</t>
  </si>
  <si>
    <t>SI 4949</t>
  </si>
  <si>
    <t>SI 4944</t>
  </si>
  <si>
    <t>Svl 0274</t>
  </si>
  <si>
    <t>SI 4950</t>
  </si>
  <si>
    <t>SI 4961</t>
  </si>
  <si>
    <t>SI 4962</t>
  </si>
  <si>
    <t>Svl 0286</t>
  </si>
  <si>
    <t>SI 4952</t>
  </si>
  <si>
    <t>SI  4957</t>
  </si>
  <si>
    <t>LIPA GRILLE BATANGAS -184</t>
  </si>
  <si>
    <t>SI 4965</t>
  </si>
  <si>
    <t>JSFI CHICKEN BACOLOD MARKET MARKET -185</t>
  </si>
  <si>
    <t>LORD STOW'S BAKERY TRINOMA -186</t>
  </si>
  <si>
    <t xml:space="preserve">WINDOWS 11 PRO/ 512GB SSD </t>
  </si>
  <si>
    <t>TIONG BAHRU ESTANCIA MALL -086</t>
  </si>
  <si>
    <t xml:space="preserve">EPSON TMU220B LAN PRINTER </t>
  </si>
  <si>
    <t>SI 4938</t>
  </si>
  <si>
    <t>SI 4970</t>
  </si>
  <si>
    <t>SI 4971</t>
  </si>
  <si>
    <t>SI 4939</t>
  </si>
  <si>
    <t>SI 4940</t>
  </si>
  <si>
    <t>SI 4953</t>
  </si>
  <si>
    <t>SI 4968</t>
  </si>
  <si>
    <t>FRANKIE GENERAL STORE SM AURA -087</t>
  </si>
  <si>
    <t>500GB SSD, WINDOWS 11 PRO</t>
  </si>
  <si>
    <t>GONG CHA PHILS (HEAD OFFICE ) -218</t>
  </si>
  <si>
    <t>GONG CHA PHILS( ROB. DUMAGUETE)-219</t>
  </si>
  <si>
    <t>PREVENTIVE MAINTENANCE FEE W/ BIR REGISTRATION FEE</t>
  </si>
  <si>
    <t>DRAGON DYNASTEA (SM LIGHT )-220</t>
  </si>
  <si>
    <t>SI 4973</t>
  </si>
  <si>
    <t>Month of DECEMBER 2025</t>
  </si>
  <si>
    <t>MAMOU GREENBELT 5 -188</t>
  </si>
  <si>
    <t>SI 4978</t>
  </si>
  <si>
    <t>SERENITEA ROB. MANILA-187</t>
  </si>
  <si>
    <t>WINDOWS 11 PRO, 512GB SSD</t>
  </si>
  <si>
    <t>SI 4980</t>
  </si>
  <si>
    <t>DRAGON DYNASTEA (SM SAN MATEO, SM MANILA,AYALA  BY THE BAY, CALOOCAN, UST, EVIA , VISTA MALL MALOLOS , SM MEGA CENTER CABANATUAN, SM CABANAYUAN) -221</t>
  </si>
  <si>
    <t>9 PREVENTIVE MAINTENANCE FEE</t>
  </si>
  <si>
    <t>SI 4972</t>
  </si>
  <si>
    <t>SI 4983</t>
  </si>
  <si>
    <t>TEAMASTERS INC ( TRINOMA POS 1, ROCKWELL, SM STA. MESA, AURA SUPERMARKET, SM MAKATI, FORT VICTORIA, NUSTAR CEBU)- 222</t>
  </si>
  <si>
    <t>7 PREVENTIVE MAINTENANCE FEE</t>
  </si>
  <si>
    <t>TEAHUB CORP ( SM LUCENA, SANTOLAN MARKET PLAZA)- 223</t>
  </si>
  <si>
    <t>IDEAL BREAD &amp; TEA CORP( SM JAZZ, SM DAGUPAN)-224</t>
  </si>
  <si>
    <t>GONG CHA PHILS ( EVER COMMONWELT , SM MEGA T1, ROB. PLACE MANILA, SM NORTH GROUND FLR., SM MEGA T2)- 225</t>
  </si>
  <si>
    <t>ROYALTEA PHILS ( ATC, SM MARIKINA, ROB. GALLERIA, SM FAIRVIEW T1, STA. ROSA, ST. LUKES, CLARK, FESTIVAL, SOLENAD, ROB. MALABON, CLARK IN'TL. AIRPORT)- 226</t>
  </si>
  <si>
    <t>M&amp;W TOWNSTORE- 228</t>
  </si>
  <si>
    <t>11 PREVENTIVE MAINTENANCE FEE</t>
  </si>
  <si>
    <t>5 PREVENTIVE MAINTENANCE FEE</t>
  </si>
  <si>
    <t>OMBU KUSINA- 229</t>
  </si>
  <si>
    <t>COSTA SOLANA PAGBILAO-230</t>
  </si>
  <si>
    <t>FAMOUS AMOS PARK TRIANGLE TAGUIG - 189</t>
  </si>
  <si>
    <t xml:space="preserve">TS CERES SQL LITE VERSION W/ POS HARDWARES </t>
  </si>
  <si>
    <t>SI 4985</t>
  </si>
  <si>
    <t>NEIL'S LECHON CEBU CLOVERLEAF- 190</t>
  </si>
  <si>
    <t>Si 4981</t>
  </si>
  <si>
    <t>HUZZAH INC - 191</t>
  </si>
  <si>
    <t>SI 4982</t>
  </si>
  <si>
    <t>YIFANG TAIWAN FRUIT TEA AYALA FELIZ- 192</t>
  </si>
  <si>
    <t xml:space="preserve">GODEX EZ120 BARCODE PRINTER </t>
  </si>
  <si>
    <t>SI 4986</t>
  </si>
  <si>
    <t>HEALTHY SHABU SHABU ROB. MANILA -194</t>
  </si>
  <si>
    <t>EVER DELIGHT CORP-(WALTERMART SAN FERNANDO)-231</t>
  </si>
  <si>
    <t>TEAMASTERS INC (NUSTAR CEBU)-232</t>
  </si>
  <si>
    <t>HEALTHY SHABU SHABU SHANGRI LA -195</t>
  </si>
  <si>
    <t>EOS MINI PC I5 W/ POS PERIPHERALS</t>
  </si>
  <si>
    <t>TIONG BAHRU ROBINSONS ANTIPOLO-  088</t>
  </si>
  <si>
    <t>EPSON TMU220B LAN PRINTER</t>
  </si>
  <si>
    <t>SI 4989</t>
  </si>
  <si>
    <t>BOOKSALE ROBINSONS METRO EAST -193</t>
  </si>
  <si>
    <t>SI 4997</t>
  </si>
  <si>
    <t>SI 4998</t>
  </si>
  <si>
    <t>RHETT EALA- 089</t>
  </si>
  <si>
    <t>CHU CHU BEAUTY MARKET MARKET - 090</t>
  </si>
  <si>
    <t>TOMORO PAVILLION MALL LAGUNA - 196</t>
  </si>
  <si>
    <t xml:space="preserve">EPSON TM- T82X LAN PRINTER </t>
  </si>
  <si>
    <t>BLANC NUE GREENHILLS -179</t>
  </si>
  <si>
    <t>Svl 0312</t>
  </si>
  <si>
    <t>SI 5010</t>
  </si>
  <si>
    <t>SI 4974</t>
  </si>
  <si>
    <t>SI 4975</t>
  </si>
  <si>
    <t>SI 4976</t>
  </si>
  <si>
    <t>SI 4977</t>
  </si>
  <si>
    <t>Svl 0282</t>
  </si>
  <si>
    <t>SI 4955</t>
  </si>
  <si>
    <t>Svl 0279</t>
  </si>
  <si>
    <t>Svl 0280</t>
  </si>
  <si>
    <t>Svl 0278</t>
  </si>
  <si>
    <t>Svl 0281</t>
  </si>
  <si>
    <t>SI 4984</t>
  </si>
  <si>
    <t>SI 4992</t>
  </si>
  <si>
    <t>SI 4988</t>
  </si>
  <si>
    <t>SI 5013</t>
  </si>
  <si>
    <t>SI 4990</t>
  </si>
  <si>
    <t>SI 4991</t>
  </si>
  <si>
    <t>SI 5000</t>
  </si>
  <si>
    <t>SI 4935</t>
  </si>
  <si>
    <t>SI 4999</t>
  </si>
  <si>
    <t>SI 5005</t>
  </si>
  <si>
    <t>CHU CHU BEAUTY ARCA SOUTH - 092</t>
  </si>
  <si>
    <t>HOUSE OF OBAGI ROB. PLACE MANILA-091</t>
  </si>
  <si>
    <t>SI 5006</t>
  </si>
  <si>
    <t>SI 5004</t>
  </si>
  <si>
    <t>ARTISAN EMPORIUM SM MEGAMALL -197</t>
  </si>
  <si>
    <t>JSFI CHICKEN BACOLOD NORTH EXCHANGE-198</t>
  </si>
  <si>
    <t>ACER LCD MONITOR</t>
  </si>
  <si>
    <t>NARA THAI SM MEGAMALL - 199</t>
  </si>
  <si>
    <t>SI 5002, SI 5003</t>
  </si>
  <si>
    <t>SI 5008</t>
  </si>
  <si>
    <t>SI 5001</t>
  </si>
  <si>
    <t>SI 4979</t>
  </si>
  <si>
    <t>KITCHEN CITY -233</t>
  </si>
  <si>
    <t>15 POSTECH TOUCSCREEN MONITOR</t>
  </si>
  <si>
    <t>GONG CHA ( HEAD OFFICE )-234</t>
  </si>
  <si>
    <t xml:space="preserve">5 PCS PRINTED HEAD </t>
  </si>
  <si>
    <t>2 BOX JOURNAL PAPER 2 PLY</t>
  </si>
  <si>
    <t>ARTHUR'S PRIME MANILA INC - MANILA GOLF FAIRWAYS -200</t>
  </si>
  <si>
    <t>TSCERES LITE SQL VERSION W/ BIR REGISTRATION FEE</t>
  </si>
  <si>
    <t>SI 5011</t>
  </si>
  <si>
    <t>SI 5015</t>
  </si>
  <si>
    <t>LALA'S RESTAURANT QUEZON CITY- 201</t>
  </si>
  <si>
    <t>FLUFF PANCAKES &amp; COFFEE ROB. MANILA-202</t>
  </si>
  <si>
    <t>26 PREVENTIVE MAINTENANCE FEE</t>
  </si>
  <si>
    <t>SI 5018</t>
  </si>
  <si>
    <t>SI 5014</t>
  </si>
  <si>
    <t>KANZEN SUSHI SM MASINAG -236</t>
  </si>
  <si>
    <t>PAOTSIN ROB. ANTIPOLO-237</t>
  </si>
  <si>
    <t>SI 5020</t>
  </si>
  <si>
    <t>M&amp;W TOWNSTORE- 238</t>
  </si>
  <si>
    <t>SI 4954</t>
  </si>
  <si>
    <t>SI 5012</t>
  </si>
  <si>
    <t>SI 4995</t>
  </si>
  <si>
    <t>KALBROS BAR AND RESTAURANT FESTIVAL MALL-203</t>
  </si>
  <si>
    <t>SI 5016</t>
  </si>
  <si>
    <t>SI 5017</t>
  </si>
  <si>
    <t>SI 5019</t>
  </si>
  <si>
    <t>SI 5021</t>
  </si>
  <si>
    <t>SI 5027</t>
  </si>
  <si>
    <r>
      <t xml:space="preserve">THE VIEW REST. TAGAYTAY- 235- </t>
    </r>
    <r>
      <rPr>
        <b/>
        <sz val="11"/>
        <color rgb="FFFF0000"/>
        <rFont val="Calibri"/>
        <family val="2"/>
        <scheme val="minor"/>
      </rPr>
      <t>CANCEL</t>
    </r>
  </si>
  <si>
    <t>FROSTING ON ROLLS INC - CINNABON (SM SOUTHMALL)-210</t>
  </si>
  <si>
    <t>IGO WAFU FOOD CORP - CINNABON (SM BAGUIO)-211</t>
  </si>
  <si>
    <t>ILO CANELLA FOOD CORP- CINNABON (SM ILO ILO )-212</t>
  </si>
  <si>
    <t>LNF FOOD INC - CINNABON (GLORIETTA 4)-213</t>
  </si>
  <si>
    <t>ROADSIDE ROLLS FOOD CORP- CINNABON (MAMPLASAN)-214</t>
  </si>
  <si>
    <t>SWEET AND FROSTED INC - CINNABON (SM CITY SANTA ROSA)-215</t>
  </si>
  <si>
    <t>SWEET STOP STATION INC -CINNABON ( ATC)-216</t>
  </si>
  <si>
    <t>SYM2PLY DELICIOUS CORP -CINNABON (SM CDO DOWNTOWN)-217</t>
  </si>
  <si>
    <t>BACOLOD CHICKEN PITX -218</t>
  </si>
  <si>
    <t xml:space="preserve">TS CERES SQL VERSION W/ POS HARDWARES </t>
  </si>
  <si>
    <t>ARTWORK INC -219</t>
  </si>
  <si>
    <t>MAMOU GREENBELT 5 -220</t>
  </si>
  <si>
    <t>TEAMAKERS CORP( SMBF, FAIRVIEW TERRACES, SUNMALL, SM LIPA , SM TRECE MARTINEZ, DISTRICT IMUS, SM PAMPANGA)-227</t>
  </si>
  <si>
    <t>MUSTELA SM MEGAMALL-093</t>
  </si>
  <si>
    <t>EPSON TMU220D USB PRINTER, MINI CASH DRAWER</t>
  </si>
  <si>
    <t>SI 5026</t>
  </si>
  <si>
    <t>MUSTELA SM MOA -094</t>
  </si>
  <si>
    <t>SI 5025</t>
  </si>
  <si>
    <t>SI 5024</t>
  </si>
  <si>
    <t>Svl 0305</t>
  </si>
  <si>
    <t>Svl 0283/ Svl 0305</t>
  </si>
  <si>
    <t>Svl 0302</t>
  </si>
  <si>
    <t>Svl 0299</t>
  </si>
  <si>
    <t>Svl 0306</t>
  </si>
  <si>
    <t>SI 4993</t>
  </si>
  <si>
    <t>Svl 0304</t>
  </si>
  <si>
    <t>Svl 0303</t>
  </si>
  <si>
    <t>Svl 0307</t>
  </si>
  <si>
    <t>SI 5030</t>
  </si>
  <si>
    <t>SI 5029</t>
  </si>
  <si>
    <t>SI 5035</t>
  </si>
  <si>
    <t>SI 5034</t>
  </si>
  <si>
    <t>SI 5045</t>
  </si>
  <si>
    <t>CANELLE FOOD CORP-CINNABON CORP-(SLT MAIN, NLT SELECT, CALTEX SP, NAIA 3, TRINOMA, SM NORTH, SM AURA, SM MEGAMALL, ESTANCIA, SM SEASIDE, PETRON, SM CLARK, FESTIVAL , DRIVE &amp; DINE, SM FAIRVIEW, AYALA MANILA BAY, ROB. MAGNOLIA, ROB. GALLERIA, UNIMART GREENHILLS, SM MOA, SM DASMARINAS, SLT SELECT, SM STO TOMAS BATANGAS, SM BICUTAN, MACTAN CEBU, SM JMALL CEBU)-204</t>
  </si>
  <si>
    <t>2SWR GROUPS INC-CINNABON CORP- SM ZAMBOANGA-205</t>
  </si>
  <si>
    <t>CINNALAND FOOD CORP-CINNABON CORP- SM DAVAO ECOLAND-206</t>
  </si>
  <si>
    <t>CINNAROLL BAKERY CORP-CINNABON CORP - SM CEBU- 207</t>
  </si>
  <si>
    <t>FROSTED BAKED BUNS CORP-CINNABON CORP - SM DAVAO LANANG -208</t>
  </si>
  <si>
    <t>FROSTED ROLLS INC-CINNABON CORP-ONE AYALA -209</t>
  </si>
  <si>
    <t>Svl 0335</t>
  </si>
  <si>
    <t>Svl 0334</t>
  </si>
  <si>
    <t>Svl 0336</t>
  </si>
  <si>
    <t>Svl 0337</t>
  </si>
  <si>
    <t>SI 5022</t>
  </si>
  <si>
    <t>Svl 0321</t>
  </si>
  <si>
    <t>SI 5040</t>
  </si>
  <si>
    <t>Svl 0310</t>
  </si>
  <si>
    <t>Svl 0316</t>
  </si>
  <si>
    <t>SI 5039</t>
  </si>
  <si>
    <t>SI 5056</t>
  </si>
  <si>
    <t>SI 5058</t>
  </si>
  <si>
    <t>SI 5059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</si>
</sst>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m\-dd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ahoma"/>
      <family val="2"/>
      <charset val="1"/>
    </font>
    <font>
      <b/>
      <sz val="10"/>
      <color rgb="FFFF0000"/>
      <name val="Tahoma"/>
      <family val="2"/>
      <charset val="1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color theme="1"/>
      <name val="Calibri Light"/>
      <family val="2"/>
      <scheme val="major"/>
    </font>
    <font>
      <b/>
      <sz val="11"/>
      <color rgb="FFFF0000"/>
      <name val="Calibri Light"/>
      <family val="2"/>
      <scheme val="major"/>
    </font>
    <font>
      <b/>
      <sz val="10"/>
      <color rgb="FFFF0000"/>
      <name val="Calibri Light"/>
      <family val="2"/>
      <scheme val="major"/>
    </font>
    <font>
      <sz val="10"/>
      <color theme="1"/>
      <name val="Calibri"/>
      <family val="2"/>
      <scheme val="minor"/>
    </font>
    <font>
      <sz val="10"/>
      <color rgb="FFFF0000"/>
      <name val="Calibri Light"/>
      <family val="2"/>
      <scheme val="major"/>
    </font>
    <font>
      <sz val="11"/>
      <color rgb="FFFF0000"/>
      <name val="Calibri"/>
      <family val="2"/>
      <scheme val="minor"/>
    </font>
    <font>
      <sz val="10"/>
      <name val="Calibri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name val="Calibri Light"/>
      <family val="2"/>
      <scheme val="major"/>
    </font>
    <font>
      <b/>
      <sz val="10"/>
      <name val="Calibri"/>
      <family val="2"/>
      <scheme val="minor"/>
    </font>
    <font>
      <b/>
      <sz val="10"/>
      <color theme="0"/>
      <name val="Calibri Light"/>
      <family val="2"/>
      <scheme val="major"/>
    </font>
    <font>
      <b/>
      <sz val="10"/>
      <color theme="0"/>
      <name val="Calibri"/>
      <family val="2"/>
      <scheme val="minor"/>
    </font>
    <font>
      <b/>
      <sz val="10"/>
      <name val="Calibri Light"/>
      <family val="2"/>
      <scheme val="major"/>
    </font>
    <font>
      <b/>
      <sz val="10"/>
      <color theme="1"/>
      <name val="Calibri Light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rgb="FF92D050"/>
        <bgColor indexed="22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49998474074526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215">
    <xf numFmtId="0" fontId="0" fillId="0" borderId="0" xfId="0"/>
    <xf numFmtId="164" fontId="3" fillId="2" borderId="0" xfId="1" applyNumberFormat="1" applyFont="1" applyFill="1" applyAlignment="1">
      <alignment horizontal="left"/>
    </xf>
    <xf numFmtId="0" fontId="3" fillId="2" borderId="0" xfId="1" applyFont="1" applyFill="1"/>
    <xf numFmtId="0" fontId="3" fillId="2" borderId="0" xfId="1" applyFont="1" applyFill="1" applyAlignment="1">
      <alignment shrinkToFit="1"/>
    </xf>
    <xf numFmtId="0" fontId="4" fillId="2" borderId="0" xfId="1" applyFont="1" applyFill="1" applyAlignment="1">
      <alignment horizontal="center"/>
    </xf>
    <xf numFmtId="0" fontId="0" fillId="2" borderId="0" xfId="0" applyFill="1"/>
    <xf numFmtId="164" fontId="3" fillId="3" borderId="0" xfId="1" applyNumberFormat="1" applyFont="1" applyFill="1" applyAlignment="1">
      <alignment horizontal="left"/>
    </xf>
    <xf numFmtId="0" fontId="0" fillId="4" borderId="0" xfId="0" applyFill="1"/>
    <xf numFmtId="0" fontId="5" fillId="0" borderId="0" xfId="0" applyFont="1"/>
    <xf numFmtId="0" fontId="6" fillId="2" borderId="0" xfId="0" applyFont="1" applyFill="1" applyAlignment="1">
      <alignment horizontal="center"/>
    </xf>
    <xf numFmtId="164" fontId="3" fillId="6" borderId="1" xfId="1" applyNumberFormat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3" xfId="1" applyFont="1" applyFill="1" applyBorder="1" applyAlignment="1">
      <alignment horizontal="center" vertical="center" shrinkToFit="1"/>
    </xf>
    <xf numFmtId="4" fontId="3" fillId="6" borderId="5" xfId="1" applyNumberFormat="1" applyFont="1" applyFill="1" applyBorder="1" applyAlignment="1">
      <alignment horizontal="center" vertical="center" wrapText="1"/>
    </xf>
    <xf numFmtId="4" fontId="3" fillId="6" borderId="6" xfId="1" applyNumberFormat="1" applyFont="1" applyFill="1" applyBorder="1" applyAlignment="1">
      <alignment horizontal="center" vertical="center" wrapText="1"/>
    </xf>
    <xf numFmtId="4" fontId="3" fillId="6" borderId="7" xfId="1" applyNumberFormat="1" applyFont="1" applyFill="1" applyBorder="1" applyAlignment="1">
      <alignment horizontal="center" vertical="center" wrapText="1"/>
    </xf>
    <xf numFmtId="0" fontId="3" fillId="7" borderId="8" xfId="1" applyFont="1" applyFill="1" applyBorder="1" applyAlignment="1">
      <alignment horizontal="center" vertical="center" wrapText="1"/>
    </xf>
    <xf numFmtId="0" fontId="0" fillId="7" borderId="9" xfId="0" applyFill="1" applyBorder="1"/>
    <xf numFmtId="0" fontId="3" fillId="7" borderId="10" xfId="1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/>
    </xf>
    <xf numFmtId="43" fontId="8" fillId="0" borderId="12" xfId="0" applyNumberFormat="1" applyFont="1" applyBorder="1"/>
    <xf numFmtId="164" fontId="3" fillId="6" borderId="13" xfId="1" applyNumberFormat="1" applyFont="1" applyFill="1" applyBorder="1" applyAlignment="1">
      <alignment horizontal="center" vertical="center" wrapText="1"/>
    </xf>
    <xf numFmtId="0" fontId="3" fillId="6" borderId="14" xfId="1" applyFont="1" applyFill="1" applyBorder="1" applyAlignment="1">
      <alignment horizontal="center" vertical="center" wrapText="1"/>
    </xf>
    <xf numFmtId="0" fontId="3" fillId="6" borderId="14" xfId="1" applyFont="1" applyFill="1" applyBorder="1" applyAlignment="1">
      <alignment horizontal="center" vertical="center" shrinkToFit="1"/>
    </xf>
    <xf numFmtId="4" fontId="3" fillId="6" borderId="15" xfId="1" applyNumberFormat="1" applyFont="1" applyFill="1" applyBorder="1" applyAlignment="1">
      <alignment horizontal="center" vertical="center" wrapText="1"/>
    </xf>
    <xf numFmtId="4" fontId="3" fillId="6" borderId="14" xfId="1" applyNumberFormat="1" applyFont="1" applyFill="1" applyBorder="1" applyAlignment="1">
      <alignment horizontal="center" vertical="center" wrapText="1"/>
    </xf>
    <xf numFmtId="0" fontId="4" fillId="6" borderId="16" xfId="1" applyFont="1" applyFill="1" applyBorder="1" applyAlignment="1">
      <alignment horizontal="center" vertical="center" wrapText="1"/>
    </xf>
    <xf numFmtId="0" fontId="3" fillId="7" borderId="17" xfId="1" applyFont="1" applyFill="1" applyBorder="1" applyAlignment="1">
      <alignment horizontal="center" vertical="center" wrapText="1"/>
    </xf>
    <xf numFmtId="43" fontId="0" fillId="0" borderId="12" xfId="0" applyNumberFormat="1" applyBorder="1"/>
    <xf numFmtId="43" fontId="0" fillId="0" borderId="18" xfId="0" applyNumberFormat="1" applyBorder="1"/>
    <xf numFmtId="43" fontId="8" fillId="0" borderId="18" xfId="0" applyNumberFormat="1" applyFont="1" applyBorder="1"/>
    <xf numFmtId="164" fontId="7" fillId="5" borderId="19" xfId="1" applyNumberFormat="1" applyFont="1" applyFill="1" applyBorder="1" applyAlignment="1">
      <alignment horizontal="left"/>
    </xf>
    <xf numFmtId="0" fontId="0" fillId="0" borderId="20" xfId="0" applyBorder="1"/>
    <xf numFmtId="0" fontId="0" fillId="0" borderId="21" xfId="0" applyBorder="1"/>
    <xf numFmtId="43" fontId="0" fillId="0" borderId="20" xfId="0" applyNumberFormat="1" applyBorder="1"/>
    <xf numFmtId="43" fontId="8" fillId="0" borderId="21" xfId="0" applyNumberFormat="1" applyFont="1" applyBorder="1"/>
    <xf numFmtId="0" fontId="3" fillId="2" borderId="0" xfId="1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20" xfId="0" applyBorder="1" applyAlignment="1">
      <alignment horizontal="center"/>
    </xf>
    <xf numFmtId="43" fontId="0" fillId="0" borderId="20" xfId="0" applyNumberFormat="1" applyBorder="1" applyAlignment="1">
      <alignment horizontal="center"/>
    </xf>
    <xf numFmtId="43" fontId="0" fillId="0" borderId="18" xfId="0" applyNumberFormat="1" applyBorder="1" applyAlignment="1">
      <alignment horizontal="center"/>
    </xf>
    <xf numFmtId="43" fontId="0" fillId="0" borderId="12" xfId="0" applyNumberFormat="1" applyBorder="1" applyAlignment="1">
      <alignment horizontal="center"/>
    </xf>
    <xf numFmtId="0" fontId="0" fillId="0" borderId="0" xfId="0" applyAlignment="1">
      <alignment horizontal="center"/>
    </xf>
    <xf numFmtId="4" fontId="3" fillId="2" borderId="0" xfId="1" applyNumberFormat="1" applyFont="1" applyFill="1" applyAlignment="1">
      <alignment horizontal="center"/>
    </xf>
    <xf numFmtId="0" fontId="9" fillId="0" borderId="18" xfId="0" applyFont="1" applyBorder="1"/>
    <xf numFmtId="0" fontId="9" fillId="0" borderId="12" xfId="0" applyFont="1" applyBorder="1"/>
    <xf numFmtId="0" fontId="4" fillId="6" borderId="3" xfId="1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/>
    </xf>
    <xf numFmtId="43" fontId="10" fillId="0" borderId="20" xfId="0" applyNumberFormat="1" applyFont="1" applyBorder="1" applyAlignment="1">
      <alignment horizontal="center"/>
    </xf>
    <xf numFmtId="43" fontId="10" fillId="0" borderId="18" xfId="0" applyNumberFormat="1" applyFont="1" applyBorder="1" applyAlignment="1">
      <alignment horizontal="center"/>
    </xf>
    <xf numFmtId="43" fontId="10" fillId="0" borderId="12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16" fontId="9" fillId="0" borderId="12" xfId="0" applyNumberFormat="1" applyFont="1" applyBorder="1"/>
    <xf numFmtId="16" fontId="9" fillId="0" borderId="19" xfId="0" applyNumberFormat="1" applyFont="1" applyBorder="1"/>
    <xf numFmtId="16" fontId="9" fillId="0" borderId="18" xfId="0" applyNumberFormat="1" applyFont="1" applyBorder="1"/>
    <xf numFmtId="0" fontId="9" fillId="0" borderId="20" xfId="0" applyFont="1" applyBorder="1"/>
    <xf numFmtId="43" fontId="9" fillId="0" borderId="12" xfId="0" applyNumberFormat="1" applyFont="1" applyBorder="1"/>
    <xf numFmtId="43" fontId="11" fillId="0" borderId="12" xfId="0" applyNumberFormat="1" applyFont="1" applyBorder="1" applyAlignment="1">
      <alignment horizontal="center"/>
    </xf>
    <xf numFmtId="43" fontId="9" fillId="0" borderId="12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43" fontId="1" fillId="0" borderId="12" xfId="0" applyNumberFormat="1" applyFont="1" applyBorder="1" applyAlignment="1">
      <alignment horizontal="center"/>
    </xf>
    <xf numFmtId="43" fontId="0" fillId="8" borderId="12" xfId="0" applyNumberFormat="1" applyFill="1" applyBorder="1" applyAlignment="1">
      <alignment horizontal="center"/>
    </xf>
    <xf numFmtId="0" fontId="9" fillId="8" borderId="12" xfId="0" applyFont="1" applyFill="1" applyBorder="1" applyAlignment="1">
      <alignment horizontal="center"/>
    </xf>
    <xf numFmtId="43" fontId="9" fillId="8" borderId="12" xfId="0" applyNumberFormat="1" applyFont="1" applyFill="1" applyBorder="1" applyAlignment="1">
      <alignment horizontal="center"/>
    </xf>
    <xf numFmtId="43" fontId="12" fillId="0" borderId="12" xfId="0" applyNumberFormat="1" applyFont="1" applyBorder="1" applyAlignment="1">
      <alignment horizontal="center"/>
    </xf>
    <xf numFmtId="43" fontId="3" fillId="2" borderId="0" xfId="1" applyNumberFormat="1" applyFont="1" applyFill="1" applyAlignment="1">
      <alignment horizontal="center"/>
    </xf>
    <xf numFmtId="43" fontId="0" fillId="2" borderId="0" xfId="0" applyNumberFormat="1" applyFill="1" applyAlignment="1">
      <alignment horizontal="center"/>
    </xf>
    <xf numFmtId="43" fontId="3" fillId="6" borderId="4" xfId="1" applyNumberFormat="1" applyFont="1" applyFill="1" applyBorder="1" applyAlignment="1">
      <alignment horizontal="center" vertical="center" wrapText="1"/>
    </xf>
    <xf numFmtId="43" fontId="3" fillId="6" borderId="15" xfId="1" applyNumberFormat="1" applyFont="1" applyFill="1" applyBorder="1" applyAlignment="1">
      <alignment horizontal="center" vertical="center" wrapText="1"/>
    </xf>
    <xf numFmtId="43" fontId="0" fillId="0" borderId="0" xfId="0" applyNumberFormat="1" applyAlignment="1">
      <alignment horizontal="center"/>
    </xf>
    <xf numFmtId="0" fontId="0" fillId="0" borderId="12" xfId="0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0" borderId="12" xfId="0" applyBorder="1"/>
    <xf numFmtId="0" fontId="11" fillId="0" borderId="0" xfId="0" applyFont="1" applyAlignment="1">
      <alignment horizontal="center"/>
    </xf>
    <xf numFmtId="0" fontId="9" fillId="0" borderId="0" xfId="0" applyFont="1"/>
    <xf numFmtId="43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9" fillId="7" borderId="12" xfId="0" applyFont="1" applyFill="1" applyBorder="1"/>
    <xf numFmtId="43" fontId="9" fillId="7" borderId="12" xfId="0" applyNumberFormat="1" applyFont="1" applyFill="1" applyBorder="1" applyAlignment="1">
      <alignment horizontal="center"/>
    </xf>
    <xf numFmtId="0" fontId="9" fillId="7" borderId="12" xfId="0" applyFont="1" applyFill="1" applyBorder="1" applyAlignment="1">
      <alignment horizontal="center"/>
    </xf>
    <xf numFmtId="0" fontId="11" fillId="7" borderId="12" xfId="0" applyFont="1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2" xfId="0" applyFill="1" applyBorder="1"/>
    <xf numFmtId="43" fontId="9" fillId="7" borderId="12" xfId="0" applyNumberFormat="1" applyFont="1" applyFill="1" applyBorder="1"/>
    <xf numFmtId="43" fontId="0" fillId="7" borderId="12" xfId="0" applyNumberFormat="1" applyFill="1" applyBorder="1"/>
    <xf numFmtId="43" fontId="11" fillId="7" borderId="12" xfId="0" applyNumberFormat="1" applyFont="1" applyFill="1" applyBorder="1" applyAlignment="1">
      <alignment horizontal="center"/>
    </xf>
    <xf numFmtId="16" fontId="9" fillId="7" borderId="12" xfId="0" applyNumberFormat="1" applyFont="1" applyFill="1" applyBorder="1"/>
    <xf numFmtId="43" fontId="0" fillId="7" borderId="12" xfId="0" applyNumberFormat="1" applyFill="1" applyBorder="1" applyAlignment="1">
      <alignment horizontal="center"/>
    </xf>
    <xf numFmtId="0" fontId="0" fillId="0" borderId="22" xfId="0" applyBorder="1"/>
    <xf numFmtId="0" fontId="0" fillId="0" borderId="23" xfId="0" applyBorder="1"/>
    <xf numFmtId="4" fontId="7" fillId="5" borderId="24" xfId="1" applyNumberFormat="1" applyFont="1" applyFill="1" applyBorder="1"/>
    <xf numFmtId="0" fontId="0" fillId="0" borderId="18" xfId="0" applyBorder="1"/>
    <xf numFmtId="4" fontId="7" fillId="5" borderId="25" xfId="1" applyNumberFormat="1" applyFont="1" applyFill="1" applyBorder="1"/>
    <xf numFmtId="43" fontId="11" fillId="0" borderId="18" xfId="0" applyNumberFormat="1" applyFont="1" applyBorder="1" applyAlignment="1">
      <alignment horizontal="center"/>
    </xf>
    <xf numFmtId="43" fontId="9" fillId="0" borderId="18" xfId="0" applyNumberFormat="1" applyFont="1" applyBorder="1"/>
    <xf numFmtId="16" fontId="9" fillId="0" borderId="17" xfId="0" applyNumberFormat="1" applyFont="1" applyBorder="1"/>
    <xf numFmtId="0" fontId="9" fillId="0" borderId="17" xfId="0" applyFont="1" applyBorder="1"/>
    <xf numFmtId="43" fontId="9" fillId="0" borderId="17" xfId="0" applyNumberFormat="1" applyFont="1" applyBorder="1"/>
    <xf numFmtId="43" fontId="11" fillId="0" borderId="26" xfId="0" applyNumberFormat="1" applyFont="1" applyBorder="1" applyAlignment="1">
      <alignment horizontal="center"/>
    </xf>
    <xf numFmtId="43" fontId="9" fillId="0" borderId="17" xfId="0" applyNumberFormat="1" applyFont="1" applyBorder="1" applyAlignment="1">
      <alignment horizontal="center"/>
    </xf>
    <xf numFmtId="43" fontId="0" fillId="0" borderId="17" xfId="0" applyNumberFormat="1" applyBorder="1"/>
    <xf numFmtId="0" fontId="0" fillId="8" borderId="12" xfId="0" applyFill="1" applyBorder="1" applyAlignment="1">
      <alignment horizontal="center"/>
    </xf>
    <xf numFmtId="0" fontId="9" fillId="9" borderId="12" xfId="0" applyFont="1" applyFill="1" applyBorder="1" applyAlignment="1">
      <alignment horizontal="center"/>
    </xf>
    <xf numFmtId="0" fontId="0" fillId="8" borderId="18" xfId="0" applyFill="1" applyBorder="1"/>
    <xf numFmtId="0" fontId="0" fillId="8" borderId="12" xfId="0" applyFill="1" applyBorder="1"/>
    <xf numFmtId="0" fontId="9" fillId="8" borderId="12" xfId="0" applyFont="1" applyFill="1" applyBorder="1"/>
    <xf numFmtId="0" fontId="9" fillId="8" borderId="17" xfId="0" applyFont="1" applyFill="1" applyBorder="1"/>
    <xf numFmtId="43" fontId="9" fillId="8" borderId="12" xfId="0" applyNumberFormat="1" applyFont="1" applyFill="1" applyBorder="1"/>
    <xf numFmtId="16" fontId="0" fillId="0" borderId="12" xfId="0" applyNumberFormat="1" applyBorder="1"/>
    <xf numFmtId="0" fontId="0" fillId="9" borderId="12" xfId="0" applyFill="1" applyBorder="1"/>
    <xf numFmtId="43" fontId="8" fillId="9" borderId="12" xfId="0" applyNumberFormat="1" applyFont="1" applyFill="1" applyBorder="1"/>
    <xf numFmtId="43" fontId="0" fillId="9" borderId="12" xfId="0" applyNumberFormat="1" applyFill="1" applyBorder="1"/>
    <xf numFmtId="43" fontId="11" fillId="9" borderId="18" xfId="0" applyNumberFormat="1" applyFont="1" applyFill="1" applyBorder="1" applyAlignment="1">
      <alignment horizontal="center"/>
    </xf>
    <xf numFmtId="0" fontId="9" fillId="9" borderId="12" xfId="0" applyFont="1" applyFill="1" applyBorder="1"/>
    <xf numFmtId="43" fontId="9" fillId="9" borderId="12" xfId="0" applyNumberFormat="1" applyFont="1" applyFill="1" applyBorder="1"/>
    <xf numFmtId="43" fontId="0" fillId="0" borderId="0" xfId="0" applyNumberFormat="1"/>
    <xf numFmtId="16" fontId="0" fillId="0" borderId="18" xfId="0" applyNumberFormat="1" applyBorder="1"/>
    <xf numFmtId="43" fontId="11" fillId="0" borderId="0" xfId="0" applyNumberFormat="1" applyFont="1" applyAlignment="1">
      <alignment horizontal="center"/>
    </xf>
    <xf numFmtId="43" fontId="9" fillId="0" borderId="18" xfId="0" applyNumberFormat="1" applyFont="1" applyBorder="1" applyAlignment="1">
      <alignment horizontal="center"/>
    </xf>
    <xf numFmtId="43" fontId="3" fillId="6" borderId="5" xfId="1" applyNumberFormat="1" applyFont="1" applyFill="1" applyBorder="1" applyAlignment="1">
      <alignment horizontal="center" vertical="center" wrapText="1"/>
    </xf>
    <xf numFmtId="43" fontId="7" fillId="5" borderId="25" xfId="1" applyNumberFormat="1" applyFont="1" applyFill="1" applyBorder="1"/>
    <xf numFmtId="43" fontId="0" fillId="8" borderId="12" xfId="0" applyNumberFormat="1" applyFill="1" applyBorder="1"/>
    <xf numFmtId="0" fontId="14" fillId="8" borderId="12" xfId="0" applyFont="1" applyFill="1" applyBorder="1"/>
    <xf numFmtId="16" fontId="0" fillId="9" borderId="12" xfId="0" applyNumberFormat="1" applyFill="1" applyBorder="1"/>
    <xf numFmtId="43" fontId="9" fillId="9" borderId="12" xfId="0" applyNumberFormat="1" applyFont="1" applyFill="1" applyBorder="1" applyAlignment="1">
      <alignment horizontal="center"/>
    </xf>
    <xf numFmtId="43" fontId="8" fillId="9" borderId="18" xfId="0" applyNumberFormat="1" applyFont="1" applyFill="1" applyBorder="1"/>
    <xf numFmtId="0" fontId="0" fillId="9" borderId="0" xfId="0" applyFill="1"/>
    <xf numFmtId="43" fontId="0" fillId="9" borderId="0" xfId="0" applyNumberFormat="1" applyFill="1"/>
    <xf numFmtId="43" fontId="11" fillId="9" borderId="0" xfId="0" applyNumberFormat="1" applyFont="1" applyFill="1" applyAlignment="1">
      <alignment horizontal="center"/>
    </xf>
    <xf numFmtId="164" fontId="7" fillId="5" borderId="27" xfId="1" applyNumberFormat="1" applyFont="1" applyFill="1" applyBorder="1" applyAlignment="1">
      <alignment horizontal="left"/>
    </xf>
    <xf numFmtId="0" fontId="0" fillId="0" borderId="28" xfId="0" applyBorder="1"/>
    <xf numFmtId="43" fontId="7" fillId="5" borderId="24" xfId="1" applyNumberFormat="1" applyFont="1" applyFill="1" applyBorder="1"/>
    <xf numFmtId="43" fontId="7" fillId="5" borderId="12" xfId="1" applyNumberFormat="1" applyFont="1" applyFill="1" applyBorder="1"/>
    <xf numFmtId="164" fontId="15" fillId="5" borderId="12" xfId="1" applyNumberFormat="1" applyFont="1" applyFill="1" applyBorder="1" applyAlignment="1">
      <alignment horizontal="left"/>
    </xf>
    <xf numFmtId="16" fontId="0" fillId="0" borderId="12" xfId="0" applyNumberFormat="1" applyBorder="1" applyAlignment="1">
      <alignment horizontal="left"/>
    </xf>
    <xf numFmtId="4" fontId="15" fillId="5" borderId="12" xfId="1" applyNumberFormat="1" applyFont="1" applyFill="1" applyBorder="1"/>
    <xf numFmtId="43" fontId="6" fillId="0" borderId="18" xfId="0" applyNumberFormat="1" applyFont="1" applyBorder="1" applyAlignment="1">
      <alignment horizontal="center"/>
    </xf>
    <xf numFmtId="16" fontId="0" fillId="0" borderId="0" xfId="0" applyNumberFormat="1"/>
    <xf numFmtId="0" fontId="16" fillId="8" borderId="12" xfId="0" applyFont="1" applyFill="1" applyBorder="1"/>
    <xf numFmtId="0" fontId="16" fillId="0" borderId="12" xfId="0" applyFont="1" applyBorder="1"/>
    <xf numFmtId="43" fontId="16" fillId="0" borderId="12" xfId="0" applyNumberFormat="1" applyFont="1" applyBorder="1"/>
    <xf numFmtId="43" fontId="12" fillId="0" borderId="12" xfId="0" applyNumberFormat="1" applyFont="1" applyBorder="1"/>
    <xf numFmtId="0" fontId="12" fillId="0" borderId="12" xfId="0" applyFont="1" applyBorder="1"/>
    <xf numFmtId="43" fontId="9" fillId="0" borderId="12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16" fontId="12" fillId="0" borderId="12" xfId="0" applyNumberFormat="1" applyFont="1" applyBorder="1"/>
    <xf numFmtId="43" fontId="18" fillId="0" borderId="12" xfId="0" applyNumberFormat="1" applyFont="1" applyBorder="1"/>
    <xf numFmtId="0" fontId="17" fillId="0" borderId="12" xfId="0" applyFont="1" applyBorder="1" applyAlignment="1">
      <alignment horizontal="center"/>
    </xf>
    <xf numFmtId="0" fontId="0" fillId="0" borderId="26" xfId="0" applyBorder="1"/>
    <xf numFmtId="0" fontId="0" fillId="0" borderId="17" xfId="0" applyBorder="1"/>
    <xf numFmtId="43" fontId="12" fillId="0" borderId="17" xfId="0" applyNumberFormat="1" applyFont="1" applyBorder="1"/>
    <xf numFmtId="43" fontId="11" fillId="0" borderId="17" xfId="0" applyNumberFormat="1" applyFont="1" applyBorder="1" applyAlignment="1">
      <alignment horizontal="center"/>
    </xf>
    <xf numFmtId="43" fontId="8" fillId="0" borderId="17" xfId="0" applyNumberFormat="1" applyFont="1" applyBorder="1"/>
    <xf numFmtId="43" fontId="16" fillId="0" borderId="12" xfId="0" applyNumberFormat="1" applyFont="1" applyBorder="1" applyAlignment="1">
      <alignment horizontal="center"/>
    </xf>
    <xf numFmtId="16" fontId="0" fillId="9" borderId="18" xfId="0" applyNumberFormat="1" applyFill="1" applyBorder="1"/>
    <xf numFmtId="0" fontId="0" fillId="9" borderId="18" xfId="0" applyFill="1" applyBorder="1"/>
    <xf numFmtId="43" fontId="0" fillId="9" borderId="18" xfId="0" applyNumberFormat="1" applyFill="1" applyBorder="1"/>
    <xf numFmtId="43" fontId="9" fillId="9" borderId="18" xfId="0" applyNumberFormat="1" applyFont="1" applyFill="1" applyBorder="1" applyAlignment="1">
      <alignment horizontal="center"/>
    </xf>
    <xf numFmtId="164" fontId="7" fillId="5" borderId="12" xfId="1" applyNumberFormat="1" applyFont="1" applyFill="1" applyBorder="1" applyAlignment="1">
      <alignment horizontal="left"/>
    </xf>
    <xf numFmtId="16" fontId="0" fillId="9" borderId="17" xfId="0" applyNumberFormat="1" applyFill="1" applyBorder="1"/>
    <xf numFmtId="0" fontId="0" fillId="9" borderId="17" xfId="0" applyFill="1" applyBorder="1"/>
    <xf numFmtId="43" fontId="0" fillId="9" borderId="17" xfId="0" applyNumberFormat="1" applyFill="1" applyBorder="1"/>
    <xf numFmtId="43" fontId="9" fillId="9" borderId="17" xfId="0" applyNumberFormat="1" applyFont="1" applyFill="1" applyBorder="1"/>
    <xf numFmtId="43" fontId="11" fillId="9" borderId="26" xfId="0" applyNumberFormat="1" applyFont="1" applyFill="1" applyBorder="1" applyAlignment="1">
      <alignment horizontal="center"/>
    </xf>
    <xf numFmtId="43" fontId="9" fillId="9" borderId="17" xfId="0" applyNumberFormat="1" applyFont="1" applyFill="1" applyBorder="1" applyAlignment="1">
      <alignment horizontal="center"/>
    </xf>
    <xf numFmtId="43" fontId="8" fillId="9" borderId="26" xfId="0" applyNumberFormat="1" applyFont="1" applyFill="1" applyBorder="1"/>
    <xf numFmtId="164" fontId="7" fillId="5" borderId="18" xfId="1" applyNumberFormat="1" applyFont="1" applyFill="1" applyBorder="1" applyAlignment="1">
      <alignment horizontal="left"/>
    </xf>
    <xf numFmtId="43" fontId="7" fillId="5" borderId="18" xfId="1" applyNumberFormat="1" applyFont="1" applyFill="1" applyBorder="1"/>
    <xf numFmtId="43" fontId="15" fillId="5" borderId="18" xfId="1" applyNumberFormat="1" applyFont="1" applyFill="1" applyBorder="1"/>
    <xf numFmtId="4" fontId="15" fillId="5" borderId="18" xfId="1" applyNumberFormat="1" applyFont="1" applyFill="1" applyBorder="1"/>
    <xf numFmtId="43" fontId="15" fillId="5" borderId="12" xfId="1" applyNumberFormat="1" applyFont="1" applyFill="1" applyBorder="1"/>
    <xf numFmtId="164" fontId="19" fillId="0" borderId="12" xfId="1" applyNumberFormat="1" applyFont="1" applyBorder="1" applyAlignment="1">
      <alignment horizontal="left"/>
    </xf>
    <xf numFmtId="43" fontId="19" fillId="0" borderId="12" xfId="1" applyNumberFormat="1" applyFont="1" applyBorder="1"/>
    <xf numFmtId="43" fontId="17" fillId="0" borderId="12" xfId="1" applyNumberFormat="1" applyFont="1" applyBorder="1"/>
    <xf numFmtId="4" fontId="17" fillId="0" borderId="12" xfId="1" applyNumberFormat="1" applyFont="1" applyBorder="1"/>
    <xf numFmtId="43" fontId="19" fillId="0" borderId="12" xfId="0" applyNumberFormat="1" applyFont="1" applyBorder="1" applyAlignment="1">
      <alignment horizontal="center"/>
    </xf>
    <xf numFmtId="43" fontId="17" fillId="0" borderId="12" xfId="0" applyNumberFormat="1" applyFont="1" applyBorder="1"/>
    <xf numFmtId="0" fontId="17" fillId="0" borderId="12" xfId="0" applyFont="1" applyBorder="1"/>
    <xf numFmtId="0" fontId="9" fillId="0" borderId="12" xfId="0" applyFont="1" applyBorder="1" applyAlignment="1">
      <alignment horizontal="left"/>
    </xf>
    <xf numFmtId="164" fontId="19" fillId="0" borderId="18" xfId="1" applyNumberFormat="1" applyFont="1" applyBorder="1" applyAlignment="1">
      <alignment horizontal="left"/>
    </xf>
    <xf numFmtId="0" fontId="17" fillId="0" borderId="18" xfId="0" applyFont="1" applyBorder="1"/>
    <xf numFmtId="43" fontId="19" fillId="0" borderId="18" xfId="1" applyNumberFormat="1" applyFont="1" applyBorder="1"/>
    <xf numFmtId="43" fontId="17" fillId="0" borderId="18" xfId="1" applyNumberFormat="1" applyFont="1" applyBorder="1"/>
    <xf numFmtId="4" fontId="17" fillId="0" borderId="18" xfId="1" applyNumberFormat="1" applyFont="1" applyBorder="1"/>
    <xf numFmtId="43" fontId="17" fillId="0" borderId="18" xfId="0" applyNumberFormat="1" applyFont="1" applyBorder="1"/>
    <xf numFmtId="164" fontId="17" fillId="0" borderId="12" xfId="1" applyNumberFormat="1" applyFont="1" applyBorder="1" applyAlignment="1">
      <alignment horizontal="left"/>
    </xf>
    <xf numFmtId="43" fontId="13" fillId="0" borderId="18" xfId="0" applyNumberFormat="1" applyFont="1" applyBorder="1" applyAlignment="1">
      <alignment horizontal="center"/>
    </xf>
    <xf numFmtId="164" fontId="17" fillId="0" borderId="18" xfId="1" applyNumberFormat="1" applyFont="1" applyBorder="1" applyAlignment="1">
      <alignment horizontal="left"/>
    </xf>
    <xf numFmtId="0" fontId="0" fillId="0" borderId="18" xfId="0" applyBorder="1" applyAlignment="1">
      <alignment horizontal="center"/>
    </xf>
    <xf numFmtId="16" fontId="0" fillId="0" borderId="26" xfId="0" applyNumberFormat="1" applyBorder="1"/>
    <xf numFmtId="43" fontId="0" fillId="0" borderId="26" xfId="0" applyNumberFormat="1" applyBorder="1"/>
    <xf numFmtId="43" fontId="9" fillId="0" borderId="26" xfId="0" applyNumberFormat="1" applyFont="1" applyBorder="1" applyAlignment="1">
      <alignment horizontal="center"/>
    </xf>
    <xf numFmtId="16" fontId="0" fillId="9" borderId="26" xfId="0" applyNumberFormat="1" applyFill="1" applyBorder="1"/>
    <xf numFmtId="0" fontId="0" fillId="9" borderId="26" xfId="0" applyFill="1" applyBorder="1"/>
    <xf numFmtId="43" fontId="0" fillId="9" borderId="26" xfId="0" applyNumberFormat="1" applyFill="1" applyBorder="1"/>
    <xf numFmtId="43" fontId="9" fillId="9" borderId="26" xfId="0" applyNumberFormat="1" applyFont="1" applyFill="1" applyBorder="1"/>
    <xf numFmtId="43" fontId="9" fillId="9" borderId="26" xfId="0" applyNumberFormat="1" applyFont="1" applyFill="1" applyBorder="1" applyAlignment="1">
      <alignment horizontal="center"/>
    </xf>
    <xf numFmtId="43" fontId="9" fillId="10" borderId="12" xfId="0" applyNumberFormat="1" applyFont="1" applyFill="1" applyBorder="1" applyAlignment="1">
      <alignment horizontal="center"/>
    </xf>
    <xf numFmtId="4" fontId="7" fillId="5" borderId="12" xfId="1" applyNumberFormat="1" applyFont="1" applyFill="1" applyBorder="1"/>
    <xf numFmtId="43" fontId="13" fillId="0" borderId="12" xfId="0" applyNumberFormat="1" applyFont="1" applyBorder="1" applyAlignment="1">
      <alignment horizontal="center"/>
    </xf>
    <xf numFmtId="43" fontId="11" fillId="11" borderId="18" xfId="0" applyNumberFormat="1" applyFont="1" applyFill="1" applyBorder="1" applyAlignment="1">
      <alignment horizontal="center"/>
    </xf>
    <xf numFmtId="0" fontId="14" fillId="11" borderId="12" xfId="0" applyFont="1" applyFill="1" applyBorder="1"/>
    <xf numFmtId="43" fontId="12" fillId="11" borderId="12" xfId="0" applyNumberFormat="1" applyFont="1" applyFill="1" applyBorder="1"/>
    <xf numFmtId="43" fontId="9" fillId="11" borderId="12" xfId="0" applyNumberFormat="1" applyFont="1" applyFill="1" applyBorder="1"/>
    <xf numFmtId="0" fontId="21" fillId="11" borderId="12" xfId="0" applyFont="1" applyFill="1" applyBorder="1" applyAlignment="1">
      <alignment horizontal="center"/>
    </xf>
    <xf numFmtId="0" fontId="9" fillId="11" borderId="12" xfId="0" applyFont="1" applyFill="1" applyBorder="1"/>
    <xf numFmtId="43" fontId="20" fillId="11" borderId="12" xfId="0" applyNumberFormat="1" applyFont="1" applyFill="1" applyBorder="1" applyAlignment="1">
      <alignment horizontal="center"/>
    </xf>
    <xf numFmtId="0" fontId="9" fillId="11" borderId="12" xfId="0" applyFont="1" applyFill="1" applyBorder="1" applyAlignment="1">
      <alignment horizontal="center"/>
    </xf>
    <xf numFmtId="0" fontId="13" fillId="11" borderId="12" xfId="0" applyFont="1" applyFill="1" applyBorder="1" applyAlignment="1">
      <alignment horizontal="center"/>
    </xf>
    <xf numFmtId="43" fontId="20" fillId="0" borderId="12" xfId="0" applyNumberFormat="1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43" fontId="0" fillId="0" borderId="23" xfId="0" applyNumberFormat="1" applyBorder="1"/>
    <xf numFmtId="16" fontId="0" fillId="0" borderId="17" xfId="0" applyNumberFormat="1" applyBorder="1"/>
    <xf numFmtId="43" fontId="23" fillId="7" borderId="12" xfId="0" applyNumberFormat="1" applyFont="1" applyFill="1" applyBorder="1" applyAlignment="1">
      <alignment horizontal="center"/>
    </xf>
  </cellXfs>
  <cellStyles count="2">
    <cellStyle name="Normal" xfId="0" builtinId="0"/>
    <cellStyle name="Normal 3" xfId="1" xr:uid="{A532C906-94CF-47D8-941A-494A242EE8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7399B-47C6-41CC-9265-DAE3C66B6B10}">
  <dimension ref="A1:M64"/>
  <sheetViews>
    <sheetView topLeftCell="A25" workbookViewId="0">
      <selection activeCell="B31" sqref="B31"/>
    </sheetView>
  </sheetViews>
  <sheetFormatPr defaultRowHeight="15" x14ac:dyDescent="0.25"/>
  <cols>
    <col min="1" max="1" width="7.42578125" customWidth="1"/>
    <col min="2" max="2" width="45" customWidth="1"/>
    <col min="3" max="3" width="44.140625" customWidth="1"/>
    <col min="4" max="4" width="16.42578125" style="70" customWidth="1"/>
    <col min="5" max="5" width="15.5703125" style="42" customWidth="1"/>
    <col min="6" max="6" width="14.7109375" style="42" customWidth="1"/>
    <col min="7" max="7" width="16.140625" style="42" customWidth="1"/>
    <col min="8" max="8" width="10.5703125" style="51" customWidth="1"/>
    <col min="9" max="9" width="13.28515625" style="42" customWidth="1"/>
    <col min="10" max="10" width="12.7109375" style="42" customWidth="1"/>
    <col min="11" max="11" width="17" customWidth="1"/>
    <col min="12" max="12" width="10.5703125" customWidth="1"/>
    <col min="13" max="13" width="12.85546875" customWidth="1"/>
  </cols>
  <sheetData>
    <row r="1" spans="1:13" x14ac:dyDescent="0.25">
      <c r="A1" s="1" t="s">
        <v>0</v>
      </c>
      <c r="B1" s="2"/>
      <c r="C1" s="3"/>
      <c r="D1" s="66"/>
      <c r="E1" s="43"/>
      <c r="F1" s="43"/>
      <c r="G1" s="43"/>
      <c r="H1" s="4"/>
      <c r="I1" s="36"/>
      <c r="J1" s="36"/>
      <c r="K1" s="5"/>
    </row>
    <row r="2" spans="1:13" x14ac:dyDescent="0.25">
      <c r="A2" s="1" t="s">
        <v>1</v>
      </c>
      <c r="B2" s="2"/>
      <c r="C2" s="3"/>
      <c r="D2" s="66"/>
      <c r="E2" s="43"/>
      <c r="F2" s="43"/>
      <c r="G2" s="43"/>
      <c r="H2" s="4"/>
      <c r="I2" s="36"/>
      <c r="J2" s="36"/>
      <c r="K2" s="5"/>
    </row>
    <row r="3" spans="1:13" x14ac:dyDescent="0.25">
      <c r="A3" s="1"/>
      <c r="B3" s="2"/>
      <c r="C3" s="3"/>
      <c r="D3" s="66"/>
      <c r="E3" s="43"/>
      <c r="F3" s="43"/>
      <c r="G3" s="43"/>
      <c r="H3" s="4"/>
      <c r="I3" s="36"/>
      <c r="J3" s="36"/>
      <c r="K3" s="5"/>
    </row>
    <row r="4" spans="1:13" x14ac:dyDescent="0.25">
      <c r="A4" s="6"/>
      <c r="B4" s="2" t="s">
        <v>2</v>
      </c>
      <c r="C4" s="3"/>
      <c r="D4" s="66"/>
      <c r="E4" s="43"/>
      <c r="F4" s="43"/>
      <c r="G4" s="43"/>
      <c r="H4" s="4"/>
      <c r="I4" s="36"/>
      <c r="J4" s="36"/>
      <c r="K4" s="5"/>
    </row>
    <row r="5" spans="1:13" ht="15.75" thickBot="1" x14ac:dyDescent="0.3">
      <c r="A5" s="7"/>
      <c r="B5" s="8" t="s">
        <v>3</v>
      </c>
      <c r="C5" s="5"/>
      <c r="D5" s="67"/>
      <c r="E5" s="37"/>
      <c r="F5" s="37"/>
      <c r="G5" s="37"/>
      <c r="H5" s="9"/>
      <c r="I5" s="37"/>
      <c r="J5" s="37"/>
      <c r="K5" s="5"/>
    </row>
    <row r="6" spans="1:13" ht="25.5" x14ac:dyDescent="0.25">
      <c r="A6" s="10" t="s">
        <v>4</v>
      </c>
      <c r="B6" s="11" t="s">
        <v>5</v>
      </c>
      <c r="C6" s="12" t="s">
        <v>6</v>
      </c>
      <c r="D6" s="68"/>
      <c r="E6" s="13"/>
      <c r="F6" s="14"/>
      <c r="G6" s="15" t="s">
        <v>7</v>
      </c>
      <c r="H6" s="46" t="s">
        <v>8</v>
      </c>
      <c r="I6" s="16" t="s">
        <v>9</v>
      </c>
      <c r="J6" s="16" t="s">
        <v>10</v>
      </c>
      <c r="K6" s="16" t="s">
        <v>9</v>
      </c>
      <c r="L6" s="16" t="s">
        <v>10</v>
      </c>
      <c r="M6" s="17"/>
    </row>
    <row r="7" spans="1:13" ht="15.75" thickBot="1" x14ac:dyDescent="0.3">
      <c r="A7" s="21"/>
      <c r="B7" s="22"/>
      <c r="C7" s="23"/>
      <c r="D7" s="69" t="s">
        <v>11</v>
      </c>
      <c r="E7" s="24" t="s">
        <v>12</v>
      </c>
      <c r="F7" s="24" t="s">
        <v>13</v>
      </c>
      <c r="G7" s="25"/>
      <c r="H7" s="26"/>
      <c r="I7" s="27" t="s">
        <v>14</v>
      </c>
      <c r="J7" s="27" t="s">
        <v>14</v>
      </c>
      <c r="K7" s="18" t="s">
        <v>15</v>
      </c>
      <c r="L7" s="18" t="s">
        <v>15</v>
      </c>
      <c r="M7" s="19" t="s">
        <v>16</v>
      </c>
    </row>
    <row r="8" spans="1:13" ht="15.75" thickBot="1" x14ac:dyDescent="0.3">
      <c r="A8" s="31" t="s">
        <v>17</v>
      </c>
      <c r="B8" s="32"/>
      <c r="C8" s="32"/>
      <c r="D8" s="91">
        <f>SUM(D9:D1017)</f>
        <v>1358400</v>
      </c>
      <c r="E8" s="91">
        <f>SUM(E9:E15)</f>
        <v>366000</v>
      </c>
      <c r="F8" s="91">
        <f>SUM(F9:F517)</f>
        <v>790600</v>
      </c>
      <c r="G8" s="91">
        <f>SUM(D8:F8)</f>
        <v>2515000</v>
      </c>
      <c r="H8" s="47"/>
      <c r="I8" s="38"/>
      <c r="J8" s="38"/>
      <c r="K8" s="32"/>
      <c r="L8" s="32"/>
      <c r="M8" s="33"/>
    </row>
    <row r="9" spans="1:13" ht="15.75" thickBot="1" x14ac:dyDescent="0.3">
      <c r="A9" s="53">
        <v>45658</v>
      </c>
      <c r="B9" s="55" t="s">
        <v>20</v>
      </c>
      <c r="C9" s="55" t="s">
        <v>18</v>
      </c>
      <c r="D9" s="34"/>
      <c r="E9" s="34">
        <v>94500</v>
      </c>
      <c r="F9" s="34"/>
      <c r="G9" s="34">
        <v>94500</v>
      </c>
      <c r="H9" s="48" t="s">
        <v>29</v>
      </c>
      <c r="I9" s="39">
        <v>47250</v>
      </c>
      <c r="J9" s="39" t="s">
        <v>19</v>
      </c>
      <c r="K9" s="34">
        <v>47250</v>
      </c>
      <c r="L9" s="34" t="s">
        <v>19</v>
      </c>
      <c r="M9" s="35">
        <f t="shared" ref="M9:M63" si="0">SUM(G9-I9-K9)</f>
        <v>0</v>
      </c>
    </row>
    <row r="10" spans="1:13" x14ac:dyDescent="0.25">
      <c r="A10" s="54">
        <v>45663</v>
      </c>
      <c r="B10" s="44" t="s">
        <v>21</v>
      </c>
      <c r="C10" s="44" t="s">
        <v>18</v>
      </c>
      <c r="D10" s="29"/>
      <c r="E10" s="29">
        <v>79500</v>
      </c>
      <c r="F10" s="29"/>
      <c r="G10" s="29">
        <v>79500</v>
      </c>
      <c r="H10" s="49" t="s">
        <v>29</v>
      </c>
      <c r="I10" s="40">
        <v>47700</v>
      </c>
      <c r="J10" s="40" t="s">
        <v>111</v>
      </c>
      <c r="K10" s="29">
        <v>31800</v>
      </c>
      <c r="L10" s="29" t="s">
        <v>239</v>
      </c>
      <c r="M10" s="30">
        <f t="shared" si="0"/>
        <v>0</v>
      </c>
    </row>
    <row r="11" spans="1:13" x14ac:dyDescent="0.25">
      <c r="A11" s="52">
        <v>45664</v>
      </c>
      <c r="B11" s="45" t="s">
        <v>22</v>
      </c>
      <c r="C11" s="45" t="s">
        <v>23</v>
      </c>
      <c r="D11" s="28"/>
      <c r="E11" s="28">
        <v>30000</v>
      </c>
      <c r="F11" s="28"/>
      <c r="G11" s="28">
        <v>30000</v>
      </c>
      <c r="H11" s="50" t="s">
        <v>29</v>
      </c>
      <c r="I11" s="41">
        <v>15000</v>
      </c>
      <c r="J11" s="41" t="s">
        <v>150</v>
      </c>
      <c r="K11" s="28">
        <v>15000</v>
      </c>
      <c r="L11" s="28" t="s">
        <v>279</v>
      </c>
      <c r="M11" s="20">
        <f t="shared" si="0"/>
        <v>0</v>
      </c>
    </row>
    <row r="12" spans="1:13" x14ac:dyDescent="0.25">
      <c r="A12" s="52">
        <v>45664</v>
      </c>
      <c r="B12" s="45" t="s">
        <v>24</v>
      </c>
      <c r="C12" s="45" t="s">
        <v>23</v>
      </c>
      <c r="D12" s="28"/>
      <c r="E12" s="28">
        <v>30000</v>
      </c>
      <c r="F12" s="28"/>
      <c r="G12" s="28">
        <v>30000</v>
      </c>
      <c r="H12" s="50" t="s">
        <v>29</v>
      </c>
      <c r="I12" s="41">
        <v>15000</v>
      </c>
      <c r="J12" s="41" t="s">
        <v>149</v>
      </c>
      <c r="K12" s="28">
        <v>15000</v>
      </c>
      <c r="L12" s="28" t="s">
        <v>278</v>
      </c>
      <c r="M12" s="20">
        <f t="shared" si="0"/>
        <v>0</v>
      </c>
    </row>
    <row r="13" spans="1:13" x14ac:dyDescent="0.25">
      <c r="A13" s="52">
        <v>45664</v>
      </c>
      <c r="B13" s="45" t="s">
        <v>267</v>
      </c>
      <c r="C13" s="45" t="s">
        <v>25</v>
      </c>
      <c r="D13" s="28"/>
      <c r="E13" s="28">
        <v>57000</v>
      </c>
      <c r="F13" s="28"/>
      <c r="G13" s="28">
        <v>57000</v>
      </c>
      <c r="H13" s="50" t="s">
        <v>29</v>
      </c>
      <c r="I13" s="41">
        <v>28500</v>
      </c>
      <c r="J13" s="41" t="s">
        <v>148</v>
      </c>
      <c r="K13" s="28">
        <v>28500</v>
      </c>
      <c r="L13" s="28" t="s">
        <v>280</v>
      </c>
      <c r="M13" s="20">
        <f t="shared" si="0"/>
        <v>0</v>
      </c>
    </row>
    <row r="14" spans="1:13" x14ac:dyDescent="0.25">
      <c r="A14" s="52">
        <v>45664</v>
      </c>
      <c r="B14" s="45" t="s">
        <v>26</v>
      </c>
      <c r="C14" s="45" t="s">
        <v>25</v>
      </c>
      <c r="D14" s="28"/>
      <c r="E14" s="28">
        <v>57000</v>
      </c>
      <c r="F14" s="28"/>
      <c r="G14" s="28">
        <v>57000</v>
      </c>
      <c r="H14" s="50" t="s">
        <v>29</v>
      </c>
      <c r="I14" s="41">
        <v>28500</v>
      </c>
      <c r="J14" s="41" t="s">
        <v>151</v>
      </c>
      <c r="K14" s="28">
        <v>28500</v>
      </c>
      <c r="L14" s="28" t="s">
        <v>281</v>
      </c>
      <c r="M14" s="20">
        <f t="shared" si="0"/>
        <v>0</v>
      </c>
    </row>
    <row r="15" spans="1:13" x14ac:dyDescent="0.25">
      <c r="A15" s="52">
        <v>45670</v>
      </c>
      <c r="B15" s="45" t="s">
        <v>27</v>
      </c>
      <c r="C15" s="45" t="s">
        <v>28</v>
      </c>
      <c r="D15" s="28"/>
      <c r="E15" s="28">
        <v>18000</v>
      </c>
      <c r="F15" s="28"/>
      <c r="G15" s="28">
        <v>18000</v>
      </c>
      <c r="H15" s="50" t="s">
        <v>29</v>
      </c>
      <c r="I15" s="62"/>
      <c r="J15" s="62"/>
      <c r="K15" s="28">
        <v>18000</v>
      </c>
      <c r="L15" s="28" t="s">
        <v>984</v>
      </c>
      <c r="M15" s="20">
        <f t="shared" si="0"/>
        <v>0</v>
      </c>
    </row>
    <row r="16" spans="1:13" x14ac:dyDescent="0.25">
      <c r="A16" s="52">
        <v>45670</v>
      </c>
      <c r="B16" s="45" t="s">
        <v>30</v>
      </c>
      <c r="C16" s="45" t="s">
        <v>18</v>
      </c>
      <c r="D16" s="28"/>
      <c r="E16" s="28">
        <v>78500</v>
      </c>
      <c r="F16" s="28"/>
      <c r="G16" s="28">
        <v>78500</v>
      </c>
      <c r="H16" s="50" t="s">
        <v>29</v>
      </c>
      <c r="I16" s="41">
        <v>31400</v>
      </c>
      <c r="J16" s="41" t="s">
        <v>65</v>
      </c>
      <c r="K16" s="28">
        <v>47100</v>
      </c>
      <c r="L16" s="28" t="s">
        <v>985</v>
      </c>
      <c r="M16" s="20">
        <f t="shared" si="0"/>
        <v>0</v>
      </c>
    </row>
    <row r="17" spans="1:13" x14ac:dyDescent="0.25">
      <c r="A17" s="52">
        <v>45677</v>
      </c>
      <c r="B17" s="45" t="s">
        <v>66</v>
      </c>
      <c r="C17" s="45" t="s">
        <v>68</v>
      </c>
      <c r="D17" s="56"/>
      <c r="E17" s="28">
        <v>500</v>
      </c>
      <c r="F17" s="28"/>
      <c r="G17" s="28">
        <v>500</v>
      </c>
      <c r="H17" s="57" t="s">
        <v>29</v>
      </c>
      <c r="I17" s="64"/>
      <c r="J17" s="64"/>
      <c r="K17" s="56">
        <v>500</v>
      </c>
      <c r="L17" s="56" t="s">
        <v>69</v>
      </c>
      <c r="M17" s="56">
        <f t="shared" si="0"/>
        <v>0</v>
      </c>
    </row>
    <row r="18" spans="1:13" x14ac:dyDescent="0.25">
      <c r="A18" s="52">
        <v>45677</v>
      </c>
      <c r="B18" s="45" t="s">
        <v>67</v>
      </c>
      <c r="C18" s="45" t="s">
        <v>70</v>
      </c>
      <c r="D18" s="56"/>
      <c r="E18" s="28">
        <v>750</v>
      </c>
      <c r="F18" s="28"/>
      <c r="G18" s="28">
        <v>750</v>
      </c>
      <c r="H18" s="57" t="s">
        <v>29</v>
      </c>
      <c r="I18" s="64"/>
      <c r="J18" s="64"/>
      <c r="K18" s="56">
        <v>750</v>
      </c>
      <c r="L18" s="56" t="s">
        <v>71</v>
      </c>
      <c r="M18" s="56">
        <f t="shared" si="0"/>
        <v>0</v>
      </c>
    </row>
    <row r="19" spans="1:13" x14ac:dyDescent="0.25">
      <c r="A19" s="78"/>
      <c r="B19" s="78"/>
      <c r="C19" s="78"/>
      <c r="D19" s="84"/>
      <c r="E19" s="85"/>
      <c r="F19" s="85"/>
      <c r="G19" s="85"/>
      <c r="H19" s="86"/>
      <c r="I19" s="79"/>
      <c r="J19" s="79"/>
      <c r="K19" s="84"/>
      <c r="L19" s="84"/>
      <c r="M19" s="84">
        <f t="shared" si="0"/>
        <v>0</v>
      </c>
    </row>
    <row r="20" spans="1:13" x14ac:dyDescent="0.25">
      <c r="A20" s="52">
        <v>45663</v>
      </c>
      <c r="B20" s="45" t="s">
        <v>31</v>
      </c>
      <c r="C20" s="45" t="s">
        <v>32</v>
      </c>
      <c r="D20" s="58"/>
      <c r="E20" s="41"/>
      <c r="F20" s="41">
        <v>25500</v>
      </c>
      <c r="G20" s="41">
        <v>25500</v>
      </c>
      <c r="H20" s="57" t="s">
        <v>29</v>
      </c>
      <c r="I20" s="64"/>
      <c r="J20" s="64"/>
      <c r="K20" s="56">
        <v>25500</v>
      </c>
      <c r="L20" s="56" t="s">
        <v>184</v>
      </c>
      <c r="M20" s="56">
        <f t="shared" si="0"/>
        <v>0</v>
      </c>
    </row>
    <row r="21" spans="1:13" x14ac:dyDescent="0.25">
      <c r="A21" s="52">
        <v>45663</v>
      </c>
      <c r="B21" s="45" t="s">
        <v>33</v>
      </c>
      <c r="C21" s="45" t="s">
        <v>34</v>
      </c>
      <c r="D21" s="58"/>
      <c r="E21" s="41"/>
      <c r="F21" s="41">
        <v>12500</v>
      </c>
      <c r="G21" s="41">
        <v>12500</v>
      </c>
      <c r="H21" s="57" t="s">
        <v>29</v>
      </c>
      <c r="I21" s="64"/>
      <c r="J21" s="64"/>
      <c r="K21" s="56">
        <v>12500</v>
      </c>
      <c r="L21" s="56" t="s">
        <v>185</v>
      </c>
      <c r="M21" s="56">
        <f t="shared" si="0"/>
        <v>0</v>
      </c>
    </row>
    <row r="22" spans="1:13" x14ac:dyDescent="0.25">
      <c r="A22" s="52">
        <v>45663</v>
      </c>
      <c r="B22" s="45" t="s">
        <v>35</v>
      </c>
      <c r="C22" s="45" t="s">
        <v>36</v>
      </c>
      <c r="D22" s="58"/>
      <c r="E22" s="41"/>
      <c r="F22" s="41">
        <v>2500</v>
      </c>
      <c r="G22" s="41">
        <v>2500</v>
      </c>
      <c r="H22" s="57" t="s">
        <v>29</v>
      </c>
      <c r="I22" s="64"/>
      <c r="J22" s="64"/>
      <c r="K22" s="56">
        <v>2500</v>
      </c>
      <c r="L22" s="56" t="s">
        <v>186</v>
      </c>
      <c r="M22" s="56">
        <f t="shared" si="0"/>
        <v>0</v>
      </c>
    </row>
    <row r="23" spans="1:13" x14ac:dyDescent="0.25">
      <c r="A23" s="52">
        <v>45663</v>
      </c>
      <c r="B23" s="45" t="s">
        <v>37</v>
      </c>
      <c r="C23" s="45" t="s">
        <v>38</v>
      </c>
      <c r="D23" s="58"/>
      <c r="E23" s="41"/>
      <c r="F23" s="41">
        <v>20000</v>
      </c>
      <c r="G23" s="41">
        <v>20000</v>
      </c>
      <c r="H23" s="57" t="s">
        <v>29</v>
      </c>
      <c r="I23" s="58">
        <v>10000</v>
      </c>
      <c r="J23" s="58" t="s">
        <v>39</v>
      </c>
      <c r="K23" s="56">
        <v>10000</v>
      </c>
      <c r="L23" s="56" t="s">
        <v>466</v>
      </c>
      <c r="M23" s="56">
        <f t="shared" si="0"/>
        <v>0</v>
      </c>
    </row>
    <row r="24" spans="1:13" x14ac:dyDescent="0.25">
      <c r="A24" s="52">
        <v>45664</v>
      </c>
      <c r="B24" s="45" t="s">
        <v>41</v>
      </c>
      <c r="C24" s="45" t="s">
        <v>40</v>
      </c>
      <c r="D24" s="58"/>
      <c r="E24" s="41"/>
      <c r="F24" s="41">
        <v>2000</v>
      </c>
      <c r="G24" s="41">
        <v>2000</v>
      </c>
      <c r="H24" s="60" t="s">
        <v>29</v>
      </c>
      <c r="I24" s="103"/>
      <c r="J24" s="103"/>
      <c r="K24" s="56">
        <v>2000</v>
      </c>
      <c r="L24" s="56" t="s">
        <v>44</v>
      </c>
      <c r="M24" s="56">
        <f t="shared" si="0"/>
        <v>0</v>
      </c>
    </row>
    <row r="25" spans="1:13" x14ac:dyDescent="0.25">
      <c r="A25" s="52">
        <v>45664</v>
      </c>
      <c r="B25" s="45" t="s">
        <v>42</v>
      </c>
      <c r="C25" s="45" t="s">
        <v>43</v>
      </c>
      <c r="D25" s="58"/>
      <c r="E25" s="41"/>
      <c r="F25" s="41">
        <v>28500</v>
      </c>
      <c r="G25" s="41">
        <v>28500</v>
      </c>
      <c r="H25" s="60" t="s">
        <v>29</v>
      </c>
      <c r="I25" s="63"/>
      <c r="J25" s="63"/>
      <c r="K25" s="58">
        <v>28500</v>
      </c>
      <c r="L25" s="56" t="s">
        <v>44</v>
      </c>
      <c r="M25" s="56">
        <f t="shared" si="0"/>
        <v>0</v>
      </c>
    </row>
    <row r="26" spans="1:13" x14ac:dyDescent="0.25">
      <c r="A26" s="52">
        <v>45664</v>
      </c>
      <c r="B26" s="45" t="s">
        <v>45</v>
      </c>
      <c r="C26" s="45" t="s">
        <v>46</v>
      </c>
      <c r="D26" s="58"/>
      <c r="E26" s="41"/>
      <c r="F26" s="41">
        <v>600</v>
      </c>
      <c r="G26" s="41">
        <v>600</v>
      </c>
      <c r="H26" s="60" t="s">
        <v>29</v>
      </c>
      <c r="I26" s="63"/>
      <c r="J26" s="63"/>
      <c r="K26" s="56">
        <v>600</v>
      </c>
      <c r="L26" s="56" t="s">
        <v>187</v>
      </c>
      <c r="M26" s="56">
        <f t="shared" si="0"/>
        <v>0</v>
      </c>
    </row>
    <row r="27" spans="1:13" x14ac:dyDescent="0.25">
      <c r="A27" s="52">
        <v>45666</v>
      </c>
      <c r="B27" s="45" t="s">
        <v>47</v>
      </c>
      <c r="C27" s="45" t="s">
        <v>34</v>
      </c>
      <c r="D27" s="58"/>
      <c r="E27" s="41"/>
      <c r="F27" s="41">
        <v>12500</v>
      </c>
      <c r="G27" s="41">
        <v>12500</v>
      </c>
      <c r="H27" s="60" t="s">
        <v>29</v>
      </c>
      <c r="I27" s="63"/>
      <c r="J27" s="63"/>
      <c r="K27" s="56">
        <v>12500</v>
      </c>
      <c r="L27" s="56" t="s">
        <v>48</v>
      </c>
      <c r="M27" s="56">
        <f t="shared" si="0"/>
        <v>0</v>
      </c>
    </row>
    <row r="28" spans="1:13" x14ac:dyDescent="0.25">
      <c r="A28" s="52">
        <v>45666</v>
      </c>
      <c r="B28" s="45" t="s">
        <v>50</v>
      </c>
      <c r="C28" s="45" t="s">
        <v>49</v>
      </c>
      <c r="D28" s="58"/>
      <c r="E28" s="41"/>
      <c r="F28" s="41">
        <v>15500</v>
      </c>
      <c r="G28" s="41">
        <v>15500</v>
      </c>
      <c r="H28" s="60" t="s">
        <v>29</v>
      </c>
      <c r="I28" s="63"/>
      <c r="J28" s="63"/>
      <c r="K28" s="56">
        <v>15500</v>
      </c>
      <c r="L28" s="56" t="s">
        <v>188</v>
      </c>
      <c r="M28" s="56">
        <f t="shared" si="0"/>
        <v>0</v>
      </c>
    </row>
    <row r="29" spans="1:13" x14ac:dyDescent="0.25">
      <c r="A29" s="52">
        <v>45670</v>
      </c>
      <c r="B29" s="45" t="s">
        <v>51</v>
      </c>
      <c r="C29" s="45" t="s">
        <v>52</v>
      </c>
      <c r="D29" s="58"/>
      <c r="E29" s="41"/>
      <c r="F29" s="41">
        <v>2500</v>
      </c>
      <c r="G29" s="41">
        <v>2500</v>
      </c>
      <c r="H29" s="60" t="s">
        <v>29</v>
      </c>
      <c r="I29" s="63"/>
      <c r="J29" s="63"/>
      <c r="K29" s="56">
        <v>2500</v>
      </c>
      <c r="L29" s="56" t="s">
        <v>189</v>
      </c>
      <c r="M29" s="56">
        <f t="shared" si="0"/>
        <v>0</v>
      </c>
    </row>
    <row r="30" spans="1:13" x14ac:dyDescent="0.25">
      <c r="A30" s="52">
        <v>45671</v>
      </c>
      <c r="B30" s="45" t="s">
        <v>72</v>
      </c>
      <c r="C30" s="45" t="s">
        <v>73</v>
      </c>
      <c r="D30" s="58"/>
      <c r="E30" s="58"/>
      <c r="F30" s="41">
        <v>2500</v>
      </c>
      <c r="G30" s="41">
        <v>2500</v>
      </c>
      <c r="H30" s="60" t="s">
        <v>29</v>
      </c>
      <c r="I30" s="63"/>
      <c r="J30" s="63"/>
      <c r="K30" s="56">
        <v>2500</v>
      </c>
      <c r="L30" s="56" t="s">
        <v>71</v>
      </c>
      <c r="M30" s="56">
        <f t="shared" si="0"/>
        <v>0</v>
      </c>
    </row>
    <row r="31" spans="1:13" x14ac:dyDescent="0.25">
      <c r="A31" s="52">
        <v>45671</v>
      </c>
      <c r="B31" s="45" t="s">
        <v>74</v>
      </c>
      <c r="C31" s="45" t="s">
        <v>75</v>
      </c>
      <c r="D31" s="58"/>
      <c r="E31" s="58"/>
      <c r="F31" s="41">
        <v>2000</v>
      </c>
      <c r="G31" s="41">
        <v>2000</v>
      </c>
      <c r="H31" s="60" t="s">
        <v>29</v>
      </c>
      <c r="I31" s="63"/>
      <c r="J31" s="63"/>
      <c r="K31" s="56">
        <v>2000</v>
      </c>
      <c r="L31" s="56" t="s">
        <v>190</v>
      </c>
      <c r="M31" s="56">
        <f t="shared" si="0"/>
        <v>0</v>
      </c>
    </row>
    <row r="32" spans="1:13" x14ac:dyDescent="0.25">
      <c r="A32" s="52">
        <v>45674</v>
      </c>
      <c r="B32" s="45" t="s">
        <v>76</v>
      </c>
      <c r="C32" s="45" t="s">
        <v>77</v>
      </c>
      <c r="D32" s="58"/>
      <c r="E32" s="58"/>
      <c r="F32" s="41">
        <v>36000</v>
      </c>
      <c r="G32" s="65">
        <v>36000</v>
      </c>
      <c r="H32" s="60" t="s">
        <v>29</v>
      </c>
      <c r="I32" s="63"/>
      <c r="J32" s="63"/>
      <c r="K32" s="56">
        <v>36000</v>
      </c>
      <c r="L32" s="56" t="s">
        <v>78</v>
      </c>
      <c r="M32" s="56">
        <f t="shared" si="0"/>
        <v>0</v>
      </c>
    </row>
    <row r="33" spans="1:13" x14ac:dyDescent="0.25">
      <c r="A33" s="52">
        <v>45677</v>
      </c>
      <c r="B33" s="45" t="s">
        <v>79</v>
      </c>
      <c r="C33" s="45" t="s">
        <v>54</v>
      </c>
      <c r="D33" s="58"/>
      <c r="E33" s="58"/>
      <c r="F33" s="41">
        <v>96000</v>
      </c>
      <c r="G33" s="41">
        <v>96000</v>
      </c>
      <c r="H33" s="60" t="s">
        <v>29</v>
      </c>
      <c r="I33" s="58">
        <v>35500</v>
      </c>
      <c r="J33" s="59" t="s">
        <v>110</v>
      </c>
      <c r="K33" s="56">
        <v>60500</v>
      </c>
      <c r="L33" s="56" t="s">
        <v>191</v>
      </c>
      <c r="M33" s="56">
        <f t="shared" si="0"/>
        <v>0</v>
      </c>
    </row>
    <row r="34" spans="1:13" x14ac:dyDescent="0.25">
      <c r="A34" s="52">
        <v>45679</v>
      </c>
      <c r="B34" s="45" t="s">
        <v>80</v>
      </c>
      <c r="C34" s="45" t="s">
        <v>131</v>
      </c>
      <c r="D34" s="58"/>
      <c r="E34" s="58"/>
      <c r="F34" s="41">
        <v>370000</v>
      </c>
      <c r="G34" s="41">
        <v>370000</v>
      </c>
      <c r="H34" s="60" t="s">
        <v>29</v>
      </c>
      <c r="I34" s="56">
        <v>222000</v>
      </c>
      <c r="J34" s="56" t="s">
        <v>81</v>
      </c>
      <c r="K34" s="56">
        <v>148000</v>
      </c>
      <c r="L34" s="56" t="s">
        <v>422</v>
      </c>
      <c r="M34" s="56">
        <f t="shared" si="0"/>
        <v>0</v>
      </c>
    </row>
    <row r="35" spans="1:13" x14ac:dyDescent="0.25">
      <c r="A35" s="52">
        <v>45679</v>
      </c>
      <c r="B35" s="45" t="s">
        <v>82</v>
      </c>
      <c r="C35" s="45" t="s">
        <v>54</v>
      </c>
      <c r="D35" s="58"/>
      <c r="E35" s="58"/>
      <c r="F35" s="41">
        <v>36000</v>
      </c>
      <c r="G35" s="41">
        <v>36000</v>
      </c>
      <c r="H35" s="60" t="s">
        <v>29</v>
      </c>
      <c r="I35" s="58">
        <v>18000</v>
      </c>
      <c r="J35" s="59" t="s">
        <v>153</v>
      </c>
      <c r="K35" s="56">
        <v>18000</v>
      </c>
      <c r="L35" s="56" t="s">
        <v>923</v>
      </c>
      <c r="M35" s="56">
        <f t="shared" si="0"/>
        <v>0</v>
      </c>
    </row>
    <row r="36" spans="1:13" x14ac:dyDescent="0.25">
      <c r="A36" s="52">
        <v>45680</v>
      </c>
      <c r="B36" s="45" t="s">
        <v>84</v>
      </c>
      <c r="C36" s="45" t="s">
        <v>83</v>
      </c>
      <c r="D36" s="58"/>
      <c r="E36" s="58"/>
      <c r="F36" s="41">
        <v>26000</v>
      </c>
      <c r="G36" s="41">
        <v>26000</v>
      </c>
      <c r="H36" s="60" t="s">
        <v>29</v>
      </c>
      <c r="I36" s="63"/>
      <c r="J36" s="63"/>
      <c r="K36" s="56">
        <v>26000</v>
      </c>
      <c r="L36" s="56" t="s">
        <v>192</v>
      </c>
      <c r="M36" s="56">
        <f t="shared" si="0"/>
        <v>0</v>
      </c>
    </row>
    <row r="37" spans="1:13" x14ac:dyDescent="0.25">
      <c r="A37" s="52">
        <v>45684</v>
      </c>
      <c r="B37" s="45" t="s">
        <v>139</v>
      </c>
      <c r="C37" s="45" t="s">
        <v>85</v>
      </c>
      <c r="D37" s="58"/>
      <c r="E37" s="58"/>
      <c r="F37" s="41">
        <v>48000</v>
      </c>
      <c r="G37" s="41">
        <v>48000</v>
      </c>
      <c r="H37" s="60" t="s">
        <v>29</v>
      </c>
      <c r="I37" s="56">
        <v>36000</v>
      </c>
      <c r="J37" s="56" t="s">
        <v>428</v>
      </c>
      <c r="K37" s="56">
        <v>12000</v>
      </c>
      <c r="L37" s="56" t="s">
        <v>829</v>
      </c>
      <c r="M37" s="56">
        <f t="shared" si="0"/>
        <v>0</v>
      </c>
    </row>
    <row r="38" spans="1:13" x14ac:dyDescent="0.25">
      <c r="A38" s="52">
        <v>45685</v>
      </c>
      <c r="B38" s="45" t="s">
        <v>86</v>
      </c>
      <c r="C38" s="45" t="s">
        <v>87</v>
      </c>
      <c r="D38" s="58"/>
      <c r="E38" s="58"/>
      <c r="F38" s="41">
        <v>52000</v>
      </c>
      <c r="G38" s="41">
        <v>52000</v>
      </c>
      <c r="H38" s="60" t="s">
        <v>29</v>
      </c>
      <c r="I38" s="63"/>
      <c r="J38" s="63"/>
      <c r="K38" s="56">
        <v>52000</v>
      </c>
      <c r="L38" s="56" t="s">
        <v>193</v>
      </c>
      <c r="M38" s="56">
        <f t="shared" si="0"/>
        <v>0</v>
      </c>
    </row>
    <row r="39" spans="1:13" x14ac:dyDescent="0.25">
      <c r="A39" s="87"/>
      <c r="B39" s="78"/>
      <c r="C39" s="78"/>
      <c r="D39" s="79"/>
      <c r="E39" s="88"/>
      <c r="F39" s="88"/>
      <c r="G39" s="88"/>
      <c r="H39" s="81"/>
      <c r="I39" s="80"/>
      <c r="J39" s="80"/>
      <c r="K39" s="84"/>
      <c r="L39" s="84"/>
      <c r="M39" s="84">
        <f t="shared" si="0"/>
        <v>0</v>
      </c>
    </row>
    <row r="40" spans="1:13" x14ac:dyDescent="0.25">
      <c r="A40" s="52">
        <v>45663</v>
      </c>
      <c r="B40" s="45" t="s">
        <v>53</v>
      </c>
      <c r="C40" s="45" t="s">
        <v>54</v>
      </c>
      <c r="D40" s="58">
        <v>139500</v>
      </c>
      <c r="E40" s="41"/>
      <c r="F40" s="41"/>
      <c r="G40" s="41">
        <v>139500</v>
      </c>
      <c r="H40" s="60" t="s">
        <v>29</v>
      </c>
      <c r="I40" s="58">
        <v>69750</v>
      </c>
      <c r="J40" s="59" t="s">
        <v>55</v>
      </c>
      <c r="K40" s="56">
        <v>69750</v>
      </c>
      <c r="L40" s="56" t="s">
        <v>208</v>
      </c>
      <c r="M40" s="56">
        <f t="shared" si="0"/>
        <v>0</v>
      </c>
    </row>
    <row r="41" spans="1:13" x14ac:dyDescent="0.25">
      <c r="A41" s="52">
        <v>45665</v>
      </c>
      <c r="B41" s="45" t="s">
        <v>56</v>
      </c>
      <c r="C41" s="45" t="s">
        <v>28</v>
      </c>
      <c r="D41" s="58">
        <v>6500</v>
      </c>
      <c r="E41" s="41"/>
      <c r="F41" s="41"/>
      <c r="G41" s="41">
        <v>6500</v>
      </c>
      <c r="H41" s="60" t="s">
        <v>29</v>
      </c>
      <c r="I41" s="63"/>
      <c r="J41" s="63"/>
      <c r="K41" s="56">
        <v>6500</v>
      </c>
      <c r="L41" s="56" t="s">
        <v>986</v>
      </c>
      <c r="M41" s="56">
        <f t="shared" si="0"/>
        <v>0</v>
      </c>
    </row>
    <row r="42" spans="1:13" x14ac:dyDescent="0.25">
      <c r="A42" s="52">
        <v>45665</v>
      </c>
      <c r="B42" s="45" t="s">
        <v>57</v>
      </c>
      <c r="C42" s="45" t="s">
        <v>32</v>
      </c>
      <c r="D42" s="58">
        <v>19500</v>
      </c>
      <c r="E42" s="61"/>
      <c r="F42" s="61"/>
      <c r="G42" s="41">
        <v>19500</v>
      </c>
      <c r="H42" s="60" t="s">
        <v>29</v>
      </c>
      <c r="I42" s="63"/>
      <c r="J42" s="63"/>
      <c r="K42" s="56">
        <v>19500</v>
      </c>
      <c r="L42" s="56" t="s">
        <v>987</v>
      </c>
      <c r="M42" s="56">
        <f t="shared" si="0"/>
        <v>0</v>
      </c>
    </row>
    <row r="43" spans="1:13" x14ac:dyDescent="0.25">
      <c r="A43" s="52">
        <v>45665</v>
      </c>
      <c r="B43" s="45" t="s">
        <v>58</v>
      </c>
      <c r="C43" s="45" t="s">
        <v>59</v>
      </c>
      <c r="D43" s="58">
        <v>13000</v>
      </c>
      <c r="E43" s="61"/>
      <c r="F43" s="61"/>
      <c r="G43" s="41">
        <v>13000</v>
      </c>
      <c r="H43" s="60" t="s">
        <v>29</v>
      </c>
      <c r="I43" s="63"/>
      <c r="J43" s="63"/>
      <c r="K43" s="56">
        <v>13000</v>
      </c>
      <c r="L43" s="56" t="s">
        <v>988</v>
      </c>
      <c r="M43" s="56">
        <f t="shared" si="0"/>
        <v>0</v>
      </c>
    </row>
    <row r="44" spans="1:13" x14ac:dyDescent="0.25">
      <c r="A44" s="52">
        <v>45665</v>
      </c>
      <c r="B44" s="45" t="s">
        <v>60</v>
      </c>
      <c r="C44" s="45" t="s">
        <v>59</v>
      </c>
      <c r="D44" s="58">
        <v>13000</v>
      </c>
      <c r="E44" s="61"/>
      <c r="F44" s="61"/>
      <c r="G44" s="41">
        <v>13000</v>
      </c>
      <c r="H44" s="60" t="s">
        <v>29</v>
      </c>
      <c r="I44" s="63"/>
      <c r="J44" s="63"/>
      <c r="K44" s="56">
        <v>13000</v>
      </c>
      <c r="L44" s="56" t="s">
        <v>271</v>
      </c>
      <c r="M44" s="56">
        <f t="shared" si="0"/>
        <v>0</v>
      </c>
    </row>
    <row r="45" spans="1:13" x14ac:dyDescent="0.25">
      <c r="A45" s="52">
        <v>45665</v>
      </c>
      <c r="B45" s="45" t="s">
        <v>61</v>
      </c>
      <c r="C45" s="45" t="s">
        <v>28</v>
      </c>
      <c r="D45" s="58">
        <v>6500</v>
      </c>
      <c r="E45" s="41"/>
      <c r="F45" s="41"/>
      <c r="G45" s="41">
        <v>6500</v>
      </c>
      <c r="H45" s="60" t="s">
        <v>29</v>
      </c>
      <c r="I45" s="63"/>
      <c r="J45" s="63"/>
      <c r="K45" s="56">
        <v>6500</v>
      </c>
      <c r="L45" s="56" t="s">
        <v>264</v>
      </c>
      <c r="M45" s="56">
        <f t="shared" si="0"/>
        <v>0</v>
      </c>
    </row>
    <row r="46" spans="1:13" x14ac:dyDescent="0.25">
      <c r="A46" s="52">
        <v>45665</v>
      </c>
      <c r="B46" s="114" t="s">
        <v>207</v>
      </c>
      <c r="C46" s="45" t="s">
        <v>28</v>
      </c>
      <c r="D46" s="58">
        <v>6500</v>
      </c>
      <c r="E46" s="41"/>
      <c r="F46" s="41"/>
      <c r="G46" s="41">
        <v>6500</v>
      </c>
      <c r="H46" s="60" t="s">
        <v>273</v>
      </c>
      <c r="I46" s="209"/>
      <c r="J46" s="209"/>
      <c r="K46" s="204"/>
      <c r="L46" s="207" t="s">
        <v>273</v>
      </c>
      <c r="M46" s="204"/>
    </row>
    <row r="47" spans="1:13" x14ac:dyDescent="0.25">
      <c r="A47" s="52">
        <v>45666</v>
      </c>
      <c r="B47" s="45" t="s">
        <v>132</v>
      </c>
      <c r="C47" s="45" t="s">
        <v>62</v>
      </c>
      <c r="D47" s="58">
        <v>1700</v>
      </c>
      <c r="E47" s="41"/>
      <c r="F47" s="41"/>
      <c r="G47" s="41">
        <v>1700</v>
      </c>
      <c r="H47" s="60" t="s">
        <v>29</v>
      </c>
      <c r="I47" s="58">
        <v>1700</v>
      </c>
      <c r="J47" s="59" t="s">
        <v>140</v>
      </c>
      <c r="K47" s="56"/>
      <c r="L47" s="210"/>
      <c r="M47" s="56">
        <f t="shared" si="0"/>
        <v>0</v>
      </c>
    </row>
    <row r="48" spans="1:13" x14ac:dyDescent="0.25">
      <c r="A48" s="52">
        <v>45670</v>
      </c>
      <c r="B48" s="45" t="s">
        <v>133</v>
      </c>
      <c r="C48" s="45" t="s">
        <v>63</v>
      </c>
      <c r="D48" s="58">
        <v>16000</v>
      </c>
      <c r="E48" s="41"/>
      <c r="F48" s="41"/>
      <c r="G48" s="41">
        <v>16000</v>
      </c>
      <c r="H48" s="60" t="s">
        <v>29</v>
      </c>
      <c r="I48" s="63"/>
      <c r="J48" s="63"/>
      <c r="K48" s="56">
        <v>16000</v>
      </c>
      <c r="L48" s="56" t="s">
        <v>200</v>
      </c>
      <c r="M48" s="56">
        <f t="shared" si="0"/>
        <v>0</v>
      </c>
    </row>
    <row r="49" spans="1:13" x14ac:dyDescent="0.25">
      <c r="A49" s="52">
        <v>45670</v>
      </c>
      <c r="B49" s="45" t="s">
        <v>425</v>
      </c>
      <c r="C49" s="45" t="s">
        <v>64</v>
      </c>
      <c r="D49" s="58">
        <v>4700</v>
      </c>
      <c r="E49" s="41"/>
      <c r="F49" s="41"/>
      <c r="G49" s="41">
        <v>4700</v>
      </c>
      <c r="H49" s="211"/>
      <c r="I49" s="208"/>
      <c r="J49" s="208"/>
      <c r="K49" s="204"/>
      <c r="L49" s="207" t="s">
        <v>1099</v>
      </c>
      <c r="M49" s="204"/>
    </row>
    <row r="50" spans="1:13" x14ac:dyDescent="0.25">
      <c r="A50" s="52">
        <v>45677</v>
      </c>
      <c r="B50" s="45" t="s">
        <v>88</v>
      </c>
      <c r="C50" s="45" t="s">
        <v>25</v>
      </c>
      <c r="D50" s="58">
        <v>233800</v>
      </c>
      <c r="E50" s="61"/>
      <c r="F50" s="61"/>
      <c r="G50" s="41">
        <v>233800</v>
      </c>
      <c r="H50" s="60" t="s">
        <v>29</v>
      </c>
      <c r="I50" s="56">
        <v>120000</v>
      </c>
      <c r="J50" s="56" t="s">
        <v>89</v>
      </c>
      <c r="K50" s="56">
        <v>113800</v>
      </c>
      <c r="L50" s="56" t="s">
        <v>233</v>
      </c>
      <c r="M50" s="56">
        <f t="shared" si="0"/>
        <v>0</v>
      </c>
    </row>
    <row r="51" spans="1:13" x14ac:dyDescent="0.25">
      <c r="A51" s="52">
        <v>45677</v>
      </c>
      <c r="B51" s="45" t="s">
        <v>90</v>
      </c>
      <c r="C51" s="45" t="s">
        <v>91</v>
      </c>
      <c r="D51" s="58">
        <v>3100</v>
      </c>
      <c r="E51" s="61"/>
      <c r="F51" s="61"/>
      <c r="G51" s="41">
        <v>3100</v>
      </c>
      <c r="H51" s="60" t="s">
        <v>29</v>
      </c>
      <c r="I51" s="63"/>
      <c r="J51" s="63"/>
      <c r="K51" s="56">
        <v>3100</v>
      </c>
      <c r="L51" s="56" t="s">
        <v>199</v>
      </c>
      <c r="M51" s="56">
        <f t="shared" si="0"/>
        <v>0</v>
      </c>
    </row>
    <row r="52" spans="1:13" x14ac:dyDescent="0.25">
      <c r="A52" s="52">
        <v>45679</v>
      </c>
      <c r="B52" s="45" t="s">
        <v>92</v>
      </c>
      <c r="C52" s="45" t="s">
        <v>93</v>
      </c>
      <c r="D52" s="58">
        <v>16500</v>
      </c>
      <c r="E52" s="61"/>
      <c r="F52" s="61"/>
      <c r="G52" s="41">
        <v>16500</v>
      </c>
      <c r="H52" s="60" t="s">
        <v>29</v>
      </c>
      <c r="I52" s="63"/>
      <c r="J52" s="63"/>
      <c r="K52" s="56">
        <v>16500</v>
      </c>
      <c r="L52" s="56" t="s">
        <v>1011</v>
      </c>
      <c r="M52" s="56">
        <f t="shared" si="0"/>
        <v>0</v>
      </c>
    </row>
    <row r="53" spans="1:13" x14ac:dyDescent="0.25">
      <c r="A53" s="52">
        <v>45680</v>
      </c>
      <c r="B53" s="45" t="s">
        <v>94</v>
      </c>
      <c r="C53" s="45" t="s">
        <v>95</v>
      </c>
      <c r="D53" s="58">
        <v>2500</v>
      </c>
      <c r="E53" s="61"/>
      <c r="F53" s="61"/>
      <c r="G53" s="41">
        <v>2500</v>
      </c>
      <c r="H53" s="60" t="s">
        <v>29</v>
      </c>
      <c r="I53" s="63"/>
      <c r="J53" s="63"/>
      <c r="K53" s="56">
        <v>2500</v>
      </c>
      <c r="L53" s="56" t="s">
        <v>989</v>
      </c>
      <c r="M53" s="56">
        <f t="shared" si="0"/>
        <v>0</v>
      </c>
    </row>
    <row r="54" spans="1:13" x14ac:dyDescent="0.25">
      <c r="A54" s="52">
        <v>45680</v>
      </c>
      <c r="B54" s="45" t="s">
        <v>96</v>
      </c>
      <c r="C54" s="45" t="s">
        <v>18</v>
      </c>
      <c r="D54" s="58">
        <v>98500</v>
      </c>
      <c r="E54" s="61"/>
      <c r="F54" s="61"/>
      <c r="G54" s="41">
        <v>98500</v>
      </c>
      <c r="H54" s="60" t="s">
        <v>29</v>
      </c>
      <c r="I54" s="56">
        <v>49250</v>
      </c>
      <c r="J54" s="56" t="s">
        <v>97</v>
      </c>
      <c r="K54" s="56">
        <v>49250</v>
      </c>
      <c r="L54" s="56" t="s">
        <v>990</v>
      </c>
      <c r="M54" s="56">
        <f t="shared" si="0"/>
        <v>0</v>
      </c>
    </row>
    <row r="55" spans="1:13" x14ac:dyDescent="0.25">
      <c r="A55" s="52">
        <v>45680</v>
      </c>
      <c r="B55" s="45" t="s">
        <v>98</v>
      </c>
      <c r="C55" s="45" t="s">
        <v>99</v>
      </c>
      <c r="D55" s="58">
        <v>44100</v>
      </c>
      <c r="E55" s="61"/>
      <c r="F55" s="61"/>
      <c r="G55" s="41">
        <v>44100</v>
      </c>
      <c r="H55" s="60" t="s">
        <v>29</v>
      </c>
      <c r="I55" s="63"/>
      <c r="J55" s="63"/>
      <c r="K55" s="56">
        <v>44100</v>
      </c>
      <c r="L55" s="56" t="s">
        <v>198</v>
      </c>
      <c r="M55" s="56">
        <f t="shared" si="0"/>
        <v>0</v>
      </c>
    </row>
    <row r="56" spans="1:13" x14ac:dyDescent="0.25">
      <c r="A56" s="52">
        <v>45681</v>
      </c>
      <c r="B56" s="45" t="s">
        <v>100</v>
      </c>
      <c r="C56" s="45" t="s">
        <v>101</v>
      </c>
      <c r="D56" s="58">
        <v>6500</v>
      </c>
      <c r="E56" s="61"/>
      <c r="F56" s="61"/>
      <c r="G56" s="41">
        <v>6500</v>
      </c>
      <c r="H56" s="60" t="s">
        <v>29</v>
      </c>
      <c r="I56" s="63"/>
      <c r="J56" s="63"/>
      <c r="K56" s="56">
        <v>6500</v>
      </c>
      <c r="L56" s="56"/>
      <c r="M56" s="56">
        <f t="shared" si="0"/>
        <v>0</v>
      </c>
    </row>
    <row r="57" spans="1:13" x14ac:dyDescent="0.25">
      <c r="A57" s="52">
        <v>45684</v>
      </c>
      <c r="B57" s="45" t="s">
        <v>102</v>
      </c>
      <c r="C57" s="45" t="s">
        <v>28</v>
      </c>
      <c r="D57" s="58">
        <v>10000</v>
      </c>
      <c r="E57" s="61"/>
      <c r="F57" s="61"/>
      <c r="G57" s="41">
        <v>10000</v>
      </c>
      <c r="H57" s="60" t="s">
        <v>29</v>
      </c>
      <c r="I57" s="63"/>
      <c r="J57" s="63"/>
      <c r="K57" s="56">
        <v>10000</v>
      </c>
      <c r="L57" s="56" t="s">
        <v>103</v>
      </c>
      <c r="M57" s="56">
        <f t="shared" si="0"/>
        <v>0</v>
      </c>
    </row>
    <row r="58" spans="1:13" x14ac:dyDescent="0.25">
      <c r="A58" s="52">
        <v>45684</v>
      </c>
      <c r="B58" s="45" t="s">
        <v>104</v>
      </c>
      <c r="C58" s="45" t="s">
        <v>105</v>
      </c>
      <c r="D58" s="58">
        <v>19000</v>
      </c>
      <c r="E58" s="61"/>
      <c r="F58" s="61"/>
      <c r="G58" s="41">
        <v>19000</v>
      </c>
      <c r="H58" s="60" t="s">
        <v>29</v>
      </c>
      <c r="I58" s="63"/>
      <c r="J58" s="63"/>
      <c r="K58" s="56">
        <v>19000</v>
      </c>
      <c r="L58" s="56" t="s">
        <v>195</v>
      </c>
      <c r="M58" s="56">
        <f t="shared" si="0"/>
        <v>0</v>
      </c>
    </row>
    <row r="59" spans="1:13" x14ac:dyDescent="0.25">
      <c r="A59" s="52">
        <v>45684</v>
      </c>
      <c r="B59" s="45" t="s">
        <v>106</v>
      </c>
      <c r="C59" s="45" t="s">
        <v>105</v>
      </c>
      <c r="D59" s="58">
        <v>19000</v>
      </c>
      <c r="E59" s="71"/>
      <c r="F59" s="71"/>
      <c r="G59" s="41">
        <v>19000</v>
      </c>
      <c r="H59" s="60" t="s">
        <v>29</v>
      </c>
      <c r="I59" s="102"/>
      <c r="J59" s="102"/>
      <c r="K59" s="56">
        <v>19000</v>
      </c>
      <c r="L59" s="45" t="s">
        <v>196</v>
      </c>
      <c r="M59" s="56">
        <f t="shared" si="0"/>
        <v>0</v>
      </c>
    </row>
    <row r="60" spans="1:13" x14ac:dyDescent="0.25">
      <c r="A60" s="52">
        <v>45684</v>
      </c>
      <c r="B60" s="45" t="s">
        <v>107</v>
      </c>
      <c r="C60" s="45" t="s">
        <v>105</v>
      </c>
      <c r="D60" s="58">
        <v>20000</v>
      </c>
      <c r="E60" s="71"/>
      <c r="F60" s="71"/>
      <c r="G60" s="41">
        <v>20000</v>
      </c>
      <c r="H60" s="60" t="s">
        <v>29</v>
      </c>
      <c r="I60" s="102"/>
      <c r="J60" s="102"/>
      <c r="K60" s="56">
        <v>20000</v>
      </c>
      <c r="L60" s="45" t="s">
        <v>197</v>
      </c>
      <c r="M60" s="56">
        <f t="shared" si="0"/>
        <v>0</v>
      </c>
    </row>
    <row r="61" spans="1:13" x14ac:dyDescent="0.25">
      <c r="A61" s="52">
        <v>45687</v>
      </c>
      <c r="B61" s="45" t="s">
        <v>108</v>
      </c>
      <c r="C61" s="45" t="s">
        <v>109</v>
      </c>
      <c r="D61" s="58">
        <v>479000</v>
      </c>
      <c r="E61" s="58"/>
      <c r="F61" s="58"/>
      <c r="G61" s="58">
        <v>479000</v>
      </c>
      <c r="H61" s="72" t="s">
        <v>29</v>
      </c>
      <c r="I61" s="58">
        <v>227000</v>
      </c>
      <c r="J61" s="59" t="s">
        <v>194</v>
      </c>
      <c r="K61" s="56">
        <v>252000</v>
      </c>
      <c r="L61" s="45" t="s">
        <v>795</v>
      </c>
      <c r="M61" s="56">
        <f t="shared" si="0"/>
        <v>0</v>
      </c>
    </row>
    <row r="62" spans="1:13" x14ac:dyDescent="0.25">
      <c r="A62" s="52">
        <v>45687</v>
      </c>
      <c r="B62" s="45" t="s">
        <v>152</v>
      </c>
      <c r="C62" s="45" t="s">
        <v>112</v>
      </c>
      <c r="D62" s="58">
        <v>179500</v>
      </c>
      <c r="E62" s="59"/>
      <c r="F62" s="59"/>
      <c r="G62" s="58">
        <v>179500</v>
      </c>
      <c r="H62" s="60" t="s">
        <v>29</v>
      </c>
      <c r="I62" s="58">
        <v>70000</v>
      </c>
      <c r="J62" s="58" t="s">
        <v>113</v>
      </c>
      <c r="K62" s="56">
        <v>109500</v>
      </c>
      <c r="L62" s="45" t="s">
        <v>240</v>
      </c>
      <c r="M62" s="56">
        <f t="shared" si="0"/>
        <v>0</v>
      </c>
    </row>
    <row r="63" spans="1:13" x14ac:dyDescent="0.25">
      <c r="A63" s="78"/>
      <c r="B63" s="78"/>
      <c r="C63" s="78"/>
      <c r="D63" s="79"/>
      <c r="E63" s="80"/>
      <c r="F63" s="80"/>
      <c r="G63" s="80"/>
      <c r="H63" s="81"/>
      <c r="I63" s="80"/>
      <c r="J63" s="82"/>
      <c r="K63" s="83"/>
      <c r="L63" s="83"/>
      <c r="M63" s="84">
        <f t="shared" si="0"/>
        <v>0</v>
      </c>
    </row>
    <row r="64" spans="1:13" x14ac:dyDescent="0.25">
      <c r="A64" s="75"/>
      <c r="B64" s="75"/>
      <c r="C64" s="75"/>
      <c r="D64" s="76"/>
      <c r="E64" s="77"/>
      <c r="F64" s="77"/>
      <c r="G64" s="77"/>
      <c r="H64" s="74"/>
      <c r="I64" s="7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3CEC-94E3-4F18-878D-DB081BB13D14}">
  <dimension ref="A1:M51"/>
  <sheetViews>
    <sheetView topLeftCell="A14" workbookViewId="0">
      <selection activeCell="B14" sqref="B14"/>
    </sheetView>
  </sheetViews>
  <sheetFormatPr defaultRowHeight="15" x14ac:dyDescent="0.25"/>
  <cols>
    <col min="1" max="1" width="9.28515625" customWidth="1"/>
    <col min="2" max="2" width="47.140625" customWidth="1"/>
    <col min="3" max="3" width="42.28515625" customWidth="1"/>
    <col min="4" max="4" width="12.42578125" customWidth="1"/>
    <col min="5" max="5" width="14.42578125" customWidth="1"/>
    <col min="6" max="6" width="13.42578125" customWidth="1"/>
    <col min="7" max="7" width="14.85546875" customWidth="1"/>
    <col min="8" max="8" width="10" customWidth="1"/>
    <col min="9" max="9" width="11.5703125" customWidth="1"/>
    <col min="10" max="10" width="10" customWidth="1"/>
    <col min="11" max="11" width="12.7109375" customWidth="1"/>
    <col min="12" max="12" width="13.5703125" customWidth="1"/>
    <col min="13" max="13" width="15.140625" customWidth="1"/>
  </cols>
  <sheetData>
    <row r="1" spans="1:13" x14ac:dyDescent="0.25">
      <c r="A1" s="1" t="s">
        <v>0</v>
      </c>
      <c r="B1" s="2"/>
      <c r="C1" s="3"/>
      <c r="D1" s="66"/>
      <c r="E1" s="43"/>
      <c r="F1" s="43"/>
      <c r="G1" s="43"/>
      <c r="H1" s="4"/>
      <c r="I1" s="36"/>
      <c r="J1" s="36"/>
      <c r="K1" s="5"/>
    </row>
    <row r="2" spans="1:13" x14ac:dyDescent="0.25">
      <c r="A2" s="1" t="s">
        <v>1</v>
      </c>
      <c r="B2" s="2"/>
      <c r="C2" s="3"/>
      <c r="D2" s="66"/>
      <c r="E2" s="43"/>
      <c r="F2" s="43"/>
      <c r="G2" s="43"/>
      <c r="H2" s="4"/>
      <c r="I2" s="36"/>
      <c r="J2" s="36"/>
      <c r="K2" s="5"/>
    </row>
    <row r="3" spans="1:13" x14ac:dyDescent="0.25">
      <c r="A3" s="1"/>
      <c r="B3" s="2"/>
      <c r="C3" s="3"/>
      <c r="D3" s="66"/>
      <c r="E3" s="43"/>
      <c r="F3" s="43"/>
      <c r="G3" s="43"/>
      <c r="H3" s="4"/>
      <c r="I3" s="36"/>
      <c r="J3" s="36"/>
      <c r="K3" s="5"/>
    </row>
    <row r="4" spans="1:13" x14ac:dyDescent="0.25">
      <c r="A4" s="6"/>
      <c r="B4" s="2" t="s">
        <v>2</v>
      </c>
      <c r="C4" s="3"/>
      <c r="D4" s="66"/>
      <c r="E4" s="43"/>
      <c r="F4" s="43"/>
      <c r="G4" s="43"/>
      <c r="H4" s="4"/>
      <c r="I4" s="36"/>
      <c r="J4" s="36"/>
      <c r="K4" s="5"/>
    </row>
    <row r="5" spans="1:13" ht="15.75" thickBot="1" x14ac:dyDescent="0.3">
      <c r="A5" s="7"/>
      <c r="B5" s="8" t="s">
        <v>3</v>
      </c>
      <c r="C5" s="5"/>
      <c r="D5" s="67"/>
      <c r="E5" s="37"/>
      <c r="F5" s="37"/>
      <c r="G5" s="37"/>
      <c r="H5" s="9"/>
      <c r="I5" s="37"/>
      <c r="J5" s="37"/>
      <c r="K5" s="5"/>
    </row>
    <row r="6" spans="1:13" ht="25.5" x14ac:dyDescent="0.25">
      <c r="A6" s="10" t="s">
        <v>4</v>
      </c>
      <c r="B6" s="11" t="s">
        <v>5</v>
      </c>
      <c r="C6" s="12" t="s">
        <v>6</v>
      </c>
      <c r="D6" s="68"/>
      <c r="E6" s="13"/>
      <c r="F6" s="14"/>
      <c r="G6" s="15" t="s">
        <v>7</v>
      </c>
      <c r="H6" s="46" t="s">
        <v>8</v>
      </c>
      <c r="I6" s="16" t="s">
        <v>9</v>
      </c>
      <c r="J6" s="16" t="s">
        <v>10</v>
      </c>
      <c r="K6" s="16" t="s">
        <v>9</v>
      </c>
      <c r="L6" s="16" t="s">
        <v>10</v>
      </c>
      <c r="M6" s="17"/>
    </row>
    <row r="7" spans="1:13" ht="15.75" thickBot="1" x14ac:dyDescent="0.3">
      <c r="A7" s="21"/>
      <c r="B7" s="22"/>
      <c r="C7" s="23"/>
      <c r="D7" s="69" t="s">
        <v>11</v>
      </c>
      <c r="E7" s="24" t="s">
        <v>12</v>
      </c>
      <c r="F7" s="24" t="s">
        <v>13</v>
      </c>
      <c r="G7" s="25"/>
      <c r="H7" s="26"/>
      <c r="I7" s="27" t="s">
        <v>14</v>
      </c>
      <c r="J7" s="27" t="s">
        <v>14</v>
      </c>
      <c r="K7" s="18" t="s">
        <v>15</v>
      </c>
      <c r="L7" s="18" t="s">
        <v>15</v>
      </c>
      <c r="M7" s="19" t="s">
        <v>16</v>
      </c>
    </row>
    <row r="8" spans="1:13" ht="15.75" thickBot="1" x14ac:dyDescent="0.3">
      <c r="A8" s="31" t="s">
        <v>114</v>
      </c>
      <c r="B8" s="89"/>
      <c r="C8" s="89"/>
      <c r="D8" s="93">
        <f>SUM(D9:D1013)</f>
        <v>1744200</v>
      </c>
      <c r="E8" s="93">
        <f>SUM(E9:E13)</f>
        <v>74500</v>
      </c>
      <c r="F8" s="93">
        <f>SUM(F9:F513)</f>
        <v>399390</v>
      </c>
      <c r="G8" s="93">
        <f>SUM(D8:F8)</f>
        <v>2218090</v>
      </c>
      <c r="H8" s="89"/>
      <c r="I8" s="89"/>
      <c r="J8" s="89"/>
      <c r="K8" s="89"/>
      <c r="L8" s="89"/>
      <c r="M8" s="212">
        <f>SUM(M9:M50)</f>
        <v>281000</v>
      </c>
    </row>
    <row r="9" spans="1:13" x14ac:dyDescent="0.25">
      <c r="A9" s="54">
        <v>45691</v>
      </c>
      <c r="B9" s="44" t="s">
        <v>116</v>
      </c>
      <c r="C9" s="44" t="s">
        <v>28</v>
      </c>
      <c r="D9" s="44"/>
      <c r="E9" s="95">
        <v>18000</v>
      </c>
      <c r="F9" s="95"/>
      <c r="G9" s="95">
        <v>18000</v>
      </c>
      <c r="H9" s="94" t="s">
        <v>29</v>
      </c>
      <c r="I9" s="104"/>
      <c r="J9" s="104"/>
      <c r="K9" s="95">
        <v>18000</v>
      </c>
      <c r="L9" s="44" t="s">
        <v>115</v>
      </c>
      <c r="M9" s="30">
        <f t="shared" ref="M9:M51" si="0">SUM(G9-I9-K9)</f>
        <v>0</v>
      </c>
    </row>
    <row r="10" spans="1:13" x14ac:dyDescent="0.25">
      <c r="A10" s="52">
        <v>45693</v>
      </c>
      <c r="B10" s="45" t="s">
        <v>120</v>
      </c>
      <c r="C10" s="45" t="s">
        <v>117</v>
      </c>
      <c r="D10" s="45"/>
      <c r="E10" s="56">
        <v>53000</v>
      </c>
      <c r="F10" s="56"/>
      <c r="G10" s="56">
        <v>53000</v>
      </c>
      <c r="H10" s="94" t="s">
        <v>29</v>
      </c>
      <c r="I10" s="105"/>
      <c r="J10" s="105"/>
      <c r="K10" s="56">
        <v>53000</v>
      </c>
      <c r="L10" s="45" t="s">
        <v>118</v>
      </c>
      <c r="M10" s="20">
        <f t="shared" si="0"/>
        <v>0</v>
      </c>
    </row>
    <row r="11" spans="1:13" x14ac:dyDescent="0.25">
      <c r="A11" s="52">
        <v>45709</v>
      </c>
      <c r="B11" s="45" t="s">
        <v>182</v>
      </c>
      <c r="C11" s="45" t="s">
        <v>183</v>
      </c>
      <c r="D11" s="45"/>
      <c r="E11" s="56">
        <v>3500</v>
      </c>
      <c r="F11" s="56"/>
      <c r="G11" s="56">
        <v>3500</v>
      </c>
      <c r="H11" s="94" t="s">
        <v>29</v>
      </c>
      <c r="I11" s="105"/>
      <c r="J11" s="105"/>
      <c r="K11" s="58">
        <v>3500</v>
      </c>
      <c r="L11" s="45" t="s">
        <v>241</v>
      </c>
      <c r="M11" s="20">
        <f t="shared" si="0"/>
        <v>0</v>
      </c>
    </row>
    <row r="12" spans="1:13" x14ac:dyDescent="0.25">
      <c r="A12" s="110"/>
      <c r="B12" s="110"/>
      <c r="C12" s="110"/>
      <c r="D12" s="110"/>
      <c r="E12" s="112"/>
      <c r="F12" s="112"/>
      <c r="G12" s="112"/>
      <c r="H12" s="113"/>
      <c r="I12" s="110"/>
      <c r="J12" s="110"/>
      <c r="K12" s="110"/>
      <c r="L12" s="110"/>
      <c r="M12" s="111">
        <f t="shared" si="0"/>
        <v>0</v>
      </c>
    </row>
    <row r="13" spans="1:13" x14ac:dyDescent="0.25">
      <c r="A13" s="52">
        <v>45692</v>
      </c>
      <c r="B13" s="45" t="s">
        <v>119</v>
      </c>
      <c r="C13" s="45" t="s">
        <v>121</v>
      </c>
      <c r="D13" s="45"/>
      <c r="E13" s="56"/>
      <c r="F13" s="56">
        <v>27000</v>
      </c>
      <c r="G13" s="56">
        <v>27000</v>
      </c>
      <c r="H13" s="94" t="s">
        <v>29</v>
      </c>
      <c r="I13" s="105"/>
      <c r="J13" s="105"/>
      <c r="K13" s="56">
        <v>27000</v>
      </c>
      <c r="L13" s="59" t="s">
        <v>122</v>
      </c>
      <c r="M13" s="20">
        <f t="shared" si="0"/>
        <v>0</v>
      </c>
    </row>
    <row r="14" spans="1:13" x14ac:dyDescent="0.25">
      <c r="A14" s="52">
        <v>45694</v>
      </c>
      <c r="B14" s="45" t="s">
        <v>124</v>
      </c>
      <c r="C14" s="45" t="s">
        <v>123</v>
      </c>
      <c r="D14" s="45"/>
      <c r="E14" s="56"/>
      <c r="F14" s="56">
        <v>44000</v>
      </c>
      <c r="G14" s="56">
        <v>44000</v>
      </c>
      <c r="H14" s="94" t="s">
        <v>29</v>
      </c>
      <c r="I14" s="105"/>
      <c r="J14" s="105"/>
      <c r="K14" s="58">
        <v>44000</v>
      </c>
      <c r="L14" s="59" t="s">
        <v>991</v>
      </c>
      <c r="M14" s="20">
        <f t="shared" si="0"/>
        <v>0</v>
      </c>
    </row>
    <row r="15" spans="1:13" x14ac:dyDescent="0.25">
      <c r="A15" s="52">
        <v>45695</v>
      </c>
      <c r="B15" s="45" t="s">
        <v>125</v>
      </c>
      <c r="C15" s="45" t="s">
        <v>25</v>
      </c>
      <c r="D15" s="45"/>
      <c r="E15" s="45"/>
      <c r="F15" s="56">
        <v>117390</v>
      </c>
      <c r="G15" s="56">
        <v>117390</v>
      </c>
      <c r="H15" s="94" t="s">
        <v>29</v>
      </c>
      <c r="I15" s="105"/>
      <c r="J15" s="105"/>
      <c r="K15" s="56">
        <v>117390</v>
      </c>
      <c r="L15" s="59" t="s">
        <v>992</v>
      </c>
      <c r="M15" s="20">
        <f t="shared" si="0"/>
        <v>0</v>
      </c>
    </row>
    <row r="16" spans="1:13" x14ac:dyDescent="0.25">
      <c r="A16" s="52">
        <v>45699</v>
      </c>
      <c r="B16" s="45" t="s">
        <v>174</v>
      </c>
      <c r="C16" s="45" t="s">
        <v>175</v>
      </c>
      <c r="D16" s="45"/>
      <c r="E16" s="45"/>
      <c r="F16" s="56">
        <v>33500</v>
      </c>
      <c r="G16" s="56">
        <v>33500</v>
      </c>
      <c r="H16" s="94" t="s">
        <v>29</v>
      </c>
      <c r="I16" s="105"/>
      <c r="J16" s="105"/>
      <c r="K16" s="65">
        <v>33500</v>
      </c>
      <c r="L16" s="65" t="s">
        <v>312</v>
      </c>
      <c r="M16" s="20">
        <f t="shared" si="0"/>
        <v>0</v>
      </c>
    </row>
    <row r="17" spans="1:13" x14ac:dyDescent="0.25">
      <c r="A17" s="52">
        <v>45700</v>
      </c>
      <c r="B17" s="45" t="s">
        <v>176</v>
      </c>
      <c r="C17" s="45" t="s">
        <v>95</v>
      </c>
      <c r="D17" s="45"/>
      <c r="E17" s="45"/>
      <c r="F17" s="56">
        <v>2500</v>
      </c>
      <c r="G17" s="56">
        <v>2500</v>
      </c>
      <c r="H17" s="94" t="s">
        <v>29</v>
      </c>
      <c r="I17" s="105"/>
      <c r="J17" s="105"/>
      <c r="K17" s="56">
        <v>2500</v>
      </c>
      <c r="L17" s="58" t="s">
        <v>254</v>
      </c>
      <c r="M17" s="20">
        <f t="shared" si="0"/>
        <v>0</v>
      </c>
    </row>
    <row r="18" spans="1:13" x14ac:dyDescent="0.25">
      <c r="A18" s="52">
        <v>45700</v>
      </c>
      <c r="B18" s="45" t="s">
        <v>177</v>
      </c>
      <c r="C18" s="45" t="s">
        <v>178</v>
      </c>
      <c r="D18" s="45"/>
      <c r="E18" s="45"/>
      <c r="F18" s="56">
        <v>38000</v>
      </c>
      <c r="G18" s="56">
        <v>38000</v>
      </c>
      <c r="H18" s="94" t="s">
        <v>29</v>
      </c>
      <c r="I18" s="105"/>
      <c r="J18" s="105"/>
      <c r="K18" s="56">
        <v>38000</v>
      </c>
      <c r="L18" s="58" t="s">
        <v>275</v>
      </c>
      <c r="M18" s="20">
        <f t="shared" si="0"/>
        <v>0</v>
      </c>
    </row>
    <row r="19" spans="1:13" x14ac:dyDescent="0.25">
      <c r="A19" s="52">
        <v>45707</v>
      </c>
      <c r="B19" s="45" t="s">
        <v>179</v>
      </c>
      <c r="C19" s="45" t="s">
        <v>180</v>
      </c>
      <c r="D19" s="45"/>
      <c r="E19" s="45"/>
      <c r="F19" s="56">
        <v>20000</v>
      </c>
      <c r="G19" s="56">
        <v>20000</v>
      </c>
      <c r="H19" s="94" t="s">
        <v>29</v>
      </c>
      <c r="I19" s="56">
        <v>10000</v>
      </c>
      <c r="J19" s="45" t="s">
        <v>269</v>
      </c>
      <c r="K19" s="56">
        <v>10000</v>
      </c>
      <c r="L19" s="58" t="s">
        <v>465</v>
      </c>
      <c r="M19" s="20">
        <f t="shared" si="0"/>
        <v>0</v>
      </c>
    </row>
    <row r="20" spans="1:13" x14ac:dyDescent="0.25">
      <c r="A20" s="52">
        <v>45709</v>
      </c>
      <c r="B20" s="45" t="s">
        <v>181</v>
      </c>
      <c r="C20" s="45" t="s">
        <v>95</v>
      </c>
      <c r="D20" s="45"/>
      <c r="E20" s="45"/>
      <c r="F20" s="56">
        <v>2500</v>
      </c>
      <c r="G20" s="56">
        <v>2500</v>
      </c>
      <c r="H20" s="94" t="s">
        <v>29</v>
      </c>
      <c r="I20" s="106"/>
      <c r="J20" s="105"/>
      <c r="K20" s="56">
        <v>2500</v>
      </c>
      <c r="L20" s="58" t="s">
        <v>201</v>
      </c>
      <c r="M20" s="20">
        <f t="shared" si="0"/>
        <v>0</v>
      </c>
    </row>
    <row r="21" spans="1:13" x14ac:dyDescent="0.25">
      <c r="A21" s="52">
        <v>45712</v>
      </c>
      <c r="B21" s="45" t="s">
        <v>202</v>
      </c>
      <c r="C21" s="45" t="s">
        <v>54</v>
      </c>
      <c r="D21" s="73"/>
      <c r="E21" s="45"/>
      <c r="F21" s="56">
        <v>107000</v>
      </c>
      <c r="G21" s="56">
        <v>107000</v>
      </c>
      <c r="H21" s="94" t="s">
        <v>29</v>
      </c>
      <c r="I21" s="56">
        <v>53500</v>
      </c>
      <c r="J21" s="73" t="s">
        <v>408</v>
      </c>
      <c r="K21" s="56">
        <v>53500</v>
      </c>
      <c r="L21" s="58" t="s">
        <v>409</v>
      </c>
      <c r="M21" s="20">
        <f t="shared" si="0"/>
        <v>0</v>
      </c>
    </row>
    <row r="22" spans="1:13" x14ac:dyDescent="0.25">
      <c r="A22" s="52">
        <v>45715</v>
      </c>
      <c r="B22" s="45" t="s">
        <v>210</v>
      </c>
      <c r="C22" s="45" t="s">
        <v>211</v>
      </c>
      <c r="D22" s="73"/>
      <c r="E22" s="45"/>
      <c r="F22" s="58">
        <v>7500</v>
      </c>
      <c r="G22" s="58">
        <v>7500</v>
      </c>
      <c r="H22" s="94" t="s">
        <v>29</v>
      </c>
      <c r="I22" s="105"/>
      <c r="J22" s="105"/>
      <c r="K22" s="56">
        <v>7500</v>
      </c>
      <c r="L22" s="58" t="s">
        <v>212</v>
      </c>
      <c r="M22" s="20">
        <f t="shared" si="0"/>
        <v>0</v>
      </c>
    </row>
    <row r="23" spans="1:13" x14ac:dyDescent="0.25">
      <c r="A23" s="110"/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1">
        <f t="shared" si="0"/>
        <v>0</v>
      </c>
    </row>
    <row r="24" spans="1:13" x14ac:dyDescent="0.25">
      <c r="A24" s="52">
        <v>45692</v>
      </c>
      <c r="B24" s="45" t="s">
        <v>126</v>
      </c>
      <c r="C24" s="45" t="s">
        <v>28</v>
      </c>
      <c r="D24" s="56">
        <v>6500</v>
      </c>
      <c r="E24" s="45"/>
      <c r="F24" s="45"/>
      <c r="G24" s="56">
        <v>6500</v>
      </c>
      <c r="H24" s="94" t="s">
        <v>29</v>
      </c>
      <c r="I24" s="105"/>
      <c r="J24" s="105"/>
      <c r="K24" s="58">
        <v>6500</v>
      </c>
      <c r="L24" s="58" t="s">
        <v>309</v>
      </c>
      <c r="M24" s="20">
        <f t="shared" si="0"/>
        <v>0</v>
      </c>
    </row>
    <row r="25" spans="1:13" x14ac:dyDescent="0.25">
      <c r="A25" s="52">
        <v>45692</v>
      </c>
      <c r="B25" s="45" t="s">
        <v>127</v>
      </c>
      <c r="C25" s="45" t="s">
        <v>32</v>
      </c>
      <c r="D25" s="56">
        <v>19500</v>
      </c>
      <c r="E25" s="56"/>
      <c r="F25" s="56"/>
      <c r="G25" s="56">
        <v>19500</v>
      </c>
      <c r="H25" s="94" t="s">
        <v>29</v>
      </c>
      <c r="I25" s="56">
        <v>13000</v>
      </c>
      <c r="J25" s="45" t="s">
        <v>271</v>
      </c>
      <c r="K25" s="58">
        <v>6500</v>
      </c>
      <c r="L25" s="59" t="s">
        <v>495</v>
      </c>
      <c r="M25" s="20">
        <f t="shared" si="0"/>
        <v>0</v>
      </c>
    </row>
    <row r="26" spans="1:13" x14ac:dyDescent="0.25">
      <c r="A26" s="52">
        <v>45692</v>
      </c>
      <c r="B26" s="45" t="s">
        <v>128</v>
      </c>
      <c r="C26" s="45" t="s">
        <v>59</v>
      </c>
      <c r="D26" s="56">
        <v>13000</v>
      </c>
      <c r="E26" s="56"/>
      <c r="F26" s="56"/>
      <c r="G26" s="56">
        <v>13000</v>
      </c>
      <c r="H26" s="94" t="s">
        <v>29</v>
      </c>
      <c r="I26" s="105"/>
      <c r="J26" s="105"/>
      <c r="K26" s="58">
        <v>13000</v>
      </c>
      <c r="L26" s="59" t="s">
        <v>498</v>
      </c>
      <c r="M26" s="20">
        <f t="shared" si="0"/>
        <v>0</v>
      </c>
    </row>
    <row r="27" spans="1:13" x14ac:dyDescent="0.25">
      <c r="A27" s="52">
        <v>45692</v>
      </c>
      <c r="B27" s="45" t="s">
        <v>129</v>
      </c>
      <c r="C27" s="45" t="s">
        <v>59</v>
      </c>
      <c r="D27" s="56">
        <v>13000</v>
      </c>
      <c r="E27" s="56"/>
      <c r="F27" s="56"/>
      <c r="G27" s="56">
        <v>13000</v>
      </c>
      <c r="H27" s="94" t="s">
        <v>29</v>
      </c>
      <c r="I27" s="105"/>
      <c r="J27" s="105"/>
      <c r="K27" s="58">
        <v>13000</v>
      </c>
      <c r="L27" s="59" t="s">
        <v>993</v>
      </c>
      <c r="M27" s="20">
        <f t="shared" si="0"/>
        <v>0</v>
      </c>
    </row>
    <row r="28" spans="1:13" x14ac:dyDescent="0.25">
      <c r="A28" s="52">
        <v>45692</v>
      </c>
      <c r="B28" s="45" t="s">
        <v>130</v>
      </c>
      <c r="C28" s="45" t="s">
        <v>28</v>
      </c>
      <c r="D28" s="56">
        <v>6500</v>
      </c>
      <c r="E28" s="45"/>
      <c r="F28" s="45"/>
      <c r="G28" s="56">
        <v>6500</v>
      </c>
      <c r="H28" s="94" t="s">
        <v>29</v>
      </c>
      <c r="I28" s="122"/>
      <c r="J28" s="105"/>
      <c r="K28" s="58">
        <v>6500</v>
      </c>
      <c r="L28" s="59" t="s">
        <v>994</v>
      </c>
      <c r="M28" s="20">
        <f t="shared" si="0"/>
        <v>0</v>
      </c>
    </row>
    <row r="29" spans="1:13" x14ac:dyDescent="0.25">
      <c r="A29" s="52">
        <v>45698</v>
      </c>
      <c r="B29" s="45" t="s">
        <v>134</v>
      </c>
      <c r="C29" s="45" t="s">
        <v>135</v>
      </c>
      <c r="D29" s="56">
        <v>63400</v>
      </c>
      <c r="E29" s="56"/>
      <c r="F29" s="56"/>
      <c r="G29" s="56">
        <v>63400</v>
      </c>
      <c r="H29" s="94" t="s">
        <v>29</v>
      </c>
      <c r="I29" s="56">
        <v>31700</v>
      </c>
      <c r="J29" s="59" t="s">
        <v>147</v>
      </c>
      <c r="K29" s="45">
        <v>31700</v>
      </c>
      <c r="L29" s="45" t="s">
        <v>421</v>
      </c>
      <c r="M29" s="20">
        <f t="shared" si="0"/>
        <v>0</v>
      </c>
    </row>
    <row r="30" spans="1:13" x14ac:dyDescent="0.25">
      <c r="A30" s="52">
        <v>45698</v>
      </c>
      <c r="B30" s="45" t="s">
        <v>136</v>
      </c>
      <c r="C30" s="45" t="s">
        <v>135</v>
      </c>
      <c r="D30" s="56">
        <v>63400</v>
      </c>
      <c r="E30" s="56"/>
      <c r="F30" s="56"/>
      <c r="G30" s="56">
        <v>63400</v>
      </c>
      <c r="H30" s="94" t="s">
        <v>29</v>
      </c>
      <c r="I30" s="56">
        <v>31700</v>
      </c>
      <c r="J30" s="59" t="s">
        <v>146</v>
      </c>
      <c r="K30" s="45">
        <v>31700</v>
      </c>
      <c r="L30" s="45" t="s">
        <v>407</v>
      </c>
      <c r="M30" s="20">
        <f t="shared" si="0"/>
        <v>0</v>
      </c>
    </row>
    <row r="31" spans="1:13" x14ac:dyDescent="0.25">
      <c r="A31" s="52">
        <v>45698</v>
      </c>
      <c r="B31" s="45" t="s">
        <v>137</v>
      </c>
      <c r="C31" s="45" t="s">
        <v>135</v>
      </c>
      <c r="D31" s="56">
        <v>63400</v>
      </c>
      <c r="E31" s="56"/>
      <c r="F31" s="56"/>
      <c r="G31" s="56">
        <v>63400</v>
      </c>
      <c r="H31" s="94" t="s">
        <v>29</v>
      </c>
      <c r="I31" s="56">
        <v>31700</v>
      </c>
      <c r="J31" s="59" t="s">
        <v>144</v>
      </c>
      <c r="K31" s="45">
        <v>31700</v>
      </c>
      <c r="L31" s="45" t="s">
        <v>335</v>
      </c>
      <c r="M31" s="20">
        <f t="shared" si="0"/>
        <v>0</v>
      </c>
    </row>
    <row r="32" spans="1:13" x14ac:dyDescent="0.25">
      <c r="A32" s="52">
        <v>45698</v>
      </c>
      <c r="B32" s="45" t="s">
        <v>138</v>
      </c>
      <c r="C32" s="45" t="s">
        <v>135</v>
      </c>
      <c r="D32" s="56">
        <v>63400</v>
      </c>
      <c r="E32" s="56"/>
      <c r="F32" s="56"/>
      <c r="G32" s="56">
        <v>63400</v>
      </c>
      <c r="H32" s="94" t="s">
        <v>29</v>
      </c>
      <c r="I32" s="56">
        <v>31700</v>
      </c>
      <c r="J32" s="59" t="s">
        <v>145</v>
      </c>
      <c r="K32" s="45">
        <v>31700</v>
      </c>
      <c r="L32" s="45" t="s">
        <v>336</v>
      </c>
      <c r="M32" s="20">
        <f t="shared" si="0"/>
        <v>0</v>
      </c>
    </row>
    <row r="33" spans="1:13" x14ac:dyDescent="0.25">
      <c r="A33" s="52">
        <v>45699</v>
      </c>
      <c r="B33" s="45" t="s">
        <v>141</v>
      </c>
      <c r="C33" s="45" t="s">
        <v>142</v>
      </c>
      <c r="D33" s="56">
        <v>8000</v>
      </c>
      <c r="E33" s="56"/>
      <c r="F33" s="56"/>
      <c r="G33" s="56">
        <v>8000</v>
      </c>
      <c r="H33" s="94" t="s">
        <v>29</v>
      </c>
      <c r="I33" s="106"/>
      <c r="J33" s="106"/>
      <c r="K33" s="56">
        <v>8000</v>
      </c>
      <c r="L33" s="59" t="s">
        <v>143</v>
      </c>
      <c r="M33" s="28">
        <f t="shared" si="0"/>
        <v>0</v>
      </c>
    </row>
    <row r="34" spans="1:13" x14ac:dyDescent="0.25">
      <c r="A34" s="96">
        <v>45699</v>
      </c>
      <c r="B34" s="97" t="s">
        <v>154</v>
      </c>
      <c r="C34" s="97" t="s">
        <v>62</v>
      </c>
      <c r="D34" s="98">
        <v>1700</v>
      </c>
      <c r="E34" s="98"/>
      <c r="F34" s="98"/>
      <c r="G34" s="98">
        <v>1700</v>
      </c>
      <c r="H34" s="99" t="s">
        <v>29</v>
      </c>
      <c r="I34" s="107"/>
      <c r="J34" s="107"/>
      <c r="K34" s="100">
        <v>1700</v>
      </c>
      <c r="L34" s="100" t="s">
        <v>155</v>
      </c>
      <c r="M34" s="101">
        <f t="shared" si="0"/>
        <v>0</v>
      </c>
    </row>
    <row r="35" spans="1:13" s="75" customFormat="1" ht="12.75" x14ac:dyDescent="0.2">
      <c r="A35" s="52">
        <v>45702</v>
      </c>
      <c r="B35" s="45" t="s">
        <v>157</v>
      </c>
      <c r="C35" s="45" t="s">
        <v>135</v>
      </c>
      <c r="D35" s="56">
        <v>63400</v>
      </c>
      <c r="E35" s="56"/>
      <c r="F35" s="56"/>
      <c r="G35" s="56">
        <v>63400</v>
      </c>
      <c r="H35" s="99" t="s">
        <v>29</v>
      </c>
      <c r="I35" s="56">
        <v>31700</v>
      </c>
      <c r="J35" s="56" t="s">
        <v>156</v>
      </c>
      <c r="K35" s="56">
        <v>31700</v>
      </c>
      <c r="L35" s="56" t="s">
        <v>334</v>
      </c>
      <c r="M35" s="56">
        <f t="shared" si="0"/>
        <v>0</v>
      </c>
    </row>
    <row r="36" spans="1:13" s="75" customFormat="1" ht="12.75" x14ac:dyDescent="0.2">
      <c r="A36" s="52">
        <v>45702</v>
      </c>
      <c r="B36" s="45" t="s">
        <v>158</v>
      </c>
      <c r="C36" s="45" t="s">
        <v>159</v>
      </c>
      <c r="D36" s="56">
        <v>16500</v>
      </c>
      <c r="E36" s="56"/>
      <c r="F36" s="56"/>
      <c r="G36" s="56">
        <v>16500</v>
      </c>
      <c r="H36" s="99" t="s">
        <v>29</v>
      </c>
      <c r="I36" s="108"/>
      <c r="J36" s="108"/>
      <c r="K36" s="56">
        <v>16500</v>
      </c>
      <c r="L36" s="56" t="s">
        <v>160</v>
      </c>
      <c r="M36" s="56">
        <f t="shared" si="0"/>
        <v>0</v>
      </c>
    </row>
    <row r="37" spans="1:13" s="75" customFormat="1" ht="12.75" x14ac:dyDescent="0.2">
      <c r="A37" s="52">
        <v>45702</v>
      </c>
      <c r="B37" s="45" t="s">
        <v>161</v>
      </c>
      <c r="C37" s="45" t="s">
        <v>135</v>
      </c>
      <c r="D37" s="56">
        <v>25000</v>
      </c>
      <c r="E37" s="56"/>
      <c r="F37" s="56"/>
      <c r="G37" s="56">
        <v>22000</v>
      </c>
      <c r="H37" s="99" t="s">
        <v>29</v>
      </c>
      <c r="I37" s="56">
        <v>4000</v>
      </c>
      <c r="J37" s="56" t="s">
        <v>558</v>
      </c>
      <c r="K37" s="56">
        <v>18000</v>
      </c>
      <c r="L37" s="56" t="s">
        <v>558</v>
      </c>
      <c r="M37" s="56">
        <f t="shared" si="0"/>
        <v>0</v>
      </c>
    </row>
    <row r="38" spans="1:13" s="75" customFormat="1" ht="12.75" x14ac:dyDescent="0.2">
      <c r="A38" s="52">
        <v>45702</v>
      </c>
      <c r="B38" s="45" t="s">
        <v>162</v>
      </c>
      <c r="C38" s="45" t="s">
        <v>135</v>
      </c>
      <c r="D38" s="56">
        <v>25000</v>
      </c>
      <c r="E38" s="56"/>
      <c r="F38" s="56"/>
      <c r="G38" s="56">
        <v>22000</v>
      </c>
      <c r="H38" s="99" t="s">
        <v>29</v>
      </c>
      <c r="I38" s="56">
        <v>4000</v>
      </c>
      <c r="J38" s="56" t="s">
        <v>557</v>
      </c>
      <c r="K38" s="56">
        <v>18000</v>
      </c>
      <c r="L38" s="56" t="s">
        <v>557</v>
      </c>
      <c r="M38" s="56">
        <f t="shared" si="0"/>
        <v>0</v>
      </c>
    </row>
    <row r="39" spans="1:13" s="75" customFormat="1" ht="12.75" x14ac:dyDescent="0.2">
      <c r="A39" s="52">
        <v>45702</v>
      </c>
      <c r="B39" s="45" t="s">
        <v>1171</v>
      </c>
      <c r="C39" s="45" t="s">
        <v>135</v>
      </c>
      <c r="D39" s="56">
        <v>25000</v>
      </c>
      <c r="E39" s="56"/>
      <c r="F39" s="56"/>
      <c r="G39" s="56">
        <v>25000</v>
      </c>
      <c r="H39" s="206"/>
      <c r="I39" s="204"/>
      <c r="J39" s="204"/>
      <c r="K39" s="204"/>
      <c r="L39" s="207" t="s">
        <v>1099</v>
      </c>
      <c r="M39" s="204"/>
    </row>
    <row r="40" spans="1:13" s="75" customFormat="1" ht="12.75" x14ac:dyDescent="0.2">
      <c r="A40" s="52">
        <v>45702</v>
      </c>
      <c r="B40" s="45" t="s">
        <v>163</v>
      </c>
      <c r="C40" s="45" t="s">
        <v>135</v>
      </c>
      <c r="D40" s="56">
        <v>25000</v>
      </c>
      <c r="E40" s="56"/>
      <c r="F40" s="56"/>
      <c r="G40" s="56">
        <v>25000</v>
      </c>
      <c r="H40" s="57" t="s">
        <v>29</v>
      </c>
      <c r="I40" s="108"/>
      <c r="J40" s="108"/>
      <c r="K40" s="56">
        <v>25000</v>
      </c>
      <c r="L40" s="56" t="s">
        <v>263</v>
      </c>
      <c r="M40" s="56">
        <f t="shared" si="0"/>
        <v>0</v>
      </c>
    </row>
    <row r="41" spans="1:13" s="75" customFormat="1" ht="12.75" x14ac:dyDescent="0.2">
      <c r="A41" s="52">
        <v>45707</v>
      </c>
      <c r="B41" s="45" t="s">
        <v>164</v>
      </c>
      <c r="C41" s="45" t="s">
        <v>135</v>
      </c>
      <c r="D41" s="56">
        <v>77100</v>
      </c>
      <c r="E41" s="56"/>
      <c r="F41" s="56"/>
      <c r="G41" s="56">
        <v>77100</v>
      </c>
      <c r="H41" s="57" t="s">
        <v>29</v>
      </c>
      <c r="I41" s="108"/>
      <c r="J41" s="108"/>
      <c r="K41" s="56">
        <v>77100</v>
      </c>
      <c r="L41" s="56" t="s">
        <v>272</v>
      </c>
      <c r="M41" s="56">
        <f t="shared" si="0"/>
        <v>0</v>
      </c>
    </row>
    <row r="42" spans="1:13" s="75" customFormat="1" ht="12.75" x14ac:dyDescent="0.2">
      <c r="A42" s="52">
        <v>45707</v>
      </c>
      <c r="B42" s="45" t="s">
        <v>165</v>
      </c>
      <c r="C42" s="45" t="s">
        <v>166</v>
      </c>
      <c r="D42" s="56">
        <v>109200</v>
      </c>
      <c r="E42" s="56"/>
      <c r="F42" s="56"/>
      <c r="G42" s="56">
        <v>109200</v>
      </c>
      <c r="H42" s="57" t="s">
        <v>29</v>
      </c>
      <c r="I42" s="108"/>
      <c r="J42" s="108"/>
      <c r="K42" s="56">
        <v>109200</v>
      </c>
      <c r="L42" s="56" t="s">
        <v>995</v>
      </c>
      <c r="M42" s="56">
        <f t="shared" si="0"/>
        <v>0</v>
      </c>
    </row>
    <row r="43" spans="1:13" s="75" customFormat="1" ht="12.75" x14ac:dyDescent="0.2">
      <c r="A43" s="52">
        <v>45707</v>
      </c>
      <c r="B43" s="45" t="s">
        <v>167</v>
      </c>
      <c r="C43" s="45" t="s">
        <v>166</v>
      </c>
      <c r="D43" s="56">
        <v>109200</v>
      </c>
      <c r="E43" s="56"/>
      <c r="F43" s="56"/>
      <c r="G43" s="56">
        <v>109200</v>
      </c>
      <c r="H43" s="57" t="s">
        <v>29</v>
      </c>
      <c r="I43" s="108"/>
      <c r="J43" s="108"/>
      <c r="K43" s="56">
        <v>109200</v>
      </c>
      <c r="L43" s="56" t="s">
        <v>587</v>
      </c>
      <c r="M43" s="56">
        <f t="shared" si="0"/>
        <v>0</v>
      </c>
    </row>
    <row r="44" spans="1:13" s="75" customFormat="1" ht="12.75" x14ac:dyDescent="0.2">
      <c r="A44" s="52">
        <v>45708</v>
      </c>
      <c r="B44" s="45" t="s">
        <v>168</v>
      </c>
      <c r="C44" s="45" t="s">
        <v>169</v>
      </c>
      <c r="D44" s="56">
        <v>510000</v>
      </c>
      <c r="E44" s="56"/>
      <c r="F44" s="56"/>
      <c r="G44" s="56">
        <v>510000</v>
      </c>
      <c r="H44" s="45"/>
      <c r="I44" s="56">
        <v>255000</v>
      </c>
      <c r="J44" s="56" t="s">
        <v>235</v>
      </c>
      <c r="K44" s="56">
        <v>153000</v>
      </c>
      <c r="L44" s="56" t="s">
        <v>1012</v>
      </c>
      <c r="M44" s="56">
        <f t="shared" si="0"/>
        <v>102000</v>
      </c>
    </row>
    <row r="45" spans="1:13" s="75" customFormat="1" ht="12.75" x14ac:dyDescent="0.2">
      <c r="A45" s="52">
        <v>45708</v>
      </c>
      <c r="B45" s="45" t="s">
        <v>170</v>
      </c>
      <c r="C45" s="45" t="s">
        <v>171</v>
      </c>
      <c r="D45" s="56">
        <v>358000</v>
      </c>
      <c r="E45" s="56"/>
      <c r="F45" s="56"/>
      <c r="G45" s="56">
        <v>358000</v>
      </c>
      <c r="H45" s="45"/>
      <c r="I45" s="56">
        <v>179000</v>
      </c>
      <c r="J45" s="56" t="s">
        <v>270</v>
      </c>
      <c r="K45" s="56"/>
      <c r="L45" s="56"/>
      <c r="M45" s="56">
        <f t="shared" si="0"/>
        <v>179000</v>
      </c>
    </row>
    <row r="46" spans="1:13" s="75" customFormat="1" ht="12.75" x14ac:dyDescent="0.2">
      <c r="A46" s="52">
        <v>45709</v>
      </c>
      <c r="B46" s="45" t="s">
        <v>172</v>
      </c>
      <c r="C46" s="45" t="s">
        <v>173</v>
      </c>
      <c r="D46" s="56">
        <v>29000</v>
      </c>
      <c r="E46" s="56"/>
      <c r="F46" s="56"/>
      <c r="G46" s="56">
        <v>29000</v>
      </c>
      <c r="H46" s="57" t="s">
        <v>29</v>
      </c>
      <c r="I46" s="108"/>
      <c r="J46" s="108"/>
      <c r="K46" s="56">
        <v>29000</v>
      </c>
      <c r="L46" s="56" t="s">
        <v>396</v>
      </c>
      <c r="M46" s="56">
        <f t="shared" si="0"/>
        <v>0</v>
      </c>
    </row>
    <row r="47" spans="1:13" s="75" customFormat="1" ht="12.75" x14ac:dyDescent="0.2">
      <c r="A47" s="52">
        <v>45712</v>
      </c>
      <c r="B47" s="45" t="s">
        <v>204</v>
      </c>
      <c r="C47" s="45" t="s">
        <v>34</v>
      </c>
      <c r="D47" s="56">
        <v>12000</v>
      </c>
      <c r="E47" s="56"/>
      <c r="F47" s="56"/>
      <c r="G47" s="56">
        <v>12000</v>
      </c>
      <c r="H47" s="57" t="s">
        <v>29</v>
      </c>
      <c r="I47" s="108"/>
      <c r="J47" s="108"/>
      <c r="K47" s="56">
        <v>12000</v>
      </c>
      <c r="L47" s="56" t="s">
        <v>509</v>
      </c>
      <c r="M47" s="56">
        <f t="shared" si="0"/>
        <v>0</v>
      </c>
    </row>
    <row r="48" spans="1:13" s="75" customFormat="1" ht="12.75" x14ac:dyDescent="0.2">
      <c r="A48" s="52">
        <v>45712</v>
      </c>
      <c r="B48" s="45" t="s">
        <v>203</v>
      </c>
      <c r="C48" s="45" t="s">
        <v>34</v>
      </c>
      <c r="D48" s="56">
        <v>12000</v>
      </c>
      <c r="E48" s="56"/>
      <c r="F48" s="56"/>
      <c r="G48" s="56">
        <v>12000</v>
      </c>
      <c r="H48" s="99" t="s">
        <v>29</v>
      </c>
      <c r="I48" s="108"/>
      <c r="J48" s="108"/>
      <c r="K48" s="56">
        <v>12000</v>
      </c>
      <c r="L48" s="56" t="s">
        <v>310</v>
      </c>
      <c r="M48" s="56">
        <f t="shared" si="0"/>
        <v>0</v>
      </c>
    </row>
    <row r="49" spans="1:13" s="75" customFormat="1" ht="12.75" x14ac:dyDescent="0.2">
      <c r="A49" s="52">
        <v>45712</v>
      </c>
      <c r="B49" s="45" t="s">
        <v>205</v>
      </c>
      <c r="C49" s="45" t="s">
        <v>34</v>
      </c>
      <c r="D49" s="56">
        <v>12000</v>
      </c>
      <c r="E49" s="56"/>
      <c r="F49" s="56"/>
      <c r="G49" s="56">
        <v>12000</v>
      </c>
      <c r="H49" s="99" t="s">
        <v>29</v>
      </c>
      <c r="I49" s="108"/>
      <c r="J49" s="108"/>
      <c r="K49" s="56">
        <v>12000</v>
      </c>
      <c r="L49" s="56" t="s">
        <v>311</v>
      </c>
      <c r="M49" s="56">
        <f t="shared" si="0"/>
        <v>0</v>
      </c>
    </row>
    <row r="50" spans="1:13" s="75" customFormat="1" ht="12.75" x14ac:dyDescent="0.2">
      <c r="A50" s="52">
        <v>45713</v>
      </c>
      <c r="B50" s="45" t="s">
        <v>206</v>
      </c>
      <c r="C50" s="45" t="s">
        <v>34</v>
      </c>
      <c r="D50" s="56">
        <v>14000</v>
      </c>
      <c r="E50" s="56"/>
      <c r="F50" s="56"/>
      <c r="G50" s="56">
        <v>14000</v>
      </c>
      <c r="H50" s="99" t="s">
        <v>29</v>
      </c>
      <c r="I50" s="108"/>
      <c r="J50" s="108"/>
      <c r="K50" s="56">
        <v>14000</v>
      </c>
      <c r="L50" s="56" t="s">
        <v>219</v>
      </c>
      <c r="M50" s="56">
        <f t="shared" si="0"/>
        <v>0</v>
      </c>
    </row>
    <row r="51" spans="1:13" s="75" customFormat="1" ht="12.75" x14ac:dyDescent="0.2">
      <c r="A51" s="114"/>
      <c r="B51" s="114"/>
      <c r="C51" s="114"/>
      <c r="D51" s="115"/>
      <c r="E51" s="115"/>
      <c r="F51" s="115"/>
      <c r="G51" s="115"/>
      <c r="H51" s="114"/>
      <c r="I51" s="115"/>
      <c r="J51" s="115"/>
      <c r="K51" s="115"/>
      <c r="L51" s="115"/>
      <c r="M51" s="115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A3982-A6FB-4CC1-BE46-F1BE738DB246}">
  <dimension ref="A1:M65"/>
  <sheetViews>
    <sheetView topLeftCell="A12" zoomScale="99" zoomScaleNormal="99" workbookViewId="0">
      <selection activeCell="B18" sqref="B18"/>
    </sheetView>
  </sheetViews>
  <sheetFormatPr defaultRowHeight="15" x14ac:dyDescent="0.25"/>
  <cols>
    <col min="1" max="1" width="9.28515625" customWidth="1"/>
    <col min="2" max="2" width="47.140625" customWidth="1"/>
    <col min="3" max="3" width="46.140625" customWidth="1"/>
    <col min="4" max="4" width="12.42578125" style="116" customWidth="1"/>
    <col min="5" max="5" width="14.42578125" style="116" customWidth="1"/>
    <col min="6" max="6" width="13.42578125" customWidth="1"/>
    <col min="7" max="7" width="14.85546875" customWidth="1"/>
    <col min="8" max="8" width="10" customWidth="1"/>
    <col min="9" max="9" width="11.5703125" customWidth="1"/>
    <col min="10" max="10" width="10" customWidth="1"/>
    <col min="11" max="11" width="12.7109375" customWidth="1"/>
    <col min="12" max="12" width="13.5703125" customWidth="1"/>
    <col min="13" max="13" width="15.140625" customWidth="1"/>
  </cols>
  <sheetData>
    <row r="1" spans="1:13" x14ac:dyDescent="0.25">
      <c r="A1" s="1" t="s">
        <v>0</v>
      </c>
      <c r="B1" s="2"/>
      <c r="C1" s="3"/>
      <c r="D1" s="66"/>
      <c r="E1" s="66"/>
      <c r="F1" s="43"/>
      <c r="G1" s="43"/>
      <c r="H1" s="4"/>
      <c r="I1" s="36"/>
      <c r="J1" s="36"/>
      <c r="K1" s="5"/>
    </row>
    <row r="2" spans="1:13" x14ac:dyDescent="0.25">
      <c r="A2" s="1" t="s">
        <v>1</v>
      </c>
      <c r="B2" s="2"/>
      <c r="C2" s="3"/>
      <c r="D2" s="66"/>
      <c r="E2" s="66"/>
      <c r="F2" s="43"/>
      <c r="G2" s="43"/>
      <c r="H2" s="4"/>
      <c r="I2" s="36"/>
      <c r="J2" s="36"/>
      <c r="K2" s="5"/>
    </row>
    <row r="3" spans="1:13" x14ac:dyDescent="0.25">
      <c r="A3" s="1"/>
      <c r="B3" s="2"/>
      <c r="C3" s="3"/>
      <c r="D3" s="66"/>
      <c r="E3" s="66"/>
      <c r="F3" s="43"/>
      <c r="G3" s="43"/>
      <c r="H3" s="4"/>
      <c r="I3" s="36"/>
      <c r="J3" s="36"/>
      <c r="K3" s="5"/>
    </row>
    <row r="4" spans="1:13" x14ac:dyDescent="0.25">
      <c r="A4" s="6"/>
      <c r="B4" s="2" t="s">
        <v>2</v>
      </c>
      <c r="C4" s="3"/>
      <c r="D4" s="66"/>
      <c r="E4" s="66"/>
      <c r="F4" s="43"/>
      <c r="G4" s="43"/>
      <c r="H4" s="4"/>
      <c r="I4" s="36"/>
      <c r="J4" s="36"/>
      <c r="K4" s="5"/>
    </row>
    <row r="5" spans="1:13" ht="15.75" thickBot="1" x14ac:dyDescent="0.3">
      <c r="A5" s="7"/>
      <c r="B5" s="8" t="s">
        <v>3</v>
      </c>
      <c r="C5" s="5"/>
      <c r="D5" s="67"/>
      <c r="E5" s="67"/>
      <c r="F5" s="37"/>
      <c r="G5" s="37"/>
      <c r="H5" s="9"/>
      <c r="I5" s="37"/>
      <c r="J5" s="37"/>
      <c r="K5" s="5"/>
    </row>
    <row r="6" spans="1:13" ht="25.5" x14ac:dyDescent="0.25">
      <c r="A6" s="10" t="s">
        <v>4</v>
      </c>
      <c r="B6" s="11" t="s">
        <v>5</v>
      </c>
      <c r="C6" s="12" t="s">
        <v>6</v>
      </c>
      <c r="D6" s="68"/>
      <c r="E6" s="120"/>
      <c r="F6" s="14"/>
      <c r="G6" s="15" t="s">
        <v>7</v>
      </c>
      <c r="H6" s="46" t="s">
        <v>8</v>
      </c>
      <c r="I6" s="16" t="s">
        <v>9</v>
      </c>
      <c r="J6" s="16" t="s">
        <v>10</v>
      </c>
      <c r="K6" s="16" t="s">
        <v>9</v>
      </c>
      <c r="L6" s="16" t="s">
        <v>10</v>
      </c>
      <c r="M6" s="17"/>
    </row>
    <row r="7" spans="1:13" ht="15.75" thickBot="1" x14ac:dyDescent="0.3">
      <c r="A7" s="21"/>
      <c r="B7" s="22"/>
      <c r="C7" s="23"/>
      <c r="D7" s="69" t="s">
        <v>11</v>
      </c>
      <c r="E7" s="69" t="s">
        <v>12</v>
      </c>
      <c r="F7" s="24" t="s">
        <v>13</v>
      </c>
      <c r="G7" s="25"/>
      <c r="H7" s="26"/>
      <c r="I7" s="27" t="s">
        <v>14</v>
      </c>
      <c r="J7" s="27" t="s">
        <v>14</v>
      </c>
      <c r="K7" s="18" t="s">
        <v>15</v>
      </c>
      <c r="L7" s="18" t="s">
        <v>15</v>
      </c>
      <c r="M7" s="19" t="s">
        <v>16</v>
      </c>
    </row>
    <row r="8" spans="1:13" ht="15.75" thickBot="1" x14ac:dyDescent="0.3">
      <c r="A8" s="31" t="s">
        <v>209</v>
      </c>
      <c r="B8" s="89"/>
      <c r="C8" s="89"/>
      <c r="D8" s="121">
        <f>SUM(D9:D1020)</f>
        <v>277350</v>
      </c>
      <c r="E8" s="121">
        <f>SUM(E9:E13)</f>
        <v>0</v>
      </c>
      <c r="F8" s="93">
        <f>SUM(F9:F520)</f>
        <v>970000</v>
      </c>
      <c r="G8" s="93">
        <f>SUM(D8:F8)</f>
        <v>1247350</v>
      </c>
      <c r="H8" s="89"/>
      <c r="I8" s="89"/>
      <c r="J8" s="89"/>
      <c r="K8" s="89"/>
      <c r="L8" s="89"/>
      <c r="M8" s="90"/>
    </row>
    <row r="9" spans="1:13" x14ac:dyDescent="0.25">
      <c r="A9" s="117">
        <v>45719</v>
      </c>
      <c r="B9" s="92" t="s">
        <v>213</v>
      </c>
      <c r="C9" s="92" t="s">
        <v>214</v>
      </c>
      <c r="D9" s="29"/>
      <c r="E9" s="29"/>
      <c r="F9" s="29">
        <v>11500</v>
      </c>
      <c r="G9" s="29">
        <v>11500</v>
      </c>
      <c r="H9" s="94" t="s">
        <v>29</v>
      </c>
      <c r="I9" s="104"/>
      <c r="J9" s="104"/>
      <c r="K9" s="119">
        <v>11500</v>
      </c>
      <c r="L9" s="119" t="s">
        <v>215</v>
      </c>
      <c r="M9" s="30">
        <f t="shared" ref="M9:M44" si="0">SUM(G9-I9-K9)</f>
        <v>0</v>
      </c>
    </row>
    <row r="10" spans="1:13" x14ac:dyDescent="0.25">
      <c r="A10" s="109">
        <v>45719</v>
      </c>
      <c r="B10" s="73" t="s">
        <v>216</v>
      </c>
      <c r="C10" s="73" t="s">
        <v>217</v>
      </c>
      <c r="D10" s="28"/>
      <c r="E10" s="28"/>
      <c r="F10" s="28">
        <v>85000</v>
      </c>
      <c r="G10" s="28">
        <v>85000</v>
      </c>
      <c r="H10" s="94" t="s">
        <v>29</v>
      </c>
      <c r="I10" s="28">
        <v>42500</v>
      </c>
      <c r="J10" s="73" t="s">
        <v>406</v>
      </c>
      <c r="K10" s="58">
        <v>42500</v>
      </c>
      <c r="L10" s="58" t="s">
        <v>467</v>
      </c>
      <c r="M10" s="20">
        <f t="shared" si="0"/>
        <v>0</v>
      </c>
    </row>
    <row r="11" spans="1:13" x14ac:dyDescent="0.25">
      <c r="A11" s="109">
        <v>45719</v>
      </c>
      <c r="B11" s="73" t="s">
        <v>218</v>
      </c>
      <c r="C11" s="73" t="s">
        <v>236</v>
      </c>
      <c r="D11" s="28"/>
      <c r="E11" s="28"/>
      <c r="F11" s="28">
        <v>49300</v>
      </c>
      <c r="G11" s="28">
        <v>49300</v>
      </c>
      <c r="H11" s="94" t="s">
        <v>29</v>
      </c>
      <c r="I11" s="28">
        <v>24650</v>
      </c>
      <c r="J11" s="73" t="s">
        <v>290</v>
      </c>
      <c r="K11" s="58">
        <v>24650</v>
      </c>
      <c r="L11" s="58" t="s">
        <v>1138</v>
      </c>
      <c r="M11" s="30">
        <f t="shared" si="0"/>
        <v>0</v>
      </c>
    </row>
    <row r="12" spans="1:13" x14ac:dyDescent="0.25">
      <c r="A12" s="109">
        <v>45727</v>
      </c>
      <c r="B12" s="73" t="s">
        <v>964</v>
      </c>
      <c r="C12" s="73" t="s">
        <v>242</v>
      </c>
      <c r="D12" s="28"/>
      <c r="E12" s="28"/>
      <c r="F12" s="28">
        <v>152000</v>
      </c>
      <c r="G12" s="28">
        <v>152000</v>
      </c>
      <c r="H12" s="94" t="s">
        <v>29</v>
      </c>
      <c r="I12" s="139"/>
      <c r="J12" s="139"/>
      <c r="K12" s="58">
        <v>152000</v>
      </c>
      <c r="L12" s="58" t="s">
        <v>1136</v>
      </c>
      <c r="M12" s="20">
        <f t="shared" si="0"/>
        <v>0</v>
      </c>
    </row>
    <row r="13" spans="1:13" x14ac:dyDescent="0.25">
      <c r="A13" s="109">
        <v>45727</v>
      </c>
      <c r="B13" s="73" t="s">
        <v>283</v>
      </c>
      <c r="C13" s="73" t="s">
        <v>28</v>
      </c>
      <c r="D13" s="28"/>
      <c r="E13" s="28"/>
      <c r="F13" s="28">
        <v>10000</v>
      </c>
      <c r="G13" s="28">
        <v>10000</v>
      </c>
      <c r="H13" s="94" t="s">
        <v>29</v>
      </c>
      <c r="I13" s="105"/>
      <c r="J13" s="105"/>
      <c r="K13" s="58">
        <v>10000</v>
      </c>
      <c r="L13" s="58" t="s">
        <v>1137</v>
      </c>
      <c r="M13" s="30">
        <f t="shared" si="0"/>
        <v>0</v>
      </c>
    </row>
    <row r="14" spans="1:13" x14ac:dyDescent="0.25">
      <c r="A14" s="109">
        <v>45727</v>
      </c>
      <c r="B14" s="73" t="s">
        <v>243</v>
      </c>
      <c r="C14" s="73" t="s">
        <v>32</v>
      </c>
      <c r="D14" s="28"/>
      <c r="E14" s="28"/>
      <c r="F14" s="28">
        <v>30000</v>
      </c>
      <c r="G14" s="28">
        <v>30000</v>
      </c>
      <c r="H14" s="94" t="s">
        <v>29</v>
      </c>
      <c r="I14" s="105"/>
      <c r="J14" s="105"/>
      <c r="K14" s="58">
        <v>30000</v>
      </c>
      <c r="L14" s="58" t="s">
        <v>1139</v>
      </c>
      <c r="M14" s="20">
        <f t="shared" si="0"/>
        <v>0</v>
      </c>
    </row>
    <row r="15" spans="1:13" x14ac:dyDescent="0.25">
      <c r="A15" s="109">
        <v>45727</v>
      </c>
      <c r="B15" s="73" t="s">
        <v>282</v>
      </c>
      <c r="C15" s="73" t="s">
        <v>32</v>
      </c>
      <c r="D15" s="28"/>
      <c r="E15" s="28"/>
      <c r="F15" s="28">
        <v>40000</v>
      </c>
      <c r="G15" s="28">
        <v>40000</v>
      </c>
      <c r="H15" s="94" t="s">
        <v>29</v>
      </c>
      <c r="I15" s="122"/>
      <c r="J15" s="105"/>
      <c r="K15" s="58">
        <v>40000</v>
      </c>
      <c r="L15" s="58" t="s">
        <v>1140</v>
      </c>
      <c r="M15" s="30">
        <f t="shared" si="0"/>
        <v>0</v>
      </c>
    </row>
    <row r="16" spans="1:13" x14ac:dyDescent="0.25">
      <c r="A16" s="109">
        <v>45727</v>
      </c>
      <c r="B16" s="73" t="s">
        <v>244</v>
      </c>
      <c r="C16" s="73" t="s">
        <v>245</v>
      </c>
      <c r="D16" s="28"/>
      <c r="E16" s="28"/>
      <c r="F16" s="28">
        <v>40000</v>
      </c>
      <c r="G16" s="28">
        <v>40000</v>
      </c>
      <c r="H16" s="94" t="s">
        <v>29</v>
      </c>
      <c r="I16" s="105"/>
      <c r="J16" s="105"/>
      <c r="K16" s="58">
        <v>40000</v>
      </c>
      <c r="L16" s="58" t="s">
        <v>1141</v>
      </c>
      <c r="M16" s="30">
        <f t="shared" si="0"/>
        <v>0</v>
      </c>
    </row>
    <row r="17" spans="1:13" x14ac:dyDescent="0.25">
      <c r="A17" s="109">
        <v>45727</v>
      </c>
      <c r="B17" s="73" t="s">
        <v>246</v>
      </c>
      <c r="C17" s="73" t="s">
        <v>95</v>
      </c>
      <c r="D17" s="28"/>
      <c r="E17" s="28"/>
      <c r="F17" s="28">
        <v>2500</v>
      </c>
      <c r="G17" s="28">
        <v>2500</v>
      </c>
      <c r="H17" s="94" t="s">
        <v>29</v>
      </c>
      <c r="I17" s="105"/>
      <c r="J17" s="105"/>
      <c r="K17" s="58">
        <v>2500</v>
      </c>
      <c r="L17" s="58" t="s">
        <v>254</v>
      </c>
      <c r="M17" s="30">
        <f t="shared" si="0"/>
        <v>0</v>
      </c>
    </row>
    <row r="18" spans="1:13" x14ac:dyDescent="0.25">
      <c r="A18" s="109">
        <v>45730</v>
      </c>
      <c r="B18" s="73" t="s">
        <v>247</v>
      </c>
      <c r="C18" s="73" t="s">
        <v>25</v>
      </c>
      <c r="D18" s="28"/>
      <c r="E18" s="28"/>
      <c r="F18" s="28">
        <v>120700</v>
      </c>
      <c r="G18" s="28">
        <v>120700</v>
      </c>
      <c r="H18" s="94" t="s">
        <v>29</v>
      </c>
      <c r="I18" s="28">
        <v>60350</v>
      </c>
      <c r="J18" s="73" t="s">
        <v>253</v>
      </c>
      <c r="K18" s="58">
        <v>60350</v>
      </c>
      <c r="L18" s="58" t="s">
        <v>797</v>
      </c>
      <c r="M18" s="30">
        <f t="shared" si="0"/>
        <v>0</v>
      </c>
    </row>
    <row r="19" spans="1:13" x14ac:dyDescent="0.25">
      <c r="A19" s="109">
        <v>45730</v>
      </c>
      <c r="B19" s="73" t="s">
        <v>248</v>
      </c>
      <c r="C19" s="73" t="s">
        <v>25</v>
      </c>
      <c r="D19" s="28"/>
      <c r="E19" s="28"/>
      <c r="F19" s="28">
        <v>201200</v>
      </c>
      <c r="G19" s="28">
        <v>201200</v>
      </c>
      <c r="H19" s="94" t="s">
        <v>29</v>
      </c>
      <c r="I19" s="28">
        <v>100600</v>
      </c>
      <c r="J19" s="73" t="s">
        <v>252</v>
      </c>
      <c r="K19" s="58">
        <v>100600</v>
      </c>
      <c r="L19" s="58" t="s">
        <v>796</v>
      </c>
      <c r="M19" s="30">
        <f t="shared" si="0"/>
        <v>0</v>
      </c>
    </row>
    <row r="20" spans="1:13" x14ac:dyDescent="0.25">
      <c r="A20" s="109">
        <v>45730</v>
      </c>
      <c r="B20" s="73" t="s">
        <v>249</v>
      </c>
      <c r="C20" s="73" t="s">
        <v>250</v>
      </c>
      <c r="D20" s="28"/>
      <c r="E20" s="28"/>
      <c r="F20" s="28">
        <v>1000</v>
      </c>
      <c r="G20" s="28">
        <v>1000</v>
      </c>
      <c r="H20" s="94" t="s">
        <v>29</v>
      </c>
      <c r="I20" s="105"/>
      <c r="J20" s="105"/>
      <c r="K20" s="58">
        <v>1000</v>
      </c>
      <c r="L20" s="58" t="s">
        <v>251</v>
      </c>
      <c r="M20" s="30">
        <f t="shared" si="0"/>
        <v>0</v>
      </c>
    </row>
    <row r="21" spans="1:13" x14ac:dyDescent="0.25">
      <c r="A21" s="109">
        <v>45733</v>
      </c>
      <c r="B21" s="73" t="s">
        <v>265</v>
      </c>
      <c r="C21" s="73" t="s">
        <v>266</v>
      </c>
      <c r="D21" s="28"/>
      <c r="E21" s="28"/>
      <c r="F21" s="28">
        <v>93800</v>
      </c>
      <c r="G21" s="28">
        <v>93800</v>
      </c>
      <c r="H21" s="94" t="s">
        <v>29</v>
      </c>
      <c r="I21" s="139"/>
      <c r="J21" s="139"/>
      <c r="K21" s="58">
        <v>93800</v>
      </c>
      <c r="L21" s="58" t="s">
        <v>452</v>
      </c>
      <c r="M21" s="30">
        <f t="shared" si="0"/>
        <v>0</v>
      </c>
    </row>
    <row r="22" spans="1:13" x14ac:dyDescent="0.25">
      <c r="A22" s="109">
        <v>45741</v>
      </c>
      <c r="B22" s="73" t="s">
        <v>284</v>
      </c>
      <c r="C22" s="73" t="s">
        <v>285</v>
      </c>
      <c r="D22" s="28"/>
      <c r="E22" s="28"/>
      <c r="F22" s="28">
        <v>2000</v>
      </c>
      <c r="G22" s="28">
        <v>2000</v>
      </c>
      <c r="H22" s="94" t="s">
        <v>29</v>
      </c>
      <c r="I22" s="105"/>
      <c r="J22" s="105"/>
      <c r="K22" s="58">
        <v>2000</v>
      </c>
      <c r="L22" s="58" t="s">
        <v>286</v>
      </c>
      <c r="M22" s="30">
        <f t="shared" si="0"/>
        <v>0</v>
      </c>
    </row>
    <row r="23" spans="1:13" x14ac:dyDescent="0.25">
      <c r="A23" s="109">
        <v>45747</v>
      </c>
      <c r="B23" s="73" t="s">
        <v>293</v>
      </c>
      <c r="C23" s="73" t="s">
        <v>54</v>
      </c>
      <c r="D23" s="28"/>
      <c r="E23" s="28"/>
      <c r="F23" s="28">
        <v>131000</v>
      </c>
      <c r="G23" s="28">
        <v>131000</v>
      </c>
      <c r="H23" s="94" t="s">
        <v>29</v>
      </c>
      <c r="I23" s="28">
        <v>56250</v>
      </c>
      <c r="J23" s="73" t="s">
        <v>294</v>
      </c>
      <c r="K23" s="58">
        <v>74750</v>
      </c>
      <c r="L23" s="58" t="s">
        <v>448</v>
      </c>
      <c r="M23" s="30">
        <f t="shared" si="0"/>
        <v>0</v>
      </c>
    </row>
    <row r="24" spans="1:13" x14ac:dyDescent="0.25">
      <c r="A24" s="124"/>
      <c r="B24" s="110"/>
      <c r="C24" s="110"/>
      <c r="D24" s="112"/>
      <c r="E24" s="112"/>
      <c r="F24" s="112"/>
      <c r="G24" s="112"/>
      <c r="H24" s="113"/>
      <c r="I24" s="110"/>
      <c r="J24" s="110"/>
      <c r="K24" s="125"/>
      <c r="L24" s="125"/>
      <c r="M24" s="126">
        <f t="shared" si="0"/>
        <v>0</v>
      </c>
    </row>
    <row r="25" spans="1:13" x14ac:dyDescent="0.25">
      <c r="A25" s="109">
        <v>45720</v>
      </c>
      <c r="B25" s="73" t="s">
        <v>220</v>
      </c>
      <c r="C25" s="73" t="s">
        <v>25</v>
      </c>
      <c r="D25" s="28"/>
      <c r="E25" s="28">
        <v>49000</v>
      </c>
      <c r="F25" s="28"/>
      <c r="G25" s="28">
        <v>49000</v>
      </c>
      <c r="H25" s="137" t="s">
        <v>29</v>
      </c>
      <c r="I25" s="28">
        <v>24500</v>
      </c>
      <c r="J25" s="73" t="s">
        <v>292</v>
      </c>
      <c r="K25" s="41">
        <v>24500</v>
      </c>
      <c r="L25" s="41" t="s">
        <v>489</v>
      </c>
      <c r="M25" s="30">
        <f t="shared" si="0"/>
        <v>0</v>
      </c>
    </row>
    <row r="26" spans="1:13" x14ac:dyDescent="0.25">
      <c r="A26" s="109">
        <v>45720</v>
      </c>
      <c r="B26" s="73" t="s">
        <v>221</v>
      </c>
      <c r="C26" s="73" t="s">
        <v>25</v>
      </c>
      <c r="D26" s="28"/>
      <c r="E26" s="28">
        <v>57000</v>
      </c>
      <c r="F26" s="28"/>
      <c r="G26" s="28">
        <v>57000</v>
      </c>
      <c r="H26" s="137" t="s">
        <v>29</v>
      </c>
      <c r="I26" s="28">
        <v>28500</v>
      </c>
      <c r="J26" s="73" t="s">
        <v>355</v>
      </c>
      <c r="K26" s="41">
        <v>28500</v>
      </c>
      <c r="L26" s="41" t="s">
        <v>670</v>
      </c>
      <c r="M26" s="20">
        <f t="shared" si="0"/>
        <v>0</v>
      </c>
    </row>
    <row r="27" spans="1:13" x14ac:dyDescent="0.25">
      <c r="A27" s="109">
        <v>45720</v>
      </c>
      <c r="B27" s="73" t="s">
        <v>222</v>
      </c>
      <c r="C27" s="73" t="s">
        <v>25</v>
      </c>
      <c r="D27" s="28"/>
      <c r="E27" s="28">
        <v>47000</v>
      </c>
      <c r="F27" s="28"/>
      <c r="G27" s="28">
        <v>47000</v>
      </c>
      <c r="H27" s="137" t="s">
        <v>29</v>
      </c>
      <c r="I27" s="28">
        <v>23500</v>
      </c>
      <c r="J27" s="73" t="s">
        <v>356</v>
      </c>
      <c r="K27" s="41">
        <v>23500</v>
      </c>
      <c r="L27" s="41" t="s">
        <v>671</v>
      </c>
      <c r="M27" s="30">
        <f t="shared" si="0"/>
        <v>0</v>
      </c>
    </row>
    <row r="28" spans="1:13" x14ac:dyDescent="0.25">
      <c r="A28" s="109">
        <v>45720</v>
      </c>
      <c r="B28" s="73" t="s">
        <v>223</v>
      </c>
      <c r="C28" s="73" t="s">
        <v>25</v>
      </c>
      <c r="D28" s="28"/>
      <c r="E28" s="28">
        <v>114200</v>
      </c>
      <c r="F28" s="28"/>
      <c r="G28" s="28">
        <v>114200</v>
      </c>
      <c r="H28" s="137" t="s">
        <v>29</v>
      </c>
      <c r="I28" s="28">
        <v>57100</v>
      </c>
      <c r="J28" s="73" t="s">
        <v>268</v>
      </c>
      <c r="K28" s="41">
        <v>57100</v>
      </c>
      <c r="L28" s="41" t="s">
        <v>490</v>
      </c>
      <c r="M28" s="20">
        <f t="shared" si="0"/>
        <v>0</v>
      </c>
    </row>
    <row r="29" spans="1:13" x14ac:dyDescent="0.25">
      <c r="A29" s="109">
        <v>45720</v>
      </c>
      <c r="B29" s="73" t="s">
        <v>224</v>
      </c>
      <c r="C29" s="73" t="s">
        <v>25</v>
      </c>
      <c r="D29" s="28"/>
      <c r="E29" s="28">
        <v>72500</v>
      </c>
      <c r="F29" s="28"/>
      <c r="G29" s="28">
        <v>72500</v>
      </c>
      <c r="H29" s="137" t="s">
        <v>29</v>
      </c>
      <c r="I29" s="28">
        <v>36250</v>
      </c>
      <c r="J29" s="73" t="s">
        <v>291</v>
      </c>
      <c r="K29" s="41">
        <v>36250</v>
      </c>
      <c r="L29" s="41" t="s">
        <v>491</v>
      </c>
      <c r="M29" s="30">
        <f t="shared" si="0"/>
        <v>0</v>
      </c>
    </row>
    <row r="30" spans="1:13" x14ac:dyDescent="0.25">
      <c r="A30" s="109">
        <v>45720</v>
      </c>
      <c r="B30" s="73" t="s">
        <v>225</v>
      </c>
      <c r="C30" s="73" t="s">
        <v>25</v>
      </c>
      <c r="D30" s="28"/>
      <c r="E30" s="28">
        <v>33500</v>
      </c>
      <c r="F30" s="28"/>
      <c r="G30" s="28">
        <v>33500</v>
      </c>
      <c r="H30" s="137" t="s">
        <v>29</v>
      </c>
      <c r="I30" s="28">
        <v>16750</v>
      </c>
      <c r="J30" s="73" t="s">
        <v>399</v>
      </c>
      <c r="K30" s="28">
        <v>16750</v>
      </c>
      <c r="L30" s="71" t="s">
        <v>741</v>
      </c>
      <c r="M30" s="20">
        <f t="shared" si="0"/>
        <v>0</v>
      </c>
    </row>
    <row r="31" spans="1:13" x14ac:dyDescent="0.25">
      <c r="A31" s="109">
        <v>45720</v>
      </c>
      <c r="B31" s="73" t="s">
        <v>226</v>
      </c>
      <c r="C31" s="73" t="s">
        <v>227</v>
      </c>
      <c r="D31" s="28"/>
      <c r="E31" s="28">
        <v>40000</v>
      </c>
      <c r="F31" s="28"/>
      <c r="G31" s="28">
        <v>40000</v>
      </c>
      <c r="H31" s="137" t="s">
        <v>29</v>
      </c>
      <c r="I31" s="28">
        <v>20000</v>
      </c>
      <c r="J31" s="73" t="s">
        <v>234</v>
      </c>
      <c r="K31" s="41">
        <v>20000</v>
      </c>
      <c r="L31" s="41" t="s">
        <v>313</v>
      </c>
      <c r="M31" s="30">
        <f t="shared" si="0"/>
        <v>0</v>
      </c>
    </row>
    <row r="32" spans="1:13" x14ac:dyDescent="0.25">
      <c r="A32" s="109">
        <v>45730</v>
      </c>
      <c r="B32" s="73" t="s">
        <v>256</v>
      </c>
      <c r="C32" s="73" t="s">
        <v>255</v>
      </c>
      <c r="D32" s="28"/>
      <c r="E32" s="28">
        <v>53000</v>
      </c>
      <c r="F32" s="28"/>
      <c r="G32" s="28">
        <v>53000</v>
      </c>
      <c r="H32" s="137" t="s">
        <v>29</v>
      </c>
      <c r="I32" s="105"/>
      <c r="J32" s="105"/>
      <c r="K32" s="41">
        <v>53000</v>
      </c>
      <c r="L32" s="41" t="s">
        <v>314</v>
      </c>
      <c r="M32" s="20">
        <f t="shared" si="0"/>
        <v>0</v>
      </c>
    </row>
    <row r="33" spans="1:13" x14ac:dyDescent="0.25">
      <c r="A33" s="124"/>
      <c r="B33" s="110"/>
      <c r="C33" s="110"/>
      <c r="D33" s="112"/>
      <c r="E33" s="115"/>
      <c r="F33" s="115"/>
      <c r="G33" s="115"/>
      <c r="H33" s="113"/>
      <c r="I33" s="110"/>
      <c r="J33" s="110"/>
      <c r="K33" s="125"/>
      <c r="L33" s="125"/>
      <c r="M33" s="126"/>
    </row>
    <row r="34" spans="1:13" x14ac:dyDescent="0.25">
      <c r="A34" s="109">
        <v>45720</v>
      </c>
      <c r="B34" s="73" t="s">
        <v>228</v>
      </c>
      <c r="C34" s="73" t="s">
        <v>59</v>
      </c>
      <c r="D34" s="28">
        <v>13000</v>
      </c>
      <c r="E34" s="28"/>
      <c r="F34" s="28"/>
      <c r="G34" s="28">
        <v>13000</v>
      </c>
      <c r="H34" s="94" t="s">
        <v>29</v>
      </c>
      <c r="I34" s="122"/>
      <c r="J34" s="105"/>
      <c r="K34" s="58">
        <v>13000</v>
      </c>
      <c r="L34" s="58" t="s">
        <v>498</v>
      </c>
      <c r="M34" s="30">
        <f t="shared" si="0"/>
        <v>0</v>
      </c>
    </row>
    <row r="35" spans="1:13" x14ac:dyDescent="0.25">
      <c r="A35" s="109">
        <v>45720</v>
      </c>
      <c r="B35" s="73" t="s">
        <v>229</v>
      </c>
      <c r="C35" s="73" t="s">
        <v>32</v>
      </c>
      <c r="D35" s="28">
        <v>19500</v>
      </c>
      <c r="E35" s="28"/>
      <c r="F35" s="28"/>
      <c r="G35" s="28">
        <v>19500</v>
      </c>
      <c r="H35" s="94" t="s">
        <v>29</v>
      </c>
      <c r="I35" s="122"/>
      <c r="J35" s="105"/>
      <c r="K35" s="58">
        <v>19500</v>
      </c>
      <c r="L35" s="58" t="s">
        <v>492</v>
      </c>
      <c r="M35" s="20">
        <f t="shared" si="0"/>
        <v>0</v>
      </c>
    </row>
    <row r="36" spans="1:13" x14ac:dyDescent="0.25">
      <c r="A36" s="109">
        <v>45720</v>
      </c>
      <c r="B36" s="73" t="s">
        <v>230</v>
      </c>
      <c r="C36" s="73" t="s">
        <v>28</v>
      </c>
      <c r="D36" s="28">
        <v>6500</v>
      </c>
      <c r="E36" s="28"/>
      <c r="F36" s="28"/>
      <c r="G36" s="28">
        <v>6500</v>
      </c>
      <c r="H36" s="94" t="s">
        <v>29</v>
      </c>
      <c r="I36" s="122"/>
      <c r="J36" s="105"/>
      <c r="K36" s="58">
        <v>6500</v>
      </c>
      <c r="L36" s="58" t="s">
        <v>493</v>
      </c>
      <c r="M36" s="30">
        <f t="shared" si="0"/>
        <v>0</v>
      </c>
    </row>
    <row r="37" spans="1:13" x14ac:dyDescent="0.25">
      <c r="A37" s="109">
        <v>45720</v>
      </c>
      <c r="B37" s="73" t="s">
        <v>231</v>
      </c>
      <c r="C37" s="73" t="s">
        <v>28</v>
      </c>
      <c r="D37" s="28">
        <v>6500</v>
      </c>
      <c r="E37" s="28"/>
      <c r="F37" s="28"/>
      <c r="G37" s="28">
        <v>6500</v>
      </c>
      <c r="H37" s="94" t="s">
        <v>29</v>
      </c>
      <c r="I37" s="122"/>
      <c r="J37" s="105"/>
      <c r="K37" s="58">
        <v>6500</v>
      </c>
      <c r="L37" s="58" t="s">
        <v>494</v>
      </c>
      <c r="M37" s="20">
        <f t="shared" si="0"/>
        <v>0</v>
      </c>
    </row>
    <row r="38" spans="1:13" x14ac:dyDescent="0.25">
      <c r="A38" s="109">
        <v>45720</v>
      </c>
      <c r="B38" s="73" t="s">
        <v>232</v>
      </c>
      <c r="C38" s="73" t="s">
        <v>32</v>
      </c>
      <c r="D38" s="28">
        <v>19500</v>
      </c>
      <c r="E38" s="28"/>
      <c r="F38" s="28"/>
      <c r="G38" s="28">
        <v>19500</v>
      </c>
      <c r="H38" s="94" t="s">
        <v>29</v>
      </c>
      <c r="I38" s="122"/>
      <c r="J38" s="105"/>
      <c r="K38" s="58">
        <v>19500</v>
      </c>
      <c r="L38" s="58" t="s">
        <v>495</v>
      </c>
      <c r="M38" s="30">
        <f t="shared" si="0"/>
        <v>0</v>
      </c>
    </row>
    <row r="39" spans="1:13" x14ac:dyDescent="0.25">
      <c r="A39" s="109">
        <v>45726</v>
      </c>
      <c r="B39" s="73" t="s">
        <v>257</v>
      </c>
      <c r="C39" s="73" t="s">
        <v>237</v>
      </c>
      <c r="D39" s="28">
        <v>89000</v>
      </c>
      <c r="E39" s="28"/>
      <c r="F39" s="28"/>
      <c r="G39" s="28">
        <v>89000</v>
      </c>
      <c r="H39" s="94" t="s">
        <v>29</v>
      </c>
      <c r="I39" s="28">
        <v>50000</v>
      </c>
      <c r="J39" s="73" t="s">
        <v>238</v>
      </c>
      <c r="K39" s="58">
        <v>39000</v>
      </c>
      <c r="L39" s="58" t="s">
        <v>496</v>
      </c>
      <c r="M39" s="20">
        <f t="shared" si="0"/>
        <v>0</v>
      </c>
    </row>
    <row r="40" spans="1:13" x14ac:dyDescent="0.25">
      <c r="A40" s="109">
        <v>45729</v>
      </c>
      <c r="B40" s="73" t="s">
        <v>258</v>
      </c>
      <c r="C40" s="73" t="s">
        <v>259</v>
      </c>
      <c r="D40" s="28">
        <v>1250</v>
      </c>
      <c r="E40" s="28"/>
      <c r="F40" s="28"/>
      <c r="G40" s="28">
        <v>1250</v>
      </c>
      <c r="H40" s="94" t="s">
        <v>29</v>
      </c>
      <c r="I40" s="122"/>
      <c r="J40" s="105"/>
      <c r="K40" s="58">
        <v>1250</v>
      </c>
      <c r="L40" s="59" t="s">
        <v>260</v>
      </c>
      <c r="M40" s="30">
        <f t="shared" si="0"/>
        <v>0</v>
      </c>
    </row>
    <row r="41" spans="1:13" x14ac:dyDescent="0.25">
      <c r="A41" s="109">
        <v>45729</v>
      </c>
      <c r="B41" s="73" t="s">
        <v>261</v>
      </c>
      <c r="C41" s="73" t="s">
        <v>262</v>
      </c>
      <c r="D41" s="28">
        <v>1500</v>
      </c>
      <c r="E41" s="28"/>
      <c r="F41" s="28"/>
      <c r="G41" s="28">
        <v>1500</v>
      </c>
      <c r="H41" s="94" t="s">
        <v>29</v>
      </c>
      <c r="I41" s="105"/>
      <c r="J41" s="105"/>
      <c r="K41" s="58">
        <v>1500</v>
      </c>
      <c r="L41" s="58" t="s">
        <v>333</v>
      </c>
      <c r="M41" s="20">
        <f t="shared" si="0"/>
        <v>0</v>
      </c>
    </row>
    <row r="42" spans="1:13" x14ac:dyDescent="0.25">
      <c r="A42" s="109">
        <v>45736</v>
      </c>
      <c r="B42" s="73" t="s">
        <v>274</v>
      </c>
      <c r="C42" s="73" t="s">
        <v>18</v>
      </c>
      <c r="D42" s="28">
        <v>98500</v>
      </c>
      <c r="E42" s="28"/>
      <c r="F42" s="28"/>
      <c r="G42" s="28">
        <v>98500</v>
      </c>
      <c r="H42" s="57" t="s">
        <v>29</v>
      </c>
      <c r="I42" s="28">
        <v>49250</v>
      </c>
      <c r="J42" s="73" t="s">
        <v>354</v>
      </c>
      <c r="K42" s="58">
        <v>49250</v>
      </c>
      <c r="L42" s="58" t="s">
        <v>397</v>
      </c>
      <c r="M42" s="30">
        <f t="shared" si="0"/>
        <v>0</v>
      </c>
    </row>
    <row r="43" spans="1:13" x14ac:dyDescent="0.25">
      <c r="A43" s="109">
        <v>45747</v>
      </c>
      <c r="B43" s="73" t="s">
        <v>276</v>
      </c>
      <c r="C43" s="73" t="s">
        <v>277</v>
      </c>
      <c r="D43" s="28">
        <v>11600</v>
      </c>
      <c r="E43" s="28"/>
      <c r="F43" s="28"/>
      <c r="G43" s="28">
        <v>11600</v>
      </c>
      <c r="H43" s="94" t="s">
        <v>29</v>
      </c>
      <c r="I43" s="123"/>
      <c r="J43" s="123"/>
      <c r="K43" s="56">
        <v>11600</v>
      </c>
      <c r="L43" s="45" t="s">
        <v>289</v>
      </c>
      <c r="M43" s="20">
        <f t="shared" si="0"/>
        <v>0</v>
      </c>
    </row>
    <row r="44" spans="1:13" x14ac:dyDescent="0.25">
      <c r="A44" s="109">
        <v>45742</v>
      </c>
      <c r="B44" s="73" t="s">
        <v>288</v>
      </c>
      <c r="C44" s="73" t="s">
        <v>287</v>
      </c>
      <c r="D44" s="28">
        <v>10500</v>
      </c>
      <c r="E44" s="28"/>
      <c r="F44" s="28"/>
      <c r="G44" s="28">
        <v>10500</v>
      </c>
      <c r="H44" s="57" t="s">
        <v>29</v>
      </c>
      <c r="I44" s="123"/>
      <c r="J44" s="123"/>
      <c r="K44" s="59">
        <v>10500</v>
      </c>
      <c r="L44" s="59" t="s">
        <v>497</v>
      </c>
      <c r="M44" s="20">
        <f t="shared" si="0"/>
        <v>0</v>
      </c>
    </row>
    <row r="45" spans="1:13" x14ac:dyDescent="0.25">
      <c r="A45" s="127"/>
      <c r="B45" s="127"/>
      <c r="C45" s="127"/>
      <c r="D45" s="128"/>
      <c r="E45" s="128"/>
      <c r="F45" s="128"/>
      <c r="G45" s="127"/>
      <c r="H45" s="129"/>
      <c r="I45" s="127"/>
      <c r="J45" s="127"/>
      <c r="K45" s="127"/>
      <c r="L45" s="127"/>
      <c r="M45" s="127"/>
    </row>
    <row r="46" spans="1:13" x14ac:dyDescent="0.25">
      <c r="F46" s="116"/>
      <c r="H46" s="118"/>
    </row>
    <row r="47" spans="1:13" x14ac:dyDescent="0.25">
      <c r="F47" s="116"/>
      <c r="H47" s="118"/>
    </row>
    <row r="48" spans="1:13" x14ac:dyDescent="0.25">
      <c r="F48" s="116"/>
      <c r="H48" s="118"/>
    </row>
    <row r="49" spans="6:8" x14ac:dyDescent="0.25">
      <c r="F49" s="116"/>
      <c r="H49" s="118"/>
    </row>
    <row r="50" spans="6:8" x14ac:dyDescent="0.25">
      <c r="F50" s="116"/>
      <c r="H50" s="118"/>
    </row>
    <row r="51" spans="6:8" x14ac:dyDescent="0.25">
      <c r="F51" s="116"/>
      <c r="H51" s="118"/>
    </row>
    <row r="52" spans="6:8" x14ac:dyDescent="0.25">
      <c r="F52" s="116"/>
      <c r="H52" s="118"/>
    </row>
    <row r="53" spans="6:8" x14ac:dyDescent="0.25">
      <c r="F53" s="116"/>
      <c r="H53" s="118"/>
    </row>
    <row r="54" spans="6:8" x14ac:dyDescent="0.25">
      <c r="F54" s="116"/>
      <c r="H54" s="118"/>
    </row>
    <row r="55" spans="6:8" x14ac:dyDescent="0.25">
      <c r="F55" s="116"/>
      <c r="H55" s="118"/>
    </row>
    <row r="56" spans="6:8" x14ac:dyDescent="0.25">
      <c r="F56" s="116"/>
      <c r="H56" s="118"/>
    </row>
    <row r="57" spans="6:8" x14ac:dyDescent="0.25">
      <c r="F57" s="116"/>
      <c r="H57" s="118"/>
    </row>
    <row r="58" spans="6:8" x14ac:dyDescent="0.25">
      <c r="F58" s="116"/>
      <c r="H58" s="118"/>
    </row>
    <row r="59" spans="6:8" x14ac:dyDescent="0.25">
      <c r="F59" s="116"/>
      <c r="H59" s="118"/>
    </row>
    <row r="60" spans="6:8" x14ac:dyDescent="0.25">
      <c r="F60" s="116"/>
      <c r="H60" s="118"/>
    </row>
    <row r="61" spans="6:8" x14ac:dyDescent="0.25">
      <c r="F61" s="116"/>
      <c r="H61" s="118"/>
    </row>
    <row r="62" spans="6:8" x14ac:dyDescent="0.25">
      <c r="H62" s="118"/>
    </row>
    <row r="63" spans="6:8" x14ac:dyDescent="0.25">
      <c r="H63" s="118"/>
    </row>
    <row r="64" spans="6:8" x14ac:dyDescent="0.25">
      <c r="H64" s="118"/>
    </row>
    <row r="65" spans="8:8" x14ac:dyDescent="0.25">
      <c r="H65" s="1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9AD1C-8D70-4CCB-8CF1-D20BDFDB3480}">
  <dimension ref="A1:M71"/>
  <sheetViews>
    <sheetView topLeftCell="B23" workbookViewId="0">
      <selection activeCell="B42" sqref="B42"/>
    </sheetView>
  </sheetViews>
  <sheetFormatPr defaultRowHeight="15" x14ac:dyDescent="0.25"/>
  <cols>
    <col min="1" max="1" width="9.28515625" customWidth="1"/>
    <col min="2" max="2" width="54.7109375" customWidth="1"/>
    <col min="3" max="3" width="46.140625" customWidth="1"/>
    <col min="4" max="4" width="12.42578125" style="116" customWidth="1"/>
    <col min="5" max="5" width="14.42578125" style="116" customWidth="1"/>
    <col min="6" max="6" width="13.42578125" customWidth="1"/>
    <col min="7" max="7" width="14.85546875" customWidth="1"/>
    <col min="8" max="8" width="10" customWidth="1"/>
    <col min="9" max="9" width="11.5703125" customWidth="1"/>
    <col min="10" max="10" width="10" customWidth="1"/>
    <col min="11" max="11" width="12.7109375" customWidth="1"/>
    <col min="12" max="12" width="15.28515625" customWidth="1"/>
    <col min="13" max="13" width="15.140625" customWidth="1"/>
  </cols>
  <sheetData>
    <row r="1" spans="1:13" x14ac:dyDescent="0.25">
      <c r="A1" s="1" t="s">
        <v>0</v>
      </c>
      <c r="B1" s="2"/>
      <c r="C1" s="3"/>
      <c r="D1" s="66"/>
      <c r="E1" s="66"/>
      <c r="F1" s="43"/>
      <c r="G1" s="43"/>
      <c r="H1" s="4"/>
      <c r="I1" s="36"/>
      <c r="J1" s="36"/>
      <c r="K1" s="5"/>
    </row>
    <row r="2" spans="1:13" x14ac:dyDescent="0.25">
      <c r="A2" s="1" t="s">
        <v>1</v>
      </c>
      <c r="B2" s="2"/>
      <c r="C2" s="3"/>
      <c r="D2" s="66"/>
      <c r="E2" s="66"/>
      <c r="F2" s="43"/>
      <c r="G2" s="43"/>
      <c r="H2" s="4"/>
      <c r="I2" s="36"/>
      <c r="J2" s="36"/>
      <c r="K2" s="5"/>
    </row>
    <row r="3" spans="1:13" x14ac:dyDescent="0.25">
      <c r="A3" s="1"/>
      <c r="B3" s="2"/>
      <c r="C3" s="3"/>
      <c r="D3" s="66"/>
      <c r="E3" s="66"/>
      <c r="F3" s="43"/>
      <c r="G3" s="43"/>
      <c r="H3" s="4"/>
      <c r="I3" s="36"/>
      <c r="J3" s="36"/>
      <c r="K3" s="5"/>
    </row>
    <row r="4" spans="1:13" x14ac:dyDescent="0.25">
      <c r="A4" s="6"/>
      <c r="B4" s="2" t="s">
        <v>2</v>
      </c>
      <c r="C4" s="3"/>
      <c r="D4" s="66"/>
      <c r="E4" s="66"/>
      <c r="F4" s="43"/>
      <c r="G4" s="43"/>
      <c r="H4" s="4"/>
      <c r="I4" s="36"/>
      <c r="J4" s="36"/>
      <c r="K4" s="5"/>
    </row>
    <row r="5" spans="1:13" ht="15.75" thickBot="1" x14ac:dyDescent="0.3">
      <c r="A5" s="7"/>
      <c r="B5" s="8" t="s">
        <v>3</v>
      </c>
      <c r="C5" s="5"/>
      <c r="D5" s="67"/>
      <c r="E5" s="67"/>
      <c r="F5" s="37"/>
      <c r="G5" s="37"/>
      <c r="H5" s="9"/>
      <c r="I5" s="37"/>
      <c r="J5" s="37"/>
      <c r="K5" s="5"/>
    </row>
    <row r="6" spans="1:13" ht="25.5" x14ac:dyDescent="0.25">
      <c r="A6" s="10" t="s">
        <v>4</v>
      </c>
      <c r="B6" s="11" t="s">
        <v>5</v>
      </c>
      <c r="C6" s="12" t="s">
        <v>6</v>
      </c>
      <c r="D6" s="68"/>
      <c r="E6" s="120"/>
      <c r="F6" s="14"/>
      <c r="G6" s="15" t="s">
        <v>7</v>
      </c>
      <c r="H6" s="46" t="s">
        <v>8</v>
      </c>
      <c r="I6" s="16" t="s">
        <v>9</v>
      </c>
      <c r="J6" s="16" t="s">
        <v>10</v>
      </c>
      <c r="K6" s="16" t="s">
        <v>9</v>
      </c>
      <c r="L6" s="16" t="s">
        <v>10</v>
      </c>
      <c r="M6" s="17"/>
    </row>
    <row r="7" spans="1:13" ht="15.75" thickBot="1" x14ac:dyDescent="0.3">
      <c r="A7" s="21"/>
      <c r="B7" s="22"/>
      <c r="C7" s="23"/>
      <c r="D7" s="69" t="s">
        <v>11</v>
      </c>
      <c r="E7" s="69" t="s">
        <v>12</v>
      </c>
      <c r="F7" s="24" t="s">
        <v>13</v>
      </c>
      <c r="G7" s="25"/>
      <c r="H7" s="26"/>
      <c r="I7" s="27" t="s">
        <v>14</v>
      </c>
      <c r="J7" s="27" t="s">
        <v>14</v>
      </c>
      <c r="K7" s="18" t="s">
        <v>15</v>
      </c>
      <c r="L7" s="18" t="s">
        <v>15</v>
      </c>
      <c r="M7" s="19" t="s">
        <v>16</v>
      </c>
    </row>
    <row r="8" spans="1:13" x14ac:dyDescent="0.25">
      <c r="A8" s="130" t="s">
        <v>209</v>
      </c>
      <c r="B8" s="131"/>
      <c r="C8" s="131"/>
      <c r="D8" s="132">
        <f>SUM(D15:D1026)</f>
        <v>494100</v>
      </c>
      <c r="E8" s="132">
        <f>SUM(E26:E27)</f>
        <v>54000</v>
      </c>
      <c r="F8" s="132">
        <f>SUM(F9:F15)</f>
        <v>114700</v>
      </c>
      <c r="G8" s="91">
        <f>SUM(D8:F8)</f>
        <v>662800</v>
      </c>
      <c r="H8" s="131"/>
      <c r="I8" s="73"/>
      <c r="J8" s="73"/>
      <c r="K8" s="73"/>
      <c r="L8" s="73"/>
      <c r="M8" s="28">
        <f>SUM(M9:M50)</f>
        <v>191500</v>
      </c>
    </row>
    <row r="9" spans="1:13" x14ac:dyDescent="0.25">
      <c r="A9" s="134">
        <v>45750</v>
      </c>
      <c r="B9" s="73" t="s">
        <v>297</v>
      </c>
      <c r="C9" s="73" t="s">
        <v>295</v>
      </c>
      <c r="D9" s="133"/>
      <c r="E9" s="133"/>
      <c r="F9" s="136">
        <v>4200</v>
      </c>
      <c r="G9" s="136">
        <v>4200</v>
      </c>
      <c r="H9" s="57" t="s">
        <v>29</v>
      </c>
      <c r="I9" s="122"/>
      <c r="J9" s="105"/>
      <c r="K9" s="41">
        <v>4200</v>
      </c>
      <c r="L9" s="41" t="s">
        <v>296</v>
      </c>
      <c r="M9" s="20">
        <f t="shared" ref="M9:M50" si="0">SUM(G9-I9-K9)</f>
        <v>0</v>
      </c>
    </row>
    <row r="10" spans="1:13" x14ac:dyDescent="0.25">
      <c r="A10" s="134">
        <v>45750</v>
      </c>
      <c r="B10" s="73" t="s">
        <v>298</v>
      </c>
      <c r="C10" s="73" t="s">
        <v>299</v>
      </c>
      <c r="D10" s="133"/>
      <c r="E10" s="133"/>
      <c r="F10" s="136">
        <v>49500</v>
      </c>
      <c r="G10" s="136">
        <v>49500</v>
      </c>
      <c r="H10" s="57" t="s">
        <v>29</v>
      </c>
      <c r="I10" s="105"/>
      <c r="J10" s="105"/>
      <c r="K10" s="41">
        <v>49500</v>
      </c>
      <c r="L10" s="41" t="s">
        <v>300</v>
      </c>
      <c r="M10" s="20">
        <f t="shared" si="0"/>
        <v>0</v>
      </c>
    </row>
    <row r="11" spans="1:13" x14ac:dyDescent="0.25">
      <c r="A11" s="134">
        <v>45750</v>
      </c>
      <c r="B11" s="73" t="s">
        <v>301</v>
      </c>
      <c r="C11" s="73" t="s">
        <v>302</v>
      </c>
      <c r="D11" s="133"/>
      <c r="E11" s="133"/>
      <c r="F11" s="136">
        <v>24000</v>
      </c>
      <c r="G11" s="136">
        <v>24000</v>
      </c>
      <c r="H11" s="57" t="s">
        <v>29</v>
      </c>
      <c r="I11" s="105"/>
      <c r="J11" s="105"/>
      <c r="K11" s="41">
        <v>24000</v>
      </c>
      <c r="L11" s="41" t="s">
        <v>303</v>
      </c>
      <c r="M11" s="20">
        <f t="shared" si="0"/>
        <v>0</v>
      </c>
    </row>
    <row r="12" spans="1:13" x14ac:dyDescent="0.25">
      <c r="A12" s="134">
        <v>45751</v>
      </c>
      <c r="B12" s="73" t="s">
        <v>304</v>
      </c>
      <c r="C12" s="73" t="s">
        <v>305</v>
      </c>
      <c r="D12" s="133"/>
      <c r="E12" s="133"/>
      <c r="F12" s="136">
        <v>18500</v>
      </c>
      <c r="G12" s="136">
        <v>18500</v>
      </c>
      <c r="H12" s="57" t="s">
        <v>29</v>
      </c>
      <c r="I12" s="105"/>
      <c r="J12" s="105"/>
      <c r="K12" s="41">
        <v>18500</v>
      </c>
      <c r="L12" s="41" t="s">
        <v>348</v>
      </c>
      <c r="M12" s="20">
        <f t="shared" si="0"/>
        <v>0</v>
      </c>
    </row>
    <row r="13" spans="1:13" x14ac:dyDescent="0.25">
      <c r="A13" s="134">
        <v>45751</v>
      </c>
      <c r="B13" s="73" t="s">
        <v>306</v>
      </c>
      <c r="C13" s="73" t="s">
        <v>307</v>
      </c>
      <c r="D13" s="133"/>
      <c r="E13" s="133"/>
      <c r="F13" s="136">
        <v>3500</v>
      </c>
      <c r="G13" s="136">
        <v>3500</v>
      </c>
      <c r="H13" s="57" t="s">
        <v>29</v>
      </c>
      <c r="I13" s="105"/>
      <c r="J13" s="105"/>
      <c r="K13" s="41">
        <v>3500</v>
      </c>
      <c r="L13" s="41" t="s">
        <v>308</v>
      </c>
      <c r="M13" s="20">
        <f t="shared" si="0"/>
        <v>0</v>
      </c>
    </row>
    <row r="14" spans="1:13" x14ac:dyDescent="0.25">
      <c r="A14" s="135">
        <v>45755</v>
      </c>
      <c r="B14" s="73" t="s">
        <v>318</v>
      </c>
      <c r="C14" s="73" t="s">
        <v>34</v>
      </c>
      <c r="D14" s="133"/>
      <c r="E14" s="133"/>
      <c r="F14" s="136">
        <v>12500</v>
      </c>
      <c r="G14" s="136">
        <v>12500</v>
      </c>
      <c r="H14" s="57" t="s">
        <v>29</v>
      </c>
      <c r="I14" s="105"/>
      <c r="J14" s="105"/>
      <c r="K14" s="41">
        <v>12500</v>
      </c>
      <c r="L14" s="41" t="s">
        <v>319</v>
      </c>
      <c r="M14" s="20">
        <f t="shared" si="0"/>
        <v>0</v>
      </c>
    </row>
    <row r="15" spans="1:13" x14ac:dyDescent="0.25">
      <c r="A15" s="135">
        <v>45755</v>
      </c>
      <c r="B15" s="73" t="s">
        <v>320</v>
      </c>
      <c r="C15" s="73" t="s">
        <v>95</v>
      </c>
      <c r="D15" s="28"/>
      <c r="E15" s="28"/>
      <c r="F15" s="28">
        <v>2500</v>
      </c>
      <c r="G15" s="28">
        <v>2500</v>
      </c>
      <c r="H15" s="57" t="s">
        <v>29</v>
      </c>
      <c r="I15" s="105"/>
      <c r="J15" s="105"/>
      <c r="K15" s="58">
        <v>2500</v>
      </c>
      <c r="L15" s="58" t="s">
        <v>321</v>
      </c>
      <c r="M15" s="20">
        <f t="shared" si="0"/>
        <v>0</v>
      </c>
    </row>
    <row r="16" spans="1:13" x14ac:dyDescent="0.25">
      <c r="A16" s="135">
        <v>45762</v>
      </c>
      <c r="B16" s="73" t="s">
        <v>330</v>
      </c>
      <c r="C16" s="73" t="s">
        <v>34</v>
      </c>
      <c r="D16" s="28"/>
      <c r="E16" s="28"/>
      <c r="F16" s="28">
        <v>12500</v>
      </c>
      <c r="G16" s="28">
        <v>12500</v>
      </c>
      <c r="H16" s="94" t="s">
        <v>29</v>
      </c>
      <c r="I16" s="105"/>
      <c r="J16" s="105"/>
      <c r="K16" s="58">
        <v>12500</v>
      </c>
      <c r="L16" s="58" t="s">
        <v>331</v>
      </c>
      <c r="M16" s="30">
        <f t="shared" si="0"/>
        <v>0</v>
      </c>
    </row>
    <row r="17" spans="1:13" x14ac:dyDescent="0.25">
      <c r="A17" s="135">
        <v>45763</v>
      </c>
      <c r="B17" s="73" t="s">
        <v>332</v>
      </c>
      <c r="C17" s="73" t="s">
        <v>18</v>
      </c>
      <c r="D17" s="28"/>
      <c r="E17" s="28"/>
      <c r="F17" s="28">
        <v>54000</v>
      </c>
      <c r="G17" s="28">
        <v>54000</v>
      </c>
      <c r="H17" s="94"/>
      <c r="I17" s="28">
        <v>27000</v>
      </c>
      <c r="J17" s="73" t="s">
        <v>508</v>
      </c>
      <c r="K17" s="58">
        <v>27000</v>
      </c>
      <c r="L17" s="58" t="s">
        <v>930</v>
      </c>
      <c r="M17" s="30">
        <f t="shared" si="0"/>
        <v>0</v>
      </c>
    </row>
    <row r="18" spans="1:13" x14ac:dyDescent="0.25">
      <c r="A18" s="135">
        <v>45769</v>
      </c>
      <c r="B18" s="73" t="s">
        <v>341</v>
      </c>
      <c r="C18" s="73" t="s">
        <v>295</v>
      </c>
      <c r="D18" s="28"/>
      <c r="E18" s="28"/>
      <c r="F18" s="28">
        <v>13750</v>
      </c>
      <c r="G18" s="28">
        <v>13750</v>
      </c>
      <c r="H18" s="94" t="s">
        <v>29</v>
      </c>
      <c r="I18" s="105"/>
      <c r="J18" s="105"/>
      <c r="K18" s="58">
        <v>13750</v>
      </c>
      <c r="L18" s="58" t="s">
        <v>931</v>
      </c>
      <c r="M18" s="30">
        <f t="shared" si="0"/>
        <v>0</v>
      </c>
    </row>
    <row r="19" spans="1:13" x14ac:dyDescent="0.25">
      <c r="A19" s="135">
        <v>45769</v>
      </c>
      <c r="B19" s="73" t="s">
        <v>344</v>
      </c>
      <c r="C19" s="73" t="s">
        <v>342</v>
      </c>
      <c r="D19" s="28"/>
      <c r="E19" s="28"/>
      <c r="F19" s="28">
        <v>4000</v>
      </c>
      <c r="G19" s="28">
        <v>4000</v>
      </c>
      <c r="H19" s="94" t="s">
        <v>29</v>
      </c>
      <c r="I19" s="105"/>
      <c r="J19" s="105"/>
      <c r="K19" s="58">
        <v>4000</v>
      </c>
      <c r="L19" s="58" t="s">
        <v>343</v>
      </c>
      <c r="M19" s="30">
        <f t="shared" si="0"/>
        <v>0</v>
      </c>
    </row>
    <row r="20" spans="1:13" x14ac:dyDescent="0.25">
      <c r="A20" s="135">
        <v>45771</v>
      </c>
      <c r="B20" s="73" t="s">
        <v>350</v>
      </c>
      <c r="C20" s="73" t="s">
        <v>351</v>
      </c>
      <c r="D20" s="28"/>
      <c r="E20" s="28"/>
      <c r="F20" s="28">
        <v>50000</v>
      </c>
      <c r="G20" s="28">
        <v>50000</v>
      </c>
      <c r="H20" s="94" t="s">
        <v>29</v>
      </c>
      <c r="I20" s="105"/>
      <c r="J20" s="105"/>
      <c r="K20" s="58">
        <v>50000</v>
      </c>
      <c r="L20" s="58" t="s">
        <v>1142</v>
      </c>
      <c r="M20" s="30">
        <f t="shared" si="0"/>
        <v>0</v>
      </c>
    </row>
    <row r="21" spans="1:13" x14ac:dyDescent="0.25">
      <c r="A21" s="135">
        <v>45771</v>
      </c>
      <c r="B21" s="73" t="s">
        <v>349</v>
      </c>
      <c r="C21" s="73" t="s">
        <v>352</v>
      </c>
      <c r="D21" s="28"/>
      <c r="E21" s="28"/>
      <c r="F21" s="28">
        <v>12500</v>
      </c>
      <c r="G21" s="28">
        <v>12500</v>
      </c>
      <c r="H21" s="94" t="s">
        <v>29</v>
      </c>
      <c r="I21" s="105"/>
      <c r="J21" s="105"/>
      <c r="K21" s="58">
        <v>12500</v>
      </c>
      <c r="L21" s="58" t="s">
        <v>402</v>
      </c>
      <c r="M21" s="30">
        <f t="shared" si="0"/>
        <v>0</v>
      </c>
    </row>
    <row r="22" spans="1:13" x14ac:dyDescent="0.25">
      <c r="A22" s="135">
        <v>45771</v>
      </c>
      <c r="B22" s="73" t="s">
        <v>353</v>
      </c>
      <c r="C22" s="73" t="s">
        <v>25</v>
      </c>
      <c r="D22" s="28"/>
      <c r="E22" s="28"/>
      <c r="F22" s="28">
        <v>370000</v>
      </c>
      <c r="G22" s="28">
        <v>370000</v>
      </c>
      <c r="H22" s="94"/>
      <c r="I22" s="56">
        <v>185000</v>
      </c>
      <c r="J22" s="45" t="s">
        <v>368</v>
      </c>
      <c r="K22" s="58"/>
      <c r="L22" s="58"/>
      <c r="M22" s="30">
        <f t="shared" si="0"/>
        <v>185000</v>
      </c>
    </row>
    <row r="23" spans="1:13" x14ac:dyDescent="0.25">
      <c r="A23" s="135">
        <v>45776</v>
      </c>
      <c r="B23" s="73" t="s">
        <v>366</v>
      </c>
      <c r="C23" s="73" t="s">
        <v>367</v>
      </c>
      <c r="D23" s="28"/>
      <c r="E23" s="28"/>
      <c r="F23" s="28">
        <v>19500</v>
      </c>
      <c r="G23" s="28">
        <v>19500</v>
      </c>
      <c r="H23" s="94" t="s">
        <v>29</v>
      </c>
      <c r="I23" s="105"/>
      <c r="J23" s="105"/>
      <c r="K23" s="58">
        <v>19500</v>
      </c>
      <c r="L23" s="58" t="s">
        <v>398</v>
      </c>
      <c r="M23" s="30">
        <f t="shared" si="0"/>
        <v>0</v>
      </c>
    </row>
    <row r="24" spans="1:13" x14ac:dyDescent="0.25">
      <c r="A24" s="135">
        <v>45777</v>
      </c>
      <c r="B24" s="73" t="s">
        <v>389</v>
      </c>
      <c r="C24" s="73" t="s">
        <v>370</v>
      </c>
      <c r="D24" s="28"/>
      <c r="E24" s="28"/>
      <c r="F24" s="28">
        <v>53500</v>
      </c>
      <c r="G24" s="28">
        <v>53500</v>
      </c>
      <c r="H24" s="94" t="s">
        <v>29</v>
      </c>
      <c r="I24" s="56">
        <v>51650</v>
      </c>
      <c r="J24" s="45" t="s">
        <v>488</v>
      </c>
      <c r="K24" s="58">
        <v>1850</v>
      </c>
      <c r="L24" s="58" t="s">
        <v>934</v>
      </c>
      <c r="M24" s="30">
        <f t="shared" si="0"/>
        <v>0</v>
      </c>
    </row>
    <row r="25" spans="1:13" x14ac:dyDescent="0.25">
      <c r="A25" s="124"/>
      <c r="B25" s="110"/>
      <c r="C25" s="110"/>
      <c r="D25" s="112"/>
      <c r="E25" s="112"/>
      <c r="F25" s="112"/>
      <c r="G25" s="112"/>
      <c r="H25" s="113"/>
      <c r="I25" s="110"/>
      <c r="J25" s="110"/>
      <c r="K25" s="125"/>
      <c r="L25" s="125"/>
      <c r="M25" s="126">
        <f>SUM(G25-I25-K25)</f>
        <v>0</v>
      </c>
    </row>
    <row r="26" spans="1:13" x14ac:dyDescent="0.25">
      <c r="A26" s="109">
        <v>45762</v>
      </c>
      <c r="B26" s="73" t="s">
        <v>315</v>
      </c>
      <c r="C26" s="73" t="s">
        <v>316</v>
      </c>
      <c r="D26" s="28"/>
      <c r="E26" s="28">
        <v>27000</v>
      </c>
      <c r="F26" s="28"/>
      <c r="G26" s="28">
        <v>27000</v>
      </c>
      <c r="H26" s="137" t="s">
        <v>29</v>
      </c>
      <c r="I26" s="122"/>
      <c r="J26" s="105"/>
      <c r="K26" s="41">
        <v>27000</v>
      </c>
      <c r="L26" s="41" t="s">
        <v>486</v>
      </c>
      <c r="M26" s="20">
        <f t="shared" si="0"/>
        <v>0</v>
      </c>
    </row>
    <row r="27" spans="1:13" x14ac:dyDescent="0.25">
      <c r="A27" s="109">
        <v>45762</v>
      </c>
      <c r="B27" s="73" t="s">
        <v>317</v>
      </c>
      <c r="C27" s="73" t="s">
        <v>316</v>
      </c>
      <c r="D27" s="28"/>
      <c r="E27" s="28">
        <v>27000</v>
      </c>
      <c r="F27" s="28"/>
      <c r="G27" s="28">
        <v>27000</v>
      </c>
      <c r="H27" s="137" t="s">
        <v>29</v>
      </c>
      <c r="I27" s="105"/>
      <c r="J27" s="105"/>
      <c r="K27" s="41">
        <v>27000</v>
      </c>
      <c r="L27" s="41" t="s">
        <v>485</v>
      </c>
      <c r="M27" s="20">
        <f t="shared" si="0"/>
        <v>0</v>
      </c>
    </row>
    <row r="28" spans="1:13" x14ac:dyDescent="0.25">
      <c r="A28" s="109">
        <v>45768</v>
      </c>
      <c r="B28" s="73" t="s">
        <v>339</v>
      </c>
      <c r="C28" s="73" t="s">
        <v>18</v>
      </c>
      <c r="D28" s="28"/>
      <c r="E28" s="28">
        <v>80500</v>
      </c>
      <c r="F28" s="28"/>
      <c r="G28" s="28">
        <v>80500</v>
      </c>
      <c r="H28" s="137" t="s">
        <v>29</v>
      </c>
      <c r="I28" s="28">
        <v>32200</v>
      </c>
      <c r="J28" s="73" t="s">
        <v>340</v>
      </c>
      <c r="K28" s="41">
        <v>48300</v>
      </c>
      <c r="L28" s="41" t="s">
        <v>487</v>
      </c>
      <c r="M28" s="20">
        <f t="shared" si="0"/>
        <v>0</v>
      </c>
    </row>
    <row r="29" spans="1:13" x14ac:dyDescent="0.25">
      <c r="A29" s="109">
        <v>45769</v>
      </c>
      <c r="B29" s="73" t="s">
        <v>345</v>
      </c>
      <c r="C29" s="73" t="s">
        <v>346</v>
      </c>
      <c r="D29" s="28"/>
      <c r="E29" s="28">
        <v>3000</v>
      </c>
      <c r="F29" s="28"/>
      <c r="G29" s="28">
        <v>3000</v>
      </c>
      <c r="H29" s="137" t="s">
        <v>29</v>
      </c>
      <c r="I29" s="122"/>
      <c r="J29" s="105"/>
      <c r="K29" s="28">
        <v>3000</v>
      </c>
      <c r="L29" s="73" t="s">
        <v>347</v>
      </c>
      <c r="M29" s="20">
        <f t="shared" si="0"/>
        <v>0</v>
      </c>
    </row>
    <row r="30" spans="1:13" x14ac:dyDescent="0.25">
      <c r="A30" s="124"/>
      <c r="B30" s="110"/>
      <c r="C30" s="110"/>
      <c r="D30" s="112"/>
      <c r="E30" s="115"/>
      <c r="F30" s="115"/>
      <c r="G30" s="115"/>
      <c r="H30" s="113"/>
      <c r="I30" s="110"/>
      <c r="J30" s="110"/>
      <c r="K30" s="125"/>
      <c r="L30" s="125"/>
      <c r="M30" s="126"/>
    </row>
    <row r="31" spans="1:13" x14ac:dyDescent="0.25">
      <c r="A31" s="109">
        <v>45763</v>
      </c>
      <c r="B31" s="73" t="s">
        <v>322</v>
      </c>
      <c r="C31" s="73" t="s">
        <v>32</v>
      </c>
      <c r="D31" s="28">
        <v>19500</v>
      </c>
      <c r="E31" s="28"/>
      <c r="F31" s="28"/>
      <c r="G31" s="28">
        <v>19500</v>
      </c>
      <c r="H31" s="94"/>
      <c r="I31" s="59">
        <v>13000</v>
      </c>
      <c r="J31" s="59" t="s">
        <v>586</v>
      </c>
      <c r="K31" s="58"/>
      <c r="L31" s="198" t="s">
        <v>273</v>
      </c>
      <c r="M31" s="20">
        <f t="shared" si="0"/>
        <v>6500</v>
      </c>
    </row>
    <row r="32" spans="1:13" x14ac:dyDescent="0.25">
      <c r="A32" s="109">
        <v>45763</v>
      </c>
      <c r="B32" s="73" t="s">
        <v>323</v>
      </c>
      <c r="C32" s="73" t="s">
        <v>28</v>
      </c>
      <c r="D32" s="28">
        <v>6500</v>
      </c>
      <c r="E32" s="28"/>
      <c r="F32" s="28"/>
      <c r="G32" s="28">
        <v>6500</v>
      </c>
      <c r="H32" s="94" t="s">
        <v>29</v>
      </c>
      <c r="I32" s="123"/>
      <c r="J32" s="123"/>
      <c r="K32" s="58">
        <v>6500</v>
      </c>
      <c r="L32" s="58" t="s">
        <v>583</v>
      </c>
      <c r="M32" s="20">
        <f t="shared" si="0"/>
        <v>0</v>
      </c>
    </row>
    <row r="33" spans="1:13" x14ac:dyDescent="0.25">
      <c r="A33" s="109">
        <v>45763</v>
      </c>
      <c r="B33" s="73" t="s">
        <v>582</v>
      </c>
      <c r="C33" s="73" t="s">
        <v>28</v>
      </c>
      <c r="D33" s="28">
        <v>6500</v>
      </c>
      <c r="E33" s="28"/>
      <c r="F33" s="28"/>
      <c r="G33" s="28">
        <v>6500</v>
      </c>
      <c r="H33" s="94" t="s">
        <v>29</v>
      </c>
      <c r="I33" s="123"/>
      <c r="J33" s="123"/>
      <c r="K33" s="58">
        <v>6500</v>
      </c>
      <c r="L33" s="58" t="s">
        <v>584</v>
      </c>
      <c r="M33" s="20">
        <f t="shared" si="0"/>
        <v>0</v>
      </c>
    </row>
    <row r="34" spans="1:13" x14ac:dyDescent="0.25">
      <c r="A34" s="109">
        <v>45763</v>
      </c>
      <c r="B34" s="73" t="s">
        <v>324</v>
      </c>
      <c r="C34" s="73" t="s">
        <v>325</v>
      </c>
      <c r="D34" s="28">
        <v>32500</v>
      </c>
      <c r="E34" s="28"/>
      <c r="F34" s="28"/>
      <c r="G34" s="28">
        <v>32500</v>
      </c>
      <c r="H34" s="94" t="s">
        <v>29</v>
      </c>
      <c r="I34" s="123"/>
      <c r="J34" s="123"/>
      <c r="K34" s="58">
        <v>32500</v>
      </c>
      <c r="L34" s="58" t="s">
        <v>581</v>
      </c>
      <c r="M34" s="20">
        <f t="shared" si="0"/>
        <v>0</v>
      </c>
    </row>
    <row r="35" spans="1:13" x14ac:dyDescent="0.25">
      <c r="A35" s="109">
        <v>45763</v>
      </c>
      <c r="B35" s="73" t="s">
        <v>326</v>
      </c>
      <c r="C35" s="73" t="s">
        <v>59</v>
      </c>
      <c r="D35" s="28">
        <v>13000</v>
      </c>
      <c r="E35" s="28"/>
      <c r="F35" s="28"/>
      <c r="G35" s="28">
        <v>13000</v>
      </c>
      <c r="H35" s="94" t="s">
        <v>29</v>
      </c>
      <c r="I35" s="123"/>
      <c r="J35" s="123"/>
      <c r="K35" s="58">
        <v>13000</v>
      </c>
      <c r="L35" s="58" t="s">
        <v>740</v>
      </c>
      <c r="M35" s="20">
        <f t="shared" si="0"/>
        <v>0</v>
      </c>
    </row>
    <row r="36" spans="1:13" x14ac:dyDescent="0.25">
      <c r="A36" s="109">
        <v>45763</v>
      </c>
      <c r="B36" s="73" t="s">
        <v>327</v>
      </c>
      <c r="C36" s="73" t="s">
        <v>28</v>
      </c>
      <c r="D36" s="28">
        <v>6500</v>
      </c>
      <c r="E36" s="28"/>
      <c r="F36" s="28"/>
      <c r="G36" s="28">
        <v>6500</v>
      </c>
      <c r="H36" s="94" t="s">
        <v>29</v>
      </c>
      <c r="I36" s="123"/>
      <c r="J36" s="123"/>
      <c r="K36" s="58">
        <v>6500</v>
      </c>
      <c r="L36" s="58" t="s">
        <v>580</v>
      </c>
      <c r="M36" s="20">
        <f t="shared" si="0"/>
        <v>0</v>
      </c>
    </row>
    <row r="37" spans="1:13" x14ac:dyDescent="0.25">
      <c r="A37" s="109">
        <v>45763</v>
      </c>
      <c r="B37" s="73" t="s">
        <v>328</v>
      </c>
      <c r="C37" s="73" t="s">
        <v>95</v>
      </c>
      <c r="D37" s="28">
        <v>2500</v>
      </c>
      <c r="E37" s="28"/>
      <c r="F37" s="28"/>
      <c r="G37" s="28">
        <v>2500</v>
      </c>
      <c r="H37" s="94" t="s">
        <v>29</v>
      </c>
      <c r="I37" s="123"/>
      <c r="J37" s="123"/>
      <c r="K37" s="58">
        <v>2500</v>
      </c>
      <c r="L37" s="59" t="s">
        <v>548</v>
      </c>
      <c r="M37" s="20">
        <f t="shared" si="0"/>
        <v>0</v>
      </c>
    </row>
    <row r="38" spans="1:13" x14ac:dyDescent="0.25">
      <c r="A38" s="109">
        <v>45763</v>
      </c>
      <c r="B38" s="73" t="s">
        <v>1112</v>
      </c>
      <c r="C38" s="73" t="s">
        <v>1153</v>
      </c>
      <c r="D38" s="28">
        <v>25000</v>
      </c>
      <c r="E38" s="28"/>
      <c r="F38" s="28"/>
      <c r="G38" s="28">
        <v>25000</v>
      </c>
      <c r="H38" s="94" t="s">
        <v>29</v>
      </c>
      <c r="I38" s="123"/>
      <c r="J38" s="123"/>
      <c r="K38" s="58">
        <v>25000</v>
      </c>
      <c r="L38" s="58" t="s">
        <v>1067</v>
      </c>
      <c r="M38" s="20">
        <f t="shared" si="0"/>
        <v>0</v>
      </c>
    </row>
    <row r="39" spans="1:13" x14ac:dyDescent="0.25">
      <c r="A39" s="109">
        <v>45763</v>
      </c>
      <c r="B39" s="73" t="s">
        <v>329</v>
      </c>
      <c r="C39" s="73" t="s">
        <v>101</v>
      </c>
      <c r="D39" s="28">
        <v>8500</v>
      </c>
      <c r="E39" s="28"/>
      <c r="F39" s="28"/>
      <c r="G39" s="28">
        <v>8500</v>
      </c>
      <c r="H39" s="57" t="s">
        <v>29</v>
      </c>
      <c r="I39" s="123"/>
      <c r="J39" s="123"/>
      <c r="K39" s="58">
        <v>8500</v>
      </c>
      <c r="L39" s="58" t="s">
        <v>579</v>
      </c>
      <c r="M39" s="20">
        <f t="shared" si="0"/>
        <v>0</v>
      </c>
    </row>
    <row r="40" spans="1:13" x14ac:dyDescent="0.25">
      <c r="A40" s="109">
        <v>45763</v>
      </c>
      <c r="B40" s="73" t="s">
        <v>337</v>
      </c>
      <c r="C40" s="73" t="s">
        <v>338</v>
      </c>
      <c r="D40" s="28">
        <v>40500</v>
      </c>
      <c r="E40" s="28"/>
      <c r="F40" s="28"/>
      <c r="G40" s="28">
        <v>40500</v>
      </c>
      <c r="H40" s="94" t="s">
        <v>29</v>
      </c>
      <c r="I40" s="123"/>
      <c r="J40" s="123"/>
      <c r="K40" s="58">
        <v>40500</v>
      </c>
      <c r="L40" s="59" t="s">
        <v>359</v>
      </c>
      <c r="M40" s="20">
        <f t="shared" si="0"/>
        <v>0</v>
      </c>
    </row>
    <row r="41" spans="1:13" x14ac:dyDescent="0.25">
      <c r="A41" s="109">
        <v>45771</v>
      </c>
      <c r="B41" s="73" t="s">
        <v>357</v>
      </c>
      <c r="C41" s="73" t="s">
        <v>358</v>
      </c>
      <c r="D41" s="28">
        <v>16000</v>
      </c>
      <c r="E41" s="28"/>
      <c r="F41" s="28"/>
      <c r="G41" s="28">
        <v>16000</v>
      </c>
      <c r="H41" s="94" t="s">
        <v>29</v>
      </c>
      <c r="I41" s="123"/>
      <c r="J41" s="123"/>
      <c r="K41" s="58">
        <v>16000</v>
      </c>
      <c r="L41" s="59" t="s">
        <v>360</v>
      </c>
      <c r="M41" s="20">
        <f t="shared" si="0"/>
        <v>0</v>
      </c>
    </row>
    <row r="42" spans="1:13" x14ac:dyDescent="0.25">
      <c r="A42" s="109">
        <v>45771</v>
      </c>
      <c r="B42" s="73" t="s">
        <v>361</v>
      </c>
      <c r="C42" s="73" t="s">
        <v>52</v>
      </c>
      <c r="D42" s="28">
        <v>3100</v>
      </c>
      <c r="E42" s="28"/>
      <c r="F42" s="28"/>
      <c r="G42" s="28">
        <v>3100</v>
      </c>
      <c r="H42" s="94" t="s">
        <v>29</v>
      </c>
      <c r="I42" s="123"/>
      <c r="J42" s="123"/>
      <c r="K42" s="58">
        <v>3100</v>
      </c>
      <c r="L42" s="59" t="s">
        <v>362</v>
      </c>
      <c r="M42" s="20">
        <f t="shared" si="0"/>
        <v>0</v>
      </c>
    </row>
    <row r="43" spans="1:13" x14ac:dyDescent="0.25">
      <c r="A43" s="109">
        <v>45772</v>
      </c>
      <c r="B43" s="73" t="s">
        <v>363</v>
      </c>
      <c r="C43" s="73" t="s">
        <v>364</v>
      </c>
      <c r="D43" s="28">
        <v>170000</v>
      </c>
      <c r="E43" s="28"/>
      <c r="F43" s="28"/>
      <c r="G43" s="28">
        <v>170000</v>
      </c>
      <c r="H43" s="94" t="s">
        <v>29</v>
      </c>
      <c r="I43" s="141">
        <v>85000</v>
      </c>
      <c r="J43" s="140" t="s">
        <v>410</v>
      </c>
      <c r="K43" s="58">
        <v>85000</v>
      </c>
      <c r="L43" s="59" t="s">
        <v>577</v>
      </c>
      <c r="M43" s="20">
        <f t="shared" si="0"/>
        <v>0</v>
      </c>
    </row>
    <row r="44" spans="1:13" x14ac:dyDescent="0.25">
      <c r="A44" s="109">
        <v>45772</v>
      </c>
      <c r="B44" s="73" t="s">
        <v>365</v>
      </c>
      <c r="C44" s="73" t="s">
        <v>305</v>
      </c>
      <c r="D44" s="28">
        <v>30000</v>
      </c>
      <c r="E44" s="28"/>
      <c r="F44" s="28"/>
      <c r="G44" s="28">
        <v>30000</v>
      </c>
      <c r="H44" s="94" t="s">
        <v>29</v>
      </c>
      <c r="I44" s="123"/>
      <c r="J44" s="123"/>
      <c r="K44" s="58">
        <v>30000</v>
      </c>
      <c r="L44" s="59" t="s">
        <v>578</v>
      </c>
      <c r="M44" s="20">
        <f t="shared" si="0"/>
        <v>0</v>
      </c>
    </row>
    <row r="45" spans="1:13" x14ac:dyDescent="0.25">
      <c r="A45" s="109">
        <v>45777</v>
      </c>
      <c r="B45" s="73" t="s">
        <v>373</v>
      </c>
      <c r="C45" s="73" t="s">
        <v>735</v>
      </c>
      <c r="D45" s="28">
        <v>19000</v>
      </c>
      <c r="E45" s="28"/>
      <c r="F45" s="28"/>
      <c r="G45" s="28">
        <v>19000</v>
      </c>
      <c r="H45" s="94" t="s">
        <v>29</v>
      </c>
      <c r="I45" s="123"/>
      <c r="J45" s="123"/>
      <c r="K45" s="58">
        <v>19000</v>
      </c>
      <c r="L45" s="59" t="s">
        <v>710</v>
      </c>
      <c r="M45" s="20">
        <f t="shared" si="0"/>
        <v>0</v>
      </c>
    </row>
    <row r="46" spans="1:13" x14ac:dyDescent="0.25">
      <c r="A46" s="109">
        <v>45777</v>
      </c>
      <c r="B46" s="73" t="s">
        <v>375</v>
      </c>
      <c r="C46" s="73" t="s">
        <v>735</v>
      </c>
      <c r="D46" s="28">
        <v>19000</v>
      </c>
      <c r="E46" s="28"/>
      <c r="F46" s="28"/>
      <c r="G46" s="28">
        <v>19000</v>
      </c>
      <c r="H46" s="94" t="s">
        <v>29</v>
      </c>
      <c r="I46" s="123"/>
      <c r="J46" s="123"/>
      <c r="K46" s="58">
        <v>19000</v>
      </c>
      <c r="L46" s="59" t="s">
        <v>705</v>
      </c>
      <c r="M46" s="20">
        <f t="shared" si="0"/>
        <v>0</v>
      </c>
    </row>
    <row r="47" spans="1:13" x14ac:dyDescent="0.25">
      <c r="A47" s="109">
        <v>45777</v>
      </c>
      <c r="B47" s="73" t="s">
        <v>376</v>
      </c>
      <c r="C47" s="73" t="s">
        <v>735</v>
      </c>
      <c r="D47" s="28">
        <v>19000</v>
      </c>
      <c r="E47" s="28"/>
      <c r="F47" s="28"/>
      <c r="G47" s="28">
        <v>19000</v>
      </c>
      <c r="H47" s="94" t="s">
        <v>29</v>
      </c>
      <c r="I47" s="123"/>
      <c r="J47" s="123"/>
      <c r="K47" s="58">
        <v>19000</v>
      </c>
      <c r="L47" s="59" t="s">
        <v>709</v>
      </c>
      <c r="M47" s="20">
        <f t="shared" si="0"/>
        <v>0</v>
      </c>
    </row>
    <row r="48" spans="1:13" x14ac:dyDescent="0.25">
      <c r="A48" s="109">
        <v>45777</v>
      </c>
      <c r="B48" s="73" t="s">
        <v>377</v>
      </c>
      <c r="C48" s="73" t="s">
        <v>735</v>
      </c>
      <c r="D48" s="28">
        <v>19000</v>
      </c>
      <c r="E48" s="28"/>
      <c r="F48" s="28"/>
      <c r="G48" s="28">
        <v>19000</v>
      </c>
      <c r="H48" s="57" t="s">
        <v>29</v>
      </c>
      <c r="I48" s="105"/>
      <c r="J48" s="105"/>
      <c r="K48" s="58">
        <v>19000</v>
      </c>
      <c r="L48" s="59" t="s">
        <v>708</v>
      </c>
      <c r="M48" s="20">
        <f t="shared" si="0"/>
        <v>0</v>
      </c>
    </row>
    <row r="49" spans="1:13" x14ac:dyDescent="0.25">
      <c r="A49" s="138">
        <v>45777</v>
      </c>
      <c r="B49" s="73" t="s">
        <v>378</v>
      </c>
      <c r="C49" s="73" t="s">
        <v>735</v>
      </c>
      <c r="D49" s="28">
        <v>19000</v>
      </c>
      <c r="E49" s="28"/>
      <c r="F49" s="28"/>
      <c r="G49" s="28">
        <v>19000</v>
      </c>
      <c r="H49" s="57" t="s">
        <v>29</v>
      </c>
      <c r="I49" s="105"/>
      <c r="J49" s="105"/>
      <c r="K49" s="58">
        <v>19000</v>
      </c>
      <c r="L49" s="59" t="s">
        <v>707</v>
      </c>
      <c r="M49" s="20">
        <f t="shared" si="0"/>
        <v>0</v>
      </c>
    </row>
    <row r="50" spans="1:13" x14ac:dyDescent="0.25">
      <c r="A50" s="138">
        <v>45777</v>
      </c>
      <c r="B50" s="73" t="s">
        <v>379</v>
      </c>
      <c r="C50" s="73" t="s">
        <v>735</v>
      </c>
      <c r="D50" s="28">
        <v>19000</v>
      </c>
      <c r="E50" s="28"/>
      <c r="F50" s="28"/>
      <c r="G50" s="28">
        <v>19000</v>
      </c>
      <c r="H50" s="57" t="s">
        <v>29</v>
      </c>
      <c r="I50" s="105"/>
      <c r="J50" s="105"/>
      <c r="K50" s="58">
        <v>19000</v>
      </c>
      <c r="L50" s="59" t="s">
        <v>706</v>
      </c>
      <c r="M50" s="20">
        <f t="shared" si="0"/>
        <v>0</v>
      </c>
    </row>
    <row r="51" spans="1:13" x14ac:dyDescent="0.25">
      <c r="A51" s="127"/>
      <c r="B51" s="127"/>
      <c r="C51" s="127"/>
      <c r="D51" s="128"/>
      <c r="E51" s="128"/>
      <c r="F51" s="128"/>
      <c r="G51" s="127"/>
      <c r="H51" s="129"/>
      <c r="I51" s="127"/>
      <c r="J51" s="127"/>
      <c r="K51" s="127"/>
      <c r="L51" s="127"/>
      <c r="M51" s="127"/>
    </row>
    <row r="52" spans="1:13" x14ac:dyDescent="0.25">
      <c r="F52" s="116"/>
      <c r="H52" s="118"/>
    </row>
    <row r="53" spans="1:13" x14ac:dyDescent="0.25">
      <c r="F53" s="116"/>
      <c r="H53" s="118"/>
    </row>
    <row r="54" spans="1:13" x14ac:dyDescent="0.25">
      <c r="F54" s="116"/>
      <c r="H54" s="118"/>
    </row>
    <row r="55" spans="1:13" x14ac:dyDescent="0.25">
      <c r="F55" s="116"/>
      <c r="H55" s="118"/>
    </row>
    <row r="56" spans="1:13" x14ac:dyDescent="0.25">
      <c r="F56" s="116"/>
      <c r="H56" s="118"/>
    </row>
    <row r="57" spans="1:13" x14ac:dyDescent="0.25">
      <c r="F57" s="116"/>
      <c r="H57" s="118"/>
    </row>
    <row r="58" spans="1:13" x14ac:dyDescent="0.25">
      <c r="F58" s="116"/>
      <c r="H58" s="118"/>
    </row>
    <row r="59" spans="1:13" x14ac:dyDescent="0.25">
      <c r="F59" s="116"/>
      <c r="H59" s="118"/>
    </row>
    <row r="60" spans="1:13" x14ac:dyDescent="0.25">
      <c r="F60" s="116"/>
      <c r="H60" s="118"/>
    </row>
    <row r="61" spans="1:13" x14ac:dyDescent="0.25">
      <c r="F61" s="116"/>
      <c r="H61" s="118"/>
    </row>
    <row r="62" spans="1:13" x14ac:dyDescent="0.25">
      <c r="F62" s="116"/>
      <c r="H62" s="118"/>
    </row>
    <row r="63" spans="1:13" x14ac:dyDescent="0.25">
      <c r="F63" s="116"/>
      <c r="H63" s="118"/>
    </row>
    <row r="64" spans="1:13" x14ac:dyDescent="0.25">
      <c r="F64" s="116"/>
      <c r="H64" s="118"/>
    </row>
    <row r="65" spans="6:8" x14ac:dyDescent="0.25">
      <c r="F65" s="116"/>
      <c r="H65" s="118"/>
    </row>
    <row r="66" spans="6:8" x14ac:dyDescent="0.25">
      <c r="F66" s="116"/>
      <c r="H66" s="118"/>
    </row>
    <row r="67" spans="6:8" x14ac:dyDescent="0.25">
      <c r="F67" s="116"/>
      <c r="H67" s="118"/>
    </row>
    <row r="68" spans="6:8" x14ac:dyDescent="0.25">
      <c r="H68" s="118"/>
    </row>
    <row r="69" spans="6:8" x14ac:dyDescent="0.25">
      <c r="H69" s="118"/>
    </row>
    <row r="70" spans="6:8" x14ac:dyDescent="0.25">
      <c r="H70" s="118"/>
    </row>
    <row r="71" spans="6:8" x14ac:dyDescent="0.25">
      <c r="H71" s="1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4F717-577D-4A72-9A2A-D151D34BD37B}">
  <dimension ref="A1:M67"/>
  <sheetViews>
    <sheetView topLeftCell="A13" workbookViewId="0">
      <selection activeCell="B13" sqref="B13"/>
    </sheetView>
  </sheetViews>
  <sheetFormatPr defaultRowHeight="15" x14ac:dyDescent="0.25"/>
  <cols>
    <col min="1" max="1" width="9.28515625" customWidth="1"/>
    <col min="2" max="2" width="54.7109375" customWidth="1"/>
    <col min="3" max="3" width="46.140625" customWidth="1"/>
    <col min="4" max="4" width="12.42578125" style="116" customWidth="1"/>
    <col min="5" max="5" width="14.42578125" style="116" customWidth="1"/>
    <col min="6" max="6" width="13.42578125" customWidth="1"/>
    <col min="7" max="7" width="14.85546875" customWidth="1"/>
    <col min="8" max="8" width="10" customWidth="1"/>
    <col min="9" max="9" width="11.5703125" customWidth="1"/>
    <col min="10" max="10" width="10" customWidth="1"/>
    <col min="11" max="11" width="12.7109375" customWidth="1"/>
    <col min="12" max="12" width="15.28515625" customWidth="1"/>
    <col min="13" max="13" width="15.140625" customWidth="1"/>
  </cols>
  <sheetData>
    <row r="1" spans="1:13" x14ac:dyDescent="0.25">
      <c r="A1" s="1" t="s">
        <v>0</v>
      </c>
      <c r="B1" s="2"/>
      <c r="C1" s="3"/>
      <c r="D1" s="66"/>
      <c r="E1" s="66"/>
      <c r="F1" s="43"/>
      <c r="G1" s="43"/>
      <c r="H1" s="4"/>
      <c r="I1" s="36"/>
      <c r="J1" s="36"/>
      <c r="K1" s="5"/>
    </row>
    <row r="2" spans="1:13" x14ac:dyDescent="0.25">
      <c r="A2" s="1" t="s">
        <v>1</v>
      </c>
      <c r="B2" s="2"/>
      <c r="C2" s="3"/>
      <c r="D2" s="66"/>
      <c r="E2" s="66"/>
      <c r="F2" s="43"/>
      <c r="G2" s="43"/>
      <c r="H2" s="4"/>
      <c r="I2" s="36"/>
      <c r="J2" s="36"/>
      <c r="K2" s="5"/>
    </row>
    <row r="3" spans="1:13" x14ac:dyDescent="0.25">
      <c r="A3" s="1"/>
      <c r="B3" s="2"/>
      <c r="C3" s="3"/>
      <c r="D3" s="66"/>
      <c r="E3" s="66"/>
      <c r="F3" s="43"/>
      <c r="G3" s="43"/>
      <c r="H3" s="4"/>
      <c r="I3" s="36"/>
      <c r="J3" s="36"/>
      <c r="K3" s="5"/>
    </row>
    <row r="4" spans="1:13" x14ac:dyDescent="0.25">
      <c r="A4" s="6"/>
      <c r="B4" s="2" t="s">
        <v>2</v>
      </c>
      <c r="C4" s="3"/>
      <c r="D4" s="66"/>
      <c r="E4" s="66"/>
      <c r="F4" s="43"/>
      <c r="G4" s="43"/>
      <c r="H4" s="4"/>
      <c r="I4" s="36"/>
      <c r="J4" s="36"/>
      <c r="K4" s="5"/>
    </row>
    <row r="5" spans="1:13" ht="15.75" thickBot="1" x14ac:dyDescent="0.3">
      <c r="A5" s="7"/>
      <c r="B5" s="8" t="s">
        <v>3</v>
      </c>
      <c r="C5" s="5"/>
      <c r="D5" s="67"/>
      <c r="E5" s="67"/>
      <c r="F5" s="37"/>
      <c r="G5" s="37"/>
      <c r="H5" s="9"/>
      <c r="I5" s="37"/>
      <c r="J5" s="37"/>
      <c r="K5" s="5"/>
    </row>
    <row r="6" spans="1:13" ht="25.5" x14ac:dyDescent="0.25">
      <c r="A6" s="10" t="s">
        <v>4</v>
      </c>
      <c r="B6" s="11" t="s">
        <v>5</v>
      </c>
      <c r="C6" s="12" t="s">
        <v>6</v>
      </c>
      <c r="D6" s="68"/>
      <c r="E6" s="120"/>
      <c r="F6" s="14"/>
      <c r="G6" s="15" t="s">
        <v>7</v>
      </c>
      <c r="H6" s="46" t="s">
        <v>8</v>
      </c>
      <c r="I6" s="16" t="s">
        <v>9</v>
      </c>
      <c r="J6" s="16" t="s">
        <v>10</v>
      </c>
      <c r="K6" s="16" t="s">
        <v>9</v>
      </c>
      <c r="L6" s="16" t="s">
        <v>10</v>
      </c>
      <c r="M6" s="17"/>
    </row>
    <row r="7" spans="1:13" ht="15.75" thickBot="1" x14ac:dyDescent="0.3">
      <c r="A7" s="21"/>
      <c r="B7" s="22"/>
      <c r="C7" s="23"/>
      <c r="D7" s="69" t="s">
        <v>11</v>
      </c>
      <c r="E7" s="69" t="s">
        <v>12</v>
      </c>
      <c r="F7" s="24" t="s">
        <v>13</v>
      </c>
      <c r="G7" s="25"/>
      <c r="H7" s="26"/>
      <c r="I7" s="27" t="s">
        <v>14</v>
      </c>
      <c r="J7" s="27" t="s">
        <v>14</v>
      </c>
      <c r="K7" s="18" t="s">
        <v>15</v>
      </c>
      <c r="L7" s="18" t="s">
        <v>15</v>
      </c>
      <c r="M7" s="19" t="s">
        <v>16</v>
      </c>
    </row>
    <row r="8" spans="1:13" x14ac:dyDescent="0.25">
      <c r="A8" s="130" t="s">
        <v>369</v>
      </c>
      <c r="B8" s="131"/>
      <c r="C8" s="131"/>
      <c r="D8" s="132">
        <f>SUM(D9:D1022)</f>
        <v>412200</v>
      </c>
      <c r="E8" s="132">
        <f>SUM(E24:E31)</f>
        <v>220000</v>
      </c>
      <c r="F8" s="132">
        <f>SUM(F9:F23)</f>
        <v>255400</v>
      </c>
      <c r="G8" s="91"/>
      <c r="H8" s="131"/>
      <c r="I8" s="73"/>
      <c r="J8" s="73"/>
      <c r="K8" s="73"/>
      <c r="L8" s="73"/>
      <c r="M8" s="28">
        <f>SUM(M9:M46)</f>
        <v>0</v>
      </c>
    </row>
    <row r="9" spans="1:13" x14ac:dyDescent="0.25">
      <c r="A9" s="135">
        <v>45779</v>
      </c>
      <c r="B9" s="73" t="s">
        <v>372</v>
      </c>
      <c r="C9" s="73" t="s">
        <v>371</v>
      </c>
      <c r="D9" s="28"/>
      <c r="E9" s="28"/>
      <c r="F9" s="28">
        <v>3500</v>
      </c>
      <c r="G9" s="28">
        <v>3500</v>
      </c>
      <c r="H9" s="57" t="s">
        <v>29</v>
      </c>
      <c r="I9" s="105"/>
      <c r="J9" s="105"/>
      <c r="K9" s="58">
        <v>3500</v>
      </c>
      <c r="L9" s="58" t="s">
        <v>395</v>
      </c>
      <c r="M9" s="20">
        <f t="shared" ref="M9:M23" si="0">SUM(G9-I9-K9)</f>
        <v>0</v>
      </c>
    </row>
    <row r="10" spans="1:13" x14ac:dyDescent="0.25">
      <c r="A10" s="135">
        <v>45784</v>
      </c>
      <c r="B10" s="73" t="s">
        <v>394</v>
      </c>
      <c r="C10" s="73" t="s">
        <v>295</v>
      </c>
      <c r="D10" s="28"/>
      <c r="E10" s="28"/>
      <c r="F10" s="28">
        <v>1700</v>
      </c>
      <c r="G10" s="28">
        <v>1700</v>
      </c>
      <c r="H10" s="94" t="s">
        <v>29</v>
      </c>
      <c r="I10" s="105"/>
      <c r="J10" s="105"/>
      <c r="K10" s="58">
        <v>1700</v>
      </c>
      <c r="L10" s="58" t="s">
        <v>401</v>
      </c>
      <c r="M10" s="20">
        <f t="shared" si="0"/>
        <v>0</v>
      </c>
    </row>
    <row r="11" spans="1:13" x14ac:dyDescent="0.25">
      <c r="A11" s="135">
        <v>45785</v>
      </c>
      <c r="B11" s="73" t="s">
        <v>413</v>
      </c>
      <c r="C11" s="73" t="s">
        <v>95</v>
      </c>
      <c r="D11" s="28"/>
      <c r="E11" s="28"/>
      <c r="F11" s="28">
        <v>2500</v>
      </c>
      <c r="G11" s="28">
        <v>2500</v>
      </c>
      <c r="H11" s="94" t="s">
        <v>29</v>
      </c>
      <c r="I11" s="139"/>
      <c r="J11" s="139"/>
      <c r="K11" s="58">
        <v>2500</v>
      </c>
      <c r="L11" s="58" t="s">
        <v>411</v>
      </c>
      <c r="M11" s="20">
        <f t="shared" si="0"/>
        <v>0</v>
      </c>
    </row>
    <row r="12" spans="1:13" x14ac:dyDescent="0.25">
      <c r="A12" s="135">
        <v>45792</v>
      </c>
      <c r="B12" s="73" t="s">
        <v>412</v>
      </c>
      <c r="C12" s="73" t="s">
        <v>414</v>
      </c>
      <c r="D12" s="28"/>
      <c r="E12" s="28"/>
      <c r="F12" s="28">
        <v>12500</v>
      </c>
      <c r="G12" s="28">
        <v>12500</v>
      </c>
      <c r="H12" s="94" t="s">
        <v>29</v>
      </c>
      <c r="I12" s="139"/>
      <c r="J12" s="139"/>
      <c r="K12" s="58">
        <v>12500</v>
      </c>
      <c r="L12" s="58" t="s">
        <v>1143</v>
      </c>
      <c r="M12" s="20">
        <f t="shared" si="0"/>
        <v>0</v>
      </c>
    </row>
    <row r="13" spans="1:13" x14ac:dyDescent="0.25">
      <c r="A13" s="135">
        <v>45797</v>
      </c>
      <c r="B13" s="73" t="s">
        <v>501</v>
      </c>
      <c r="C13" s="73" t="s">
        <v>295</v>
      </c>
      <c r="D13" s="28"/>
      <c r="E13" s="28"/>
      <c r="F13" s="28">
        <v>1700</v>
      </c>
      <c r="G13" s="28">
        <v>1700</v>
      </c>
      <c r="H13" s="94" t="s">
        <v>29</v>
      </c>
      <c r="I13" s="105"/>
      <c r="J13" s="105"/>
      <c r="K13" s="58">
        <v>1700</v>
      </c>
      <c r="L13" s="58" t="s">
        <v>431</v>
      </c>
      <c r="M13" s="20">
        <f t="shared" si="0"/>
        <v>0</v>
      </c>
    </row>
    <row r="14" spans="1:13" x14ac:dyDescent="0.25">
      <c r="A14" s="135">
        <v>45799</v>
      </c>
      <c r="B14" s="73" t="s">
        <v>432</v>
      </c>
      <c r="C14" s="73" t="s">
        <v>295</v>
      </c>
      <c r="D14" s="28"/>
      <c r="E14" s="28"/>
      <c r="F14" s="28">
        <v>1700</v>
      </c>
      <c r="G14" s="28">
        <v>1700</v>
      </c>
      <c r="H14" s="94" t="s">
        <v>29</v>
      </c>
      <c r="I14" s="105"/>
      <c r="J14" s="105"/>
      <c r="K14" s="58">
        <v>1700</v>
      </c>
      <c r="L14" s="58" t="s">
        <v>447</v>
      </c>
      <c r="M14" s="20">
        <f t="shared" si="0"/>
        <v>0</v>
      </c>
    </row>
    <row r="15" spans="1:13" x14ac:dyDescent="0.25">
      <c r="A15" s="135">
        <v>45803</v>
      </c>
      <c r="B15" s="73" t="s">
        <v>439</v>
      </c>
      <c r="C15" s="73" t="s">
        <v>18</v>
      </c>
      <c r="D15" s="28"/>
      <c r="E15" s="28"/>
      <c r="F15" s="28">
        <v>71500</v>
      </c>
      <c r="G15" s="28">
        <v>71500</v>
      </c>
      <c r="H15" s="94" t="s">
        <v>29</v>
      </c>
      <c r="I15" s="28">
        <v>35750</v>
      </c>
      <c r="J15" s="73" t="s">
        <v>464</v>
      </c>
      <c r="K15" s="58">
        <v>35750</v>
      </c>
      <c r="L15" s="58" t="s">
        <v>912</v>
      </c>
      <c r="M15" s="20">
        <f t="shared" si="0"/>
        <v>0</v>
      </c>
    </row>
    <row r="16" spans="1:13" x14ac:dyDescent="0.25">
      <c r="A16" s="135">
        <v>45804</v>
      </c>
      <c r="B16" s="73" t="s">
        <v>440</v>
      </c>
      <c r="C16" s="73" t="s">
        <v>441</v>
      </c>
      <c r="D16" s="28"/>
      <c r="E16" s="28"/>
      <c r="F16" s="28">
        <v>13800</v>
      </c>
      <c r="G16" s="28">
        <v>13800</v>
      </c>
      <c r="H16" s="94" t="s">
        <v>29</v>
      </c>
      <c r="I16" s="105"/>
      <c r="J16" s="105"/>
      <c r="K16" s="58">
        <v>13800</v>
      </c>
      <c r="L16" s="58" t="s">
        <v>449</v>
      </c>
      <c r="M16" s="20">
        <f t="shared" si="0"/>
        <v>0</v>
      </c>
    </row>
    <row r="17" spans="1:13" x14ac:dyDescent="0.25">
      <c r="A17" s="135">
        <v>45804</v>
      </c>
      <c r="B17" s="73" t="s">
        <v>442</v>
      </c>
      <c r="C17" s="73" t="s">
        <v>427</v>
      </c>
      <c r="D17" s="28"/>
      <c r="E17" s="28"/>
      <c r="F17" s="28">
        <v>24000</v>
      </c>
      <c r="G17" s="28">
        <v>24000</v>
      </c>
      <c r="H17" s="94" t="s">
        <v>29</v>
      </c>
      <c r="I17" s="105"/>
      <c r="J17" s="105"/>
      <c r="K17" s="58">
        <v>24000</v>
      </c>
      <c r="L17" s="58" t="s">
        <v>502</v>
      </c>
      <c r="M17" s="20">
        <f t="shared" si="0"/>
        <v>0</v>
      </c>
    </row>
    <row r="18" spans="1:13" x14ac:dyDescent="0.25">
      <c r="A18" s="135">
        <v>45804</v>
      </c>
      <c r="B18" s="73" t="s">
        <v>446</v>
      </c>
      <c r="C18" s="73" t="s">
        <v>443</v>
      </c>
      <c r="D18" s="28"/>
      <c r="E18" s="28"/>
      <c r="F18" s="28">
        <v>30000</v>
      </c>
      <c r="G18" s="28">
        <v>30000</v>
      </c>
      <c r="H18" s="94" t="s">
        <v>29</v>
      </c>
      <c r="I18" s="105"/>
      <c r="J18" s="105"/>
      <c r="K18" s="58">
        <v>30000</v>
      </c>
      <c r="L18" s="58" t="s">
        <v>525</v>
      </c>
      <c r="M18" s="20">
        <f t="shared" si="0"/>
        <v>0</v>
      </c>
    </row>
    <row r="19" spans="1:13" x14ac:dyDescent="0.25">
      <c r="A19" s="135">
        <v>45804</v>
      </c>
      <c r="B19" s="73" t="s">
        <v>444</v>
      </c>
      <c r="C19" s="73" t="s">
        <v>445</v>
      </c>
      <c r="D19" s="28"/>
      <c r="E19" s="28"/>
      <c r="F19" s="28">
        <v>56250</v>
      </c>
      <c r="G19" s="28">
        <v>56250</v>
      </c>
      <c r="H19" s="94" t="s">
        <v>29</v>
      </c>
      <c r="I19" s="105"/>
      <c r="J19" s="105"/>
      <c r="K19" s="58">
        <v>56250</v>
      </c>
      <c r="L19" s="58" t="s">
        <v>526</v>
      </c>
      <c r="M19" s="20">
        <f t="shared" si="0"/>
        <v>0</v>
      </c>
    </row>
    <row r="20" spans="1:13" x14ac:dyDescent="0.25">
      <c r="A20" s="135">
        <v>45805</v>
      </c>
      <c r="B20" s="73" t="s">
        <v>457</v>
      </c>
      <c r="C20" s="73" t="s">
        <v>458</v>
      </c>
      <c r="D20" s="28"/>
      <c r="E20" s="28"/>
      <c r="F20" s="28">
        <v>18500</v>
      </c>
      <c r="G20" s="28">
        <v>18500</v>
      </c>
      <c r="H20" s="94" t="s">
        <v>29</v>
      </c>
      <c r="I20" s="105"/>
      <c r="J20" s="105"/>
      <c r="K20" s="58">
        <v>18500</v>
      </c>
      <c r="L20" s="58" t="s">
        <v>459</v>
      </c>
      <c r="M20" s="30">
        <f t="shared" si="0"/>
        <v>0</v>
      </c>
    </row>
    <row r="21" spans="1:13" x14ac:dyDescent="0.25">
      <c r="A21" s="135">
        <v>45806</v>
      </c>
      <c r="B21" s="73" t="s">
        <v>460</v>
      </c>
      <c r="C21" s="73" t="s">
        <v>461</v>
      </c>
      <c r="D21" s="28"/>
      <c r="E21" s="28"/>
      <c r="F21" s="28">
        <v>16500</v>
      </c>
      <c r="G21" s="28">
        <v>16500</v>
      </c>
      <c r="H21" s="94" t="s">
        <v>29</v>
      </c>
      <c r="I21" s="105"/>
      <c r="J21" s="105"/>
      <c r="K21" s="58">
        <v>16500</v>
      </c>
      <c r="L21" s="58" t="s">
        <v>462</v>
      </c>
      <c r="M21" s="30">
        <f t="shared" si="0"/>
        <v>0</v>
      </c>
    </row>
    <row r="22" spans="1:13" x14ac:dyDescent="0.25">
      <c r="A22" s="135">
        <v>45806</v>
      </c>
      <c r="B22" s="73" t="s">
        <v>484</v>
      </c>
      <c r="C22" s="73" t="s">
        <v>259</v>
      </c>
      <c r="D22" s="28"/>
      <c r="E22" s="28"/>
      <c r="F22" s="28">
        <v>1250</v>
      </c>
      <c r="G22" s="28">
        <v>1250</v>
      </c>
      <c r="H22" s="94" t="s">
        <v>29</v>
      </c>
      <c r="I22" s="105"/>
      <c r="J22" s="105"/>
      <c r="K22" s="58">
        <v>1250</v>
      </c>
      <c r="L22" s="58" t="s">
        <v>463</v>
      </c>
      <c r="M22" s="30">
        <f t="shared" si="0"/>
        <v>0</v>
      </c>
    </row>
    <row r="23" spans="1:13" x14ac:dyDescent="0.25">
      <c r="A23" s="124"/>
      <c r="B23" s="110"/>
      <c r="C23" s="110"/>
      <c r="D23" s="112"/>
      <c r="E23" s="112"/>
      <c r="F23" s="112"/>
      <c r="G23" s="112"/>
      <c r="H23" s="113"/>
      <c r="I23" s="110"/>
      <c r="J23" s="110"/>
      <c r="K23" s="125"/>
      <c r="L23" s="125"/>
      <c r="M23" s="126">
        <f t="shared" si="0"/>
        <v>0</v>
      </c>
    </row>
    <row r="24" spans="1:13" x14ac:dyDescent="0.25">
      <c r="A24" s="109">
        <v>45782</v>
      </c>
      <c r="B24" s="73" t="s">
        <v>424</v>
      </c>
      <c r="C24" s="73" t="s">
        <v>54</v>
      </c>
      <c r="D24" s="28"/>
      <c r="E24" s="28">
        <v>108000</v>
      </c>
      <c r="F24" s="28"/>
      <c r="G24" s="28">
        <v>108000</v>
      </c>
      <c r="H24" s="137" t="s">
        <v>29</v>
      </c>
      <c r="I24" s="56">
        <v>64800</v>
      </c>
      <c r="J24" s="45" t="s">
        <v>384</v>
      </c>
      <c r="K24" s="58">
        <v>43200</v>
      </c>
      <c r="L24" s="58" t="s">
        <v>506</v>
      </c>
      <c r="M24" s="20">
        <f t="shared" ref="M24:M46" si="1">SUM(G24-I24-K24)</f>
        <v>0</v>
      </c>
    </row>
    <row r="25" spans="1:13" x14ac:dyDescent="0.25">
      <c r="A25" s="109">
        <v>45783</v>
      </c>
      <c r="B25" s="73" t="s">
        <v>390</v>
      </c>
      <c r="C25" s="73" t="s">
        <v>28</v>
      </c>
      <c r="D25" s="28"/>
      <c r="E25" s="28">
        <v>15000</v>
      </c>
      <c r="F25" s="28"/>
      <c r="G25" s="28">
        <v>15000</v>
      </c>
      <c r="H25" s="137" t="s">
        <v>29</v>
      </c>
      <c r="I25" s="122"/>
      <c r="J25" s="105"/>
      <c r="K25" s="144">
        <v>15000</v>
      </c>
      <c r="L25" s="144" t="s">
        <v>507</v>
      </c>
      <c r="M25" s="20">
        <f t="shared" si="1"/>
        <v>0</v>
      </c>
    </row>
    <row r="26" spans="1:13" x14ac:dyDescent="0.25">
      <c r="A26" s="109">
        <v>45784</v>
      </c>
      <c r="B26" s="73" t="s">
        <v>391</v>
      </c>
      <c r="C26" s="73" t="s">
        <v>392</v>
      </c>
      <c r="D26" s="28"/>
      <c r="E26" s="28">
        <v>13500</v>
      </c>
      <c r="F26" s="28"/>
      <c r="G26" s="28">
        <v>13500</v>
      </c>
      <c r="H26" s="137" t="s">
        <v>29</v>
      </c>
      <c r="I26" s="122"/>
      <c r="J26" s="105"/>
      <c r="K26" s="144">
        <v>13500</v>
      </c>
      <c r="L26" s="145" t="s">
        <v>400</v>
      </c>
      <c r="M26" s="20">
        <f t="shared" si="1"/>
        <v>0</v>
      </c>
    </row>
    <row r="27" spans="1:13" x14ac:dyDescent="0.25">
      <c r="A27" s="109">
        <v>45785</v>
      </c>
      <c r="B27" s="73" t="s">
        <v>393</v>
      </c>
      <c r="C27" s="73" t="s">
        <v>295</v>
      </c>
      <c r="D27" s="28"/>
      <c r="E27" s="28">
        <v>2000</v>
      </c>
      <c r="F27" s="28"/>
      <c r="G27" s="28">
        <v>2000</v>
      </c>
      <c r="H27" s="137" t="s">
        <v>29</v>
      </c>
      <c r="I27" s="122"/>
      <c r="J27" s="105"/>
      <c r="K27" s="144">
        <v>2000</v>
      </c>
      <c r="L27" s="144" t="s">
        <v>423</v>
      </c>
      <c r="M27" s="20">
        <f t="shared" si="1"/>
        <v>0</v>
      </c>
    </row>
    <row r="28" spans="1:13" x14ac:dyDescent="0.25">
      <c r="A28" s="109">
        <v>45793</v>
      </c>
      <c r="B28" s="73" t="s">
        <v>417</v>
      </c>
      <c r="C28" s="73" t="s">
        <v>418</v>
      </c>
      <c r="D28" s="28"/>
      <c r="E28" s="28">
        <v>5000</v>
      </c>
      <c r="F28" s="28"/>
      <c r="G28" s="28">
        <v>5000</v>
      </c>
      <c r="H28" s="137" t="s">
        <v>29</v>
      </c>
      <c r="I28" s="122"/>
      <c r="J28" s="105"/>
      <c r="K28" s="144">
        <v>5000</v>
      </c>
      <c r="L28" s="144" t="s">
        <v>430</v>
      </c>
      <c r="M28" s="20">
        <f t="shared" si="1"/>
        <v>0</v>
      </c>
    </row>
    <row r="29" spans="1:13" x14ac:dyDescent="0.25">
      <c r="A29" s="109">
        <v>45793</v>
      </c>
      <c r="B29" s="73" t="s">
        <v>419</v>
      </c>
      <c r="C29" s="73" t="s">
        <v>374</v>
      </c>
      <c r="D29" s="28"/>
      <c r="E29" s="28">
        <v>35000</v>
      </c>
      <c r="F29" s="28"/>
      <c r="G29" s="28">
        <v>35000</v>
      </c>
      <c r="H29" s="137" t="s">
        <v>29</v>
      </c>
      <c r="I29" s="122"/>
      <c r="J29" s="105"/>
      <c r="K29" s="144">
        <v>35000</v>
      </c>
      <c r="L29" s="144" t="s">
        <v>429</v>
      </c>
      <c r="M29" s="20">
        <f t="shared" si="1"/>
        <v>0</v>
      </c>
    </row>
    <row r="30" spans="1:13" x14ac:dyDescent="0.25">
      <c r="A30" s="109">
        <v>45797</v>
      </c>
      <c r="B30" s="73" t="s">
        <v>426</v>
      </c>
      <c r="C30" s="73" t="s">
        <v>427</v>
      </c>
      <c r="D30" s="28"/>
      <c r="E30" s="28">
        <v>26500</v>
      </c>
      <c r="F30" s="28"/>
      <c r="G30" s="28">
        <v>26500</v>
      </c>
      <c r="H30" s="137" t="s">
        <v>29</v>
      </c>
      <c r="I30" s="122"/>
      <c r="J30" s="105"/>
      <c r="K30" s="144">
        <v>26500</v>
      </c>
      <c r="L30" s="144" t="s">
        <v>433</v>
      </c>
      <c r="M30" s="20">
        <f t="shared" si="1"/>
        <v>0</v>
      </c>
    </row>
    <row r="31" spans="1:13" x14ac:dyDescent="0.25">
      <c r="A31" s="109">
        <v>45805</v>
      </c>
      <c r="B31" s="73" t="s">
        <v>450</v>
      </c>
      <c r="C31" s="73" t="s">
        <v>28</v>
      </c>
      <c r="D31" s="28"/>
      <c r="E31" s="28">
        <v>15000</v>
      </c>
      <c r="F31" s="28"/>
      <c r="G31" s="28">
        <v>15000</v>
      </c>
      <c r="H31" s="137" t="s">
        <v>29</v>
      </c>
      <c r="I31" s="122"/>
      <c r="J31" s="105"/>
      <c r="K31" s="144">
        <v>15000</v>
      </c>
      <c r="L31" s="144" t="s">
        <v>451</v>
      </c>
      <c r="M31" s="20">
        <f t="shared" si="1"/>
        <v>0</v>
      </c>
    </row>
    <row r="32" spans="1:13" x14ac:dyDescent="0.25">
      <c r="A32" s="124"/>
      <c r="B32" s="110"/>
      <c r="C32" s="110"/>
      <c r="D32" s="112"/>
      <c r="E32" s="115"/>
      <c r="F32" s="115"/>
      <c r="G32" s="115"/>
      <c r="H32" s="113"/>
      <c r="I32" s="110"/>
      <c r="J32" s="110"/>
      <c r="K32" s="125"/>
      <c r="L32" s="125"/>
      <c r="M32" s="126"/>
    </row>
    <row r="33" spans="1:13" x14ac:dyDescent="0.25">
      <c r="A33" s="109">
        <v>45779</v>
      </c>
      <c r="B33" s="73" t="s">
        <v>380</v>
      </c>
      <c r="C33" s="73" t="s">
        <v>59</v>
      </c>
      <c r="D33" s="142">
        <v>13000</v>
      </c>
      <c r="E33" s="56"/>
      <c r="F33" s="56"/>
      <c r="G33" s="56">
        <v>13000</v>
      </c>
      <c r="H33" s="94" t="s">
        <v>29</v>
      </c>
      <c r="I33" s="105"/>
      <c r="J33" s="105"/>
      <c r="K33" s="58">
        <v>13000</v>
      </c>
      <c r="L33" s="58" t="s">
        <v>583</v>
      </c>
      <c r="M33" s="20">
        <f t="shared" si="1"/>
        <v>0</v>
      </c>
    </row>
    <row r="34" spans="1:13" x14ac:dyDescent="0.25">
      <c r="A34" s="109">
        <v>45779</v>
      </c>
      <c r="B34" s="73" t="s">
        <v>381</v>
      </c>
      <c r="C34" s="73" t="s">
        <v>28</v>
      </c>
      <c r="D34" s="142">
        <v>6500</v>
      </c>
      <c r="E34" s="56"/>
      <c r="F34" s="56"/>
      <c r="G34" s="56">
        <v>6500</v>
      </c>
      <c r="H34" s="94" t="s">
        <v>29</v>
      </c>
      <c r="I34" s="105"/>
      <c r="J34" s="105"/>
      <c r="K34" s="58">
        <v>6500</v>
      </c>
      <c r="L34" s="58" t="s">
        <v>584</v>
      </c>
      <c r="M34" s="20">
        <f t="shared" si="1"/>
        <v>0</v>
      </c>
    </row>
    <row r="35" spans="1:13" x14ac:dyDescent="0.25">
      <c r="A35" s="109">
        <v>45779</v>
      </c>
      <c r="B35" s="73" t="s">
        <v>382</v>
      </c>
      <c r="C35" s="73" t="s">
        <v>28</v>
      </c>
      <c r="D35" s="142">
        <v>6500</v>
      </c>
      <c r="E35" s="56"/>
      <c r="F35" s="56"/>
      <c r="G35" s="56">
        <v>6500</v>
      </c>
      <c r="H35" s="94" t="s">
        <v>29</v>
      </c>
      <c r="I35" s="105"/>
      <c r="J35" s="105"/>
      <c r="K35" s="58">
        <v>6500</v>
      </c>
      <c r="L35" s="58" t="s">
        <v>581</v>
      </c>
      <c r="M35" s="20">
        <f t="shared" si="1"/>
        <v>0</v>
      </c>
    </row>
    <row r="36" spans="1:13" x14ac:dyDescent="0.25">
      <c r="A36" s="109">
        <v>45779</v>
      </c>
      <c r="B36" s="73" t="s">
        <v>383</v>
      </c>
      <c r="C36" s="73" t="s">
        <v>28</v>
      </c>
      <c r="D36" s="142">
        <v>6500</v>
      </c>
      <c r="E36" s="56"/>
      <c r="F36" s="56"/>
      <c r="G36" s="56">
        <v>6500</v>
      </c>
      <c r="H36" s="94" t="s">
        <v>29</v>
      </c>
      <c r="I36" s="105"/>
      <c r="J36" s="105"/>
      <c r="K36" s="58">
        <v>6500</v>
      </c>
      <c r="L36" s="58" t="s">
        <v>740</v>
      </c>
      <c r="M36" s="20">
        <f t="shared" si="1"/>
        <v>0</v>
      </c>
    </row>
    <row r="37" spans="1:13" x14ac:dyDescent="0.25">
      <c r="A37" s="109">
        <v>45783</v>
      </c>
      <c r="B37" s="73" t="s">
        <v>386</v>
      </c>
      <c r="C37" s="73" t="s">
        <v>385</v>
      </c>
      <c r="D37" s="142">
        <v>2500</v>
      </c>
      <c r="E37" s="56"/>
      <c r="F37" s="56"/>
      <c r="G37" s="56">
        <v>2500</v>
      </c>
      <c r="H37" s="94" t="s">
        <v>29</v>
      </c>
      <c r="I37" s="105"/>
      <c r="J37" s="105"/>
      <c r="K37" s="58">
        <v>2500</v>
      </c>
      <c r="L37" s="58" t="s">
        <v>436</v>
      </c>
      <c r="M37" s="20">
        <f t="shared" si="1"/>
        <v>0</v>
      </c>
    </row>
    <row r="38" spans="1:13" x14ac:dyDescent="0.25">
      <c r="A38" s="109">
        <v>45783</v>
      </c>
      <c r="B38" s="73" t="s">
        <v>387</v>
      </c>
      <c r="C38" s="73" t="s">
        <v>388</v>
      </c>
      <c r="D38" s="142">
        <v>6000</v>
      </c>
      <c r="E38" s="28"/>
      <c r="F38" s="28"/>
      <c r="G38" s="56">
        <v>6000</v>
      </c>
      <c r="H38" s="94" t="s">
        <v>29</v>
      </c>
      <c r="I38" s="123"/>
      <c r="J38" s="123"/>
      <c r="K38" s="142">
        <v>6000</v>
      </c>
      <c r="L38" s="143" t="s">
        <v>437</v>
      </c>
      <c r="M38" s="20">
        <f t="shared" si="1"/>
        <v>0</v>
      </c>
    </row>
    <row r="39" spans="1:13" x14ac:dyDescent="0.25">
      <c r="A39" s="109">
        <v>45786</v>
      </c>
      <c r="B39" s="73" t="s">
        <v>403</v>
      </c>
      <c r="C39" s="73" t="s">
        <v>54</v>
      </c>
      <c r="D39" s="142">
        <v>65000</v>
      </c>
      <c r="E39" s="28"/>
      <c r="F39" s="28"/>
      <c r="G39" s="56">
        <v>65000</v>
      </c>
      <c r="H39" s="94" t="s">
        <v>29</v>
      </c>
      <c r="I39" s="154">
        <v>32500</v>
      </c>
      <c r="J39" s="140" t="s">
        <v>515</v>
      </c>
      <c r="K39" s="147">
        <v>32500</v>
      </c>
      <c r="L39" s="148" t="s">
        <v>728</v>
      </c>
      <c r="M39" s="20">
        <f>SUM(G39-I39-K39)</f>
        <v>0</v>
      </c>
    </row>
    <row r="40" spans="1:13" x14ac:dyDescent="0.25">
      <c r="A40" s="109">
        <v>45790</v>
      </c>
      <c r="B40" s="73" t="s">
        <v>404</v>
      </c>
      <c r="C40" s="73" t="s">
        <v>736</v>
      </c>
      <c r="D40" s="142">
        <v>19000</v>
      </c>
      <c r="E40" s="28"/>
      <c r="F40" s="28"/>
      <c r="G40" s="56">
        <v>19000</v>
      </c>
      <c r="H40" s="94" t="s">
        <v>29</v>
      </c>
      <c r="I40" s="123"/>
      <c r="J40" s="123"/>
      <c r="K40" s="142">
        <v>19000</v>
      </c>
      <c r="L40" s="143" t="s">
        <v>434</v>
      </c>
      <c r="M40" s="20">
        <f t="shared" si="1"/>
        <v>0</v>
      </c>
    </row>
    <row r="41" spans="1:13" x14ac:dyDescent="0.25">
      <c r="A41" s="109">
        <v>45790</v>
      </c>
      <c r="B41" s="73" t="s">
        <v>405</v>
      </c>
      <c r="C41" s="73" t="s">
        <v>736</v>
      </c>
      <c r="D41" s="142">
        <v>19000</v>
      </c>
      <c r="E41" s="28"/>
      <c r="F41" s="28"/>
      <c r="G41" s="56">
        <v>19000</v>
      </c>
      <c r="H41" s="94" t="s">
        <v>29</v>
      </c>
      <c r="I41" s="123"/>
      <c r="J41" s="123"/>
      <c r="K41" s="142">
        <v>19000</v>
      </c>
      <c r="L41" s="143" t="s">
        <v>435</v>
      </c>
      <c r="M41" s="20">
        <f t="shared" si="1"/>
        <v>0</v>
      </c>
    </row>
    <row r="42" spans="1:13" x14ac:dyDescent="0.25">
      <c r="A42" s="109">
        <v>45793</v>
      </c>
      <c r="B42" s="73" t="s">
        <v>420</v>
      </c>
      <c r="C42" s="73" t="s">
        <v>415</v>
      </c>
      <c r="D42" s="142">
        <v>8000</v>
      </c>
      <c r="E42" s="28"/>
      <c r="F42" s="28"/>
      <c r="G42" s="56">
        <v>8000</v>
      </c>
      <c r="H42" s="201"/>
      <c r="I42" s="202"/>
      <c r="J42" s="202"/>
      <c r="K42" s="203"/>
      <c r="L42" s="205" t="s">
        <v>1099</v>
      </c>
      <c r="M42" s="204"/>
    </row>
    <row r="43" spans="1:13" x14ac:dyDescent="0.25">
      <c r="A43" s="109">
        <v>45793</v>
      </c>
      <c r="B43" s="73" t="s">
        <v>416</v>
      </c>
      <c r="C43" s="73" t="s">
        <v>305</v>
      </c>
      <c r="D43" s="142">
        <v>30000</v>
      </c>
      <c r="E43" s="28"/>
      <c r="F43" s="28"/>
      <c r="G43" s="56">
        <v>30000</v>
      </c>
      <c r="H43" s="94" t="s">
        <v>29</v>
      </c>
      <c r="I43" s="123"/>
      <c r="J43" s="123"/>
      <c r="K43" s="142">
        <v>30000</v>
      </c>
      <c r="L43" s="143" t="s">
        <v>585</v>
      </c>
      <c r="M43" s="56">
        <f t="shared" si="1"/>
        <v>0</v>
      </c>
    </row>
    <row r="44" spans="1:13" x14ac:dyDescent="0.25">
      <c r="A44" s="109">
        <v>45803</v>
      </c>
      <c r="B44" s="73" t="s">
        <v>438</v>
      </c>
      <c r="C44" s="73" t="s">
        <v>325</v>
      </c>
      <c r="D44" s="142">
        <v>60000</v>
      </c>
      <c r="E44" s="28"/>
      <c r="F44" s="28"/>
      <c r="G44" s="56">
        <v>60000</v>
      </c>
      <c r="H44" s="94" t="s">
        <v>29</v>
      </c>
      <c r="I44" s="123"/>
      <c r="J44" s="123"/>
      <c r="K44" s="56">
        <v>60000</v>
      </c>
      <c r="L44" s="45" t="s">
        <v>563</v>
      </c>
      <c r="M44" s="56">
        <f t="shared" si="1"/>
        <v>0</v>
      </c>
    </row>
    <row r="45" spans="1:13" x14ac:dyDescent="0.25">
      <c r="A45" s="109">
        <v>45805</v>
      </c>
      <c r="B45" s="73" t="s">
        <v>453</v>
      </c>
      <c r="C45" s="73" t="s">
        <v>135</v>
      </c>
      <c r="D45" s="142">
        <v>85100</v>
      </c>
      <c r="E45" s="28"/>
      <c r="F45" s="28"/>
      <c r="G45" s="56">
        <v>85100</v>
      </c>
      <c r="H45" s="94" t="s">
        <v>29</v>
      </c>
      <c r="I45" s="56">
        <v>42550</v>
      </c>
      <c r="J45" s="45" t="s">
        <v>454</v>
      </c>
      <c r="K45" s="56">
        <v>42550</v>
      </c>
      <c r="L45" s="45" t="s">
        <v>682</v>
      </c>
      <c r="M45" s="56">
        <f t="shared" si="1"/>
        <v>0</v>
      </c>
    </row>
    <row r="46" spans="1:13" x14ac:dyDescent="0.25">
      <c r="A46" s="109">
        <v>45805</v>
      </c>
      <c r="B46" s="73" t="s">
        <v>455</v>
      </c>
      <c r="C46" s="73" t="s">
        <v>135</v>
      </c>
      <c r="D46" s="142">
        <v>85100</v>
      </c>
      <c r="E46" s="28"/>
      <c r="F46" s="28"/>
      <c r="G46" s="56">
        <v>85100</v>
      </c>
      <c r="H46" s="94" t="s">
        <v>29</v>
      </c>
      <c r="I46" s="56">
        <v>42550</v>
      </c>
      <c r="J46" s="45" t="s">
        <v>456</v>
      </c>
      <c r="K46" s="56">
        <v>42550</v>
      </c>
      <c r="L46" s="45" t="s">
        <v>681</v>
      </c>
      <c r="M46" s="56">
        <f t="shared" si="1"/>
        <v>0</v>
      </c>
    </row>
    <row r="47" spans="1:13" x14ac:dyDescent="0.25">
      <c r="A47" s="127"/>
      <c r="B47" s="127"/>
      <c r="C47" s="127"/>
      <c r="D47" s="128"/>
      <c r="E47" s="128"/>
      <c r="F47" s="128"/>
      <c r="G47" s="127"/>
      <c r="H47" s="129"/>
      <c r="I47" s="127"/>
      <c r="J47" s="127"/>
      <c r="K47" s="127"/>
      <c r="L47" s="127"/>
      <c r="M47" s="127"/>
    </row>
    <row r="48" spans="1:13" x14ac:dyDescent="0.25">
      <c r="F48" s="116"/>
      <c r="H48" s="118"/>
    </row>
    <row r="49" spans="6:8" x14ac:dyDescent="0.25">
      <c r="F49" s="116"/>
      <c r="H49" s="118"/>
    </row>
    <row r="50" spans="6:8" x14ac:dyDescent="0.25">
      <c r="F50" s="116"/>
      <c r="H50" s="118"/>
    </row>
    <row r="51" spans="6:8" x14ac:dyDescent="0.25">
      <c r="F51" s="116"/>
      <c r="H51" s="118"/>
    </row>
    <row r="52" spans="6:8" x14ac:dyDescent="0.25">
      <c r="F52" s="116"/>
      <c r="H52" s="118"/>
    </row>
    <row r="53" spans="6:8" x14ac:dyDescent="0.25">
      <c r="F53" s="116"/>
      <c r="H53" s="118"/>
    </row>
    <row r="54" spans="6:8" x14ac:dyDescent="0.25">
      <c r="F54" s="116"/>
      <c r="H54" s="118"/>
    </row>
    <row r="55" spans="6:8" x14ac:dyDescent="0.25">
      <c r="F55" s="116"/>
      <c r="H55" s="118"/>
    </row>
    <row r="56" spans="6:8" x14ac:dyDescent="0.25">
      <c r="F56" s="116"/>
      <c r="H56" s="118"/>
    </row>
    <row r="57" spans="6:8" x14ac:dyDescent="0.25">
      <c r="F57" s="116"/>
      <c r="H57" s="118"/>
    </row>
    <row r="58" spans="6:8" x14ac:dyDescent="0.25">
      <c r="F58" s="116"/>
      <c r="H58" s="118"/>
    </row>
    <row r="59" spans="6:8" x14ac:dyDescent="0.25">
      <c r="F59" s="116"/>
      <c r="H59" s="118"/>
    </row>
    <row r="60" spans="6:8" x14ac:dyDescent="0.25">
      <c r="F60" s="116"/>
      <c r="H60" s="118"/>
    </row>
    <row r="61" spans="6:8" x14ac:dyDescent="0.25">
      <c r="F61" s="116"/>
      <c r="H61" s="118"/>
    </row>
    <row r="62" spans="6:8" x14ac:dyDescent="0.25">
      <c r="F62" s="116"/>
      <c r="H62" s="118"/>
    </row>
    <row r="63" spans="6:8" x14ac:dyDescent="0.25">
      <c r="F63" s="116"/>
      <c r="H63" s="118"/>
    </row>
    <row r="64" spans="6:8" x14ac:dyDescent="0.25">
      <c r="H64" s="118"/>
    </row>
    <row r="65" spans="8:8" x14ac:dyDescent="0.25">
      <c r="H65" s="118"/>
    </row>
    <row r="66" spans="8:8" x14ac:dyDescent="0.25">
      <c r="H66" s="118"/>
    </row>
    <row r="67" spans="8:8" x14ac:dyDescent="0.25">
      <c r="H67" s="11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43080-C69C-4A40-AF92-6E5CA25BC3B6}">
  <dimension ref="A1:M85"/>
  <sheetViews>
    <sheetView topLeftCell="A20" zoomScale="95" zoomScaleNormal="95" workbookViewId="0">
      <selection activeCell="C20" sqref="C20"/>
    </sheetView>
  </sheetViews>
  <sheetFormatPr defaultRowHeight="15" x14ac:dyDescent="0.25"/>
  <cols>
    <col min="1" max="1" width="9.28515625" customWidth="1"/>
    <col min="2" max="2" width="54.7109375" customWidth="1"/>
    <col min="3" max="3" width="46.140625" customWidth="1"/>
    <col min="4" max="4" width="12.42578125" style="116" customWidth="1"/>
    <col min="5" max="5" width="14.42578125" style="116" customWidth="1"/>
    <col min="6" max="6" width="13.42578125" customWidth="1"/>
    <col min="7" max="7" width="14.85546875" customWidth="1"/>
    <col min="8" max="8" width="10" customWidth="1"/>
    <col min="9" max="9" width="11.5703125" customWidth="1"/>
    <col min="10" max="10" width="10" customWidth="1"/>
    <col min="11" max="11" width="12.7109375" customWidth="1"/>
    <col min="12" max="12" width="15.28515625" customWidth="1"/>
    <col min="13" max="13" width="15.140625" customWidth="1"/>
  </cols>
  <sheetData>
    <row r="1" spans="1:13" x14ac:dyDescent="0.25">
      <c r="A1" s="1" t="s">
        <v>0</v>
      </c>
      <c r="B1" s="2"/>
      <c r="C1" s="3"/>
      <c r="D1" s="66"/>
      <c r="E1" s="66"/>
      <c r="F1" s="43"/>
      <c r="G1" s="43"/>
      <c r="H1" s="4"/>
      <c r="I1" s="36"/>
      <c r="J1" s="36"/>
      <c r="K1" s="5"/>
    </row>
    <row r="2" spans="1:13" x14ac:dyDescent="0.25">
      <c r="A2" s="1" t="s">
        <v>1</v>
      </c>
      <c r="B2" s="2"/>
      <c r="C2" s="3"/>
      <c r="D2" s="66"/>
      <c r="E2" s="66"/>
      <c r="F2" s="43"/>
      <c r="G2" s="43"/>
      <c r="H2" s="4"/>
      <c r="I2" s="36"/>
      <c r="J2" s="36"/>
      <c r="K2" s="5"/>
    </row>
    <row r="3" spans="1:13" x14ac:dyDescent="0.25">
      <c r="A3" s="1"/>
      <c r="B3" s="2"/>
      <c r="C3" s="3"/>
      <c r="D3" s="66"/>
      <c r="E3" s="66"/>
      <c r="F3" s="43"/>
      <c r="G3" s="43"/>
      <c r="H3" s="4"/>
      <c r="I3" s="36"/>
      <c r="J3" s="36"/>
      <c r="K3" s="5"/>
    </row>
    <row r="4" spans="1:13" x14ac:dyDescent="0.25">
      <c r="A4" s="6"/>
      <c r="B4" s="2" t="s">
        <v>2</v>
      </c>
      <c r="C4" s="3"/>
      <c r="D4" s="66"/>
      <c r="E4" s="66"/>
      <c r="F4" s="43"/>
      <c r="G4" s="43"/>
      <c r="H4" s="4"/>
      <c r="I4" s="36"/>
      <c r="J4" s="36"/>
      <c r="K4" s="5"/>
    </row>
    <row r="5" spans="1:13" ht="15.75" thickBot="1" x14ac:dyDescent="0.3">
      <c r="A5" s="7"/>
      <c r="B5" s="8" t="s">
        <v>3</v>
      </c>
      <c r="C5" s="5"/>
      <c r="D5" s="67"/>
      <c r="E5" s="67"/>
      <c r="F5" s="37"/>
      <c r="G5" s="37"/>
      <c r="H5" s="9"/>
      <c r="I5" s="37"/>
      <c r="J5" s="37"/>
      <c r="K5" s="5"/>
    </row>
    <row r="6" spans="1:13" ht="25.5" x14ac:dyDescent="0.25">
      <c r="A6" s="10" t="s">
        <v>4</v>
      </c>
      <c r="B6" s="11" t="s">
        <v>5</v>
      </c>
      <c r="C6" s="12" t="s">
        <v>6</v>
      </c>
      <c r="D6" s="68"/>
      <c r="E6" s="120"/>
      <c r="F6" s="14"/>
      <c r="G6" s="15" t="s">
        <v>7</v>
      </c>
      <c r="H6" s="46" t="s">
        <v>8</v>
      </c>
      <c r="I6" s="16" t="s">
        <v>9</v>
      </c>
      <c r="J6" s="16" t="s">
        <v>10</v>
      </c>
      <c r="K6" s="16" t="s">
        <v>9</v>
      </c>
      <c r="L6" s="16" t="s">
        <v>10</v>
      </c>
      <c r="M6" s="17"/>
    </row>
    <row r="7" spans="1:13" ht="15.75" thickBot="1" x14ac:dyDescent="0.3">
      <c r="A7" s="21"/>
      <c r="B7" s="22"/>
      <c r="C7" s="23"/>
      <c r="D7" s="69" t="s">
        <v>11</v>
      </c>
      <c r="E7" s="69" t="s">
        <v>12</v>
      </c>
      <c r="F7" s="24" t="s">
        <v>13</v>
      </c>
      <c r="G7" s="25"/>
      <c r="H7" s="26"/>
      <c r="I7" s="27" t="s">
        <v>14</v>
      </c>
      <c r="J7" s="27" t="s">
        <v>14</v>
      </c>
      <c r="K7" s="18" t="s">
        <v>15</v>
      </c>
      <c r="L7" s="18" t="s">
        <v>15</v>
      </c>
      <c r="M7" s="19" t="s">
        <v>16</v>
      </c>
    </row>
    <row r="8" spans="1:13" x14ac:dyDescent="0.25">
      <c r="A8" s="130" t="s">
        <v>468</v>
      </c>
      <c r="B8" s="131"/>
      <c r="C8" s="131"/>
      <c r="D8" s="132">
        <f>SUM(D9:D1040)</f>
        <v>345350</v>
      </c>
      <c r="E8" s="132">
        <f>SUM(E36:E43)</f>
        <v>185100</v>
      </c>
      <c r="F8" s="132">
        <f>SUM(F9:F35)</f>
        <v>970050</v>
      </c>
      <c r="G8" s="91"/>
      <c r="H8" s="131"/>
      <c r="I8" s="73"/>
      <c r="J8" s="73"/>
      <c r="K8" s="73"/>
      <c r="L8" s="73"/>
      <c r="M8" s="28">
        <f>SUM(M9:M64)</f>
        <v>47500</v>
      </c>
    </row>
    <row r="9" spans="1:13" x14ac:dyDescent="0.25">
      <c r="A9" s="135">
        <v>45810</v>
      </c>
      <c r="B9" s="73" t="s">
        <v>469</v>
      </c>
      <c r="C9" s="73" t="s">
        <v>415</v>
      </c>
      <c r="D9" s="28"/>
      <c r="E9" s="28"/>
      <c r="F9" s="28">
        <v>13000</v>
      </c>
      <c r="G9" s="28">
        <v>13000</v>
      </c>
      <c r="H9" s="57" t="s">
        <v>29</v>
      </c>
      <c r="I9" s="105"/>
      <c r="J9" s="105"/>
      <c r="K9" s="58">
        <v>13000</v>
      </c>
      <c r="L9" s="58" t="s">
        <v>503</v>
      </c>
      <c r="M9" s="20">
        <f t="shared" ref="M9:M64" si="0">SUM(G9-I9-K9)</f>
        <v>0</v>
      </c>
    </row>
    <row r="10" spans="1:13" x14ac:dyDescent="0.25">
      <c r="A10" s="135">
        <v>45810</v>
      </c>
      <c r="B10" s="73" t="s">
        <v>470</v>
      </c>
      <c r="C10" s="73" t="s">
        <v>471</v>
      </c>
      <c r="D10" s="28"/>
      <c r="E10" s="28"/>
      <c r="F10" s="28">
        <v>2500</v>
      </c>
      <c r="G10" s="28">
        <v>2500</v>
      </c>
      <c r="H10" s="94" t="s">
        <v>29</v>
      </c>
      <c r="I10" s="105"/>
      <c r="J10" s="105"/>
      <c r="K10" s="58">
        <v>2500</v>
      </c>
      <c r="L10" s="58" t="s">
        <v>504</v>
      </c>
      <c r="M10" s="20">
        <f t="shared" si="0"/>
        <v>0</v>
      </c>
    </row>
    <row r="11" spans="1:13" x14ac:dyDescent="0.25">
      <c r="A11" s="135">
        <v>45810</v>
      </c>
      <c r="B11" s="73" t="s">
        <v>472</v>
      </c>
      <c r="C11" s="73" t="s">
        <v>28</v>
      </c>
      <c r="D11" s="28"/>
      <c r="E11" s="28"/>
      <c r="F11" s="28">
        <v>8000</v>
      </c>
      <c r="G11" s="28">
        <v>8000</v>
      </c>
      <c r="H11" s="94" t="s">
        <v>29</v>
      </c>
      <c r="I11" s="105"/>
      <c r="J11" s="105"/>
      <c r="K11" s="58">
        <v>8000</v>
      </c>
      <c r="L11" s="58" t="s">
        <v>519</v>
      </c>
      <c r="M11" s="20">
        <f t="shared" si="0"/>
        <v>0</v>
      </c>
    </row>
    <row r="12" spans="1:13" x14ac:dyDescent="0.25">
      <c r="A12" s="135">
        <v>45810</v>
      </c>
      <c r="B12" s="73" t="s">
        <v>473</v>
      </c>
      <c r="C12" s="73" t="s">
        <v>443</v>
      </c>
      <c r="D12" s="28"/>
      <c r="E12" s="28"/>
      <c r="F12" s="28">
        <v>32000</v>
      </c>
      <c r="G12" s="28">
        <v>32000</v>
      </c>
      <c r="H12" s="94" t="s">
        <v>29</v>
      </c>
      <c r="I12" s="105"/>
      <c r="J12" s="105"/>
      <c r="K12" s="58">
        <v>32000</v>
      </c>
      <c r="L12" s="58" t="s">
        <v>520</v>
      </c>
      <c r="M12" s="20">
        <f t="shared" si="0"/>
        <v>0</v>
      </c>
    </row>
    <row r="13" spans="1:13" x14ac:dyDescent="0.25">
      <c r="A13" s="135">
        <v>45810</v>
      </c>
      <c r="B13" s="73" t="s">
        <v>474</v>
      </c>
      <c r="C13" s="73" t="s">
        <v>32</v>
      </c>
      <c r="D13" s="28"/>
      <c r="E13" s="28"/>
      <c r="F13" s="28">
        <v>24000</v>
      </c>
      <c r="G13" s="28">
        <v>24000</v>
      </c>
      <c r="H13" s="94" t="s">
        <v>29</v>
      </c>
      <c r="I13" s="105"/>
      <c r="J13" s="105"/>
      <c r="K13" s="58">
        <v>24000</v>
      </c>
      <c r="L13" s="58" t="s">
        <v>521</v>
      </c>
      <c r="M13" s="20">
        <f t="shared" si="0"/>
        <v>0</v>
      </c>
    </row>
    <row r="14" spans="1:13" x14ac:dyDescent="0.25">
      <c r="A14" s="135">
        <v>45810</v>
      </c>
      <c r="B14" s="73" t="s">
        <v>475</v>
      </c>
      <c r="C14" s="73" t="s">
        <v>445</v>
      </c>
      <c r="D14" s="28"/>
      <c r="E14" s="28"/>
      <c r="F14" s="28">
        <v>64000</v>
      </c>
      <c r="G14" s="28">
        <v>64000</v>
      </c>
      <c r="H14" s="94" t="s">
        <v>29</v>
      </c>
      <c r="I14" s="105"/>
      <c r="J14" s="105"/>
      <c r="K14" s="58">
        <v>64000</v>
      </c>
      <c r="L14" s="58" t="s">
        <v>522</v>
      </c>
      <c r="M14" s="20">
        <f t="shared" si="0"/>
        <v>0</v>
      </c>
    </row>
    <row r="15" spans="1:13" x14ac:dyDescent="0.25">
      <c r="A15" s="135">
        <v>45810</v>
      </c>
      <c r="B15" s="73" t="s">
        <v>476</v>
      </c>
      <c r="C15" s="73" t="s">
        <v>59</v>
      </c>
      <c r="D15" s="28"/>
      <c r="E15" s="28"/>
      <c r="F15" s="28">
        <v>16000</v>
      </c>
      <c r="G15" s="28">
        <v>16000</v>
      </c>
      <c r="H15" s="94" t="s">
        <v>29</v>
      </c>
      <c r="I15" s="105"/>
      <c r="J15" s="105"/>
      <c r="K15" s="58">
        <v>16000</v>
      </c>
      <c r="L15" s="58" t="s">
        <v>523</v>
      </c>
      <c r="M15" s="20">
        <f t="shared" si="0"/>
        <v>0</v>
      </c>
    </row>
    <row r="16" spans="1:13" x14ac:dyDescent="0.25">
      <c r="A16" s="135">
        <v>45810</v>
      </c>
      <c r="B16" s="73" t="s">
        <v>477</v>
      </c>
      <c r="C16" s="73" t="s">
        <v>478</v>
      </c>
      <c r="D16" s="28"/>
      <c r="E16" s="28"/>
      <c r="F16" s="28">
        <v>54600</v>
      </c>
      <c r="G16" s="28">
        <v>54600</v>
      </c>
      <c r="H16" s="94" t="s">
        <v>29</v>
      </c>
      <c r="I16" s="56">
        <v>48000</v>
      </c>
      <c r="J16" s="45" t="s">
        <v>524</v>
      </c>
      <c r="K16" s="58">
        <v>6600</v>
      </c>
      <c r="L16" s="58"/>
      <c r="M16" s="20">
        <f t="shared" si="0"/>
        <v>0</v>
      </c>
    </row>
    <row r="17" spans="1:13" x14ac:dyDescent="0.25">
      <c r="A17" s="135">
        <v>45812</v>
      </c>
      <c r="B17" s="73" t="s">
        <v>499</v>
      </c>
      <c r="C17" s="73" t="s">
        <v>500</v>
      </c>
      <c r="D17" s="28"/>
      <c r="E17" s="28"/>
      <c r="F17" s="28">
        <v>126500</v>
      </c>
      <c r="G17" s="28">
        <v>126500</v>
      </c>
      <c r="H17" s="94" t="s">
        <v>29</v>
      </c>
      <c r="I17" s="56">
        <v>88250</v>
      </c>
      <c r="J17" s="45" t="s">
        <v>739</v>
      </c>
      <c r="K17" s="58">
        <v>38250</v>
      </c>
      <c r="L17" s="58" t="s">
        <v>908</v>
      </c>
      <c r="M17" s="20">
        <f t="shared" si="0"/>
        <v>0</v>
      </c>
    </row>
    <row r="18" spans="1:13" x14ac:dyDescent="0.25">
      <c r="A18" s="135">
        <v>45821</v>
      </c>
      <c r="B18" s="73" t="s">
        <v>543</v>
      </c>
      <c r="C18" s="73" t="s">
        <v>544</v>
      </c>
      <c r="D18" s="28"/>
      <c r="E18" s="28"/>
      <c r="F18" s="28">
        <v>12000</v>
      </c>
      <c r="G18" s="28">
        <v>12000</v>
      </c>
      <c r="H18" s="94" t="s">
        <v>29</v>
      </c>
      <c r="I18" s="105"/>
      <c r="J18" s="105"/>
      <c r="K18" s="58">
        <v>12000</v>
      </c>
      <c r="L18" s="58" t="s">
        <v>549</v>
      </c>
      <c r="M18" s="30">
        <f t="shared" si="0"/>
        <v>0</v>
      </c>
    </row>
    <row r="19" spans="1:13" x14ac:dyDescent="0.25">
      <c r="A19" s="135">
        <v>45821</v>
      </c>
      <c r="B19" s="73" t="s">
        <v>545</v>
      </c>
      <c r="C19" s="73" t="s">
        <v>546</v>
      </c>
      <c r="D19" s="28"/>
      <c r="E19" s="28"/>
      <c r="F19" s="28">
        <v>15750</v>
      </c>
      <c r="G19" s="28">
        <v>15750</v>
      </c>
      <c r="H19" s="94" t="s">
        <v>29</v>
      </c>
      <c r="I19" s="105"/>
      <c r="J19" s="105"/>
      <c r="K19" s="58">
        <v>15750</v>
      </c>
      <c r="L19" s="58"/>
      <c r="M19" s="30">
        <f t="shared" si="0"/>
        <v>0</v>
      </c>
    </row>
    <row r="20" spans="1:13" x14ac:dyDescent="0.25">
      <c r="A20" s="135">
        <v>45821</v>
      </c>
      <c r="B20" s="73" t="s">
        <v>547</v>
      </c>
      <c r="C20" s="73" t="s">
        <v>54</v>
      </c>
      <c r="D20" s="28"/>
      <c r="E20" s="28"/>
      <c r="F20" s="28">
        <v>100000</v>
      </c>
      <c r="G20" s="28">
        <v>100000</v>
      </c>
      <c r="H20" s="94" t="s">
        <v>29</v>
      </c>
      <c r="I20" s="28">
        <v>50000</v>
      </c>
      <c r="J20" s="73" t="s">
        <v>569</v>
      </c>
      <c r="K20" s="58">
        <v>50000</v>
      </c>
      <c r="L20" s="58" t="s">
        <v>1071</v>
      </c>
      <c r="M20" s="30">
        <f t="shared" si="0"/>
        <v>0</v>
      </c>
    </row>
    <row r="21" spans="1:13" x14ac:dyDescent="0.25">
      <c r="A21" s="135">
        <v>45825</v>
      </c>
      <c r="B21" s="73" t="s">
        <v>550</v>
      </c>
      <c r="C21" s="73" t="s">
        <v>461</v>
      </c>
      <c r="D21" s="28"/>
      <c r="E21" s="28"/>
      <c r="F21" s="28">
        <v>16500</v>
      </c>
      <c r="G21" s="28">
        <v>16500</v>
      </c>
      <c r="H21" s="94" t="s">
        <v>29</v>
      </c>
      <c r="I21" s="105"/>
      <c r="J21" s="105"/>
      <c r="K21" s="58">
        <v>16500</v>
      </c>
      <c r="L21" s="58" t="s">
        <v>574</v>
      </c>
      <c r="M21" s="30">
        <f t="shared" si="0"/>
        <v>0</v>
      </c>
    </row>
    <row r="22" spans="1:13" x14ac:dyDescent="0.25">
      <c r="A22" s="135">
        <v>45825</v>
      </c>
      <c r="B22" s="73" t="s">
        <v>551</v>
      </c>
      <c r="C22" s="73" t="s">
        <v>374</v>
      </c>
      <c r="D22" s="28"/>
      <c r="E22" s="28"/>
      <c r="F22" s="28">
        <v>25000</v>
      </c>
      <c r="G22" s="28">
        <v>25000</v>
      </c>
      <c r="H22" s="94" t="s">
        <v>29</v>
      </c>
      <c r="I22" s="28">
        <v>12500</v>
      </c>
      <c r="J22" s="73" t="s">
        <v>552</v>
      </c>
      <c r="K22" s="58"/>
      <c r="L22" s="58"/>
      <c r="M22" s="30">
        <f t="shared" si="0"/>
        <v>12500</v>
      </c>
    </row>
    <row r="23" spans="1:13" x14ac:dyDescent="0.25">
      <c r="A23" s="135">
        <v>45825</v>
      </c>
      <c r="B23" s="73" t="s">
        <v>555</v>
      </c>
      <c r="C23" s="73" t="s">
        <v>95</v>
      </c>
      <c r="D23" s="28"/>
      <c r="E23" s="28"/>
      <c r="F23" s="28">
        <v>2500</v>
      </c>
      <c r="G23" s="28">
        <v>2500</v>
      </c>
      <c r="H23" s="94" t="s">
        <v>29</v>
      </c>
      <c r="I23" s="105"/>
      <c r="J23" s="105"/>
      <c r="K23" s="58">
        <v>2500</v>
      </c>
      <c r="L23" s="58" t="s">
        <v>548</v>
      </c>
      <c r="M23" s="30">
        <f t="shared" si="0"/>
        <v>0</v>
      </c>
    </row>
    <row r="24" spans="1:13" x14ac:dyDescent="0.25">
      <c r="A24" s="135">
        <v>45827</v>
      </c>
      <c r="B24" s="73" t="s">
        <v>562</v>
      </c>
      <c r="C24" s="73" t="s">
        <v>888</v>
      </c>
      <c r="D24" s="28"/>
      <c r="E24" s="28"/>
      <c r="F24" s="28">
        <v>20000</v>
      </c>
      <c r="G24" s="28">
        <v>20000</v>
      </c>
      <c r="H24" s="94" t="s">
        <v>29</v>
      </c>
      <c r="I24" s="28">
        <v>10000</v>
      </c>
      <c r="J24" s="73" t="s">
        <v>886</v>
      </c>
      <c r="K24" s="58">
        <v>10000</v>
      </c>
      <c r="L24" s="58" t="s">
        <v>1220</v>
      </c>
      <c r="M24" s="30">
        <f t="shared" si="0"/>
        <v>0</v>
      </c>
    </row>
    <row r="25" spans="1:13" x14ac:dyDescent="0.25">
      <c r="A25" s="135">
        <v>45827</v>
      </c>
      <c r="B25" s="73" t="s">
        <v>564</v>
      </c>
      <c r="C25" s="73" t="s">
        <v>734</v>
      </c>
      <c r="D25" s="28"/>
      <c r="E25" s="28"/>
      <c r="F25" s="28">
        <v>20000</v>
      </c>
      <c r="G25" s="28">
        <v>20000</v>
      </c>
      <c r="H25" s="94" t="s">
        <v>29</v>
      </c>
      <c r="I25" s="28">
        <v>10000</v>
      </c>
      <c r="J25" s="73" t="s">
        <v>887</v>
      </c>
      <c r="K25" s="58">
        <v>10000</v>
      </c>
      <c r="L25" s="58" t="s">
        <v>1221</v>
      </c>
      <c r="M25" s="30">
        <f t="shared" si="0"/>
        <v>0</v>
      </c>
    </row>
    <row r="26" spans="1:13" x14ac:dyDescent="0.25">
      <c r="A26" s="135">
        <v>45827</v>
      </c>
      <c r="B26" s="73" t="s">
        <v>565</v>
      </c>
      <c r="C26" s="73" t="s">
        <v>461</v>
      </c>
      <c r="D26" s="28"/>
      <c r="E26" s="28"/>
      <c r="F26" s="28">
        <v>16500</v>
      </c>
      <c r="G26" s="28">
        <v>16500</v>
      </c>
      <c r="H26" s="94" t="s">
        <v>29</v>
      </c>
      <c r="I26" s="105"/>
      <c r="J26" s="105"/>
      <c r="K26" s="58">
        <v>16500</v>
      </c>
      <c r="L26" s="58" t="s">
        <v>588</v>
      </c>
      <c r="M26" s="30">
        <f t="shared" si="0"/>
        <v>0</v>
      </c>
    </row>
    <row r="27" spans="1:13" x14ac:dyDescent="0.25">
      <c r="A27" s="135">
        <v>45831</v>
      </c>
      <c r="B27" s="73" t="s">
        <v>566</v>
      </c>
      <c r="C27" s="73" t="s">
        <v>1333</v>
      </c>
      <c r="D27" s="28"/>
      <c r="E27" s="28"/>
      <c r="F27" s="28">
        <v>25000</v>
      </c>
      <c r="G27" s="28">
        <v>25000</v>
      </c>
      <c r="H27" s="94" t="s">
        <v>29</v>
      </c>
      <c r="I27" s="28">
        <v>12500</v>
      </c>
      <c r="J27" s="73" t="s">
        <v>669</v>
      </c>
      <c r="K27" s="58">
        <v>12500</v>
      </c>
      <c r="L27" s="58" t="s">
        <v>996</v>
      </c>
      <c r="M27" s="30">
        <f t="shared" si="0"/>
        <v>0</v>
      </c>
    </row>
    <row r="28" spans="1:13" x14ac:dyDescent="0.25">
      <c r="A28" s="135">
        <v>45831</v>
      </c>
      <c r="B28" s="73" t="s">
        <v>778</v>
      </c>
      <c r="C28" s="73" t="s">
        <v>54</v>
      </c>
      <c r="D28" s="28"/>
      <c r="E28" s="28"/>
      <c r="F28" s="28">
        <v>100000</v>
      </c>
      <c r="G28" s="28">
        <v>100000</v>
      </c>
      <c r="H28" s="94" t="s">
        <v>29</v>
      </c>
      <c r="I28" s="28">
        <v>50000</v>
      </c>
      <c r="J28" s="73" t="s">
        <v>568</v>
      </c>
      <c r="K28" s="56">
        <v>50000</v>
      </c>
      <c r="L28" s="59" t="s">
        <v>885</v>
      </c>
      <c r="M28" s="30">
        <f t="shared" si="0"/>
        <v>0</v>
      </c>
    </row>
    <row r="29" spans="1:13" x14ac:dyDescent="0.25">
      <c r="A29" s="135">
        <v>45833</v>
      </c>
      <c r="B29" s="73" t="s">
        <v>575</v>
      </c>
      <c r="C29" s="73" t="s">
        <v>573</v>
      </c>
      <c r="D29" s="28"/>
      <c r="E29" s="28"/>
      <c r="F29" s="28">
        <v>12500</v>
      </c>
      <c r="G29" s="28">
        <v>12500</v>
      </c>
      <c r="H29" s="94" t="s">
        <v>29</v>
      </c>
      <c r="I29" s="105"/>
      <c r="J29" s="105"/>
      <c r="K29" s="58">
        <v>12500</v>
      </c>
      <c r="L29" s="58" t="s">
        <v>576</v>
      </c>
      <c r="M29" s="30">
        <f t="shared" si="0"/>
        <v>0</v>
      </c>
    </row>
    <row r="30" spans="1:13" x14ac:dyDescent="0.25">
      <c r="A30" s="135">
        <v>45834</v>
      </c>
      <c r="B30" s="73" t="s">
        <v>592</v>
      </c>
      <c r="C30" s="73" t="s">
        <v>54</v>
      </c>
      <c r="D30" s="28"/>
      <c r="E30" s="28"/>
      <c r="F30" s="28">
        <v>63500</v>
      </c>
      <c r="G30" s="28">
        <v>63500</v>
      </c>
      <c r="H30" s="94" t="s">
        <v>29</v>
      </c>
      <c r="I30" s="28">
        <v>31750</v>
      </c>
      <c r="J30" s="73" t="s">
        <v>764</v>
      </c>
      <c r="K30" s="58">
        <v>31750</v>
      </c>
      <c r="L30" s="58" t="s">
        <v>765</v>
      </c>
      <c r="M30" s="30">
        <f t="shared" si="0"/>
        <v>0</v>
      </c>
    </row>
    <row r="31" spans="1:13" x14ac:dyDescent="0.25">
      <c r="A31" s="135">
        <v>45834</v>
      </c>
      <c r="B31" s="73" t="s">
        <v>593</v>
      </c>
      <c r="C31" s="73" t="s">
        <v>500</v>
      </c>
      <c r="D31" s="28"/>
      <c r="E31" s="28"/>
      <c r="F31" s="28">
        <v>83500</v>
      </c>
      <c r="G31" s="28">
        <v>83500</v>
      </c>
      <c r="H31" s="94" t="s">
        <v>29</v>
      </c>
      <c r="I31" s="28">
        <v>41750</v>
      </c>
      <c r="J31" s="73" t="s">
        <v>764</v>
      </c>
      <c r="K31" s="58">
        <v>41750</v>
      </c>
      <c r="L31" s="58" t="s">
        <v>765</v>
      </c>
      <c r="M31" s="30">
        <f t="shared" si="0"/>
        <v>0</v>
      </c>
    </row>
    <row r="32" spans="1:13" x14ac:dyDescent="0.25">
      <c r="A32" s="135">
        <v>45833</v>
      </c>
      <c r="B32" s="73" t="s">
        <v>594</v>
      </c>
      <c r="C32" s="73" t="s">
        <v>595</v>
      </c>
      <c r="D32" s="28"/>
      <c r="E32" s="28"/>
      <c r="F32" s="28">
        <v>113000</v>
      </c>
      <c r="G32" s="28">
        <v>113000</v>
      </c>
      <c r="H32" s="94" t="s">
        <v>29</v>
      </c>
      <c r="I32" s="28">
        <v>56500</v>
      </c>
      <c r="J32" s="73" t="s">
        <v>764</v>
      </c>
      <c r="K32" s="58">
        <v>56500</v>
      </c>
      <c r="L32" s="58" t="s">
        <v>765</v>
      </c>
      <c r="M32" s="30">
        <f t="shared" si="0"/>
        <v>0</v>
      </c>
    </row>
    <row r="33" spans="1:13" x14ac:dyDescent="0.25">
      <c r="A33" s="135">
        <v>45835</v>
      </c>
      <c r="B33" s="73" t="s">
        <v>602</v>
      </c>
      <c r="C33" s="73" t="s">
        <v>295</v>
      </c>
      <c r="D33" s="28"/>
      <c r="E33" s="28"/>
      <c r="F33" s="28">
        <v>1700</v>
      </c>
      <c r="G33" s="28">
        <v>1700</v>
      </c>
      <c r="H33" s="94" t="s">
        <v>29</v>
      </c>
      <c r="I33" s="105"/>
      <c r="J33" s="105"/>
      <c r="K33" s="58">
        <v>1700</v>
      </c>
      <c r="L33" s="58" t="s">
        <v>604</v>
      </c>
      <c r="M33" s="30">
        <f t="shared" si="0"/>
        <v>0</v>
      </c>
    </row>
    <row r="34" spans="1:13" x14ac:dyDescent="0.25">
      <c r="A34" s="135">
        <v>45835</v>
      </c>
      <c r="B34" s="73" t="s">
        <v>620</v>
      </c>
      <c r="C34" s="73" t="s">
        <v>285</v>
      </c>
      <c r="D34" s="28"/>
      <c r="E34" s="28"/>
      <c r="F34" s="28">
        <v>2000</v>
      </c>
      <c r="G34" s="28">
        <v>2000</v>
      </c>
      <c r="H34" s="94" t="s">
        <v>29</v>
      </c>
      <c r="I34" s="105"/>
      <c r="J34" s="105"/>
      <c r="K34" s="58">
        <v>2000</v>
      </c>
      <c r="L34" s="58" t="s">
        <v>603</v>
      </c>
      <c r="M34" s="30">
        <f t="shared" si="0"/>
        <v>0</v>
      </c>
    </row>
    <row r="35" spans="1:13" x14ac:dyDescent="0.25">
      <c r="A35" s="124"/>
      <c r="B35" s="110"/>
      <c r="C35" s="110"/>
      <c r="D35" s="112"/>
      <c r="E35" s="112"/>
      <c r="F35" s="112"/>
      <c r="G35" s="112"/>
      <c r="H35" s="113"/>
      <c r="I35" s="110"/>
      <c r="J35" s="110"/>
      <c r="K35" s="125"/>
      <c r="L35" s="125"/>
      <c r="M35" s="126">
        <f t="shared" si="0"/>
        <v>0</v>
      </c>
    </row>
    <row r="36" spans="1:13" x14ac:dyDescent="0.25">
      <c r="A36" s="109">
        <v>45812</v>
      </c>
      <c r="B36" s="73" t="s">
        <v>505</v>
      </c>
      <c r="C36" s="73" t="s">
        <v>374</v>
      </c>
      <c r="D36" s="28"/>
      <c r="E36" s="28">
        <v>35000</v>
      </c>
      <c r="F36" s="28"/>
      <c r="G36" s="28">
        <v>35000</v>
      </c>
      <c r="H36" s="137" t="s">
        <v>29</v>
      </c>
      <c r="I36" s="28">
        <v>17500</v>
      </c>
      <c r="J36" s="73" t="s">
        <v>590</v>
      </c>
      <c r="K36" s="41">
        <v>17500</v>
      </c>
      <c r="L36" s="41" t="s">
        <v>667</v>
      </c>
      <c r="M36" s="20">
        <f t="shared" si="0"/>
        <v>0</v>
      </c>
    </row>
    <row r="37" spans="1:13" x14ac:dyDescent="0.25">
      <c r="A37" s="109">
        <v>45813</v>
      </c>
      <c r="B37" s="73" t="s">
        <v>510</v>
      </c>
      <c r="C37" s="73" t="s">
        <v>374</v>
      </c>
      <c r="D37" s="28"/>
      <c r="E37" s="28">
        <v>35000</v>
      </c>
      <c r="F37" s="28"/>
      <c r="G37" s="28">
        <v>35000</v>
      </c>
      <c r="H37" s="137" t="s">
        <v>29</v>
      </c>
      <c r="I37" s="28">
        <v>17500</v>
      </c>
      <c r="J37" s="73" t="s">
        <v>591</v>
      </c>
      <c r="K37" s="41">
        <v>17500</v>
      </c>
      <c r="L37" s="41" t="s">
        <v>668</v>
      </c>
      <c r="M37" s="20">
        <f t="shared" si="0"/>
        <v>0</v>
      </c>
    </row>
    <row r="38" spans="1:13" x14ac:dyDescent="0.25">
      <c r="A38" s="109">
        <v>45813</v>
      </c>
      <c r="B38" s="73" t="s">
        <v>511</v>
      </c>
      <c r="C38" s="73" t="s">
        <v>374</v>
      </c>
      <c r="D38" s="28"/>
      <c r="E38" s="28">
        <v>35000</v>
      </c>
      <c r="F38" s="28"/>
      <c r="G38" s="28">
        <v>35000</v>
      </c>
      <c r="H38" s="137"/>
      <c r="I38" s="28"/>
      <c r="J38" s="73"/>
      <c r="K38" s="28"/>
      <c r="L38" s="73"/>
      <c r="M38" s="20">
        <f t="shared" si="0"/>
        <v>35000</v>
      </c>
    </row>
    <row r="39" spans="1:13" x14ac:dyDescent="0.25">
      <c r="A39" s="109">
        <v>45818</v>
      </c>
      <c r="B39" s="73" t="s">
        <v>541</v>
      </c>
      <c r="C39" s="73" t="s">
        <v>458</v>
      </c>
      <c r="D39" s="28"/>
      <c r="E39" s="28">
        <v>11000</v>
      </c>
      <c r="F39" s="28"/>
      <c r="G39" s="28">
        <v>11000</v>
      </c>
      <c r="H39" s="137" t="s">
        <v>29</v>
      </c>
      <c r="I39" s="105"/>
      <c r="J39" s="105"/>
      <c r="K39" s="41">
        <v>11000</v>
      </c>
      <c r="L39" s="41" t="s">
        <v>723</v>
      </c>
      <c r="M39" s="20">
        <f t="shared" si="0"/>
        <v>0</v>
      </c>
    </row>
    <row r="40" spans="1:13" x14ac:dyDescent="0.25">
      <c r="A40" s="109">
        <v>45821</v>
      </c>
      <c r="B40" s="73" t="s">
        <v>541</v>
      </c>
      <c r="C40" s="73" t="s">
        <v>542</v>
      </c>
      <c r="D40" s="28"/>
      <c r="E40" s="28">
        <v>6500</v>
      </c>
      <c r="F40" s="28"/>
      <c r="G40" s="28">
        <v>6500</v>
      </c>
      <c r="H40" s="137" t="s">
        <v>29</v>
      </c>
      <c r="I40" s="105"/>
      <c r="J40" s="105"/>
      <c r="K40" s="41">
        <v>6500</v>
      </c>
      <c r="L40" s="41" t="s">
        <v>556</v>
      </c>
      <c r="M40" s="20">
        <f t="shared" si="0"/>
        <v>0</v>
      </c>
    </row>
    <row r="41" spans="1:13" x14ac:dyDescent="0.25">
      <c r="A41" s="109">
        <v>45824</v>
      </c>
      <c r="B41" s="73" t="s">
        <v>553</v>
      </c>
      <c r="C41" s="73" t="s">
        <v>554</v>
      </c>
      <c r="D41" s="28"/>
      <c r="E41" s="28">
        <v>2600</v>
      </c>
      <c r="F41" s="28"/>
      <c r="G41" s="28">
        <v>2600</v>
      </c>
      <c r="H41" s="137" t="s">
        <v>29</v>
      </c>
      <c r="I41" s="105"/>
      <c r="J41" s="105"/>
      <c r="K41" s="41">
        <v>2600</v>
      </c>
      <c r="L41" s="41" t="s">
        <v>597</v>
      </c>
      <c r="M41" s="20">
        <f t="shared" si="0"/>
        <v>0</v>
      </c>
    </row>
    <row r="42" spans="1:13" x14ac:dyDescent="0.25">
      <c r="A42" s="109">
        <v>45831</v>
      </c>
      <c r="B42" s="73" t="s">
        <v>596</v>
      </c>
      <c r="C42" s="73" t="s">
        <v>573</v>
      </c>
      <c r="D42" s="28"/>
      <c r="E42" s="28">
        <v>26500</v>
      </c>
      <c r="F42" s="28"/>
      <c r="G42" s="28">
        <v>26500</v>
      </c>
      <c r="H42" s="137" t="s">
        <v>29</v>
      </c>
      <c r="I42" s="105"/>
      <c r="J42" s="105"/>
      <c r="K42" s="41">
        <v>26500</v>
      </c>
      <c r="L42" s="41" t="s">
        <v>666</v>
      </c>
      <c r="M42" s="20">
        <f t="shared" si="0"/>
        <v>0</v>
      </c>
    </row>
    <row r="43" spans="1:13" x14ac:dyDescent="0.25">
      <c r="A43" s="109">
        <v>45835</v>
      </c>
      <c r="B43" s="73" t="s">
        <v>598</v>
      </c>
      <c r="C43" s="73" t="s">
        <v>25</v>
      </c>
      <c r="D43" s="28"/>
      <c r="E43" s="28">
        <v>33500</v>
      </c>
      <c r="F43" s="28"/>
      <c r="G43" s="28">
        <v>33500</v>
      </c>
      <c r="H43" s="137" t="s">
        <v>29</v>
      </c>
      <c r="I43" s="28">
        <v>16750</v>
      </c>
      <c r="J43" s="73" t="s">
        <v>742</v>
      </c>
      <c r="K43" s="41">
        <v>16750</v>
      </c>
      <c r="L43" s="41" t="s">
        <v>846</v>
      </c>
      <c r="M43" s="20">
        <f t="shared" si="0"/>
        <v>0</v>
      </c>
    </row>
    <row r="44" spans="1:13" x14ac:dyDescent="0.25">
      <c r="A44" s="124"/>
      <c r="B44" s="110"/>
      <c r="C44" s="110"/>
      <c r="D44" s="112"/>
      <c r="E44" s="115"/>
      <c r="F44" s="115"/>
      <c r="G44" s="115"/>
      <c r="H44" s="113"/>
      <c r="I44" s="110"/>
      <c r="J44" s="110"/>
      <c r="K44" s="125"/>
      <c r="L44" s="125"/>
      <c r="M44" s="126"/>
    </row>
    <row r="45" spans="1:13" x14ac:dyDescent="0.25">
      <c r="A45" s="109">
        <v>45811</v>
      </c>
      <c r="B45" s="73" t="s">
        <v>479</v>
      </c>
      <c r="C45" s="73" t="s">
        <v>28</v>
      </c>
      <c r="D45" s="142">
        <v>6500</v>
      </c>
      <c r="E45" s="56"/>
      <c r="F45" s="56"/>
      <c r="G45" s="56">
        <v>6500</v>
      </c>
      <c r="H45" s="94" t="s">
        <v>29</v>
      </c>
      <c r="I45" s="105"/>
      <c r="J45" s="105"/>
      <c r="K45" s="58">
        <v>6500</v>
      </c>
      <c r="L45" s="73" t="s">
        <v>744</v>
      </c>
      <c r="M45" s="20">
        <f t="shared" si="0"/>
        <v>0</v>
      </c>
    </row>
    <row r="46" spans="1:13" x14ac:dyDescent="0.25">
      <c r="A46" s="109">
        <v>45811</v>
      </c>
      <c r="B46" s="73" t="s">
        <v>480</v>
      </c>
      <c r="C46" s="73" t="s">
        <v>59</v>
      </c>
      <c r="D46" s="142">
        <v>13000</v>
      </c>
      <c r="E46" s="56"/>
      <c r="F46" s="56"/>
      <c r="G46" s="56">
        <v>13000</v>
      </c>
      <c r="H46" s="94" t="s">
        <v>29</v>
      </c>
      <c r="I46" s="105"/>
      <c r="J46" s="105"/>
      <c r="K46" s="58">
        <v>13000</v>
      </c>
      <c r="L46" s="73" t="s">
        <v>743</v>
      </c>
      <c r="M46" s="20">
        <f>SUM(G46-I46-K46)</f>
        <v>0</v>
      </c>
    </row>
    <row r="47" spans="1:13" x14ac:dyDescent="0.25">
      <c r="A47" s="109">
        <v>45811</v>
      </c>
      <c r="B47" s="73" t="s">
        <v>704</v>
      </c>
      <c r="C47" s="73" t="s">
        <v>443</v>
      </c>
      <c r="D47" s="142">
        <v>26000</v>
      </c>
      <c r="E47" s="56"/>
      <c r="F47" s="56"/>
      <c r="G47" s="56">
        <v>26000</v>
      </c>
      <c r="H47" s="94" t="s">
        <v>29</v>
      </c>
      <c r="I47" s="105"/>
      <c r="J47" s="105"/>
      <c r="K47" s="58">
        <v>26000</v>
      </c>
      <c r="L47" s="73" t="s">
        <v>745</v>
      </c>
      <c r="M47" s="20">
        <f t="shared" si="0"/>
        <v>0</v>
      </c>
    </row>
    <row r="48" spans="1:13" x14ac:dyDescent="0.25">
      <c r="A48" s="109">
        <v>45811</v>
      </c>
      <c r="B48" s="73" t="s">
        <v>483</v>
      </c>
      <c r="C48" s="73" t="s">
        <v>32</v>
      </c>
      <c r="D48" s="142">
        <v>19500</v>
      </c>
      <c r="E48" s="56"/>
      <c r="F48" s="56"/>
      <c r="G48" s="56">
        <v>19500</v>
      </c>
      <c r="H48" s="94" t="s">
        <v>29</v>
      </c>
      <c r="I48" s="105"/>
      <c r="J48" s="105"/>
      <c r="K48" s="58">
        <v>19500</v>
      </c>
      <c r="L48" s="73" t="s">
        <v>740</v>
      </c>
      <c r="M48" s="20">
        <f t="shared" si="0"/>
        <v>0</v>
      </c>
    </row>
    <row r="49" spans="1:13" x14ac:dyDescent="0.25">
      <c r="A49" s="109">
        <v>45811</v>
      </c>
      <c r="B49" s="73" t="s">
        <v>481</v>
      </c>
      <c r="C49" s="73" t="s">
        <v>28</v>
      </c>
      <c r="D49" s="142">
        <v>6500</v>
      </c>
      <c r="E49" s="56"/>
      <c r="F49" s="56"/>
      <c r="G49" s="56">
        <v>6500</v>
      </c>
      <c r="H49" s="94" t="s">
        <v>29</v>
      </c>
      <c r="I49" s="105"/>
      <c r="J49" s="105"/>
      <c r="K49" s="58">
        <v>6500</v>
      </c>
      <c r="L49" s="73" t="s">
        <v>760</v>
      </c>
      <c r="M49" s="20">
        <f t="shared" si="0"/>
        <v>0</v>
      </c>
    </row>
    <row r="50" spans="1:13" x14ac:dyDescent="0.25">
      <c r="A50" s="109">
        <v>45811</v>
      </c>
      <c r="B50" s="73" t="s">
        <v>482</v>
      </c>
      <c r="C50" s="73" t="s">
        <v>28</v>
      </c>
      <c r="D50" s="142">
        <v>6500</v>
      </c>
      <c r="E50" s="28"/>
      <c r="F50" s="28"/>
      <c r="G50" s="56">
        <v>6500</v>
      </c>
      <c r="H50" s="94" t="s">
        <v>29</v>
      </c>
      <c r="I50" s="105"/>
      <c r="J50" s="105"/>
      <c r="K50" s="58">
        <v>6500</v>
      </c>
      <c r="L50" s="73" t="s">
        <v>761</v>
      </c>
      <c r="M50" s="20">
        <f t="shared" si="0"/>
        <v>0</v>
      </c>
    </row>
    <row r="51" spans="1:13" x14ac:dyDescent="0.25">
      <c r="A51" s="146">
        <v>45817</v>
      </c>
      <c r="B51" s="143" t="s">
        <v>512</v>
      </c>
      <c r="C51" s="143" t="s">
        <v>414</v>
      </c>
      <c r="D51" s="142">
        <v>12500</v>
      </c>
      <c r="E51" s="142"/>
      <c r="F51" s="142"/>
      <c r="G51" s="56">
        <v>12500</v>
      </c>
      <c r="H51" s="94" t="s">
        <v>29</v>
      </c>
      <c r="I51" s="105"/>
      <c r="J51" s="105"/>
      <c r="K51" s="142">
        <v>12500</v>
      </c>
      <c r="L51" s="143" t="s">
        <v>514</v>
      </c>
      <c r="M51" s="20">
        <f t="shared" si="0"/>
        <v>0</v>
      </c>
    </row>
    <row r="52" spans="1:13" x14ac:dyDescent="0.25">
      <c r="A52" s="146">
        <v>45817</v>
      </c>
      <c r="B52" s="143" t="s">
        <v>516</v>
      </c>
      <c r="C52" s="143" t="s">
        <v>414</v>
      </c>
      <c r="D52" s="142">
        <v>12500</v>
      </c>
      <c r="E52" s="142"/>
      <c r="F52" s="142"/>
      <c r="G52" s="56">
        <v>12500</v>
      </c>
      <c r="H52" s="94" t="s">
        <v>29</v>
      </c>
      <c r="I52" s="105"/>
      <c r="J52" s="105"/>
      <c r="K52" s="142">
        <v>12500</v>
      </c>
      <c r="L52" s="143" t="s">
        <v>513</v>
      </c>
      <c r="M52" s="20">
        <f t="shared" si="0"/>
        <v>0</v>
      </c>
    </row>
    <row r="53" spans="1:13" x14ac:dyDescent="0.25">
      <c r="A53" s="146">
        <v>45818</v>
      </c>
      <c r="B53" s="143" t="s">
        <v>517</v>
      </c>
      <c r="C53" s="143" t="s">
        <v>518</v>
      </c>
      <c r="D53" s="142">
        <v>52000</v>
      </c>
      <c r="E53" s="142"/>
      <c r="F53" s="142"/>
      <c r="G53" s="56">
        <v>52000</v>
      </c>
      <c r="H53" s="57" t="s">
        <v>29</v>
      </c>
      <c r="I53" s="105"/>
      <c r="J53" s="105"/>
      <c r="K53" s="142">
        <v>52000</v>
      </c>
      <c r="L53" s="143" t="s">
        <v>1144</v>
      </c>
      <c r="M53" s="20">
        <f t="shared" si="0"/>
        <v>0</v>
      </c>
    </row>
    <row r="54" spans="1:13" x14ac:dyDescent="0.25">
      <c r="A54" s="146">
        <v>45818</v>
      </c>
      <c r="B54" s="143" t="s">
        <v>527</v>
      </c>
      <c r="C54" s="143" t="s">
        <v>528</v>
      </c>
      <c r="D54" s="142">
        <v>71000</v>
      </c>
      <c r="E54" s="142"/>
      <c r="F54" s="142"/>
      <c r="G54" s="56">
        <v>71000</v>
      </c>
      <c r="H54" s="57"/>
      <c r="I54" s="28">
        <v>35550</v>
      </c>
      <c r="J54" s="73" t="s">
        <v>529</v>
      </c>
      <c r="K54" s="142">
        <v>35450</v>
      </c>
      <c r="L54" s="143" t="s">
        <v>698</v>
      </c>
      <c r="M54" s="20">
        <f t="shared" si="0"/>
        <v>0</v>
      </c>
    </row>
    <row r="55" spans="1:13" x14ac:dyDescent="0.25">
      <c r="A55" s="146">
        <v>45818</v>
      </c>
      <c r="B55" s="143" t="s">
        <v>530</v>
      </c>
      <c r="C55" s="143" t="s">
        <v>531</v>
      </c>
      <c r="D55" s="142">
        <v>30900</v>
      </c>
      <c r="E55" s="142"/>
      <c r="F55" s="142"/>
      <c r="G55" s="56">
        <v>30900</v>
      </c>
      <c r="H55" s="57" t="s">
        <v>29</v>
      </c>
      <c r="I55" s="105"/>
      <c r="J55" s="105"/>
      <c r="K55" s="142">
        <v>30900</v>
      </c>
      <c r="L55" s="143" t="s">
        <v>532</v>
      </c>
      <c r="M55" s="20">
        <f t="shared" si="0"/>
        <v>0</v>
      </c>
    </row>
    <row r="56" spans="1:13" x14ac:dyDescent="0.25">
      <c r="A56" s="146">
        <v>45819</v>
      </c>
      <c r="B56" s="143" t="s">
        <v>533</v>
      </c>
      <c r="C56" s="143" t="s">
        <v>534</v>
      </c>
      <c r="D56" s="142">
        <v>12500</v>
      </c>
      <c r="E56" s="142"/>
      <c r="F56" s="142"/>
      <c r="G56" s="56">
        <v>12500</v>
      </c>
      <c r="H56" s="57" t="s">
        <v>29</v>
      </c>
      <c r="I56" s="105"/>
      <c r="J56" s="105"/>
      <c r="K56" s="142">
        <v>12500</v>
      </c>
      <c r="L56" s="143" t="s">
        <v>891</v>
      </c>
      <c r="M56" s="20">
        <f t="shared" si="0"/>
        <v>0</v>
      </c>
    </row>
    <row r="57" spans="1:13" x14ac:dyDescent="0.25">
      <c r="A57" s="146">
        <v>45819</v>
      </c>
      <c r="B57" s="143" t="s">
        <v>535</v>
      </c>
      <c r="C57" s="143" t="s">
        <v>534</v>
      </c>
      <c r="D57" s="142">
        <v>12500</v>
      </c>
      <c r="E57" s="142"/>
      <c r="F57" s="142"/>
      <c r="G57" s="56">
        <v>12500</v>
      </c>
      <c r="H57" s="57" t="s">
        <v>29</v>
      </c>
      <c r="I57" s="105"/>
      <c r="J57" s="105"/>
      <c r="K57" s="142">
        <v>12500</v>
      </c>
      <c r="L57" s="143" t="s">
        <v>945</v>
      </c>
      <c r="M57" s="20">
        <f t="shared" si="0"/>
        <v>0</v>
      </c>
    </row>
    <row r="58" spans="1:13" x14ac:dyDescent="0.25">
      <c r="A58" s="146">
        <v>45819</v>
      </c>
      <c r="B58" s="143" t="s">
        <v>536</v>
      </c>
      <c r="C58" s="143" t="s">
        <v>537</v>
      </c>
      <c r="D58" s="142">
        <v>1000</v>
      </c>
      <c r="E58" s="142"/>
      <c r="F58" s="142"/>
      <c r="G58" s="56">
        <v>1000</v>
      </c>
      <c r="H58" s="57" t="s">
        <v>29</v>
      </c>
      <c r="I58" s="105"/>
      <c r="J58" s="105"/>
      <c r="K58" s="142">
        <v>1000</v>
      </c>
      <c r="L58" s="143" t="s">
        <v>762</v>
      </c>
      <c r="M58" s="20">
        <f t="shared" si="0"/>
        <v>0</v>
      </c>
    </row>
    <row r="59" spans="1:13" x14ac:dyDescent="0.25">
      <c r="A59" s="146">
        <v>45821</v>
      </c>
      <c r="B59" s="143" t="s">
        <v>538</v>
      </c>
      <c r="C59" s="143" t="s">
        <v>539</v>
      </c>
      <c r="D59" s="142">
        <v>20000</v>
      </c>
      <c r="E59" s="142"/>
      <c r="F59" s="142"/>
      <c r="G59" s="56">
        <v>20000</v>
      </c>
      <c r="H59" s="57" t="s">
        <v>29</v>
      </c>
      <c r="I59" s="28">
        <v>10000</v>
      </c>
      <c r="J59" s="73" t="s">
        <v>589</v>
      </c>
      <c r="K59" s="142">
        <v>10000</v>
      </c>
      <c r="L59" s="143" t="s">
        <v>727</v>
      </c>
      <c r="M59" s="20">
        <f t="shared" si="0"/>
        <v>0</v>
      </c>
    </row>
    <row r="60" spans="1:13" x14ac:dyDescent="0.25">
      <c r="A60" s="146">
        <v>45821</v>
      </c>
      <c r="B60" s="143" t="s">
        <v>540</v>
      </c>
      <c r="C60" s="143" t="s">
        <v>95</v>
      </c>
      <c r="D60" s="142">
        <v>2500</v>
      </c>
      <c r="E60" s="142"/>
      <c r="F60" s="142"/>
      <c r="G60" s="56">
        <v>2500</v>
      </c>
      <c r="H60" s="57" t="s">
        <v>29</v>
      </c>
      <c r="I60" s="105"/>
      <c r="J60" s="105"/>
      <c r="K60" s="142">
        <v>2500</v>
      </c>
      <c r="L60" s="143" t="s">
        <v>548</v>
      </c>
      <c r="M60" s="20">
        <f t="shared" si="0"/>
        <v>0</v>
      </c>
    </row>
    <row r="61" spans="1:13" x14ac:dyDescent="0.25">
      <c r="A61" s="146">
        <v>45826</v>
      </c>
      <c r="B61" s="143" t="s">
        <v>559</v>
      </c>
      <c r="C61" s="143" t="s">
        <v>560</v>
      </c>
      <c r="D61" s="142">
        <v>16500</v>
      </c>
      <c r="E61" s="142"/>
      <c r="F61" s="142"/>
      <c r="G61" s="56">
        <v>16500</v>
      </c>
      <c r="H61" s="57" t="s">
        <v>29</v>
      </c>
      <c r="I61" s="105"/>
      <c r="J61" s="105"/>
      <c r="K61" s="142">
        <v>16500</v>
      </c>
      <c r="L61" s="143" t="s">
        <v>561</v>
      </c>
      <c r="M61" s="20">
        <f t="shared" si="0"/>
        <v>0</v>
      </c>
    </row>
    <row r="62" spans="1:13" x14ac:dyDescent="0.25">
      <c r="A62" s="146">
        <v>45828</v>
      </c>
      <c r="B62" s="143" t="s">
        <v>570</v>
      </c>
      <c r="C62" s="143" t="s">
        <v>259</v>
      </c>
      <c r="D62" s="142">
        <v>1250</v>
      </c>
      <c r="E62" s="142"/>
      <c r="F62" s="142"/>
      <c r="G62" s="56">
        <v>1250</v>
      </c>
      <c r="H62" s="57" t="s">
        <v>29</v>
      </c>
      <c r="I62" s="105"/>
      <c r="J62" s="105"/>
      <c r="K62" s="142">
        <v>1250</v>
      </c>
      <c r="L62" s="143" t="s">
        <v>571</v>
      </c>
      <c r="M62" s="20">
        <f t="shared" si="0"/>
        <v>0</v>
      </c>
    </row>
    <row r="63" spans="1:13" x14ac:dyDescent="0.25">
      <c r="A63" s="146">
        <v>45828</v>
      </c>
      <c r="B63" s="143" t="s">
        <v>703</v>
      </c>
      <c r="C63" s="143" t="s">
        <v>461</v>
      </c>
      <c r="D63" s="142">
        <v>17000</v>
      </c>
      <c r="E63" s="142"/>
      <c r="F63" s="142"/>
      <c r="G63" s="56">
        <v>17000</v>
      </c>
      <c r="H63" s="57" t="s">
        <v>29</v>
      </c>
      <c r="I63" s="105"/>
      <c r="J63" s="105"/>
      <c r="K63" s="142">
        <v>17000</v>
      </c>
      <c r="L63" s="143" t="s">
        <v>763</v>
      </c>
      <c r="M63" s="20">
        <f t="shared" si="0"/>
        <v>0</v>
      </c>
    </row>
    <row r="64" spans="1:13" x14ac:dyDescent="0.25">
      <c r="A64" s="146">
        <v>45831</v>
      </c>
      <c r="B64" s="143" t="s">
        <v>572</v>
      </c>
      <c r="C64" s="143" t="s">
        <v>573</v>
      </c>
      <c r="D64" s="142">
        <v>5200</v>
      </c>
      <c r="E64" s="142"/>
      <c r="F64" s="142"/>
      <c r="G64" s="56">
        <v>5200</v>
      </c>
      <c r="H64" s="57" t="s">
        <v>29</v>
      </c>
      <c r="I64" s="105"/>
      <c r="J64" s="105"/>
      <c r="K64" s="142">
        <v>5200</v>
      </c>
      <c r="L64" s="143" t="s">
        <v>812</v>
      </c>
      <c r="M64" s="20">
        <f t="shared" si="0"/>
        <v>0</v>
      </c>
    </row>
    <row r="65" spans="1:13" x14ac:dyDescent="0.25">
      <c r="A65" s="127"/>
      <c r="B65" s="127"/>
      <c r="C65" s="127"/>
      <c r="D65" s="128"/>
      <c r="E65" s="128"/>
      <c r="F65" s="128"/>
      <c r="G65" s="127"/>
      <c r="H65" s="129"/>
      <c r="I65" s="127"/>
      <c r="J65" s="127"/>
      <c r="K65" s="127"/>
      <c r="L65" s="127"/>
      <c r="M65" s="127"/>
    </row>
    <row r="66" spans="1:13" x14ac:dyDescent="0.25">
      <c r="F66" s="116"/>
      <c r="H66" s="118"/>
    </row>
    <row r="67" spans="1:13" x14ac:dyDescent="0.25">
      <c r="F67" s="116"/>
      <c r="H67" s="118"/>
    </row>
    <row r="68" spans="1:13" x14ac:dyDescent="0.25">
      <c r="F68" s="116"/>
      <c r="H68" s="118"/>
    </row>
    <row r="69" spans="1:13" x14ac:dyDescent="0.25">
      <c r="F69" s="116"/>
      <c r="H69" s="118"/>
    </row>
    <row r="70" spans="1:13" x14ac:dyDescent="0.25">
      <c r="F70" s="116"/>
      <c r="H70" s="118"/>
    </row>
    <row r="71" spans="1:13" x14ac:dyDescent="0.25">
      <c r="F71" s="116"/>
      <c r="H71" s="118"/>
    </row>
    <row r="72" spans="1:13" x14ac:dyDescent="0.25">
      <c r="F72" s="116"/>
      <c r="H72" s="118"/>
    </row>
    <row r="73" spans="1:13" x14ac:dyDescent="0.25">
      <c r="F73" s="116"/>
      <c r="H73" s="118"/>
    </row>
    <row r="74" spans="1:13" x14ac:dyDescent="0.25">
      <c r="F74" s="116"/>
      <c r="H74" s="118"/>
    </row>
    <row r="75" spans="1:13" x14ac:dyDescent="0.25">
      <c r="F75" s="116"/>
      <c r="H75" s="118"/>
    </row>
    <row r="76" spans="1:13" x14ac:dyDescent="0.25">
      <c r="F76" s="116"/>
      <c r="H76" s="118"/>
    </row>
    <row r="77" spans="1:13" x14ac:dyDescent="0.25">
      <c r="F77" s="116"/>
      <c r="H77" s="118"/>
    </row>
    <row r="78" spans="1:13" x14ac:dyDescent="0.25">
      <c r="F78" s="116"/>
      <c r="H78" s="118"/>
    </row>
    <row r="79" spans="1:13" x14ac:dyDescent="0.25">
      <c r="F79" s="116"/>
      <c r="H79" s="118"/>
    </row>
    <row r="80" spans="1:13" x14ac:dyDescent="0.25">
      <c r="F80" s="116"/>
      <c r="H80" s="118"/>
    </row>
    <row r="81" spans="6:8" x14ac:dyDescent="0.25">
      <c r="F81" s="116"/>
      <c r="H81" s="118"/>
    </row>
    <row r="82" spans="6:8" x14ac:dyDescent="0.25">
      <c r="H82" s="118"/>
    </row>
    <row r="83" spans="6:8" x14ac:dyDescent="0.25">
      <c r="H83" s="118"/>
    </row>
    <row r="84" spans="6:8" x14ac:dyDescent="0.25">
      <c r="H84" s="118"/>
    </row>
    <row r="85" spans="6:8" x14ac:dyDescent="0.25">
      <c r="H85" s="118"/>
    </row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EE5D6-F616-41F6-B14D-7AD21CA982E3}">
  <dimension ref="A1:M81"/>
  <sheetViews>
    <sheetView topLeftCell="A11" workbookViewId="0">
      <selection activeCell="G21" sqref="G21"/>
    </sheetView>
  </sheetViews>
  <sheetFormatPr defaultRowHeight="15" x14ac:dyDescent="0.25"/>
  <cols>
    <col min="1" max="1" width="9.28515625" customWidth="1"/>
    <col min="2" max="2" width="54.7109375" customWidth="1"/>
    <col min="3" max="3" width="46.140625" customWidth="1"/>
    <col min="4" max="4" width="12.42578125" style="116" customWidth="1"/>
    <col min="5" max="5" width="14.42578125" style="116" customWidth="1"/>
    <col min="6" max="6" width="13.42578125" customWidth="1"/>
    <col min="7" max="7" width="14.85546875" customWidth="1"/>
    <col min="8" max="8" width="10" customWidth="1"/>
    <col min="9" max="9" width="11.5703125" customWidth="1"/>
    <col min="10" max="10" width="10" customWidth="1"/>
    <col min="11" max="11" width="12.7109375" customWidth="1"/>
    <col min="12" max="12" width="15.28515625" customWidth="1"/>
    <col min="13" max="13" width="15.140625" customWidth="1"/>
  </cols>
  <sheetData>
    <row r="1" spans="1:13" x14ac:dyDescent="0.25">
      <c r="A1" s="1" t="s">
        <v>0</v>
      </c>
      <c r="B1" s="2"/>
      <c r="C1" s="3"/>
      <c r="D1" s="66"/>
      <c r="E1" s="66"/>
      <c r="F1" s="43"/>
      <c r="G1" s="43"/>
      <c r="H1" s="4"/>
      <c r="I1" s="36"/>
      <c r="J1" s="36"/>
      <c r="K1" s="5"/>
    </row>
    <row r="2" spans="1:13" x14ac:dyDescent="0.25">
      <c r="A2" s="1" t="s">
        <v>1</v>
      </c>
      <c r="B2" s="2"/>
      <c r="C2" s="3"/>
      <c r="D2" s="66"/>
      <c r="E2" s="66"/>
      <c r="F2" s="43"/>
      <c r="G2" s="43"/>
      <c r="H2" s="4"/>
      <c r="I2" s="36"/>
      <c r="J2" s="36"/>
      <c r="K2" s="5"/>
    </row>
    <row r="3" spans="1:13" x14ac:dyDescent="0.25">
      <c r="A3" s="1"/>
      <c r="B3" s="2"/>
      <c r="C3" s="3"/>
      <c r="D3" s="66"/>
      <c r="E3" s="66"/>
      <c r="F3" s="43"/>
      <c r="G3" s="43"/>
      <c r="H3" s="4"/>
      <c r="I3" s="36"/>
      <c r="J3" s="36"/>
      <c r="K3" s="5"/>
    </row>
    <row r="4" spans="1:13" x14ac:dyDescent="0.25">
      <c r="A4" s="6"/>
      <c r="B4" s="2" t="s">
        <v>2</v>
      </c>
      <c r="C4" s="3"/>
      <c r="D4" s="66"/>
      <c r="E4" s="66"/>
      <c r="F4" s="43"/>
      <c r="G4" s="43"/>
      <c r="H4" s="4"/>
      <c r="I4" s="36"/>
      <c r="J4" s="36"/>
      <c r="K4" s="5"/>
    </row>
    <row r="5" spans="1:13" ht="15.75" thickBot="1" x14ac:dyDescent="0.3">
      <c r="A5" s="7"/>
      <c r="B5" s="8" t="s">
        <v>3</v>
      </c>
      <c r="C5" s="5"/>
      <c r="D5" s="67"/>
      <c r="E5" s="67"/>
      <c r="F5" s="37"/>
      <c r="G5" s="37"/>
      <c r="H5" s="9"/>
      <c r="I5" s="37"/>
      <c r="J5" s="37"/>
      <c r="K5" s="5"/>
    </row>
    <row r="6" spans="1:13" ht="25.5" x14ac:dyDescent="0.25">
      <c r="A6" s="10" t="s">
        <v>4</v>
      </c>
      <c r="B6" s="11" t="s">
        <v>5</v>
      </c>
      <c r="C6" s="12" t="s">
        <v>6</v>
      </c>
      <c r="D6" s="68"/>
      <c r="E6" s="120"/>
      <c r="F6" s="14"/>
      <c r="G6" s="15" t="s">
        <v>7</v>
      </c>
      <c r="H6" s="46" t="s">
        <v>8</v>
      </c>
      <c r="I6" s="16" t="s">
        <v>9</v>
      </c>
      <c r="J6" s="16" t="s">
        <v>10</v>
      </c>
      <c r="K6" s="16" t="s">
        <v>9</v>
      </c>
      <c r="L6" s="16" t="s">
        <v>10</v>
      </c>
      <c r="M6" s="17"/>
    </row>
    <row r="7" spans="1:13" ht="15.75" thickBot="1" x14ac:dyDescent="0.3">
      <c r="A7" s="21"/>
      <c r="B7" s="22"/>
      <c r="C7" s="23"/>
      <c r="D7" s="69" t="s">
        <v>11</v>
      </c>
      <c r="E7" s="69" t="s">
        <v>12</v>
      </c>
      <c r="F7" s="24" t="s">
        <v>13</v>
      </c>
      <c r="G7" s="25"/>
      <c r="H7" s="26"/>
      <c r="I7" s="27" t="s">
        <v>14</v>
      </c>
      <c r="J7" s="27" t="s">
        <v>14</v>
      </c>
      <c r="K7" s="18" t="s">
        <v>15</v>
      </c>
      <c r="L7" s="18" t="s">
        <v>15</v>
      </c>
      <c r="M7" s="19" t="s">
        <v>16</v>
      </c>
    </row>
    <row r="8" spans="1:13" x14ac:dyDescent="0.25">
      <c r="A8" s="130" t="s">
        <v>599</v>
      </c>
      <c r="B8" s="131"/>
      <c r="C8" s="131"/>
      <c r="D8" s="132">
        <f>SUM(D36:D60)</f>
        <v>1139350</v>
      </c>
      <c r="E8" s="132">
        <f>SUM(E25:E34)</f>
        <v>304000</v>
      </c>
      <c r="F8" s="132">
        <f>SUM(F9:F24)</f>
        <v>535550</v>
      </c>
      <c r="G8" s="91">
        <f>SUM(D8:F8)</f>
        <v>1978900</v>
      </c>
      <c r="H8" s="131"/>
      <c r="I8" s="73"/>
      <c r="J8" s="73"/>
      <c r="K8" s="73"/>
      <c r="L8" s="73"/>
      <c r="M8" s="28">
        <f>SUM(M9:M60)</f>
        <v>234000</v>
      </c>
    </row>
    <row r="9" spans="1:13" x14ac:dyDescent="0.25">
      <c r="A9" s="135">
        <v>45839</v>
      </c>
      <c r="B9" s="73" t="s">
        <v>618</v>
      </c>
      <c r="C9" s="73" t="s">
        <v>605</v>
      </c>
      <c r="D9" s="28"/>
      <c r="E9" s="28"/>
      <c r="F9" s="28">
        <v>75000</v>
      </c>
      <c r="G9" s="28">
        <v>75000</v>
      </c>
      <c r="H9" s="94" t="s">
        <v>29</v>
      </c>
      <c r="I9" s="105"/>
      <c r="J9" s="105"/>
      <c r="K9" s="58">
        <v>75000</v>
      </c>
      <c r="L9" s="58" t="s">
        <v>684</v>
      </c>
      <c r="M9" s="20">
        <f t="shared" ref="M9:M60" si="0">SUM(G9-I9-K9)</f>
        <v>0</v>
      </c>
    </row>
    <row r="10" spans="1:13" x14ac:dyDescent="0.25">
      <c r="A10" s="135">
        <v>45839</v>
      </c>
      <c r="B10" s="73" t="s">
        <v>619</v>
      </c>
      <c r="C10" s="73" t="s">
        <v>500</v>
      </c>
      <c r="D10" s="28"/>
      <c r="E10" s="28"/>
      <c r="F10" s="28">
        <v>117200</v>
      </c>
      <c r="G10" s="28">
        <v>117200</v>
      </c>
      <c r="H10" s="94" t="s">
        <v>29</v>
      </c>
      <c r="I10" s="28">
        <v>58600</v>
      </c>
      <c r="J10" s="73" t="s">
        <v>629</v>
      </c>
      <c r="K10" s="58">
        <v>58600</v>
      </c>
      <c r="L10" s="58" t="s">
        <v>1081</v>
      </c>
      <c r="M10" s="20">
        <f t="shared" si="0"/>
        <v>0</v>
      </c>
    </row>
    <row r="11" spans="1:13" x14ac:dyDescent="0.25">
      <c r="A11" s="135">
        <v>45841</v>
      </c>
      <c r="B11" s="73" t="s">
        <v>621</v>
      </c>
      <c r="C11" s="73" t="s">
        <v>622</v>
      </c>
      <c r="D11" s="28"/>
      <c r="E11" s="28"/>
      <c r="F11" s="28">
        <v>64000</v>
      </c>
      <c r="G11" s="28">
        <v>64000</v>
      </c>
      <c r="H11" s="94" t="s">
        <v>29</v>
      </c>
      <c r="I11" s="105"/>
      <c r="J11" s="105"/>
      <c r="K11" s="58">
        <v>64000</v>
      </c>
      <c r="L11" s="58" t="s">
        <v>844</v>
      </c>
      <c r="M11" s="20">
        <f t="shared" si="0"/>
        <v>0</v>
      </c>
    </row>
    <row r="12" spans="1:13" x14ac:dyDescent="0.25">
      <c r="A12" s="135">
        <v>45842</v>
      </c>
      <c r="B12" s="73" t="s">
        <v>623</v>
      </c>
      <c r="C12" s="73" t="s">
        <v>259</v>
      </c>
      <c r="D12" s="28"/>
      <c r="E12" s="28"/>
      <c r="F12" s="28">
        <v>1250</v>
      </c>
      <c r="G12" s="28">
        <v>1250</v>
      </c>
      <c r="H12" s="94" t="s">
        <v>29</v>
      </c>
      <c r="I12" s="105"/>
      <c r="J12" s="105"/>
      <c r="K12" s="58">
        <v>1250</v>
      </c>
      <c r="L12" s="58" t="s">
        <v>626</v>
      </c>
      <c r="M12" s="20">
        <f t="shared" si="0"/>
        <v>0</v>
      </c>
    </row>
    <row r="13" spans="1:13" x14ac:dyDescent="0.25">
      <c r="A13" s="135">
        <v>45842</v>
      </c>
      <c r="B13" s="73" t="s">
        <v>624</v>
      </c>
      <c r="C13" s="73" t="s">
        <v>95</v>
      </c>
      <c r="D13" s="28"/>
      <c r="E13" s="28"/>
      <c r="F13" s="28">
        <v>2500</v>
      </c>
      <c r="G13" s="28">
        <v>2500</v>
      </c>
      <c r="H13" s="94" t="s">
        <v>29</v>
      </c>
      <c r="I13" s="105"/>
      <c r="J13" s="105"/>
      <c r="K13" s="58">
        <v>2500</v>
      </c>
      <c r="L13" s="58" t="s">
        <v>627</v>
      </c>
      <c r="M13" s="20">
        <f t="shared" si="0"/>
        <v>0</v>
      </c>
    </row>
    <row r="14" spans="1:13" x14ac:dyDescent="0.25">
      <c r="A14" s="135">
        <v>45842</v>
      </c>
      <c r="B14" s="73" t="s">
        <v>625</v>
      </c>
      <c r="C14" s="73" t="s">
        <v>34</v>
      </c>
      <c r="D14" s="28"/>
      <c r="E14" s="28"/>
      <c r="F14" s="28">
        <v>12500</v>
      </c>
      <c r="G14" s="28">
        <v>12500</v>
      </c>
      <c r="H14" s="94" t="s">
        <v>29</v>
      </c>
      <c r="I14" s="105"/>
      <c r="J14" s="105"/>
      <c r="K14" s="58">
        <v>12500</v>
      </c>
      <c r="L14" s="58" t="s">
        <v>628</v>
      </c>
      <c r="M14" s="20">
        <f t="shared" si="0"/>
        <v>0</v>
      </c>
    </row>
    <row r="15" spans="1:13" x14ac:dyDescent="0.25">
      <c r="A15" s="135">
        <v>45845</v>
      </c>
      <c r="B15" s="73" t="s">
        <v>642</v>
      </c>
      <c r="C15" s="73" t="s">
        <v>342</v>
      </c>
      <c r="D15" s="28"/>
      <c r="E15" s="28"/>
      <c r="F15" s="28">
        <v>13000</v>
      </c>
      <c r="G15" s="28">
        <v>13000</v>
      </c>
      <c r="H15" s="94" t="s">
        <v>29</v>
      </c>
      <c r="I15" s="105"/>
      <c r="J15" s="105"/>
      <c r="K15" s="58">
        <v>13000</v>
      </c>
      <c r="L15" s="58" t="s">
        <v>680</v>
      </c>
      <c r="M15" s="20">
        <f t="shared" si="0"/>
        <v>0</v>
      </c>
    </row>
    <row r="16" spans="1:13" x14ac:dyDescent="0.25">
      <c r="A16" s="135">
        <v>45845</v>
      </c>
      <c r="B16" s="73" t="s">
        <v>643</v>
      </c>
      <c r="C16" s="73" t="s">
        <v>370</v>
      </c>
      <c r="D16" s="28"/>
      <c r="E16" s="28"/>
      <c r="F16" s="28">
        <v>38000</v>
      </c>
      <c r="G16" s="28">
        <v>38000</v>
      </c>
      <c r="H16" s="94" t="s">
        <v>29</v>
      </c>
      <c r="I16" s="28">
        <v>19000</v>
      </c>
      <c r="J16" s="73" t="s">
        <v>679</v>
      </c>
      <c r="K16" s="58">
        <v>19000</v>
      </c>
      <c r="L16" s="58" t="s">
        <v>933</v>
      </c>
      <c r="M16" s="20">
        <f t="shared" si="0"/>
        <v>0</v>
      </c>
    </row>
    <row r="17" spans="1:13" x14ac:dyDescent="0.25">
      <c r="A17" s="135">
        <v>45846</v>
      </c>
      <c r="B17" s="73" t="s">
        <v>644</v>
      </c>
      <c r="C17" s="73" t="s">
        <v>645</v>
      </c>
      <c r="D17" s="28"/>
      <c r="E17" s="28"/>
      <c r="F17" s="28">
        <v>90500</v>
      </c>
      <c r="G17" s="28">
        <v>90500</v>
      </c>
      <c r="H17" s="94" t="s">
        <v>29</v>
      </c>
      <c r="I17" s="28">
        <v>45250</v>
      </c>
      <c r="J17" s="73" t="s">
        <v>675</v>
      </c>
      <c r="K17" s="58">
        <v>45250</v>
      </c>
      <c r="L17" s="58" t="s">
        <v>1211</v>
      </c>
      <c r="M17" s="20">
        <f t="shared" si="0"/>
        <v>0</v>
      </c>
    </row>
    <row r="18" spans="1:13" x14ac:dyDescent="0.25">
      <c r="A18" s="135">
        <v>45853</v>
      </c>
      <c r="B18" s="73" t="s">
        <v>685</v>
      </c>
      <c r="C18" s="73" t="s">
        <v>686</v>
      </c>
      <c r="D18" s="28"/>
      <c r="E18" s="28"/>
      <c r="F18" s="28">
        <v>2100</v>
      </c>
      <c r="G18" s="28">
        <v>2100</v>
      </c>
      <c r="H18" s="94" t="s">
        <v>29</v>
      </c>
      <c r="I18" s="105"/>
      <c r="J18" s="105"/>
      <c r="K18" s="58">
        <v>2100</v>
      </c>
      <c r="L18" s="58" t="s">
        <v>711</v>
      </c>
      <c r="M18" s="20">
        <f t="shared" si="0"/>
        <v>0</v>
      </c>
    </row>
    <row r="19" spans="1:13" x14ac:dyDescent="0.25">
      <c r="A19" s="135">
        <v>45854</v>
      </c>
      <c r="B19" s="73" t="s">
        <v>687</v>
      </c>
      <c r="C19" s="73" t="s">
        <v>54</v>
      </c>
      <c r="D19" s="28"/>
      <c r="E19" s="28"/>
      <c r="F19" s="28">
        <v>49000</v>
      </c>
      <c r="G19" s="28">
        <v>49000</v>
      </c>
      <c r="H19" s="94" t="s">
        <v>29</v>
      </c>
      <c r="I19" s="28">
        <v>24500</v>
      </c>
      <c r="J19" s="73" t="s">
        <v>688</v>
      </c>
      <c r="K19" s="58">
        <v>24500</v>
      </c>
      <c r="L19" s="58" t="s">
        <v>779</v>
      </c>
      <c r="M19" s="20">
        <f t="shared" si="0"/>
        <v>0</v>
      </c>
    </row>
    <row r="20" spans="1:13" x14ac:dyDescent="0.25">
      <c r="A20" s="135">
        <v>45855</v>
      </c>
      <c r="B20" s="73" t="s">
        <v>689</v>
      </c>
      <c r="C20" s="73" t="s">
        <v>183</v>
      </c>
      <c r="D20" s="28"/>
      <c r="E20" s="28"/>
      <c r="F20" s="28">
        <v>3500</v>
      </c>
      <c r="G20" s="28">
        <v>3500</v>
      </c>
      <c r="H20" s="94" t="s">
        <v>29</v>
      </c>
      <c r="I20" s="105"/>
      <c r="J20" s="105"/>
      <c r="K20" s="58">
        <v>3500</v>
      </c>
      <c r="L20" s="58" t="s">
        <v>801</v>
      </c>
      <c r="M20" s="20">
        <f t="shared" si="0"/>
        <v>0</v>
      </c>
    </row>
    <row r="21" spans="1:13" x14ac:dyDescent="0.25">
      <c r="A21" s="135">
        <v>45856</v>
      </c>
      <c r="B21" s="73" t="s">
        <v>690</v>
      </c>
      <c r="C21" s="73" t="s">
        <v>691</v>
      </c>
      <c r="D21" s="28"/>
      <c r="E21" s="28"/>
      <c r="F21" s="28">
        <v>30500</v>
      </c>
      <c r="G21" s="28">
        <v>30500</v>
      </c>
      <c r="H21" s="94" t="s">
        <v>29</v>
      </c>
      <c r="I21" s="58">
        <v>15500</v>
      </c>
      <c r="J21" s="58" t="s">
        <v>712</v>
      </c>
      <c r="K21" s="58">
        <v>15000</v>
      </c>
      <c r="L21" s="58" t="s">
        <v>1234</v>
      </c>
      <c r="M21" s="20">
        <f t="shared" si="0"/>
        <v>0</v>
      </c>
    </row>
    <row r="22" spans="1:13" x14ac:dyDescent="0.25">
      <c r="A22" s="135">
        <v>45862</v>
      </c>
      <c r="B22" s="73" t="s">
        <v>715</v>
      </c>
      <c r="C22" s="73" t="s">
        <v>245</v>
      </c>
      <c r="D22" s="28"/>
      <c r="E22" s="28"/>
      <c r="F22" s="28">
        <v>34000</v>
      </c>
      <c r="G22" s="28">
        <v>34000</v>
      </c>
      <c r="H22" s="94" t="s">
        <v>29</v>
      </c>
      <c r="I22" s="105"/>
      <c r="J22" s="105"/>
      <c r="K22" s="58">
        <v>34000</v>
      </c>
      <c r="L22" s="58" t="s">
        <v>716</v>
      </c>
      <c r="M22" s="20">
        <f t="shared" si="0"/>
        <v>0</v>
      </c>
    </row>
    <row r="23" spans="1:13" x14ac:dyDescent="0.25">
      <c r="A23" s="135">
        <v>45866</v>
      </c>
      <c r="B23" s="73" t="s">
        <v>717</v>
      </c>
      <c r="C23" s="73" t="s">
        <v>95</v>
      </c>
      <c r="D23" s="28"/>
      <c r="E23" s="28"/>
      <c r="F23" s="28">
        <v>2500</v>
      </c>
      <c r="G23" s="28">
        <v>2500</v>
      </c>
      <c r="H23" s="94" t="s">
        <v>29</v>
      </c>
      <c r="I23" s="105"/>
      <c r="J23" s="105"/>
      <c r="K23" s="58">
        <v>2500</v>
      </c>
      <c r="L23" s="58" t="s">
        <v>718</v>
      </c>
      <c r="M23" s="20">
        <f t="shared" si="0"/>
        <v>0</v>
      </c>
    </row>
    <row r="24" spans="1:13" x14ac:dyDescent="0.25">
      <c r="A24" s="124"/>
      <c r="B24" s="110"/>
      <c r="C24" s="110"/>
      <c r="D24" s="112"/>
      <c r="E24" s="112"/>
      <c r="F24" s="112"/>
      <c r="G24" s="112"/>
      <c r="H24" s="113"/>
      <c r="I24" s="110"/>
      <c r="J24" s="110"/>
      <c r="K24" s="125"/>
      <c r="L24" s="125"/>
      <c r="M24" s="126">
        <f t="shared" si="0"/>
        <v>0</v>
      </c>
    </row>
    <row r="25" spans="1:13" x14ac:dyDescent="0.25">
      <c r="A25" s="109">
        <v>45841</v>
      </c>
      <c r="B25" s="73" t="s">
        <v>600</v>
      </c>
      <c r="C25" s="73" t="s">
        <v>601</v>
      </c>
      <c r="D25" s="28"/>
      <c r="E25" s="28">
        <v>33500</v>
      </c>
      <c r="F25" s="28"/>
      <c r="G25" s="28">
        <v>33500</v>
      </c>
      <c r="H25" s="137" t="s">
        <v>29</v>
      </c>
      <c r="I25" s="28">
        <v>16750</v>
      </c>
      <c r="J25" s="73" t="s">
        <v>673</v>
      </c>
      <c r="K25" s="41">
        <v>16750</v>
      </c>
      <c r="L25" s="41" t="s">
        <v>845</v>
      </c>
      <c r="M25" s="20">
        <f t="shared" si="0"/>
        <v>0</v>
      </c>
    </row>
    <row r="26" spans="1:13" x14ac:dyDescent="0.25">
      <c r="A26" s="109">
        <v>45848</v>
      </c>
      <c r="B26" s="73" t="s">
        <v>647</v>
      </c>
      <c r="C26" s="73" t="s">
        <v>648</v>
      </c>
      <c r="D26" s="28"/>
      <c r="E26" s="28">
        <v>58500</v>
      </c>
      <c r="F26" s="28"/>
      <c r="G26" s="28">
        <v>58500</v>
      </c>
      <c r="H26" s="137" t="s">
        <v>29</v>
      </c>
      <c r="I26" s="105"/>
      <c r="J26" s="105"/>
      <c r="K26" s="41">
        <v>58500</v>
      </c>
      <c r="L26" s="41" t="s">
        <v>649</v>
      </c>
      <c r="M26" s="20">
        <f t="shared" si="0"/>
        <v>0</v>
      </c>
    </row>
    <row r="27" spans="1:13" x14ac:dyDescent="0.25">
      <c r="A27" s="109">
        <v>45848</v>
      </c>
      <c r="B27" s="73" t="s">
        <v>650</v>
      </c>
      <c r="C27" s="73" t="s">
        <v>648</v>
      </c>
      <c r="D27" s="28"/>
      <c r="E27" s="28">
        <v>58500</v>
      </c>
      <c r="F27" s="28"/>
      <c r="G27" s="28">
        <v>58500</v>
      </c>
      <c r="H27" s="137" t="s">
        <v>29</v>
      </c>
      <c r="I27" s="105"/>
      <c r="J27" s="105"/>
      <c r="K27" s="41">
        <v>58500</v>
      </c>
      <c r="L27" s="41" t="s">
        <v>651</v>
      </c>
      <c r="M27" s="20">
        <f t="shared" si="0"/>
        <v>0</v>
      </c>
    </row>
    <row r="28" spans="1:13" x14ac:dyDescent="0.25">
      <c r="A28" s="109">
        <v>45848</v>
      </c>
      <c r="B28" s="73" t="s">
        <v>652</v>
      </c>
      <c r="C28" s="73" t="s">
        <v>653</v>
      </c>
      <c r="D28" s="28"/>
      <c r="E28" s="28">
        <v>35000</v>
      </c>
      <c r="F28" s="28"/>
      <c r="G28" s="28">
        <v>35000</v>
      </c>
      <c r="H28" s="137" t="s">
        <v>29</v>
      </c>
      <c r="I28" s="105"/>
      <c r="J28" s="105"/>
      <c r="K28" s="41">
        <v>35000</v>
      </c>
      <c r="L28" s="41" t="s">
        <v>654</v>
      </c>
      <c r="M28" s="20">
        <f t="shared" si="0"/>
        <v>0</v>
      </c>
    </row>
    <row r="29" spans="1:13" x14ac:dyDescent="0.25">
      <c r="A29" s="109">
        <v>45849</v>
      </c>
      <c r="B29" s="73" t="s">
        <v>655</v>
      </c>
      <c r="C29" s="73" t="s">
        <v>656</v>
      </c>
      <c r="D29" s="28"/>
      <c r="E29" s="28">
        <v>2000</v>
      </c>
      <c r="F29" s="28"/>
      <c r="G29" s="28">
        <v>2000</v>
      </c>
      <c r="H29" s="137" t="s">
        <v>29</v>
      </c>
      <c r="I29" s="105"/>
      <c r="J29" s="105"/>
      <c r="K29" s="41">
        <v>2000</v>
      </c>
      <c r="L29" s="41" t="s">
        <v>676</v>
      </c>
      <c r="M29" s="20">
        <f t="shared" si="0"/>
        <v>0</v>
      </c>
    </row>
    <row r="30" spans="1:13" x14ac:dyDescent="0.25">
      <c r="A30" s="109">
        <v>45848</v>
      </c>
      <c r="B30" s="73" t="s">
        <v>657</v>
      </c>
      <c r="C30" s="73" t="s">
        <v>653</v>
      </c>
      <c r="D30" s="28"/>
      <c r="E30" s="28">
        <v>32500</v>
      </c>
      <c r="F30" s="28"/>
      <c r="G30" s="28">
        <v>32500</v>
      </c>
      <c r="H30" s="137" t="s">
        <v>29</v>
      </c>
      <c r="I30" s="28">
        <v>13000</v>
      </c>
      <c r="J30" s="73" t="s">
        <v>660</v>
      </c>
      <c r="K30" s="41">
        <v>19500</v>
      </c>
      <c r="L30" s="41" t="s">
        <v>719</v>
      </c>
      <c r="M30" s="20">
        <f t="shared" si="0"/>
        <v>0</v>
      </c>
    </row>
    <row r="31" spans="1:13" x14ac:dyDescent="0.25">
      <c r="A31" s="109">
        <v>45848</v>
      </c>
      <c r="B31" s="73" t="s">
        <v>658</v>
      </c>
      <c r="C31" s="73" t="s">
        <v>653</v>
      </c>
      <c r="D31" s="28"/>
      <c r="E31" s="28">
        <v>32500</v>
      </c>
      <c r="F31" s="28"/>
      <c r="G31" s="28">
        <v>32500</v>
      </c>
      <c r="H31" s="137" t="s">
        <v>29</v>
      </c>
      <c r="I31" s="28">
        <v>13000</v>
      </c>
      <c r="J31" s="73" t="s">
        <v>661</v>
      </c>
      <c r="K31" s="41">
        <v>19500</v>
      </c>
      <c r="L31" s="41" t="s">
        <v>720</v>
      </c>
      <c r="M31" s="20">
        <f t="shared" si="0"/>
        <v>0</v>
      </c>
    </row>
    <row r="32" spans="1:13" x14ac:dyDescent="0.25">
      <c r="A32" s="109">
        <v>45852</v>
      </c>
      <c r="B32" s="73" t="s">
        <v>659</v>
      </c>
      <c r="C32" s="73" t="s">
        <v>28</v>
      </c>
      <c r="D32" s="28"/>
      <c r="E32" s="28">
        <v>15000</v>
      </c>
      <c r="F32" s="28"/>
      <c r="G32" s="28">
        <v>15000</v>
      </c>
      <c r="H32" s="137" t="s">
        <v>29</v>
      </c>
      <c r="I32" s="105"/>
      <c r="J32" s="105"/>
      <c r="K32" s="41">
        <v>15000</v>
      </c>
      <c r="L32" s="41" t="s">
        <v>677</v>
      </c>
      <c r="M32" s="20">
        <f t="shared" si="0"/>
        <v>0</v>
      </c>
    </row>
    <row r="33" spans="1:13" x14ac:dyDescent="0.25">
      <c r="A33" s="109">
        <v>45862</v>
      </c>
      <c r="B33" s="73" t="s">
        <v>699</v>
      </c>
      <c r="C33" s="73" t="s">
        <v>700</v>
      </c>
      <c r="D33" s="28"/>
      <c r="E33" s="28">
        <v>1500</v>
      </c>
      <c r="F33" s="28"/>
      <c r="G33" s="28">
        <v>1500</v>
      </c>
      <c r="H33" s="137" t="s">
        <v>29</v>
      </c>
      <c r="I33" s="105"/>
      <c r="J33" s="105"/>
      <c r="K33" s="41">
        <v>1500</v>
      </c>
      <c r="L33" s="41" t="s">
        <v>702</v>
      </c>
      <c r="M33" s="30">
        <f t="shared" si="0"/>
        <v>0</v>
      </c>
    </row>
    <row r="34" spans="1:13" x14ac:dyDescent="0.25">
      <c r="A34" s="109">
        <v>45869</v>
      </c>
      <c r="B34" s="73" t="s">
        <v>724</v>
      </c>
      <c r="C34" s="73" t="s">
        <v>653</v>
      </c>
      <c r="D34" s="28"/>
      <c r="E34" s="28">
        <v>35000</v>
      </c>
      <c r="F34" s="28"/>
      <c r="G34" s="28">
        <v>35000</v>
      </c>
      <c r="H34" s="137" t="s">
        <v>29</v>
      </c>
      <c r="I34" s="105"/>
      <c r="J34" s="105"/>
      <c r="K34" s="41">
        <v>35000</v>
      </c>
      <c r="L34" s="41" t="s">
        <v>725</v>
      </c>
      <c r="M34" s="30">
        <f t="shared" si="0"/>
        <v>0</v>
      </c>
    </row>
    <row r="35" spans="1:13" x14ac:dyDescent="0.25">
      <c r="A35" s="124"/>
      <c r="B35" s="110"/>
      <c r="C35" s="110"/>
      <c r="D35" s="112"/>
      <c r="E35" s="115"/>
      <c r="F35" s="115"/>
      <c r="G35" s="115"/>
      <c r="H35" s="113"/>
      <c r="I35" s="110"/>
      <c r="J35" s="110"/>
      <c r="K35" s="125" t="s">
        <v>701</v>
      </c>
      <c r="L35" s="125"/>
      <c r="M35" s="126"/>
    </row>
    <row r="36" spans="1:13" x14ac:dyDescent="0.25">
      <c r="A36" s="109">
        <v>45839</v>
      </c>
      <c r="B36" s="73" t="s">
        <v>609</v>
      </c>
      <c r="C36" s="73" t="s">
        <v>606</v>
      </c>
      <c r="D36" s="142">
        <v>13500</v>
      </c>
      <c r="E36" s="56"/>
      <c r="F36" s="56"/>
      <c r="G36" s="56">
        <v>13500</v>
      </c>
      <c r="H36" s="57" t="s">
        <v>29</v>
      </c>
      <c r="I36" s="105"/>
      <c r="J36" s="105"/>
      <c r="K36" s="58">
        <v>13500</v>
      </c>
      <c r="L36" s="58" t="s">
        <v>674</v>
      </c>
      <c r="M36" s="20">
        <f t="shared" si="0"/>
        <v>0</v>
      </c>
    </row>
    <row r="37" spans="1:13" x14ac:dyDescent="0.25">
      <c r="A37" s="109">
        <v>45841</v>
      </c>
      <c r="B37" s="73" t="s">
        <v>610</v>
      </c>
      <c r="C37" s="73" t="s">
        <v>607</v>
      </c>
      <c r="D37" s="142">
        <v>2500</v>
      </c>
      <c r="E37" s="56"/>
      <c r="F37" s="56"/>
      <c r="G37" s="56">
        <v>2500</v>
      </c>
      <c r="H37" s="57" t="s">
        <v>29</v>
      </c>
      <c r="I37" s="105"/>
      <c r="J37" s="105"/>
      <c r="K37" s="58">
        <v>2500</v>
      </c>
      <c r="L37" s="58" t="s">
        <v>608</v>
      </c>
      <c r="M37" s="20">
        <f t="shared" si="0"/>
        <v>0</v>
      </c>
    </row>
    <row r="38" spans="1:13" x14ac:dyDescent="0.25">
      <c r="A38" s="109">
        <v>45841</v>
      </c>
      <c r="B38" s="73" t="s">
        <v>611</v>
      </c>
      <c r="C38" s="73" t="s">
        <v>59</v>
      </c>
      <c r="D38" s="142">
        <v>13000</v>
      </c>
      <c r="E38" s="56"/>
      <c r="F38" s="56"/>
      <c r="G38" s="56">
        <v>13000</v>
      </c>
      <c r="H38" s="57" t="s">
        <v>29</v>
      </c>
      <c r="I38" s="105"/>
      <c r="J38" s="105"/>
      <c r="K38" s="58">
        <v>13000</v>
      </c>
      <c r="L38" s="58" t="s">
        <v>859</v>
      </c>
      <c r="M38" s="20">
        <f t="shared" si="0"/>
        <v>0</v>
      </c>
    </row>
    <row r="39" spans="1:13" x14ac:dyDescent="0.25">
      <c r="A39" s="109">
        <v>45841</v>
      </c>
      <c r="B39" s="73" t="s">
        <v>612</v>
      </c>
      <c r="C39" s="73" t="s">
        <v>32</v>
      </c>
      <c r="D39" s="142">
        <v>19500</v>
      </c>
      <c r="E39" s="56"/>
      <c r="F39" s="56"/>
      <c r="G39" s="56">
        <v>19500</v>
      </c>
      <c r="H39" s="57" t="s">
        <v>29</v>
      </c>
      <c r="I39" s="105"/>
      <c r="J39" s="105"/>
      <c r="K39" s="58">
        <v>19500</v>
      </c>
      <c r="L39" s="58" t="s">
        <v>848</v>
      </c>
      <c r="M39" s="20">
        <f t="shared" si="0"/>
        <v>0</v>
      </c>
    </row>
    <row r="40" spans="1:13" x14ac:dyDescent="0.25">
      <c r="A40" s="109">
        <v>45841</v>
      </c>
      <c r="B40" s="73" t="s">
        <v>613</v>
      </c>
      <c r="C40" s="73" t="s">
        <v>59</v>
      </c>
      <c r="D40" s="142">
        <v>13000</v>
      </c>
      <c r="E40" s="56"/>
      <c r="F40" s="56"/>
      <c r="G40" s="56">
        <v>13000</v>
      </c>
      <c r="H40" s="57" t="s">
        <v>29</v>
      </c>
      <c r="I40" s="105"/>
      <c r="J40" s="105"/>
      <c r="K40" s="58">
        <v>13000</v>
      </c>
      <c r="L40" s="58" t="s">
        <v>858</v>
      </c>
      <c r="M40" s="20">
        <f t="shared" si="0"/>
        <v>0</v>
      </c>
    </row>
    <row r="41" spans="1:13" x14ac:dyDescent="0.25">
      <c r="A41" s="109">
        <v>45841</v>
      </c>
      <c r="B41" s="73" t="s">
        <v>614</v>
      </c>
      <c r="C41" s="73" t="s">
        <v>59</v>
      </c>
      <c r="D41" s="142">
        <v>13000</v>
      </c>
      <c r="E41" s="56"/>
      <c r="F41" s="56"/>
      <c r="G41" s="56">
        <v>13000</v>
      </c>
      <c r="H41" s="57" t="s">
        <v>29</v>
      </c>
      <c r="I41" s="105"/>
      <c r="J41" s="105"/>
      <c r="K41" s="58">
        <v>13000</v>
      </c>
      <c r="L41" s="58" t="s">
        <v>847</v>
      </c>
      <c r="M41" s="20">
        <f t="shared" si="0"/>
        <v>0</v>
      </c>
    </row>
    <row r="42" spans="1:13" x14ac:dyDescent="0.25">
      <c r="A42" s="109">
        <v>45841</v>
      </c>
      <c r="B42" s="73" t="s">
        <v>615</v>
      </c>
      <c r="C42" s="73" t="s">
        <v>28</v>
      </c>
      <c r="D42" s="142">
        <v>6500</v>
      </c>
      <c r="E42" s="56"/>
      <c r="F42" s="56"/>
      <c r="G42" s="56">
        <v>6500</v>
      </c>
      <c r="H42" s="57" t="s">
        <v>29</v>
      </c>
      <c r="I42" s="105"/>
      <c r="J42" s="105"/>
      <c r="K42" s="58">
        <v>6500</v>
      </c>
      <c r="L42" s="58" t="s">
        <v>860</v>
      </c>
      <c r="M42" s="20">
        <f t="shared" si="0"/>
        <v>0</v>
      </c>
    </row>
    <row r="43" spans="1:13" x14ac:dyDescent="0.25">
      <c r="A43" s="109">
        <v>45841</v>
      </c>
      <c r="B43" s="73" t="s">
        <v>616</v>
      </c>
      <c r="C43" s="73" t="s">
        <v>28</v>
      </c>
      <c r="D43" s="142">
        <v>6500</v>
      </c>
      <c r="E43" s="56"/>
      <c r="F43" s="56"/>
      <c r="G43" s="56">
        <v>6500</v>
      </c>
      <c r="H43" s="57" t="s">
        <v>29</v>
      </c>
      <c r="I43" s="105"/>
      <c r="J43" s="105"/>
      <c r="K43" s="58">
        <v>6500</v>
      </c>
      <c r="L43" s="58" t="s">
        <v>862</v>
      </c>
      <c r="M43" s="20">
        <f t="shared" si="0"/>
        <v>0</v>
      </c>
    </row>
    <row r="44" spans="1:13" x14ac:dyDescent="0.25">
      <c r="A44" s="109">
        <v>45841</v>
      </c>
      <c r="B44" s="73" t="s">
        <v>617</v>
      </c>
      <c r="C44" s="73" t="s">
        <v>28</v>
      </c>
      <c r="D44" s="142">
        <v>6500</v>
      </c>
      <c r="E44" s="56"/>
      <c r="F44" s="56"/>
      <c r="G44" s="56">
        <v>6500</v>
      </c>
      <c r="H44" s="57" t="s">
        <v>29</v>
      </c>
      <c r="I44" s="105"/>
      <c r="J44" s="105"/>
      <c r="K44" s="58">
        <v>6500</v>
      </c>
      <c r="L44" s="58" t="s">
        <v>861</v>
      </c>
      <c r="M44" s="20">
        <f t="shared" si="0"/>
        <v>0</v>
      </c>
    </row>
    <row r="45" spans="1:13" x14ac:dyDescent="0.25">
      <c r="A45" s="138">
        <v>45842</v>
      </c>
      <c r="B45" s="149" t="s">
        <v>630</v>
      </c>
      <c r="C45" s="150" t="s">
        <v>18</v>
      </c>
      <c r="D45" s="151">
        <v>98500</v>
      </c>
      <c r="E45" s="98"/>
      <c r="F45" s="98"/>
      <c r="G45" s="98">
        <v>98500</v>
      </c>
      <c r="H45" s="152" t="s">
        <v>29</v>
      </c>
      <c r="I45" s="101">
        <v>49250</v>
      </c>
      <c r="J45" s="150" t="s">
        <v>672</v>
      </c>
      <c r="K45" s="100">
        <v>49250</v>
      </c>
      <c r="L45" s="100" t="s">
        <v>793</v>
      </c>
      <c r="M45" s="153">
        <f t="shared" si="0"/>
        <v>0</v>
      </c>
    </row>
    <row r="46" spans="1:13" x14ac:dyDescent="0.25">
      <c r="A46" s="109">
        <v>45845</v>
      </c>
      <c r="B46" s="73" t="s">
        <v>632</v>
      </c>
      <c r="C46" s="73" t="s">
        <v>633</v>
      </c>
      <c r="D46" s="142">
        <v>1500</v>
      </c>
      <c r="E46" s="56"/>
      <c r="F46" s="56"/>
      <c r="G46" s="56">
        <v>1500</v>
      </c>
      <c r="H46" s="57" t="s">
        <v>29</v>
      </c>
      <c r="I46" s="105"/>
      <c r="J46" s="105"/>
      <c r="K46" s="58">
        <v>1500</v>
      </c>
      <c r="L46" s="58" t="s">
        <v>637</v>
      </c>
      <c r="M46" s="20">
        <f t="shared" si="0"/>
        <v>0</v>
      </c>
    </row>
    <row r="47" spans="1:13" x14ac:dyDescent="0.25">
      <c r="A47" s="109">
        <v>45845</v>
      </c>
      <c r="B47" s="73" t="s">
        <v>631</v>
      </c>
      <c r="C47" s="73" t="s">
        <v>183</v>
      </c>
      <c r="D47" s="142">
        <v>4700</v>
      </c>
      <c r="E47" s="56"/>
      <c r="F47" s="56"/>
      <c r="G47" s="56">
        <v>4700</v>
      </c>
      <c r="H47" s="57" t="s">
        <v>29</v>
      </c>
      <c r="I47" s="105"/>
      <c r="J47" s="105"/>
      <c r="K47" s="58">
        <v>4700</v>
      </c>
      <c r="L47" s="58" t="s">
        <v>636</v>
      </c>
      <c r="M47" s="20">
        <f t="shared" si="0"/>
        <v>0</v>
      </c>
    </row>
    <row r="48" spans="1:13" x14ac:dyDescent="0.25">
      <c r="A48" s="109">
        <v>45845</v>
      </c>
      <c r="B48" s="73" t="s">
        <v>638</v>
      </c>
      <c r="C48" s="73" t="s">
        <v>634</v>
      </c>
      <c r="D48" s="142">
        <v>1500</v>
      </c>
      <c r="E48" s="56"/>
      <c r="F48" s="56"/>
      <c r="G48" s="56">
        <v>1500</v>
      </c>
      <c r="H48" s="57" t="s">
        <v>29</v>
      </c>
      <c r="I48" s="105"/>
      <c r="J48" s="105"/>
      <c r="K48" s="58">
        <v>1500</v>
      </c>
      <c r="L48" s="58" t="s">
        <v>635</v>
      </c>
      <c r="M48" s="20">
        <f t="shared" si="0"/>
        <v>0</v>
      </c>
    </row>
    <row r="49" spans="1:13" x14ac:dyDescent="0.25">
      <c r="A49" s="109">
        <v>45846</v>
      </c>
      <c r="B49" s="73" t="s">
        <v>639</v>
      </c>
      <c r="C49" s="73" t="s">
        <v>25</v>
      </c>
      <c r="D49" s="142">
        <v>76800</v>
      </c>
      <c r="E49" s="56"/>
      <c r="F49" s="56"/>
      <c r="G49" s="56">
        <v>76800</v>
      </c>
      <c r="H49" s="57" t="s">
        <v>29</v>
      </c>
      <c r="I49" s="28">
        <v>38400</v>
      </c>
      <c r="J49" s="58" t="s">
        <v>646</v>
      </c>
      <c r="K49" s="58">
        <v>38400</v>
      </c>
      <c r="L49" s="58" t="s">
        <v>1215</v>
      </c>
      <c r="M49" s="20">
        <f t="shared" si="0"/>
        <v>0</v>
      </c>
    </row>
    <row r="50" spans="1:13" x14ac:dyDescent="0.25">
      <c r="A50" s="109">
        <v>45846</v>
      </c>
      <c r="B50" s="73" t="s">
        <v>640</v>
      </c>
      <c r="C50" s="73" t="s">
        <v>641</v>
      </c>
      <c r="D50" s="142">
        <v>5800</v>
      </c>
      <c r="E50" s="56"/>
      <c r="F50" s="56"/>
      <c r="G50" s="56">
        <v>5800</v>
      </c>
      <c r="H50" s="57" t="s">
        <v>29</v>
      </c>
      <c r="I50" s="105"/>
      <c r="J50" s="105"/>
      <c r="K50" s="58">
        <v>5800</v>
      </c>
      <c r="L50" s="58" t="s">
        <v>678</v>
      </c>
      <c r="M50" s="20">
        <f t="shared" si="0"/>
        <v>0</v>
      </c>
    </row>
    <row r="51" spans="1:13" x14ac:dyDescent="0.25">
      <c r="A51" s="109">
        <v>45849</v>
      </c>
      <c r="B51" s="73" t="s">
        <v>662</v>
      </c>
      <c r="C51" s="73" t="s">
        <v>28</v>
      </c>
      <c r="D51" s="142">
        <v>6500</v>
      </c>
      <c r="E51" s="56"/>
      <c r="F51" s="56"/>
      <c r="G51" s="56">
        <v>6500</v>
      </c>
      <c r="H51" s="57"/>
      <c r="I51" s="73"/>
      <c r="J51" s="73"/>
      <c r="K51" s="58"/>
      <c r="L51" s="58"/>
      <c r="M51" s="20">
        <f t="shared" si="0"/>
        <v>6500</v>
      </c>
    </row>
    <row r="52" spans="1:13" x14ac:dyDescent="0.25">
      <c r="A52" s="109">
        <v>45852</v>
      </c>
      <c r="B52" s="73" t="s">
        <v>663</v>
      </c>
      <c r="C52" s="73" t="s">
        <v>18</v>
      </c>
      <c r="D52" s="142">
        <v>98500</v>
      </c>
      <c r="E52" s="56"/>
      <c r="F52" s="56"/>
      <c r="G52" s="56">
        <v>98500</v>
      </c>
      <c r="H52" s="57" t="s">
        <v>29</v>
      </c>
      <c r="I52" s="28">
        <v>49250</v>
      </c>
      <c r="J52" s="73" t="s">
        <v>683</v>
      </c>
      <c r="K52" s="58">
        <v>49250</v>
      </c>
      <c r="L52" s="58" t="s">
        <v>903</v>
      </c>
      <c r="M52" s="20">
        <f t="shared" si="0"/>
        <v>0</v>
      </c>
    </row>
    <row r="53" spans="1:13" x14ac:dyDescent="0.25">
      <c r="A53" s="109">
        <v>45853</v>
      </c>
      <c r="B53" s="73" t="s">
        <v>664</v>
      </c>
      <c r="C53" s="73" t="s">
        <v>665</v>
      </c>
      <c r="D53" s="142">
        <v>455000</v>
      </c>
      <c r="E53" s="56"/>
      <c r="F53" s="56"/>
      <c r="G53" s="56">
        <v>455000</v>
      </c>
      <c r="H53" s="57"/>
      <c r="I53" s="28">
        <v>227500</v>
      </c>
      <c r="J53" s="73" t="s">
        <v>726</v>
      </c>
      <c r="K53" s="58"/>
      <c r="L53" s="58"/>
      <c r="M53" s="20">
        <f t="shared" si="0"/>
        <v>227500</v>
      </c>
    </row>
    <row r="54" spans="1:13" x14ac:dyDescent="0.25">
      <c r="A54" s="109">
        <v>45854</v>
      </c>
      <c r="B54" s="73" t="s">
        <v>692</v>
      </c>
      <c r="C54" s="73" t="s">
        <v>784</v>
      </c>
      <c r="D54" s="142">
        <v>73200</v>
      </c>
      <c r="E54" s="56"/>
      <c r="F54" s="56"/>
      <c r="G54" s="56">
        <v>73200</v>
      </c>
      <c r="H54" s="57" t="s">
        <v>29</v>
      </c>
      <c r="I54" s="28">
        <v>36600</v>
      </c>
      <c r="J54" s="73" t="s">
        <v>713</v>
      </c>
      <c r="K54" s="58">
        <v>36600</v>
      </c>
      <c r="L54" s="58" t="s">
        <v>913</v>
      </c>
      <c r="M54" s="20">
        <f t="shared" si="0"/>
        <v>0</v>
      </c>
    </row>
    <row r="55" spans="1:13" x14ac:dyDescent="0.25">
      <c r="A55" s="109">
        <v>45854</v>
      </c>
      <c r="B55" s="73" t="s">
        <v>693</v>
      </c>
      <c r="C55" s="73" t="s">
        <v>18</v>
      </c>
      <c r="D55" s="142">
        <v>91800</v>
      </c>
      <c r="E55" s="56"/>
      <c r="F55" s="56"/>
      <c r="G55" s="56">
        <v>91800</v>
      </c>
      <c r="H55" s="57" t="s">
        <v>29</v>
      </c>
      <c r="I55" s="28">
        <v>45900</v>
      </c>
      <c r="J55" s="73" t="s">
        <v>714</v>
      </c>
      <c r="K55" s="58">
        <v>45900</v>
      </c>
      <c r="L55" s="58" t="s">
        <v>1213</v>
      </c>
      <c r="M55" s="20">
        <f t="shared" si="0"/>
        <v>0</v>
      </c>
    </row>
    <row r="56" spans="1:13" x14ac:dyDescent="0.25">
      <c r="A56" s="109">
        <v>45854</v>
      </c>
      <c r="B56" s="73" t="s">
        <v>694</v>
      </c>
      <c r="C56" s="73" t="s">
        <v>18</v>
      </c>
      <c r="D56" s="142">
        <v>81800</v>
      </c>
      <c r="E56" s="56"/>
      <c r="F56" s="56"/>
      <c r="G56" s="56">
        <v>81800</v>
      </c>
      <c r="H56" s="57" t="s">
        <v>29</v>
      </c>
      <c r="I56" s="28">
        <v>47450</v>
      </c>
      <c r="J56" s="73" t="s">
        <v>962</v>
      </c>
      <c r="K56" s="58">
        <v>34350</v>
      </c>
      <c r="L56" s="58" t="s">
        <v>1217</v>
      </c>
      <c r="M56" s="20">
        <f t="shared" si="0"/>
        <v>0</v>
      </c>
    </row>
    <row r="57" spans="1:13" x14ac:dyDescent="0.25">
      <c r="A57" s="109">
        <v>45855</v>
      </c>
      <c r="B57" s="73" t="s">
        <v>695</v>
      </c>
      <c r="C57" s="73" t="s">
        <v>259</v>
      </c>
      <c r="D57" s="142">
        <v>1250</v>
      </c>
      <c r="E57" s="56"/>
      <c r="F57" s="56"/>
      <c r="G57" s="56">
        <v>1250</v>
      </c>
      <c r="H57" s="57" t="s">
        <v>29</v>
      </c>
      <c r="I57" s="105"/>
      <c r="J57" s="105"/>
      <c r="K57" s="58">
        <v>1250</v>
      </c>
      <c r="L57" s="58" t="s">
        <v>733</v>
      </c>
      <c r="M57" s="20">
        <f t="shared" si="0"/>
        <v>0</v>
      </c>
    </row>
    <row r="58" spans="1:13" x14ac:dyDescent="0.25">
      <c r="A58" s="109">
        <v>45856</v>
      </c>
      <c r="B58" s="73" t="s">
        <v>696</v>
      </c>
      <c r="C58" s="73" t="s">
        <v>28</v>
      </c>
      <c r="D58" s="142">
        <v>6500</v>
      </c>
      <c r="E58" s="56"/>
      <c r="F58" s="56"/>
      <c r="G58" s="56">
        <v>6500</v>
      </c>
      <c r="H58" s="57" t="s">
        <v>29</v>
      </c>
      <c r="I58" s="105"/>
      <c r="J58" s="105"/>
      <c r="K58" s="58">
        <v>6500</v>
      </c>
      <c r="L58" s="58" t="s">
        <v>697</v>
      </c>
      <c r="M58" s="20">
        <f t="shared" si="0"/>
        <v>0</v>
      </c>
    </row>
    <row r="59" spans="1:13" x14ac:dyDescent="0.25">
      <c r="A59" s="109"/>
      <c r="B59" s="73"/>
      <c r="C59" s="73"/>
      <c r="D59" s="142"/>
      <c r="E59" s="56"/>
      <c r="F59" s="56"/>
      <c r="G59" s="56"/>
      <c r="H59" s="57"/>
      <c r="I59" s="73"/>
      <c r="J59" s="73"/>
      <c r="K59" s="58"/>
      <c r="L59" s="58"/>
      <c r="M59" s="20">
        <f t="shared" si="0"/>
        <v>0</v>
      </c>
    </row>
    <row r="60" spans="1:13" x14ac:dyDescent="0.25">
      <c r="A60" s="109">
        <v>45868</v>
      </c>
      <c r="B60" s="73" t="s">
        <v>721</v>
      </c>
      <c r="C60" s="73" t="s">
        <v>722</v>
      </c>
      <c r="D60" s="142">
        <v>42000</v>
      </c>
      <c r="E60" s="56"/>
      <c r="F60" s="56"/>
      <c r="G60" s="56">
        <v>42000</v>
      </c>
      <c r="H60" s="57" t="s">
        <v>29</v>
      </c>
      <c r="I60" s="105"/>
      <c r="J60" s="105"/>
      <c r="K60" s="58">
        <v>42000</v>
      </c>
      <c r="L60" s="58" t="s">
        <v>759</v>
      </c>
      <c r="M60" s="20">
        <f t="shared" si="0"/>
        <v>0</v>
      </c>
    </row>
    <row r="61" spans="1:13" x14ac:dyDescent="0.25">
      <c r="A61" s="127"/>
      <c r="B61" s="127"/>
      <c r="C61" s="127"/>
      <c r="D61" s="128"/>
      <c r="E61" s="128"/>
      <c r="F61" s="128"/>
      <c r="G61" s="127"/>
      <c r="H61" s="129"/>
      <c r="I61" s="127"/>
      <c r="J61" s="127"/>
      <c r="K61" s="127"/>
      <c r="L61" s="127"/>
      <c r="M61" s="127"/>
    </row>
    <row r="62" spans="1:13" x14ac:dyDescent="0.25">
      <c r="F62" s="116"/>
      <c r="H62" s="118"/>
    </row>
    <row r="63" spans="1:13" x14ac:dyDescent="0.25">
      <c r="F63" s="116"/>
      <c r="H63" s="118"/>
    </row>
    <row r="64" spans="1:13" x14ac:dyDescent="0.25">
      <c r="F64" s="116"/>
      <c r="H64" s="118"/>
    </row>
    <row r="65" spans="6:8" x14ac:dyDescent="0.25">
      <c r="F65" s="116"/>
      <c r="H65" s="118"/>
    </row>
    <row r="66" spans="6:8" x14ac:dyDescent="0.25">
      <c r="F66" s="116"/>
      <c r="H66" s="118"/>
    </row>
    <row r="67" spans="6:8" x14ac:dyDescent="0.25">
      <c r="F67" s="116"/>
      <c r="H67" s="118"/>
    </row>
    <row r="68" spans="6:8" x14ac:dyDescent="0.25">
      <c r="F68" s="116"/>
      <c r="H68" s="118"/>
    </row>
    <row r="69" spans="6:8" x14ac:dyDescent="0.25">
      <c r="F69" s="116"/>
      <c r="H69" s="118"/>
    </row>
    <row r="70" spans="6:8" x14ac:dyDescent="0.25">
      <c r="F70" s="116"/>
      <c r="H70" s="118"/>
    </row>
    <row r="71" spans="6:8" x14ac:dyDescent="0.25">
      <c r="F71" s="116"/>
      <c r="H71" s="118"/>
    </row>
    <row r="72" spans="6:8" x14ac:dyDescent="0.25">
      <c r="F72" s="116"/>
      <c r="H72" s="118"/>
    </row>
    <row r="73" spans="6:8" x14ac:dyDescent="0.25">
      <c r="F73" s="116"/>
      <c r="H73" s="118"/>
    </row>
    <row r="74" spans="6:8" x14ac:dyDescent="0.25">
      <c r="F74" s="116"/>
      <c r="H74" s="118"/>
    </row>
    <row r="75" spans="6:8" x14ac:dyDescent="0.25">
      <c r="F75" s="116"/>
      <c r="H75" s="118"/>
    </row>
    <row r="76" spans="6:8" x14ac:dyDescent="0.25">
      <c r="F76" s="116"/>
      <c r="H76" s="118"/>
    </row>
    <row r="77" spans="6:8" x14ac:dyDescent="0.25">
      <c r="F77" s="116"/>
      <c r="H77" s="118"/>
    </row>
    <row r="78" spans="6:8" x14ac:dyDescent="0.25">
      <c r="H78" s="118"/>
    </row>
    <row r="79" spans="6:8" x14ac:dyDescent="0.25">
      <c r="H79" s="118"/>
    </row>
    <row r="80" spans="6:8" x14ac:dyDescent="0.25">
      <c r="H80" s="118"/>
    </row>
    <row r="81" spans="8:8" x14ac:dyDescent="0.25">
      <c r="H81" s="11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8143-0CD1-444E-8B16-C0CC3A19A203}">
  <dimension ref="A1:M77"/>
  <sheetViews>
    <sheetView topLeftCell="A41" workbookViewId="0">
      <selection activeCell="B47" sqref="B47"/>
    </sheetView>
  </sheetViews>
  <sheetFormatPr defaultRowHeight="15" x14ac:dyDescent="0.25"/>
  <cols>
    <col min="1" max="1" width="9.28515625" customWidth="1"/>
    <col min="2" max="2" width="54.7109375" customWidth="1"/>
    <col min="3" max="3" width="46.140625" customWidth="1"/>
    <col min="4" max="4" width="12.42578125" style="116" customWidth="1"/>
    <col min="5" max="5" width="14.42578125" style="116" customWidth="1"/>
    <col min="6" max="6" width="13.42578125" customWidth="1"/>
    <col min="7" max="7" width="14.85546875" customWidth="1"/>
    <col min="8" max="8" width="10" customWidth="1"/>
    <col min="9" max="9" width="11.5703125" customWidth="1"/>
    <col min="10" max="10" width="11.85546875" customWidth="1"/>
    <col min="11" max="11" width="12.7109375" customWidth="1"/>
    <col min="12" max="12" width="15.28515625" customWidth="1"/>
    <col min="13" max="13" width="15.140625" customWidth="1"/>
  </cols>
  <sheetData>
    <row r="1" spans="1:13" x14ac:dyDescent="0.25">
      <c r="A1" s="1" t="s">
        <v>0</v>
      </c>
      <c r="B1" s="2"/>
      <c r="C1" s="3"/>
      <c r="D1" s="66"/>
      <c r="E1" s="66"/>
      <c r="F1" s="43"/>
      <c r="G1" s="43"/>
      <c r="H1" s="4"/>
      <c r="I1" s="36"/>
      <c r="J1" s="36"/>
      <c r="K1" s="5"/>
    </row>
    <row r="2" spans="1:13" x14ac:dyDescent="0.25">
      <c r="A2" s="1" t="s">
        <v>1</v>
      </c>
      <c r="B2" s="2"/>
      <c r="C2" s="3"/>
      <c r="D2" s="66"/>
      <c r="E2" s="66"/>
      <c r="F2" s="43"/>
      <c r="G2" s="43"/>
      <c r="H2" s="4"/>
      <c r="I2" s="36"/>
      <c r="J2" s="36"/>
      <c r="K2" s="5"/>
    </row>
    <row r="3" spans="1:13" x14ac:dyDescent="0.25">
      <c r="A3" s="1"/>
      <c r="B3" s="2"/>
      <c r="C3" s="3"/>
      <c r="D3" s="66"/>
      <c r="E3" s="66"/>
      <c r="F3" s="43"/>
      <c r="G3" s="43"/>
      <c r="H3" s="4"/>
      <c r="I3" s="36"/>
      <c r="J3" s="36"/>
      <c r="K3" s="5"/>
    </row>
    <row r="4" spans="1:13" x14ac:dyDescent="0.25">
      <c r="A4" s="6"/>
      <c r="B4" s="2" t="s">
        <v>2</v>
      </c>
      <c r="C4" s="3"/>
      <c r="D4" s="66"/>
      <c r="E4" s="66"/>
      <c r="F4" s="43"/>
      <c r="G4" s="43"/>
      <c r="H4" s="4"/>
      <c r="I4" s="36"/>
      <c r="J4" s="36"/>
      <c r="K4" s="5"/>
    </row>
    <row r="5" spans="1:13" ht="15.75" thickBot="1" x14ac:dyDescent="0.3">
      <c r="A5" s="7"/>
      <c r="B5" s="8" t="s">
        <v>3</v>
      </c>
      <c r="C5" s="5"/>
      <c r="D5" s="67"/>
      <c r="E5" s="67"/>
      <c r="F5" s="37"/>
      <c r="G5" s="37"/>
      <c r="H5" s="9"/>
      <c r="I5" s="37"/>
      <c r="J5" s="37"/>
      <c r="K5" s="5"/>
    </row>
    <row r="6" spans="1:13" ht="25.5" x14ac:dyDescent="0.25">
      <c r="A6" s="10" t="s">
        <v>4</v>
      </c>
      <c r="B6" s="11" t="s">
        <v>5</v>
      </c>
      <c r="C6" s="12" t="s">
        <v>6</v>
      </c>
      <c r="D6" s="68"/>
      <c r="E6" s="120"/>
      <c r="F6" s="14"/>
      <c r="G6" s="15" t="s">
        <v>7</v>
      </c>
      <c r="H6" s="46" t="s">
        <v>8</v>
      </c>
      <c r="I6" s="16" t="s">
        <v>9</v>
      </c>
      <c r="J6" s="16" t="s">
        <v>10</v>
      </c>
      <c r="K6" s="16" t="s">
        <v>9</v>
      </c>
      <c r="L6" s="16" t="s">
        <v>10</v>
      </c>
      <c r="M6" s="17"/>
    </row>
    <row r="7" spans="1:13" ht="15.75" thickBot="1" x14ac:dyDescent="0.3">
      <c r="A7" s="21"/>
      <c r="B7" s="22"/>
      <c r="C7" s="23"/>
      <c r="D7" s="69" t="s">
        <v>11</v>
      </c>
      <c r="E7" s="69" t="s">
        <v>12</v>
      </c>
      <c r="F7" s="24" t="s">
        <v>13</v>
      </c>
      <c r="G7" s="25"/>
      <c r="H7" s="26"/>
      <c r="I7" s="27" t="s">
        <v>14</v>
      </c>
      <c r="J7" s="27" t="s">
        <v>14</v>
      </c>
      <c r="K7" s="18" t="s">
        <v>15</v>
      </c>
      <c r="L7" s="18" t="s">
        <v>15</v>
      </c>
      <c r="M7" s="19" t="s">
        <v>16</v>
      </c>
    </row>
    <row r="8" spans="1:13" x14ac:dyDescent="0.25">
      <c r="A8" s="130" t="s">
        <v>729</v>
      </c>
      <c r="B8" s="131"/>
      <c r="C8" s="131"/>
      <c r="D8" s="132">
        <f>SUM(D23:D1032)</f>
        <v>562000</v>
      </c>
      <c r="E8" s="132">
        <f>SUM(E24:E34)</f>
        <v>397000</v>
      </c>
      <c r="F8" s="132">
        <f>SUM(F9:F22)</f>
        <v>630000</v>
      </c>
      <c r="G8" s="91">
        <f>SUM(G9:G56)</f>
        <v>1589000</v>
      </c>
      <c r="H8" s="131"/>
      <c r="I8" s="150"/>
      <c r="J8" s="150"/>
      <c r="K8" s="150"/>
      <c r="L8" s="150"/>
      <c r="M8" s="101">
        <f>SUM(M9:M56)</f>
        <v>30000</v>
      </c>
    </row>
    <row r="9" spans="1:13" x14ac:dyDescent="0.25">
      <c r="A9" s="159">
        <v>45870</v>
      </c>
      <c r="B9" s="73" t="s">
        <v>730</v>
      </c>
      <c r="C9" s="73" t="s">
        <v>731</v>
      </c>
      <c r="D9" s="133"/>
      <c r="E9" s="133"/>
      <c r="F9" s="171">
        <v>13000</v>
      </c>
      <c r="G9" s="136">
        <v>13000</v>
      </c>
      <c r="H9" s="57" t="s">
        <v>29</v>
      </c>
      <c r="I9" s="105"/>
      <c r="J9" s="105"/>
      <c r="K9" s="28">
        <v>13000</v>
      </c>
      <c r="L9" s="71" t="s">
        <v>732</v>
      </c>
      <c r="M9" s="20">
        <f t="shared" ref="M9:M22" si="0">SUM(G9-I9-K9)</f>
        <v>0</v>
      </c>
    </row>
    <row r="10" spans="1:13" x14ac:dyDescent="0.25">
      <c r="A10" s="159">
        <v>45876</v>
      </c>
      <c r="B10" s="73" t="s">
        <v>1021</v>
      </c>
      <c r="C10" s="73" t="s">
        <v>54</v>
      </c>
      <c r="D10" s="133"/>
      <c r="E10" s="133"/>
      <c r="F10" s="171">
        <v>107000</v>
      </c>
      <c r="G10" s="136">
        <v>107000</v>
      </c>
      <c r="H10" s="57" t="s">
        <v>29</v>
      </c>
      <c r="I10" s="28">
        <v>53500</v>
      </c>
      <c r="J10" s="73" t="s">
        <v>770</v>
      </c>
      <c r="K10" s="28">
        <v>53500</v>
      </c>
      <c r="L10" s="73" t="s">
        <v>1020</v>
      </c>
      <c r="M10" s="20">
        <f t="shared" si="0"/>
        <v>0</v>
      </c>
    </row>
    <row r="11" spans="1:13" x14ac:dyDescent="0.25">
      <c r="A11" s="159">
        <v>45876</v>
      </c>
      <c r="B11" s="73" t="s">
        <v>771</v>
      </c>
      <c r="C11" s="73" t="s">
        <v>772</v>
      </c>
      <c r="D11" s="133"/>
      <c r="E11" s="133"/>
      <c r="F11" s="171">
        <v>3500</v>
      </c>
      <c r="G11" s="136">
        <v>3500</v>
      </c>
      <c r="H11" s="57" t="s">
        <v>29</v>
      </c>
      <c r="I11" s="105"/>
      <c r="J11" s="105"/>
      <c r="K11" s="28">
        <v>3500</v>
      </c>
      <c r="L11" s="73" t="s">
        <v>798</v>
      </c>
      <c r="M11" s="20">
        <f t="shared" si="0"/>
        <v>0</v>
      </c>
    </row>
    <row r="12" spans="1:13" x14ac:dyDescent="0.25">
      <c r="A12" s="159">
        <v>45883</v>
      </c>
      <c r="B12" s="73" t="s">
        <v>799</v>
      </c>
      <c r="C12" s="73" t="s">
        <v>518</v>
      </c>
      <c r="D12" s="133"/>
      <c r="E12" s="133"/>
      <c r="F12" s="171">
        <v>10000</v>
      </c>
      <c r="G12" s="136">
        <v>10000</v>
      </c>
      <c r="H12" s="57" t="s">
        <v>29</v>
      </c>
      <c r="I12" s="105"/>
      <c r="J12" s="105"/>
      <c r="K12" s="28">
        <v>10000</v>
      </c>
      <c r="L12" s="73" t="s">
        <v>800</v>
      </c>
      <c r="M12" s="20">
        <f t="shared" si="0"/>
        <v>0</v>
      </c>
    </row>
    <row r="13" spans="1:13" x14ac:dyDescent="0.25">
      <c r="A13" s="159">
        <v>45887</v>
      </c>
      <c r="B13" s="73" t="s">
        <v>805</v>
      </c>
      <c r="C13" s="73" t="s">
        <v>872</v>
      </c>
      <c r="D13" s="133"/>
      <c r="E13" s="133"/>
      <c r="F13" s="171">
        <v>102000</v>
      </c>
      <c r="G13" s="136">
        <v>102000</v>
      </c>
      <c r="H13" s="57" t="s">
        <v>29</v>
      </c>
      <c r="I13" s="28">
        <v>51000</v>
      </c>
      <c r="J13" s="73" t="s">
        <v>846</v>
      </c>
      <c r="K13" s="28">
        <v>51000</v>
      </c>
      <c r="L13" s="73" t="s">
        <v>890</v>
      </c>
      <c r="M13" s="20">
        <f t="shared" si="0"/>
        <v>0</v>
      </c>
    </row>
    <row r="14" spans="1:13" x14ac:dyDescent="0.25">
      <c r="A14" s="159">
        <v>45887</v>
      </c>
      <c r="B14" s="73" t="s">
        <v>806</v>
      </c>
      <c r="C14" s="73" t="s">
        <v>25</v>
      </c>
      <c r="D14" s="133"/>
      <c r="E14" s="133"/>
      <c r="F14" s="171">
        <v>102000</v>
      </c>
      <c r="G14" s="136">
        <v>102000</v>
      </c>
      <c r="H14" s="57" t="s">
        <v>29</v>
      </c>
      <c r="I14" s="28">
        <v>51000</v>
      </c>
      <c r="J14" s="73" t="s">
        <v>935</v>
      </c>
      <c r="K14" s="28">
        <v>51000</v>
      </c>
      <c r="L14" s="73" t="s">
        <v>1216</v>
      </c>
      <c r="M14" s="20">
        <f t="shared" si="0"/>
        <v>0</v>
      </c>
    </row>
    <row r="15" spans="1:13" x14ac:dyDescent="0.25">
      <c r="A15" s="159">
        <v>45889</v>
      </c>
      <c r="B15" s="73" t="s">
        <v>810</v>
      </c>
      <c r="C15" s="73" t="s">
        <v>811</v>
      </c>
      <c r="D15" s="133"/>
      <c r="E15" s="133"/>
      <c r="F15" s="171">
        <v>12000</v>
      </c>
      <c r="G15" s="136">
        <v>12000</v>
      </c>
      <c r="H15" s="57" t="s">
        <v>29</v>
      </c>
      <c r="I15" s="105"/>
      <c r="J15" s="105"/>
      <c r="K15" s="28">
        <v>12000</v>
      </c>
      <c r="L15" s="73" t="s">
        <v>820</v>
      </c>
      <c r="M15" s="20">
        <f t="shared" si="0"/>
        <v>0</v>
      </c>
    </row>
    <row r="16" spans="1:13" x14ac:dyDescent="0.25">
      <c r="A16" s="159">
        <v>45889</v>
      </c>
      <c r="B16" s="73" t="s">
        <v>808</v>
      </c>
      <c r="C16" s="73" t="s">
        <v>807</v>
      </c>
      <c r="D16" s="133"/>
      <c r="E16" s="133"/>
      <c r="F16" s="171">
        <v>35000</v>
      </c>
      <c r="G16" s="136">
        <v>35000</v>
      </c>
      <c r="H16" s="57" t="s">
        <v>29</v>
      </c>
      <c r="I16" s="28">
        <v>17500</v>
      </c>
      <c r="J16" s="73" t="s">
        <v>821</v>
      </c>
      <c r="K16" s="28">
        <v>17500</v>
      </c>
      <c r="L16" s="73" t="s">
        <v>951</v>
      </c>
      <c r="M16" s="20">
        <f t="shared" si="0"/>
        <v>0</v>
      </c>
    </row>
    <row r="17" spans="1:13" x14ac:dyDescent="0.25">
      <c r="A17" s="159">
        <v>45889</v>
      </c>
      <c r="B17" s="73" t="s">
        <v>809</v>
      </c>
      <c r="C17" s="73" t="s">
        <v>815</v>
      </c>
      <c r="D17" s="133"/>
      <c r="E17" s="133"/>
      <c r="F17" s="171">
        <v>15000</v>
      </c>
      <c r="G17" s="136">
        <v>15000</v>
      </c>
      <c r="H17" s="57" t="s">
        <v>29</v>
      </c>
      <c r="I17" s="105"/>
      <c r="J17" s="105"/>
      <c r="K17" s="28">
        <v>15000</v>
      </c>
      <c r="L17" s="73" t="s">
        <v>1145</v>
      </c>
      <c r="M17" s="20">
        <f t="shared" si="0"/>
        <v>0</v>
      </c>
    </row>
    <row r="18" spans="1:13" x14ac:dyDescent="0.25">
      <c r="A18" s="159">
        <v>45889</v>
      </c>
      <c r="B18" s="73" t="s">
        <v>822</v>
      </c>
      <c r="C18" s="73" t="s">
        <v>95</v>
      </c>
      <c r="D18" s="133"/>
      <c r="E18" s="133"/>
      <c r="F18" s="171">
        <v>2500</v>
      </c>
      <c r="G18" s="136">
        <v>2500</v>
      </c>
      <c r="H18" s="57" t="s">
        <v>29</v>
      </c>
      <c r="I18" s="105"/>
      <c r="J18" s="105"/>
      <c r="K18" s="28">
        <v>2500</v>
      </c>
      <c r="L18" s="73" t="s">
        <v>1146</v>
      </c>
      <c r="M18" s="20">
        <f t="shared" si="0"/>
        <v>0</v>
      </c>
    </row>
    <row r="19" spans="1:13" x14ac:dyDescent="0.25">
      <c r="A19" s="167">
        <v>45891</v>
      </c>
      <c r="B19" s="92" t="s">
        <v>823</v>
      </c>
      <c r="C19" s="92" t="s">
        <v>135</v>
      </c>
      <c r="D19" s="168"/>
      <c r="E19" s="168"/>
      <c r="F19" s="169">
        <v>102000</v>
      </c>
      <c r="G19" s="170">
        <v>102000</v>
      </c>
      <c r="H19" s="94" t="s">
        <v>29</v>
      </c>
      <c r="I19" s="29">
        <v>61200</v>
      </c>
      <c r="J19" s="92" t="s">
        <v>824</v>
      </c>
      <c r="K19" s="29">
        <v>40800</v>
      </c>
      <c r="L19" s="92" t="s">
        <v>1284</v>
      </c>
      <c r="M19" s="20">
        <f t="shared" si="0"/>
        <v>0</v>
      </c>
    </row>
    <row r="20" spans="1:13" x14ac:dyDescent="0.25">
      <c r="A20" s="167">
        <v>45895</v>
      </c>
      <c r="B20" s="92" t="s">
        <v>837</v>
      </c>
      <c r="C20" s="92" t="s">
        <v>838</v>
      </c>
      <c r="D20" s="168"/>
      <c r="E20" s="168"/>
      <c r="F20" s="169">
        <v>13000</v>
      </c>
      <c r="G20" s="170">
        <v>13000</v>
      </c>
      <c r="H20" s="94" t="s">
        <v>29</v>
      </c>
      <c r="I20" s="105"/>
      <c r="J20" s="105"/>
      <c r="K20" s="29">
        <v>13000</v>
      </c>
      <c r="L20" s="92" t="s">
        <v>1025</v>
      </c>
      <c r="M20" s="20">
        <f t="shared" si="0"/>
        <v>0</v>
      </c>
    </row>
    <row r="21" spans="1:13" x14ac:dyDescent="0.25">
      <c r="A21" s="167">
        <v>45895</v>
      </c>
      <c r="B21" s="92" t="s">
        <v>839</v>
      </c>
      <c r="C21" s="92" t="s">
        <v>838</v>
      </c>
      <c r="D21" s="168"/>
      <c r="E21" s="168"/>
      <c r="F21" s="169">
        <v>13000</v>
      </c>
      <c r="G21" s="170">
        <v>13000</v>
      </c>
      <c r="H21" s="94" t="s">
        <v>29</v>
      </c>
      <c r="I21" s="105"/>
      <c r="J21" s="105"/>
      <c r="K21" s="29">
        <v>13000</v>
      </c>
      <c r="L21" s="92" t="s">
        <v>1026</v>
      </c>
      <c r="M21" s="20">
        <f t="shared" si="0"/>
        <v>0</v>
      </c>
    </row>
    <row r="22" spans="1:13" x14ac:dyDescent="0.25">
      <c r="A22" s="167">
        <v>45895</v>
      </c>
      <c r="B22" s="92" t="s">
        <v>825</v>
      </c>
      <c r="C22" s="92" t="s">
        <v>873</v>
      </c>
      <c r="D22" s="168"/>
      <c r="E22" s="168"/>
      <c r="F22" s="169">
        <v>100000</v>
      </c>
      <c r="G22" s="170">
        <v>100000</v>
      </c>
      <c r="H22" s="94" t="s">
        <v>29</v>
      </c>
      <c r="I22" s="29">
        <v>50000</v>
      </c>
      <c r="J22" s="92" t="s">
        <v>826</v>
      </c>
      <c r="K22" s="29">
        <v>50000</v>
      </c>
      <c r="L22" s="92" t="s">
        <v>1024</v>
      </c>
      <c r="M22" s="20">
        <f t="shared" si="0"/>
        <v>0</v>
      </c>
    </row>
    <row r="23" spans="1:13" x14ac:dyDescent="0.25">
      <c r="A23" s="155"/>
      <c r="B23" s="156"/>
      <c r="C23" s="156"/>
      <c r="D23" s="157"/>
      <c r="E23" s="157"/>
      <c r="F23" s="157"/>
      <c r="G23" s="157"/>
      <c r="H23" s="113"/>
      <c r="I23" s="156"/>
      <c r="J23" s="156"/>
      <c r="K23" s="158"/>
      <c r="L23" s="158"/>
      <c r="M23" s="126"/>
    </row>
    <row r="24" spans="1:13" x14ac:dyDescent="0.25">
      <c r="A24" s="109">
        <v>45873</v>
      </c>
      <c r="B24" s="73" t="s">
        <v>748</v>
      </c>
      <c r="C24" s="73" t="s">
        <v>18</v>
      </c>
      <c r="D24" s="28"/>
      <c r="E24" s="28">
        <v>80000</v>
      </c>
      <c r="F24" s="73"/>
      <c r="G24" s="28">
        <v>80000</v>
      </c>
      <c r="H24" s="57" t="s">
        <v>29</v>
      </c>
      <c r="I24" s="28">
        <v>40000</v>
      </c>
      <c r="J24" s="71" t="s">
        <v>758</v>
      </c>
      <c r="K24" s="28">
        <v>40000</v>
      </c>
      <c r="L24" s="58" t="s">
        <v>1326</v>
      </c>
      <c r="M24" s="20">
        <f>SUM(G24-I24-K24)</f>
        <v>0</v>
      </c>
    </row>
    <row r="25" spans="1:13" x14ac:dyDescent="0.25">
      <c r="A25" s="109">
        <v>45873</v>
      </c>
      <c r="B25" s="73" t="s">
        <v>746</v>
      </c>
      <c r="C25" s="73" t="s">
        <v>747</v>
      </c>
      <c r="D25" s="28"/>
      <c r="E25" s="28">
        <v>17500</v>
      </c>
      <c r="F25" s="28"/>
      <c r="G25" s="28">
        <v>17500</v>
      </c>
      <c r="H25" s="57" t="s">
        <v>29</v>
      </c>
      <c r="I25" s="105"/>
      <c r="J25" s="105"/>
      <c r="K25" s="58">
        <v>17500</v>
      </c>
      <c r="L25" s="58" t="s">
        <v>794</v>
      </c>
      <c r="M25" s="20">
        <f t="shared" ref="M25:M34" si="1">SUM(G25-I25-K25)</f>
        <v>0</v>
      </c>
    </row>
    <row r="26" spans="1:13" x14ac:dyDescent="0.25">
      <c r="A26" s="117">
        <v>45875</v>
      </c>
      <c r="B26" s="92" t="s">
        <v>766</v>
      </c>
      <c r="C26" s="92" t="s">
        <v>653</v>
      </c>
      <c r="D26" s="29"/>
      <c r="E26" s="29">
        <v>45000</v>
      </c>
      <c r="F26" s="29"/>
      <c r="G26" s="29">
        <v>45000</v>
      </c>
      <c r="H26" s="94" t="s">
        <v>29</v>
      </c>
      <c r="I26" s="29">
        <v>22500</v>
      </c>
      <c r="J26" s="92" t="s">
        <v>773</v>
      </c>
      <c r="K26" s="119">
        <v>22500</v>
      </c>
      <c r="L26" s="119" t="s">
        <v>1295</v>
      </c>
      <c r="M26" s="20">
        <f t="shared" si="1"/>
        <v>0</v>
      </c>
    </row>
    <row r="27" spans="1:13" x14ac:dyDescent="0.25">
      <c r="A27" s="117">
        <v>45875</v>
      </c>
      <c r="B27" s="92" t="s">
        <v>767</v>
      </c>
      <c r="C27" s="92" t="s">
        <v>653</v>
      </c>
      <c r="D27" s="29"/>
      <c r="E27" s="29">
        <v>30000</v>
      </c>
      <c r="F27" s="29"/>
      <c r="G27" s="29">
        <v>30000</v>
      </c>
      <c r="H27" s="94" t="s">
        <v>29</v>
      </c>
      <c r="I27" s="29">
        <v>15000</v>
      </c>
      <c r="J27" s="92" t="s">
        <v>774</v>
      </c>
      <c r="K27" s="119">
        <v>15000</v>
      </c>
      <c r="L27" s="119" t="s">
        <v>1296</v>
      </c>
      <c r="M27" s="20">
        <f t="shared" si="1"/>
        <v>0</v>
      </c>
    </row>
    <row r="28" spans="1:13" x14ac:dyDescent="0.25">
      <c r="A28" s="117">
        <v>45875</v>
      </c>
      <c r="B28" s="92" t="s">
        <v>768</v>
      </c>
      <c r="C28" s="92" t="s">
        <v>653</v>
      </c>
      <c r="D28" s="29"/>
      <c r="E28" s="29">
        <v>30000</v>
      </c>
      <c r="F28" s="29"/>
      <c r="G28" s="29">
        <v>30000</v>
      </c>
      <c r="H28" s="94" t="s">
        <v>29</v>
      </c>
      <c r="I28" s="29">
        <v>15000</v>
      </c>
      <c r="J28" s="92" t="s">
        <v>775</v>
      </c>
      <c r="K28" s="119">
        <v>15000</v>
      </c>
      <c r="L28" s="119" t="s">
        <v>1297</v>
      </c>
      <c r="M28" s="20">
        <f t="shared" si="1"/>
        <v>0</v>
      </c>
    </row>
    <row r="29" spans="1:13" x14ac:dyDescent="0.25">
      <c r="A29" s="117">
        <v>45875</v>
      </c>
      <c r="B29" s="92" t="s">
        <v>769</v>
      </c>
      <c r="C29" s="92" t="s">
        <v>653</v>
      </c>
      <c r="D29" s="29"/>
      <c r="E29" s="29">
        <v>30000</v>
      </c>
      <c r="F29" s="29"/>
      <c r="G29" s="29">
        <v>30000</v>
      </c>
      <c r="H29" s="94" t="s">
        <v>29</v>
      </c>
      <c r="I29" s="29">
        <v>15000</v>
      </c>
      <c r="J29" s="92" t="s">
        <v>776</v>
      </c>
      <c r="K29" s="119">
        <v>15000</v>
      </c>
      <c r="L29" s="119" t="s">
        <v>1298</v>
      </c>
      <c r="M29" s="20">
        <f t="shared" si="1"/>
        <v>0</v>
      </c>
    </row>
    <row r="30" spans="1:13" x14ac:dyDescent="0.25">
      <c r="A30" s="117">
        <v>45881</v>
      </c>
      <c r="B30" s="92" t="s">
        <v>792</v>
      </c>
      <c r="C30" s="92" t="s">
        <v>573</v>
      </c>
      <c r="D30" s="29"/>
      <c r="E30" s="29">
        <v>47500</v>
      </c>
      <c r="F30" s="29"/>
      <c r="G30" s="29">
        <v>47500</v>
      </c>
      <c r="H30" s="94" t="s">
        <v>29</v>
      </c>
      <c r="I30" s="105"/>
      <c r="J30" s="105"/>
      <c r="K30" s="119">
        <v>47500</v>
      </c>
      <c r="L30" s="119" t="s">
        <v>817</v>
      </c>
      <c r="M30" s="20">
        <f t="shared" si="1"/>
        <v>0</v>
      </c>
    </row>
    <row r="31" spans="1:13" x14ac:dyDescent="0.25">
      <c r="A31" s="117">
        <v>45881</v>
      </c>
      <c r="B31" s="92" t="s">
        <v>790</v>
      </c>
      <c r="C31" s="92" t="s">
        <v>788</v>
      </c>
      <c r="D31" s="29"/>
      <c r="E31" s="29">
        <v>500</v>
      </c>
      <c r="F31" s="29"/>
      <c r="G31" s="29">
        <v>500</v>
      </c>
      <c r="H31" s="94" t="s">
        <v>29</v>
      </c>
      <c r="I31" s="105"/>
      <c r="J31" s="105"/>
      <c r="K31" s="119">
        <v>500</v>
      </c>
      <c r="L31" s="119" t="s">
        <v>789</v>
      </c>
      <c r="M31" s="20">
        <f t="shared" si="1"/>
        <v>0</v>
      </c>
    </row>
    <row r="32" spans="1:13" x14ac:dyDescent="0.25">
      <c r="A32" s="117">
        <v>45881</v>
      </c>
      <c r="B32" s="92" t="s">
        <v>791</v>
      </c>
      <c r="C32" s="92" t="s">
        <v>25</v>
      </c>
      <c r="D32" s="29"/>
      <c r="E32" s="29">
        <v>56000</v>
      </c>
      <c r="F32" s="29"/>
      <c r="G32" s="29">
        <v>56000</v>
      </c>
      <c r="H32" s="94" t="s">
        <v>29</v>
      </c>
      <c r="I32" s="105"/>
      <c r="J32" s="105"/>
      <c r="K32" s="119">
        <v>56000</v>
      </c>
      <c r="L32" s="119" t="s">
        <v>818</v>
      </c>
      <c r="M32" s="20">
        <f t="shared" si="1"/>
        <v>0</v>
      </c>
    </row>
    <row r="33" spans="1:13" x14ac:dyDescent="0.25">
      <c r="A33" s="117">
        <v>45896</v>
      </c>
      <c r="B33" s="92" t="s">
        <v>827</v>
      </c>
      <c r="C33" s="92" t="s">
        <v>873</v>
      </c>
      <c r="D33" s="29"/>
      <c r="E33" s="29">
        <v>41000</v>
      </c>
      <c r="F33" s="29"/>
      <c r="G33" s="29">
        <v>41000</v>
      </c>
      <c r="H33" s="94" t="s">
        <v>29</v>
      </c>
      <c r="I33" s="29">
        <v>21000</v>
      </c>
      <c r="J33" s="92" t="s">
        <v>828</v>
      </c>
      <c r="K33" s="119">
        <v>20000</v>
      </c>
      <c r="L33" s="119" t="s">
        <v>1212</v>
      </c>
      <c r="M33" s="20">
        <f t="shared" si="1"/>
        <v>0</v>
      </c>
    </row>
    <row r="34" spans="1:13" x14ac:dyDescent="0.25">
      <c r="A34" s="117">
        <v>45897</v>
      </c>
      <c r="B34" s="92" t="s">
        <v>840</v>
      </c>
      <c r="C34" s="92" t="s">
        <v>747</v>
      </c>
      <c r="D34" s="29"/>
      <c r="E34" s="29">
        <v>19500</v>
      </c>
      <c r="F34" s="29"/>
      <c r="G34" s="29">
        <v>19500</v>
      </c>
      <c r="H34" s="94" t="s">
        <v>29</v>
      </c>
      <c r="I34" s="105"/>
      <c r="J34" s="105"/>
      <c r="K34" s="119">
        <v>19500</v>
      </c>
      <c r="L34" s="119" t="s">
        <v>841</v>
      </c>
      <c r="M34" s="20">
        <f t="shared" si="1"/>
        <v>0</v>
      </c>
    </row>
    <row r="35" spans="1:13" x14ac:dyDescent="0.25">
      <c r="A35" s="160"/>
      <c r="B35" s="161"/>
      <c r="C35" s="161"/>
      <c r="D35" s="162"/>
      <c r="E35" s="163"/>
      <c r="F35" s="163"/>
      <c r="G35" s="163"/>
      <c r="H35" s="164"/>
      <c r="I35" s="161"/>
      <c r="J35" s="161"/>
      <c r="K35" s="165" t="s">
        <v>701</v>
      </c>
      <c r="L35" s="165"/>
      <c r="M35" s="166"/>
    </row>
    <row r="36" spans="1:13" x14ac:dyDescent="0.25">
      <c r="A36" s="109">
        <v>45873</v>
      </c>
      <c r="B36" s="73" t="s">
        <v>737</v>
      </c>
      <c r="C36" s="73" t="s">
        <v>738</v>
      </c>
      <c r="D36" s="28">
        <v>12500</v>
      </c>
      <c r="E36" s="56"/>
      <c r="F36" s="56"/>
      <c r="G36" s="56">
        <v>12500</v>
      </c>
      <c r="H36" s="57" t="s">
        <v>29</v>
      </c>
      <c r="I36" s="105"/>
      <c r="J36" s="105"/>
      <c r="K36" s="58">
        <v>12500</v>
      </c>
      <c r="L36" s="58" t="s">
        <v>752</v>
      </c>
      <c r="M36" s="20">
        <f>SUM(G36-I36-K36)</f>
        <v>0</v>
      </c>
    </row>
    <row r="37" spans="1:13" x14ac:dyDescent="0.25">
      <c r="A37" s="109">
        <v>45873</v>
      </c>
      <c r="B37" s="73" t="s">
        <v>749</v>
      </c>
      <c r="C37" s="73" t="s">
        <v>750</v>
      </c>
      <c r="D37" s="28">
        <v>231000</v>
      </c>
      <c r="E37" s="56"/>
      <c r="F37" s="56"/>
      <c r="G37" s="56">
        <v>231000</v>
      </c>
      <c r="H37" s="57" t="s">
        <v>29</v>
      </c>
      <c r="I37" s="28">
        <v>115500</v>
      </c>
      <c r="J37" s="73" t="s">
        <v>753</v>
      </c>
      <c r="K37" s="58">
        <v>115500</v>
      </c>
      <c r="L37" s="58" t="s">
        <v>843</v>
      </c>
      <c r="M37" s="20">
        <f>SUM(G37-I37-K37)</f>
        <v>0</v>
      </c>
    </row>
    <row r="38" spans="1:13" x14ac:dyDescent="0.25">
      <c r="A38" s="109">
        <v>45873</v>
      </c>
      <c r="B38" s="73" t="s">
        <v>751</v>
      </c>
      <c r="C38" s="73" t="s">
        <v>32</v>
      </c>
      <c r="D38" s="28">
        <v>19500</v>
      </c>
      <c r="E38" s="56"/>
      <c r="F38" s="56"/>
      <c r="G38" s="56">
        <v>19500</v>
      </c>
      <c r="H38" s="57" t="s">
        <v>29</v>
      </c>
      <c r="I38" s="105"/>
      <c r="J38" s="105"/>
      <c r="K38" s="58">
        <v>19500</v>
      </c>
      <c r="L38" s="58" t="s">
        <v>1147</v>
      </c>
      <c r="M38" s="20">
        <f t="shared" ref="M38:M56" si="2">SUM(G38-I38-K38)</f>
        <v>0</v>
      </c>
    </row>
    <row r="39" spans="1:13" x14ac:dyDescent="0.25">
      <c r="A39" s="109">
        <v>45873</v>
      </c>
      <c r="B39" s="73" t="s">
        <v>754</v>
      </c>
      <c r="C39" s="73" t="s">
        <v>59</v>
      </c>
      <c r="D39" s="28">
        <v>13000</v>
      </c>
      <c r="E39" s="56"/>
      <c r="F39" s="56"/>
      <c r="G39" s="56">
        <v>13000</v>
      </c>
      <c r="H39" s="57" t="s">
        <v>29</v>
      </c>
      <c r="I39" s="105"/>
      <c r="J39" s="105"/>
      <c r="K39" s="58">
        <v>13000</v>
      </c>
      <c r="L39" s="58" t="s">
        <v>946</v>
      </c>
      <c r="M39" s="20">
        <f t="shared" si="2"/>
        <v>0</v>
      </c>
    </row>
    <row r="40" spans="1:13" x14ac:dyDescent="0.25">
      <c r="A40" s="109">
        <v>45873</v>
      </c>
      <c r="B40" s="73" t="s">
        <v>755</v>
      </c>
      <c r="C40" s="73" t="s">
        <v>28</v>
      </c>
      <c r="D40" s="28">
        <v>6500</v>
      </c>
      <c r="E40" s="56"/>
      <c r="F40" s="56"/>
      <c r="G40" s="56">
        <v>6500</v>
      </c>
      <c r="H40" s="57" t="s">
        <v>29</v>
      </c>
      <c r="I40" s="105"/>
      <c r="J40" s="105"/>
      <c r="K40" s="58">
        <v>6500</v>
      </c>
      <c r="L40" s="58" t="s">
        <v>950</v>
      </c>
      <c r="M40" s="20">
        <f t="shared" si="2"/>
        <v>0</v>
      </c>
    </row>
    <row r="41" spans="1:13" x14ac:dyDescent="0.25">
      <c r="A41" s="109">
        <v>45873</v>
      </c>
      <c r="B41" s="73" t="s">
        <v>756</v>
      </c>
      <c r="C41" s="73" t="s">
        <v>28</v>
      </c>
      <c r="D41" s="28">
        <v>6500</v>
      </c>
      <c r="E41" s="56"/>
      <c r="F41" s="56"/>
      <c r="G41" s="56">
        <v>6500</v>
      </c>
      <c r="H41" s="57" t="s">
        <v>29</v>
      </c>
      <c r="I41" s="105"/>
      <c r="J41" s="105"/>
      <c r="K41" s="58">
        <v>6500</v>
      </c>
      <c r="L41" s="58" t="s">
        <v>948</v>
      </c>
      <c r="M41" s="20">
        <f t="shared" si="2"/>
        <v>0</v>
      </c>
    </row>
    <row r="42" spans="1:13" x14ac:dyDescent="0.25">
      <c r="A42" s="109">
        <v>45873</v>
      </c>
      <c r="B42" s="73" t="s">
        <v>777</v>
      </c>
      <c r="C42" s="73" t="s">
        <v>32</v>
      </c>
      <c r="D42" s="28">
        <v>19500</v>
      </c>
      <c r="E42" s="56"/>
      <c r="F42" s="56"/>
      <c r="G42" s="56">
        <v>19500</v>
      </c>
      <c r="H42" s="57" t="s">
        <v>29</v>
      </c>
      <c r="I42" s="105"/>
      <c r="J42" s="105"/>
      <c r="K42" s="58">
        <v>19500</v>
      </c>
      <c r="L42" s="58" t="s">
        <v>947</v>
      </c>
      <c r="M42" s="20">
        <f t="shared" si="2"/>
        <v>0</v>
      </c>
    </row>
    <row r="43" spans="1:13" x14ac:dyDescent="0.25">
      <c r="A43" s="109">
        <v>45873</v>
      </c>
      <c r="B43" s="73" t="s">
        <v>757</v>
      </c>
      <c r="C43" s="73" t="s">
        <v>28</v>
      </c>
      <c r="D43" s="28">
        <v>6500</v>
      </c>
      <c r="E43" s="56"/>
      <c r="F43" s="56"/>
      <c r="G43" s="56">
        <v>6500</v>
      </c>
      <c r="H43" s="57" t="s">
        <v>29</v>
      </c>
      <c r="I43" s="105"/>
      <c r="J43" s="105"/>
      <c r="K43" s="58">
        <v>6500</v>
      </c>
      <c r="L43" s="58" t="s">
        <v>949</v>
      </c>
      <c r="M43" s="20">
        <f t="shared" si="2"/>
        <v>0</v>
      </c>
    </row>
    <row r="44" spans="1:13" x14ac:dyDescent="0.25">
      <c r="A44" s="109">
        <v>45880</v>
      </c>
      <c r="B44" s="73" t="s">
        <v>780</v>
      </c>
      <c r="C44" s="73" t="s">
        <v>461</v>
      </c>
      <c r="D44" s="28">
        <v>17000</v>
      </c>
      <c r="E44" s="56"/>
      <c r="F44" s="56"/>
      <c r="G44" s="56">
        <v>17000</v>
      </c>
      <c r="H44" s="57" t="s">
        <v>29</v>
      </c>
      <c r="I44" s="28">
        <v>8500</v>
      </c>
      <c r="J44" s="73" t="s">
        <v>781</v>
      </c>
      <c r="K44" s="58">
        <v>8500</v>
      </c>
      <c r="L44" s="58" t="s">
        <v>868</v>
      </c>
      <c r="M44" s="20">
        <f t="shared" si="2"/>
        <v>0</v>
      </c>
    </row>
    <row r="45" spans="1:13" x14ac:dyDescent="0.25">
      <c r="A45" s="109">
        <v>45880</v>
      </c>
      <c r="B45" s="73" t="s">
        <v>782</v>
      </c>
      <c r="C45" s="73" t="s">
        <v>34</v>
      </c>
      <c r="D45" s="28">
        <v>12500</v>
      </c>
      <c r="E45" s="56"/>
      <c r="F45" s="56"/>
      <c r="G45" s="56">
        <v>12500</v>
      </c>
      <c r="H45" s="57" t="s">
        <v>29</v>
      </c>
      <c r="I45" s="105"/>
      <c r="J45" s="105"/>
      <c r="K45" s="58">
        <v>12500</v>
      </c>
      <c r="L45" s="58" t="s">
        <v>813</v>
      </c>
      <c r="M45" s="20">
        <f t="shared" si="2"/>
        <v>0</v>
      </c>
    </row>
    <row r="46" spans="1:13" x14ac:dyDescent="0.25">
      <c r="A46" s="109">
        <v>45880</v>
      </c>
      <c r="B46" s="73" t="s">
        <v>783</v>
      </c>
      <c r="C46" s="73" t="s">
        <v>34</v>
      </c>
      <c r="D46" s="28">
        <v>12500</v>
      </c>
      <c r="E46" s="56"/>
      <c r="F46" s="56"/>
      <c r="G46" s="56">
        <v>12500</v>
      </c>
      <c r="H46" s="57" t="s">
        <v>29</v>
      </c>
      <c r="I46" s="105"/>
      <c r="J46" s="105"/>
      <c r="K46" s="58">
        <v>12500</v>
      </c>
      <c r="L46" s="58" t="s">
        <v>819</v>
      </c>
      <c r="M46" s="20">
        <f t="shared" si="2"/>
        <v>0</v>
      </c>
    </row>
    <row r="47" spans="1:13" x14ac:dyDescent="0.25">
      <c r="A47" s="109">
        <v>45881</v>
      </c>
      <c r="B47" s="73" t="s">
        <v>785</v>
      </c>
      <c r="C47" s="73" t="s">
        <v>786</v>
      </c>
      <c r="D47" s="28">
        <v>6000</v>
      </c>
      <c r="E47" s="56"/>
      <c r="F47" s="56"/>
      <c r="G47" s="56">
        <v>6000</v>
      </c>
      <c r="H47" s="57" t="s">
        <v>29</v>
      </c>
      <c r="I47" s="105"/>
      <c r="J47" s="105"/>
      <c r="K47" s="58">
        <v>6000</v>
      </c>
      <c r="L47" s="58" t="s">
        <v>787</v>
      </c>
      <c r="M47" s="20">
        <f t="shared" si="2"/>
        <v>0</v>
      </c>
    </row>
    <row r="48" spans="1:13" x14ac:dyDescent="0.25">
      <c r="A48" s="109">
        <v>45882</v>
      </c>
      <c r="B48" s="73" t="s">
        <v>814</v>
      </c>
      <c r="C48" s="73" t="s">
        <v>653</v>
      </c>
      <c r="D48" s="28">
        <v>30000</v>
      </c>
      <c r="E48" s="56"/>
      <c r="F48" s="56"/>
      <c r="G48" s="56">
        <v>30000</v>
      </c>
      <c r="H48" s="57" t="s">
        <v>29</v>
      </c>
      <c r="I48" s="105"/>
      <c r="J48" s="105"/>
      <c r="K48" s="58">
        <v>30000</v>
      </c>
      <c r="L48" s="58" t="s">
        <v>1095</v>
      </c>
      <c r="M48" s="20">
        <f t="shared" si="2"/>
        <v>0</v>
      </c>
    </row>
    <row r="49" spans="1:13" x14ac:dyDescent="0.25">
      <c r="A49" s="146">
        <v>45888</v>
      </c>
      <c r="B49" s="143" t="s">
        <v>802</v>
      </c>
      <c r="C49" s="143" t="s">
        <v>567</v>
      </c>
      <c r="D49" s="142">
        <v>30000</v>
      </c>
      <c r="E49" s="56"/>
      <c r="F49" s="56"/>
      <c r="G49" s="56">
        <v>30000</v>
      </c>
      <c r="H49" s="57" t="s">
        <v>29</v>
      </c>
      <c r="I49" s="105"/>
      <c r="J49" s="105"/>
      <c r="K49" s="58">
        <v>30000</v>
      </c>
      <c r="L49" s="58" t="s">
        <v>1237</v>
      </c>
      <c r="M49" s="20">
        <f t="shared" si="2"/>
        <v>0</v>
      </c>
    </row>
    <row r="50" spans="1:13" x14ac:dyDescent="0.25">
      <c r="A50" s="146">
        <v>45888</v>
      </c>
      <c r="B50" s="143" t="s">
        <v>803</v>
      </c>
      <c r="C50" s="143" t="s">
        <v>567</v>
      </c>
      <c r="D50" s="142">
        <v>30000</v>
      </c>
      <c r="E50" s="56"/>
      <c r="F50" s="56"/>
      <c r="G50" s="142">
        <v>30000</v>
      </c>
      <c r="H50" s="57" t="s">
        <v>29</v>
      </c>
      <c r="I50" s="105"/>
      <c r="J50" s="105"/>
      <c r="K50" s="58">
        <v>30000</v>
      </c>
      <c r="L50" s="58" t="s">
        <v>1100</v>
      </c>
      <c r="M50" s="20">
        <f t="shared" si="2"/>
        <v>0</v>
      </c>
    </row>
    <row r="51" spans="1:13" x14ac:dyDescent="0.25">
      <c r="A51" s="146">
        <v>45888</v>
      </c>
      <c r="B51" s="143" t="s">
        <v>804</v>
      </c>
      <c r="C51" s="143" t="s">
        <v>567</v>
      </c>
      <c r="D51" s="142">
        <v>30000</v>
      </c>
      <c r="E51" s="56"/>
      <c r="F51" s="56"/>
      <c r="G51" s="142">
        <v>30000</v>
      </c>
      <c r="H51" s="57" t="s">
        <v>29</v>
      </c>
      <c r="I51" s="105"/>
      <c r="J51" s="105"/>
      <c r="K51" s="58">
        <v>30000</v>
      </c>
      <c r="L51" s="58" t="s">
        <v>1400</v>
      </c>
      <c r="M51" s="20">
        <f t="shared" si="2"/>
        <v>0</v>
      </c>
    </row>
    <row r="52" spans="1:13" x14ac:dyDescent="0.25">
      <c r="A52" s="109">
        <v>45891</v>
      </c>
      <c r="B52" s="73" t="s">
        <v>816</v>
      </c>
      <c r="C52" s="73" t="s">
        <v>28</v>
      </c>
      <c r="D52" s="28">
        <v>18000</v>
      </c>
      <c r="E52" s="56"/>
      <c r="F52" s="56"/>
      <c r="G52" s="56">
        <v>18000</v>
      </c>
      <c r="H52" s="57" t="s">
        <v>29</v>
      </c>
      <c r="I52" s="105"/>
      <c r="J52" s="105"/>
      <c r="K52" s="58">
        <v>18000</v>
      </c>
      <c r="L52" s="58" t="s">
        <v>893</v>
      </c>
      <c r="M52" s="20">
        <f t="shared" si="2"/>
        <v>0</v>
      </c>
    </row>
    <row r="53" spans="1:13" x14ac:dyDescent="0.25">
      <c r="A53" s="109">
        <v>45891</v>
      </c>
      <c r="B53" s="73" t="s">
        <v>842</v>
      </c>
      <c r="C53" s="73" t="s">
        <v>28</v>
      </c>
      <c r="D53" s="28">
        <v>18000</v>
      </c>
      <c r="E53" s="56"/>
      <c r="F53" s="56"/>
      <c r="G53" s="56">
        <v>18000</v>
      </c>
      <c r="H53" s="57" t="s">
        <v>29</v>
      </c>
      <c r="I53" s="105"/>
      <c r="J53" s="105"/>
      <c r="K53" s="58">
        <v>18000</v>
      </c>
      <c r="L53" s="58" t="s">
        <v>892</v>
      </c>
      <c r="M53" s="20">
        <f t="shared" si="2"/>
        <v>0</v>
      </c>
    </row>
    <row r="54" spans="1:13" x14ac:dyDescent="0.25">
      <c r="A54" s="109">
        <v>45895</v>
      </c>
      <c r="B54" s="73" t="s">
        <v>830</v>
      </c>
      <c r="C54" s="73" t="s">
        <v>831</v>
      </c>
      <c r="D54" s="28">
        <v>2500</v>
      </c>
      <c r="E54" s="56"/>
      <c r="F54" s="56"/>
      <c r="G54" s="56">
        <v>2500</v>
      </c>
      <c r="H54" s="57" t="s">
        <v>29</v>
      </c>
      <c r="I54" s="105"/>
      <c r="J54" s="105"/>
      <c r="K54" s="58">
        <v>2500</v>
      </c>
      <c r="L54" s="58" t="s">
        <v>832</v>
      </c>
      <c r="M54" s="20">
        <f t="shared" si="2"/>
        <v>0</v>
      </c>
    </row>
    <row r="55" spans="1:13" x14ac:dyDescent="0.25">
      <c r="A55" s="109">
        <v>45896</v>
      </c>
      <c r="B55" s="73" t="s">
        <v>833</v>
      </c>
      <c r="C55" s="73" t="s">
        <v>834</v>
      </c>
      <c r="D55" s="28">
        <v>10500</v>
      </c>
      <c r="E55" s="56"/>
      <c r="F55" s="56"/>
      <c r="G55" s="56">
        <v>10500</v>
      </c>
      <c r="H55" s="57" t="s">
        <v>29</v>
      </c>
      <c r="I55" s="105"/>
      <c r="J55" s="105"/>
      <c r="K55" s="58">
        <v>10500</v>
      </c>
      <c r="L55" s="58" t="s">
        <v>835</v>
      </c>
      <c r="M55" s="20">
        <f t="shared" si="2"/>
        <v>0</v>
      </c>
    </row>
    <row r="56" spans="1:13" x14ac:dyDescent="0.25">
      <c r="A56" s="109">
        <v>45897</v>
      </c>
      <c r="B56" s="73" t="s">
        <v>836</v>
      </c>
      <c r="C56" s="73" t="s">
        <v>567</v>
      </c>
      <c r="D56" s="28">
        <v>30000</v>
      </c>
      <c r="E56" s="56"/>
      <c r="F56" s="56"/>
      <c r="G56" s="56">
        <v>30000</v>
      </c>
      <c r="H56" s="57"/>
      <c r="I56" s="73"/>
      <c r="J56" s="73"/>
      <c r="K56" s="58"/>
      <c r="L56" s="58"/>
      <c r="M56" s="20">
        <f t="shared" si="2"/>
        <v>30000</v>
      </c>
    </row>
    <row r="57" spans="1:13" x14ac:dyDescent="0.25">
      <c r="A57" s="127"/>
      <c r="B57" s="127"/>
      <c r="C57" s="127"/>
      <c r="D57" s="128"/>
      <c r="E57" s="128"/>
      <c r="F57" s="128"/>
      <c r="G57" s="127"/>
      <c r="H57" s="129"/>
      <c r="I57" s="127"/>
      <c r="J57" s="127"/>
      <c r="K57" s="127"/>
      <c r="L57" s="127"/>
      <c r="M57" s="127"/>
    </row>
    <row r="58" spans="1:13" x14ac:dyDescent="0.25">
      <c r="F58" s="116"/>
      <c r="H58" s="118"/>
    </row>
    <row r="59" spans="1:13" x14ac:dyDescent="0.25">
      <c r="F59" s="116"/>
      <c r="H59" s="118"/>
    </row>
    <row r="60" spans="1:13" x14ac:dyDescent="0.25">
      <c r="F60" s="116"/>
      <c r="H60" s="118"/>
    </row>
    <row r="61" spans="1:13" x14ac:dyDescent="0.25">
      <c r="F61" s="116"/>
      <c r="H61" s="118"/>
    </row>
    <row r="62" spans="1:13" x14ac:dyDescent="0.25">
      <c r="F62" s="116"/>
      <c r="H62" s="118"/>
    </row>
    <row r="63" spans="1:13" x14ac:dyDescent="0.25">
      <c r="F63" s="116"/>
      <c r="H63" s="118"/>
    </row>
    <row r="64" spans="1:13" x14ac:dyDescent="0.25">
      <c r="F64" s="116"/>
      <c r="H64" s="118"/>
    </row>
    <row r="65" spans="6:8" x14ac:dyDescent="0.25">
      <c r="F65" s="116"/>
      <c r="H65" s="118"/>
    </row>
    <row r="66" spans="6:8" x14ac:dyDescent="0.25">
      <c r="F66" s="116"/>
      <c r="H66" s="118"/>
    </row>
    <row r="67" spans="6:8" x14ac:dyDescent="0.25">
      <c r="F67" s="116"/>
      <c r="H67" s="118"/>
    </row>
    <row r="68" spans="6:8" x14ac:dyDescent="0.25">
      <c r="F68" s="116"/>
      <c r="H68" s="118"/>
    </row>
    <row r="69" spans="6:8" x14ac:dyDescent="0.25">
      <c r="F69" s="116"/>
      <c r="H69" s="118"/>
    </row>
    <row r="70" spans="6:8" x14ac:dyDescent="0.25">
      <c r="F70" s="116"/>
      <c r="H70" s="118"/>
    </row>
    <row r="71" spans="6:8" x14ac:dyDescent="0.25">
      <c r="F71" s="116"/>
      <c r="H71" s="118"/>
    </row>
    <row r="72" spans="6:8" x14ac:dyDescent="0.25">
      <c r="F72" s="116"/>
      <c r="H72" s="118"/>
    </row>
    <row r="73" spans="6:8" x14ac:dyDescent="0.25">
      <c r="F73" s="116"/>
      <c r="H73" s="118"/>
    </row>
    <row r="74" spans="6:8" x14ac:dyDescent="0.25">
      <c r="H74" s="118"/>
    </row>
    <row r="75" spans="6:8" x14ac:dyDescent="0.25">
      <c r="H75" s="118"/>
    </row>
    <row r="76" spans="6:8" x14ac:dyDescent="0.25">
      <c r="H76" s="118"/>
    </row>
    <row r="77" spans="6:8" x14ac:dyDescent="0.25">
      <c r="H77" s="118"/>
    </row>
  </sheetData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12722-E06E-43D2-958B-E566183F5863}">
  <dimension ref="A1:M81"/>
  <sheetViews>
    <sheetView topLeftCell="A17" workbookViewId="0">
      <selection activeCell="B36" sqref="B36"/>
    </sheetView>
  </sheetViews>
  <sheetFormatPr defaultRowHeight="15" x14ac:dyDescent="0.25"/>
  <cols>
    <col min="1" max="1" width="9.28515625" customWidth="1"/>
    <col min="2" max="2" width="54.7109375" customWidth="1"/>
    <col min="3" max="3" width="46.140625" customWidth="1"/>
    <col min="4" max="4" width="12.42578125" style="116" customWidth="1"/>
    <col min="5" max="5" width="14.42578125" style="116" customWidth="1"/>
    <col min="6" max="6" width="13.42578125" customWidth="1"/>
    <col min="7" max="7" width="14.85546875" customWidth="1"/>
    <col min="8" max="8" width="10" customWidth="1"/>
    <col min="9" max="9" width="11.5703125" customWidth="1"/>
    <col min="10" max="10" width="11.85546875" customWidth="1"/>
    <col min="11" max="11" width="12.7109375" customWidth="1"/>
    <col min="12" max="12" width="15.28515625" customWidth="1"/>
    <col min="13" max="13" width="15.140625" customWidth="1"/>
  </cols>
  <sheetData>
    <row r="1" spans="1:13" x14ac:dyDescent="0.25">
      <c r="A1" s="1" t="s">
        <v>0</v>
      </c>
      <c r="B1" s="2"/>
      <c r="C1" s="3"/>
      <c r="D1" s="66"/>
      <c r="E1" s="66"/>
      <c r="F1" s="43"/>
      <c r="G1" s="43"/>
      <c r="H1" s="4"/>
      <c r="I1" s="36"/>
      <c r="J1" s="36"/>
      <c r="K1" s="5"/>
    </row>
    <row r="2" spans="1:13" x14ac:dyDescent="0.25">
      <c r="A2" s="1" t="s">
        <v>1</v>
      </c>
      <c r="B2" s="2"/>
      <c r="C2" s="3"/>
      <c r="D2" s="66"/>
      <c r="E2" s="66"/>
      <c r="F2" s="43"/>
      <c r="G2" s="43"/>
      <c r="H2" s="4"/>
      <c r="I2" s="36"/>
      <c r="J2" s="36"/>
      <c r="K2" s="5"/>
    </row>
    <row r="3" spans="1:13" x14ac:dyDescent="0.25">
      <c r="A3" s="1"/>
      <c r="B3" s="2"/>
      <c r="C3" s="3"/>
      <c r="D3" s="66"/>
      <c r="E3" s="66"/>
      <c r="F3" s="43"/>
      <c r="G3" s="43"/>
      <c r="H3" s="4"/>
      <c r="I3" s="36"/>
      <c r="J3" s="36"/>
      <c r="K3" s="5"/>
    </row>
    <row r="4" spans="1:13" x14ac:dyDescent="0.25">
      <c r="A4" s="6"/>
      <c r="B4" s="2" t="s">
        <v>2</v>
      </c>
      <c r="C4" s="3"/>
      <c r="D4" s="66"/>
      <c r="E4" s="66"/>
      <c r="F4" s="43"/>
      <c r="G4" s="43"/>
      <c r="H4" s="4"/>
      <c r="I4" s="36"/>
      <c r="J4" s="36"/>
      <c r="K4" s="5"/>
    </row>
    <row r="5" spans="1:13" ht="15.75" thickBot="1" x14ac:dyDescent="0.3">
      <c r="A5" s="7"/>
      <c r="B5" s="8" t="s">
        <v>3</v>
      </c>
      <c r="C5" s="5"/>
      <c r="D5" s="67"/>
      <c r="E5" s="67"/>
      <c r="F5" s="37"/>
      <c r="G5" s="37"/>
      <c r="H5" s="9"/>
      <c r="I5" s="37"/>
      <c r="J5" s="37"/>
      <c r="K5" s="5"/>
    </row>
    <row r="6" spans="1:13" ht="25.5" x14ac:dyDescent="0.25">
      <c r="A6" s="10" t="s">
        <v>4</v>
      </c>
      <c r="B6" s="11" t="s">
        <v>5</v>
      </c>
      <c r="C6" s="12" t="s">
        <v>6</v>
      </c>
      <c r="D6" s="68"/>
      <c r="E6" s="120"/>
      <c r="F6" s="14"/>
      <c r="G6" s="15" t="s">
        <v>7</v>
      </c>
      <c r="H6" s="46" t="s">
        <v>8</v>
      </c>
      <c r="I6" s="16" t="s">
        <v>9</v>
      </c>
      <c r="J6" s="16" t="s">
        <v>10</v>
      </c>
      <c r="K6" s="16" t="s">
        <v>9</v>
      </c>
      <c r="L6" s="16" t="s">
        <v>10</v>
      </c>
      <c r="M6" s="17"/>
    </row>
    <row r="7" spans="1:13" ht="15.75" thickBot="1" x14ac:dyDescent="0.3">
      <c r="A7" s="21"/>
      <c r="B7" s="22"/>
      <c r="C7" s="23"/>
      <c r="D7" s="69" t="s">
        <v>11</v>
      </c>
      <c r="E7" s="69" t="s">
        <v>12</v>
      </c>
      <c r="F7" s="24" t="s">
        <v>13</v>
      </c>
      <c r="G7" s="25"/>
      <c r="H7" s="26"/>
      <c r="I7" s="27" t="s">
        <v>14</v>
      </c>
      <c r="J7" s="27" t="s">
        <v>14</v>
      </c>
      <c r="K7" s="18" t="s">
        <v>15</v>
      </c>
      <c r="L7" s="18" t="s">
        <v>15</v>
      </c>
      <c r="M7" s="19" t="s">
        <v>16</v>
      </c>
    </row>
    <row r="8" spans="1:13" x14ac:dyDescent="0.25">
      <c r="A8" s="130" t="s">
        <v>849</v>
      </c>
      <c r="B8" s="131"/>
      <c r="C8" s="131"/>
      <c r="D8" s="132">
        <f>SUM(D32:D1036)</f>
        <v>1549150</v>
      </c>
      <c r="E8" s="132">
        <f>SUM(E33:E40)</f>
        <v>512050</v>
      </c>
      <c r="F8" s="132">
        <f>SUM(F9:F18)</f>
        <v>196966.66</v>
      </c>
      <c r="G8" s="91">
        <f>SUM(D8:F8)</f>
        <v>2258166.66</v>
      </c>
      <c r="H8" s="131"/>
      <c r="I8" s="150"/>
      <c r="J8" s="150"/>
      <c r="K8" s="150"/>
      <c r="L8" s="150"/>
      <c r="M8" s="101">
        <f>SUM(M9:M60)</f>
        <v>611750</v>
      </c>
    </row>
    <row r="9" spans="1:13" x14ac:dyDescent="0.25">
      <c r="A9" s="172">
        <v>45901</v>
      </c>
      <c r="B9" s="178" t="s">
        <v>850</v>
      </c>
      <c r="C9" s="178" t="s">
        <v>342</v>
      </c>
      <c r="D9" s="173"/>
      <c r="E9" s="173"/>
      <c r="F9" s="174">
        <v>4000</v>
      </c>
      <c r="G9" s="175">
        <v>4000</v>
      </c>
      <c r="H9" s="94" t="s">
        <v>29</v>
      </c>
      <c r="I9" s="105"/>
      <c r="J9" s="105"/>
      <c r="K9" s="177">
        <v>4000</v>
      </c>
      <c r="L9" s="148" t="s">
        <v>1072</v>
      </c>
      <c r="M9" s="20">
        <f t="shared" ref="M9:M60" si="0">SUM(G9-I9-K9)</f>
        <v>0</v>
      </c>
    </row>
    <row r="10" spans="1:13" x14ac:dyDescent="0.25">
      <c r="A10" s="172">
        <v>45901</v>
      </c>
      <c r="B10" s="178" t="s">
        <v>851</v>
      </c>
      <c r="C10" s="178" t="s">
        <v>852</v>
      </c>
      <c r="D10" s="173"/>
      <c r="E10" s="173"/>
      <c r="F10" s="174">
        <v>15000</v>
      </c>
      <c r="G10" s="175">
        <v>15000</v>
      </c>
      <c r="H10" s="94" t="s">
        <v>29</v>
      </c>
      <c r="I10" s="105"/>
      <c r="J10" s="105"/>
      <c r="K10" s="177">
        <v>15000</v>
      </c>
      <c r="L10" s="178" t="s">
        <v>889</v>
      </c>
      <c r="M10" s="20">
        <f t="shared" si="0"/>
        <v>0</v>
      </c>
    </row>
    <row r="11" spans="1:13" x14ac:dyDescent="0.25">
      <c r="A11" s="172">
        <v>45901</v>
      </c>
      <c r="B11" s="178" t="s">
        <v>865</v>
      </c>
      <c r="C11" s="178" t="s">
        <v>866</v>
      </c>
      <c r="D11" s="173"/>
      <c r="E11" s="173"/>
      <c r="F11" s="174">
        <v>21666.66</v>
      </c>
      <c r="G11" s="175">
        <v>21666.66</v>
      </c>
      <c r="H11" s="94" t="s">
        <v>29</v>
      </c>
      <c r="I11" s="105"/>
      <c r="J11" s="105"/>
      <c r="K11" s="177">
        <v>21666.66</v>
      </c>
      <c r="L11" s="178" t="s">
        <v>878</v>
      </c>
      <c r="M11" s="20">
        <f t="shared" si="0"/>
        <v>0</v>
      </c>
    </row>
    <row r="12" spans="1:13" x14ac:dyDescent="0.25">
      <c r="A12" s="172">
        <v>45902</v>
      </c>
      <c r="B12" s="178" t="s">
        <v>867</v>
      </c>
      <c r="C12" s="178" t="s">
        <v>866</v>
      </c>
      <c r="D12" s="173"/>
      <c r="E12" s="173"/>
      <c r="F12" s="174">
        <v>35000</v>
      </c>
      <c r="G12" s="175">
        <v>35000</v>
      </c>
      <c r="H12" s="94" t="s">
        <v>29</v>
      </c>
      <c r="I12" s="177">
        <v>18000</v>
      </c>
      <c r="J12" s="178" t="s">
        <v>884</v>
      </c>
      <c r="K12" s="177">
        <v>17000</v>
      </c>
      <c r="L12" s="178" t="s">
        <v>1226</v>
      </c>
      <c r="M12" s="20">
        <f t="shared" si="0"/>
        <v>0</v>
      </c>
    </row>
    <row r="13" spans="1:13" x14ac:dyDescent="0.25">
      <c r="A13" s="172">
        <v>45905</v>
      </c>
      <c r="B13" s="178" t="s">
        <v>870</v>
      </c>
      <c r="C13" s="178" t="s">
        <v>871</v>
      </c>
      <c r="D13" s="173"/>
      <c r="E13" s="173"/>
      <c r="F13" s="174">
        <v>2800</v>
      </c>
      <c r="G13" s="175">
        <v>2800</v>
      </c>
      <c r="H13" s="94" t="s">
        <v>29</v>
      </c>
      <c r="I13" s="105"/>
      <c r="J13" s="105"/>
      <c r="K13" s="177">
        <v>2800</v>
      </c>
      <c r="L13" s="178" t="s">
        <v>882</v>
      </c>
      <c r="M13" s="20">
        <f t="shared" si="0"/>
        <v>0</v>
      </c>
    </row>
    <row r="14" spans="1:13" x14ac:dyDescent="0.25">
      <c r="A14" s="172">
        <v>45905</v>
      </c>
      <c r="B14" s="178" t="s">
        <v>874</v>
      </c>
      <c r="C14" s="178" t="s">
        <v>342</v>
      </c>
      <c r="D14" s="173"/>
      <c r="E14" s="173"/>
      <c r="F14" s="174">
        <v>6500</v>
      </c>
      <c r="G14" s="175">
        <v>6500</v>
      </c>
      <c r="H14" s="94" t="s">
        <v>29</v>
      </c>
      <c r="I14" s="105"/>
      <c r="J14" s="105"/>
      <c r="K14" s="177">
        <v>6500</v>
      </c>
      <c r="L14" s="178" t="s">
        <v>883</v>
      </c>
      <c r="M14" s="20">
        <f t="shared" si="0"/>
        <v>0</v>
      </c>
    </row>
    <row r="15" spans="1:13" x14ac:dyDescent="0.25">
      <c r="A15" s="172">
        <v>45908</v>
      </c>
      <c r="B15" s="178" t="s">
        <v>875</v>
      </c>
      <c r="C15" s="178" t="s">
        <v>873</v>
      </c>
      <c r="D15" s="173"/>
      <c r="E15" s="173"/>
      <c r="F15" s="174">
        <v>102000</v>
      </c>
      <c r="G15" s="175">
        <v>102000</v>
      </c>
      <c r="H15" s="176"/>
      <c r="I15" s="177">
        <v>51000</v>
      </c>
      <c r="J15" s="178" t="s">
        <v>876</v>
      </c>
      <c r="K15" s="177"/>
      <c r="L15" s="178"/>
      <c r="M15" s="20">
        <f t="shared" si="0"/>
        <v>51000</v>
      </c>
    </row>
    <row r="16" spans="1:13" x14ac:dyDescent="0.25">
      <c r="A16" s="172">
        <v>45908</v>
      </c>
      <c r="B16" s="178" t="s">
        <v>877</v>
      </c>
      <c r="C16" s="178" t="s">
        <v>101</v>
      </c>
      <c r="D16" s="173"/>
      <c r="E16" s="173"/>
      <c r="F16" s="174">
        <v>1500</v>
      </c>
      <c r="G16" s="175">
        <v>1500</v>
      </c>
      <c r="H16" s="94" t="s">
        <v>29</v>
      </c>
      <c r="I16" s="105"/>
      <c r="J16" s="105"/>
      <c r="K16" s="177">
        <v>1500</v>
      </c>
      <c r="L16" s="178" t="s">
        <v>879</v>
      </c>
      <c r="M16" s="20">
        <f t="shared" si="0"/>
        <v>0</v>
      </c>
    </row>
    <row r="17" spans="1:13" x14ac:dyDescent="0.25">
      <c r="A17" s="172">
        <v>45909</v>
      </c>
      <c r="B17" s="178" t="s">
        <v>880</v>
      </c>
      <c r="C17" s="178" t="s">
        <v>881</v>
      </c>
      <c r="D17" s="173"/>
      <c r="E17" s="173"/>
      <c r="F17" s="174">
        <v>6000</v>
      </c>
      <c r="G17" s="175">
        <v>6000</v>
      </c>
      <c r="H17" s="94" t="s">
        <v>29</v>
      </c>
      <c r="I17" s="105"/>
      <c r="J17" s="105"/>
      <c r="K17" s="177">
        <v>6000</v>
      </c>
      <c r="L17" s="178" t="s">
        <v>965</v>
      </c>
      <c r="M17" s="20">
        <f t="shared" si="0"/>
        <v>0</v>
      </c>
    </row>
    <row r="18" spans="1:13" x14ac:dyDescent="0.25">
      <c r="A18" s="172">
        <v>45911</v>
      </c>
      <c r="B18" s="178" t="s">
        <v>907</v>
      </c>
      <c r="C18" s="178" t="s">
        <v>95</v>
      </c>
      <c r="D18" s="173"/>
      <c r="E18" s="173"/>
      <c r="F18" s="174">
        <v>2500</v>
      </c>
      <c r="G18" s="175">
        <v>2500</v>
      </c>
      <c r="H18" s="94" t="s">
        <v>29</v>
      </c>
      <c r="I18" s="105"/>
      <c r="J18" s="105"/>
      <c r="K18" s="177">
        <v>2500</v>
      </c>
      <c r="L18" s="178" t="s">
        <v>1148</v>
      </c>
      <c r="M18" s="20">
        <f t="shared" si="0"/>
        <v>0</v>
      </c>
    </row>
    <row r="19" spans="1:13" x14ac:dyDescent="0.25">
      <c r="A19" s="172">
        <v>45915</v>
      </c>
      <c r="B19" s="178" t="s">
        <v>909</v>
      </c>
      <c r="C19" s="178" t="s">
        <v>910</v>
      </c>
      <c r="D19" s="173"/>
      <c r="E19" s="173"/>
      <c r="F19" s="174">
        <v>22000</v>
      </c>
      <c r="G19" s="175">
        <v>22000</v>
      </c>
      <c r="H19" s="94" t="s">
        <v>29</v>
      </c>
      <c r="I19" s="177">
        <v>11000</v>
      </c>
      <c r="J19" s="178" t="s">
        <v>932</v>
      </c>
      <c r="K19" s="177">
        <v>11000</v>
      </c>
      <c r="L19" s="178" t="s">
        <v>1255</v>
      </c>
      <c r="M19" s="20">
        <f t="shared" si="0"/>
        <v>0</v>
      </c>
    </row>
    <row r="20" spans="1:13" x14ac:dyDescent="0.25">
      <c r="A20" s="172">
        <v>45917</v>
      </c>
      <c r="B20" s="178" t="s">
        <v>928</v>
      </c>
      <c r="C20" s="178" t="s">
        <v>392</v>
      </c>
      <c r="D20" s="173"/>
      <c r="E20" s="173"/>
      <c r="F20" s="174">
        <v>14000</v>
      </c>
      <c r="G20" s="175">
        <v>14000</v>
      </c>
      <c r="H20" s="94" t="s">
        <v>29</v>
      </c>
      <c r="I20" s="105"/>
      <c r="J20" s="105"/>
      <c r="K20" s="177">
        <v>14000</v>
      </c>
      <c r="L20" s="178" t="s">
        <v>929</v>
      </c>
      <c r="M20" s="20">
        <f t="shared" si="0"/>
        <v>0</v>
      </c>
    </row>
    <row r="21" spans="1:13" x14ac:dyDescent="0.25">
      <c r="A21" s="172">
        <v>45918</v>
      </c>
      <c r="B21" s="178" t="s">
        <v>938</v>
      </c>
      <c r="C21" s="178" t="s">
        <v>18</v>
      </c>
      <c r="D21" s="173"/>
      <c r="E21" s="173"/>
      <c r="F21" s="174">
        <v>93000</v>
      </c>
      <c r="G21" s="175">
        <v>93000</v>
      </c>
      <c r="H21" s="94" t="s">
        <v>29</v>
      </c>
      <c r="I21" s="105"/>
      <c r="J21" s="105"/>
      <c r="K21" s="177">
        <v>93000</v>
      </c>
      <c r="L21" s="178" t="s">
        <v>939</v>
      </c>
      <c r="M21" s="20">
        <f t="shared" si="0"/>
        <v>0</v>
      </c>
    </row>
    <row r="22" spans="1:13" x14ac:dyDescent="0.25">
      <c r="A22" s="172">
        <v>45918</v>
      </c>
      <c r="B22" s="178" t="s">
        <v>940</v>
      </c>
      <c r="C22" s="178" t="s">
        <v>852</v>
      </c>
      <c r="D22" s="173"/>
      <c r="E22" s="173"/>
      <c r="F22" s="174">
        <v>18000</v>
      </c>
      <c r="G22" s="175">
        <v>18000</v>
      </c>
      <c r="H22" s="94" t="s">
        <v>29</v>
      </c>
      <c r="I22" s="105"/>
      <c r="J22" s="105"/>
      <c r="K22" s="177">
        <v>18000</v>
      </c>
      <c r="L22" s="178" t="s">
        <v>941</v>
      </c>
      <c r="M22" s="20">
        <f t="shared" si="0"/>
        <v>0</v>
      </c>
    </row>
    <row r="23" spans="1:13" x14ac:dyDescent="0.25">
      <c r="A23" s="180">
        <v>45918</v>
      </c>
      <c r="B23" s="181" t="s">
        <v>942</v>
      </c>
      <c r="C23" s="181" t="s">
        <v>943</v>
      </c>
      <c r="D23" s="182"/>
      <c r="E23" s="182"/>
      <c r="F23" s="183">
        <v>24000</v>
      </c>
      <c r="G23" s="184">
        <v>24000</v>
      </c>
      <c r="H23" s="94" t="s">
        <v>29</v>
      </c>
      <c r="I23" s="105"/>
      <c r="J23" s="105"/>
      <c r="K23" s="185">
        <v>24000</v>
      </c>
      <c r="L23" s="181" t="s">
        <v>983</v>
      </c>
      <c r="M23" s="20">
        <f t="shared" si="0"/>
        <v>0</v>
      </c>
    </row>
    <row r="24" spans="1:13" x14ac:dyDescent="0.25">
      <c r="A24" s="180">
        <v>45922</v>
      </c>
      <c r="B24" s="181" t="s">
        <v>952</v>
      </c>
      <c r="C24" s="181" t="s">
        <v>953</v>
      </c>
      <c r="D24" s="182"/>
      <c r="E24" s="182"/>
      <c r="F24" s="183">
        <v>800</v>
      </c>
      <c r="G24" s="184">
        <v>800</v>
      </c>
      <c r="H24" s="94" t="s">
        <v>29</v>
      </c>
      <c r="I24" s="105"/>
      <c r="J24" s="105"/>
      <c r="K24" s="185">
        <v>800</v>
      </c>
      <c r="L24" s="181" t="s">
        <v>954</v>
      </c>
      <c r="M24" s="30">
        <f t="shared" si="0"/>
        <v>0</v>
      </c>
    </row>
    <row r="25" spans="1:13" x14ac:dyDescent="0.25">
      <c r="A25" s="180">
        <v>45922</v>
      </c>
      <c r="B25" s="181" t="s">
        <v>955</v>
      </c>
      <c r="C25" s="181" t="s">
        <v>873</v>
      </c>
      <c r="D25" s="182"/>
      <c r="E25" s="182"/>
      <c r="F25" s="183">
        <v>55000</v>
      </c>
      <c r="G25" s="184">
        <v>55000</v>
      </c>
      <c r="H25" s="94"/>
      <c r="I25" s="29">
        <v>28000</v>
      </c>
      <c r="J25" s="92" t="s">
        <v>982</v>
      </c>
      <c r="K25" s="185"/>
      <c r="L25" s="181"/>
      <c r="M25" s="30">
        <f t="shared" si="0"/>
        <v>27000</v>
      </c>
    </row>
    <row r="26" spans="1:13" x14ac:dyDescent="0.25">
      <c r="A26" s="180">
        <v>45922</v>
      </c>
      <c r="B26" s="181" t="s">
        <v>956</v>
      </c>
      <c r="C26" s="181" t="s">
        <v>957</v>
      </c>
      <c r="D26" s="182"/>
      <c r="E26" s="182"/>
      <c r="F26" s="183">
        <v>75000</v>
      </c>
      <c r="G26" s="184">
        <v>75000</v>
      </c>
      <c r="H26" s="94" t="s">
        <v>29</v>
      </c>
      <c r="I26" s="105"/>
      <c r="J26" s="105"/>
      <c r="K26" s="185">
        <v>75000</v>
      </c>
      <c r="L26" s="181" t="s">
        <v>1097</v>
      </c>
      <c r="M26" s="30">
        <f t="shared" si="0"/>
        <v>0</v>
      </c>
    </row>
    <row r="27" spans="1:13" x14ac:dyDescent="0.25">
      <c r="A27" s="180">
        <v>45922</v>
      </c>
      <c r="B27" s="181" t="s">
        <v>958</v>
      </c>
      <c r="C27" s="181" t="s">
        <v>573</v>
      </c>
      <c r="D27" s="182"/>
      <c r="E27" s="182"/>
      <c r="F27" s="183">
        <v>9500</v>
      </c>
      <c r="G27" s="184">
        <v>9500</v>
      </c>
      <c r="H27" s="94" t="s">
        <v>29</v>
      </c>
      <c r="I27" s="105"/>
      <c r="J27" s="105"/>
      <c r="K27" s="185">
        <v>9500</v>
      </c>
      <c r="L27" s="181" t="s">
        <v>1098</v>
      </c>
      <c r="M27" s="30">
        <f t="shared" si="0"/>
        <v>0</v>
      </c>
    </row>
    <row r="28" spans="1:13" x14ac:dyDescent="0.25">
      <c r="A28" s="180">
        <v>45929</v>
      </c>
      <c r="B28" s="181" t="s">
        <v>975</v>
      </c>
      <c r="C28" s="181" t="s">
        <v>573</v>
      </c>
      <c r="D28" s="182"/>
      <c r="E28" s="182"/>
      <c r="F28" s="183">
        <v>35000</v>
      </c>
      <c r="G28" s="184">
        <v>35000</v>
      </c>
      <c r="H28" s="94" t="s">
        <v>29</v>
      </c>
      <c r="I28" s="29">
        <v>17500</v>
      </c>
      <c r="J28" s="92" t="s">
        <v>976</v>
      </c>
      <c r="K28" s="185">
        <v>17500</v>
      </c>
      <c r="L28" s="181" t="s">
        <v>1199</v>
      </c>
      <c r="M28" s="30">
        <f t="shared" si="0"/>
        <v>0</v>
      </c>
    </row>
    <row r="29" spans="1:13" x14ac:dyDescent="0.25">
      <c r="A29" s="180">
        <v>45929</v>
      </c>
      <c r="B29" s="181" t="s">
        <v>977</v>
      </c>
      <c r="C29" s="181" t="s">
        <v>852</v>
      </c>
      <c r="D29" s="182"/>
      <c r="E29" s="182"/>
      <c r="F29" s="183">
        <v>15000</v>
      </c>
      <c r="G29" s="184">
        <v>15000</v>
      </c>
      <c r="H29" s="94" t="s">
        <v>29</v>
      </c>
      <c r="I29" s="105"/>
      <c r="J29" s="105"/>
      <c r="K29" s="185">
        <v>15000</v>
      </c>
      <c r="L29" s="181" t="s">
        <v>1073</v>
      </c>
      <c r="M29" s="30">
        <f t="shared" si="0"/>
        <v>0</v>
      </c>
    </row>
    <row r="30" spans="1:13" x14ac:dyDescent="0.25">
      <c r="A30" s="180">
        <v>45929</v>
      </c>
      <c r="B30" s="181" t="s">
        <v>978</v>
      </c>
      <c r="C30" s="181" t="s">
        <v>873</v>
      </c>
      <c r="D30" s="182"/>
      <c r="E30" s="182"/>
      <c r="F30" s="183">
        <v>130500</v>
      </c>
      <c r="G30" s="184">
        <v>130500</v>
      </c>
      <c r="H30" s="94" t="s">
        <v>29</v>
      </c>
      <c r="I30" s="105"/>
      <c r="J30" s="105"/>
      <c r="K30" s="185">
        <v>130500</v>
      </c>
      <c r="L30" s="181" t="s">
        <v>979</v>
      </c>
      <c r="M30" s="30">
        <f t="shared" si="0"/>
        <v>0</v>
      </c>
    </row>
    <row r="31" spans="1:13" x14ac:dyDescent="0.25">
      <c r="A31" s="180">
        <v>45929</v>
      </c>
      <c r="B31" s="181" t="s">
        <v>980</v>
      </c>
      <c r="C31" s="181" t="s">
        <v>183</v>
      </c>
      <c r="D31" s="182"/>
      <c r="E31" s="182"/>
      <c r="F31" s="183">
        <v>3500</v>
      </c>
      <c r="G31" s="184">
        <v>3500</v>
      </c>
      <c r="H31" s="94" t="s">
        <v>29</v>
      </c>
      <c r="I31" s="105"/>
      <c r="J31" s="105"/>
      <c r="K31" s="185">
        <v>3500</v>
      </c>
      <c r="L31" s="181" t="s">
        <v>981</v>
      </c>
      <c r="M31" s="30">
        <f t="shared" si="0"/>
        <v>0</v>
      </c>
    </row>
    <row r="32" spans="1:13" x14ac:dyDescent="0.25">
      <c r="A32" s="155"/>
      <c r="B32" s="156"/>
      <c r="C32" s="156"/>
      <c r="D32" s="157"/>
      <c r="E32" s="157"/>
      <c r="F32" s="157"/>
      <c r="G32" s="157"/>
      <c r="H32" s="113"/>
      <c r="I32" s="156"/>
      <c r="J32" s="156"/>
      <c r="K32" s="158"/>
      <c r="L32" s="158"/>
      <c r="M32" s="126"/>
    </row>
    <row r="33" spans="1:13" x14ac:dyDescent="0.25">
      <c r="A33" s="109">
        <v>45905</v>
      </c>
      <c r="B33" s="73" t="s">
        <v>894</v>
      </c>
      <c r="C33" s="73" t="s">
        <v>18</v>
      </c>
      <c r="D33" s="28"/>
      <c r="E33" s="28">
        <v>80000</v>
      </c>
      <c r="F33" s="73"/>
      <c r="G33" s="28">
        <v>80000</v>
      </c>
      <c r="H33" s="73"/>
      <c r="I33" s="28">
        <v>40000</v>
      </c>
      <c r="J33" s="58" t="s">
        <v>895</v>
      </c>
      <c r="M33" s="20">
        <f t="shared" si="0"/>
        <v>40000</v>
      </c>
    </row>
    <row r="34" spans="1:13" x14ac:dyDescent="0.25">
      <c r="A34" s="109">
        <v>45905</v>
      </c>
      <c r="B34" s="73" t="s">
        <v>897</v>
      </c>
      <c r="C34" s="73" t="s">
        <v>18</v>
      </c>
      <c r="D34" s="28"/>
      <c r="E34" s="28">
        <v>80000</v>
      </c>
      <c r="F34" s="73"/>
      <c r="G34" s="28">
        <v>80000</v>
      </c>
      <c r="H34" s="57" t="s">
        <v>29</v>
      </c>
      <c r="I34" s="28">
        <v>40000</v>
      </c>
      <c r="J34" s="58" t="s">
        <v>896</v>
      </c>
      <c r="K34" s="28">
        <v>40000</v>
      </c>
      <c r="L34" s="58" t="s">
        <v>1075</v>
      </c>
      <c r="M34" s="20">
        <f t="shared" si="0"/>
        <v>0</v>
      </c>
    </row>
    <row r="35" spans="1:13" x14ac:dyDescent="0.25">
      <c r="A35" s="117">
        <v>45908</v>
      </c>
      <c r="B35" s="92" t="s">
        <v>898</v>
      </c>
      <c r="C35" s="92" t="s">
        <v>873</v>
      </c>
      <c r="D35" s="29"/>
      <c r="E35" s="29">
        <v>93300</v>
      </c>
      <c r="F35" s="29"/>
      <c r="G35" s="29">
        <v>93300</v>
      </c>
      <c r="H35" s="94" t="s">
        <v>29</v>
      </c>
      <c r="I35" s="119">
        <v>46650</v>
      </c>
      <c r="J35" s="119" t="s">
        <v>899</v>
      </c>
      <c r="K35" s="119">
        <v>46650</v>
      </c>
      <c r="L35" s="119" t="s">
        <v>1027</v>
      </c>
      <c r="M35" s="20">
        <f t="shared" si="0"/>
        <v>0</v>
      </c>
    </row>
    <row r="36" spans="1:13" x14ac:dyDescent="0.25">
      <c r="A36" s="117">
        <v>45910</v>
      </c>
      <c r="B36" s="92" t="s">
        <v>900</v>
      </c>
      <c r="C36" s="92" t="s">
        <v>901</v>
      </c>
      <c r="D36" s="29"/>
      <c r="E36" s="29">
        <v>15000</v>
      </c>
      <c r="F36" s="29"/>
      <c r="G36" s="29">
        <v>15000</v>
      </c>
      <c r="H36" s="94" t="s">
        <v>29</v>
      </c>
      <c r="I36" s="105"/>
      <c r="J36" s="105"/>
      <c r="K36" s="119">
        <v>15000</v>
      </c>
      <c r="L36" s="119" t="s">
        <v>902</v>
      </c>
      <c r="M36" s="20">
        <f t="shared" si="0"/>
        <v>0</v>
      </c>
    </row>
    <row r="37" spans="1:13" x14ac:dyDescent="0.25">
      <c r="A37" s="117">
        <v>45911</v>
      </c>
      <c r="B37" s="92" t="s">
        <v>904</v>
      </c>
      <c r="C37" s="92" t="s">
        <v>905</v>
      </c>
      <c r="D37" s="29"/>
      <c r="E37" s="29">
        <v>1250</v>
      </c>
      <c r="F37" s="29"/>
      <c r="G37" s="29">
        <v>1250</v>
      </c>
      <c r="H37" s="94" t="s">
        <v>29</v>
      </c>
      <c r="I37" s="105"/>
      <c r="J37" s="105"/>
      <c r="K37" s="119">
        <v>1250</v>
      </c>
      <c r="L37" s="119" t="s">
        <v>906</v>
      </c>
      <c r="M37" s="20">
        <f t="shared" si="0"/>
        <v>0</v>
      </c>
    </row>
    <row r="38" spans="1:13" x14ac:dyDescent="0.25">
      <c r="A38" s="117">
        <v>45916</v>
      </c>
      <c r="B38" s="92" t="s">
        <v>924</v>
      </c>
      <c r="C38" s="92" t="s">
        <v>18</v>
      </c>
      <c r="D38" s="29"/>
      <c r="E38" s="29">
        <v>94000</v>
      </c>
      <c r="F38" s="29"/>
      <c r="G38" s="29">
        <v>94000</v>
      </c>
      <c r="H38" s="94" t="s">
        <v>29</v>
      </c>
      <c r="I38" s="29">
        <v>44000</v>
      </c>
      <c r="J38" s="92" t="s">
        <v>1149</v>
      </c>
      <c r="K38" s="119">
        <v>50000</v>
      </c>
      <c r="L38" s="119" t="s">
        <v>1213</v>
      </c>
      <c r="M38" s="20">
        <f t="shared" si="0"/>
        <v>0</v>
      </c>
    </row>
    <row r="39" spans="1:13" x14ac:dyDescent="0.25">
      <c r="A39" s="117">
        <v>45916</v>
      </c>
      <c r="B39" s="92" t="s">
        <v>925</v>
      </c>
      <c r="C39" s="92" t="s">
        <v>18</v>
      </c>
      <c r="D39" s="29"/>
      <c r="E39" s="29">
        <v>94000</v>
      </c>
      <c r="F39" s="29"/>
      <c r="G39" s="29">
        <v>94000</v>
      </c>
      <c r="H39" s="94" t="s">
        <v>29</v>
      </c>
      <c r="I39" s="28">
        <v>44000</v>
      </c>
      <c r="J39" s="73" t="s">
        <v>1150</v>
      </c>
      <c r="K39" s="119">
        <v>50000</v>
      </c>
      <c r="L39" s="119" t="s">
        <v>1214</v>
      </c>
      <c r="M39" s="20">
        <f t="shared" si="0"/>
        <v>0</v>
      </c>
    </row>
    <row r="40" spans="1:13" x14ac:dyDescent="0.25">
      <c r="A40" s="117">
        <v>45925</v>
      </c>
      <c r="B40" s="92" t="s">
        <v>972</v>
      </c>
      <c r="C40" s="92" t="s">
        <v>973</v>
      </c>
      <c r="D40" s="29"/>
      <c r="E40" s="29">
        <v>54500</v>
      </c>
      <c r="F40" s="29"/>
      <c r="G40" s="29">
        <v>54500</v>
      </c>
      <c r="H40" s="94"/>
      <c r="I40" s="28">
        <v>27250</v>
      </c>
      <c r="J40" s="73" t="s">
        <v>974</v>
      </c>
      <c r="K40" s="119">
        <v>27250</v>
      </c>
      <c r="L40" s="119" t="s">
        <v>1254</v>
      </c>
      <c r="M40" s="20">
        <f t="shared" si="0"/>
        <v>0</v>
      </c>
    </row>
    <row r="41" spans="1:13" x14ac:dyDescent="0.25">
      <c r="A41" s="160"/>
      <c r="B41" s="161"/>
      <c r="C41" s="161"/>
      <c r="D41" s="162"/>
      <c r="E41" s="163"/>
      <c r="F41" s="163"/>
      <c r="G41" s="163"/>
      <c r="H41" s="164"/>
      <c r="I41" s="161"/>
      <c r="J41" s="161"/>
      <c r="K41" s="165" t="s">
        <v>701</v>
      </c>
      <c r="L41" s="165"/>
      <c r="M41" s="166"/>
    </row>
    <row r="42" spans="1:13" x14ac:dyDescent="0.25">
      <c r="A42" s="109">
        <v>45901</v>
      </c>
      <c r="B42" s="73" t="s">
        <v>853</v>
      </c>
      <c r="C42" s="73" t="s">
        <v>392</v>
      </c>
      <c r="D42" s="28">
        <v>28500</v>
      </c>
      <c r="E42" s="56"/>
      <c r="F42" s="56"/>
      <c r="G42" s="56">
        <v>28500</v>
      </c>
      <c r="H42" s="94" t="s">
        <v>29</v>
      </c>
      <c r="I42" s="105"/>
      <c r="J42" s="105"/>
      <c r="K42" s="58">
        <v>28500</v>
      </c>
      <c r="L42" s="58" t="s">
        <v>869</v>
      </c>
      <c r="M42" s="20">
        <f t="shared" si="0"/>
        <v>0</v>
      </c>
    </row>
    <row r="43" spans="1:13" x14ac:dyDescent="0.25">
      <c r="A43" s="109">
        <v>45901</v>
      </c>
      <c r="B43" s="73" t="s">
        <v>855</v>
      </c>
      <c r="C43" s="73" t="s">
        <v>852</v>
      </c>
      <c r="D43" s="28">
        <v>6500</v>
      </c>
      <c r="E43" s="56"/>
      <c r="F43" s="56"/>
      <c r="G43" s="56">
        <v>6500</v>
      </c>
      <c r="H43" s="94" t="s">
        <v>29</v>
      </c>
      <c r="I43" s="105"/>
      <c r="J43" s="105"/>
      <c r="K43" s="58">
        <v>6500</v>
      </c>
      <c r="L43" s="58" t="s">
        <v>1130</v>
      </c>
      <c r="M43" s="20">
        <f t="shared" si="0"/>
        <v>0</v>
      </c>
    </row>
    <row r="44" spans="1:13" x14ac:dyDescent="0.25">
      <c r="A44" s="109">
        <v>45901</v>
      </c>
      <c r="B44" s="73" t="s">
        <v>854</v>
      </c>
      <c r="C44" s="73" t="s">
        <v>852</v>
      </c>
      <c r="D44" s="28">
        <v>6500</v>
      </c>
      <c r="E44" s="56"/>
      <c r="F44" s="56"/>
      <c r="G44" s="56">
        <v>6500</v>
      </c>
      <c r="H44" s="94" t="s">
        <v>29</v>
      </c>
      <c r="I44" s="105"/>
      <c r="J44" s="105"/>
      <c r="K44" s="58">
        <v>6500</v>
      </c>
      <c r="L44" s="58" t="s">
        <v>1133</v>
      </c>
      <c r="M44" s="20">
        <f t="shared" si="0"/>
        <v>0</v>
      </c>
    </row>
    <row r="45" spans="1:13" x14ac:dyDescent="0.25">
      <c r="A45" s="109">
        <v>45901</v>
      </c>
      <c r="B45" s="73" t="s">
        <v>856</v>
      </c>
      <c r="C45" s="73" t="s">
        <v>852</v>
      </c>
      <c r="D45" s="28">
        <v>6500</v>
      </c>
      <c r="E45" s="56"/>
      <c r="F45" s="56"/>
      <c r="G45" s="56">
        <v>6500</v>
      </c>
      <c r="H45" s="94" t="s">
        <v>29</v>
      </c>
      <c r="I45" s="105"/>
      <c r="J45" s="105"/>
      <c r="K45" s="58">
        <v>6500</v>
      </c>
      <c r="L45" s="58" t="s">
        <v>1134</v>
      </c>
      <c r="M45" s="20">
        <f t="shared" si="0"/>
        <v>0</v>
      </c>
    </row>
    <row r="46" spans="1:13" x14ac:dyDescent="0.25">
      <c r="A46" s="109">
        <v>45901</v>
      </c>
      <c r="B46" s="73" t="s">
        <v>1062</v>
      </c>
      <c r="C46" s="73" t="s">
        <v>857</v>
      </c>
      <c r="D46" s="28">
        <v>13000</v>
      </c>
      <c r="E46" s="56"/>
      <c r="F46" s="56"/>
      <c r="G46" s="56">
        <v>13000</v>
      </c>
      <c r="H46" s="94" t="s">
        <v>29</v>
      </c>
      <c r="I46" s="105"/>
      <c r="J46" s="105"/>
      <c r="K46" s="58">
        <v>13000</v>
      </c>
      <c r="L46" s="58" t="s">
        <v>1132</v>
      </c>
      <c r="M46" s="20">
        <f t="shared" si="0"/>
        <v>0</v>
      </c>
    </row>
    <row r="47" spans="1:13" x14ac:dyDescent="0.25">
      <c r="A47" s="109">
        <v>45902</v>
      </c>
      <c r="B47" s="73" t="s">
        <v>863</v>
      </c>
      <c r="C47" s="73" t="s">
        <v>911</v>
      </c>
      <c r="D47" s="28">
        <v>417000</v>
      </c>
      <c r="E47" s="56"/>
      <c r="F47" s="56"/>
      <c r="G47" s="56">
        <v>417000</v>
      </c>
      <c r="H47" s="57"/>
      <c r="I47" s="56">
        <v>208500</v>
      </c>
      <c r="J47" s="45" t="s">
        <v>936</v>
      </c>
      <c r="K47" s="58"/>
      <c r="L47" s="58"/>
      <c r="M47" s="20">
        <f t="shared" si="0"/>
        <v>208500</v>
      </c>
    </row>
    <row r="48" spans="1:13" x14ac:dyDescent="0.25">
      <c r="A48" s="109">
        <v>45902</v>
      </c>
      <c r="B48" s="73" t="s">
        <v>864</v>
      </c>
      <c r="C48" s="73" t="s">
        <v>911</v>
      </c>
      <c r="D48" s="28">
        <v>455000</v>
      </c>
      <c r="E48" s="56"/>
      <c r="F48" s="56"/>
      <c r="G48" s="56">
        <v>455000</v>
      </c>
      <c r="H48" s="57"/>
      <c r="I48" s="56">
        <v>227500</v>
      </c>
      <c r="J48" s="45" t="s">
        <v>937</v>
      </c>
      <c r="K48" s="58"/>
      <c r="L48" s="58"/>
      <c r="M48" s="20">
        <f t="shared" si="0"/>
        <v>227500</v>
      </c>
    </row>
    <row r="49" spans="1:13" x14ac:dyDescent="0.25">
      <c r="A49" s="109">
        <v>45904</v>
      </c>
      <c r="B49" s="73" t="s">
        <v>914</v>
      </c>
      <c r="C49" s="73" t="s">
        <v>915</v>
      </c>
      <c r="D49" s="28">
        <v>231000</v>
      </c>
      <c r="E49" s="56"/>
      <c r="F49" s="56"/>
      <c r="G49" s="56">
        <v>231000</v>
      </c>
      <c r="H49" s="57"/>
      <c r="I49" s="56">
        <v>115500</v>
      </c>
      <c r="J49" s="179" t="s">
        <v>916</v>
      </c>
      <c r="K49" s="58">
        <v>57750</v>
      </c>
      <c r="L49" s="58" t="s">
        <v>1311</v>
      </c>
      <c r="M49" s="20">
        <f t="shared" si="0"/>
        <v>57750</v>
      </c>
    </row>
    <row r="50" spans="1:13" x14ac:dyDescent="0.25">
      <c r="A50" s="109">
        <v>45925</v>
      </c>
      <c r="B50" s="73" t="s">
        <v>917</v>
      </c>
      <c r="C50" s="73" t="s">
        <v>918</v>
      </c>
      <c r="D50" s="28">
        <v>2500</v>
      </c>
      <c r="E50" s="56"/>
      <c r="F50" s="56"/>
      <c r="G50" s="56">
        <v>2500</v>
      </c>
      <c r="H50" s="94" t="s">
        <v>29</v>
      </c>
      <c r="I50" s="105"/>
      <c r="J50" s="105"/>
      <c r="K50" s="58">
        <v>2500</v>
      </c>
      <c r="L50" s="58" t="s">
        <v>919</v>
      </c>
      <c r="M50" s="20">
        <f t="shared" si="0"/>
        <v>0</v>
      </c>
    </row>
    <row r="51" spans="1:13" x14ac:dyDescent="0.25">
      <c r="A51" s="109">
        <v>45915</v>
      </c>
      <c r="B51" s="73" t="s">
        <v>920</v>
      </c>
      <c r="C51" s="73" t="s">
        <v>921</v>
      </c>
      <c r="D51" s="28">
        <v>1250</v>
      </c>
      <c r="E51" s="56"/>
      <c r="F51" s="56"/>
      <c r="G51" s="56">
        <v>1250</v>
      </c>
      <c r="H51" s="94" t="s">
        <v>29</v>
      </c>
      <c r="I51" s="105"/>
      <c r="J51" s="105"/>
      <c r="K51" s="58">
        <v>1250</v>
      </c>
      <c r="L51" s="58" t="s">
        <v>922</v>
      </c>
      <c r="M51" s="20">
        <f t="shared" si="0"/>
        <v>0</v>
      </c>
    </row>
    <row r="52" spans="1:13" x14ac:dyDescent="0.25">
      <c r="A52" s="109">
        <v>45917</v>
      </c>
      <c r="B52" s="73" t="s">
        <v>1113</v>
      </c>
      <c r="C52" s="73" t="s">
        <v>926</v>
      </c>
      <c r="D52" s="28">
        <v>25000</v>
      </c>
      <c r="E52" s="56"/>
      <c r="F52" s="56"/>
      <c r="G52" s="56">
        <v>25000</v>
      </c>
      <c r="H52" s="94" t="s">
        <v>29</v>
      </c>
      <c r="I52" s="105"/>
      <c r="J52" s="105"/>
      <c r="K52" s="58">
        <v>25000</v>
      </c>
      <c r="L52" s="58" t="s">
        <v>1068</v>
      </c>
      <c r="M52" s="20">
        <f t="shared" si="0"/>
        <v>0</v>
      </c>
    </row>
    <row r="53" spans="1:13" x14ac:dyDescent="0.25">
      <c r="A53" s="109">
        <v>45917</v>
      </c>
      <c r="B53" s="73" t="s">
        <v>1114</v>
      </c>
      <c r="C53" s="73" t="s">
        <v>927</v>
      </c>
      <c r="D53" s="28">
        <v>25000</v>
      </c>
      <c r="E53" s="56"/>
      <c r="F53" s="56"/>
      <c r="G53" s="56">
        <v>25000</v>
      </c>
      <c r="H53" s="94" t="s">
        <v>29</v>
      </c>
      <c r="I53" s="105"/>
      <c r="J53" s="105"/>
      <c r="K53" s="58">
        <v>25000</v>
      </c>
      <c r="L53" s="58" t="s">
        <v>1069</v>
      </c>
      <c r="M53" s="20">
        <f t="shared" si="0"/>
        <v>0</v>
      </c>
    </row>
    <row r="54" spans="1:13" x14ac:dyDescent="0.25">
      <c r="A54" s="109">
        <v>45917</v>
      </c>
      <c r="B54" s="73" t="s">
        <v>944</v>
      </c>
      <c r="C54" s="73" t="s">
        <v>784</v>
      </c>
      <c r="D54" s="28">
        <v>69700</v>
      </c>
      <c r="E54" s="56"/>
      <c r="F54" s="56"/>
      <c r="G54" s="56">
        <v>69700</v>
      </c>
      <c r="H54" s="57" t="s">
        <v>29</v>
      </c>
      <c r="I54" s="56">
        <v>34850</v>
      </c>
      <c r="J54" s="45" t="s">
        <v>963</v>
      </c>
      <c r="K54" s="58">
        <v>34850</v>
      </c>
      <c r="L54" s="58" t="s">
        <v>1232</v>
      </c>
      <c r="M54" s="20">
        <f t="shared" si="0"/>
        <v>0</v>
      </c>
    </row>
    <row r="55" spans="1:13" x14ac:dyDescent="0.25">
      <c r="A55" s="146">
        <v>45922</v>
      </c>
      <c r="B55" s="143" t="s">
        <v>959</v>
      </c>
      <c r="C55" s="143" t="s">
        <v>34</v>
      </c>
      <c r="D55" s="142">
        <v>12500</v>
      </c>
      <c r="E55" s="56"/>
      <c r="F55" s="56"/>
      <c r="G55" s="56">
        <v>12500</v>
      </c>
      <c r="H55" s="94" t="s">
        <v>29</v>
      </c>
      <c r="I55" s="105"/>
      <c r="J55" s="105"/>
      <c r="K55" s="58">
        <v>12500</v>
      </c>
      <c r="L55" s="58" t="s">
        <v>1248</v>
      </c>
      <c r="M55" s="20">
        <f t="shared" si="0"/>
        <v>0</v>
      </c>
    </row>
    <row r="56" spans="1:13" x14ac:dyDescent="0.25">
      <c r="A56" s="146">
        <v>45922</v>
      </c>
      <c r="B56" s="143" t="s">
        <v>960</v>
      </c>
      <c r="C56" s="143" t="s">
        <v>961</v>
      </c>
      <c r="D56" s="142">
        <v>6500</v>
      </c>
      <c r="E56" s="56"/>
      <c r="F56" s="56"/>
      <c r="G56" s="142">
        <v>6500</v>
      </c>
      <c r="H56" s="94" t="s">
        <v>29</v>
      </c>
      <c r="I56" s="105"/>
      <c r="J56" s="105"/>
      <c r="K56" s="58">
        <v>6500</v>
      </c>
      <c r="L56" s="58" t="s">
        <v>1300</v>
      </c>
      <c r="M56" s="20">
        <f t="shared" si="0"/>
        <v>0</v>
      </c>
    </row>
    <row r="57" spans="1:13" x14ac:dyDescent="0.25">
      <c r="A57" s="146">
        <v>45924</v>
      </c>
      <c r="B57" s="143" t="s">
        <v>966</v>
      </c>
      <c r="C57" s="143" t="s">
        <v>18</v>
      </c>
      <c r="D57" s="142">
        <v>95200</v>
      </c>
      <c r="E57" s="56"/>
      <c r="F57" s="56"/>
      <c r="G57" s="142">
        <v>95200</v>
      </c>
      <c r="H57" s="94" t="s">
        <v>29</v>
      </c>
      <c r="I57" s="56">
        <v>47600</v>
      </c>
      <c r="J57" s="45" t="s">
        <v>967</v>
      </c>
      <c r="K57" s="58">
        <v>47600</v>
      </c>
      <c r="L57" s="58" t="s">
        <v>1172</v>
      </c>
      <c r="M57" s="20">
        <f t="shared" si="0"/>
        <v>0</v>
      </c>
    </row>
    <row r="58" spans="1:13" x14ac:dyDescent="0.25">
      <c r="A58" s="109">
        <v>45929</v>
      </c>
      <c r="B58" s="73" t="s">
        <v>968</v>
      </c>
      <c r="C58" s="73" t="s">
        <v>969</v>
      </c>
      <c r="D58" s="28">
        <v>28500</v>
      </c>
      <c r="E58" s="56"/>
      <c r="F58" s="56"/>
      <c r="G58" s="56">
        <v>28500</v>
      </c>
      <c r="H58" s="94" t="s">
        <v>29</v>
      </c>
      <c r="I58" s="105"/>
      <c r="J58" s="105"/>
      <c r="K58" s="58">
        <v>28500</v>
      </c>
      <c r="L58" s="58" t="s">
        <v>970</v>
      </c>
      <c r="M58" s="20">
        <f t="shared" si="0"/>
        <v>0</v>
      </c>
    </row>
    <row r="59" spans="1:13" x14ac:dyDescent="0.25">
      <c r="A59" s="109">
        <v>45929</v>
      </c>
      <c r="B59" s="73" t="s">
        <v>1292</v>
      </c>
      <c r="C59" s="73" t="s">
        <v>653</v>
      </c>
      <c r="D59" s="28">
        <v>30000</v>
      </c>
      <c r="E59" s="56"/>
      <c r="F59" s="56"/>
      <c r="G59" s="56">
        <v>30000</v>
      </c>
      <c r="H59" s="94" t="s">
        <v>29</v>
      </c>
      <c r="I59" s="105"/>
      <c r="J59" s="105"/>
      <c r="K59" s="58">
        <v>30000</v>
      </c>
      <c r="L59" s="58" t="s">
        <v>1335</v>
      </c>
      <c r="M59" s="20">
        <f t="shared" si="0"/>
        <v>0</v>
      </c>
    </row>
    <row r="60" spans="1:13" x14ac:dyDescent="0.25">
      <c r="A60" s="109">
        <v>45930</v>
      </c>
      <c r="B60" s="73" t="s">
        <v>971</v>
      </c>
      <c r="C60" s="73" t="s">
        <v>25</v>
      </c>
      <c r="D60" s="28">
        <v>89000</v>
      </c>
      <c r="E60" s="56"/>
      <c r="F60" s="56"/>
      <c r="G60" s="56">
        <v>89000</v>
      </c>
      <c r="H60" s="94" t="s">
        <v>29</v>
      </c>
      <c r="I60" s="28">
        <v>44500</v>
      </c>
      <c r="J60" s="73" t="s">
        <v>1084</v>
      </c>
      <c r="K60" s="58">
        <v>44500</v>
      </c>
      <c r="L60" s="58" t="s">
        <v>1334</v>
      </c>
      <c r="M60" s="20">
        <f t="shared" si="0"/>
        <v>0</v>
      </c>
    </row>
    <row r="61" spans="1:13" x14ac:dyDescent="0.25">
      <c r="A61" s="127"/>
      <c r="B61" s="127"/>
      <c r="C61" s="127"/>
      <c r="D61" s="128"/>
      <c r="E61" s="128"/>
      <c r="F61" s="128"/>
      <c r="G61" s="127"/>
      <c r="H61" s="129"/>
      <c r="I61" s="127"/>
      <c r="J61" s="127"/>
      <c r="K61" s="127"/>
      <c r="L61" s="127"/>
      <c r="M61" s="127"/>
    </row>
    <row r="62" spans="1:13" x14ac:dyDescent="0.25">
      <c r="F62" s="116"/>
      <c r="H62" s="118"/>
    </row>
    <row r="63" spans="1:13" x14ac:dyDescent="0.25">
      <c r="F63" s="116"/>
      <c r="H63" s="118"/>
    </row>
    <row r="64" spans="1:13" x14ac:dyDescent="0.25">
      <c r="F64" s="116"/>
      <c r="H64" s="118"/>
    </row>
    <row r="65" spans="6:8" x14ac:dyDescent="0.25">
      <c r="F65" s="116"/>
      <c r="H65" s="118"/>
    </row>
    <row r="66" spans="6:8" x14ac:dyDescent="0.25">
      <c r="F66" s="116"/>
      <c r="H66" s="118"/>
    </row>
    <row r="67" spans="6:8" x14ac:dyDescent="0.25">
      <c r="F67" s="116"/>
      <c r="H67" s="118"/>
    </row>
    <row r="68" spans="6:8" x14ac:dyDescent="0.25">
      <c r="F68" s="116"/>
      <c r="H68" s="118"/>
    </row>
    <row r="69" spans="6:8" x14ac:dyDescent="0.25">
      <c r="F69" s="116"/>
      <c r="H69" s="118"/>
    </row>
    <row r="70" spans="6:8" x14ac:dyDescent="0.25">
      <c r="F70" s="116"/>
      <c r="H70" s="118"/>
    </row>
    <row r="71" spans="6:8" x14ac:dyDescent="0.25">
      <c r="F71" s="116"/>
      <c r="H71" s="118"/>
    </row>
    <row r="72" spans="6:8" x14ac:dyDescent="0.25">
      <c r="F72" s="116"/>
      <c r="H72" s="118"/>
    </row>
    <row r="73" spans="6:8" x14ac:dyDescent="0.25">
      <c r="F73" s="116"/>
      <c r="H73" s="118"/>
    </row>
    <row r="74" spans="6:8" x14ac:dyDescent="0.25">
      <c r="F74" s="116"/>
      <c r="H74" s="118"/>
    </row>
    <row r="75" spans="6:8" x14ac:dyDescent="0.25">
      <c r="F75" s="116"/>
      <c r="H75" s="118"/>
    </row>
    <row r="76" spans="6:8" x14ac:dyDescent="0.25">
      <c r="F76" s="116"/>
      <c r="H76" s="118"/>
    </row>
    <row r="77" spans="6:8" x14ac:dyDescent="0.25">
      <c r="F77" s="116"/>
      <c r="H77" s="118"/>
    </row>
    <row r="78" spans="6:8" x14ac:dyDescent="0.25">
      <c r="H78" s="118"/>
    </row>
    <row r="79" spans="6:8" x14ac:dyDescent="0.25">
      <c r="H79" s="118"/>
    </row>
    <row r="80" spans="6:8" x14ac:dyDescent="0.25">
      <c r="H80" s="118"/>
    </row>
    <row r="81" spans="8:8" x14ac:dyDescent="0.25">
      <c r="H81" s="11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9A2D1-2418-4C35-B256-D900C6AC4DDE}">
  <dimension ref="A1:M88"/>
  <sheetViews>
    <sheetView topLeftCell="A54" workbookViewId="0">
      <selection activeCell="C64" sqref="C64"/>
    </sheetView>
  </sheetViews>
  <sheetFormatPr defaultRowHeight="15" x14ac:dyDescent="0.25"/>
  <cols>
    <col min="1" max="1" width="9.28515625" customWidth="1"/>
    <col min="2" max="2" width="54.7109375" customWidth="1"/>
    <col min="3" max="3" width="46.140625" customWidth="1"/>
    <col min="4" max="4" width="12.42578125" style="116" customWidth="1"/>
    <col min="5" max="5" width="14.42578125" style="116" customWidth="1"/>
    <col min="6" max="6" width="13.42578125" customWidth="1"/>
    <col min="7" max="7" width="14.85546875" customWidth="1"/>
    <col min="8" max="8" width="10" customWidth="1"/>
    <col min="9" max="9" width="11.5703125" customWidth="1"/>
    <col min="10" max="10" width="11.85546875" customWidth="1"/>
    <col min="11" max="11" width="12.7109375" customWidth="1"/>
    <col min="12" max="12" width="15.28515625" customWidth="1"/>
    <col min="13" max="13" width="15.140625" customWidth="1"/>
  </cols>
  <sheetData>
    <row r="1" spans="1:13" x14ac:dyDescent="0.25">
      <c r="A1" s="1" t="s">
        <v>0</v>
      </c>
      <c r="B1" s="2"/>
      <c r="C1" s="3"/>
      <c r="D1" s="66"/>
      <c r="E1" s="66"/>
      <c r="F1" s="43"/>
      <c r="G1" s="43"/>
      <c r="H1" s="4"/>
      <c r="I1" s="36"/>
      <c r="J1" s="36"/>
      <c r="K1" s="5"/>
    </row>
    <row r="2" spans="1:13" x14ac:dyDescent="0.25">
      <c r="A2" s="1" t="s">
        <v>1</v>
      </c>
      <c r="B2" s="2"/>
      <c r="C2" s="3"/>
      <c r="D2" s="66"/>
      <c r="E2" s="66"/>
      <c r="F2" s="43"/>
      <c r="G2" s="43"/>
      <c r="H2" s="4"/>
      <c r="I2" s="36"/>
      <c r="J2" s="36"/>
      <c r="K2" s="5"/>
    </row>
    <row r="3" spans="1:13" x14ac:dyDescent="0.25">
      <c r="A3" s="1"/>
      <c r="B3" s="2"/>
      <c r="C3" s="3"/>
      <c r="D3" s="66"/>
      <c r="E3" s="66"/>
      <c r="F3" s="43"/>
      <c r="G3" s="43"/>
      <c r="H3" s="4"/>
      <c r="I3" s="36"/>
      <c r="J3" s="36"/>
      <c r="K3" s="5"/>
    </row>
    <row r="4" spans="1:13" x14ac:dyDescent="0.25">
      <c r="A4" s="6"/>
      <c r="B4" s="2" t="s">
        <v>2</v>
      </c>
      <c r="C4" s="3"/>
      <c r="D4" s="66"/>
      <c r="E4" s="66"/>
      <c r="F4" s="43"/>
      <c r="G4" s="43"/>
      <c r="H4" s="4"/>
      <c r="I4" s="36"/>
      <c r="J4" s="36"/>
      <c r="K4" s="5"/>
    </row>
    <row r="5" spans="1:13" ht="15.75" thickBot="1" x14ac:dyDescent="0.3">
      <c r="A5" s="7"/>
      <c r="B5" s="8" t="s">
        <v>3</v>
      </c>
      <c r="C5" s="5"/>
      <c r="D5" s="67"/>
      <c r="E5" s="67"/>
      <c r="F5" s="37"/>
      <c r="G5" s="37"/>
      <c r="H5" s="9"/>
      <c r="I5" s="37"/>
      <c r="J5" s="37"/>
      <c r="K5" s="5"/>
    </row>
    <row r="6" spans="1:13" ht="25.5" x14ac:dyDescent="0.25">
      <c r="A6" s="10" t="s">
        <v>4</v>
      </c>
      <c r="B6" s="11" t="s">
        <v>5</v>
      </c>
      <c r="C6" s="12" t="s">
        <v>6</v>
      </c>
      <c r="D6" s="68"/>
      <c r="E6" s="120"/>
      <c r="F6" s="14"/>
      <c r="G6" s="15" t="s">
        <v>7</v>
      </c>
      <c r="H6" s="46" t="s">
        <v>8</v>
      </c>
      <c r="I6" s="16" t="s">
        <v>9</v>
      </c>
      <c r="J6" s="16" t="s">
        <v>10</v>
      </c>
      <c r="K6" s="16" t="s">
        <v>9</v>
      </c>
      <c r="L6" s="16" t="s">
        <v>10</v>
      </c>
      <c r="M6" s="17"/>
    </row>
    <row r="7" spans="1:13" ht="15.75" thickBot="1" x14ac:dyDescent="0.3">
      <c r="A7" s="21"/>
      <c r="B7" s="22"/>
      <c r="C7" s="23"/>
      <c r="D7" s="69" t="s">
        <v>11</v>
      </c>
      <c r="E7" s="69" t="s">
        <v>12</v>
      </c>
      <c r="F7" s="24" t="s">
        <v>13</v>
      </c>
      <c r="G7" s="25"/>
      <c r="H7" s="26"/>
      <c r="I7" s="27" t="s">
        <v>14</v>
      </c>
      <c r="J7" s="27" t="s">
        <v>14</v>
      </c>
      <c r="K7" s="18" t="s">
        <v>15</v>
      </c>
      <c r="L7" s="18" t="s">
        <v>15</v>
      </c>
      <c r="M7" s="19" t="s">
        <v>16</v>
      </c>
    </row>
    <row r="8" spans="1:13" x14ac:dyDescent="0.25">
      <c r="A8" s="130" t="s">
        <v>997</v>
      </c>
      <c r="B8" s="131"/>
      <c r="C8" s="131"/>
      <c r="D8" s="132">
        <f>SUM(D28:D1043)</f>
        <v>811500</v>
      </c>
      <c r="E8" s="132">
        <f>SUM(E29:E39)</f>
        <v>422250</v>
      </c>
      <c r="F8" s="132">
        <f>SUM(F9:F18)</f>
        <v>205500</v>
      </c>
      <c r="G8" s="91">
        <f>SUM(D8:F8)</f>
        <v>1439250</v>
      </c>
      <c r="H8" s="131"/>
      <c r="I8" s="150"/>
      <c r="J8" s="150"/>
      <c r="K8" s="150"/>
      <c r="L8" s="150"/>
      <c r="M8" s="20">
        <f>SUM(M9:M67)</f>
        <v>358750</v>
      </c>
    </row>
    <row r="9" spans="1:13" x14ac:dyDescent="0.25">
      <c r="A9" s="186">
        <v>45932</v>
      </c>
      <c r="B9" s="178" t="s">
        <v>998</v>
      </c>
      <c r="C9" s="178" t="s">
        <v>852</v>
      </c>
      <c r="D9" s="174"/>
      <c r="E9" s="174"/>
      <c r="F9" s="174">
        <v>15000</v>
      </c>
      <c r="G9" s="175">
        <v>15000</v>
      </c>
      <c r="H9" s="94" t="s">
        <v>29</v>
      </c>
      <c r="I9" s="105"/>
      <c r="J9" s="105"/>
      <c r="K9" s="177">
        <v>15000</v>
      </c>
      <c r="L9" s="148" t="s">
        <v>1064</v>
      </c>
      <c r="M9" s="20">
        <f t="shared" ref="M9:M61" si="0">SUM(G9-I9-K9)</f>
        <v>0</v>
      </c>
    </row>
    <row r="10" spans="1:13" x14ac:dyDescent="0.25">
      <c r="A10" s="186">
        <v>45937</v>
      </c>
      <c r="B10" s="178" t="s">
        <v>1022</v>
      </c>
      <c r="C10" s="178" t="s">
        <v>1023</v>
      </c>
      <c r="D10" s="174"/>
      <c r="E10" s="174"/>
      <c r="F10" s="174">
        <v>2000</v>
      </c>
      <c r="G10" s="175">
        <v>2000</v>
      </c>
      <c r="H10" s="94" t="s">
        <v>29</v>
      </c>
      <c r="I10" s="105"/>
      <c r="J10" s="105"/>
      <c r="K10" s="177">
        <v>2000</v>
      </c>
      <c r="L10" s="178" t="s">
        <v>1078</v>
      </c>
      <c r="M10" s="20">
        <f t="shared" si="0"/>
        <v>0</v>
      </c>
    </row>
    <row r="11" spans="1:13" x14ac:dyDescent="0.25">
      <c r="A11" s="186">
        <v>45938</v>
      </c>
      <c r="B11" s="178" t="s">
        <v>1031</v>
      </c>
      <c r="C11" s="178" t="s">
        <v>325</v>
      </c>
      <c r="D11" s="174"/>
      <c r="E11" s="174"/>
      <c r="F11" s="174">
        <v>37500</v>
      </c>
      <c r="G11" s="175">
        <v>37500</v>
      </c>
      <c r="H11" s="94" t="s">
        <v>29</v>
      </c>
      <c r="I11" s="105"/>
      <c r="J11" s="105"/>
      <c r="K11" s="177">
        <v>37500</v>
      </c>
      <c r="L11" s="178" t="s">
        <v>1066</v>
      </c>
      <c r="M11" s="20">
        <f t="shared" si="0"/>
        <v>0</v>
      </c>
    </row>
    <row r="12" spans="1:13" x14ac:dyDescent="0.25">
      <c r="A12" s="186">
        <v>45938</v>
      </c>
      <c r="B12" s="178" t="s">
        <v>1032</v>
      </c>
      <c r="C12" s="178" t="s">
        <v>325</v>
      </c>
      <c r="D12" s="174"/>
      <c r="E12" s="174"/>
      <c r="F12" s="174">
        <v>37500</v>
      </c>
      <c r="G12" s="175">
        <v>37500</v>
      </c>
      <c r="H12" s="94" t="s">
        <v>29</v>
      </c>
      <c r="I12" s="105"/>
      <c r="J12" s="105"/>
      <c r="K12" s="177">
        <v>37500</v>
      </c>
      <c r="L12" s="178" t="s">
        <v>1065</v>
      </c>
      <c r="M12" s="20">
        <f t="shared" si="0"/>
        <v>0</v>
      </c>
    </row>
    <row r="13" spans="1:13" x14ac:dyDescent="0.25">
      <c r="A13" s="186">
        <v>45938</v>
      </c>
      <c r="B13" s="178" t="s">
        <v>1033</v>
      </c>
      <c r="C13" s="178" t="s">
        <v>1034</v>
      </c>
      <c r="D13" s="174"/>
      <c r="E13" s="174"/>
      <c r="F13" s="174">
        <v>19500</v>
      </c>
      <c r="G13" s="175">
        <v>19500</v>
      </c>
      <c r="H13" s="94" t="s">
        <v>29</v>
      </c>
      <c r="I13" s="105"/>
      <c r="J13" s="105"/>
      <c r="K13" s="177">
        <v>19500</v>
      </c>
      <c r="L13" s="178" t="s">
        <v>1035</v>
      </c>
      <c r="M13" s="20">
        <f t="shared" si="0"/>
        <v>0</v>
      </c>
    </row>
    <row r="14" spans="1:13" x14ac:dyDescent="0.25">
      <c r="A14" s="186">
        <v>45938</v>
      </c>
      <c r="B14" s="178" t="s">
        <v>1039</v>
      </c>
      <c r="C14" s="178" t="s">
        <v>95</v>
      </c>
      <c r="D14" s="174"/>
      <c r="E14" s="174"/>
      <c r="F14" s="174">
        <v>2500</v>
      </c>
      <c r="G14" s="175">
        <v>2500</v>
      </c>
      <c r="H14" s="94" t="s">
        <v>29</v>
      </c>
      <c r="I14" s="105"/>
      <c r="J14" s="105"/>
      <c r="K14" s="177">
        <v>2500</v>
      </c>
      <c r="L14" s="178" t="s">
        <v>1040</v>
      </c>
      <c r="M14" s="20">
        <f t="shared" si="0"/>
        <v>0</v>
      </c>
    </row>
    <row r="15" spans="1:13" x14ac:dyDescent="0.25">
      <c r="A15" s="186">
        <v>45939</v>
      </c>
      <c r="B15" s="178" t="s">
        <v>1041</v>
      </c>
      <c r="C15" s="178" t="s">
        <v>1042</v>
      </c>
      <c r="D15" s="174"/>
      <c r="E15" s="174"/>
      <c r="F15" s="174">
        <v>12500</v>
      </c>
      <c r="G15" s="175">
        <v>12500</v>
      </c>
      <c r="H15" s="94" t="s">
        <v>29</v>
      </c>
      <c r="I15" s="105"/>
      <c r="J15" s="105"/>
      <c r="K15" s="177">
        <v>12500</v>
      </c>
      <c r="L15" s="178" t="s">
        <v>1131</v>
      </c>
      <c r="M15" s="20">
        <f t="shared" si="0"/>
        <v>0</v>
      </c>
    </row>
    <row r="16" spans="1:13" x14ac:dyDescent="0.25">
      <c r="A16" s="186">
        <v>45943</v>
      </c>
      <c r="B16" s="178" t="s">
        <v>1057</v>
      </c>
      <c r="C16" s="178" t="s">
        <v>1058</v>
      </c>
      <c r="D16" s="174"/>
      <c r="E16" s="174"/>
      <c r="F16" s="174">
        <v>40500</v>
      </c>
      <c r="G16" s="175">
        <v>40500</v>
      </c>
      <c r="H16" s="94" t="s">
        <v>29</v>
      </c>
      <c r="I16" s="105"/>
      <c r="J16" s="105"/>
      <c r="K16" s="177">
        <v>40500</v>
      </c>
      <c r="L16" s="178" t="s">
        <v>1076</v>
      </c>
      <c r="M16" s="20">
        <f t="shared" si="0"/>
        <v>0</v>
      </c>
    </row>
    <row r="17" spans="1:13" x14ac:dyDescent="0.25">
      <c r="A17" s="186">
        <v>45943</v>
      </c>
      <c r="B17" s="178" t="s">
        <v>1059</v>
      </c>
      <c r="C17" s="178" t="s">
        <v>1060</v>
      </c>
      <c r="D17" s="174"/>
      <c r="E17" s="174"/>
      <c r="F17" s="174">
        <v>1500</v>
      </c>
      <c r="G17" s="175">
        <v>1500</v>
      </c>
      <c r="H17" s="94" t="s">
        <v>29</v>
      </c>
      <c r="I17" s="105"/>
      <c r="J17" s="105"/>
      <c r="K17" s="177">
        <v>1500</v>
      </c>
      <c r="L17" s="178" t="s">
        <v>1096</v>
      </c>
      <c r="M17" s="20">
        <f t="shared" si="0"/>
        <v>0</v>
      </c>
    </row>
    <row r="18" spans="1:13" x14ac:dyDescent="0.25">
      <c r="A18" s="186">
        <v>45944</v>
      </c>
      <c r="B18" s="178" t="s">
        <v>1077</v>
      </c>
      <c r="C18" s="178" t="s">
        <v>573</v>
      </c>
      <c r="D18" s="174"/>
      <c r="E18" s="174"/>
      <c r="F18" s="174">
        <v>37000</v>
      </c>
      <c r="G18" s="175">
        <v>37000</v>
      </c>
      <c r="H18" s="94" t="s">
        <v>29</v>
      </c>
      <c r="I18" s="105"/>
      <c r="J18" s="105"/>
      <c r="K18" s="177">
        <v>37000</v>
      </c>
      <c r="L18" s="178" t="s">
        <v>1082</v>
      </c>
      <c r="M18" s="20">
        <f t="shared" si="0"/>
        <v>0</v>
      </c>
    </row>
    <row r="19" spans="1:13" x14ac:dyDescent="0.25">
      <c r="A19" s="186">
        <v>45945</v>
      </c>
      <c r="B19" s="178" t="s">
        <v>1085</v>
      </c>
      <c r="C19" s="178" t="s">
        <v>25</v>
      </c>
      <c r="D19" s="174"/>
      <c r="E19" s="174"/>
      <c r="F19" s="174">
        <v>335000</v>
      </c>
      <c r="G19" s="175">
        <v>335000</v>
      </c>
      <c r="H19" s="94" t="s">
        <v>29</v>
      </c>
      <c r="I19" s="177">
        <v>167500</v>
      </c>
      <c r="J19" s="178" t="s">
        <v>1086</v>
      </c>
      <c r="K19" s="177">
        <v>167500</v>
      </c>
      <c r="L19" s="178" t="s">
        <v>1325</v>
      </c>
      <c r="M19" s="20">
        <f t="shared" si="0"/>
        <v>0</v>
      </c>
    </row>
    <row r="20" spans="1:13" x14ac:dyDescent="0.25">
      <c r="A20" s="186">
        <v>45947</v>
      </c>
      <c r="B20" s="178" t="s">
        <v>1087</v>
      </c>
      <c r="C20" s="178" t="s">
        <v>873</v>
      </c>
      <c r="D20" s="174"/>
      <c r="E20" s="174"/>
      <c r="F20" s="174">
        <v>130500</v>
      </c>
      <c r="G20" s="175">
        <v>130500</v>
      </c>
      <c r="H20" s="94" t="s">
        <v>29</v>
      </c>
      <c r="I20" s="105"/>
      <c r="J20" s="105"/>
      <c r="K20" s="177">
        <v>130500</v>
      </c>
      <c r="L20" s="178" t="s">
        <v>1088</v>
      </c>
      <c r="M20" s="20">
        <f t="shared" si="0"/>
        <v>0</v>
      </c>
    </row>
    <row r="21" spans="1:13" x14ac:dyDescent="0.25">
      <c r="A21" s="186">
        <v>45947</v>
      </c>
      <c r="B21" s="178" t="s">
        <v>1101</v>
      </c>
      <c r="C21" s="178" t="s">
        <v>1154</v>
      </c>
      <c r="D21" s="174"/>
      <c r="E21" s="174"/>
      <c r="F21" s="174">
        <v>84000</v>
      </c>
      <c r="G21" s="175">
        <v>84000</v>
      </c>
      <c r="H21" s="187"/>
      <c r="I21" s="28">
        <v>30000</v>
      </c>
      <c r="J21" s="73" t="s">
        <v>1233</v>
      </c>
      <c r="K21" s="177"/>
      <c r="L21" s="178"/>
      <c r="M21" s="20">
        <f t="shared" si="0"/>
        <v>54000</v>
      </c>
    </row>
    <row r="22" spans="1:13" x14ac:dyDescent="0.25">
      <c r="A22" s="186">
        <v>45954</v>
      </c>
      <c r="B22" s="178" t="s">
        <v>1102</v>
      </c>
      <c r="C22" s="178" t="s">
        <v>1103</v>
      </c>
      <c r="D22" s="174"/>
      <c r="E22" s="174"/>
      <c r="F22" s="174">
        <v>1000</v>
      </c>
      <c r="G22" s="175">
        <v>1000</v>
      </c>
      <c r="H22" s="94" t="s">
        <v>29</v>
      </c>
      <c r="I22" s="105"/>
      <c r="J22" s="105"/>
      <c r="K22" s="177">
        <v>1000</v>
      </c>
      <c r="L22" s="178" t="s">
        <v>1104</v>
      </c>
      <c r="M22" s="20">
        <f t="shared" si="0"/>
        <v>0</v>
      </c>
    </row>
    <row r="23" spans="1:13" x14ac:dyDescent="0.25">
      <c r="A23" s="188">
        <v>45957</v>
      </c>
      <c r="B23" s="181" t="s">
        <v>1115</v>
      </c>
      <c r="C23" s="181" t="s">
        <v>34</v>
      </c>
      <c r="D23" s="183"/>
      <c r="E23" s="183"/>
      <c r="F23" s="183">
        <v>12500</v>
      </c>
      <c r="G23" s="184">
        <v>12500</v>
      </c>
      <c r="H23" s="94" t="s">
        <v>29</v>
      </c>
      <c r="I23" s="105"/>
      <c r="J23" s="105"/>
      <c r="K23" s="185">
        <v>12500</v>
      </c>
      <c r="L23" s="181" t="s">
        <v>1235</v>
      </c>
      <c r="M23" s="20">
        <f t="shared" si="0"/>
        <v>0</v>
      </c>
    </row>
    <row r="24" spans="1:13" x14ac:dyDescent="0.25">
      <c r="A24" s="188">
        <v>45958</v>
      </c>
      <c r="B24" s="181" t="s">
        <v>1116</v>
      </c>
      <c r="C24" s="181" t="s">
        <v>573</v>
      </c>
      <c r="D24" s="183"/>
      <c r="E24" s="183"/>
      <c r="F24" s="183">
        <v>81500</v>
      </c>
      <c r="G24" s="184">
        <v>81500</v>
      </c>
      <c r="H24" s="94" t="s">
        <v>29</v>
      </c>
      <c r="I24" s="28">
        <v>37625</v>
      </c>
      <c r="J24" s="73" t="s">
        <v>1128</v>
      </c>
      <c r="K24" s="185">
        <v>43875</v>
      </c>
      <c r="L24" s="181" t="s">
        <v>1294</v>
      </c>
      <c r="M24" s="20">
        <f t="shared" si="0"/>
        <v>0</v>
      </c>
    </row>
    <row r="25" spans="1:13" x14ac:dyDescent="0.25">
      <c r="A25" s="188">
        <v>45958</v>
      </c>
      <c r="B25" s="181" t="s">
        <v>1117</v>
      </c>
      <c r="C25" s="181" t="s">
        <v>573</v>
      </c>
      <c r="D25" s="183"/>
      <c r="E25" s="183"/>
      <c r="F25" s="183">
        <v>67500</v>
      </c>
      <c r="G25" s="184">
        <v>67500</v>
      </c>
      <c r="H25" s="94" t="s">
        <v>29</v>
      </c>
      <c r="I25" s="29">
        <v>37625</v>
      </c>
      <c r="J25" s="73" t="s">
        <v>1128</v>
      </c>
      <c r="K25" s="185">
        <v>29875</v>
      </c>
      <c r="L25" s="181" t="s">
        <v>1294</v>
      </c>
      <c r="M25" s="20">
        <f t="shared" si="0"/>
        <v>0</v>
      </c>
    </row>
    <row r="26" spans="1:13" x14ac:dyDescent="0.25">
      <c r="A26" s="188">
        <v>45958</v>
      </c>
      <c r="B26" s="181" t="s">
        <v>1118</v>
      </c>
      <c r="C26" s="181" t="s">
        <v>852</v>
      </c>
      <c r="D26" s="183"/>
      <c r="E26" s="183"/>
      <c r="F26" s="183">
        <v>30000</v>
      </c>
      <c r="G26" s="184">
        <v>30000</v>
      </c>
      <c r="H26" s="94" t="s">
        <v>29</v>
      </c>
      <c r="I26" s="29">
        <v>15000</v>
      </c>
      <c r="J26" s="92" t="s">
        <v>1129</v>
      </c>
      <c r="K26" s="185">
        <v>15000</v>
      </c>
      <c r="L26" s="181" t="s">
        <v>1293</v>
      </c>
      <c r="M26" s="20">
        <f t="shared" si="0"/>
        <v>0</v>
      </c>
    </row>
    <row r="27" spans="1:13" x14ac:dyDescent="0.25">
      <c r="A27" s="188">
        <v>45959</v>
      </c>
      <c r="B27" s="181" t="s">
        <v>1119</v>
      </c>
      <c r="C27" s="181" t="s">
        <v>573</v>
      </c>
      <c r="D27" s="183"/>
      <c r="E27" s="183"/>
      <c r="F27" s="183">
        <v>61000</v>
      </c>
      <c r="G27" s="184">
        <v>61000</v>
      </c>
      <c r="H27" s="94" t="s">
        <v>29</v>
      </c>
      <c r="I27" s="105"/>
      <c r="J27" s="105"/>
      <c r="K27" s="185">
        <v>61000</v>
      </c>
      <c r="L27" s="181" t="s">
        <v>1312</v>
      </c>
      <c r="M27" s="20">
        <f t="shared" si="0"/>
        <v>0</v>
      </c>
    </row>
    <row r="28" spans="1:13" x14ac:dyDescent="0.25">
      <c r="A28" s="155"/>
      <c r="B28" s="156"/>
      <c r="C28" s="156"/>
      <c r="D28" s="157"/>
      <c r="E28" s="157"/>
      <c r="F28" s="157"/>
      <c r="G28" s="157"/>
      <c r="H28" s="113"/>
      <c r="I28" s="156"/>
      <c r="J28" s="156"/>
      <c r="K28" s="158"/>
      <c r="L28" s="158"/>
      <c r="M28" s="126"/>
    </row>
    <row r="29" spans="1:13" x14ac:dyDescent="0.25">
      <c r="A29" s="109">
        <v>45932</v>
      </c>
      <c r="B29" s="73" t="s">
        <v>999</v>
      </c>
      <c r="C29" s="73" t="s">
        <v>18</v>
      </c>
      <c r="D29" s="28"/>
      <c r="E29" s="28">
        <v>80000</v>
      </c>
      <c r="F29" s="73"/>
      <c r="G29" s="28">
        <v>80000</v>
      </c>
      <c r="H29" s="94" t="s">
        <v>29</v>
      </c>
      <c r="I29" s="28">
        <v>40000</v>
      </c>
      <c r="J29" s="71" t="s">
        <v>1000</v>
      </c>
      <c r="K29" s="28">
        <v>40000</v>
      </c>
      <c r="L29" s="58" t="s">
        <v>1111</v>
      </c>
      <c r="M29" s="20">
        <f t="shared" si="0"/>
        <v>0</v>
      </c>
    </row>
    <row r="30" spans="1:13" x14ac:dyDescent="0.25">
      <c r="A30" s="109">
        <v>45932</v>
      </c>
      <c r="B30" s="73" t="s">
        <v>1001</v>
      </c>
      <c r="C30" s="73" t="s">
        <v>18</v>
      </c>
      <c r="D30" s="28"/>
      <c r="E30" s="28">
        <v>80000</v>
      </c>
      <c r="F30" s="73"/>
      <c r="G30" s="28">
        <v>80000</v>
      </c>
      <c r="H30" s="57" t="s">
        <v>29</v>
      </c>
      <c r="I30" s="28">
        <v>40000</v>
      </c>
      <c r="J30" s="71" t="s">
        <v>1002</v>
      </c>
      <c r="K30" s="28">
        <v>40000</v>
      </c>
      <c r="L30" s="58" t="s">
        <v>1286</v>
      </c>
      <c r="M30" s="20">
        <f t="shared" si="0"/>
        <v>0</v>
      </c>
    </row>
    <row r="31" spans="1:13" x14ac:dyDescent="0.25">
      <c r="A31" s="109">
        <v>45932</v>
      </c>
      <c r="B31" s="73" t="s">
        <v>1003</v>
      </c>
      <c r="C31" s="73" t="s">
        <v>18</v>
      </c>
      <c r="D31" s="28"/>
      <c r="E31" s="28">
        <v>80000</v>
      </c>
      <c r="F31" s="73"/>
      <c r="G31" s="28">
        <v>80000</v>
      </c>
      <c r="H31" s="57" t="s">
        <v>29</v>
      </c>
      <c r="I31" s="28">
        <v>40000</v>
      </c>
      <c r="J31" s="189" t="s">
        <v>1004</v>
      </c>
      <c r="K31" s="119">
        <v>40000</v>
      </c>
      <c r="L31" s="119" t="s">
        <v>1305</v>
      </c>
      <c r="M31" s="20">
        <f t="shared" si="0"/>
        <v>0</v>
      </c>
    </row>
    <row r="32" spans="1:13" x14ac:dyDescent="0.25">
      <c r="A32" s="117">
        <v>45933</v>
      </c>
      <c r="B32" s="92" t="s">
        <v>1013</v>
      </c>
      <c r="C32" s="92" t="s">
        <v>653</v>
      </c>
      <c r="D32" s="29"/>
      <c r="E32" s="29">
        <v>30000</v>
      </c>
      <c r="F32" s="29"/>
      <c r="G32" s="29">
        <v>30000</v>
      </c>
      <c r="H32" s="94" t="s">
        <v>29</v>
      </c>
      <c r="I32" s="28">
        <v>15000</v>
      </c>
      <c r="J32" s="71" t="s">
        <v>1014</v>
      </c>
      <c r="K32" s="119">
        <v>15000</v>
      </c>
      <c r="L32" s="119" t="s">
        <v>1353</v>
      </c>
      <c r="M32" s="20">
        <f t="shared" si="0"/>
        <v>0</v>
      </c>
    </row>
    <row r="33" spans="1:13" x14ac:dyDescent="0.25">
      <c r="A33" s="117">
        <v>45936</v>
      </c>
      <c r="B33" s="92" t="s">
        <v>1015</v>
      </c>
      <c r="C33" s="92" t="s">
        <v>573</v>
      </c>
      <c r="D33" s="29"/>
      <c r="E33" s="29">
        <v>12750</v>
      </c>
      <c r="F33" s="29"/>
      <c r="G33" s="29">
        <v>12750</v>
      </c>
      <c r="H33" s="94" t="s">
        <v>29</v>
      </c>
      <c r="I33" s="105"/>
      <c r="J33" s="105"/>
      <c r="K33" s="119">
        <v>12750</v>
      </c>
      <c r="L33" s="119" t="s">
        <v>1016</v>
      </c>
      <c r="M33" s="20">
        <f t="shared" si="0"/>
        <v>0</v>
      </c>
    </row>
    <row r="34" spans="1:13" x14ac:dyDescent="0.25">
      <c r="A34" s="117">
        <v>45936</v>
      </c>
      <c r="B34" s="92" t="s">
        <v>1028</v>
      </c>
      <c r="C34" s="92" t="s">
        <v>1029</v>
      </c>
      <c r="D34" s="29"/>
      <c r="E34" s="29">
        <v>500</v>
      </c>
      <c r="F34" s="29"/>
      <c r="G34" s="29">
        <v>500</v>
      </c>
      <c r="H34" s="94" t="s">
        <v>29</v>
      </c>
      <c r="I34" s="105"/>
      <c r="J34" s="105"/>
      <c r="K34" s="119">
        <v>500</v>
      </c>
      <c r="L34" s="119" t="s">
        <v>1030</v>
      </c>
      <c r="M34" s="20">
        <f t="shared" si="0"/>
        <v>0</v>
      </c>
    </row>
    <row r="35" spans="1:13" x14ac:dyDescent="0.25">
      <c r="A35" s="117">
        <v>45938</v>
      </c>
      <c r="B35" s="92" t="s">
        <v>1038</v>
      </c>
      <c r="C35" s="92" t="s">
        <v>18</v>
      </c>
      <c r="D35" s="29"/>
      <c r="E35" s="29">
        <v>80500</v>
      </c>
      <c r="F35" s="29"/>
      <c r="G35" s="29">
        <v>80500</v>
      </c>
      <c r="H35" s="94"/>
      <c r="I35" s="28">
        <v>32200</v>
      </c>
      <c r="J35" s="73" t="s">
        <v>1074</v>
      </c>
      <c r="K35" s="119"/>
      <c r="L35" s="119"/>
      <c r="M35" s="20">
        <f t="shared" si="0"/>
        <v>48300</v>
      </c>
    </row>
    <row r="36" spans="1:13" x14ac:dyDescent="0.25">
      <c r="A36" s="117">
        <v>45938</v>
      </c>
      <c r="B36" s="92" t="s">
        <v>1043</v>
      </c>
      <c r="C36" s="92" t="s">
        <v>1044</v>
      </c>
      <c r="D36" s="29"/>
      <c r="E36" s="29">
        <v>1500</v>
      </c>
      <c r="F36" s="29"/>
      <c r="G36" s="29">
        <v>1500</v>
      </c>
      <c r="H36" s="94" t="s">
        <v>29</v>
      </c>
      <c r="I36" s="105"/>
      <c r="J36" s="105"/>
      <c r="K36" s="119">
        <v>1500</v>
      </c>
      <c r="L36" s="119" t="s">
        <v>1045</v>
      </c>
      <c r="M36" s="20">
        <f t="shared" si="0"/>
        <v>0</v>
      </c>
    </row>
    <row r="37" spans="1:13" x14ac:dyDescent="0.25">
      <c r="A37" s="117">
        <v>45940</v>
      </c>
      <c r="B37" s="92" t="s">
        <v>1046</v>
      </c>
      <c r="C37" s="92" t="s">
        <v>1047</v>
      </c>
      <c r="D37" s="29"/>
      <c r="E37" s="29">
        <v>19500</v>
      </c>
      <c r="F37" s="29"/>
      <c r="G37" s="29">
        <v>19500</v>
      </c>
      <c r="H37" s="94" t="s">
        <v>29</v>
      </c>
      <c r="I37" s="105"/>
      <c r="J37" s="105"/>
      <c r="K37" s="119">
        <v>19500</v>
      </c>
      <c r="L37" s="119" t="s">
        <v>1048</v>
      </c>
      <c r="M37" s="20">
        <f t="shared" si="0"/>
        <v>0</v>
      </c>
    </row>
    <row r="38" spans="1:13" x14ac:dyDescent="0.25">
      <c r="A38" s="117">
        <v>45940</v>
      </c>
      <c r="B38" s="92" t="s">
        <v>1049</v>
      </c>
      <c r="C38" s="92" t="s">
        <v>852</v>
      </c>
      <c r="D38" s="29"/>
      <c r="E38" s="29">
        <v>18000</v>
      </c>
      <c r="F38" s="29"/>
      <c r="G38" s="29">
        <v>18000</v>
      </c>
      <c r="H38" s="94" t="s">
        <v>29</v>
      </c>
      <c r="I38" s="105"/>
      <c r="J38" s="105"/>
      <c r="K38" s="119">
        <v>18000</v>
      </c>
      <c r="L38" s="119" t="s">
        <v>1050</v>
      </c>
      <c r="M38" s="20">
        <f t="shared" si="0"/>
        <v>0</v>
      </c>
    </row>
    <row r="39" spans="1:13" x14ac:dyDescent="0.25">
      <c r="A39" s="117">
        <v>45946</v>
      </c>
      <c r="B39" s="92" t="s">
        <v>1079</v>
      </c>
      <c r="C39" s="92" t="s">
        <v>1047</v>
      </c>
      <c r="D39" s="29"/>
      <c r="E39" s="29">
        <v>19500</v>
      </c>
      <c r="F39" s="29"/>
      <c r="G39" s="29">
        <v>19500</v>
      </c>
      <c r="H39" s="94" t="s">
        <v>29</v>
      </c>
      <c r="I39" s="105"/>
      <c r="J39" s="105"/>
      <c r="K39" s="119">
        <v>19500</v>
      </c>
      <c r="L39" s="119" t="s">
        <v>1080</v>
      </c>
      <c r="M39" s="20">
        <f t="shared" si="0"/>
        <v>0</v>
      </c>
    </row>
    <row r="40" spans="1:13" x14ac:dyDescent="0.25">
      <c r="A40" s="190">
        <v>45951</v>
      </c>
      <c r="B40" s="149" t="s">
        <v>1094</v>
      </c>
      <c r="C40" s="149" t="s">
        <v>573</v>
      </c>
      <c r="D40" s="191"/>
      <c r="E40" s="191">
        <v>26500</v>
      </c>
      <c r="F40" s="191"/>
      <c r="G40" s="191">
        <v>26500</v>
      </c>
      <c r="H40" s="94" t="s">
        <v>29</v>
      </c>
      <c r="I40" s="105"/>
      <c r="J40" s="105"/>
      <c r="K40" s="192">
        <v>26500</v>
      </c>
      <c r="L40" s="192" t="s">
        <v>1108</v>
      </c>
      <c r="M40" s="20">
        <f t="shared" si="0"/>
        <v>0</v>
      </c>
    </row>
    <row r="41" spans="1:13" x14ac:dyDescent="0.25">
      <c r="A41" s="109">
        <v>45951</v>
      </c>
      <c r="B41" s="73" t="s">
        <v>1105</v>
      </c>
      <c r="C41" s="73" t="s">
        <v>1106</v>
      </c>
      <c r="D41" s="28"/>
      <c r="E41" s="28">
        <v>14000</v>
      </c>
      <c r="F41" s="28"/>
      <c r="G41" s="28">
        <v>14000</v>
      </c>
      <c r="H41" s="94" t="s">
        <v>29</v>
      </c>
      <c r="I41" s="105"/>
      <c r="J41" s="105"/>
      <c r="K41" s="58">
        <v>14000</v>
      </c>
      <c r="L41" s="58" t="s">
        <v>1109</v>
      </c>
      <c r="M41" s="20">
        <f t="shared" si="0"/>
        <v>0</v>
      </c>
    </row>
    <row r="42" spans="1:13" x14ac:dyDescent="0.25">
      <c r="A42" s="109">
        <v>45953</v>
      </c>
      <c r="B42" s="73" t="s">
        <v>1107</v>
      </c>
      <c r="C42" s="73" t="s">
        <v>573</v>
      </c>
      <c r="D42" s="28"/>
      <c r="E42" s="28">
        <v>26500</v>
      </c>
      <c r="F42" s="28"/>
      <c r="G42" s="28">
        <v>26500</v>
      </c>
      <c r="H42" s="94" t="s">
        <v>29</v>
      </c>
      <c r="I42" s="105"/>
      <c r="J42" s="105"/>
      <c r="K42" s="58">
        <v>26500</v>
      </c>
      <c r="L42" s="58" t="s">
        <v>1110</v>
      </c>
      <c r="M42" s="20">
        <f t="shared" si="0"/>
        <v>0</v>
      </c>
    </row>
    <row r="43" spans="1:13" x14ac:dyDescent="0.25">
      <c r="A43" s="193"/>
      <c r="B43" s="194"/>
      <c r="C43" s="194"/>
      <c r="D43" s="195"/>
      <c r="E43" s="196"/>
      <c r="F43" s="196"/>
      <c r="G43" s="196"/>
      <c r="H43" s="164"/>
      <c r="I43" s="194"/>
      <c r="J43" s="194"/>
      <c r="K43" s="197" t="s">
        <v>701</v>
      </c>
      <c r="L43" s="197"/>
      <c r="M43" s="166"/>
    </row>
    <row r="44" spans="1:13" x14ac:dyDescent="0.25">
      <c r="A44" s="109">
        <v>45931</v>
      </c>
      <c r="B44" s="73" t="s">
        <v>1005</v>
      </c>
      <c r="C44" s="73" t="s">
        <v>1006</v>
      </c>
      <c r="D44" s="28">
        <v>26000</v>
      </c>
      <c r="E44" s="56"/>
      <c r="F44" s="56"/>
      <c r="G44" s="56">
        <v>26000</v>
      </c>
      <c r="H44" s="94" t="s">
        <v>29</v>
      </c>
      <c r="I44" s="105"/>
      <c r="J44" s="105"/>
      <c r="K44" s="58">
        <v>26000</v>
      </c>
      <c r="L44" s="58" t="s">
        <v>1299</v>
      </c>
      <c r="M44" s="20">
        <f t="shared" si="0"/>
        <v>0</v>
      </c>
    </row>
    <row r="45" spans="1:13" x14ac:dyDescent="0.25">
      <c r="A45" s="109">
        <v>45931</v>
      </c>
      <c r="B45" s="73" t="s">
        <v>1008</v>
      </c>
      <c r="C45" s="73" t="s">
        <v>857</v>
      </c>
      <c r="D45" s="28">
        <v>13000</v>
      </c>
      <c r="E45" s="56"/>
      <c r="F45" s="56"/>
      <c r="G45" s="56">
        <v>13000</v>
      </c>
      <c r="H45" s="94" t="s">
        <v>29</v>
      </c>
      <c r="I45" s="105"/>
      <c r="J45" s="105"/>
      <c r="K45" s="58">
        <v>13000</v>
      </c>
      <c r="L45" s="58" t="s">
        <v>1303</v>
      </c>
      <c r="M45" s="20">
        <f t="shared" si="0"/>
        <v>0</v>
      </c>
    </row>
    <row r="46" spans="1:13" x14ac:dyDescent="0.25">
      <c r="A46" s="109">
        <v>45931</v>
      </c>
      <c r="B46" s="73" t="s">
        <v>1007</v>
      </c>
      <c r="C46" s="73" t="s">
        <v>852</v>
      </c>
      <c r="D46" s="28">
        <v>6500</v>
      </c>
      <c r="E46" s="56"/>
      <c r="F46" s="56"/>
      <c r="G46" s="56">
        <v>6500</v>
      </c>
      <c r="H46" s="94" t="s">
        <v>29</v>
      </c>
      <c r="I46" s="105"/>
      <c r="J46" s="105"/>
      <c r="K46" s="58">
        <v>6500</v>
      </c>
      <c r="L46" s="58" t="s">
        <v>1222</v>
      </c>
      <c r="M46" s="20">
        <f t="shared" si="0"/>
        <v>0</v>
      </c>
    </row>
    <row r="47" spans="1:13" x14ac:dyDescent="0.25">
      <c r="A47" s="109">
        <v>45931</v>
      </c>
      <c r="B47" s="73" t="s">
        <v>1009</v>
      </c>
      <c r="C47" s="73" t="s">
        <v>857</v>
      </c>
      <c r="D47" s="28">
        <v>13000</v>
      </c>
      <c r="E47" s="56"/>
      <c r="F47" s="56"/>
      <c r="G47" s="56">
        <v>13000</v>
      </c>
      <c r="H47" s="94" t="s">
        <v>29</v>
      </c>
      <c r="I47" s="105"/>
      <c r="J47" s="105"/>
      <c r="K47" s="58">
        <v>13000</v>
      </c>
      <c r="L47" s="58" t="s">
        <v>1304</v>
      </c>
      <c r="M47" s="20">
        <f t="shared" si="0"/>
        <v>0</v>
      </c>
    </row>
    <row r="48" spans="1:13" x14ac:dyDescent="0.25">
      <c r="A48" s="109">
        <v>45931</v>
      </c>
      <c r="B48" s="73" t="s">
        <v>1196</v>
      </c>
      <c r="C48" s="73" t="s">
        <v>1006</v>
      </c>
      <c r="D48" s="28">
        <v>26000</v>
      </c>
      <c r="E48" s="56"/>
      <c r="F48" s="56"/>
      <c r="G48" s="56">
        <v>26000</v>
      </c>
      <c r="H48" s="94" t="s">
        <v>29</v>
      </c>
      <c r="I48" s="105"/>
      <c r="J48" s="105"/>
      <c r="K48" s="58">
        <v>26000</v>
      </c>
      <c r="L48" s="58" t="s">
        <v>1375</v>
      </c>
      <c r="M48" s="20">
        <f t="shared" si="0"/>
        <v>0</v>
      </c>
    </row>
    <row r="49" spans="1:13" x14ac:dyDescent="0.25">
      <c r="A49" s="109">
        <v>45931</v>
      </c>
      <c r="B49" s="73" t="s">
        <v>1198</v>
      </c>
      <c r="C49" s="73" t="s">
        <v>857</v>
      </c>
      <c r="D49" s="28">
        <v>6500</v>
      </c>
      <c r="E49" s="56"/>
      <c r="F49" s="56"/>
      <c r="G49" s="56">
        <v>6500</v>
      </c>
      <c r="H49" s="94" t="s">
        <v>29</v>
      </c>
      <c r="I49" s="105"/>
      <c r="J49" s="105"/>
      <c r="K49" s="58">
        <v>6500</v>
      </c>
      <c r="L49" s="58" t="s">
        <v>1302</v>
      </c>
      <c r="M49" s="20">
        <f t="shared" si="0"/>
        <v>0</v>
      </c>
    </row>
    <row r="50" spans="1:13" x14ac:dyDescent="0.25">
      <c r="A50" s="109">
        <v>45931</v>
      </c>
      <c r="B50" s="73" t="s">
        <v>1010</v>
      </c>
      <c r="C50" s="73" t="s">
        <v>1006</v>
      </c>
      <c r="D50" s="28">
        <v>26000</v>
      </c>
      <c r="E50" s="56"/>
      <c r="F50" s="56"/>
      <c r="G50" s="56">
        <v>26000</v>
      </c>
      <c r="H50" s="94" t="s">
        <v>29</v>
      </c>
      <c r="I50" s="105"/>
      <c r="J50" s="105"/>
      <c r="K50" s="58">
        <v>26000</v>
      </c>
      <c r="L50" s="58" t="s">
        <v>1301</v>
      </c>
      <c r="M50" s="20">
        <f t="shared" si="0"/>
        <v>0</v>
      </c>
    </row>
    <row r="51" spans="1:13" x14ac:dyDescent="0.25">
      <c r="A51" s="109">
        <v>45936</v>
      </c>
      <c r="B51" s="73" t="s">
        <v>1017</v>
      </c>
      <c r="C51" s="73" t="s">
        <v>1018</v>
      </c>
      <c r="D51" s="28">
        <v>2000</v>
      </c>
      <c r="E51" s="56"/>
      <c r="F51" s="56"/>
      <c r="G51" s="56">
        <v>2000</v>
      </c>
      <c r="H51" s="94" t="s">
        <v>29</v>
      </c>
      <c r="I51" s="105"/>
      <c r="J51" s="105"/>
      <c r="K51" s="58">
        <v>2000</v>
      </c>
      <c r="L51" s="58" t="s">
        <v>1019</v>
      </c>
      <c r="M51" s="20">
        <f t="shared" si="0"/>
        <v>0</v>
      </c>
    </row>
    <row r="52" spans="1:13" x14ac:dyDescent="0.25">
      <c r="A52" s="109">
        <v>45936</v>
      </c>
      <c r="B52" s="73" t="s">
        <v>1036</v>
      </c>
      <c r="C52" s="73" t="s">
        <v>852</v>
      </c>
      <c r="D52" s="28">
        <v>10000</v>
      </c>
      <c r="E52" s="56"/>
      <c r="F52" s="56"/>
      <c r="G52" s="56">
        <v>10000</v>
      </c>
      <c r="H52" s="94" t="s">
        <v>29</v>
      </c>
      <c r="I52" s="105"/>
      <c r="J52" s="105"/>
      <c r="K52" s="58">
        <v>10000</v>
      </c>
      <c r="L52" s="58" t="s">
        <v>1218</v>
      </c>
      <c r="M52" s="20">
        <f t="shared" si="0"/>
        <v>0</v>
      </c>
    </row>
    <row r="53" spans="1:13" x14ac:dyDescent="0.25">
      <c r="A53" s="109">
        <v>45938</v>
      </c>
      <c r="B53" s="73" t="s">
        <v>1037</v>
      </c>
      <c r="C53" s="73" t="s">
        <v>927</v>
      </c>
      <c r="D53" s="28">
        <v>25000</v>
      </c>
      <c r="E53" s="56"/>
      <c r="F53" s="56"/>
      <c r="G53" s="56">
        <v>25000</v>
      </c>
      <c r="H53" s="94" t="s">
        <v>29</v>
      </c>
      <c r="I53" s="105"/>
      <c r="J53" s="105"/>
      <c r="K53" s="58">
        <v>25000</v>
      </c>
      <c r="L53" s="58" t="s">
        <v>1070</v>
      </c>
      <c r="M53" s="20">
        <f t="shared" si="0"/>
        <v>0</v>
      </c>
    </row>
    <row r="54" spans="1:13" x14ac:dyDescent="0.25">
      <c r="A54" s="109">
        <v>45940</v>
      </c>
      <c r="B54" s="73" t="s">
        <v>1051</v>
      </c>
      <c r="C54" s="73" t="s">
        <v>1052</v>
      </c>
      <c r="D54" s="28">
        <v>5000</v>
      </c>
      <c r="E54" s="56"/>
      <c r="F54" s="56"/>
      <c r="G54" s="56">
        <v>5000</v>
      </c>
      <c r="H54" s="94" t="s">
        <v>29</v>
      </c>
      <c r="I54" s="105"/>
      <c r="J54" s="105"/>
      <c r="K54" s="58">
        <v>5000</v>
      </c>
      <c r="L54" s="58" t="s">
        <v>1053</v>
      </c>
      <c r="M54" s="20">
        <f t="shared" si="0"/>
        <v>0</v>
      </c>
    </row>
    <row r="55" spans="1:13" x14ac:dyDescent="0.25">
      <c r="A55" s="109">
        <v>45940</v>
      </c>
      <c r="B55" s="73" t="s">
        <v>1054</v>
      </c>
      <c r="C55" s="73" t="s">
        <v>25</v>
      </c>
      <c r="D55" s="28">
        <v>134300</v>
      </c>
      <c r="E55" s="56"/>
      <c r="F55" s="56"/>
      <c r="G55" s="56">
        <v>134300</v>
      </c>
      <c r="H55" s="57"/>
      <c r="I55" s="28">
        <v>67150</v>
      </c>
      <c r="J55" s="73" t="s">
        <v>1083</v>
      </c>
      <c r="K55" s="58"/>
      <c r="L55" s="58"/>
      <c r="M55" s="20">
        <f t="shared" si="0"/>
        <v>67150</v>
      </c>
    </row>
    <row r="56" spans="1:13" x14ac:dyDescent="0.25">
      <c r="A56" s="109">
        <v>45940</v>
      </c>
      <c r="B56" s="73" t="s">
        <v>1055</v>
      </c>
      <c r="C56" s="73" t="s">
        <v>25</v>
      </c>
      <c r="D56" s="28">
        <v>134300</v>
      </c>
      <c r="E56" s="56"/>
      <c r="F56" s="56"/>
      <c r="G56" s="56">
        <v>134300</v>
      </c>
      <c r="H56" s="57"/>
      <c r="I56" s="28">
        <v>67150</v>
      </c>
      <c r="J56" s="73" t="s">
        <v>1383</v>
      </c>
      <c r="K56" s="58"/>
      <c r="L56" s="58"/>
      <c r="M56" s="20">
        <f t="shared" si="0"/>
        <v>67150</v>
      </c>
    </row>
    <row r="57" spans="1:13" x14ac:dyDescent="0.25">
      <c r="A57" s="146">
        <v>45940</v>
      </c>
      <c r="B57" s="143" t="s">
        <v>1056</v>
      </c>
      <c r="C57" s="143" t="s">
        <v>25</v>
      </c>
      <c r="D57" s="28">
        <v>134300</v>
      </c>
      <c r="E57" s="56"/>
      <c r="F57" s="56"/>
      <c r="G57" s="56">
        <v>134300</v>
      </c>
      <c r="H57" s="57"/>
      <c r="I57" s="28">
        <v>67150</v>
      </c>
      <c r="J57" s="73" t="s">
        <v>1384</v>
      </c>
      <c r="K57" s="58"/>
      <c r="L57" s="58"/>
      <c r="M57" s="20">
        <f t="shared" si="0"/>
        <v>67150</v>
      </c>
    </row>
    <row r="58" spans="1:13" x14ac:dyDescent="0.25">
      <c r="A58" s="146">
        <v>45943</v>
      </c>
      <c r="B58" s="143" t="s">
        <v>1061</v>
      </c>
      <c r="C58" s="143" t="s">
        <v>518</v>
      </c>
      <c r="D58" s="142">
        <v>25000</v>
      </c>
      <c r="E58" s="56"/>
      <c r="F58" s="56"/>
      <c r="G58" s="142">
        <v>25000</v>
      </c>
      <c r="H58" s="57"/>
      <c r="I58" s="73"/>
      <c r="J58" s="73"/>
      <c r="K58" s="58"/>
      <c r="L58" s="58"/>
      <c r="M58" s="20">
        <f t="shared" si="0"/>
        <v>25000</v>
      </c>
    </row>
    <row r="59" spans="1:13" x14ac:dyDescent="0.25">
      <c r="A59" s="146">
        <v>45944</v>
      </c>
      <c r="B59" s="143" t="s">
        <v>1063</v>
      </c>
      <c r="C59" s="143" t="s">
        <v>1195</v>
      </c>
      <c r="D59" s="142">
        <v>6500</v>
      </c>
      <c r="E59" s="56"/>
      <c r="F59" s="56"/>
      <c r="G59" s="142">
        <v>6500</v>
      </c>
      <c r="H59" s="94" t="s">
        <v>29</v>
      </c>
      <c r="I59" s="105"/>
      <c r="J59" s="105"/>
      <c r="K59" s="58">
        <v>6500</v>
      </c>
      <c r="L59" s="58" t="s">
        <v>1345</v>
      </c>
      <c r="M59" s="20">
        <f t="shared" si="0"/>
        <v>0</v>
      </c>
    </row>
    <row r="60" spans="1:13" x14ac:dyDescent="0.25">
      <c r="A60" s="109">
        <v>45947</v>
      </c>
      <c r="B60" s="73" t="s">
        <v>1197</v>
      </c>
      <c r="C60" s="73" t="s">
        <v>1170</v>
      </c>
      <c r="D60" s="28">
        <v>106600</v>
      </c>
      <c r="E60" s="56"/>
      <c r="F60" s="56"/>
      <c r="G60" s="56">
        <v>106600</v>
      </c>
      <c r="H60" s="94" t="s">
        <v>29</v>
      </c>
      <c r="I60" s="28">
        <v>53300</v>
      </c>
      <c r="J60" s="73" t="s">
        <v>1223</v>
      </c>
      <c r="K60" s="58">
        <v>53300</v>
      </c>
      <c r="L60" s="58" t="s">
        <v>1343</v>
      </c>
      <c r="M60" s="20">
        <f t="shared" si="0"/>
        <v>0</v>
      </c>
    </row>
    <row r="61" spans="1:13" x14ac:dyDescent="0.25">
      <c r="A61" s="109">
        <v>45950</v>
      </c>
      <c r="B61" s="73" t="s">
        <v>1091</v>
      </c>
      <c r="C61" s="73" t="s">
        <v>1092</v>
      </c>
      <c r="D61" s="28">
        <v>2000</v>
      </c>
      <c r="E61" s="56"/>
      <c r="F61" s="56"/>
      <c r="G61" s="56">
        <v>2000</v>
      </c>
      <c r="H61" s="94" t="s">
        <v>29</v>
      </c>
      <c r="I61" s="105"/>
      <c r="J61" s="105"/>
      <c r="K61" s="58">
        <v>2000</v>
      </c>
      <c r="L61" s="58" t="s">
        <v>1379</v>
      </c>
      <c r="M61" s="20">
        <f t="shared" si="0"/>
        <v>0</v>
      </c>
    </row>
    <row r="62" spans="1:13" x14ac:dyDescent="0.25">
      <c r="A62" s="109">
        <v>45950</v>
      </c>
      <c r="B62" s="73" t="s">
        <v>1090</v>
      </c>
      <c r="C62" s="73" t="s">
        <v>1089</v>
      </c>
      <c r="D62" s="28">
        <v>16000</v>
      </c>
      <c r="E62" s="56"/>
      <c r="F62" s="56"/>
      <c r="G62" s="56">
        <v>16000</v>
      </c>
      <c r="H62" s="94" t="s">
        <v>29</v>
      </c>
      <c r="I62" s="105"/>
      <c r="J62" s="105"/>
      <c r="K62" s="58">
        <v>16000</v>
      </c>
      <c r="L62" s="58" t="s">
        <v>1151</v>
      </c>
      <c r="M62" s="20">
        <f t="shared" ref="M62" si="1">SUM(G62-I62-K62)</f>
        <v>0</v>
      </c>
    </row>
    <row r="63" spans="1:13" x14ac:dyDescent="0.25">
      <c r="A63" s="138">
        <v>45950</v>
      </c>
      <c r="B63" s="149" t="s">
        <v>1093</v>
      </c>
      <c r="C63" s="150" t="s">
        <v>1089</v>
      </c>
      <c r="D63" s="101">
        <v>16000</v>
      </c>
      <c r="E63" s="98"/>
      <c r="F63" s="98"/>
      <c r="G63" s="98">
        <v>16000</v>
      </c>
      <c r="H63" s="94" t="s">
        <v>29</v>
      </c>
      <c r="I63" s="105"/>
      <c r="J63" s="105"/>
      <c r="K63" s="100">
        <v>16000</v>
      </c>
      <c r="L63" s="58" t="s">
        <v>1152</v>
      </c>
      <c r="M63" s="153">
        <f t="shared" ref="M63:M67" si="2">SUM(G63-I63-K63)</f>
        <v>0</v>
      </c>
    </row>
    <row r="64" spans="1:13" x14ac:dyDescent="0.25">
      <c r="A64" s="109">
        <v>45957</v>
      </c>
      <c r="B64" s="73" t="s">
        <v>1120</v>
      </c>
      <c r="C64" s="73" t="s">
        <v>1121</v>
      </c>
      <c r="D64" s="28">
        <v>30000</v>
      </c>
      <c r="E64" s="56"/>
      <c r="F64" s="56"/>
      <c r="G64" s="56">
        <v>30000</v>
      </c>
      <c r="H64" s="57"/>
      <c r="I64" s="73"/>
      <c r="J64" s="73"/>
      <c r="K64" s="58"/>
      <c r="L64" s="58"/>
      <c r="M64" s="20">
        <f t="shared" si="2"/>
        <v>30000</v>
      </c>
    </row>
    <row r="65" spans="1:13" x14ac:dyDescent="0.25">
      <c r="A65" s="109">
        <v>45954</v>
      </c>
      <c r="B65" s="73" t="s">
        <v>1122</v>
      </c>
      <c r="C65" s="73" t="s">
        <v>1121</v>
      </c>
      <c r="D65" s="28">
        <v>30000</v>
      </c>
      <c r="E65" s="56"/>
      <c r="F65" s="56"/>
      <c r="G65" s="56">
        <v>30000</v>
      </c>
      <c r="H65" s="94" t="s">
        <v>29</v>
      </c>
      <c r="I65" s="105"/>
      <c r="J65" s="105"/>
      <c r="K65" s="58">
        <v>30000</v>
      </c>
      <c r="L65" s="58" t="s">
        <v>1135</v>
      </c>
      <c r="M65" s="20">
        <f t="shared" si="2"/>
        <v>0</v>
      </c>
    </row>
    <row r="66" spans="1:13" x14ac:dyDescent="0.25">
      <c r="A66" s="109">
        <v>45958</v>
      </c>
      <c r="B66" s="73" t="s">
        <v>1123</v>
      </c>
      <c r="C66" s="73" t="s">
        <v>1124</v>
      </c>
      <c r="D66" s="28">
        <v>15000</v>
      </c>
      <c r="E66" s="56"/>
      <c r="F66" s="56"/>
      <c r="G66" s="56">
        <v>15000</v>
      </c>
      <c r="H66" s="94" t="s">
        <v>29</v>
      </c>
      <c r="I66" s="105"/>
      <c r="J66" s="105"/>
      <c r="K66" s="58">
        <v>15000</v>
      </c>
      <c r="L66" s="58" t="s">
        <v>1127</v>
      </c>
      <c r="M66" s="20">
        <f t="shared" si="2"/>
        <v>0</v>
      </c>
    </row>
    <row r="67" spans="1:13" x14ac:dyDescent="0.25">
      <c r="A67" s="109">
        <v>45958</v>
      </c>
      <c r="B67" s="73" t="s">
        <v>1125</v>
      </c>
      <c r="C67" s="73" t="s">
        <v>918</v>
      </c>
      <c r="D67" s="28">
        <v>2500</v>
      </c>
      <c r="E67" s="56"/>
      <c r="F67" s="56"/>
      <c r="G67" s="56">
        <v>2500</v>
      </c>
      <c r="H67" s="94" t="s">
        <v>29</v>
      </c>
      <c r="I67" s="105"/>
      <c r="J67" s="105"/>
      <c r="K67" s="58">
        <v>2500</v>
      </c>
      <c r="L67" s="58" t="s">
        <v>1126</v>
      </c>
      <c r="M67" s="20">
        <f t="shared" si="2"/>
        <v>0</v>
      </c>
    </row>
    <row r="68" spans="1:13" x14ac:dyDescent="0.25">
      <c r="A68" s="127"/>
      <c r="B68" s="127"/>
      <c r="C68" s="127"/>
      <c r="D68" s="128"/>
      <c r="E68" s="128"/>
      <c r="F68" s="128"/>
      <c r="G68" s="127"/>
      <c r="H68" s="129"/>
      <c r="I68" s="127"/>
      <c r="J68" s="127"/>
      <c r="K68" s="127"/>
      <c r="L68" s="127"/>
      <c r="M68" s="127"/>
    </row>
    <row r="69" spans="1:13" x14ac:dyDescent="0.25">
      <c r="F69" s="116"/>
      <c r="H69" s="118"/>
    </row>
    <row r="70" spans="1:13" x14ac:dyDescent="0.25">
      <c r="F70" s="116"/>
      <c r="H70" s="118"/>
    </row>
    <row r="71" spans="1:13" x14ac:dyDescent="0.25">
      <c r="F71" s="116"/>
      <c r="H71" s="118"/>
    </row>
    <row r="72" spans="1:13" x14ac:dyDescent="0.25">
      <c r="F72" s="116"/>
      <c r="H72" s="118"/>
    </row>
    <row r="73" spans="1:13" x14ac:dyDescent="0.25">
      <c r="F73" s="116"/>
      <c r="H73" s="118"/>
    </row>
    <row r="74" spans="1:13" x14ac:dyDescent="0.25">
      <c r="F74" s="116"/>
      <c r="H74" s="118"/>
    </row>
    <row r="75" spans="1:13" x14ac:dyDescent="0.25">
      <c r="F75" s="116"/>
      <c r="H75" s="118"/>
    </row>
    <row r="76" spans="1:13" x14ac:dyDescent="0.25">
      <c r="F76" s="116"/>
      <c r="H76" s="118"/>
    </row>
    <row r="77" spans="1:13" x14ac:dyDescent="0.25">
      <c r="F77" s="116"/>
      <c r="H77" s="118"/>
    </row>
    <row r="78" spans="1:13" x14ac:dyDescent="0.25">
      <c r="F78" s="116"/>
      <c r="H78" s="118"/>
    </row>
    <row r="79" spans="1:13" x14ac:dyDescent="0.25">
      <c r="F79" s="116"/>
      <c r="H79" s="118"/>
    </row>
    <row r="80" spans="1:13" x14ac:dyDescent="0.25">
      <c r="F80" s="116"/>
      <c r="H80" s="118"/>
    </row>
    <row r="81" spans="6:8" x14ac:dyDescent="0.25">
      <c r="F81" s="116"/>
      <c r="H81" s="118"/>
    </row>
    <row r="82" spans="6:8" x14ac:dyDescent="0.25">
      <c r="F82" s="116"/>
      <c r="H82" s="118"/>
    </row>
    <row r="83" spans="6:8" x14ac:dyDescent="0.25">
      <c r="F83" s="116"/>
      <c r="H83" s="118"/>
    </row>
    <row r="84" spans="6:8" x14ac:dyDescent="0.25">
      <c r="F84" s="116"/>
      <c r="H84" s="118"/>
    </row>
    <row r="85" spans="6:8" x14ac:dyDescent="0.25">
      <c r="H85" s="118"/>
    </row>
    <row r="86" spans="6:8" x14ac:dyDescent="0.25">
      <c r="H86" s="118"/>
    </row>
    <row r="87" spans="6:8" x14ac:dyDescent="0.25">
      <c r="H87" s="118"/>
    </row>
    <row r="88" spans="6:8" x14ac:dyDescent="0.25">
      <c r="H88" s="11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90A18-8273-4589-8299-139B6E85A5CC}">
  <dimension ref="A1:M66"/>
  <sheetViews>
    <sheetView topLeftCell="A10" workbookViewId="0">
      <selection activeCell="B43" sqref="B43"/>
    </sheetView>
  </sheetViews>
  <sheetFormatPr defaultRowHeight="15" x14ac:dyDescent="0.25"/>
  <cols>
    <col min="1" max="1" width="9.28515625" customWidth="1"/>
    <col min="2" max="2" width="54.7109375" customWidth="1"/>
    <col min="3" max="3" width="46.140625" customWidth="1"/>
    <col min="4" max="4" width="12.42578125" style="116" customWidth="1"/>
    <col min="5" max="5" width="14.42578125" style="116" customWidth="1"/>
    <col min="6" max="6" width="13.42578125" customWidth="1"/>
    <col min="7" max="7" width="14.85546875" customWidth="1"/>
    <col min="8" max="8" width="10" customWidth="1"/>
    <col min="9" max="9" width="11.5703125" customWidth="1"/>
    <col min="10" max="10" width="11.85546875" customWidth="1"/>
    <col min="11" max="11" width="12.7109375" customWidth="1"/>
    <col min="12" max="12" width="15.28515625" customWidth="1"/>
    <col min="13" max="13" width="15.140625" customWidth="1"/>
  </cols>
  <sheetData>
    <row r="1" spans="1:13" x14ac:dyDescent="0.25">
      <c r="A1" s="1" t="s">
        <v>0</v>
      </c>
      <c r="B1" s="2"/>
      <c r="C1" s="3"/>
      <c r="D1" s="66"/>
      <c r="E1" s="66"/>
      <c r="F1" s="43"/>
      <c r="G1" s="43"/>
      <c r="H1" s="4"/>
      <c r="I1" s="36"/>
      <c r="J1" s="36"/>
      <c r="K1" s="5"/>
    </row>
    <row r="2" spans="1:13" x14ac:dyDescent="0.25">
      <c r="A2" s="1" t="s">
        <v>1</v>
      </c>
      <c r="B2" s="2"/>
      <c r="C2" s="3"/>
      <c r="D2" s="66"/>
      <c r="E2" s="66"/>
      <c r="F2" s="43"/>
      <c r="G2" s="43"/>
      <c r="H2" s="4"/>
      <c r="I2" s="36"/>
      <c r="J2" s="36"/>
      <c r="K2" s="5"/>
    </row>
    <row r="3" spans="1:13" x14ac:dyDescent="0.25">
      <c r="A3" s="1"/>
      <c r="B3" s="2"/>
      <c r="C3" s="3"/>
      <c r="D3" s="66"/>
      <c r="E3" s="66"/>
      <c r="F3" s="43"/>
      <c r="G3" s="43"/>
      <c r="H3" s="4"/>
      <c r="I3" s="36"/>
      <c r="J3" s="36"/>
      <c r="K3" s="5"/>
    </row>
    <row r="4" spans="1:13" x14ac:dyDescent="0.25">
      <c r="A4" s="6"/>
      <c r="B4" s="2" t="s">
        <v>2</v>
      </c>
      <c r="C4" s="3"/>
      <c r="D4" s="66"/>
      <c r="E4" s="66"/>
      <c r="F4" s="43"/>
      <c r="G4" s="43"/>
      <c r="H4" s="4"/>
      <c r="I4" s="36"/>
      <c r="J4" s="36"/>
      <c r="K4" s="5"/>
    </row>
    <row r="5" spans="1:13" ht="15.75" thickBot="1" x14ac:dyDescent="0.3">
      <c r="A5" s="7"/>
      <c r="B5" s="8" t="s">
        <v>3</v>
      </c>
      <c r="C5" s="5"/>
      <c r="D5" s="67"/>
      <c r="E5" s="67"/>
      <c r="F5" s="37"/>
      <c r="G5" s="37"/>
      <c r="H5" s="9"/>
      <c r="I5" s="37"/>
      <c r="J5" s="37"/>
      <c r="K5" s="5"/>
    </row>
    <row r="6" spans="1:13" ht="25.5" x14ac:dyDescent="0.25">
      <c r="A6" s="10" t="s">
        <v>4</v>
      </c>
      <c r="B6" s="11" t="s">
        <v>5</v>
      </c>
      <c r="C6" s="12" t="s">
        <v>6</v>
      </c>
      <c r="D6" s="68"/>
      <c r="E6" s="120"/>
      <c r="F6" s="14"/>
      <c r="G6" s="15" t="s">
        <v>7</v>
      </c>
      <c r="H6" s="46" t="s">
        <v>8</v>
      </c>
      <c r="I6" s="16" t="s">
        <v>9</v>
      </c>
      <c r="J6" s="16" t="s">
        <v>10</v>
      </c>
      <c r="K6" s="16" t="s">
        <v>9</v>
      </c>
      <c r="L6" s="16" t="s">
        <v>10</v>
      </c>
      <c r="M6" s="17"/>
    </row>
    <row r="7" spans="1:13" x14ac:dyDescent="0.25">
      <c r="A7" s="21"/>
      <c r="B7" s="22"/>
      <c r="C7" s="23"/>
      <c r="D7" s="69" t="s">
        <v>11</v>
      </c>
      <c r="E7" s="69" t="s">
        <v>12</v>
      </c>
      <c r="F7" s="24" t="s">
        <v>13</v>
      </c>
      <c r="G7" s="25"/>
      <c r="H7" s="26"/>
      <c r="I7" s="27" t="s">
        <v>14</v>
      </c>
      <c r="J7" s="27" t="s">
        <v>14</v>
      </c>
      <c r="K7" s="18" t="s">
        <v>15</v>
      </c>
      <c r="L7" s="18" t="s">
        <v>15</v>
      </c>
      <c r="M7" s="19" t="s">
        <v>16</v>
      </c>
    </row>
    <row r="8" spans="1:13" x14ac:dyDescent="0.25">
      <c r="A8" s="159" t="s">
        <v>1163</v>
      </c>
      <c r="B8" s="73"/>
      <c r="C8" s="73"/>
      <c r="D8" s="133">
        <f>SUM(D25:D1021)</f>
        <v>272500</v>
      </c>
      <c r="E8" s="133">
        <f>SUM(E26:E28)</f>
        <v>115000</v>
      </c>
      <c r="F8" s="133">
        <f>SUM(F9:F13)</f>
        <v>51400</v>
      </c>
      <c r="G8" s="199">
        <f>SUM(D8:F8)</f>
        <v>438900</v>
      </c>
      <c r="H8" s="73"/>
      <c r="I8" s="73"/>
      <c r="J8" s="73"/>
      <c r="K8" s="73"/>
      <c r="L8" s="73"/>
      <c r="M8" s="20">
        <f t="shared" ref="M8:M45" si="0">SUM(G8-I8-K8)</f>
        <v>438900</v>
      </c>
    </row>
    <row r="9" spans="1:13" x14ac:dyDescent="0.25">
      <c r="A9" s="186">
        <v>45967</v>
      </c>
      <c r="B9" s="178" t="s">
        <v>1155</v>
      </c>
      <c r="C9" s="178" t="s">
        <v>1156</v>
      </c>
      <c r="D9" s="174"/>
      <c r="E9" s="174"/>
      <c r="F9" s="174">
        <v>8000</v>
      </c>
      <c r="G9" s="175">
        <v>8000</v>
      </c>
      <c r="H9" s="57" t="s">
        <v>29</v>
      </c>
      <c r="I9" s="105"/>
      <c r="J9" s="105"/>
      <c r="K9" s="177">
        <v>8000</v>
      </c>
      <c r="L9" s="178" t="s">
        <v>1157</v>
      </c>
      <c r="M9" s="20">
        <f t="shared" si="0"/>
        <v>0</v>
      </c>
    </row>
    <row r="10" spans="1:13" x14ac:dyDescent="0.25">
      <c r="A10" s="186">
        <v>45968</v>
      </c>
      <c r="B10" s="178" t="s">
        <v>1158</v>
      </c>
      <c r="C10" s="178" t="s">
        <v>295</v>
      </c>
      <c r="D10" s="174"/>
      <c r="E10" s="174"/>
      <c r="F10" s="174">
        <v>1400</v>
      </c>
      <c r="G10" s="175">
        <v>1400</v>
      </c>
      <c r="H10" s="57" t="s">
        <v>29</v>
      </c>
      <c r="I10" s="105"/>
      <c r="J10" s="105"/>
      <c r="K10" s="177">
        <v>1400</v>
      </c>
      <c r="L10" s="178" t="s">
        <v>1236</v>
      </c>
      <c r="M10" s="20">
        <f t="shared" si="0"/>
        <v>0</v>
      </c>
    </row>
    <row r="11" spans="1:13" x14ac:dyDescent="0.25">
      <c r="A11" s="186">
        <v>45968</v>
      </c>
      <c r="B11" s="178" t="s">
        <v>1159</v>
      </c>
      <c r="C11" s="178" t="s">
        <v>34</v>
      </c>
      <c r="D11" s="174"/>
      <c r="E11" s="174"/>
      <c r="F11" s="174">
        <v>12000</v>
      </c>
      <c r="G11" s="175">
        <v>12000</v>
      </c>
      <c r="H11" s="200"/>
      <c r="I11" s="73"/>
      <c r="J11" s="73"/>
      <c r="K11" s="177"/>
      <c r="L11" s="178"/>
      <c r="M11" s="20">
        <f t="shared" si="0"/>
        <v>12000</v>
      </c>
    </row>
    <row r="12" spans="1:13" x14ac:dyDescent="0.25">
      <c r="A12" s="186">
        <v>45968</v>
      </c>
      <c r="B12" s="178" t="s">
        <v>1160</v>
      </c>
      <c r="C12" s="178" t="s">
        <v>34</v>
      </c>
      <c r="D12" s="174"/>
      <c r="E12" s="174"/>
      <c r="F12" s="174">
        <v>12000</v>
      </c>
      <c r="G12" s="175">
        <v>12000</v>
      </c>
      <c r="H12" s="200"/>
      <c r="I12" s="73"/>
      <c r="J12" s="73"/>
      <c r="K12" s="177"/>
      <c r="L12" s="178"/>
      <c r="M12" s="20">
        <f t="shared" si="0"/>
        <v>12000</v>
      </c>
    </row>
    <row r="13" spans="1:13" x14ac:dyDescent="0.25">
      <c r="A13" s="186">
        <v>45968</v>
      </c>
      <c r="B13" s="178" t="s">
        <v>1161</v>
      </c>
      <c r="C13" s="178" t="s">
        <v>852</v>
      </c>
      <c r="D13" s="174"/>
      <c r="E13" s="174"/>
      <c r="F13" s="174">
        <v>18000</v>
      </c>
      <c r="G13" s="175">
        <v>18000</v>
      </c>
      <c r="H13" s="57" t="s">
        <v>29</v>
      </c>
      <c r="I13" s="105"/>
      <c r="J13" s="105"/>
      <c r="K13" s="177">
        <v>18000</v>
      </c>
      <c r="L13" s="178" t="s">
        <v>1175</v>
      </c>
      <c r="M13" s="20">
        <f t="shared" si="0"/>
        <v>0</v>
      </c>
    </row>
    <row r="14" spans="1:13" x14ac:dyDescent="0.25">
      <c r="A14" s="188">
        <v>45972</v>
      </c>
      <c r="B14" s="181" t="s">
        <v>1173</v>
      </c>
      <c r="C14" s="181" t="s">
        <v>1174</v>
      </c>
      <c r="D14" s="183"/>
      <c r="E14" s="183"/>
      <c r="F14" s="183">
        <v>36000</v>
      </c>
      <c r="G14" s="184">
        <v>36000</v>
      </c>
      <c r="H14" s="57" t="s">
        <v>29</v>
      </c>
      <c r="I14" s="104"/>
      <c r="J14" s="104"/>
      <c r="K14" s="185">
        <v>36000</v>
      </c>
      <c r="L14" s="181" t="s">
        <v>1162</v>
      </c>
      <c r="M14" s="20">
        <f t="shared" si="0"/>
        <v>0</v>
      </c>
    </row>
    <row r="15" spans="1:13" x14ac:dyDescent="0.25">
      <c r="A15" s="188">
        <v>45972</v>
      </c>
      <c r="B15" s="181" t="s">
        <v>1176</v>
      </c>
      <c r="C15" s="181" t="s">
        <v>1177</v>
      </c>
      <c r="D15" s="183"/>
      <c r="E15" s="183"/>
      <c r="F15" s="183">
        <v>229500</v>
      </c>
      <c r="G15" s="184">
        <v>229500</v>
      </c>
      <c r="H15" s="57" t="s">
        <v>29</v>
      </c>
      <c r="I15" s="104"/>
      <c r="J15" s="104"/>
      <c r="K15" s="185">
        <v>229500</v>
      </c>
      <c r="L15" s="181"/>
      <c r="M15" s="20">
        <f t="shared" si="0"/>
        <v>0</v>
      </c>
    </row>
    <row r="16" spans="1:13" x14ac:dyDescent="0.25">
      <c r="A16" s="188">
        <v>45972</v>
      </c>
      <c r="B16" s="181" t="s">
        <v>1178</v>
      </c>
      <c r="C16" s="181" t="s">
        <v>1121</v>
      </c>
      <c r="D16" s="183"/>
      <c r="E16" s="183"/>
      <c r="F16" s="183">
        <v>30000</v>
      </c>
      <c r="G16" s="184">
        <v>30000</v>
      </c>
      <c r="H16" s="94"/>
      <c r="I16" s="29">
        <v>15000</v>
      </c>
      <c r="J16" s="92" t="s">
        <v>1179</v>
      </c>
      <c r="K16" s="185"/>
      <c r="L16" s="181"/>
      <c r="M16" s="30">
        <f t="shared" si="0"/>
        <v>15000</v>
      </c>
    </row>
    <row r="17" spans="1:13" x14ac:dyDescent="0.25">
      <c r="A17" s="188">
        <v>45972</v>
      </c>
      <c r="B17" s="181" t="s">
        <v>1180</v>
      </c>
      <c r="C17" s="181" t="s">
        <v>95</v>
      </c>
      <c r="D17" s="183"/>
      <c r="E17" s="183"/>
      <c r="F17" s="183">
        <v>2500</v>
      </c>
      <c r="G17" s="184">
        <v>2500</v>
      </c>
      <c r="H17" s="57" t="s">
        <v>29</v>
      </c>
      <c r="I17" s="104"/>
      <c r="J17" s="104"/>
      <c r="K17" s="185">
        <v>2500</v>
      </c>
      <c r="L17" s="181" t="s">
        <v>1181</v>
      </c>
      <c r="M17" s="30">
        <f t="shared" si="0"/>
        <v>0</v>
      </c>
    </row>
    <row r="18" spans="1:13" x14ac:dyDescent="0.25">
      <c r="A18" s="188">
        <v>45974</v>
      </c>
      <c r="B18" s="181" t="s">
        <v>1205</v>
      </c>
      <c r="C18" s="181" t="s">
        <v>1200</v>
      </c>
      <c r="D18" s="183"/>
      <c r="E18" s="183"/>
      <c r="F18" s="183">
        <v>96000</v>
      </c>
      <c r="G18" s="184">
        <v>96000</v>
      </c>
      <c r="H18" s="94"/>
      <c r="I18" s="29">
        <v>42500</v>
      </c>
      <c r="J18" s="92" t="s">
        <v>1201</v>
      </c>
      <c r="K18" s="185"/>
      <c r="L18" s="181"/>
      <c r="M18" s="30">
        <f t="shared" si="0"/>
        <v>53500</v>
      </c>
    </row>
    <row r="19" spans="1:13" x14ac:dyDescent="0.25">
      <c r="A19" s="188">
        <v>45974</v>
      </c>
      <c r="B19" s="181" t="s">
        <v>1202</v>
      </c>
      <c r="C19" s="181" t="s">
        <v>342</v>
      </c>
      <c r="D19" s="183"/>
      <c r="E19" s="183"/>
      <c r="F19" s="183">
        <v>4000</v>
      </c>
      <c r="G19" s="184">
        <v>4000</v>
      </c>
      <c r="H19" s="57" t="s">
        <v>29</v>
      </c>
      <c r="I19" s="104"/>
      <c r="J19" s="104"/>
      <c r="K19" s="185">
        <v>4000</v>
      </c>
      <c r="L19" s="181" t="s">
        <v>1203</v>
      </c>
      <c r="M19" s="30">
        <f t="shared" si="0"/>
        <v>0</v>
      </c>
    </row>
    <row r="20" spans="1:13" x14ac:dyDescent="0.25">
      <c r="A20" s="188">
        <v>45975</v>
      </c>
      <c r="B20" s="181" t="s">
        <v>1204</v>
      </c>
      <c r="C20" s="181" t="s">
        <v>183</v>
      </c>
      <c r="D20" s="183"/>
      <c r="E20" s="183"/>
      <c r="F20" s="183">
        <v>3500</v>
      </c>
      <c r="G20" s="184">
        <v>3500</v>
      </c>
      <c r="H20" s="57" t="s">
        <v>29</v>
      </c>
      <c r="I20" s="104"/>
      <c r="J20" s="104"/>
      <c r="K20" s="185">
        <v>3500</v>
      </c>
      <c r="L20" s="181" t="s">
        <v>1206</v>
      </c>
      <c r="M20" s="30">
        <f t="shared" si="0"/>
        <v>0</v>
      </c>
    </row>
    <row r="21" spans="1:13" x14ac:dyDescent="0.25">
      <c r="A21" s="188">
        <v>45978</v>
      </c>
      <c r="B21" s="181" t="s">
        <v>1225</v>
      </c>
      <c r="C21" s="181" t="s">
        <v>1207</v>
      </c>
      <c r="D21" s="183"/>
      <c r="E21" s="183"/>
      <c r="F21" s="183">
        <v>35000</v>
      </c>
      <c r="G21" s="184">
        <v>35000</v>
      </c>
      <c r="H21" s="57" t="s">
        <v>29</v>
      </c>
      <c r="I21" s="104"/>
      <c r="J21" s="104"/>
      <c r="K21" s="185">
        <v>35000</v>
      </c>
      <c r="L21" s="181" t="s">
        <v>1208</v>
      </c>
      <c r="M21" s="30">
        <f t="shared" si="0"/>
        <v>0</v>
      </c>
    </row>
    <row r="22" spans="1:13" x14ac:dyDescent="0.25">
      <c r="A22" s="188">
        <v>45982</v>
      </c>
      <c r="B22" s="181" t="s">
        <v>1227</v>
      </c>
      <c r="C22" s="181" t="s">
        <v>852</v>
      </c>
      <c r="D22" s="183"/>
      <c r="E22" s="183"/>
      <c r="F22" s="183">
        <v>15000</v>
      </c>
      <c r="G22" s="184">
        <v>15000</v>
      </c>
      <c r="H22" s="57" t="s">
        <v>29</v>
      </c>
      <c r="I22" s="104"/>
      <c r="J22" s="104"/>
      <c r="K22" s="185">
        <v>15000</v>
      </c>
      <c r="L22" s="181"/>
      <c r="M22" s="30">
        <f t="shared" si="0"/>
        <v>0</v>
      </c>
    </row>
    <row r="23" spans="1:13" x14ac:dyDescent="0.25">
      <c r="A23" s="188">
        <v>45982</v>
      </c>
      <c r="B23" s="181" t="s">
        <v>1228</v>
      </c>
      <c r="C23" s="181" t="s">
        <v>1229</v>
      </c>
      <c r="D23" s="183"/>
      <c r="E23" s="183"/>
      <c r="F23" s="183">
        <v>7000</v>
      </c>
      <c r="G23" s="184">
        <v>7000</v>
      </c>
      <c r="H23" s="57" t="s">
        <v>29</v>
      </c>
      <c r="I23" s="104"/>
      <c r="J23" s="104"/>
      <c r="K23" s="185">
        <v>7000</v>
      </c>
      <c r="L23" s="181" t="s">
        <v>1313</v>
      </c>
      <c r="M23" s="30">
        <f t="shared" si="0"/>
        <v>0</v>
      </c>
    </row>
    <row r="24" spans="1:13" x14ac:dyDescent="0.25">
      <c r="A24" s="188">
        <v>45987</v>
      </c>
      <c r="B24" s="181" t="s">
        <v>1249</v>
      </c>
      <c r="C24" s="181" t="s">
        <v>1250</v>
      </c>
      <c r="D24" s="183"/>
      <c r="E24" s="183"/>
      <c r="F24" s="183">
        <v>7500</v>
      </c>
      <c r="G24" s="184">
        <v>7500</v>
      </c>
      <c r="H24" s="57" t="s">
        <v>29</v>
      </c>
      <c r="I24" s="104"/>
      <c r="J24" s="104"/>
      <c r="K24" s="185">
        <v>7500</v>
      </c>
      <c r="L24" s="181" t="s">
        <v>1251</v>
      </c>
      <c r="M24" s="30">
        <f t="shared" si="0"/>
        <v>0</v>
      </c>
    </row>
    <row r="25" spans="1:13" x14ac:dyDescent="0.25">
      <c r="A25" s="155"/>
      <c r="B25" s="156"/>
      <c r="C25" s="156"/>
      <c r="D25" s="157"/>
      <c r="E25" s="157"/>
      <c r="F25" s="157"/>
      <c r="G25" s="157"/>
      <c r="H25" s="113"/>
      <c r="I25" s="156"/>
      <c r="J25" s="156"/>
      <c r="K25" s="158"/>
      <c r="L25" s="158"/>
      <c r="M25" s="126"/>
    </row>
    <row r="26" spans="1:13" x14ac:dyDescent="0.25">
      <c r="A26" s="109">
        <v>45966</v>
      </c>
      <c r="B26" s="73" t="s">
        <v>1209</v>
      </c>
      <c r="C26" s="73" t="s">
        <v>18</v>
      </c>
      <c r="D26" s="28"/>
      <c r="E26" s="28">
        <v>94000</v>
      </c>
      <c r="F26" s="73"/>
      <c r="G26" s="28">
        <v>94000</v>
      </c>
      <c r="H26" s="57" t="s">
        <v>29</v>
      </c>
      <c r="I26" s="104"/>
      <c r="J26" s="104"/>
      <c r="K26" s="28">
        <v>94000</v>
      </c>
      <c r="L26" s="58" t="s">
        <v>1210</v>
      </c>
      <c r="M26" s="30">
        <f t="shared" si="0"/>
        <v>0</v>
      </c>
    </row>
    <row r="27" spans="1:13" x14ac:dyDescent="0.25">
      <c r="A27" s="109">
        <v>45981</v>
      </c>
      <c r="B27" s="73" t="s">
        <v>1230</v>
      </c>
      <c r="C27" s="73" t="s">
        <v>1231</v>
      </c>
      <c r="D27" s="28"/>
      <c r="E27" s="28">
        <v>13500</v>
      </c>
      <c r="F27" s="73"/>
      <c r="G27" s="28">
        <v>13500</v>
      </c>
      <c r="H27" s="57" t="s">
        <v>29</v>
      </c>
      <c r="I27" s="104"/>
      <c r="J27" s="104"/>
      <c r="K27" s="28">
        <v>13500</v>
      </c>
      <c r="L27" s="58" t="s">
        <v>1238</v>
      </c>
      <c r="M27" s="30">
        <f t="shared" si="0"/>
        <v>0</v>
      </c>
    </row>
    <row r="28" spans="1:13" x14ac:dyDescent="0.25">
      <c r="A28" s="109">
        <v>45986</v>
      </c>
      <c r="B28" s="73" t="s">
        <v>1239</v>
      </c>
      <c r="C28" s="73" t="s">
        <v>1240</v>
      </c>
      <c r="D28" s="28"/>
      <c r="E28" s="28">
        <v>7500</v>
      </c>
      <c r="F28" s="73"/>
      <c r="G28" s="28">
        <v>7500</v>
      </c>
      <c r="H28" s="57" t="s">
        <v>29</v>
      </c>
      <c r="I28" s="104"/>
      <c r="J28" s="104"/>
      <c r="K28" s="119">
        <v>7500</v>
      </c>
      <c r="L28" s="119" t="s">
        <v>1245</v>
      </c>
      <c r="M28" s="30">
        <f t="shared" si="0"/>
        <v>0</v>
      </c>
    </row>
    <row r="29" spans="1:13" x14ac:dyDescent="0.25">
      <c r="A29" s="193"/>
      <c r="B29" s="194"/>
      <c r="C29" s="194"/>
      <c r="D29" s="195"/>
      <c r="E29" s="196"/>
      <c r="F29" s="196"/>
      <c r="G29" s="196"/>
      <c r="H29" s="164"/>
      <c r="I29" s="194"/>
      <c r="J29" s="194"/>
      <c r="K29" s="197" t="s">
        <v>701</v>
      </c>
      <c r="L29" s="197"/>
      <c r="M29" s="166"/>
    </row>
    <row r="30" spans="1:13" x14ac:dyDescent="0.25">
      <c r="A30" s="109">
        <v>45966</v>
      </c>
      <c r="B30" s="73" t="s">
        <v>1164</v>
      </c>
      <c r="C30" s="73" t="s">
        <v>1165</v>
      </c>
      <c r="D30" s="28">
        <v>4000</v>
      </c>
      <c r="E30" s="56"/>
      <c r="F30" s="56"/>
      <c r="G30" s="56">
        <v>4000</v>
      </c>
      <c r="H30" s="57" t="s">
        <v>29</v>
      </c>
      <c r="I30" s="105"/>
      <c r="J30" s="105"/>
      <c r="K30" s="58">
        <v>4000</v>
      </c>
      <c r="L30" s="58" t="s">
        <v>1166</v>
      </c>
      <c r="M30" s="20">
        <f t="shared" si="0"/>
        <v>0</v>
      </c>
    </row>
    <row r="31" spans="1:13" x14ac:dyDescent="0.25">
      <c r="A31" s="109">
        <v>45967</v>
      </c>
      <c r="B31" s="73" t="s">
        <v>1167</v>
      </c>
      <c r="C31" s="73" t="s">
        <v>1168</v>
      </c>
      <c r="D31" s="28">
        <v>6500</v>
      </c>
      <c r="E31" s="56"/>
      <c r="F31" s="56"/>
      <c r="G31" s="56">
        <v>6500</v>
      </c>
      <c r="H31" s="57" t="s">
        <v>29</v>
      </c>
      <c r="I31" s="105"/>
      <c r="J31" s="105"/>
      <c r="K31" s="58">
        <v>6500</v>
      </c>
      <c r="L31" s="58" t="s">
        <v>1300</v>
      </c>
      <c r="M31" s="20">
        <f t="shared" si="0"/>
        <v>0</v>
      </c>
    </row>
    <row r="32" spans="1:13" x14ac:dyDescent="0.25">
      <c r="A32" s="213">
        <v>45968</v>
      </c>
      <c r="B32" s="150" t="s">
        <v>1169</v>
      </c>
      <c r="C32" s="150" t="s">
        <v>1170</v>
      </c>
      <c r="D32" s="101">
        <v>44100</v>
      </c>
      <c r="E32" s="98"/>
      <c r="F32" s="98"/>
      <c r="G32" s="98">
        <v>44100</v>
      </c>
      <c r="H32" s="152" t="s">
        <v>29</v>
      </c>
      <c r="I32" s="101">
        <v>19100</v>
      </c>
      <c r="J32" s="150" t="s">
        <v>1224</v>
      </c>
      <c r="K32" s="100">
        <v>25000</v>
      </c>
      <c r="L32" s="100" t="s">
        <v>1386</v>
      </c>
      <c r="M32" s="20">
        <f t="shared" si="0"/>
        <v>0</v>
      </c>
    </row>
    <row r="33" spans="1:13" x14ac:dyDescent="0.25">
      <c r="A33" s="109">
        <v>45968</v>
      </c>
      <c r="B33" s="73" t="s">
        <v>1182</v>
      </c>
      <c r="C33" s="73" t="s">
        <v>1183</v>
      </c>
      <c r="D33" s="28">
        <v>32500</v>
      </c>
      <c r="E33" s="56"/>
      <c r="F33" s="56"/>
      <c r="G33" s="56">
        <v>32500</v>
      </c>
      <c r="H33" s="57" t="s">
        <v>29</v>
      </c>
      <c r="I33" s="105"/>
      <c r="J33" s="105"/>
      <c r="K33" s="58">
        <v>32500</v>
      </c>
      <c r="L33" s="58" t="s">
        <v>1378</v>
      </c>
      <c r="M33" s="20">
        <f t="shared" si="0"/>
        <v>0</v>
      </c>
    </row>
    <row r="34" spans="1:13" x14ac:dyDescent="0.25">
      <c r="A34" s="109">
        <v>45968</v>
      </c>
      <c r="B34" s="73" t="s">
        <v>1184</v>
      </c>
      <c r="C34" s="73" t="s">
        <v>852</v>
      </c>
      <c r="D34" s="28">
        <v>6500</v>
      </c>
      <c r="E34" s="56"/>
      <c r="F34" s="56"/>
      <c r="G34" s="56">
        <v>6500</v>
      </c>
      <c r="H34" s="57" t="s">
        <v>29</v>
      </c>
      <c r="I34" s="105"/>
      <c r="J34" s="105"/>
      <c r="K34" s="58">
        <v>6500</v>
      </c>
      <c r="L34" s="58" t="s">
        <v>1380</v>
      </c>
      <c r="M34" s="20">
        <f t="shared" si="0"/>
        <v>0</v>
      </c>
    </row>
    <row r="35" spans="1:13" x14ac:dyDescent="0.25">
      <c r="A35" s="109">
        <v>45968</v>
      </c>
      <c r="B35" s="73" t="s">
        <v>1185</v>
      </c>
      <c r="C35" s="73" t="s">
        <v>857</v>
      </c>
      <c r="D35" s="28">
        <v>13000</v>
      </c>
      <c r="E35" s="56"/>
      <c r="F35" s="56"/>
      <c r="G35" s="56">
        <v>13000</v>
      </c>
      <c r="H35" s="57" t="s">
        <v>29</v>
      </c>
      <c r="I35" s="105"/>
      <c r="J35" s="105"/>
      <c r="K35" s="58">
        <v>13000</v>
      </c>
      <c r="L35" s="58" t="s">
        <v>1377</v>
      </c>
      <c r="M35" s="20">
        <f t="shared" si="0"/>
        <v>0</v>
      </c>
    </row>
    <row r="36" spans="1:13" x14ac:dyDescent="0.25">
      <c r="A36" s="109">
        <v>45968</v>
      </c>
      <c r="B36" s="73" t="s">
        <v>1186</v>
      </c>
      <c r="C36" s="73" t="s">
        <v>852</v>
      </c>
      <c r="D36" s="28">
        <v>6500</v>
      </c>
      <c r="E36" s="56"/>
      <c r="F36" s="56"/>
      <c r="G36" s="56">
        <v>6500</v>
      </c>
      <c r="H36" s="57" t="s">
        <v>29</v>
      </c>
      <c r="I36" s="105"/>
      <c r="J36" s="105"/>
      <c r="K36" s="58">
        <v>6500</v>
      </c>
      <c r="L36" s="58" t="s">
        <v>1381</v>
      </c>
      <c r="M36" s="20">
        <f t="shared" si="0"/>
        <v>0</v>
      </c>
    </row>
    <row r="37" spans="1:13" x14ac:dyDescent="0.25">
      <c r="A37" s="109">
        <v>45968</v>
      </c>
      <c r="B37" s="73" t="s">
        <v>1187</v>
      </c>
      <c r="C37" s="73" t="s">
        <v>852</v>
      </c>
      <c r="D37" s="28">
        <v>6500</v>
      </c>
      <c r="E37" s="56"/>
      <c r="F37" s="56"/>
      <c r="G37" s="56">
        <v>6500</v>
      </c>
      <c r="H37" s="57" t="s">
        <v>29</v>
      </c>
      <c r="I37" s="105"/>
      <c r="J37" s="105"/>
      <c r="K37" s="58">
        <v>6500</v>
      </c>
      <c r="L37" s="58" t="s">
        <v>1374</v>
      </c>
      <c r="M37" s="20">
        <f t="shared" si="0"/>
        <v>0</v>
      </c>
    </row>
    <row r="38" spans="1:13" x14ac:dyDescent="0.25">
      <c r="A38" s="109">
        <v>45968</v>
      </c>
      <c r="B38" s="73" t="s">
        <v>1188</v>
      </c>
      <c r="C38" s="73" t="s">
        <v>857</v>
      </c>
      <c r="D38" s="28">
        <v>13000</v>
      </c>
      <c r="E38" s="56"/>
      <c r="F38" s="56"/>
      <c r="G38" s="56">
        <v>13000</v>
      </c>
      <c r="H38" s="57" t="s">
        <v>29</v>
      </c>
      <c r="I38" s="105"/>
      <c r="J38" s="105"/>
      <c r="K38" s="58">
        <v>13000</v>
      </c>
      <c r="L38" s="58" t="s">
        <v>1376</v>
      </c>
      <c r="M38" s="20">
        <f t="shared" si="0"/>
        <v>0</v>
      </c>
    </row>
    <row r="39" spans="1:13" x14ac:dyDescent="0.25">
      <c r="A39" s="109">
        <v>45968</v>
      </c>
      <c r="B39" s="73" t="s">
        <v>1189</v>
      </c>
      <c r="C39" s="73" t="s">
        <v>852</v>
      </c>
      <c r="D39" s="28">
        <v>6500</v>
      </c>
      <c r="E39" s="56"/>
      <c r="F39" s="56"/>
      <c r="G39" s="56">
        <v>6500</v>
      </c>
      <c r="H39" s="57" t="s">
        <v>29</v>
      </c>
      <c r="I39" s="105"/>
      <c r="J39" s="105"/>
      <c r="K39" s="58">
        <v>6500</v>
      </c>
      <c r="L39" s="58" t="s">
        <v>1382</v>
      </c>
      <c r="M39" s="20">
        <f t="shared" si="0"/>
        <v>0</v>
      </c>
    </row>
    <row r="40" spans="1:13" x14ac:dyDescent="0.25">
      <c r="A40" s="109">
        <v>45972</v>
      </c>
      <c r="B40" s="73" t="s">
        <v>1190</v>
      </c>
      <c r="C40" s="73" t="s">
        <v>1191</v>
      </c>
      <c r="D40" s="28">
        <v>1500</v>
      </c>
      <c r="E40" s="56"/>
      <c r="F40" s="56"/>
      <c r="G40" s="56">
        <v>1500</v>
      </c>
      <c r="H40" s="57" t="s">
        <v>29</v>
      </c>
      <c r="I40" s="105"/>
      <c r="J40" s="105"/>
      <c r="K40" s="58">
        <v>1500</v>
      </c>
      <c r="L40" s="58" t="s">
        <v>1219</v>
      </c>
      <c r="M40" s="20">
        <f t="shared" si="0"/>
        <v>0</v>
      </c>
    </row>
    <row r="41" spans="1:13" x14ac:dyDescent="0.25">
      <c r="A41" s="109">
        <v>45973</v>
      </c>
      <c r="B41" s="73" t="s">
        <v>1192</v>
      </c>
      <c r="C41" s="73" t="s">
        <v>52</v>
      </c>
      <c r="D41" s="28">
        <v>3100</v>
      </c>
      <c r="E41" s="56"/>
      <c r="F41" s="56"/>
      <c r="G41" s="56">
        <v>3100</v>
      </c>
      <c r="H41" s="57" t="s">
        <v>29</v>
      </c>
      <c r="I41" s="105"/>
      <c r="J41" s="105"/>
      <c r="K41" s="58">
        <v>3100</v>
      </c>
      <c r="L41" s="58" t="s">
        <v>1309</v>
      </c>
      <c r="M41" s="20">
        <f t="shared" si="0"/>
        <v>0</v>
      </c>
    </row>
    <row r="42" spans="1:13" x14ac:dyDescent="0.25">
      <c r="A42" s="109">
        <v>45973</v>
      </c>
      <c r="B42" s="73" t="s">
        <v>1193</v>
      </c>
      <c r="C42" s="73" t="s">
        <v>1194</v>
      </c>
      <c r="D42" s="28">
        <v>24200</v>
      </c>
      <c r="E42" s="56"/>
      <c r="F42" s="56"/>
      <c r="G42" s="56">
        <v>24200</v>
      </c>
      <c r="H42" s="57" t="s">
        <v>29</v>
      </c>
      <c r="I42" s="105"/>
      <c r="J42" s="105"/>
      <c r="K42" s="58">
        <v>24200</v>
      </c>
      <c r="L42" s="58" t="s">
        <v>1347</v>
      </c>
      <c r="M42" s="20">
        <f t="shared" si="0"/>
        <v>0</v>
      </c>
    </row>
    <row r="43" spans="1:13" x14ac:dyDescent="0.25">
      <c r="A43" s="109">
        <v>45973</v>
      </c>
      <c r="B43" s="73" t="s">
        <v>1241</v>
      </c>
      <c r="C43" s="73" t="s">
        <v>427</v>
      </c>
      <c r="D43" s="28">
        <v>89600</v>
      </c>
      <c r="E43" s="56"/>
      <c r="F43" s="56"/>
      <c r="G43" s="56">
        <v>89600</v>
      </c>
      <c r="H43" s="57"/>
      <c r="I43" s="73"/>
      <c r="J43" s="73"/>
      <c r="K43" s="58"/>
      <c r="L43" s="58"/>
      <c r="M43" s="20">
        <f t="shared" si="0"/>
        <v>89600</v>
      </c>
    </row>
    <row r="44" spans="1:13" x14ac:dyDescent="0.25">
      <c r="A44" s="109">
        <v>45986</v>
      </c>
      <c r="B44" s="73" t="s">
        <v>1242</v>
      </c>
      <c r="C44" s="73" t="s">
        <v>1243</v>
      </c>
      <c r="D44" s="28">
        <v>7500</v>
      </c>
      <c r="E44" s="56"/>
      <c r="F44" s="56"/>
      <c r="G44" s="56">
        <v>7500</v>
      </c>
      <c r="H44" s="57"/>
      <c r="I44" s="73"/>
      <c r="J44" s="73"/>
      <c r="K44" s="58"/>
      <c r="L44" s="58"/>
      <c r="M44" s="20">
        <f t="shared" si="0"/>
        <v>7500</v>
      </c>
    </row>
    <row r="45" spans="1:13" x14ac:dyDescent="0.25">
      <c r="A45" s="109">
        <v>45986</v>
      </c>
      <c r="B45" s="73" t="s">
        <v>1244</v>
      </c>
      <c r="C45" s="73" t="s">
        <v>1243</v>
      </c>
      <c r="D45" s="28">
        <v>7500</v>
      </c>
      <c r="E45" s="56"/>
      <c r="F45" s="56"/>
      <c r="G45" s="56">
        <v>7500</v>
      </c>
      <c r="H45" s="57"/>
      <c r="I45" s="73"/>
      <c r="J45" s="73"/>
      <c r="K45" s="58"/>
      <c r="L45" s="58"/>
      <c r="M45" s="20">
        <f t="shared" si="0"/>
        <v>7500</v>
      </c>
    </row>
    <row r="46" spans="1:13" x14ac:dyDescent="0.25">
      <c r="A46" s="127"/>
      <c r="B46" s="127"/>
      <c r="C46" s="127"/>
      <c r="D46" s="128"/>
      <c r="E46" s="128"/>
      <c r="F46" s="128"/>
      <c r="G46" s="127"/>
      <c r="H46" s="129"/>
      <c r="I46" s="127"/>
      <c r="J46" s="127"/>
      <c r="K46" s="127"/>
      <c r="L46" s="127"/>
      <c r="M46" s="127"/>
    </row>
    <row r="47" spans="1:13" x14ac:dyDescent="0.25">
      <c r="F47" s="116"/>
      <c r="H47" s="118"/>
    </row>
    <row r="48" spans="1:13" x14ac:dyDescent="0.25">
      <c r="F48" s="116"/>
      <c r="H48" s="118"/>
    </row>
    <row r="49" spans="6:8" x14ac:dyDescent="0.25">
      <c r="F49" s="116"/>
      <c r="H49" s="118"/>
    </row>
    <row r="50" spans="6:8" x14ac:dyDescent="0.25">
      <c r="F50" s="116"/>
      <c r="H50" s="118"/>
    </row>
    <row r="51" spans="6:8" x14ac:dyDescent="0.25">
      <c r="F51" s="116"/>
      <c r="H51" s="118"/>
    </row>
    <row r="52" spans="6:8" x14ac:dyDescent="0.25">
      <c r="F52" s="116"/>
      <c r="H52" s="118"/>
    </row>
    <row r="53" spans="6:8" x14ac:dyDescent="0.25">
      <c r="F53" s="116"/>
      <c r="H53" s="118"/>
    </row>
    <row r="54" spans="6:8" x14ac:dyDescent="0.25">
      <c r="F54" s="116"/>
      <c r="H54" s="118"/>
    </row>
    <row r="55" spans="6:8" x14ac:dyDescent="0.25">
      <c r="F55" s="116"/>
      <c r="H55" s="118"/>
    </row>
    <row r="56" spans="6:8" x14ac:dyDescent="0.25">
      <c r="F56" s="116"/>
      <c r="H56" s="118"/>
    </row>
    <row r="57" spans="6:8" x14ac:dyDescent="0.25">
      <c r="F57" s="116"/>
      <c r="H57" s="118"/>
    </row>
    <row r="58" spans="6:8" x14ac:dyDescent="0.25">
      <c r="F58" s="116"/>
      <c r="H58" s="118"/>
    </row>
    <row r="59" spans="6:8" x14ac:dyDescent="0.25">
      <c r="F59" s="116"/>
      <c r="H59" s="118"/>
    </row>
    <row r="60" spans="6:8" x14ac:dyDescent="0.25">
      <c r="F60" s="116"/>
      <c r="H60" s="118"/>
    </row>
    <row r="61" spans="6:8" x14ac:dyDescent="0.25">
      <c r="F61" s="116"/>
      <c r="H61" s="118"/>
    </row>
    <row r="62" spans="6:8" x14ac:dyDescent="0.25">
      <c r="F62" s="116"/>
      <c r="H62" s="118"/>
    </row>
    <row r="63" spans="6:8" x14ac:dyDescent="0.25">
      <c r="H63" s="118"/>
    </row>
    <row r="64" spans="6:8" x14ac:dyDescent="0.25">
      <c r="H64" s="118"/>
    </row>
    <row r="65" spans="8:8" x14ac:dyDescent="0.25">
      <c r="H65" s="118"/>
    </row>
    <row r="66" spans="8:8" x14ac:dyDescent="0.25">
      <c r="H66" s="11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1F285-A5DC-416D-A596-EEA707DA285D}">
  <dimension ref="A1:M89"/>
  <sheetViews>
    <sheetView tabSelected="1" topLeftCell="A36" workbookViewId="0">
      <selection activeCell="C47" sqref="C47"/>
    </sheetView>
  </sheetViews>
  <sheetFormatPr defaultRowHeight="15" x14ac:dyDescent="0.25"/>
  <cols>
    <col min="1" max="1" width="9.28515625" customWidth="1"/>
    <col min="2" max="2" width="54.7109375" customWidth="1"/>
    <col min="3" max="3" width="46.140625" customWidth="1"/>
    <col min="4" max="4" width="12.42578125" style="116" customWidth="1"/>
    <col min="5" max="5" width="14.42578125" style="116" customWidth="1"/>
    <col min="6" max="6" width="13.42578125" customWidth="1"/>
    <col min="7" max="7" width="14.85546875" customWidth="1"/>
    <col min="8" max="8" width="10" customWidth="1"/>
    <col min="9" max="9" width="11.5703125" customWidth="1"/>
    <col min="10" max="10" width="11.85546875" customWidth="1"/>
    <col min="11" max="11" width="12.7109375" customWidth="1"/>
    <col min="12" max="12" width="15.28515625" customWidth="1"/>
    <col min="13" max="13" width="15.140625" customWidth="1"/>
  </cols>
  <sheetData>
    <row r="1" spans="1:13" x14ac:dyDescent="0.25">
      <c r="A1" s="1" t="s">
        <v>0</v>
      </c>
      <c r="B1" s="2"/>
      <c r="C1" s="3"/>
      <c r="D1" s="66"/>
      <c r="E1" s="66"/>
      <c r="F1" s="43"/>
      <c r="G1" s="43"/>
      <c r="H1" s="4"/>
      <c r="I1" s="36"/>
      <c r="J1" s="36"/>
      <c r="K1" s="5"/>
    </row>
    <row r="2" spans="1:13" x14ac:dyDescent="0.25">
      <c r="A2" s="1" t="s">
        <v>1</v>
      </c>
      <c r="B2" s="2"/>
      <c r="C2" s="3"/>
      <c r="D2" s="66"/>
      <c r="E2" s="66"/>
      <c r="F2" s="43"/>
      <c r="G2" s="43"/>
      <c r="H2" s="4"/>
      <c r="I2" s="36"/>
      <c r="J2" s="36"/>
      <c r="K2" s="5"/>
    </row>
    <row r="3" spans="1:13" x14ac:dyDescent="0.25">
      <c r="A3" s="1"/>
      <c r="B3" s="2"/>
      <c r="C3" s="3"/>
      <c r="D3" s="66"/>
      <c r="E3" s="66"/>
      <c r="F3" s="43"/>
      <c r="G3" s="43"/>
      <c r="H3" s="4"/>
      <c r="I3" s="36"/>
      <c r="J3" s="36"/>
      <c r="K3" s="5"/>
    </row>
    <row r="4" spans="1:13" x14ac:dyDescent="0.25">
      <c r="A4" s="6"/>
      <c r="B4" s="2" t="s">
        <v>2</v>
      </c>
      <c r="C4" s="3"/>
      <c r="D4" s="66"/>
      <c r="E4" s="66"/>
      <c r="F4" s="43"/>
      <c r="G4" s="43"/>
      <c r="H4" s="4"/>
      <c r="I4" s="36"/>
      <c r="J4" s="36"/>
      <c r="K4" s="5"/>
    </row>
    <row r="5" spans="1:13" ht="15.75" thickBot="1" x14ac:dyDescent="0.3">
      <c r="A5" s="7"/>
      <c r="B5" s="8" t="s">
        <v>3</v>
      </c>
      <c r="C5" s="5"/>
      <c r="D5" s="67"/>
      <c r="E5" s="67"/>
      <c r="F5" s="37"/>
      <c r="G5" s="37"/>
      <c r="H5" s="9"/>
      <c r="I5" s="37"/>
      <c r="J5" s="37"/>
      <c r="K5" s="5"/>
    </row>
    <row r="6" spans="1:13" ht="25.5" x14ac:dyDescent="0.25">
      <c r="A6" s="10" t="s">
        <v>4</v>
      </c>
      <c r="B6" s="11" t="s">
        <v>5</v>
      </c>
      <c r="C6" s="12" t="s">
        <v>6</v>
      </c>
      <c r="D6" s="68"/>
      <c r="E6" s="120"/>
      <c r="F6" s="14"/>
      <c r="G6" s="15" t="s">
        <v>7</v>
      </c>
      <c r="H6" s="46" t="s">
        <v>8</v>
      </c>
      <c r="I6" s="16" t="s">
        <v>9</v>
      </c>
      <c r="J6" s="16" t="s">
        <v>10</v>
      </c>
      <c r="K6" s="16" t="s">
        <v>9</v>
      </c>
      <c r="L6" s="16" t="s">
        <v>10</v>
      </c>
      <c r="M6" s="17"/>
    </row>
    <row r="7" spans="1:13" x14ac:dyDescent="0.25">
      <c r="A7" s="21"/>
      <c r="B7" s="22"/>
      <c r="C7" s="23"/>
      <c r="D7" s="69" t="s">
        <v>11</v>
      </c>
      <c r="E7" s="69" t="s">
        <v>12</v>
      </c>
      <c r="F7" s="24" t="s">
        <v>13</v>
      </c>
      <c r="G7" s="25"/>
      <c r="H7" s="26"/>
      <c r="I7" s="27" t="s">
        <v>14</v>
      </c>
      <c r="J7" s="27" t="s">
        <v>14</v>
      </c>
      <c r="K7" s="18" t="s">
        <v>15</v>
      </c>
      <c r="L7" s="18" t="s">
        <v>15</v>
      </c>
      <c r="M7" s="19" t="s">
        <v>16</v>
      </c>
    </row>
    <row r="8" spans="1:13" x14ac:dyDescent="0.25">
      <c r="A8" s="159" t="s">
        <v>1246</v>
      </c>
      <c r="B8" s="73"/>
      <c r="C8" s="73"/>
      <c r="D8" s="133">
        <f>SUM(D42:D1044)</f>
        <v>1105050</v>
      </c>
      <c r="E8" s="133">
        <f>SUM(E43:E49)</f>
        <v>115500</v>
      </c>
      <c r="F8" s="133">
        <f>SUM(F9:F13)</f>
        <v>90000</v>
      </c>
      <c r="G8" s="199">
        <f>SUM(D8:F8)</f>
        <v>1310550</v>
      </c>
      <c r="H8" s="73"/>
      <c r="I8" s="73"/>
      <c r="J8" s="73"/>
      <c r="K8" s="73"/>
      <c r="L8" s="73"/>
      <c r="M8" s="20">
        <f t="shared" ref="M8:M68" si="0">SUM(G8-I8-K8)</f>
        <v>1310550</v>
      </c>
    </row>
    <row r="9" spans="1:13" x14ac:dyDescent="0.25">
      <c r="A9" s="186">
        <v>45992</v>
      </c>
      <c r="B9" s="178" t="s">
        <v>1247</v>
      </c>
      <c r="C9" s="178" t="s">
        <v>307</v>
      </c>
      <c r="D9" s="174"/>
      <c r="E9" s="174"/>
      <c r="F9" s="174">
        <v>3000</v>
      </c>
      <c r="G9" s="175">
        <v>3000</v>
      </c>
      <c r="H9" s="57" t="s">
        <v>29</v>
      </c>
      <c r="I9" s="105"/>
      <c r="J9" s="105"/>
      <c r="K9" s="177">
        <v>3000</v>
      </c>
      <c r="L9" s="178" t="s">
        <v>1404</v>
      </c>
      <c r="M9" s="20">
        <f t="shared" si="0"/>
        <v>0</v>
      </c>
    </row>
    <row r="10" spans="1:13" x14ac:dyDescent="0.25">
      <c r="A10" s="186">
        <v>45992</v>
      </c>
      <c r="B10" s="178" t="s">
        <v>1267</v>
      </c>
      <c r="C10" s="178" t="s">
        <v>1268</v>
      </c>
      <c r="D10" s="174"/>
      <c r="E10" s="174"/>
      <c r="F10" s="174">
        <v>71000</v>
      </c>
      <c r="G10" s="175">
        <v>71000</v>
      </c>
      <c r="H10" s="57"/>
      <c r="I10" s="28">
        <v>35500</v>
      </c>
      <c r="J10" s="73" t="s">
        <v>1269</v>
      </c>
      <c r="K10" s="177"/>
      <c r="L10" s="178"/>
      <c r="M10" s="20">
        <f t="shared" si="0"/>
        <v>35500</v>
      </c>
    </row>
    <row r="11" spans="1:13" x14ac:dyDescent="0.25">
      <c r="A11" s="186">
        <v>45993</v>
      </c>
      <c r="B11" s="178" t="s">
        <v>1270</v>
      </c>
      <c r="C11" s="178" t="s">
        <v>295</v>
      </c>
      <c r="D11" s="174"/>
      <c r="E11" s="174"/>
      <c r="F11" s="174">
        <v>1500</v>
      </c>
      <c r="G11" s="175">
        <v>1500</v>
      </c>
      <c r="H11" s="57" t="s">
        <v>29</v>
      </c>
      <c r="I11" s="105"/>
      <c r="J11" s="105"/>
      <c r="K11" s="177">
        <v>1500</v>
      </c>
      <c r="L11" s="178" t="s">
        <v>1271</v>
      </c>
      <c r="M11" s="20">
        <f t="shared" si="0"/>
        <v>0</v>
      </c>
    </row>
    <row r="12" spans="1:13" x14ac:dyDescent="0.25">
      <c r="A12" s="186">
        <v>45994</v>
      </c>
      <c r="B12" s="178" t="s">
        <v>1272</v>
      </c>
      <c r="C12" s="178" t="s">
        <v>918</v>
      </c>
      <c r="D12" s="174"/>
      <c r="E12" s="174"/>
      <c r="F12" s="174">
        <v>2500</v>
      </c>
      <c r="G12" s="175">
        <v>2500</v>
      </c>
      <c r="H12" s="57" t="s">
        <v>29</v>
      </c>
      <c r="I12" s="105"/>
      <c r="J12" s="105"/>
      <c r="K12" s="177">
        <v>2500</v>
      </c>
      <c r="L12" s="178" t="s">
        <v>1273</v>
      </c>
      <c r="M12" s="20">
        <f t="shared" si="0"/>
        <v>0</v>
      </c>
    </row>
    <row r="13" spans="1:13" x14ac:dyDescent="0.25">
      <c r="A13" s="186">
        <v>45995</v>
      </c>
      <c r="B13" s="178" t="s">
        <v>1274</v>
      </c>
      <c r="C13" s="178" t="s">
        <v>1275</v>
      </c>
      <c r="D13" s="174"/>
      <c r="E13" s="174"/>
      <c r="F13" s="174">
        <v>12000</v>
      </c>
      <c r="G13" s="175">
        <v>12000</v>
      </c>
      <c r="H13" s="57" t="s">
        <v>29</v>
      </c>
      <c r="I13" s="105"/>
      <c r="J13" s="105"/>
      <c r="K13" s="177">
        <v>12000</v>
      </c>
      <c r="L13" s="178" t="s">
        <v>1276</v>
      </c>
      <c r="M13" s="20">
        <f t="shared" si="0"/>
        <v>0</v>
      </c>
    </row>
    <row r="14" spans="1:13" x14ac:dyDescent="0.25">
      <c r="A14" s="188">
        <v>45995</v>
      </c>
      <c r="B14" s="181" t="s">
        <v>1285</v>
      </c>
      <c r="C14" s="181" t="s">
        <v>18</v>
      </c>
      <c r="D14" s="183"/>
      <c r="E14" s="28"/>
      <c r="F14" s="183">
        <v>38500</v>
      </c>
      <c r="G14" s="184">
        <v>38500</v>
      </c>
      <c r="H14" s="57" t="s">
        <v>29</v>
      </c>
      <c r="I14" s="105"/>
      <c r="J14" s="105"/>
      <c r="K14" s="185">
        <v>38500</v>
      </c>
      <c r="L14" s="181" t="s">
        <v>1323</v>
      </c>
      <c r="M14" s="20">
        <f t="shared" si="0"/>
        <v>0</v>
      </c>
    </row>
    <row r="15" spans="1:13" x14ac:dyDescent="0.25">
      <c r="A15" s="188">
        <v>45995</v>
      </c>
      <c r="B15" s="181" t="s">
        <v>1277</v>
      </c>
      <c r="C15" s="181" t="s">
        <v>1281</v>
      </c>
      <c r="D15" s="183"/>
      <c r="E15" s="28"/>
      <c r="F15" s="183">
        <v>36000</v>
      </c>
      <c r="G15" s="184">
        <v>36000</v>
      </c>
      <c r="H15" s="94"/>
      <c r="I15" s="92"/>
      <c r="J15" s="92"/>
      <c r="K15" s="185"/>
      <c r="L15" s="181"/>
      <c r="M15" s="20">
        <f t="shared" si="0"/>
        <v>36000</v>
      </c>
    </row>
    <row r="16" spans="1:13" x14ac:dyDescent="0.25">
      <c r="A16" s="188">
        <v>45996</v>
      </c>
      <c r="B16" s="181" t="s">
        <v>1280</v>
      </c>
      <c r="C16" s="181" t="s">
        <v>414</v>
      </c>
      <c r="D16" s="183"/>
      <c r="E16" s="183"/>
      <c r="F16" s="183">
        <v>12500</v>
      </c>
      <c r="G16" s="184">
        <v>12500</v>
      </c>
      <c r="H16" s="57" t="s">
        <v>29</v>
      </c>
      <c r="I16" s="105"/>
      <c r="J16" s="105"/>
      <c r="K16" s="185">
        <v>12500</v>
      </c>
      <c r="L16" s="181" t="s">
        <v>1385</v>
      </c>
      <c r="M16" s="20">
        <f t="shared" si="0"/>
        <v>0</v>
      </c>
    </row>
    <row r="17" spans="1:13" x14ac:dyDescent="0.25">
      <c r="A17" s="188">
        <v>46001</v>
      </c>
      <c r="B17" s="181" t="s">
        <v>1290</v>
      </c>
      <c r="C17" s="181" t="s">
        <v>1291</v>
      </c>
      <c r="D17" s="183"/>
      <c r="E17" s="183"/>
      <c r="F17" s="183">
        <v>13000</v>
      </c>
      <c r="G17" s="184">
        <v>13000</v>
      </c>
      <c r="H17" s="57"/>
      <c r="I17" s="92"/>
      <c r="J17" s="92"/>
      <c r="K17" s="185"/>
      <c r="L17" s="181"/>
      <c r="M17" s="20">
        <f t="shared" si="0"/>
        <v>13000</v>
      </c>
    </row>
    <row r="18" spans="1:13" x14ac:dyDescent="0.25">
      <c r="A18" s="188">
        <v>46006</v>
      </c>
      <c r="B18" s="181" t="s">
        <v>1319</v>
      </c>
      <c r="C18" s="181" t="s">
        <v>1281</v>
      </c>
      <c r="D18" s="183"/>
      <c r="E18" s="183"/>
      <c r="F18" s="183">
        <v>35000</v>
      </c>
      <c r="G18" s="184">
        <v>35000</v>
      </c>
      <c r="H18" s="94"/>
      <c r="I18" s="29">
        <v>17500</v>
      </c>
      <c r="J18" s="92" t="s">
        <v>1324</v>
      </c>
      <c r="K18" s="185"/>
      <c r="L18" s="181"/>
      <c r="M18" s="20">
        <f t="shared" si="0"/>
        <v>17500</v>
      </c>
    </row>
    <row r="19" spans="1:13" x14ac:dyDescent="0.25">
      <c r="A19" s="188">
        <v>46006</v>
      </c>
      <c r="B19" s="181" t="s">
        <v>1320</v>
      </c>
      <c r="C19" s="181" t="s">
        <v>1321</v>
      </c>
      <c r="D19" s="183"/>
      <c r="E19" s="183"/>
      <c r="F19" s="183">
        <v>6000</v>
      </c>
      <c r="G19" s="184">
        <v>6000</v>
      </c>
      <c r="H19" s="57" t="s">
        <v>29</v>
      </c>
      <c r="I19" s="105"/>
      <c r="J19" s="105"/>
      <c r="K19" s="185">
        <v>6000</v>
      </c>
      <c r="L19" s="181" t="s">
        <v>1406</v>
      </c>
      <c r="M19" s="20">
        <f t="shared" si="0"/>
        <v>0</v>
      </c>
    </row>
    <row r="20" spans="1:13" x14ac:dyDescent="0.25">
      <c r="A20" s="188">
        <v>46006</v>
      </c>
      <c r="B20" s="181" t="s">
        <v>1322</v>
      </c>
      <c r="C20" s="181" t="s">
        <v>414</v>
      </c>
      <c r="D20" s="183"/>
      <c r="E20" s="183"/>
      <c r="F20" s="183">
        <v>12500</v>
      </c>
      <c r="G20" s="184">
        <v>12500</v>
      </c>
      <c r="H20" s="57" t="s">
        <v>29</v>
      </c>
      <c r="I20" s="105"/>
      <c r="J20" s="105"/>
      <c r="K20" s="185">
        <v>12500</v>
      </c>
      <c r="L20" s="181" t="s">
        <v>1346</v>
      </c>
      <c r="M20" s="20">
        <f t="shared" si="0"/>
        <v>0</v>
      </c>
    </row>
    <row r="21" spans="1:13" x14ac:dyDescent="0.25">
      <c r="A21" s="188">
        <v>46006</v>
      </c>
      <c r="B21" s="181" t="s">
        <v>1332</v>
      </c>
      <c r="C21" s="181" t="s">
        <v>852</v>
      </c>
      <c r="D21" s="183"/>
      <c r="E21" s="183"/>
      <c r="F21" s="183">
        <v>15000</v>
      </c>
      <c r="G21" s="184">
        <v>15000</v>
      </c>
      <c r="H21" s="57" t="s">
        <v>29</v>
      </c>
      <c r="I21" s="105"/>
      <c r="J21" s="105"/>
      <c r="K21" s="185">
        <v>15000</v>
      </c>
      <c r="L21" s="181" t="s">
        <v>1401</v>
      </c>
      <c r="M21" s="20">
        <f t="shared" si="0"/>
        <v>0</v>
      </c>
    </row>
    <row r="22" spans="1:13" x14ac:dyDescent="0.25">
      <c r="A22" s="188">
        <v>46008</v>
      </c>
      <c r="B22" s="181" t="s">
        <v>1336</v>
      </c>
      <c r="C22" s="181" t="s">
        <v>25</v>
      </c>
      <c r="D22" s="183"/>
      <c r="E22" s="183"/>
      <c r="F22" s="183">
        <v>220000</v>
      </c>
      <c r="G22" s="184">
        <v>220000</v>
      </c>
      <c r="H22" s="57"/>
      <c r="I22" s="29">
        <v>110000</v>
      </c>
      <c r="J22" s="92" t="s">
        <v>1351</v>
      </c>
      <c r="K22" s="185"/>
      <c r="L22" s="181"/>
      <c r="M22" s="20">
        <f t="shared" si="0"/>
        <v>110000</v>
      </c>
    </row>
    <row r="23" spans="1:13" x14ac:dyDescent="0.25">
      <c r="A23" s="188">
        <v>46008</v>
      </c>
      <c r="B23" s="181" t="s">
        <v>1337</v>
      </c>
      <c r="C23" s="181" t="s">
        <v>1250</v>
      </c>
      <c r="D23" s="183"/>
      <c r="E23" s="183"/>
      <c r="F23" s="183">
        <v>7000</v>
      </c>
      <c r="G23" s="184">
        <v>7000</v>
      </c>
      <c r="H23" s="57"/>
      <c r="I23" s="92"/>
      <c r="J23" s="92"/>
      <c r="K23" s="185"/>
      <c r="L23" s="181"/>
      <c r="M23" s="20">
        <f t="shared" si="0"/>
        <v>7000</v>
      </c>
    </row>
    <row r="24" spans="1:13" x14ac:dyDescent="0.25">
      <c r="A24" s="188">
        <v>46008</v>
      </c>
      <c r="B24" s="181" t="s">
        <v>1348</v>
      </c>
      <c r="C24" s="181" t="s">
        <v>259</v>
      </c>
      <c r="D24" s="183"/>
      <c r="E24" s="183"/>
      <c r="F24" s="183">
        <v>1500</v>
      </c>
      <c r="G24" s="184">
        <v>1500</v>
      </c>
      <c r="H24" s="57" t="s">
        <v>29</v>
      </c>
      <c r="I24" s="105"/>
      <c r="J24" s="105"/>
      <c r="K24" s="185">
        <v>1500</v>
      </c>
      <c r="L24" s="181" t="s">
        <v>1340</v>
      </c>
      <c r="M24" s="20">
        <f t="shared" si="0"/>
        <v>0</v>
      </c>
    </row>
    <row r="25" spans="1:13" x14ac:dyDescent="0.25">
      <c r="A25" s="188">
        <v>46008</v>
      </c>
      <c r="B25" s="181" t="s">
        <v>1388</v>
      </c>
      <c r="C25" s="181" t="s">
        <v>1338</v>
      </c>
      <c r="D25" s="183"/>
      <c r="E25" s="183"/>
      <c r="F25" s="183">
        <v>260000</v>
      </c>
      <c r="G25" s="184">
        <v>260000</v>
      </c>
      <c r="H25" s="57"/>
      <c r="I25" s="92"/>
      <c r="J25" s="92"/>
      <c r="K25" s="185"/>
      <c r="L25" s="181"/>
      <c r="M25" s="20">
        <f t="shared" si="0"/>
        <v>260000</v>
      </c>
    </row>
    <row r="26" spans="1:13" x14ac:dyDescent="0.25">
      <c r="A26" s="188">
        <v>46008</v>
      </c>
      <c r="B26" s="181" t="s">
        <v>1389</v>
      </c>
      <c r="C26" s="181" t="s">
        <v>852</v>
      </c>
      <c r="D26" s="183"/>
      <c r="E26" s="183"/>
      <c r="F26" s="183">
        <v>10000</v>
      </c>
      <c r="G26" s="184">
        <v>10000</v>
      </c>
      <c r="H26" s="57"/>
      <c r="I26" s="92"/>
      <c r="J26" s="92"/>
      <c r="K26" s="185"/>
      <c r="L26" s="181"/>
      <c r="M26" s="20">
        <f t="shared" si="0"/>
        <v>10000</v>
      </c>
    </row>
    <row r="27" spans="1:13" x14ac:dyDescent="0.25">
      <c r="A27" s="188">
        <v>46008</v>
      </c>
      <c r="B27" s="181" t="s">
        <v>1390</v>
      </c>
      <c r="C27" s="181" t="s">
        <v>852</v>
      </c>
      <c r="D27" s="183"/>
      <c r="E27" s="183"/>
      <c r="F27" s="183">
        <v>10000</v>
      </c>
      <c r="G27" s="184">
        <v>10000</v>
      </c>
      <c r="H27" s="57" t="s">
        <v>29</v>
      </c>
      <c r="I27" s="105"/>
      <c r="J27" s="105"/>
      <c r="K27" s="185">
        <v>10000</v>
      </c>
      <c r="L27" s="181" t="s">
        <v>1402</v>
      </c>
      <c r="M27" s="20">
        <f t="shared" si="0"/>
        <v>0</v>
      </c>
    </row>
    <row r="28" spans="1:13" x14ac:dyDescent="0.25">
      <c r="A28" s="188">
        <v>46008</v>
      </c>
      <c r="B28" s="181" t="s">
        <v>1391</v>
      </c>
      <c r="C28" s="181" t="s">
        <v>852</v>
      </c>
      <c r="D28" s="183"/>
      <c r="E28" s="183"/>
      <c r="F28" s="183">
        <v>10000</v>
      </c>
      <c r="G28" s="184">
        <v>10000</v>
      </c>
      <c r="H28" s="57" t="s">
        <v>29</v>
      </c>
      <c r="I28" s="105"/>
      <c r="J28" s="105"/>
      <c r="K28" s="185">
        <v>10000</v>
      </c>
      <c r="L28" s="181" t="s">
        <v>1394</v>
      </c>
      <c r="M28" s="20">
        <f t="shared" si="0"/>
        <v>0</v>
      </c>
    </row>
    <row r="29" spans="1:13" x14ac:dyDescent="0.25">
      <c r="A29" s="188">
        <v>46008</v>
      </c>
      <c r="B29" s="181" t="s">
        <v>1392</v>
      </c>
      <c r="C29" s="181" t="s">
        <v>852</v>
      </c>
      <c r="D29" s="183"/>
      <c r="E29" s="183"/>
      <c r="F29" s="183">
        <v>10000</v>
      </c>
      <c r="G29" s="184">
        <v>10000</v>
      </c>
      <c r="H29" s="57"/>
      <c r="I29" s="92"/>
      <c r="J29" s="92"/>
      <c r="K29" s="185"/>
      <c r="L29" s="181"/>
      <c r="M29" s="20">
        <f t="shared" si="0"/>
        <v>10000</v>
      </c>
    </row>
    <row r="30" spans="1:13" x14ac:dyDescent="0.25">
      <c r="A30" s="188">
        <v>46008</v>
      </c>
      <c r="B30" s="181" t="s">
        <v>1393</v>
      </c>
      <c r="C30" s="181" t="s">
        <v>852</v>
      </c>
      <c r="D30" s="183"/>
      <c r="E30" s="183"/>
      <c r="F30" s="183">
        <v>10000</v>
      </c>
      <c r="G30" s="184">
        <v>10000</v>
      </c>
      <c r="H30" s="57" t="s">
        <v>29</v>
      </c>
      <c r="I30" s="105"/>
      <c r="J30" s="105"/>
      <c r="K30" s="185">
        <v>10000</v>
      </c>
      <c r="L30" s="181" t="s">
        <v>1397</v>
      </c>
      <c r="M30" s="20">
        <f t="shared" si="0"/>
        <v>0</v>
      </c>
    </row>
    <row r="31" spans="1:13" x14ac:dyDescent="0.25">
      <c r="A31" s="188">
        <v>46008</v>
      </c>
      <c r="B31" s="181" t="s">
        <v>1355</v>
      </c>
      <c r="C31" s="181" t="s">
        <v>852</v>
      </c>
      <c r="D31" s="183"/>
      <c r="E31" s="183"/>
      <c r="F31" s="183">
        <v>10000</v>
      </c>
      <c r="G31" s="184">
        <v>10000</v>
      </c>
      <c r="H31" s="57" t="s">
        <v>29</v>
      </c>
      <c r="I31" s="105"/>
      <c r="J31" s="105"/>
      <c r="K31" s="185"/>
      <c r="L31" s="181"/>
      <c r="M31" s="20">
        <f t="shared" si="0"/>
        <v>10000</v>
      </c>
    </row>
    <row r="32" spans="1:13" x14ac:dyDescent="0.25">
      <c r="A32" s="188">
        <v>46373</v>
      </c>
      <c r="B32" s="181" t="s">
        <v>1356</v>
      </c>
      <c r="C32" s="181" t="s">
        <v>852</v>
      </c>
      <c r="D32" s="183"/>
      <c r="E32" s="183"/>
      <c r="F32" s="183">
        <v>10000</v>
      </c>
      <c r="G32" s="184">
        <v>10000</v>
      </c>
      <c r="H32" s="57"/>
      <c r="I32" s="92"/>
      <c r="J32" s="92"/>
      <c r="K32" s="185"/>
      <c r="L32" s="181"/>
      <c r="M32" s="20">
        <f t="shared" si="0"/>
        <v>10000</v>
      </c>
    </row>
    <row r="33" spans="1:13" x14ac:dyDescent="0.25">
      <c r="A33" s="188">
        <v>46373</v>
      </c>
      <c r="B33" s="181" t="s">
        <v>1357</v>
      </c>
      <c r="C33" s="181" t="s">
        <v>852</v>
      </c>
      <c r="D33" s="183"/>
      <c r="E33" s="183"/>
      <c r="F33" s="183">
        <v>10000</v>
      </c>
      <c r="G33" s="184">
        <v>10000</v>
      </c>
      <c r="H33" s="57"/>
      <c r="I33" s="92"/>
      <c r="J33" s="92"/>
      <c r="K33" s="185"/>
      <c r="L33" s="181"/>
      <c r="M33" s="20">
        <f t="shared" si="0"/>
        <v>10000</v>
      </c>
    </row>
    <row r="34" spans="1:13" x14ac:dyDescent="0.25">
      <c r="A34" s="188">
        <v>46373</v>
      </c>
      <c r="B34" s="181" t="s">
        <v>1358</v>
      </c>
      <c r="C34" s="181" t="s">
        <v>852</v>
      </c>
      <c r="D34" s="183"/>
      <c r="E34" s="183"/>
      <c r="F34" s="183">
        <v>10000</v>
      </c>
      <c r="G34" s="184">
        <v>10000</v>
      </c>
      <c r="H34" s="57"/>
      <c r="I34" s="92"/>
      <c r="J34" s="92"/>
      <c r="K34" s="185"/>
      <c r="L34" s="181"/>
      <c r="M34" s="20">
        <f t="shared" si="0"/>
        <v>10000</v>
      </c>
    </row>
    <row r="35" spans="1:13" x14ac:dyDescent="0.25">
      <c r="A35" s="188">
        <v>46373</v>
      </c>
      <c r="B35" s="181" t="s">
        <v>1359</v>
      </c>
      <c r="C35" s="181" t="s">
        <v>852</v>
      </c>
      <c r="D35" s="183"/>
      <c r="E35" s="183"/>
      <c r="F35" s="183">
        <v>10000</v>
      </c>
      <c r="G35" s="184">
        <v>10000</v>
      </c>
      <c r="H35" s="57" t="s">
        <v>29</v>
      </c>
      <c r="I35" s="105"/>
      <c r="J35" s="105"/>
      <c r="K35" s="185">
        <v>10000</v>
      </c>
      <c r="L35" s="181" t="s">
        <v>1396</v>
      </c>
      <c r="M35" s="20">
        <f t="shared" si="0"/>
        <v>0</v>
      </c>
    </row>
    <row r="36" spans="1:13" x14ac:dyDescent="0.25">
      <c r="A36" s="188">
        <v>46373</v>
      </c>
      <c r="B36" s="181" t="s">
        <v>1360</v>
      </c>
      <c r="C36" s="181" t="s">
        <v>852</v>
      </c>
      <c r="D36" s="183"/>
      <c r="E36" s="183"/>
      <c r="F36" s="183">
        <v>10000</v>
      </c>
      <c r="G36" s="184">
        <v>10000</v>
      </c>
      <c r="H36" s="57"/>
      <c r="I36" s="92"/>
      <c r="J36" s="92"/>
      <c r="K36" s="185"/>
      <c r="L36" s="181"/>
      <c r="M36" s="20">
        <f t="shared" si="0"/>
        <v>10000</v>
      </c>
    </row>
    <row r="37" spans="1:13" x14ac:dyDescent="0.25">
      <c r="A37" s="188">
        <v>46373</v>
      </c>
      <c r="B37" s="181" t="s">
        <v>1361</v>
      </c>
      <c r="C37" s="181" t="s">
        <v>852</v>
      </c>
      <c r="D37" s="183"/>
      <c r="E37" s="183"/>
      <c r="F37" s="183">
        <v>10000</v>
      </c>
      <c r="G37" s="184">
        <v>10000</v>
      </c>
      <c r="H37" s="57" t="s">
        <v>29</v>
      </c>
      <c r="I37" s="105"/>
      <c r="J37" s="105"/>
      <c r="K37" s="185">
        <v>10000</v>
      </c>
      <c r="L37" s="181" t="s">
        <v>1395</v>
      </c>
      <c r="M37" s="20">
        <f t="shared" si="0"/>
        <v>0</v>
      </c>
    </row>
    <row r="38" spans="1:13" x14ac:dyDescent="0.25">
      <c r="A38" s="188">
        <v>46373</v>
      </c>
      <c r="B38" s="181" t="s">
        <v>1362</v>
      </c>
      <c r="C38" s="181" t="s">
        <v>852</v>
      </c>
      <c r="D38" s="183"/>
      <c r="E38" s="183"/>
      <c r="F38" s="183">
        <v>10000</v>
      </c>
      <c r="G38" s="184">
        <v>10000</v>
      </c>
      <c r="H38" s="57"/>
      <c r="I38" s="92"/>
      <c r="J38" s="92"/>
      <c r="K38" s="185"/>
      <c r="L38" s="181"/>
      <c r="M38" s="20">
        <f t="shared" si="0"/>
        <v>10000</v>
      </c>
    </row>
    <row r="39" spans="1:13" x14ac:dyDescent="0.25">
      <c r="A39" s="188">
        <v>46378</v>
      </c>
      <c r="B39" s="181" t="s">
        <v>1363</v>
      </c>
      <c r="C39" s="181" t="s">
        <v>1364</v>
      </c>
      <c r="D39" s="183"/>
      <c r="E39" s="183"/>
      <c r="F39" s="183">
        <v>126500</v>
      </c>
      <c r="G39" s="184">
        <v>126500</v>
      </c>
      <c r="H39" s="57"/>
      <c r="I39" s="29">
        <v>63250</v>
      </c>
      <c r="J39" s="92" t="s">
        <v>1398</v>
      </c>
      <c r="K39" s="185"/>
      <c r="L39" s="181"/>
      <c r="M39" s="20">
        <f t="shared" si="0"/>
        <v>63250</v>
      </c>
    </row>
    <row r="40" spans="1:13" x14ac:dyDescent="0.25">
      <c r="A40" s="188">
        <v>46378</v>
      </c>
      <c r="B40" s="181" t="s">
        <v>1365</v>
      </c>
      <c r="C40" s="181" t="s">
        <v>901</v>
      </c>
      <c r="D40" s="183"/>
      <c r="E40" s="183"/>
      <c r="F40" s="183">
        <v>15000</v>
      </c>
      <c r="G40" s="184">
        <v>15000</v>
      </c>
      <c r="H40" s="57" t="s">
        <v>29</v>
      </c>
      <c r="I40" s="105"/>
      <c r="J40" s="105"/>
      <c r="K40" s="185">
        <v>15000</v>
      </c>
      <c r="L40" s="181" t="s">
        <v>1399</v>
      </c>
      <c r="M40" s="20">
        <f t="shared" si="0"/>
        <v>0</v>
      </c>
    </row>
    <row r="41" spans="1:13" x14ac:dyDescent="0.25">
      <c r="A41" s="188">
        <v>46378</v>
      </c>
      <c r="B41" s="181" t="s">
        <v>1366</v>
      </c>
      <c r="C41" s="181" t="s">
        <v>461</v>
      </c>
      <c r="D41" s="183"/>
      <c r="E41" s="183"/>
      <c r="F41" s="183">
        <v>16500</v>
      </c>
      <c r="G41" s="184">
        <v>16500</v>
      </c>
      <c r="H41" s="57" t="s">
        <v>29</v>
      </c>
      <c r="I41" s="105"/>
      <c r="J41" s="105"/>
      <c r="K41" s="185">
        <v>16500</v>
      </c>
      <c r="L41" s="181" t="s">
        <v>1404</v>
      </c>
      <c r="M41" s="20">
        <f t="shared" si="0"/>
        <v>0</v>
      </c>
    </row>
    <row r="42" spans="1:13" x14ac:dyDescent="0.25">
      <c r="A42" s="155"/>
      <c r="B42" s="156"/>
      <c r="C42" s="156"/>
      <c r="D42" s="157"/>
      <c r="E42" s="157"/>
      <c r="F42" s="157"/>
      <c r="G42" s="157"/>
      <c r="H42" s="113"/>
      <c r="I42" s="156"/>
      <c r="J42" s="156"/>
      <c r="K42" s="158"/>
      <c r="L42" s="158"/>
      <c r="M42" s="126"/>
    </row>
    <row r="43" spans="1:13" x14ac:dyDescent="0.25">
      <c r="A43" s="109">
        <v>45996</v>
      </c>
      <c r="B43" s="73" t="s">
        <v>1282</v>
      </c>
      <c r="C43" s="73" t="s">
        <v>1283</v>
      </c>
      <c r="D43" s="28"/>
      <c r="E43" s="28">
        <v>13000</v>
      </c>
      <c r="F43" s="73"/>
      <c r="G43" s="28">
        <v>13000</v>
      </c>
      <c r="H43" s="57" t="s">
        <v>29</v>
      </c>
      <c r="I43" s="105"/>
      <c r="J43" s="105"/>
      <c r="K43" s="28">
        <v>13000</v>
      </c>
      <c r="L43" s="58" t="s">
        <v>1287</v>
      </c>
      <c r="M43" s="20">
        <f t="shared" si="0"/>
        <v>0</v>
      </c>
    </row>
    <row r="44" spans="1:13" x14ac:dyDescent="0.25">
      <c r="A44" s="109">
        <v>45996</v>
      </c>
      <c r="B44" s="73" t="s">
        <v>1288</v>
      </c>
      <c r="C44" s="73" t="s">
        <v>62</v>
      </c>
      <c r="D44" s="28"/>
      <c r="E44" s="28">
        <v>2500</v>
      </c>
      <c r="F44" s="73"/>
      <c r="G44" s="28">
        <v>2500</v>
      </c>
      <c r="H44" s="57" t="s">
        <v>29</v>
      </c>
      <c r="I44" s="105"/>
      <c r="J44" s="105"/>
      <c r="K44" s="28">
        <v>2500</v>
      </c>
      <c r="L44" s="58" t="s">
        <v>1310</v>
      </c>
      <c r="M44" s="20">
        <f t="shared" si="0"/>
        <v>0</v>
      </c>
    </row>
    <row r="45" spans="1:13" x14ac:dyDescent="0.25">
      <c r="A45" s="109">
        <v>46002</v>
      </c>
      <c r="B45" s="73" t="s">
        <v>1289</v>
      </c>
      <c r="C45" s="73" t="s">
        <v>653</v>
      </c>
      <c r="D45" s="28"/>
      <c r="E45" s="28">
        <v>30000</v>
      </c>
      <c r="F45" s="73"/>
      <c r="G45" s="28">
        <v>30000</v>
      </c>
      <c r="H45" s="57"/>
      <c r="I45" s="29">
        <v>15000</v>
      </c>
      <c r="J45" s="92" t="s">
        <v>1314</v>
      </c>
      <c r="K45" s="119">
        <v>15000</v>
      </c>
      <c r="L45" s="119" t="s">
        <v>1405</v>
      </c>
      <c r="M45" s="20">
        <f t="shared" si="0"/>
        <v>0</v>
      </c>
    </row>
    <row r="46" spans="1:13" x14ac:dyDescent="0.25">
      <c r="A46" s="117">
        <v>46003</v>
      </c>
      <c r="B46" s="92" t="s">
        <v>1316</v>
      </c>
      <c r="C46" s="92" t="s">
        <v>34</v>
      </c>
      <c r="D46" s="29"/>
      <c r="E46" s="29">
        <v>11000</v>
      </c>
      <c r="F46" s="92"/>
      <c r="G46" s="29">
        <v>11000</v>
      </c>
      <c r="H46" s="57" t="s">
        <v>29</v>
      </c>
      <c r="I46" s="105"/>
      <c r="J46" s="105"/>
      <c r="K46" s="119">
        <v>11000</v>
      </c>
      <c r="L46" s="119" t="s">
        <v>1318</v>
      </c>
      <c r="M46" s="20">
        <f t="shared" si="0"/>
        <v>0</v>
      </c>
    </row>
    <row r="47" spans="1:13" x14ac:dyDescent="0.25">
      <c r="A47" s="117">
        <v>46006</v>
      </c>
      <c r="B47" s="92" t="s">
        <v>1315</v>
      </c>
      <c r="C47" s="92" t="s">
        <v>653</v>
      </c>
      <c r="D47" s="29"/>
      <c r="E47" s="29">
        <v>30000</v>
      </c>
      <c r="F47" s="29"/>
      <c r="G47" s="29">
        <v>30000</v>
      </c>
      <c r="H47" s="94"/>
      <c r="I47" s="28">
        <v>15000</v>
      </c>
      <c r="J47" s="71" t="s">
        <v>1317</v>
      </c>
      <c r="K47" s="119"/>
      <c r="L47" s="119"/>
      <c r="M47" s="20">
        <f t="shared" si="0"/>
        <v>15000</v>
      </c>
    </row>
    <row r="48" spans="1:13" x14ac:dyDescent="0.25">
      <c r="A48" s="117">
        <v>46379</v>
      </c>
      <c r="B48" s="92" t="s">
        <v>1368</v>
      </c>
      <c r="C48" s="92" t="s">
        <v>1369</v>
      </c>
      <c r="D48" s="29"/>
      <c r="E48" s="29">
        <v>14500</v>
      </c>
      <c r="F48" s="29"/>
      <c r="G48" s="29">
        <v>14500</v>
      </c>
      <c r="H48" s="57" t="s">
        <v>29</v>
      </c>
      <c r="I48" s="105"/>
      <c r="J48" s="105"/>
      <c r="K48" s="119">
        <v>14500</v>
      </c>
      <c r="L48" s="119" t="s">
        <v>1370</v>
      </c>
      <c r="M48" s="20">
        <f t="shared" si="0"/>
        <v>0</v>
      </c>
    </row>
    <row r="49" spans="1:13" x14ac:dyDescent="0.25">
      <c r="A49" s="117">
        <v>46379</v>
      </c>
      <c r="B49" s="92" t="s">
        <v>1371</v>
      </c>
      <c r="C49" s="92" t="s">
        <v>1369</v>
      </c>
      <c r="D49" s="29"/>
      <c r="E49" s="29">
        <v>14500</v>
      </c>
      <c r="F49" s="29"/>
      <c r="G49" s="29">
        <v>14500</v>
      </c>
      <c r="H49" s="57" t="s">
        <v>29</v>
      </c>
      <c r="I49" s="105"/>
      <c r="J49" s="105"/>
      <c r="K49" s="119">
        <v>14500</v>
      </c>
      <c r="L49" s="119" t="s">
        <v>1372</v>
      </c>
      <c r="M49" s="20">
        <f t="shared" si="0"/>
        <v>0</v>
      </c>
    </row>
    <row r="50" spans="1:13" x14ac:dyDescent="0.25">
      <c r="A50" s="193"/>
      <c r="B50" s="194"/>
      <c r="C50" s="194"/>
      <c r="D50" s="195"/>
      <c r="E50" s="196"/>
      <c r="F50" s="196"/>
      <c r="G50" s="196"/>
      <c r="H50" s="164"/>
      <c r="I50" s="194"/>
      <c r="J50" s="194"/>
      <c r="K50" s="197"/>
      <c r="L50" s="197"/>
      <c r="M50" s="166"/>
    </row>
    <row r="51" spans="1:13" x14ac:dyDescent="0.25">
      <c r="A51" s="109">
        <v>45992</v>
      </c>
      <c r="B51" s="73" t="s">
        <v>1252</v>
      </c>
      <c r="C51" s="73" t="s">
        <v>1253</v>
      </c>
      <c r="D51" s="28">
        <v>58500</v>
      </c>
      <c r="E51" s="56"/>
      <c r="F51" s="56"/>
      <c r="G51" s="56">
        <v>58500</v>
      </c>
      <c r="H51" s="57"/>
      <c r="I51" s="73"/>
      <c r="J51" s="73"/>
      <c r="K51" s="58"/>
      <c r="L51" s="58"/>
      <c r="M51" s="20">
        <f t="shared" si="0"/>
        <v>58500</v>
      </c>
    </row>
    <row r="52" spans="1:13" x14ac:dyDescent="0.25">
      <c r="A52" s="109">
        <v>45992</v>
      </c>
      <c r="B52" s="73" t="s">
        <v>1256</v>
      </c>
      <c r="C52" s="73" t="s">
        <v>1257</v>
      </c>
      <c r="D52" s="28">
        <v>45500</v>
      </c>
      <c r="E52" s="56"/>
      <c r="F52" s="56"/>
      <c r="G52" s="56">
        <v>45500</v>
      </c>
      <c r="H52" s="57"/>
      <c r="I52" s="73"/>
      <c r="J52" s="73"/>
      <c r="K52" s="58"/>
      <c r="L52" s="58"/>
      <c r="M52" s="20">
        <f t="shared" si="0"/>
        <v>45500</v>
      </c>
    </row>
    <row r="53" spans="1:13" x14ac:dyDescent="0.25">
      <c r="A53" s="213">
        <v>45992</v>
      </c>
      <c r="B53" s="150" t="s">
        <v>1258</v>
      </c>
      <c r="C53" s="150" t="s">
        <v>857</v>
      </c>
      <c r="D53" s="101">
        <v>13000</v>
      </c>
      <c r="E53" s="98"/>
      <c r="F53" s="98"/>
      <c r="G53" s="98">
        <v>13000</v>
      </c>
      <c r="H53" s="152"/>
      <c r="I53" s="101"/>
      <c r="J53" s="150"/>
      <c r="K53" s="100"/>
      <c r="L53" s="100"/>
      <c r="M53" s="20">
        <f t="shared" si="0"/>
        <v>13000</v>
      </c>
    </row>
    <row r="54" spans="1:13" x14ac:dyDescent="0.25">
      <c r="A54" s="109">
        <v>45992</v>
      </c>
      <c r="B54" s="73" t="s">
        <v>1259</v>
      </c>
      <c r="C54" s="73" t="s">
        <v>857</v>
      </c>
      <c r="D54" s="28">
        <v>13000</v>
      </c>
      <c r="E54" s="56"/>
      <c r="F54" s="56"/>
      <c r="G54" s="56">
        <v>13000</v>
      </c>
      <c r="H54" s="57"/>
      <c r="I54" s="73"/>
      <c r="J54" s="73"/>
      <c r="K54" s="58"/>
      <c r="L54" s="58"/>
      <c r="M54" s="20">
        <f t="shared" si="0"/>
        <v>13000</v>
      </c>
    </row>
    <row r="55" spans="1:13" x14ac:dyDescent="0.25">
      <c r="A55" s="109">
        <v>45992</v>
      </c>
      <c r="B55" s="73" t="s">
        <v>1260</v>
      </c>
      <c r="C55" s="73" t="s">
        <v>1264</v>
      </c>
      <c r="D55" s="28">
        <v>32500</v>
      </c>
      <c r="E55" s="56"/>
      <c r="F55" s="56"/>
      <c r="G55" s="56">
        <v>32500</v>
      </c>
      <c r="H55" s="57"/>
      <c r="I55" s="73"/>
      <c r="J55" s="73"/>
      <c r="K55" s="58"/>
      <c r="L55" s="58"/>
      <c r="M55" s="20">
        <f t="shared" si="0"/>
        <v>32500</v>
      </c>
    </row>
    <row r="56" spans="1:13" x14ac:dyDescent="0.25">
      <c r="A56" s="109">
        <v>45992</v>
      </c>
      <c r="B56" s="73" t="s">
        <v>1261</v>
      </c>
      <c r="C56" s="73" t="s">
        <v>1263</v>
      </c>
      <c r="D56" s="28">
        <v>71500</v>
      </c>
      <c r="E56" s="56"/>
      <c r="F56" s="56"/>
      <c r="G56" s="56">
        <v>71500</v>
      </c>
      <c r="H56" s="57"/>
      <c r="I56" s="73"/>
      <c r="J56" s="73"/>
      <c r="K56" s="58"/>
      <c r="L56" s="58"/>
      <c r="M56" s="20">
        <f t="shared" si="0"/>
        <v>71500</v>
      </c>
    </row>
    <row r="57" spans="1:13" x14ac:dyDescent="0.25">
      <c r="A57" s="109">
        <v>45992</v>
      </c>
      <c r="B57" s="73" t="s">
        <v>1367</v>
      </c>
      <c r="C57" s="73" t="s">
        <v>1257</v>
      </c>
      <c r="D57" s="28">
        <v>45500</v>
      </c>
      <c r="E57" s="56"/>
      <c r="F57" s="56"/>
      <c r="G57" s="56">
        <v>45500</v>
      </c>
      <c r="H57" s="57"/>
      <c r="I57" s="73"/>
      <c r="J57" s="73"/>
      <c r="K57" s="58"/>
      <c r="L57" s="58"/>
      <c r="M57" s="20">
        <f t="shared" si="0"/>
        <v>45500</v>
      </c>
    </row>
    <row r="58" spans="1:13" x14ac:dyDescent="0.25">
      <c r="A58" s="109">
        <v>45994</v>
      </c>
      <c r="B58" s="73" t="s">
        <v>1262</v>
      </c>
      <c r="C58" s="73" t="s">
        <v>427</v>
      </c>
      <c r="D58" s="28">
        <v>53800</v>
      </c>
      <c r="E58" s="56"/>
      <c r="F58" s="56"/>
      <c r="G58" s="56">
        <v>53800</v>
      </c>
      <c r="H58" s="57" t="s">
        <v>29</v>
      </c>
      <c r="I58" s="105"/>
      <c r="J58" s="105"/>
      <c r="K58" s="58">
        <v>53800</v>
      </c>
      <c r="L58" s="58" t="s">
        <v>1306</v>
      </c>
      <c r="M58" s="20">
        <f t="shared" si="0"/>
        <v>0</v>
      </c>
    </row>
    <row r="59" spans="1:13" x14ac:dyDescent="0.25">
      <c r="A59" s="109">
        <v>45994</v>
      </c>
      <c r="B59" s="73" t="s">
        <v>1265</v>
      </c>
      <c r="C59" s="73" t="s">
        <v>665</v>
      </c>
      <c r="D59" s="28">
        <v>71000</v>
      </c>
      <c r="E59" s="56"/>
      <c r="F59" s="56"/>
      <c r="G59" s="56">
        <v>71000</v>
      </c>
      <c r="H59" s="57" t="s">
        <v>29</v>
      </c>
      <c r="I59" s="28">
        <v>35550</v>
      </c>
      <c r="J59" s="73" t="s">
        <v>1307</v>
      </c>
      <c r="K59" s="58">
        <v>35450</v>
      </c>
      <c r="L59" s="58" t="s">
        <v>1308</v>
      </c>
      <c r="M59" s="20">
        <f t="shared" si="0"/>
        <v>0</v>
      </c>
    </row>
    <row r="60" spans="1:13" x14ac:dyDescent="0.25">
      <c r="A60" s="109">
        <v>45994</v>
      </c>
      <c r="B60" s="73" t="s">
        <v>1266</v>
      </c>
      <c r="C60" s="73" t="s">
        <v>665</v>
      </c>
      <c r="D60" s="28">
        <v>345000</v>
      </c>
      <c r="E60" s="56"/>
      <c r="F60" s="56"/>
      <c r="G60" s="56">
        <v>345000</v>
      </c>
      <c r="H60" s="57"/>
      <c r="I60" s="142">
        <v>172500</v>
      </c>
      <c r="J60" s="73" t="s">
        <v>1339</v>
      </c>
      <c r="K60" s="58"/>
      <c r="L60" s="58"/>
      <c r="M60" s="20">
        <f t="shared" si="0"/>
        <v>172500</v>
      </c>
    </row>
    <row r="61" spans="1:13" x14ac:dyDescent="0.25">
      <c r="A61" s="109">
        <v>45996</v>
      </c>
      <c r="B61" s="73" t="s">
        <v>1278</v>
      </c>
      <c r="C61" s="73" t="s">
        <v>427</v>
      </c>
      <c r="D61" s="28">
        <v>24000</v>
      </c>
      <c r="E61" s="56"/>
      <c r="F61" s="56"/>
      <c r="G61" s="56">
        <v>24000</v>
      </c>
      <c r="H61" s="57"/>
      <c r="I61" s="73"/>
      <c r="J61" s="73"/>
      <c r="K61" s="58"/>
      <c r="L61" s="58"/>
      <c r="M61" s="20">
        <f t="shared" si="0"/>
        <v>24000</v>
      </c>
    </row>
    <row r="62" spans="1:13" x14ac:dyDescent="0.25">
      <c r="A62" s="109">
        <v>45996</v>
      </c>
      <c r="B62" s="73" t="s">
        <v>1279</v>
      </c>
      <c r="C62" s="73" t="s">
        <v>461</v>
      </c>
      <c r="D62" s="28">
        <v>17000</v>
      </c>
      <c r="E62" s="56"/>
      <c r="F62" s="56"/>
      <c r="G62" s="56">
        <v>17000</v>
      </c>
      <c r="H62" s="57" t="s">
        <v>29</v>
      </c>
      <c r="I62" s="105"/>
      <c r="J62" s="105"/>
      <c r="K62" s="58">
        <v>17000</v>
      </c>
      <c r="L62" s="58" t="s">
        <v>1403</v>
      </c>
      <c r="M62" s="20">
        <f t="shared" si="0"/>
        <v>0</v>
      </c>
    </row>
    <row r="63" spans="1:13" x14ac:dyDescent="0.25">
      <c r="A63" s="109">
        <v>46003</v>
      </c>
      <c r="B63" s="73" t="s">
        <v>1327</v>
      </c>
      <c r="C63" s="73" t="s">
        <v>1328</v>
      </c>
      <c r="D63" s="28">
        <v>255000</v>
      </c>
      <c r="E63" s="56"/>
      <c r="F63" s="56"/>
      <c r="G63" s="56">
        <v>255000</v>
      </c>
      <c r="H63" s="57" t="s">
        <v>29</v>
      </c>
      <c r="I63" s="105"/>
      <c r="J63" s="105"/>
      <c r="K63" s="58">
        <v>255000</v>
      </c>
      <c r="L63" s="58" t="s">
        <v>1350</v>
      </c>
      <c r="M63" s="20">
        <f t="shared" si="0"/>
        <v>0</v>
      </c>
    </row>
    <row r="64" spans="1:13" x14ac:dyDescent="0.25">
      <c r="A64" s="109">
        <v>46006</v>
      </c>
      <c r="B64" s="73" t="s">
        <v>1329</v>
      </c>
      <c r="C64" s="73" t="s">
        <v>1330</v>
      </c>
      <c r="D64" s="28">
        <v>8500</v>
      </c>
      <c r="E64" s="56"/>
      <c r="F64" s="56"/>
      <c r="G64" s="56">
        <v>8500</v>
      </c>
      <c r="H64" s="57"/>
      <c r="I64" s="73"/>
      <c r="J64" s="73"/>
      <c r="K64" s="58"/>
      <c r="L64" s="58"/>
      <c r="M64" s="20">
        <f t="shared" si="0"/>
        <v>8500</v>
      </c>
    </row>
    <row r="65" spans="1:13" x14ac:dyDescent="0.25">
      <c r="A65" s="109">
        <v>46006</v>
      </c>
      <c r="B65" s="73" t="s">
        <v>1354</v>
      </c>
      <c r="C65" s="73" t="s">
        <v>1331</v>
      </c>
      <c r="D65" s="28">
        <v>5000</v>
      </c>
      <c r="E65" s="56"/>
      <c r="F65" s="56"/>
      <c r="G65" s="56">
        <v>5000</v>
      </c>
      <c r="H65" s="86"/>
      <c r="I65" s="83"/>
      <c r="J65" s="83"/>
      <c r="K65" s="214" t="s">
        <v>1099</v>
      </c>
      <c r="L65" s="79"/>
      <c r="M65" s="20" t="e">
        <f t="shared" si="0"/>
        <v>#VALUE!</v>
      </c>
    </row>
    <row r="66" spans="1:13" x14ac:dyDescent="0.25">
      <c r="A66" s="109">
        <v>46009</v>
      </c>
      <c r="B66" s="73" t="s">
        <v>1341</v>
      </c>
      <c r="C66" s="73" t="s">
        <v>259</v>
      </c>
      <c r="D66" s="28">
        <v>1250</v>
      </c>
      <c r="E66" s="56"/>
      <c r="F66" s="56"/>
      <c r="G66" s="56">
        <v>1250</v>
      </c>
      <c r="H66" s="57" t="s">
        <v>29</v>
      </c>
      <c r="I66" s="105"/>
      <c r="J66" s="105"/>
      <c r="K66" s="58">
        <v>1250</v>
      </c>
      <c r="L66" s="58" t="s">
        <v>1349</v>
      </c>
      <c r="M66" s="20">
        <f t="shared" si="0"/>
        <v>0</v>
      </c>
    </row>
    <row r="67" spans="1:13" x14ac:dyDescent="0.25">
      <c r="A67" s="109">
        <v>46009</v>
      </c>
      <c r="B67" s="73" t="s">
        <v>1342</v>
      </c>
      <c r="C67" s="73" t="s">
        <v>34</v>
      </c>
      <c r="D67" s="28">
        <v>12500</v>
      </c>
      <c r="E67" s="56"/>
      <c r="F67" s="56"/>
      <c r="G67" s="56">
        <v>12500</v>
      </c>
      <c r="H67" s="57" t="s">
        <v>29</v>
      </c>
      <c r="I67" s="28">
        <v>6250</v>
      </c>
      <c r="J67" s="73" t="s">
        <v>1352</v>
      </c>
      <c r="K67" s="58">
        <v>6250</v>
      </c>
      <c r="L67" s="58" t="s">
        <v>1387</v>
      </c>
      <c r="M67" s="20">
        <f t="shared" si="0"/>
        <v>0</v>
      </c>
    </row>
    <row r="68" spans="1:13" x14ac:dyDescent="0.25">
      <c r="A68" s="109">
        <v>46009</v>
      </c>
      <c r="B68" s="73" t="s">
        <v>1344</v>
      </c>
      <c r="C68" s="73" t="s">
        <v>969</v>
      </c>
      <c r="D68" s="28">
        <v>32500</v>
      </c>
      <c r="E68" s="56"/>
      <c r="F68" s="56"/>
      <c r="G68" s="56">
        <v>32500</v>
      </c>
      <c r="H68" s="57" t="s">
        <v>29</v>
      </c>
      <c r="I68" s="105"/>
      <c r="J68" s="105"/>
      <c r="K68" s="58">
        <v>32500</v>
      </c>
      <c r="L68" s="58" t="s">
        <v>1373</v>
      </c>
      <c r="M68" s="20">
        <f t="shared" si="0"/>
        <v>0</v>
      </c>
    </row>
    <row r="69" spans="1:13" x14ac:dyDescent="0.25">
      <c r="A69" s="127"/>
      <c r="B69" s="127"/>
      <c r="C69" s="127"/>
      <c r="D69" s="128"/>
      <c r="E69" s="128"/>
      <c r="F69" s="128"/>
      <c r="G69" s="127"/>
      <c r="H69" s="129"/>
      <c r="I69" s="127"/>
      <c r="J69" s="127"/>
      <c r="K69" s="127"/>
      <c r="L69" s="127"/>
      <c r="M69" s="127"/>
    </row>
    <row r="70" spans="1:13" x14ac:dyDescent="0.25">
      <c r="F70" s="116"/>
      <c r="H70" s="118"/>
    </row>
    <row r="71" spans="1:13" x14ac:dyDescent="0.25">
      <c r="F71" s="116"/>
      <c r="H71" s="118"/>
    </row>
    <row r="72" spans="1:13" x14ac:dyDescent="0.25">
      <c r="F72" s="116"/>
      <c r="H72" s="118"/>
    </row>
    <row r="73" spans="1:13" x14ac:dyDescent="0.25">
      <c r="F73" s="116"/>
      <c r="H73" s="118"/>
    </row>
    <row r="74" spans="1:13" x14ac:dyDescent="0.25">
      <c r="F74" s="116"/>
      <c r="H74" s="118"/>
    </row>
    <row r="75" spans="1:13" x14ac:dyDescent="0.25">
      <c r="F75" s="116"/>
      <c r="H75" s="118"/>
    </row>
    <row r="76" spans="1:13" x14ac:dyDescent="0.25">
      <c r="F76" s="116"/>
      <c r="H76" s="118"/>
    </row>
    <row r="77" spans="1:13" x14ac:dyDescent="0.25">
      <c r="F77" s="116"/>
      <c r="H77" s="118"/>
    </row>
    <row r="78" spans="1:13" x14ac:dyDescent="0.25">
      <c r="F78" s="116"/>
      <c r="H78" s="118"/>
    </row>
    <row r="79" spans="1:13" x14ac:dyDescent="0.25">
      <c r="F79" s="116"/>
      <c r="H79" s="118"/>
    </row>
    <row r="80" spans="1:13" x14ac:dyDescent="0.25">
      <c r="F80" s="116"/>
      <c r="H80" s="118"/>
    </row>
    <row r="81" spans="6:8" x14ac:dyDescent="0.25">
      <c r="F81" s="116"/>
      <c r="H81" s="118"/>
    </row>
    <row r="82" spans="6:8" x14ac:dyDescent="0.25">
      <c r="F82" s="116"/>
      <c r="H82" s="118"/>
    </row>
    <row r="83" spans="6:8" x14ac:dyDescent="0.25">
      <c r="F83" s="116"/>
      <c r="H83" s="118"/>
    </row>
    <row r="84" spans="6:8" x14ac:dyDescent="0.25">
      <c r="F84" s="116"/>
      <c r="H84" s="118"/>
    </row>
    <row r="85" spans="6:8" x14ac:dyDescent="0.25">
      <c r="F85" s="116"/>
      <c r="H85" s="118"/>
    </row>
    <row r="86" spans="6:8" x14ac:dyDescent="0.25">
      <c r="H86" s="118"/>
    </row>
    <row r="87" spans="6:8" x14ac:dyDescent="0.25">
      <c r="H87" s="118"/>
    </row>
    <row r="88" spans="6:8" x14ac:dyDescent="0.25">
      <c r="H88" s="118"/>
    </row>
    <row r="89" spans="6:8" x14ac:dyDescent="0.25">
      <c r="H89" s="1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 </vt:lpstr>
      <vt:lpstr>MARCH</vt:lpstr>
      <vt:lpstr>APRIL</vt:lpstr>
      <vt:lpstr>MAY</vt:lpstr>
      <vt:lpstr>JUNE</vt:lpstr>
      <vt:lpstr>JULY</vt:lpstr>
      <vt:lpstr>AUGUST</vt:lpstr>
      <vt:lpstr>SEPTEMBER </vt:lpstr>
      <vt:lpstr>OCTOBER</vt:lpstr>
      <vt:lpstr>NOVEMBER</vt:lpstr>
      <vt:lpstr>DECEMBER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</dc:creator>
  <cp:lastModifiedBy>JEN</cp:lastModifiedBy>
  <cp:lastPrinted>2025-07-25T02:17:14Z</cp:lastPrinted>
  <dcterms:created xsi:type="dcterms:W3CDTF">2025-01-02T08:17:47Z</dcterms:created>
  <dcterms:modified xsi:type="dcterms:W3CDTF">2026-01-30T07:23:19Z</dcterms:modified>
</cp:coreProperties>
</file>