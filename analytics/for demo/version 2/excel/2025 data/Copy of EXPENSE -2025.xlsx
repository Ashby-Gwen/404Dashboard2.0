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4"/>
  </sheets>
  <definedNames/>
  <calcPr/>
  <extLst>
    <ext uri="GoogleSheetsCustomDataVersion2">
      <go:sheetsCustomData xmlns:go="http://customooxmlschemas.google.com/" r:id="rId5" roundtripDataChecksum="aw2yeCeso3ET2T4xJyrIJ9NPnvcmFQ6A++z7QzBDr6g="/>
    </ext>
  </extLst>
</workbook>
</file>

<file path=xl/sharedStrings.xml><?xml version="1.0" encoding="utf-8"?>
<sst xmlns="http://schemas.openxmlformats.org/spreadsheetml/2006/main" count="2823" uniqueCount="1867">
  <si>
    <t>SYLUXENT, INC</t>
  </si>
  <si>
    <t>Schedule of Expenses</t>
  </si>
  <si>
    <t>For the Year ended December 31, 2025</t>
  </si>
  <si>
    <t>Information</t>
  </si>
  <si>
    <t>DEBIT</t>
  </si>
  <si>
    <t>Check/Cash Voucher Number</t>
  </si>
  <si>
    <t>Check Number</t>
  </si>
  <si>
    <t>Check Date</t>
  </si>
  <si>
    <t>DATE</t>
  </si>
  <si>
    <t>OR Date</t>
  </si>
  <si>
    <t>AR/CR/OR Number</t>
  </si>
  <si>
    <t>PO Number</t>
  </si>
  <si>
    <t>LF No.</t>
  </si>
  <si>
    <t>Particulars</t>
  </si>
  <si>
    <t>Supplier/Payee</t>
  </si>
  <si>
    <t>TIN Number</t>
  </si>
  <si>
    <t>Input VAT</t>
  </si>
  <si>
    <t>Cost of Goods Sold</t>
  </si>
  <si>
    <t>Software</t>
  </si>
  <si>
    <t>Rent Expense</t>
  </si>
  <si>
    <t>Cash Advance</t>
  </si>
  <si>
    <t>Government Contribution/Loan</t>
  </si>
  <si>
    <t>PLDT</t>
  </si>
  <si>
    <t>Globe/Smart, Sun</t>
  </si>
  <si>
    <t>Petty Cash</t>
  </si>
  <si>
    <t>Commission</t>
  </si>
  <si>
    <t>BDO Amortization</t>
  </si>
  <si>
    <t>Dividends Payable</t>
  </si>
  <si>
    <t>Meralco</t>
  </si>
  <si>
    <t>Support Allowance</t>
  </si>
  <si>
    <t>Fund Transfer</t>
  </si>
  <si>
    <t>Various Expenses</t>
  </si>
  <si>
    <t>Cash</t>
  </si>
  <si>
    <t>Checking</t>
  </si>
  <si>
    <t>NOTES</t>
  </si>
  <si>
    <t>FORM 2307</t>
  </si>
  <si>
    <t>Business Permit - 1st Quarter 2025</t>
  </si>
  <si>
    <t>City Treasurer of Pasig</t>
  </si>
  <si>
    <t>Plus 50.00 na bank charge</t>
  </si>
  <si>
    <t>SYL-25-0001</t>
  </si>
  <si>
    <t>BDO-227497</t>
  </si>
  <si>
    <t>Syluxent Inc</t>
  </si>
  <si>
    <t>SYL-25-0002</t>
  </si>
  <si>
    <t>SI 36028; CR 11217</t>
  </si>
  <si>
    <t>SYL24-0160</t>
  </si>
  <si>
    <t>20 Cash Drawer, 6 Mini Cash box</t>
  </si>
  <si>
    <t>Panday Metal Industrial Corporation</t>
  </si>
  <si>
    <t>004-475-296-00000</t>
  </si>
  <si>
    <t>SYL-25-0003</t>
  </si>
  <si>
    <t>Business Permit, Clearance, Insurance, etc</t>
  </si>
  <si>
    <t>Analyn Letada</t>
  </si>
  <si>
    <t>Deposited: Jan 10, 2025</t>
  </si>
  <si>
    <t>SYL-25-0004</t>
  </si>
  <si>
    <t>JAN 17, 2025 billing</t>
  </si>
  <si>
    <t>SYL-25-0005</t>
  </si>
  <si>
    <t>SYL-25-0006</t>
  </si>
  <si>
    <t>VOID</t>
  </si>
  <si>
    <t>DEC 2024 billing</t>
  </si>
  <si>
    <t>Smart Communications, Inc</t>
  </si>
  <si>
    <t>SYL-25-0007</t>
  </si>
  <si>
    <t>SYL-25-0008</t>
  </si>
  <si>
    <t>PC001</t>
  </si>
  <si>
    <t>Pety Cash - MQ</t>
  </si>
  <si>
    <t>SYL-25-0009</t>
  </si>
  <si>
    <t>PC002</t>
  </si>
  <si>
    <t>Pety Cash - RM</t>
  </si>
  <si>
    <t>SYL-25-0010</t>
  </si>
  <si>
    <t>SI 2337; CR 2026</t>
  </si>
  <si>
    <t>SYL24-0159</t>
  </si>
  <si>
    <t>10 Postech Monitor</t>
  </si>
  <si>
    <t>First Adamantine OPC</t>
  </si>
  <si>
    <t>600-398-466-00000</t>
  </si>
  <si>
    <t>SYL-25-0011</t>
  </si>
  <si>
    <t>SI 9119; CR 05099</t>
  </si>
  <si>
    <t>SYL25-0002</t>
  </si>
  <si>
    <t>Epson T82x usb printer , Epson T82x lan printer</t>
  </si>
  <si>
    <t>CTC Solutions Technology Inc</t>
  </si>
  <si>
    <t>010-393-332-00000</t>
  </si>
  <si>
    <t>SYL-25-0012</t>
  </si>
  <si>
    <t>SI 1799; CR 1095</t>
  </si>
  <si>
    <t>SYL25-0003</t>
  </si>
  <si>
    <t>8gb DDR3 Ram</t>
  </si>
  <si>
    <t>Hoshitech Inc</t>
  </si>
  <si>
    <t>009-784-216-00000</t>
  </si>
  <si>
    <t>SYL-25-0013</t>
  </si>
  <si>
    <t>BDO-227498</t>
  </si>
  <si>
    <t>SYL-25-0014</t>
  </si>
  <si>
    <t>BDO-227499</t>
  </si>
  <si>
    <t>SI 000003; CR 000003</t>
  </si>
  <si>
    <t>SYL25-0005</t>
  </si>
  <si>
    <t>1 nvme.2 , 5 desktop cpu SSD sata</t>
  </si>
  <si>
    <t>Gilmore Alpha IT Matrix Corp</t>
  </si>
  <si>
    <t>659-889- 739-00000</t>
  </si>
  <si>
    <t>SYL-25-0015</t>
  </si>
  <si>
    <t>Programming Fee</t>
  </si>
  <si>
    <t>Ricky Morales</t>
  </si>
  <si>
    <t>SYL-25-0016</t>
  </si>
  <si>
    <t>Rommel John Allam Javier</t>
  </si>
  <si>
    <t>SYL-25-0017</t>
  </si>
  <si>
    <t>Jan 10, 2024 bill date</t>
  </si>
  <si>
    <t>Manila Electricity Company</t>
  </si>
  <si>
    <t>SYL-25-0018</t>
  </si>
  <si>
    <t>Dec 10 to Jan 9 Billing (Mai)</t>
  </si>
  <si>
    <t>Globe Telecom, Inc</t>
  </si>
  <si>
    <t>SYL-25-0019</t>
  </si>
  <si>
    <t>Dec 10 to Jan 9 Billing (Ofc)</t>
  </si>
  <si>
    <t>SYL-25-0020</t>
  </si>
  <si>
    <t>SI 1807; CR 1098</t>
  </si>
  <si>
    <t>SYL24-0147</t>
  </si>
  <si>
    <t>1 Imin, 2 Dual display, 1 Crane  1 , 1 Table stand</t>
  </si>
  <si>
    <t>SYL-25-0021</t>
  </si>
  <si>
    <t>SI 1808; CR 1099</t>
  </si>
  <si>
    <t>SYL24-0149</t>
  </si>
  <si>
    <t>2 Imin, 2 Dual Display</t>
  </si>
  <si>
    <t>SYL-25-0022</t>
  </si>
  <si>
    <t>SYL-25-0023</t>
  </si>
  <si>
    <t>SYL-25-0024</t>
  </si>
  <si>
    <t>BDO-227500</t>
  </si>
  <si>
    <t>Company Outing Downpayment</t>
  </si>
  <si>
    <t>Mailyn Quibin</t>
  </si>
  <si>
    <t>SYL-25-0025</t>
  </si>
  <si>
    <t>PC003</t>
  </si>
  <si>
    <t>Petty Cash- MQ</t>
  </si>
  <si>
    <t>SYL-25-0026</t>
  </si>
  <si>
    <t>Downpayment for Coaster</t>
  </si>
  <si>
    <t>Ralph Martin Reyes</t>
  </si>
  <si>
    <t>SYL-25-0027</t>
  </si>
  <si>
    <t>BDO-266710</t>
  </si>
  <si>
    <t>SYL-25-0028</t>
  </si>
  <si>
    <t>SI 1810; CR 1124</t>
  </si>
  <si>
    <t>SYL25-0001</t>
  </si>
  <si>
    <t xml:space="preserve">5 Huntkey power supply </t>
  </si>
  <si>
    <t>SYL-25-0029</t>
  </si>
  <si>
    <t>PC004</t>
  </si>
  <si>
    <t>SYL-25-0030</t>
  </si>
  <si>
    <t>SI 9168; CR 05083</t>
  </si>
  <si>
    <t>SYL25-0007</t>
  </si>
  <si>
    <t>2 Epson TMU220A usb printer, 100 ERC 38B Ribbon</t>
  </si>
  <si>
    <t>SYL-25-0031</t>
  </si>
  <si>
    <t>Svl 405</t>
  </si>
  <si>
    <t>SYL25-0031</t>
  </si>
  <si>
    <t>Back office support fee - Dec 2024</t>
  </si>
  <si>
    <t>Sunfish HRA Consulting Inc</t>
  </si>
  <si>
    <t>SYL-25-0032</t>
  </si>
  <si>
    <t>Globe billing</t>
  </si>
  <si>
    <t>SYL-25-0033</t>
  </si>
  <si>
    <t>CR; 5583</t>
  </si>
  <si>
    <t>Sales software</t>
  </si>
  <si>
    <t>Jimac Inc</t>
  </si>
  <si>
    <t>SYL-25-0034</t>
  </si>
  <si>
    <t>Sales Incentives sept -2024</t>
  </si>
  <si>
    <t>Marites Balanquit</t>
  </si>
  <si>
    <t>SYL-25-0035</t>
  </si>
  <si>
    <t>BDO-266711</t>
  </si>
  <si>
    <t>SYL-25-0036</t>
  </si>
  <si>
    <t>BDO-266712</t>
  </si>
  <si>
    <t>SYL-25-0037</t>
  </si>
  <si>
    <t>BDO-325101</t>
  </si>
  <si>
    <t>SI 000006; CR 000006</t>
  </si>
  <si>
    <t>SYL25-0008</t>
  </si>
  <si>
    <t>5 desktop 480gb SSD sata</t>
  </si>
  <si>
    <t>SYL-25-0038</t>
  </si>
  <si>
    <t>BDO-325102</t>
  </si>
  <si>
    <t>SYL-25-0039</t>
  </si>
  <si>
    <t>SYL-25-0040</t>
  </si>
  <si>
    <t>SYL-25-0041</t>
  </si>
  <si>
    <t>SI 1818 CR 1123</t>
  </si>
  <si>
    <t>SYL25-0009</t>
  </si>
  <si>
    <t>SYL-25-0042</t>
  </si>
  <si>
    <t>BDO-325103</t>
  </si>
  <si>
    <t>PC005</t>
  </si>
  <si>
    <t>Car Maintenance</t>
  </si>
  <si>
    <t>Deposited Feb. 12</t>
  </si>
  <si>
    <t>SYL-25-0043</t>
  </si>
  <si>
    <t>PC006</t>
  </si>
  <si>
    <t>SYL-25-0044</t>
  </si>
  <si>
    <t>PC007</t>
  </si>
  <si>
    <t>Petty Cash- RM</t>
  </si>
  <si>
    <t>SYL-25-0045</t>
  </si>
  <si>
    <t>SI 36182; CR 11216</t>
  </si>
  <si>
    <t>SYL25- 0012</t>
  </si>
  <si>
    <t>6 Mini Cash Drawer</t>
  </si>
  <si>
    <t>SYL-25-0046</t>
  </si>
  <si>
    <t>SI 9231; CR 05098</t>
  </si>
  <si>
    <t>SYL25- 0090</t>
  </si>
  <si>
    <t xml:space="preserve">10 Epson TMU220d USB </t>
  </si>
  <si>
    <t>SYL-25-0047</t>
  </si>
  <si>
    <t>SI 000010; CR 000014</t>
  </si>
  <si>
    <t>SYL25-0011</t>
  </si>
  <si>
    <t>10 Kaspersky Anti Virus ; 1 Chuwi Hi10</t>
  </si>
  <si>
    <t>SYL-25-0048</t>
  </si>
  <si>
    <t>SI 36201; CR 11252</t>
  </si>
  <si>
    <t>SYL25-0014</t>
  </si>
  <si>
    <t>5 Godex EZ120 label sticker</t>
  </si>
  <si>
    <t>SYL-25-0049</t>
  </si>
  <si>
    <t>BDO-325104</t>
  </si>
  <si>
    <t>SYL-25-0050</t>
  </si>
  <si>
    <t>BDO-325105</t>
  </si>
  <si>
    <t>SI 000015; CR 000015</t>
  </si>
  <si>
    <t>SYL25-0013</t>
  </si>
  <si>
    <t>6 Intel core 6 Motherboard 5 tgroup 8gb DDR4; 6 1tb nvme teamgroup; matx case with 700watts psu;  a4tech keyboard and mouse ; windows 11 professional 1 teeamgroup 16gb DDR43200</t>
  </si>
  <si>
    <t>SYL-25-0051</t>
  </si>
  <si>
    <t>BDO-266713</t>
  </si>
  <si>
    <t>Richard Dizon Jr.</t>
  </si>
  <si>
    <t>SYL-25-0052</t>
  </si>
  <si>
    <t>BDO-325106</t>
  </si>
  <si>
    <t>SI 571001285; CR 716000960</t>
  </si>
  <si>
    <t>SYL25-0016</t>
  </si>
  <si>
    <t>Dell Poweredge T360</t>
  </si>
  <si>
    <t>Macrologic Diversified Technologies Inc</t>
  </si>
  <si>
    <t>008-290-765-00000</t>
  </si>
  <si>
    <t>SYL-25-0053</t>
  </si>
  <si>
    <t>PC008</t>
  </si>
  <si>
    <t>Petty Cash - MQ</t>
  </si>
  <si>
    <t>SYL-25-0054</t>
  </si>
  <si>
    <t>FEB 17, 2025 billing</t>
  </si>
  <si>
    <t>SYL-25-0055</t>
  </si>
  <si>
    <t>SYL-25-0056</t>
  </si>
  <si>
    <t>SI 9262; CR 4282</t>
  </si>
  <si>
    <t>SYL25-0017</t>
  </si>
  <si>
    <t>5 Epson TMU220B Lan printer</t>
  </si>
  <si>
    <t>SYL-25-0057</t>
  </si>
  <si>
    <t>SI 2391; CR 2104</t>
  </si>
  <si>
    <t>SYL25-0018</t>
  </si>
  <si>
    <t>3 Postech Touchscreen Monitor</t>
  </si>
  <si>
    <t>SYL-25-0058</t>
  </si>
  <si>
    <t>SI 000016; CR 000027</t>
  </si>
  <si>
    <t>SYL25-0019</t>
  </si>
  <si>
    <t>5 512gb ram SSD sata</t>
  </si>
  <si>
    <t>SYL-25-0059</t>
  </si>
  <si>
    <t>Lorenz Jedd Alvarez</t>
  </si>
  <si>
    <t>SYL-25-0060</t>
  </si>
  <si>
    <t>PC009</t>
  </si>
  <si>
    <t>SYL-25-0061</t>
  </si>
  <si>
    <t xml:space="preserve">10 Windows 11 </t>
  </si>
  <si>
    <t>Rebecca Gutierrez</t>
  </si>
  <si>
    <t>SYL-25-0062</t>
  </si>
  <si>
    <t>JAN 2025 billing</t>
  </si>
  <si>
    <t>SYL-25-0063</t>
  </si>
  <si>
    <t>SYL-25-0064</t>
  </si>
  <si>
    <t>SYL-25-0065</t>
  </si>
  <si>
    <t>SYL-25-0066</t>
  </si>
  <si>
    <t>BDO-325107</t>
  </si>
  <si>
    <t>BDO Insurance 2025</t>
  </si>
  <si>
    <t>BDO Life Assurance Company, Inc</t>
  </si>
  <si>
    <t>SYL-25-0067</t>
  </si>
  <si>
    <t>BDO-325108</t>
  </si>
  <si>
    <t>Car Insurance - 2025</t>
  </si>
  <si>
    <t>BDOI</t>
  </si>
  <si>
    <t>SYL-25-0068</t>
  </si>
  <si>
    <t>BDO-325109</t>
  </si>
  <si>
    <t>Teamviewer license fee</t>
  </si>
  <si>
    <t>SYL-25-0069</t>
  </si>
  <si>
    <t>Feb 10, 2025 bill date</t>
  </si>
  <si>
    <t>SYL-25-0070</t>
  </si>
  <si>
    <t>SI 2400; CR 2122</t>
  </si>
  <si>
    <t>7 POSTECH TOUCHSCREEN MONITOR</t>
  </si>
  <si>
    <t>SYL-25-0071</t>
  </si>
  <si>
    <t>SI 9302; CR 05366</t>
  </si>
  <si>
    <t>SYL25-0021</t>
  </si>
  <si>
    <t>5 EPSON TMU220D LAN PRINTER</t>
  </si>
  <si>
    <t>SYL-25-0072</t>
  </si>
  <si>
    <t>SI 000033; CR 000047</t>
  </si>
  <si>
    <t>SYL25-0022</t>
  </si>
  <si>
    <t>2 STICK MEMORY CRUCIAL SODIUM 8GB; 1 KINGSTON NVME</t>
  </si>
  <si>
    <t>SYL-25-0073</t>
  </si>
  <si>
    <t>BDO-325110</t>
  </si>
  <si>
    <t>SI 571001285; AR 00455; CR 7166000961</t>
  </si>
  <si>
    <t>SYL-25-0074</t>
  </si>
  <si>
    <t>Jan 10 to Feb 9 Billing (Mai)</t>
  </si>
  <si>
    <t>SYL-25-0075</t>
  </si>
  <si>
    <t>Jan 10 to Feb 9 Billing (Ofc)</t>
  </si>
  <si>
    <t>SYL-25-0076</t>
  </si>
  <si>
    <t>Svl 408</t>
  </si>
  <si>
    <t>Back office support fee - Jan 2025</t>
  </si>
  <si>
    <t>SYL-25-0077</t>
  </si>
  <si>
    <t>BDO-325111</t>
  </si>
  <si>
    <t>SYL-25-0078</t>
  </si>
  <si>
    <t>PC010</t>
  </si>
  <si>
    <t>SYL-25-0079</t>
  </si>
  <si>
    <t>PC011</t>
  </si>
  <si>
    <t>Petty Cash - RM</t>
  </si>
  <si>
    <t>SYL-25-0080</t>
  </si>
  <si>
    <t>SI 36282; CR 11277</t>
  </si>
  <si>
    <t>SYL25-0024</t>
  </si>
  <si>
    <t>10 Ribbon take up gear; 25 Printer head</t>
  </si>
  <si>
    <t>SYL-25-0081</t>
  </si>
  <si>
    <t>SI 1849; CR 1132</t>
  </si>
  <si>
    <t>SYL25-0023</t>
  </si>
  <si>
    <t>Falcon 2 ; Falcon Case and IMIN  Swan 1</t>
  </si>
  <si>
    <t>SYL-25-0082</t>
  </si>
  <si>
    <t>SYL-25-0083</t>
  </si>
  <si>
    <t>PC012</t>
  </si>
  <si>
    <t>SYL-25-0084</t>
  </si>
  <si>
    <t>SYL-25-0085</t>
  </si>
  <si>
    <t>Audit Fee- DP 2024</t>
  </si>
  <si>
    <t>Kimberly D. Roxas</t>
  </si>
  <si>
    <t>SYL-25-0086</t>
  </si>
  <si>
    <t>Bookkeeping Fee- Sept to Nov 2024</t>
  </si>
  <si>
    <t>SYL-25-0087</t>
  </si>
  <si>
    <t>SI 000047; CR  000048</t>
  </si>
  <si>
    <t>SYL25-0026</t>
  </si>
  <si>
    <t>5 Switchhub; 10 Keyboard and mouse; 5 Nvme3; 2 kingston nvm3 1tb; 1 16port switchhub</t>
  </si>
  <si>
    <t>SYL-25-0088</t>
  </si>
  <si>
    <t>BDO-325112</t>
  </si>
  <si>
    <t>SYL-25-0089</t>
  </si>
  <si>
    <t>SI 1855; CR 1149</t>
  </si>
  <si>
    <t>SYL24-0154</t>
  </si>
  <si>
    <t>2 Swan 1; 2 Second Display; 1 Crane 1; Table stand; 2 Mcp20 star printer</t>
  </si>
  <si>
    <t>SYL-25-0090</t>
  </si>
  <si>
    <t>SI1852; CR 1131</t>
  </si>
  <si>
    <t>SYL25-0028</t>
  </si>
  <si>
    <t>4 8GB DDR3 RAM</t>
  </si>
  <si>
    <t>SYL-25-0091</t>
  </si>
  <si>
    <t>SI 00461; CR 00504</t>
  </si>
  <si>
    <t>SYL25-0030</t>
  </si>
  <si>
    <t>2 REFILL FIRE EXTINGUISHER</t>
  </si>
  <si>
    <t xml:space="preserve">EMDCC FIRE PROTECTION PRODUCT TRADING </t>
  </si>
  <si>
    <t>SYL-25-0092</t>
  </si>
  <si>
    <t>SYL-25-0093</t>
  </si>
  <si>
    <t>SYL-25-0094</t>
  </si>
  <si>
    <t>laptop - Maintenance</t>
  </si>
  <si>
    <t>Deposited Feb. 28</t>
  </si>
  <si>
    <t>SYL-25-0095</t>
  </si>
  <si>
    <t>BDO-325113</t>
  </si>
  <si>
    <t>SI 000050; CR  000059</t>
  </si>
  <si>
    <t>SYL25-0027</t>
  </si>
  <si>
    <t xml:space="preserve">5 512gb ram SSD sata; 5 desktop; 10 Windows 11 </t>
  </si>
  <si>
    <t>SYL-25-0096</t>
  </si>
  <si>
    <t>PC014</t>
  </si>
  <si>
    <t xml:space="preserve">Outing Payable - Hotel  &amp; Van </t>
  </si>
  <si>
    <t>Rudelyn Macayan</t>
  </si>
  <si>
    <t>SYL-25-0097</t>
  </si>
  <si>
    <t>PC013</t>
  </si>
  <si>
    <t xml:space="preserve">Outing Food Budget </t>
  </si>
  <si>
    <t>Deposited Mar. 11</t>
  </si>
  <si>
    <t>SYL-25-0098</t>
  </si>
  <si>
    <t>PC015</t>
  </si>
  <si>
    <t>SYL-25-0099</t>
  </si>
  <si>
    <t>SI 1858; CR 1151</t>
  </si>
  <si>
    <t>180 Star ribbon Rc700b black</t>
  </si>
  <si>
    <t>SYL-25-0100</t>
  </si>
  <si>
    <t>SI 36381</t>
  </si>
  <si>
    <t>SYL25-0032</t>
  </si>
  <si>
    <t>10 Mini Cash drawer, 5 Scanner barcode</t>
  </si>
  <si>
    <t>SYL-25-0101</t>
  </si>
  <si>
    <t>SI 66199, CR 34984</t>
  </si>
  <si>
    <t>SYL25-0033</t>
  </si>
  <si>
    <t>150 THERMAL PAPER</t>
  </si>
  <si>
    <t>Katalyst Diversified Industries Corp</t>
  </si>
  <si>
    <t>008-467-360-000</t>
  </si>
  <si>
    <t>SYL-25-0102</t>
  </si>
  <si>
    <t>SI 36343, CR 11406</t>
  </si>
  <si>
    <t>SYL25-0029</t>
  </si>
  <si>
    <t xml:space="preserve">GODEX BARCODE PRINTER , LABEL STICKER </t>
  </si>
  <si>
    <t>SYL-25-0103</t>
  </si>
  <si>
    <t>SI 36395, CR 11404</t>
  </si>
  <si>
    <t>SYL25-0035</t>
  </si>
  <si>
    <t>SYL-25-0104</t>
  </si>
  <si>
    <t>BDO-325114</t>
  </si>
  <si>
    <t>SYL-25-0105</t>
  </si>
  <si>
    <t>BDO-325115</t>
  </si>
  <si>
    <t>SYL-25-0106</t>
  </si>
  <si>
    <t>PC016</t>
  </si>
  <si>
    <t>SYL-25-0107</t>
  </si>
  <si>
    <t>SI 9442; CR 05381</t>
  </si>
  <si>
    <t>SYL25-0006</t>
  </si>
  <si>
    <t>10 Epson Tmu220d Usb Printer</t>
  </si>
  <si>
    <t>SYL-25-0108</t>
  </si>
  <si>
    <t>SI 000061; CR 000066</t>
  </si>
  <si>
    <t>SYL25-0036</t>
  </si>
  <si>
    <t xml:space="preserve">10 512gb ssd sata; 10 kaspersky anti virus; 10 windows 11 </t>
  </si>
  <si>
    <t>SYL-25-0109</t>
  </si>
  <si>
    <t>SI 9443; CR 05382</t>
  </si>
  <si>
    <t>SYL25-0037</t>
  </si>
  <si>
    <t>5 Epson Tmu220d lan printer</t>
  </si>
  <si>
    <t>SYL-25-0110</t>
  </si>
  <si>
    <t>MAR 17, 2025 billing</t>
  </si>
  <si>
    <t>SYL-25-0111</t>
  </si>
  <si>
    <t>SYL-25-0112</t>
  </si>
  <si>
    <t>FEB 2025 billing</t>
  </si>
  <si>
    <t>SYL-25-0113</t>
  </si>
  <si>
    <t>SYL-25-0114</t>
  </si>
  <si>
    <t>SYL-25-0115</t>
  </si>
  <si>
    <t>Sunlife Insurance</t>
  </si>
  <si>
    <t>SYL-25-0116</t>
  </si>
  <si>
    <t>SYL-25-0117</t>
  </si>
  <si>
    <t>OR 5421</t>
  </si>
  <si>
    <t>Back office support fee - Feb 2025</t>
  </si>
  <si>
    <t>SYL-25-0118</t>
  </si>
  <si>
    <t>PC018</t>
  </si>
  <si>
    <t>Petty Cash -MQ</t>
  </si>
  <si>
    <t>SYL-25-0119</t>
  </si>
  <si>
    <t>PC017</t>
  </si>
  <si>
    <t>Petty Cash-RM</t>
  </si>
  <si>
    <t>SYL-25-0120</t>
  </si>
  <si>
    <t>Mar 10, 2025 bill date</t>
  </si>
  <si>
    <t>SYL-25-0121</t>
  </si>
  <si>
    <t>SI 1877, CR 1150</t>
  </si>
  <si>
    <t>SYL24-154</t>
  </si>
  <si>
    <t>1 Crane 1 , 1 Crane table stand</t>
  </si>
  <si>
    <t>SYL-25-0122</t>
  </si>
  <si>
    <t>SI 9452, CR 05287</t>
  </si>
  <si>
    <t>SYL25-0038</t>
  </si>
  <si>
    <t>15 APC UPS</t>
  </si>
  <si>
    <t>SYL-25-0123</t>
  </si>
  <si>
    <t>SI 1876; CR 1152</t>
  </si>
  <si>
    <t>SYL25-0039</t>
  </si>
  <si>
    <t xml:space="preserve">2 Swan 1, 2 Dual Display </t>
  </si>
  <si>
    <t>SYL-25-0124</t>
  </si>
  <si>
    <t xml:space="preserve">Final pay </t>
  </si>
  <si>
    <t>Johnnel L. Magtalas</t>
  </si>
  <si>
    <t>SYL-25-0125</t>
  </si>
  <si>
    <t>SYL-25-0126</t>
  </si>
  <si>
    <t>Feb 10 to Mar 9 Billing (Mai)</t>
  </si>
  <si>
    <t>SYL-25-0127</t>
  </si>
  <si>
    <t>Feb 10 to Mar 9 Billing (Ofc)</t>
  </si>
  <si>
    <t>SYL-25-0128</t>
  </si>
  <si>
    <t>Gabriel Alvarez</t>
  </si>
  <si>
    <t>SYL-25-0129</t>
  </si>
  <si>
    <t>PC019</t>
  </si>
  <si>
    <t>SYL-25-0130</t>
  </si>
  <si>
    <t>SYL-25-0131</t>
  </si>
  <si>
    <t>SI 000067, CR 000077</t>
  </si>
  <si>
    <t>SYL25-0043</t>
  </si>
  <si>
    <t>5 Router</t>
  </si>
  <si>
    <t>SYL-25-0132</t>
  </si>
  <si>
    <t>SI 9546, CR 05288</t>
  </si>
  <si>
    <t>SYL25-0041</t>
  </si>
  <si>
    <t>2 Epson TM-T82X USB printer/  4 Epson TM-T82X LAN printer</t>
  </si>
  <si>
    <t>SYL-25-0133</t>
  </si>
  <si>
    <t>Ricky's Airfare &amp; Accommodation</t>
  </si>
  <si>
    <t>SYL-25-0134</t>
  </si>
  <si>
    <t>SI 1890, CR 1156</t>
  </si>
  <si>
    <t>SYL25-0045</t>
  </si>
  <si>
    <t>H7-I3-6167U 8gb ram, no ssd</t>
  </si>
  <si>
    <t>SYL-25-0135</t>
  </si>
  <si>
    <t>BDO-325116</t>
  </si>
  <si>
    <t>SYL-25-0136</t>
  </si>
  <si>
    <t>SYL-25-0137</t>
  </si>
  <si>
    <t>SYL-25-0138</t>
  </si>
  <si>
    <t>SI 66534, CR 35277</t>
  </si>
  <si>
    <t>SYL25-0044</t>
  </si>
  <si>
    <t>250 Journal paper 2 ply</t>
  </si>
  <si>
    <t>008-467-360-00000</t>
  </si>
  <si>
    <t>SYL-25-0139</t>
  </si>
  <si>
    <t>SI 36564, CR 11405</t>
  </si>
  <si>
    <t>SYL25-0047</t>
  </si>
  <si>
    <t>2 Poseidon PSD86 handsfree Scanner, 3 Zebra 2208 Barcode Scanner</t>
  </si>
  <si>
    <t>SYL-25-0140</t>
  </si>
  <si>
    <t>PC020</t>
  </si>
  <si>
    <t>Petty Cash-MQ</t>
  </si>
  <si>
    <t>SYL-25-0141</t>
  </si>
  <si>
    <t>Airfare</t>
  </si>
  <si>
    <t>SYL-25-0142</t>
  </si>
  <si>
    <t>5 Epson TMU220D lan printer</t>
  </si>
  <si>
    <t>Business Permit - 2nd Quarter 2025</t>
  </si>
  <si>
    <t>SYL-25-0143</t>
  </si>
  <si>
    <t>PC021</t>
  </si>
  <si>
    <t>SYL-25-0144</t>
  </si>
  <si>
    <t>Airfare to Davao</t>
  </si>
  <si>
    <t>SYL-25-0145</t>
  </si>
  <si>
    <t>BDO-325117</t>
  </si>
  <si>
    <t>SYL-25-0146</t>
  </si>
  <si>
    <t>PC022</t>
  </si>
  <si>
    <t>SYL-25-0147</t>
  </si>
  <si>
    <t>PC031</t>
  </si>
  <si>
    <t>Advance Medical Reimbursment -Maritess B.</t>
  </si>
  <si>
    <t xml:space="preserve">Marites balanquit </t>
  </si>
  <si>
    <t>SYL-25-0148</t>
  </si>
  <si>
    <t>AR 1803</t>
  </si>
  <si>
    <t>2D Zebra 2208 Barcode Scanner</t>
  </si>
  <si>
    <t>SYL-25-0149</t>
  </si>
  <si>
    <t>SI 36381,  CR 11446</t>
  </si>
  <si>
    <t>10 Mini Cash Drawer</t>
  </si>
  <si>
    <t>SYL-25-0150</t>
  </si>
  <si>
    <t>SI 9655, CR 05437</t>
  </si>
  <si>
    <t>10 EPSON TMU220D USB PRINTER</t>
  </si>
  <si>
    <t>SYL-25-0151</t>
  </si>
  <si>
    <t>SI 1902, CR 1172</t>
  </si>
  <si>
    <t>SYL25-0048</t>
  </si>
  <si>
    <t xml:space="preserve">IMIN CRANE 1 , CRANE 1 TABLE STAND </t>
  </si>
  <si>
    <t>SYL-25-0152</t>
  </si>
  <si>
    <t>SI 2502, CR 2218</t>
  </si>
  <si>
    <t>SYL25-0050</t>
  </si>
  <si>
    <t>10 POSTECH TOUCHSCREEN MONITOR</t>
  </si>
  <si>
    <t>SYL-25-0153</t>
  </si>
  <si>
    <t>MAR 2025 billing</t>
  </si>
  <si>
    <t>SYL-25-0154</t>
  </si>
  <si>
    <t>SYL-25-0155</t>
  </si>
  <si>
    <t>BDO-325118</t>
  </si>
  <si>
    <t>SI 000071, CR 000078</t>
  </si>
  <si>
    <t>SYL25-0049</t>
  </si>
  <si>
    <t>5 desktop intel core i5, Chuwi tablet, 3 LQ310 Ribbon</t>
  </si>
  <si>
    <t>SYL-25-0156</t>
  </si>
  <si>
    <t xml:space="preserve"> </t>
  </si>
  <si>
    <t>SYL-25-0157</t>
  </si>
  <si>
    <t>SYL-25-0158</t>
  </si>
  <si>
    <t>Svl 0004</t>
  </si>
  <si>
    <t>Back office support fee - Mar 2025</t>
  </si>
  <si>
    <t>SYL-25-0159</t>
  </si>
  <si>
    <t>PC023</t>
  </si>
  <si>
    <t>SYL-25-0160</t>
  </si>
  <si>
    <t>Membership Renewal 2025</t>
  </si>
  <si>
    <t>CRIF Philippines, Inc</t>
  </si>
  <si>
    <t>SYL-25-0161</t>
  </si>
  <si>
    <t>SYL-25-0162</t>
  </si>
  <si>
    <t>April  11, 2025 bill date</t>
  </si>
  <si>
    <t>SYL-25-0163</t>
  </si>
  <si>
    <t>APR 17, 2025 billing</t>
  </si>
  <si>
    <t>SYL-25-0164</t>
  </si>
  <si>
    <t>SYL-25-0165</t>
  </si>
  <si>
    <t>SI 04709</t>
  </si>
  <si>
    <t>SYL25-0052</t>
  </si>
  <si>
    <t xml:space="preserve">25 Epson printer head </t>
  </si>
  <si>
    <t>SYL-25-0166</t>
  </si>
  <si>
    <t>SI 6068</t>
  </si>
  <si>
    <t>SYL25-0046/SYL25-0040</t>
  </si>
  <si>
    <t>Sales Software</t>
  </si>
  <si>
    <t>SYL-25-0167</t>
  </si>
  <si>
    <t>Mar 10 to April 9 Billing (Mai)</t>
  </si>
  <si>
    <t>SYL-25-0168</t>
  </si>
  <si>
    <t>Mar 10 to April 9 Billing (Ofc)</t>
  </si>
  <si>
    <t>SYL-25-0169</t>
  </si>
  <si>
    <t>PC024</t>
  </si>
  <si>
    <t>SYL-25-0170</t>
  </si>
  <si>
    <t>Audit Fee- FP 2024</t>
  </si>
  <si>
    <t>SYL-25-0171</t>
  </si>
  <si>
    <t xml:space="preserve">Condolence Money -Adi's father </t>
  </si>
  <si>
    <t>SYL-25-0172</t>
  </si>
  <si>
    <t>SYL-25-0173</t>
  </si>
  <si>
    <t>BDO-325119</t>
  </si>
  <si>
    <t>Ruben E. partial dividend</t>
  </si>
  <si>
    <t>SYL-25-0174</t>
  </si>
  <si>
    <t>BDO-325120</t>
  </si>
  <si>
    <t>Allen Malco</t>
  </si>
  <si>
    <t>SYL-25-0175</t>
  </si>
  <si>
    <t>BDO-325121</t>
  </si>
  <si>
    <t>kim Karvinen Luces</t>
  </si>
  <si>
    <t>SYL-25-0176</t>
  </si>
  <si>
    <t>Windows 11 pro</t>
  </si>
  <si>
    <t>SYL-25-0177</t>
  </si>
  <si>
    <t>SI 9730, CR 05120</t>
  </si>
  <si>
    <t>SYL25-0053</t>
  </si>
  <si>
    <t>3 Epson TMU220B usb printer</t>
  </si>
  <si>
    <t>SYL-25-0178</t>
  </si>
  <si>
    <t>SI 000075; CR 000081</t>
  </si>
  <si>
    <t>SYL25-0054</t>
  </si>
  <si>
    <t>5 Switch hub, 10 Kaspersky Anti Virus, 5 windows 11</t>
  </si>
  <si>
    <t>SYL-25-0179</t>
  </si>
  <si>
    <t>Allowance Harvest hotel</t>
  </si>
  <si>
    <t>Deposited May. 14</t>
  </si>
  <si>
    <t>SYL-25-0180</t>
  </si>
  <si>
    <t>BDO-325122</t>
  </si>
  <si>
    <t>SYL-25-0181</t>
  </si>
  <si>
    <t>BDO-325123</t>
  </si>
  <si>
    <t>Fund transfer</t>
  </si>
  <si>
    <t>Syluxent inc</t>
  </si>
  <si>
    <t>SYL-25-0182</t>
  </si>
  <si>
    <t>PC025</t>
  </si>
  <si>
    <t>SYL-25-0183</t>
  </si>
  <si>
    <t>SYL-25-0184</t>
  </si>
  <si>
    <t>SYL-25-0185</t>
  </si>
  <si>
    <t>SI 66956, CR 35618</t>
  </si>
  <si>
    <t>SYL25-0056</t>
  </si>
  <si>
    <t>1250 Journal paper 2 ply</t>
  </si>
  <si>
    <t>SYL-25-0186</t>
  </si>
  <si>
    <t>SI 9762, CR 05530</t>
  </si>
  <si>
    <t>SYL25-0057</t>
  </si>
  <si>
    <t>Epson Tmu220A USB printer, 3 Epson Tmu220B Lan printer</t>
  </si>
  <si>
    <t>SYL-25-0187</t>
  </si>
  <si>
    <t>BDO-325124</t>
  </si>
  <si>
    <t>Group Yearly Insurance 2025</t>
  </si>
  <si>
    <t>SYL-25-0188</t>
  </si>
  <si>
    <t xml:space="preserve">VIA Basic membership renewal </t>
  </si>
  <si>
    <t>SYL-25-0189</t>
  </si>
  <si>
    <t>BDO-325127</t>
  </si>
  <si>
    <t>3 Units of laptop</t>
  </si>
  <si>
    <t>Virtual E-com Solutions corp</t>
  </si>
  <si>
    <t>SYL-25-0190</t>
  </si>
  <si>
    <t>BDO-325128</t>
  </si>
  <si>
    <t>SYL-25-0191</t>
  </si>
  <si>
    <t>APR 2025 billing</t>
  </si>
  <si>
    <t>SYL-25-0192</t>
  </si>
  <si>
    <t>PC026</t>
  </si>
  <si>
    <t>SYL-25-0193</t>
  </si>
  <si>
    <t>SI 2586, CR 2280</t>
  </si>
  <si>
    <t>SYL25-0060</t>
  </si>
  <si>
    <t>1 Precision PR-8S-usb (1200va/600 wtts)</t>
  </si>
  <si>
    <t>SYL-25-0194</t>
  </si>
  <si>
    <t>BDO-325129</t>
  </si>
  <si>
    <t>SYL-25-0195</t>
  </si>
  <si>
    <t>BDO-325130</t>
  </si>
  <si>
    <t>Travel Expense</t>
  </si>
  <si>
    <t>SYL-25-0196</t>
  </si>
  <si>
    <t xml:space="preserve">Davao Airfare </t>
  </si>
  <si>
    <t>SYL-25-0197</t>
  </si>
  <si>
    <t>BDO-266714</t>
  </si>
  <si>
    <t xml:space="preserve">Cash Advance </t>
  </si>
  <si>
    <t>Rhea Joy Arador</t>
  </si>
  <si>
    <t>SYL-25-0198</t>
  </si>
  <si>
    <t>SYL-25-0199</t>
  </si>
  <si>
    <t xml:space="preserve">Rommel John Allam Javier </t>
  </si>
  <si>
    <t>SYL-25-0200</t>
  </si>
  <si>
    <t>Invoice 0425-16, Svl 0012</t>
  </si>
  <si>
    <t>Back office support fee - Apr 2025</t>
  </si>
  <si>
    <t>SYL-25-0201</t>
  </si>
  <si>
    <t>SI 6087, 6086, CR 6315</t>
  </si>
  <si>
    <t>Software Sales</t>
  </si>
  <si>
    <t>Jimac Incorporated</t>
  </si>
  <si>
    <t>SYL-25-0202</t>
  </si>
  <si>
    <t>SI 1934, CR 1193</t>
  </si>
  <si>
    <t>SYL25-0055</t>
  </si>
  <si>
    <t>5 huntkey power supply, BSC10E Star printer</t>
  </si>
  <si>
    <t>SYL-25-0203</t>
  </si>
  <si>
    <t>SI 000079, CR 000088</t>
  </si>
  <si>
    <t>SYL25-0064</t>
  </si>
  <si>
    <t>5 Windows 11 pro</t>
  </si>
  <si>
    <t>SYL-25-0204</t>
  </si>
  <si>
    <t>BDO-266715</t>
  </si>
  <si>
    <t>Dividend 2024</t>
  </si>
  <si>
    <t>SYL-25-0205</t>
  </si>
  <si>
    <t>BDO-325131</t>
  </si>
  <si>
    <t>SYL-25-0206</t>
  </si>
  <si>
    <t>SYL-25-0207</t>
  </si>
  <si>
    <t>SYL-25-0208</t>
  </si>
  <si>
    <t>Syluxent LED Signage</t>
  </si>
  <si>
    <t>SYL-25-0209</t>
  </si>
  <si>
    <t>BDO-266716</t>
  </si>
  <si>
    <t>SYL-25-0210</t>
  </si>
  <si>
    <t>PC027</t>
  </si>
  <si>
    <t>SYL-25-0211</t>
  </si>
  <si>
    <t xml:space="preserve">Allowance Davao exhibit </t>
  </si>
  <si>
    <t>Deposited May. 29</t>
  </si>
  <si>
    <t>SYL-25-0212</t>
  </si>
  <si>
    <t>May  10, 2025 bill date</t>
  </si>
  <si>
    <t>SYL-25-0213</t>
  </si>
  <si>
    <t>May 17, 2025 billing</t>
  </si>
  <si>
    <t>SYL-25-0214</t>
  </si>
  <si>
    <t>SYL-25-0215</t>
  </si>
  <si>
    <t>SI 1938, CR 1192</t>
  </si>
  <si>
    <t>SYL25-0042</t>
  </si>
  <si>
    <t xml:space="preserve">5 Eos mini cpu 8gb, no ssd, no os </t>
  </si>
  <si>
    <t>SYL-25-0216</t>
  </si>
  <si>
    <t>SI 9875, CR 05139</t>
  </si>
  <si>
    <t>SYL25-0061</t>
  </si>
  <si>
    <t>10 Apc ups , 5 Tmu220b usb printer</t>
  </si>
  <si>
    <t>SYL-25-0217</t>
  </si>
  <si>
    <t>SI 36882, CR 11535</t>
  </si>
  <si>
    <t>SLY25-0063</t>
  </si>
  <si>
    <t>5 mini cash drawer</t>
  </si>
  <si>
    <t>SYL-25-0218</t>
  </si>
  <si>
    <t>BDO-325132</t>
  </si>
  <si>
    <t>SYL-25-0219</t>
  </si>
  <si>
    <t>5 postech touchscreen monitor</t>
  </si>
  <si>
    <t>SYL-25-0220</t>
  </si>
  <si>
    <t>DDR4 Memory</t>
  </si>
  <si>
    <t>Deposited May. 16</t>
  </si>
  <si>
    <t>SYL-25-0221</t>
  </si>
  <si>
    <t>OR 0002855, BI 3220</t>
  </si>
  <si>
    <t>50 pads of SAF</t>
  </si>
  <si>
    <t xml:space="preserve">Oneway Commercial Printing &amp; trading, co., Inc </t>
  </si>
  <si>
    <t>SYL-25-0222</t>
  </si>
  <si>
    <t>Refferal fee</t>
  </si>
  <si>
    <t>Alvin Verdillo</t>
  </si>
  <si>
    <t>SYL-25-0223</t>
  </si>
  <si>
    <t>PC028</t>
  </si>
  <si>
    <t>SYL-25-0224</t>
  </si>
  <si>
    <t>SYL-25-0225</t>
  </si>
  <si>
    <t>BDO-325133</t>
  </si>
  <si>
    <t>SYL-25-0226</t>
  </si>
  <si>
    <t>BDO-325134</t>
  </si>
  <si>
    <t>Accomodation fee</t>
  </si>
  <si>
    <t>Danilo Tan</t>
  </si>
  <si>
    <t>SYL-25-0227</t>
  </si>
  <si>
    <t>BDO-266718</t>
  </si>
  <si>
    <t>Payment for Marites B. CA</t>
  </si>
  <si>
    <t>SYL-25-0228</t>
  </si>
  <si>
    <t>PC029</t>
  </si>
  <si>
    <t>SYL-25-0229</t>
  </si>
  <si>
    <t>SYL-25-0230</t>
  </si>
  <si>
    <t>SYL-25-0231</t>
  </si>
  <si>
    <t>SYL-25-0232</t>
  </si>
  <si>
    <t>Davao Accomadation</t>
  </si>
  <si>
    <t>SYL-25-0233</t>
  </si>
  <si>
    <t xml:space="preserve">Hazhel's allowance to harvest </t>
  </si>
  <si>
    <t>Deposited May. 17</t>
  </si>
  <si>
    <t>SYL-25-0234</t>
  </si>
  <si>
    <t>SI 10058,  CR 05631</t>
  </si>
  <si>
    <t>5 Tmu220d Usb printer</t>
  </si>
  <si>
    <t>VOID CHEQUE</t>
  </si>
  <si>
    <t>SYL-25-0235</t>
  </si>
  <si>
    <t>SI 000088, CR 000093</t>
  </si>
  <si>
    <t>SYL25-0066</t>
  </si>
  <si>
    <t xml:space="preserve">5 Desktop w/ ssd, 10 window 11 pro , 5 Nvme.2 </t>
  </si>
  <si>
    <t>SYL-25-0236</t>
  </si>
  <si>
    <t>4233709</t>
  </si>
  <si>
    <t>SI 10056, CR 05630</t>
  </si>
  <si>
    <t>SYL25-0067</t>
  </si>
  <si>
    <t>10 Apc ups , 3 Tmu220b usb printer</t>
  </si>
  <si>
    <t>SYL-25-0237</t>
  </si>
  <si>
    <t>4233710</t>
  </si>
  <si>
    <t>SYL-25-0238</t>
  </si>
  <si>
    <t>4233711</t>
  </si>
  <si>
    <t>PC030</t>
  </si>
  <si>
    <t>SYL-25-0239</t>
  </si>
  <si>
    <t>4233712</t>
  </si>
  <si>
    <t>Refferal Fee</t>
  </si>
  <si>
    <t>SYL-25-0240</t>
  </si>
  <si>
    <t>4233713</t>
  </si>
  <si>
    <t>SI 37088, CR 11635</t>
  </si>
  <si>
    <t>SYL25-0069</t>
  </si>
  <si>
    <t>1 Godex barcode printer, 3 label sticker</t>
  </si>
  <si>
    <t>SYL-25-0241</t>
  </si>
  <si>
    <t>4233714</t>
  </si>
  <si>
    <t>SI 017340, CR 11396</t>
  </si>
  <si>
    <t>SYL25-0070</t>
  </si>
  <si>
    <t>Office supplies</t>
  </si>
  <si>
    <t xml:space="preserve">J&amp;J Consumer goods trading </t>
  </si>
  <si>
    <t>205-681-388-00000</t>
  </si>
  <si>
    <t>SYL-25-0242</t>
  </si>
  <si>
    <t>BDO-266720</t>
  </si>
  <si>
    <t>SYL-25-0243</t>
  </si>
  <si>
    <t>BDO-325135</t>
  </si>
  <si>
    <t xml:space="preserve">Syluxent inc </t>
  </si>
  <si>
    <t>SYL-25-0244</t>
  </si>
  <si>
    <t>4233715</t>
  </si>
  <si>
    <t>SI 37233, CR 11636</t>
  </si>
  <si>
    <t>SYL25-0071</t>
  </si>
  <si>
    <t xml:space="preserve">1 Godex EZ120 Power supply </t>
  </si>
  <si>
    <t>SYL-25-0245</t>
  </si>
  <si>
    <t>4233716</t>
  </si>
  <si>
    <t>SI 67655, CR 35767</t>
  </si>
  <si>
    <t>SYL25-0072</t>
  </si>
  <si>
    <t xml:space="preserve">250 Journal paper 2 ply </t>
  </si>
  <si>
    <t>SYL-25-0246</t>
  </si>
  <si>
    <t>BDO-266721</t>
  </si>
  <si>
    <t>Richard Dizaon Jr.</t>
  </si>
  <si>
    <t>SYL-25-0247</t>
  </si>
  <si>
    <t>4233717</t>
  </si>
  <si>
    <t>SYL-25-0248</t>
  </si>
  <si>
    <t>4233718</t>
  </si>
  <si>
    <t xml:space="preserve">Ricky Morales </t>
  </si>
  <si>
    <t>SYL-25-0249</t>
  </si>
  <si>
    <t>4233719</t>
  </si>
  <si>
    <t>June  10, 2025 bill date</t>
  </si>
  <si>
    <t>SYL-25-0250</t>
  </si>
  <si>
    <t>4233720</t>
  </si>
  <si>
    <t>MAY 2025 billing</t>
  </si>
  <si>
    <t>SYL-25-0251</t>
  </si>
  <si>
    <t>4233721</t>
  </si>
  <si>
    <t>tax invoice : 0525-16, AR: 0023</t>
  </si>
  <si>
    <t>Back office support fee - May 2025</t>
  </si>
  <si>
    <t>SYL-25-0252</t>
  </si>
  <si>
    <t>4233722</t>
  </si>
  <si>
    <t>SI 6141, 6142,6143 CR: 5752</t>
  </si>
  <si>
    <t>SYL-25-0253</t>
  </si>
  <si>
    <t>4233723</t>
  </si>
  <si>
    <t>PC032</t>
  </si>
  <si>
    <t>SYL-25-0254</t>
  </si>
  <si>
    <t>4233724</t>
  </si>
  <si>
    <t>SI 10110, CR 05629</t>
  </si>
  <si>
    <t>SYL25-0073</t>
  </si>
  <si>
    <t>Epson TM-T82X Usb and Lan printer</t>
  </si>
  <si>
    <t>SYL-25-0255</t>
  </si>
  <si>
    <t>4233725</t>
  </si>
  <si>
    <t>May 10 to June 9 Billing (Mai)</t>
  </si>
  <si>
    <t>SYL-25-0256</t>
  </si>
  <si>
    <t>4233726</t>
  </si>
  <si>
    <t>May 10 to June 9 Billing (Ofc)</t>
  </si>
  <si>
    <t>SYL-25-0257</t>
  </si>
  <si>
    <t>4233728</t>
  </si>
  <si>
    <t>Baguio Event Fare</t>
  </si>
  <si>
    <t>Enoch Adrian Lim</t>
  </si>
  <si>
    <t>SYL-25-0258</t>
  </si>
  <si>
    <t>BDO- 325136</t>
  </si>
  <si>
    <t>SYL-25-0259</t>
  </si>
  <si>
    <t>BDO- 325137</t>
  </si>
  <si>
    <t>SYL-25-0260</t>
  </si>
  <si>
    <t>4233729</t>
  </si>
  <si>
    <t>Hotel Exhibit Ingress and Egress</t>
  </si>
  <si>
    <t>SYL-25-0261</t>
  </si>
  <si>
    <t>4233730</t>
  </si>
  <si>
    <t>Membership Renewal</t>
  </si>
  <si>
    <t>SYL-25-0262</t>
  </si>
  <si>
    <t>4233731</t>
  </si>
  <si>
    <t>SI 37172, CR 11637</t>
  </si>
  <si>
    <t>SYL25-0074</t>
  </si>
  <si>
    <t>3 Poseidon PSD86 handsfree Scanner</t>
  </si>
  <si>
    <t>SYL-25-0263</t>
  </si>
  <si>
    <t>4233732</t>
  </si>
  <si>
    <t>SI 000090, CR 000099</t>
  </si>
  <si>
    <t>SYL25-0075</t>
  </si>
  <si>
    <t>DDR4 8gb ram</t>
  </si>
  <si>
    <t>SYL-25-0264</t>
  </si>
  <si>
    <t>4233733</t>
  </si>
  <si>
    <t>SI 000092, CR 000095</t>
  </si>
  <si>
    <t>SYL25-0078</t>
  </si>
  <si>
    <t>10 Acer lcd monitor</t>
  </si>
  <si>
    <t>SYL-25-0265</t>
  </si>
  <si>
    <t>4233734</t>
  </si>
  <si>
    <t>SI 2663, CR 2337</t>
  </si>
  <si>
    <t>SYL25-0079</t>
  </si>
  <si>
    <t>10 Postech touchscreen monitor</t>
  </si>
  <si>
    <t>SYL-25-0266</t>
  </si>
  <si>
    <t>4233735</t>
  </si>
  <si>
    <t>Billing no: 04720, AR 2747</t>
  </si>
  <si>
    <t xml:space="preserve">Printer head, Printer gear, cable </t>
  </si>
  <si>
    <t>SYL-25-0267</t>
  </si>
  <si>
    <t>4233736</t>
  </si>
  <si>
    <t>June 17, 2025 billing</t>
  </si>
  <si>
    <t>SYL-25-0268</t>
  </si>
  <si>
    <t>4233737</t>
  </si>
  <si>
    <t>SYL-25-0269</t>
  </si>
  <si>
    <t>4233738</t>
  </si>
  <si>
    <t>PC033</t>
  </si>
  <si>
    <t xml:space="preserve">Petty Cash-MQ </t>
  </si>
  <si>
    <t>SYL-25-0270</t>
  </si>
  <si>
    <t>4233739</t>
  </si>
  <si>
    <t>SYL25-0077</t>
  </si>
  <si>
    <t xml:space="preserve">imin swan 1 </t>
  </si>
  <si>
    <t>SYL-25-0271</t>
  </si>
  <si>
    <t>4233740</t>
  </si>
  <si>
    <t>SYL-25-0272</t>
  </si>
  <si>
    <t>4233741</t>
  </si>
  <si>
    <t>Billing no: 04721, AR 2748</t>
  </si>
  <si>
    <t xml:space="preserve">Exhibit Share 2025 </t>
  </si>
  <si>
    <t>SYL-25-0273</t>
  </si>
  <si>
    <t>BDO-325138</t>
  </si>
  <si>
    <t>SYL-25-0274</t>
  </si>
  <si>
    <t>4233742</t>
  </si>
  <si>
    <t>SYL25-0081</t>
  </si>
  <si>
    <t>30 thermal pos paper</t>
  </si>
  <si>
    <t>SYL-25-0275</t>
  </si>
  <si>
    <t>4233743</t>
  </si>
  <si>
    <t>PC034</t>
  </si>
  <si>
    <t>SYL-25-0276</t>
  </si>
  <si>
    <t>4233744</t>
  </si>
  <si>
    <t>SYL25-006</t>
  </si>
  <si>
    <t>10 Tmu220D usb printer</t>
  </si>
  <si>
    <t>SYL-25-0277</t>
  </si>
  <si>
    <t>4233745</t>
  </si>
  <si>
    <t>SYL25-0082</t>
  </si>
  <si>
    <t>5 Bsc10 star usb printer</t>
  </si>
  <si>
    <t>SYL-25-0278</t>
  </si>
  <si>
    <t>BDO-325141</t>
  </si>
  <si>
    <t>SI 000096, CR 000100</t>
  </si>
  <si>
    <t>SYL25-0083</t>
  </si>
  <si>
    <t>5 Desktop,Windows 11, 10 keyboard and mouse</t>
  </si>
  <si>
    <t>SYL-25-0279</t>
  </si>
  <si>
    <t>4233746</t>
  </si>
  <si>
    <t>SYL-25-0280</t>
  </si>
  <si>
    <t>4233747</t>
  </si>
  <si>
    <t>SYL-25-0281</t>
  </si>
  <si>
    <t>4233748</t>
  </si>
  <si>
    <t>Programming Fee MN+LA</t>
  </si>
  <si>
    <t>Business Permit - 3nd Quarter 2025</t>
  </si>
  <si>
    <t>SYL-25-0282</t>
  </si>
  <si>
    <t>4233749</t>
  </si>
  <si>
    <t>Membership Renewal Syluxent Inc</t>
  </si>
  <si>
    <t>CRIF Philiipines Inc</t>
  </si>
  <si>
    <t>SYL-25-0283</t>
  </si>
  <si>
    <t>4233750</t>
  </si>
  <si>
    <t>SYL-25-0284</t>
  </si>
  <si>
    <t>4300051</t>
  </si>
  <si>
    <t>SYL-25-0285</t>
  </si>
  <si>
    <t>4300052</t>
  </si>
  <si>
    <t>SYL-25-0286</t>
  </si>
  <si>
    <t>4300053</t>
  </si>
  <si>
    <t>SYL-25-0287</t>
  </si>
  <si>
    <t>4300054</t>
  </si>
  <si>
    <t>SYL-25-0288</t>
  </si>
  <si>
    <t>4300055</t>
  </si>
  <si>
    <t>SYL-25-0289</t>
  </si>
  <si>
    <t>4300056</t>
  </si>
  <si>
    <t>SYL-25-0290</t>
  </si>
  <si>
    <t>4300058</t>
  </si>
  <si>
    <t>SYL-25-0291</t>
  </si>
  <si>
    <t>4300057</t>
  </si>
  <si>
    <t>SI 10318, CR  05705</t>
  </si>
  <si>
    <t>SYL-25-0292</t>
  </si>
  <si>
    <t>4300059</t>
  </si>
  <si>
    <t>SI 1987, CR 1211</t>
  </si>
  <si>
    <t>SYL-25-0293</t>
  </si>
  <si>
    <t>4300060</t>
  </si>
  <si>
    <t>SI 1974, CR 1212</t>
  </si>
  <si>
    <t>SYL-25-0294</t>
  </si>
  <si>
    <t>4300061</t>
  </si>
  <si>
    <t>SI 37227, CR 11669</t>
  </si>
  <si>
    <t>SYL-25-0295</t>
  </si>
  <si>
    <t>4300062</t>
  </si>
  <si>
    <t>SYL-25-0296</t>
  </si>
  <si>
    <t>4300063</t>
  </si>
  <si>
    <t>SI 37292, CR 11670</t>
  </si>
  <si>
    <t>SYL25-0085</t>
  </si>
  <si>
    <t>Godex barcode printer, 3 label sticker</t>
  </si>
  <si>
    <t>SYL-25-0297</t>
  </si>
  <si>
    <t>4300064</t>
  </si>
  <si>
    <t>SI 10334, CR 05704</t>
  </si>
  <si>
    <t>SYL25-0086</t>
  </si>
  <si>
    <t>5 Epson Tmu220B Usb printer, Epson Tm- t82X usb/ lan printer</t>
  </si>
  <si>
    <t>SYL-25-0298</t>
  </si>
  <si>
    <t>4300065</t>
  </si>
  <si>
    <t>JUNE 2025 billing</t>
  </si>
  <si>
    <t>SYL-25-0299</t>
  </si>
  <si>
    <t>4300066</t>
  </si>
  <si>
    <t>SYL-25-0300</t>
  </si>
  <si>
    <t>4300067</t>
  </si>
  <si>
    <t>PC035</t>
  </si>
  <si>
    <t>SYL-25-0301</t>
  </si>
  <si>
    <t>4300068</t>
  </si>
  <si>
    <t>Nov 2024 Sales Incentives</t>
  </si>
  <si>
    <t>SYL-25-0302</t>
  </si>
  <si>
    <t>4300069</t>
  </si>
  <si>
    <t>Sunlife Insurance -2025</t>
  </si>
  <si>
    <t>Sun Life Canada (Phils), Inc</t>
  </si>
  <si>
    <t>SYL-25-0303</t>
  </si>
  <si>
    <t>BDO-325143</t>
  </si>
  <si>
    <t>SYL-25-0304</t>
  </si>
  <si>
    <t>BDO-266722</t>
  </si>
  <si>
    <t>SYL-25-0305</t>
  </si>
  <si>
    <t>4300070</t>
  </si>
  <si>
    <t>Jan to May 2025 Book keeping Fee</t>
  </si>
  <si>
    <t>SYL-25-0306</t>
  </si>
  <si>
    <t>4300072</t>
  </si>
  <si>
    <t>PC036</t>
  </si>
  <si>
    <t>SYL-25-0307</t>
  </si>
  <si>
    <t>4300073</t>
  </si>
  <si>
    <t>PC037</t>
  </si>
  <si>
    <t>petty Cash-RM</t>
  </si>
  <si>
    <t>SYL-25-0308</t>
  </si>
  <si>
    <t>4300074</t>
  </si>
  <si>
    <t>SYL-25-0309</t>
  </si>
  <si>
    <t>4300075</t>
  </si>
  <si>
    <t>SYL-25-0310</t>
  </si>
  <si>
    <t>4300076</t>
  </si>
  <si>
    <t>SI 10363, CR 05712</t>
  </si>
  <si>
    <t>SYL25-0088</t>
  </si>
  <si>
    <t xml:space="preserve">10 Apc Ups </t>
  </si>
  <si>
    <t>SYL-25-0311</t>
  </si>
  <si>
    <t>4300077</t>
  </si>
  <si>
    <t>SI 68115, CR 36073</t>
  </si>
  <si>
    <t>SYL25-0087</t>
  </si>
  <si>
    <t xml:space="preserve">500 Journal paper 1 ply , 250 Journal paper 2 ply </t>
  </si>
  <si>
    <t>SYL-25-0312</t>
  </si>
  <si>
    <t>4300078</t>
  </si>
  <si>
    <t>AR:0056</t>
  </si>
  <si>
    <t>Sunfish HRA Consulting, Inc.</t>
  </si>
  <si>
    <t>SYL-25-0313</t>
  </si>
  <si>
    <t>4300079</t>
  </si>
  <si>
    <t>Referral Fee- Alvin Verdillo</t>
  </si>
  <si>
    <t>SYL-25-0314</t>
  </si>
  <si>
    <t>4300080</t>
  </si>
  <si>
    <t>July  12, 2025 bill date</t>
  </si>
  <si>
    <t>SYL-25-0315</t>
  </si>
  <si>
    <t>4300086</t>
  </si>
  <si>
    <t>June 10 to July 9 Billing (Mai)</t>
  </si>
  <si>
    <t>SYL-25-0316</t>
  </si>
  <si>
    <t>4300082</t>
  </si>
  <si>
    <t>June 10 to July 9 Billing (Ofc)</t>
  </si>
  <si>
    <t>SYL-25-0317</t>
  </si>
  <si>
    <t>4300083</t>
  </si>
  <si>
    <t>July 17, 2025 billing</t>
  </si>
  <si>
    <t>SYL-25-0318</t>
  </si>
  <si>
    <t>4300084</t>
  </si>
  <si>
    <t>SYL-25-0319</t>
  </si>
  <si>
    <t>BDO-325144</t>
  </si>
  <si>
    <t>PC040</t>
  </si>
  <si>
    <t>Company Uniform</t>
  </si>
  <si>
    <t>Deposited July 30</t>
  </si>
  <si>
    <t>SYL-25-0320</t>
  </si>
  <si>
    <t>4300085</t>
  </si>
  <si>
    <t>Samsung Tv &amp; tilt Tv  expense - Marites B.</t>
  </si>
  <si>
    <t>Deposited July 18</t>
  </si>
  <si>
    <t>SYL-25-0321</t>
  </si>
  <si>
    <t>4300087</t>
  </si>
  <si>
    <t>SYL-25-0322</t>
  </si>
  <si>
    <t>4300088</t>
  </si>
  <si>
    <t>PC038</t>
  </si>
  <si>
    <t>SYL-25-0323</t>
  </si>
  <si>
    <t>4300089</t>
  </si>
  <si>
    <t>SI 2005, CR 1232</t>
  </si>
  <si>
    <t>SYL-25-0324</t>
  </si>
  <si>
    <t>4300090</t>
  </si>
  <si>
    <t>SI 2006, CR 1233</t>
  </si>
  <si>
    <t>SYL25-0090</t>
  </si>
  <si>
    <t>SYL-25-0325</t>
  </si>
  <si>
    <t>4300091</t>
  </si>
  <si>
    <t>SI 37433, CR 11794</t>
  </si>
  <si>
    <t>SYL25-0091</t>
  </si>
  <si>
    <t>Poseidon psd86 barcode scanner, 10 Cash drawer</t>
  </si>
  <si>
    <t>SYL-25-0326</t>
  </si>
  <si>
    <t>4300092</t>
  </si>
  <si>
    <t>SI 000100, CR  000104</t>
  </si>
  <si>
    <t>SYL25-0092</t>
  </si>
  <si>
    <t>10 Windows 11 pro</t>
  </si>
  <si>
    <t>SYL-25-0327</t>
  </si>
  <si>
    <t>BDO-325145</t>
  </si>
  <si>
    <t xml:space="preserve">BIR Payment </t>
  </si>
  <si>
    <t>SYL-25-0328</t>
  </si>
  <si>
    <t>4300093</t>
  </si>
  <si>
    <t>PC041</t>
  </si>
  <si>
    <t xml:space="preserve">Jersey Uniform </t>
  </si>
  <si>
    <t>Deposited August 1</t>
  </si>
  <si>
    <t>SYL-25-0329</t>
  </si>
  <si>
    <t>4300094</t>
  </si>
  <si>
    <t>SYL-25-0330</t>
  </si>
  <si>
    <t>4300095</t>
  </si>
  <si>
    <t>SI 1990, CR 1237</t>
  </si>
  <si>
    <t>Printer Repair -1500 Clutch Gear- 800</t>
  </si>
  <si>
    <t>SYL-25-0331</t>
  </si>
  <si>
    <t>4300097</t>
  </si>
  <si>
    <t>SI 68243, CR 36295</t>
  </si>
  <si>
    <t>SYL25-0094</t>
  </si>
  <si>
    <t xml:space="preserve">30 box journal paper 2 ply </t>
  </si>
  <si>
    <t>SYL-25-0332</t>
  </si>
  <si>
    <t>4300098</t>
  </si>
  <si>
    <t>SI 10520, CR 05890</t>
  </si>
  <si>
    <t>SYL25-0095</t>
  </si>
  <si>
    <t>14 Apc Ups</t>
  </si>
  <si>
    <t>SYL-25-0333</t>
  </si>
  <si>
    <t>4300099</t>
  </si>
  <si>
    <t>SI 2741, CR 2432</t>
  </si>
  <si>
    <t>SYL25-0096</t>
  </si>
  <si>
    <t>SYL-25-0334</t>
  </si>
  <si>
    <t>4300100</t>
  </si>
  <si>
    <t>SI 2011, CR  1234</t>
  </si>
  <si>
    <t>SYL25-0098</t>
  </si>
  <si>
    <t>2 imin swan 1 , 2 Falcon 2 , Imin D2</t>
  </si>
  <si>
    <t>SYL-25-0335</t>
  </si>
  <si>
    <t>4300101</t>
  </si>
  <si>
    <t>SYL-25-0336</t>
  </si>
  <si>
    <t>4300102</t>
  </si>
  <si>
    <t>SYL-25-0337</t>
  </si>
  <si>
    <t>BDO-325147</t>
  </si>
  <si>
    <t>SYL-25-0338</t>
  </si>
  <si>
    <t>BDO-325148</t>
  </si>
  <si>
    <t>Company Loan</t>
  </si>
  <si>
    <t>SYL-25-0339</t>
  </si>
  <si>
    <t>4300103</t>
  </si>
  <si>
    <t>Uniform Embroidery</t>
  </si>
  <si>
    <t>Joanne Zapanta</t>
  </si>
  <si>
    <t>SYL-25-0340</t>
  </si>
  <si>
    <t>4300104</t>
  </si>
  <si>
    <t>PC039</t>
  </si>
  <si>
    <t>SYL-25-0341</t>
  </si>
  <si>
    <t>4300105</t>
  </si>
  <si>
    <t>SI 000102, CR 000105</t>
  </si>
  <si>
    <t>SYL25-0100</t>
  </si>
  <si>
    <t>10 Kaspersky Anti Virus, 5 nvme.2, 2Viewsonic Monitor, 3 Sd Card 32gb</t>
  </si>
  <si>
    <t>SYL-25-0342</t>
  </si>
  <si>
    <t>4300106</t>
  </si>
  <si>
    <t>SI 10549, CR 05891</t>
  </si>
  <si>
    <t>SYL25-0103</t>
  </si>
  <si>
    <t>5 Epson Tmu220b Usb printer</t>
  </si>
  <si>
    <t>SYL-25-0343</t>
  </si>
  <si>
    <t>BDO-325149</t>
  </si>
  <si>
    <t>SYL-25-0344</t>
  </si>
  <si>
    <t>4300107</t>
  </si>
  <si>
    <t>PC042</t>
  </si>
  <si>
    <t xml:space="preserve">Petty Cash - MQ </t>
  </si>
  <si>
    <t>SYL-25-0345</t>
  </si>
  <si>
    <t>4300108</t>
  </si>
  <si>
    <t xml:space="preserve">Wofex Exhibit Allowance </t>
  </si>
  <si>
    <t>Deposited August 14</t>
  </si>
  <si>
    <t>SYL-25-0346</t>
  </si>
  <si>
    <t>BDO-266723</t>
  </si>
  <si>
    <t>SYL-25-0347</t>
  </si>
  <si>
    <t>BDO-266724</t>
  </si>
  <si>
    <t>Partial Dividend 2024</t>
  </si>
  <si>
    <t>SYL-25-0348</t>
  </si>
  <si>
    <t>4300109</t>
  </si>
  <si>
    <t>PC043</t>
  </si>
  <si>
    <t>Calling Card</t>
  </si>
  <si>
    <t>SYL-25-0349</t>
  </si>
  <si>
    <t>BDO-325150</t>
  </si>
  <si>
    <t>Syluxent</t>
  </si>
  <si>
    <t>SYL-25-0350</t>
  </si>
  <si>
    <t>4300110</t>
  </si>
  <si>
    <t>SYL25-0114</t>
  </si>
  <si>
    <t>5 BS -011BU-2D Barcode Scanner 2D/1D</t>
  </si>
  <si>
    <t>Infosoft Consulting Corp.</t>
  </si>
  <si>
    <t>VOID CHECK</t>
  </si>
  <si>
    <t>SYL-25-0351</t>
  </si>
  <si>
    <t>4300111</t>
  </si>
  <si>
    <t>SI 10599, CR 05892</t>
  </si>
  <si>
    <t>10 Epson tmu220d usb printer</t>
  </si>
  <si>
    <t>SYL-25-0352</t>
  </si>
  <si>
    <t>4300112</t>
  </si>
  <si>
    <t>SYL-25-0353</t>
  </si>
  <si>
    <t>4300113</t>
  </si>
  <si>
    <t>SI 2025, CR 1235</t>
  </si>
  <si>
    <t>SYL25-0109</t>
  </si>
  <si>
    <t>10 eos 8gb, no ssd</t>
  </si>
  <si>
    <t>SYL-25-0354</t>
  </si>
  <si>
    <t>4300114</t>
  </si>
  <si>
    <t>SI 37562, CR 11795</t>
  </si>
  <si>
    <t>SYL25-0110</t>
  </si>
  <si>
    <t>SYL-25-0355</t>
  </si>
  <si>
    <t>4300115</t>
  </si>
  <si>
    <t>SI 000104, CR 000106</t>
  </si>
  <si>
    <t>SYL25-0111</t>
  </si>
  <si>
    <t>5 Desktop no ssd, 5 Nvme.2, 5 Windows 11 , 1 8gb ram</t>
  </si>
  <si>
    <t>SYL-25-0356</t>
  </si>
  <si>
    <t>4300116</t>
  </si>
  <si>
    <t>SI 000106, CR 000107</t>
  </si>
  <si>
    <t>SYL25-0112</t>
  </si>
  <si>
    <t>5 Desktop with ssd, 5 nvme.2</t>
  </si>
  <si>
    <t>SYL-25-0357</t>
  </si>
  <si>
    <t>4300117</t>
  </si>
  <si>
    <t>SYL-25-0358</t>
  </si>
  <si>
    <t>4300118</t>
  </si>
  <si>
    <t>SI 2090, CR 1442</t>
  </si>
  <si>
    <t>SYL-25-0359</t>
  </si>
  <si>
    <t>4300119</t>
  </si>
  <si>
    <t>SI 2774, CR 2747</t>
  </si>
  <si>
    <t>SYL25-0128</t>
  </si>
  <si>
    <t>Postech cord &amp; adapter</t>
  </si>
  <si>
    <t>SYL-25-0360</t>
  </si>
  <si>
    <t>4300120</t>
  </si>
  <si>
    <t>Svl 0062, AR 0112</t>
  </si>
  <si>
    <t>JULY 2025 billing</t>
  </si>
  <si>
    <t>SYL-25-0361</t>
  </si>
  <si>
    <t>4300121</t>
  </si>
  <si>
    <t>SYL-25-0362</t>
  </si>
  <si>
    <t>4300122</t>
  </si>
  <si>
    <t>Aug 17, 2025 billing</t>
  </si>
  <si>
    <t>SYL-25-0363</t>
  </si>
  <si>
    <t>4300123</t>
  </si>
  <si>
    <t>SYL-25-0364</t>
  </si>
  <si>
    <t>BDO-266725</t>
  </si>
  <si>
    <t>Hazhel Aguilar</t>
  </si>
  <si>
    <t>SYL-25-0365</t>
  </si>
  <si>
    <t>BDO-325151</t>
  </si>
  <si>
    <t>SYL-25-0366</t>
  </si>
  <si>
    <t>4300124</t>
  </si>
  <si>
    <t>July 10 to Aug 09 Billing (Mai)</t>
  </si>
  <si>
    <t>SYL-25-0367</t>
  </si>
  <si>
    <t>4300125</t>
  </si>
  <si>
    <t>July 10 to Aug 09 Billing (Ofc)</t>
  </si>
  <si>
    <t>SYL-25-0368</t>
  </si>
  <si>
    <t>4300126</t>
  </si>
  <si>
    <t>SYL-25-0369</t>
  </si>
  <si>
    <t>4300127</t>
  </si>
  <si>
    <t>SYL-25-0370</t>
  </si>
  <si>
    <t>4300128</t>
  </si>
  <si>
    <t>Aug  12, 2025 bill date</t>
  </si>
  <si>
    <t xml:space="preserve">Manila Electric Company </t>
  </si>
  <si>
    <t>SYL-25-0371</t>
  </si>
  <si>
    <t>4300129</t>
  </si>
  <si>
    <t>PC044</t>
  </si>
  <si>
    <t>SYL-25-0372</t>
  </si>
  <si>
    <t>4300130</t>
  </si>
  <si>
    <t>PC045</t>
  </si>
  <si>
    <t>SYL-25-0373</t>
  </si>
  <si>
    <t>4300131</t>
  </si>
  <si>
    <t>SI 10667, CR 05711</t>
  </si>
  <si>
    <t>SYL25-0129</t>
  </si>
  <si>
    <t>1 epson T82X Lan Printer, 10 Apc Ups</t>
  </si>
  <si>
    <t>SYL-25-0374</t>
  </si>
  <si>
    <t>BDO-325152</t>
  </si>
  <si>
    <t>PC046</t>
  </si>
  <si>
    <t>Deposited August 18</t>
  </si>
  <si>
    <t>SYL-25-0375</t>
  </si>
  <si>
    <t>BDO-325153</t>
  </si>
  <si>
    <t>SI 6169, SI 6170, 6171, 6172, 6173, 6174, 6176  CR: 5810</t>
  </si>
  <si>
    <t xml:space="preserve">Sales Software </t>
  </si>
  <si>
    <t>SYL-25-0376</t>
  </si>
  <si>
    <t>BDO-325154</t>
  </si>
  <si>
    <t>SYL-25-0377</t>
  </si>
  <si>
    <t>4300132</t>
  </si>
  <si>
    <t xml:space="preserve">1st Month Rental </t>
  </si>
  <si>
    <t>Albert Yu</t>
  </si>
  <si>
    <t>SYL-25-0378</t>
  </si>
  <si>
    <t>4300133</t>
  </si>
  <si>
    <t xml:space="preserve">2nd Month Rental </t>
  </si>
  <si>
    <t>MBJJ Property holding &amp; development Corp.</t>
  </si>
  <si>
    <t>SYL-25-0379</t>
  </si>
  <si>
    <t>4300134</t>
  </si>
  <si>
    <t xml:space="preserve">3rd Month Rental </t>
  </si>
  <si>
    <t>SYL-25-0380</t>
  </si>
  <si>
    <t>4300135</t>
  </si>
  <si>
    <t>4th Month Rental</t>
  </si>
  <si>
    <t>SYL-25-0381</t>
  </si>
  <si>
    <t>4300136</t>
  </si>
  <si>
    <t xml:space="preserve">5th Month Rental </t>
  </si>
  <si>
    <t>SYL-25-0382</t>
  </si>
  <si>
    <t>4300137</t>
  </si>
  <si>
    <t xml:space="preserve">6th Month Rental </t>
  </si>
  <si>
    <t>SYL-25-0383</t>
  </si>
  <si>
    <t>4300138</t>
  </si>
  <si>
    <t xml:space="preserve">7th Month Rental </t>
  </si>
  <si>
    <t>SYL-25-0384</t>
  </si>
  <si>
    <t>4300139</t>
  </si>
  <si>
    <t xml:space="preserve">8th Month Rental </t>
  </si>
  <si>
    <t>SYL-25-0385</t>
  </si>
  <si>
    <t>4300140</t>
  </si>
  <si>
    <t xml:space="preserve">9th Month Rental </t>
  </si>
  <si>
    <t>SYL-25-0386</t>
  </si>
  <si>
    <t>4300141</t>
  </si>
  <si>
    <t xml:space="preserve">10th Month Rental </t>
  </si>
  <si>
    <t>SYL-25-0387</t>
  </si>
  <si>
    <t>4300142</t>
  </si>
  <si>
    <t xml:space="preserve">11th Month Rental </t>
  </si>
  <si>
    <t>SYL-25-0388</t>
  </si>
  <si>
    <t>4300143</t>
  </si>
  <si>
    <t xml:space="preserve">12th Month Rental </t>
  </si>
  <si>
    <t>SYL-25-0389</t>
  </si>
  <si>
    <t>4300144</t>
  </si>
  <si>
    <t>AR: 0993</t>
  </si>
  <si>
    <t>Radiant Global HD Inc.</t>
  </si>
  <si>
    <t>SYL-25-0390</t>
  </si>
  <si>
    <t>4300145</t>
  </si>
  <si>
    <t>SYL-25-0391</t>
  </si>
  <si>
    <t>BDO-325155</t>
  </si>
  <si>
    <t xml:space="preserve">Syluxent Inc </t>
  </si>
  <si>
    <t>SYL-25-0392</t>
  </si>
  <si>
    <t>BDO-266726</t>
  </si>
  <si>
    <t>Ruben E. Full dividend 2024</t>
  </si>
  <si>
    <t>SYL-25-0393</t>
  </si>
  <si>
    <t>4300146</t>
  </si>
  <si>
    <t>SI 2798, CR 2513</t>
  </si>
  <si>
    <t>SYL25-0131</t>
  </si>
  <si>
    <t>SYL-25-0394</t>
  </si>
  <si>
    <t>4300147</t>
  </si>
  <si>
    <t>PC047</t>
  </si>
  <si>
    <t>SYL-25-0395</t>
  </si>
  <si>
    <t>BDO-325156</t>
  </si>
  <si>
    <t>SYL-25-0396</t>
  </si>
  <si>
    <t>BDO-325157</t>
  </si>
  <si>
    <t>AR: 2779</t>
  </si>
  <si>
    <t>Partial share for christmas party 2025</t>
  </si>
  <si>
    <t>SYL-25-0397</t>
  </si>
  <si>
    <t>4300148</t>
  </si>
  <si>
    <t>SI 10727, CR 05722</t>
  </si>
  <si>
    <t>SYL25-0134</t>
  </si>
  <si>
    <t xml:space="preserve">Epson TM-T82x lan printer </t>
  </si>
  <si>
    <t>SYL-25-0398</t>
  </si>
  <si>
    <t>4300149</t>
  </si>
  <si>
    <t>SYL-25-0399</t>
  </si>
  <si>
    <t>4300150</t>
  </si>
  <si>
    <t>SYL-25-0400</t>
  </si>
  <si>
    <t>4300151</t>
  </si>
  <si>
    <t>PC048</t>
  </si>
  <si>
    <t>SYL-25-0401</t>
  </si>
  <si>
    <t>BDO-325158</t>
  </si>
  <si>
    <t>SYL-25-0402</t>
  </si>
  <si>
    <t>4300152</t>
  </si>
  <si>
    <t>PC049</t>
  </si>
  <si>
    <t>SYL-25-0403</t>
  </si>
  <si>
    <t>4300153</t>
  </si>
  <si>
    <t>SI 10817, CR 06072</t>
  </si>
  <si>
    <t>10 Epson Tmu220d usb printer</t>
  </si>
  <si>
    <t>SYL-25-0404</t>
  </si>
  <si>
    <t>4300154</t>
  </si>
  <si>
    <t>SI 68794, CR 36570</t>
  </si>
  <si>
    <t>SYL25-0138</t>
  </si>
  <si>
    <t xml:space="preserve">150 thermal paper </t>
  </si>
  <si>
    <t>SYL-25-0405</t>
  </si>
  <si>
    <t>4300155</t>
  </si>
  <si>
    <t>SI 000109 CR: 000328</t>
  </si>
  <si>
    <t>SYL25-0144</t>
  </si>
  <si>
    <t>10 Windows 11 pro, 10 Keyboard and Mouse</t>
  </si>
  <si>
    <t>SYL-25-0406</t>
  </si>
  <si>
    <t>4300156</t>
  </si>
  <si>
    <t>SI 10819, CR: 06073</t>
  </si>
  <si>
    <t>SYL25-0145</t>
  </si>
  <si>
    <t>5 Epson Tmu220b usb printer</t>
  </si>
  <si>
    <t>SYL-25-0407</t>
  </si>
  <si>
    <t>4300157</t>
  </si>
  <si>
    <t>PC050</t>
  </si>
  <si>
    <t>SYL-25-0408</t>
  </si>
  <si>
    <t>4300158</t>
  </si>
  <si>
    <t>invoice: 0825-16, AR 0089</t>
  </si>
  <si>
    <t>AUG 2025 billing</t>
  </si>
  <si>
    <t>SYL-25-0409</t>
  </si>
  <si>
    <t>4300159</t>
  </si>
  <si>
    <t>Sunlife Insurance 2025</t>
  </si>
  <si>
    <t>SYL-25-0410</t>
  </si>
  <si>
    <t>4300160</t>
  </si>
  <si>
    <t>SYL-25-0411</t>
  </si>
  <si>
    <t>4300161</t>
  </si>
  <si>
    <t>AUGUST 2025 billing</t>
  </si>
  <si>
    <t>SYL-25-0412</t>
  </si>
  <si>
    <t>4300162</t>
  </si>
  <si>
    <t>SI 2048, CR 1249</t>
  </si>
  <si>
    <t>SYL25-0146</t>
  </si>
  <si>
    <t xml:space="preserve">4 Swan1 4gb + 32gb, 3 Falcon 2 </t>
  </si>
  <si>
    <t>SYL-25-0413</t>
  </si>
  <si>
    <t>4300163</t>
  </si>
  <si>
    <t>SI 2049, CR 1250</t>
  </si>
  <si>
    <t>SYL25-0147</t>
  </si>
  <si>
    <t>5 New eos 8gb no Os</t>
  </si>
  <si>
    <t>SYL-25-0414</t>
  </si>
  <si>
    <t>4300164</t>
  </si>
  <si>
    <t>Si 2843, CR 2527</t>
  </si>
  <si>
    <t>SYL25-0151</t>
  </si>
  <si>
    <t xml:space="preserve">10 postech touchscreen  Monitor </t>
  </si>
  <si>
    <t>SYL-25-0415</t>
  </si>
  <si>
    <t>BDO-325159</t>
  </si>
  <si>
    <t>SI 000356, CR 000327</t>
  </si>
  <si>
    <t>SYL25-0150</t>
  </si>
  <si>
    <t>5 Desktop i5 w/ ssd, 5 Nvme.2, 10 kaspersky anti virus , 16gb ddr4, 5 windows 11 , 6 Sd card 32gb</t>
  </si>
  <si>
    <t>SYL-25-0416</t>
  </si>
  <si>
    <t>4300165</t>
  </si>
  <si>
    <t>SYL-25-0417</t>
  </si>
  <si>
    <t>4300166</t>
  </si>
  <si>
    <t>SYL-25-0418</t>
  </si>
  <si>
    <t>BDO-266727</t>
  </si>
  <si>
    <t xml:space="preserve">Full dividend 2024 </t>
  </si>
  <si>
    <t>SYL-25-0419</t>
  </si>
  <si>
    <t>4300167</t>
  </si>
  <si>
    <t>Sept 17, 2025 billing</t>
  </si>
  <si>
    <t>SYL-25-0420</t>
  </si>
  <si>
    <t>4300168</t>
  </si>
  <si>
    <t>SYL-25-0421</t>
  </si>
  <si>
    <t>4300169</t>
  </si>
  <si>
    <t>AR: 1010</t>
  </si>
  <si>
    <t>Cebu Support Cost</t>
  </si>
  <si>
    <t>Radiant Global HD inc</t>
  </si>
  <si>
    <t>SYL-25-0422</t>
  </si>
  <si>
    <t>4300170</t>
  </si>
  <si>
    <t>SI 156369, CR 23310</t>
  </si>
  <si>
    <t>SYL25-0113</t>
  </si>
  <si>
    <t xml:space="preserve">2 Posiflex MR-21064 </t>
  </si>
  <si>
    <t>Heritage Multi - Office Product, Inc</t>
  </si>
  <si>
    <t>SYL-25-0423</t>
  </si>
  <si>
    <t>4300171</t>
  </si>
  <si>
    <t>Sept  12, 2025 bill date</t>
  </si>
  <si>
    <t>SYL-25-0424</t>
  </si>
  <si>
    <t>4300172</t>
  </si>
  <si>
    <t>SI 2060 CR 1269</t>
  </si>
  <si>
    <t>SYL25-0152</t>
  </si>
  <si>
    <t xml:space="preserve">7 Imin falcon case </t>
  </si>
  <si>
    <t>SYL-25-0425</t>
  </si>
  <si>
    <t>4300173</t>
  </si>
  <si>
    <t>SI 37901 CR 11897</t>
  </si>
  <si>
    <t>SYL25-0153</t>
  </si>
  <si>
    <t>100 Barcode Sticker 40x30 CM</t>
  </si>
  <si>
    <t>SYL-25-0426</t>
  </si>
  <si>
    <t>4300174</t>
  </si>
  <si>
    <t>SI 10939, CR 06087</t>
  </si>
  <si>
    <t>SYL25-0154</t>
  </si>
  <si>
    <t>2 Epson TM- T82X Lan printer</t>
  </si>
  <si>
    <t>SYL-25-0427</t>
  </si>
  <si>
    <t>4300175</t>
  </si>
  <si>
    <t>Aug 10 to Sept Billing (Mai )</t>
  </si>
  <si>
    <t>SYL-25-0428</t>
  </si>
  <si>
    <t>4300176</t>
  </si>
  <si>
    <t>Aug 10 to Sept Billing (ofc)</t>
  </si>
  <si>
    <t>SYL-25-0429</t>
  </si>
  <si>
    <t>BDO-325160</t>
  </si>
  <si>
    <t>SI 6200 - SI 6222</t>
  </si>
  <si>
    <t>SYL-25-0430</t>
  </si>
  <si>
    <t>BDO-325161</t>
  </si>
  <si>
    <t>AR: 2766</t>
  </si>
  <si>
    <t>Exhibit Share</t>
  </si>
  <si>
    <t>SYL-25-0431</t>
  </si>
  <si>
    <t>4300177</t>
  </si>
  <si>
    <t>PC051</t>
  </si>
  <si>
    <t>SYL-25-0432</t>
  </si>
  <si>
    <t>BDO-325162</t>
  </si>
  <si>
    <t>SYL-25-0433</t>
  </si>
  <si>
    <t>4300178</t>
  </si>
  <si>
    <t>Office Microwave</t>
  </si>
  <si>
    <t>SYL-25-0434</t>
  </si>
  <si>
    <t>4300179</t>
  </si>
  <si>
    <t>SI 37946 CR 11898</t>
  </si>
  <si>
    <t>SYL25-0155</t>
  </si>
  <si>
    <t>7 Mini Cash Drawer</t>
  </si>
  <si>
    <t>SYL-25-0435</t>
  </si>
  <si>
    <t>4300180</t>
  </si>
  <si>
    <t>SI 2111    CR 1270</t>
  </si>
  <si>
    <t>SYL25-0156</t>
  </si>
  <si>
    <t xml:space="preserve">1 Falcon 2 </t>
  </si>
  <si>
    <t>SYL-25-0436</t>
  </si>
  <si>
    <t>BDO-325163</t>
  </si>
  <si>
    <t>Downpayment Syluxent Christmas party 2025</t>
  </si>
  <si>
    <t>Hobby Stadium Inc</t>
  </si>
  <si>
    <t>SYL-25-0437</t>
  </si>
  <si>
    <t>4300181</t>
  </si>
  <si>
    <t>SI 37979 CR 11899</t>
  </si>
  <si>
    <t>SYL25-0159</t>
  </si>
  <si>
    <t>Poseidon PSD86 2D handsfree scanner</t>
  </si>
  <si>
    <t>SYL-25-0438</t>
  </si>
  <si>
    <t>4300182</t>
  </si>
  <si>
    <t>SI 000392, CR 000364</t>
  </si>
  <si>
    <t>SYL25-0160</t>
  </si>
  <si>
    <t>5 Nvme.2 , 10 Windows 11 pro</t>
  </si>
  <si>
    <t>SYL-25-0439</t>
  </si>
  <si>
    <t>BDO-325164</t>
  </si>
  <si>
    <t>SYL-25-0440</t>
  </si>
  <si>
    <t>4300183</t>
  </si>
  <si>
    <t>PC052</t>
  </si>
  <si>
    <t>SYL-25-0441</t>
  </si>
  <si>
    <t>4300184</t>
  </si>
  <si>
    <t>SYL-25-0442</t>
  </si>
  <si>
    <t>4300185</t>
  </si>
  <si>
    <t>SYL-25-0443</t>
  </si>
  <si>
    <t>4300186</t>
  </si>
  <si>
    <t>SYL-25-0444</t>
  </si>
  <si>
    <t>BDO-325165</t>
  </si>
  <si>
    <t>SI 000423 CR 000395</t>
  </si>
  <si>
    <t>SYL25-0172</t>
  </si>
  <si>
    <t xml:space="preserve">5 Desktop,10 Acer lcd monitor,5  nvme.2 , 5 windows 11 </t>
  </si>
  <si>
    <t>Business Permit - 4th Quarter 2025</t>
  </si>
  <si>
    <t>SYL-25-0445</t>
  </si>
  <si>
    <t>BDO-325166</t>
  </si>
  <si>
    <t>SYL-25-0446</t>
  </si>
  <si>
    <t>4300187</t>
  </si>
  <si>
    <t>PC053</t>
  </si>
  <si>
    <t>Petty Cash -RM</t>
  </si>
  <si>
    <t>SYL-25-0447</t>
  </si>
  <si>
    <t>4300188</t>
  </si>
  <si>
    <t>SI 11112 CR 06028</t>
  </si>
  <si>
    <t>SYL-25-0448</t>
  </si>
  <si>
    <t>4300189</t>
  </si>
  <si>
    <t>SI 2077, CR  1271</t>
  </si>
  <si>
    <t>SYL25-0173</t>
  </si>
  <si>
    <t>5 EOS MINI PC , 6 HUNTKEY POWER SUPPLY</t>
  </si>
  <si>
    <t>SYL-25-0449</t>
  </si>
  <si>
    <t>4300190</t>
  </si>
  <si>
    <t>SI 11111 CR 06027</t>
  </si>
  <si>
    <t>SYL25-0174</t>
  </si>
  <si>
    <t>5 Epson Tmu220B Usb Printer</t>
  </si>
  <si>
    <t>SYL-25-0450</t>
  </si>
  <si>
    <t>4300191</t>
  </si>
  <si>
    <t>SI 000425, CR 000427</t>
  </si>
  <si>
    <t>SYL25-0175</t>
  </si>
  <si>
    <t xml:space="preserve">TP Link (Archer AX53) AX3000 Dual band Gigabit WIFI 6 Router </t>
  </si>
  <si>
    <t>SYL-25-0451</t>
  </si>
  <si>
    <t>4300192</t>
  </si>
  <si>
    <t>SI 11160, CR 06279</t>
  </si>
  <si>
    <t>SYL25-0176</t>
  </si>
  <si>
    <t>10 Apc Ups</t>
  </si>
  <si>
    <t>SYL-25-0452</t>
  </si>
  <si>
    <t>BDO-266728</t>
  </si>
  <si>
    <t>SYL-25-0453</t>
  </si>
  <si>
    <t>4300193</t>
  </si>
  <si>
    <t>PC054</t>
  </si>
  <si>
    <t xml:space="preserve">Petty Cash -MQ </t>
  </si>
  <si>
    <t>SYL-25-0454</t>
  </si>
  <si>
    <t>4300194</t>
  </si>
  <si>
    <t>Svl 0113, AR 0114</t>
  </si>
  <si>
    <t xml:space="preserve">Sept 2025 Billing </t>
  </si>
  <si>
    <t>SYL-25-0455</t>
  </si>
  <si>
    <t>4300196</t>
  </si>
  <si>
    <t>SI 20342, CR 13621</t>
  </si>
  <si>
    <t>SYL25-0182</t>
  </si>
  <si>
    <t>SYL-25-0456</t>
  </si>
  <si>
    <t>4300197</t>
  </si>
  <si>
    <t>Oct 17, 2025 billing</t>
  </si>
  <si>
    <t>SYL-25-0457</t>
  </si>
  <si>
    <t>4300198</t>
  </si>
  <si>
    <t>SYL-25-0458</t>
  </si>
  <si>
    <t>4300199</t>
  </si>
  <si>
    <t>SEPTEMBER 2025 billing</t>
  </si>
  <si>
    <t>SYL-25-0459</t>
  </si>
  <si>
    <t>4300200</t>
  </si>
  <si>
    <t>Sept 10 to Oct 9 Billing (Mai )</t>
  </si>
  <si>
    <t>SYL-25-0460</t>
  </si>
  <si>
    <t>4300201</t>
  </si>
  <si>
    <t>Sept 10 to Oct 9 Billing (Ofc )</t>
  </si>
  <si>
    <t>SYL-25-0461</t>
  </si>
  <si>
    <t>4300202</t>
  </si>
  <si>
    <t>PC055</t>
  </si>
  <si>
    <t>SYL-25-0462</t>
  </si>
  <si>
    <t>4300203</t>
  </si>
  <si>
    <t>SYL25-0187</t>
  </si>
  <si>
    <t>10 printer head and 50 printer cable</t>
  </si>
  <si>
    <t>SYL-25-0463</t>
  </si>
  <si>
    <t>4300204</t>
  </si>
  <si>
    <t>SI 000450, CR 000428</t>
  </si>
  <si>
    <t>SYL25-0183</t>
  </si>
  <si>
    <t>10 kaspersky Anti Virus, 10 Windows 11 pro</t>
  </si>
  <si>
    <t>SYL-25-0464</t>
  </si>
  <si>
    <t>4300205</t>
  </si>
  <si>
    <t>SI 2108, CR 1291</t>
  </si>
  <si>
    <t>SYL25-0184</t>
  </si>
  <si>
    <t>SYL-25-0465</t>
  </si>
  <si>
    <t>4300208</t>
  </si>
  <si>
    <t>SYL-25-0466</t>
  </si>
  <si>
    <t>4300209</t>
  </si>
  <si>
    <t>SYL-25-0467</t>
  </si>
  <si>
    <t>BDO-325167</t>
  </si>
  <si>
    <t>SI 6249- SI 6263 CR 5848</t>
  </si>
  <si>
    <t>SYL-25-0468</t>
  </si>
  <si>
    <t>BDO-325168</t>
  </si>
  <si>
    <t>SI 6264, CR 5847</t>
  </si>
  <si>
    <t>Software Sales - Android</t>
  </si>
  <si>
    <t>SYL-25-0469</t>
  </si>
  <si>
    <t>BDO-325169</t>
  </si>
  <si>
    <t>SYL-25-0470</t>
  </si>
  <si>
    <t>4300210</t>
  </si>
  <si>
    <t>SI 69463, CR 36668</t>
  </si>
  <si>
    <t>SYL25-0188</t>
  </si>
  <si>
    <t xml:space="preserve">500 Journal paper 1 ply, 100 thermal paper </t>
  </si>
  <si>
    <t>SYL-25-0471</t>
  </si>
  <si>
    <t>BDO-325170</t>
  </si>
  <si>
    <t>Christmas Corporate Give Aways</t>
  </si>
  <si>
    <t>Young E.I.S Printing Corporation</t>
  </si>
  <si>
    <t>SYL-25-0472</t>
  </si>
  <si>
    <t>4300211</t>
  </si>
  <si>
    <t xml:space="preserve">Wrong Deposit </t>
  </si>
  <si>
    <t>SYL-25-0473</t>
  </si>
  <si>
    <t>4300212</t>
  </si>
  <si>
    <t>Oct  11, 2025 bill date</t>
  </si>
  <si>
    <t>SYL-25-0474</t>
  </si>
  <si>
    <t>4300213</t>
  </si>
  <si>
    <t>SI 000460, CR 000431</t>
  </si>
  <si>
    <t>SYL25-0189</t>
  </si>
  <si>
    <t>Acer Lcd Monitor 25'5 inch</t>
  </si>
  <si>
    <t>SYL-25-0475</t>
  </si>
  <si>
    <t>4300214</t>
  </si>
  <si>
    <t>SI 000462, CR 000430</t>
  </si>
  <si>
    <t>SYL25-0190</t>
  </si>
  <si>
    <t>10 Keyboard and Mouse</t>
  </si>
  <si>
    <t>SYL-25-0476</t>
  </si>
  <si>
    <t>4300216</t>
  </si>
  <si>
    <t>PC056</t>
  </si>
  <si>
    <t xml:space="preserve">For baguio expense </t>
  </si>
  <si>
    <t>SYL-25-0477</t>
  </si>
  <si>
    <t>4300217</t>
  </si>
  <si>
    <t>4 Epson Tmu220B Lan</t>
  </si>
  <si>
    <t>SYL-25-0478</t>
  </si>
  <si>
    <t>4300218</t>
  </si>
  <si>
    <t>SI 38188, CR 12094</t>
  </si>
  <si>
    <t>SYL25-0191</t>
  </si>
  <si>
    <t>10 Mini Cash Drawer, 10 Cash Drawer</t>
  </si>
  <si>
    <t>SYL-25-0479</t>
  </si>
  <si>
    <t>4300219</t>
  </si>
  <si>
    <t>SI 69539, CR 36938</t>
  </si>
  <si>
    <t>SYL25-0192</t>
  </si>
  <si>
    <t>SYL-25-0480</t>
  </si>
  <si>
    <t>4300220</t>
  </si>
  <si>
    <t>SI 117, CR 027</t>
  </si>
  <si>
    <t>SYL25-0194</t>
  </si>
  <si>
    <t xml:space="preserve">3 BS -011BU - 2D barcode scanner </t>
  </si>
  <si>
    <t>Kassa Technologies Inc .</t>
  </si>
  <si>
    <t>681-528-437-00000</t>
  </si>
  <si>
    <t>SYL-25-0481</t>
  </si>
  <si>
    <t>BDO-325171</t>
  </si>
  <si>
    <t>SI 000477, CR 000443</t>
  </si>
  <si>
    <t>SYL25-0193</t>
  </si>
  <si>
    <t xml:space="preserve">5 Desktop  w/ ssd , 5 nvme.2 </t>
  </si>
  <si>
    <t>SYL-25-0482</t>
  </si>
  <si>
    <t>BDO-325172</t>
  </si>
  <si>
    <t>SYL-25-0483</t>
  </si>
  <si>
    <t>4300221</t>
  </si>
  <si>
    <t>SYL-25-0484</t>
  </si>
  <si>
    <t>4300222</t>
  </si>
  <si>
    <t>SI 11327, CR 06334</t>
  </si>
  <si>
    <t>SYL25-0196</t>
  </si>
  <si>
    <t xml:space="preserve">2 Epson tmu220IIA, 2 Epson tmu220IID lan </t>
  </si>
  <si>
    <t>SYL-25-0485</t>
  </si>
  <si>
    <t>4300224</t>
  </si>
  <si>
    <t>SI 2110, CR 1272</t>
  </si>
  <si>
    <t>SYL25-0197</t>
  </si>
  <si>
    <t>3 Eos H7 i5 8gb only</t>
  </si>
  <si>
    <t>SYL-25-0486</t>
  </si>
  <si>
    <t>4300225</t>
  </si>
  <si>
    <t>SI 11336, CR 06333</t>
  </si>
  <si>
    <t>SYL25-0198</t>
  </si>
  <si>
    <t>SYL-25-0487</t>
  </si>
  <si>
    <t>4300226</t>
  </si>
  <si>
    <t>PC057</t>
  </si>
  <si>
    <t>SYL-25-0488</t>
  </si>
  <si>
    <t>4300227</t>
  </si>
  <si>
    <t>PC058</t>
  </si>
  <si>
    <t>SYL-25-0489</t>
  </si>
  <si>
    <t>4300228</t>
  </si>
  <si>
    <t>SI 000494, CR 000507</t>
  </si>
  <si>
    <t>SYL25-0200</t>
  </si>
  <si>
    <t>4 Switchhub 8port</t>
  </si>
  <si>
    <t>SYL-25-0490</t>
  </si>
  <si>
    <t>4300229</t>
  </si>
  <si>
    <t>SI 38228, CR 12093</t>
  </si>
  <si>
    <t>SYL25-0201</t>
  </si>
  <si>
    <t>3 2D Zebra 2208 Barcode Scanner</t>
  </si>
  <si>
    <t>SYL-25-0491</t>
  </si>
  <si>
    <t>4300230</t>
  </si>
  <si>
    <t>Programming fee</t>
  </si>
  <si>
    <t>SYL-25-0492</t>
  </si>
  <si>
    <t>4300231</t>
  </si>
  <si>
    <t>SYL-25-0493</t>
  </si>
  <si>
    <t>4300232</t>
  </si>
  <si>
    <t>SYL-25-0494</t>
  </si>
  <si>
    <t>BDO-325173</t>
  </si>
  <si>
    <t>Programming Fee- Video for Ayala</t>
  </si>
  <si>
    <t xml:space="preserve">Jason Viray Pineda </t>
  </si>
  <si>
    <t>SYL-25-0495</t>
  </si>
  <si>
    <t>4300233</t>
  </si>
  <si>
    <t>SI 11384, CR 10177</t>
  </si>
  <si>
    <t>SYL-25-0496</t>
  </si>
  <si>
    <t>4300234</t>
  </si>
  <si>
    <t>SI 11350, CR 06331</t>
  </si>
  <si>
    <t>SYL25-0204</t>
  </si>
  <si>
    <t>Epson Tm-t82x usb printer</t>
  </si>
  <si>
    <t>SYL-25-0497</t>
  </si>
  <si>
    <t>BDO-325174</t>
  </si>
  <si>
    <t>Company loan</t>
  </si>
  <si>
    <t>SYL-25-0498</t>
  </si>
  <si>
    <t>BDO-325175</t>
  </si>
  <si>
    <t xml:space="preserve">Christmas Corporate give aways -full payment </t>
  </si>
  <si>
    <t>SYL-25-0499</t>
  </si>
  <si>
    <t>4300235</t>
  </si>
  <si>
    <t>SI 2961, CR 2641</t>
  </si>
  <si>
    <t>SYL25-0199</t>
  </si>
  <si>
    <t>SYL-25-0500</t>
  </si>
  <si>
    <t>4300236</t>
  </si>
  <si>
    <t>Hardware Sticker</t>
  </si>
  <si>
    <t>SYL-25-0501</t>
  </si>
  <si>
    <t>BDO-325176</t>
  </si>
  <si>
    <t>SYL-25-0502</t>
  </si>
  <si>
    <t>BDO-325177</t>
  </si>
  <si>
    <t>Christmas Expenses Budget</t>
  </si>
  <si>
    <t>Deposited December 23</t>
  </si>
  <si>
    <t>SYL-25-0503</t>
  </si>
  <si>
    <t>4300237</t>
  </si>
  <si>
    <t xml:space="preserve">Loa Processing </t>
  </si>
  <si>
    <t>SYL-25-0504</t>
  </si>
  <si>
    <t>4300238</t>
  </si>
  <si>
    <t>PC059</t>
  </si>
  <si>
    <t>SYL-25-0505</t>
  </si>
  <si>
    <t>4300239</t>
  </si>
  <si>
    <t>SI 000539, SI 000543, CR 000508</t>
  </si>
  <si>
    <t>SYL25-0212</t>
  </si>
  <si>
    <t>Kaspersky anti virus, keyboard and mouse, acer lcd monitor, adata ssd , simorchip 512gb sata, teamgroup 256gb</t>
  </si>
  <si>
    <t>SYL-25-0506</t>
  </si>
  <si>
    <t>4300240</t>
  </si>
  <si>
    <t>SI 11435, CR 06149</t>
  </si>
  <si>
    <t>SYL25-0213</t>
  </si>
  <si>
    <t>10 Apc ups, B- Usb</t>
  </si>
  <si>
    <t>SYL-25-0507</t>
  </si>
  <si>
    <t>4300241</t>
  </si>
  <si>
    <t>SI 69795, CR 36894</t>
  </si>
  <si>
    <t>SYL25-0214</t>
  </si>
  <si>
    <t>2Box journal paper 2 ply, 1 box journal paper 3ply</t>
  </si>
  <si>
    <t>SYL-25-0508</t>
  </si>
  <si>
    <t>BDO-325178</t>
  </si>
  <si>
    <t>SYL-25-0509</t>
  </si>
  <si>
    <t>BDO-325179</t>
  </si>
  <si>
    <t>SI  6300- 6311, 6313-6315, CR 5723</t>
  </si>
  <si>
    <t>SYL-25-0510</t>
  </si>
  <si>
    <t>4300242</t>
  </si>
  <si>
    <t>PC060</t>
  </si>
  <si>
    <t>SYL-25-0511</t>
  </si>
  <si>
    <t>4300243</t>
  </si>
  <si>
    <t>PC061</t>
  </si>
  <si>
    <t>SYL-25-0512</t>
  </si>
  <si>
    <t>4300244</t>
  </si>
  <si>
    <t>SI 38299, CR 12095</t>
  </si>
  <si>
    <t>SYL25-0211</t>
  </si>
  <si>
    <t>10 Cash Drawer</t>
  </si>
  <si>
    <t>SYL-25-0513</t>
  </si>
  <si>
    <t>4300245</t>
  </si>
  <si>
    <t>October 2025 billing</t>
  </si>
  <si>
    <t>SYL-25-0514</t>
  </si>
  <si>
    <t>4300246</t>
  </si>
  <si>
    <t>Svl 0118, AR: 0127</t>
  </si>
  <si>
    <t xml:space="preserve">Oct 2025 Billing </t>
  </si>
  <si>
    <t>SYL-25-0515</t>
  </si>
  <si>
    <t>4300247</t>
  </si>
  <si>
    <t>SYL-25-0516</t>
  </si>
  <si>
    <t>4300248</t>
  </si>
  <si>
    <t>SYL-25-0517</t>
  </si>
  <si>
    <t>4300249</t>
  </si>
  <si>
    <t>Oct 10 to Nov 09 Billing (Mai)</t>
  </si>
  <si>
    <t>Globe Telecom, inc</t>
  </si>
  <si>
    <t>SYL-25-0518</t>
  </si>
  <si>
    <t>4300250</t>
  </si>
  <si>
    <t>Oct 10 to Nov 09 Billing (Ofc)</t>
  </si>
  <si>
    <t>SYL-25-0519</t>
  </si>
  <si>
    <t>BDO-325180</t>
  </si>
  <si>
    <t>SI 000555, CR 000529</t>
  </si>
  <si>
    <t>SYL25-0216</t>
  </si>
  <si>
    <t>3 Thinkcentre M70's Gen 5 12U80012PC</t>
  </si>
  <si>
    <t>SYL-25-0520</t>
  </si>
  <si>
    <t>4300251</t>
  </si>
  <si>
    <t>Airbnb Share</t>
  </si>
  <si>
    <t xml:space="preserve">Aquarius pos Solutions Inc </t>
  </si>
  <si>
    <t>SYL-25-0521</t>
  </si>
  <si>
    <t>4300252</t>
  </si>
  <si>
    <t>PC064</t>
  </si>
  <si>
    <t xml:space="preserve">Davao Allowance </t>
  </si>
  <si>
    <t>Deposited December 01</t>
  </si>
  <si>
    <t>SYL-25-0522</t>
  </si>
  <si>
    <t>4300253</t>
  </si>
  <si>
    <t>Nov 11, 2025 bill date</t>
  </si>
  <si>
    <t>SYL-25-0523</t>
  </si>
  <si>
    <t>4300254</t>
  </si>
  <si>
    <t>Nov 17, 2025 billing</t>
  </si>
  <si>
    <t>SYL-25-0524</t>
  </si>
  <si>
    <t>4300255</t>
  </si>
  <si>
    <t>SYL-25-0525</t>
  </si>
  <si>
    <t>4300257</t>
  </si>
  <si>
    <t>PC062</t>
  </si>
  <si>
    <t>SYL-25-0526</t>
  </si>
  <si>
    <t>BDO-325181</t>
  </si>
  <si>
    <t>SYL-25-0527</t>
  </si>
  <si>
    <t>4300258</t>
  </si>
  <si>
    <t>5 Pcs Windows 11 pro</t>
  </si>
  <si>
    <t>SYL-25-0528</t>
  </si>
  <si>
    <t>4300259</t>
  </si>
  <si>
    <t>SI 000571, CR 000571</t>
  </si>
  <si>
    <t>SYL25-0218</t>
  </si>
  <si>
    <t>SYL-25-0529</t>
  </si>
  <si>
    <t>4300260</t>
  </si>
  <si>
    <t>SYL-25-0530</t>
  </si>
  <si>
    <t>BDO-325182</t>
  </si>
  <si>
    <t>SYL-25-0531</t>
  </si>
  <si>
    <t>4300261</t>
  </si>
  <si>
    <t>SYL-25-0532</t>
  </si>
  <si>
    <t>4300262</t>
  </si>
  <si>
    <t>PC063</t>
  </si>
  <si>
    <t>SYL-25-0533</t>
  </si>
  <si>
    <t>4300263</t>
  </si>
  <si>
    <t>SI 38439, CR 12191</t>
  </si>
  <si>
    <t>SYL25-0219</t>
  </si>
  <si>
    <t xml:space="preserve">5 Customer display, 5 Zebra 2D Scanner </t>
  </si>
  <si>
    <t>SYL-25-0534</t>
  </si>
  <si>
    <t>BDO-325183</t>
  </si>
  <si>
    <t>Syluxent  Inc</t>
  </si>
  <si>
    <t>SYL-25-0535</t>
  </si>
  <si>
    <t>BDO-266729</t>
  </si>
  <si>
    <t>Fund Transfer to CBC (Loan )</t>
  </si>
  <si>
    <t>SYL-25-0536</t>
  </si>
  <si>
    <t>4300264</t>
  </si>
  <si>
    <t>SYL-25-0537</t>
  </si>
  <si>
    <t>4300265</t>
  </si>
  <si>
    <t>SYL-25-0538</t>
  </si>
  <si>
    <t>4300266</t>
  </si>
  <si>
    <t>AR: 2784</t>
  </si>
  <si>
    <t>Full Christmas party Share</t>
  </si>
  <si>
    <t>SYL-25-0539</t>
  </si>
  <si>
    <t>4300267</t>
  </si>
  <si>
    <t>Sunlife Group Insurance 2024- renewal</t>
  </si>
  <si>
    <t>Sun life of Canada (Philippines) Inc</t>
  </si>
  <si>
    <t>SYL-25-0540</t>
  </si>
  <si>
    <t>BDO-325184</t>
  </si>
  <si>
    <t>Fund Transfer to CBC</t>
  </si>
  <si>
    <t>SYL-25-0541</t>
  </si>
  <si>
    <t>4300268</t>
  </si>
  <si>
    <t>Fund Transfer to BDO</t>
  </si>
  <si>
    <t>SYL-25-0542</t>
  </si>
  <si>
    <t>BDO-266730</t>
  </si>
  <si>
    <t>Christopher Jan Abarquez</t>
  </si>
  <si>
    <t>SYL-25-0543</t>
  </si>
  <si>
    <t>4300269</t>
  </si>
  <si>
    <t>SI 11641, CR 06653</t>
  </si>
  <si>
    <t xml:space="preserve">10 Epson Tmu220d Usb printer </t>
  </si>
  <si>
    <t>SYL-25-0544</t>
  </si>
  <si>
    <t>BDO-325185</t>
  </si>
  <si>
    <t>SYL-25-0545</t>
  </si>
  <si>
    <t>4300270</t>
  </si>
  <si>
    <t>Dec 17, 2025 billing</t>
  </si>
  <si>
    <t>SYL-25-0546</t>
  </si>
  <si>
    <t>4300271</t>
  </si>
  <si>
    <t>SYL-25-0547</t>
  </si>
  <si>
    <t>4300272</t>
  </si>
  <si>
    <t>June to Sept 2025 Book keeping Fee</t>
  </si>
  <si>
    <t>Kimberly Roxas</t>
  </si>
  <si>
    <t xml:space="preserve">VOID CHECK </t>
  </si>
  <si>
    <t>SYL-25-0548</t>
  </si>
  <si>
    <t>4300273</t>
  </si>
  <si>
    <t>Svl 0132, AR: 0138</t>
  </si>
  <si>
    <t xml:space="preserve">Nov 2025 Billing </t>
  </si>
  <si>
    <t xml:space="preserve">Sunfish HRA Consulting, Inc </t>
  </si>
  <si>
    <t>SYL-25-0549</t>
  </si>
  <si>
    <t>4300274</t>
  </si>
  <si>
    <t xml:space="preserve">Refferal Fee </t>
  </si>
  <si>
    <t>SYL-25-0550</t>
  </si>
  <si>
    <t>4300275</t>
  </si>
  <si>
    <t>SI 6336- SI 6339, CR 5869</t>
  </si>
  <si>
    <t>SYL-25-0551</t>
  </si>
  <si>
    <t>4300276</t>
  </si>
  <si>
    <t>SI 2172 CR 1308</t>
  </si>
  <si>
    <t>SYL25-0222</t>
  </si>
  <si>
    <t xml:space="preserve">2 Imin Swan 1 </t>
  </si>
  <si>
    <t>SYL-25-0552</t>
  </si>
  <si>
    <t>4300277</t>
  </si>
  <si>
    <t>SI 38594, CR 12290</t>
  </si>
  <si>
    <t>SYL25-0225</t>
  </si>
  <si>
    <t>1 Godex Barcode Printer</t>
  </si>
  <si>
    <t>SYL-25-0553</t>
  </si>
  <si>
    <t>4300278</t>
  </si>
  <si>
    <t>PC065</t>
  </si>
  <si>
    <t>SYL-25-0554</t>
  </si>
  <si>
    <t>4300279</t>
  </si>
  <si>
    <t>PC066</t>
  </si>
  <si>
    <t>SYL-25-0555</t>
  </si>
  <si>
    <t>BDO-325186</t>
  </si>
  <si>
    <t>SYL-25-0556</t>
  </si>
  <si>
    <t>4300280</t>
  </si>
  <si>
    <t>Programmer fee</t>
  </si>
  <si>
    <t>SYL-25-0557</t>
  </si>
  <si>
    <t>4300281</t>
  </si>
  <si>
    <t>SYL-25-0558</t>
  </si>
  <si>
    <t>4300282</t>
  </si>
  <si>
    <t>Nov 10 to Dec 09 Billing (Mai)</t>
  </si>
  <si>
    <t>SYL-25-0559</t>
  </si>
  <si>
    <t>4300283</t>
  </si>
  <si>
    <t>Nov 10 to Dec 09 Billing (Ofc)</t>
  </si>
  <si>
    <t>SYL-25-0560</t>
  </si>
  <si>
    <t>4300284</t>
  </si>
  <si>
    <t>November 2025 billing</t>
  </si>
  <si>
    <t>SYL-25-0561</t>
  </si>
  <si>
    <t>4300285</t>
  </si>
  <si>
    <t>SYL-25-0562</t>
  </si>
  <si>
    <t>4300286</t>
  </si>
  <si>
    <t>SI 11800, CR 06761</t>
  </si>
  <si>
    <t>SYL25-0195</t>
  </si>
  <si>
    <t>SYL-25-0563</t>
  </si>
  <si>
    <t>4300287</t>
  </si>
  <si>
    <t>SI 38633, CR 12291</t>
  </si>
  <si>
    <t>SYL25-0226</t>
  </si>
  <si>
    <t>Poseidon PSD86 2D handsfree Scanner</t>
  </si>
  <si>
    <t>SYL-25-0564</t>
  </si>
  <si>
    <t>4300288</t>
  </si>
  <si>
    <t>SI 000640, CR 000631</t>
  </si>
  <si>
    <t>SYL25-0227</t>
  </si>
  <si>
    <t xml:space="preserve">5 Adata SSD 512gb sata, 2 micro sd card 32gb </t>
  </si>
  <si>
    <t>SYL-25-0565</t>
  </si>
  <si>
    <t>4300289</t>
  </si>
  <si>
    <t>SI 11791, CR 06762</t>
  </si>
  <si>
    <t>SYL25-0228</t>
  </si>
  <si>
    <t>2 Epson Tm-t82x lan printer</t>
  </si>
  <si>
    <t>SYL-25-0566</t>
  </si>
  <si>
    <t>4300290</t>
  </si>
  <si>
    <t>Dec 11, 2025 bill date</t>
  </si>
  <si>
    <t>SYL-25-0567</t>
  </si>
  <si>
    <t>4300291</t>
  </si>
  <si>
    <t>PC067</t>
  </si>
  <si>
    <t>SYL-25-0568</t>
  </si>
  <si>
    <t>4300292</t>
  </si>
  <si>
    <t>SI 70558, CR 37636</t>
  </si>
  <si>
    <t>SYL25-0230</t>
  </si>
  <si>
    <t>1 Box journal paper 2 ply</t>
  </si>
  <si>
    <t>SYL-25-0569</t>
  </si>
  <si>
    <t>4300293</t>
  </si>
  <si>
    <t>SI 2182, CR 1307</t>
  </si>
  <si>
    <t>SYL25-0229</t>
  </si>
  <si>
    <t>3 Falcon 2 and 3 Falcon case</t>
  </si>
  <si>
    <t>SYL-25-0570</t>
  </si>
  <si>
    <t>4300294</t>
  </si>
  <si>
    <t xml:space="preserve">Syluxent Christmas Party </t>
  </si>
  <si>
    <t>Deposited December 26</t>
  </si>
  <si>
    <t>SYL-25-0571</t>
  </si>
  <si>
    <t>4300295</t>
  </si>
  <si>
    <t>Additional payment for christmas party host</t>
  </si>
  <si>
    <t>SYL-25-0572</t>
  </si>
  <si>
    <t>4300297</t>
  </si>
  <si>
    <t>SYL-25-0573</t>
  </si>
  <si>
    <t>4300298</t>
  </si>
  <si>
    <t>SI 3064, CR 2758</t>
  </si>
  <si>
    <t>SYL25-0231</t>
  </si>
  <si>
    <t>15 Postech touchscreen monitor</t>
  </si>
  <si>
    <t>SYL-25-0574</t>
  </si>
  <si>
    <t>4300299</t>
  </si>
  <si>
    <t xml:space="preserve">Sunlife Insurance </t>
  </si>
  <si>
    <t>SYL-25-0575</t>
  </si>
  <si>
    <t>4300300</t>
  </si>
  <si>
    <t>SYL-25-0576</t>
  </si>
  <si>
    <t>4300301</t>
  </si>
  <si>
    <t>SYL-25-0577</t>
  </si>
  <si>
    <t>BDO-266731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</si>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</sst>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\-mmm"/>
    <numFmt numFmtId="165" formatCode="_(* #,##0.00_);_(* \(#,##0.00\);_(* &quot;-&quot;??_);_(@_)"/>
  </numFmts>
  <fonts count="16">
    <font>
      <sz val="11.0"/>
      <color theme="1"/>
      <name val="Calibri"/>
      <scheme val="minor"/>
    </font>
    <font>
      <b/>
      <sz val="20.0"/>
      <color theme="1"/>
      <name val="Calibri"/>
    </font>
    <font>
      <sz val="9.0"/>
      <color theme="1"/>
      <name val="Calibri"/>
    </font>
    <font>
      <sz val="11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i/>
      <sz val="11.0"/>
      <color theme="1"/>
      <name val="Calibri"/>
    </font>
    <font>
      <b/>
      <i/>
      <sz val="9.0"/>
      <color theme="1"/>
      <name val="Calibri"/>
    </font>
    <font/>
    <font>
      <b/>
      <sz val="9.0"/>
      <color theme="1"/>
      <name val="Calibri"/>
    </font>
    <font>
      <b/>
      <sz val="10.0"/>
      <color theme="1"/>
      <name val="Calibri"/>
    </font>
    <font>
      <b/>
      <i/>
      <sz val="9.0"/>
      <color rgb="FFFF0000"/>
      <name val="Calibri"/>
    </font>
    <font>
      <b/>
      <sz val="9.0"/>
      <color rgb="FFFF0000"/>
      <name val="Calibri"/>
    </font>
    <font>
      <b/>
      <sz val="10.0"/>
      <color rgb="FFFF0000"/>
      <name val="Calibri"/>
    </font>
    <font>
      <b/>
      <sz val="10.0"/>
      <color theme="0"/>
      <name val="Calibri"/>
    </font>
    <font>
      <b/>
      <sz val="10.0"/>
      <color rgb="FFEE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C8C8C8"/>
        <bgColor rgb="FFC8C8C8"/>
      </patternFill>
    </fill>
    <fill>
      <patternFill patternType="solid">
        <fgColor rgb="FF8EAADB"/>
        <bgColor rgb="FF8EAADB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</fills>
  <borders count="16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164" xfId="0" applyFont="1" applyNumberFormat="1"/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65" xfId="0" applyFont="1" applyNumberFormat="1"/>
    <xf borderId="0" fillId="0" fontId="4" numFmtId="165" xfId="0" applyFont="1" applyNumberFormat="1"/>
    <xf borderId="0" fillId="0" fontId="2" numFmtId="165" xfId="0" applyFont="1" applyNumberFormat="1"/>
    <xf borderId="0" fillId="0" fontId="2" numFmtId="0" xfId="0" applyFont="1"/>
    <xf borderId="0" fillId="0" fontId="5" numFmtId="0" xfId="0" applyFont="1"/>
    <xf borderId="0" fillId="0" fontId="6" numFmtId="0" xfId="0" applyFont="1"/>
    <xf borderId="0" fillId="0" fontId="2" numFmtId="164" xfId="0" applyFont="1" applyNumberFormat="1"/>
    <xf borderId="0" fillId="0" fontId="2" numFmtId="164" xfId="0" applyAlignment="1" applyFont="1" applyNumberFormat="1">
      <alignment horizontal="center"/>
    </xf>
    <xf borderId="1" fillId="2" fontId="7" numFmtId="0" xfId="0" applyAlignment="1" applyBorder="1" applyFill="1" applyFont="1">
      <alignment horizontal="center"/>
    </xf>
    <xf borderId="2" fillId="0" fontId="8" numFmtId="0" xfId="0" applyBorder="1" applyFont="1"/>
    <xf borderId="3" fillId="0" fontId="8" numFmtId="0" xfId="0" applyBorder="1" applyFont="1"/>
    <xf borderId="1" fillId="2" fontId="9" numFmtId="165" xfId="0" applyAlignment="1" applyBorder="1" applyFont="1" applyNumberFormat="1">
      <alignment horizontal="center"/>
    </xf>
    <xf borderId="4" fillId="0" fontId="8" numFmtId="0" xfId="0" applyBorder="1" applyFont="1"/>
    <xf borderId="5" fillId="3" fontId="10" numFmtId="165" xfId="0" applyAlignment="1" applyBorder="1" applyFill="1" applyFont="1" applyNumberFormat="1">
      <alignment horizontal="center"/>
    </xf>
    <xf borderId="6" fillId="0" fontId="2" numFmtId="165" xfId="0" applyBorder="1" applyFont="1" applyNumberFormat="1"/>
    <xf borderId="7" fillId="0" fontId="2" numFmtId="0" xfId="0" applyBorder="1" applyFont="1"/>
    <xf borderId="8" fillId="0" fontId="2" numFmtId="165" xfId="0" applyBorder="1" applyFont="1" applyNumberFormat="1"/>
    <xf borderId="9" fillId="4" fontId="9" numFmtId="0" xfId="0" applyAlignment="1" applyBorder="1" applyFill="1" applyFont="1">
      <alignment horizontal="center" shrinkToFit="0" vertical="center" wrapText="1"/>
    </xf>
    <xf borderId="10" fillId="4" fontId="9" numFmtId="0" xfId="0" applyAlignment="1" applyBorder="1" applyFont="1">
      <alignment horizontal="center" shrinkToFit="0" vertical="center" wrapText="1"/>
    </xf>
    <xf borderId="10" fillId="4" fontId="9" numFmtId="164" xfId="0" applyAlignment="1" applyBorder="1" applyFont="1" applyNumberFormat="1">
      <alignment horizontal="center" shrinkToFit="0" vertical="center" wrapText="1"/>
    </xf>
    <xf borderId="11" fillId="4" fontId="9" numFmtId="0" xfId="0" applyAlignment="1" applyBorder="1" applyFont="1">
      <alignment horizontal="center" shrinkToFit="0" vertical="center" wrapText="1"/>
    </xf>
    <xf borderId="9" fillId="5" fontId="9" numFmtId="165" xfId="0" applyAlignment="1" applyBorder="1" applyFill="1" applyFont="1" applyNumberFormat="1">
      <alignment horizontal="center" shrinkToFit="0" vertical="center" wrapText="1"/>
    </xf>
    <xf borderId="10" fillId="5" fontId="9" numFmtId="165" xfId="0" applyAlignment="1" applyBorder="1" applyFont="1" applyNumberFormat="1">
      <alignment horizontal="center" shrinkToFit="0" vertical="center" wrapText="1"/>
    </xf>
    <xf borderId="10" fillId="5" fontId="10" numFmtId="165" xfId="0" applyAlignment="1" applyBorder="1" applyFont="1" applyNumberFormat="1">
      <alignment horizontal="center" shrinkToFit="0" vertical="center" wrapText="1"/>
    </xf>
    <xf borderId="10" fillId="5" fontId="9" numFmtId="165" xfId="0" applyAlignment="1" applyBorder="1" applyFont="1" applyNumberFormat="1">
      <alignment horizontal="center" vertical="center"/>
    </xf>
    <xf borderId="11" fillId="6" fontId="10" numFmtId="165" xfId="0" applyAlignment="1" applyBorder="1" applyFill="1" applyFont="1" applyNumberFormat="1">
      <alignment horizontal="center" vertical="center"/>
    </xf>
    <xf borderId="12" fillId="0" fontId="9" numFmtId="165" xfId="0" applyAlignment="1" applyBorder="1" applyFont="1" applyNumberFormat="1">
      <alignment horizontal="center" vertical="center"/>
    </xf>
    <xf borderId="13" fillId="0" fontId="9" numFmtId="165" xfId="0" applyAlignment="1" applyBorder="1" applyFont="1" applyNumberFormat="1">
      <alignment horizontal="center" vertical="center"/>
    </xf>
    <xf borderId="14" fillId="0" fontId="9" numFmtId="165" xfId="0" applyAlignment="1" applyBorder="1" applyFont="1" applyNumberFormat="1">
      <alignment horizontal="center" vertical="center"/>
    </xf>
    <xf borderId="15" fillId="7" fontId="9" numFmtId="17" xfId="0" applyAlignment="1" applyBorder="1" applyFill="1" applyFont="1" applyNumberFormat="1">
      <alignment horizontal="center"/>
    </xf>
    <xf borderId="15" fillId="7" fontId="2" numFmtId="0" xfId="0" applyAlignment="1" applyBorder="1" applyFont="1">
      <alignment horizontal="center"/>
    </xf>
    <xf borderId="15" fillId="7" fontId="2" numFmtId="164" xfId="0" applyBorder="1" applyFont="1" applyNumberFormat="1"/>
    <xf borderId="15" fillId="7" fontId="2" numFmtId="164" xfId="0" applyAlignment="1" applyBorder="1" applyFont="1" applyNumberFormat="1">
      <alignment horizontal="center"/>
    </xf>
    <xf borderId="15" fillId="7" fontId="2" numFmtId="0" xfId="0" applyBorder="1" applyFont="1"/>
    <xf borderId="15" fillId="7" fontId="2" numFmtId="165" xfId="0" applyBorder="1" applyFont="1" applyNumberFormat="1"/>
    <xf borderId="15" fillId="7" fontId="4" numFmtId="165" xfId="0" applyBorder="1" applyFont="1" applyNumberFormat="1"/>
    <xf borderId="0" fillId="0" fontId="9" numFmtId="17" xfId="0" applyAlignment="1" applyFont="1" applyNumberFormat="1">
      <alignment horizontal="center"/>
    </xf>
    <xf borderId="15" fillId="8" fontId="2" numFmtId="0" xfId="0" applyBorder="1" applyFill="1" applyFont="1"/>
    <xf borderId="0" fillId="0" fontId="11" numFmtId="0" xfId="0" applyFont="1"/>
    <xf borderId="0" fillId="0" fontId="4" numFmtId="0" xfId="0" applyFont="1"/>
    <xf borderId="0" fillId="0" fontId="4" numFmtId="164" xfId="0" applyFont="1" applyNumberFormat="1"/>
    <xf borderId="0" fillId="0" fontId="4" numFmtId="0" xfId="0" applyAlignment="1" applyFont="1">
      <alignment horizontal="center"/>
    </xf>
    <xf borderId="0" fillId="0" fontId="4" numFmtId="16" xfId="0" applyFont="1" applyNumberFormat="1"/>
    <xf borderId="0" fillId="0" fontId="12" numFmtId="165" xfId="0" applyFont="1" applyNumberFormat="1"/>
    <xf borderId="0" fillId="0" fontId="13" numFmtId="0" xfId="0" applyAlignment="1" applyFont="1">
      <alignment horizontal="center"/>
    </xf>
    <xf borderId="0" fillId="0" fontId="12" numFmtId="0" xfId="0" applyFont="1"/>
    <xf borderId="15" fillId="9" fontId="14" numFmtId="17" xfId="0" applyBorder="1" applyFill="1" applyFont="1" applyNumberFormat="1"/>
    <xf borderId="15" fillId="9" fontId="4" numFmtId="0" xfId="0" applyBorder="1" applyFont="1"/>
    <xf borderId="15" fillId="9" fontId="4" numFmtId="16" xfId="0" applyBorder="1" applyFont="1" applyNumberFormat="1"/>
    <xf borderId="15" fillId="9" fontId="4" numFmtId="0" xfId="0" applyAlignment="1" applyBorder="1" applyFont="1">
      <alignment horizontal="center"/>
    </xf>
    <xf borderId="15" fillId="9" fontId="4" numFmtId="165" xfId="0" applyBorder="1" applyFont="1" applyNumberFormat="1"/>
    <xf borderId="15" fillId="9" fontId="3" numFmtId="0" xfId="0" applyBorder="1" applyFont="1"/>
    <xf borderId="15" fillId="9" fontId="3" numFmtId="165" xfId="0" applyBorder="1" applyFont="1" applyNumberFormat="1"/>
    <xf borderId="15" fillId="9" fontId="2" numFmtId="165" xfId="0" applyBorder="1" applyFont="1" applyNumberFormat="1"/>
    <xf borderId="0" fillId="0" fontId="13" numFmtId="165" xfId="0" applyAlignment="1" applyFont="1" applyNumberFormat="1">
      <alignment horizontal="center"/>
    </xf>
    <xf borderId="0" fillId="0" fontId="14" numFmtId="17" xfId="0" applyFont="1" applyNumberFormat="1"/>
    <xf borderId="0" fillId="0" fontId="3" numFmtId="0" xfId="0" applyFont="1"/>
    <xf borderId="0" fillId="0" fontId="3" numFmtId="16" xfId="0" applyFont="1" applyNumberFormat="1"/>
    <xf borderId="0" fillId="0" fontId="4" numFmtId="0" xfId="0" applyAlignment="1" applyFont="1">
      <alignment horizontal="left"/>
    </xf>
    <xf borderId="0" fillId="0" fontId="4" numFmtId="13" xfId="0" applyFont="1" applyNumberFormat="1"/>
    <xf borderId="0" fillId="0" fontId="4" numFmtId="165" xfId="0" applyAlignment="1" applyFont="1" applyNumberFormat="1">
      <alignment horizontal="center"/>
    </xf>
    <xf borderId="0" fillId="0" fontId="15" numFmtId="0" xfId="0" applyFont="1"/>
    <xf borderId="0" fillId="0" fontId="15" numFmtId="0" xfId="0" applyAlignment="1" applyFont="1">
      <alignment horizontal="center"/>
    </xf>
    <xf borderId="0" fillId="0" fontId="15" numFmtId="16" xfId="0" applyFont="1" applyNumberFormat="1"/>
    <xf borderId="0" fillId="0" fontId="15" numFmtId="165" xfId="0" applyFont="1" applyNumberFormat="1"/>
    <xf borderId="0" fillId="0" fontId="15" numFmtId="165" xfId="0" applyAlignment="1" applyFont="1" applyNumberFormat="1">
      <alignment horizontal="center"/>
    </xf>
    <xf quotePrefix="1" borderId="0" fillId="0" fontId="15" numFmtId="0" xfId="0" applyFont="1"/>
    <xf quotePrefix="1" borderId="0" fillId="0" fontId="15" numFmtId="0" xfId="0" applyAlignment="1" applyFont="1">
      <alignment horizontal="center"/>
    </xf>
    <xf quotePrefix="1" borderId="0" fillId="0" fontId="4" numFmtId="0" xfId="0" applyFont="1"/>
    <xf quotePrefix="1" borderId="0" fillId="0" fontId="4" numFmtId="0" xfId="0" applyAlignment="1" applyFont="1">
      <alignment horizontal="center"/>
    </xf>
    <xf borderId="0" fillId="0" fontId="15" numFmtId="164" xfId="0" applyFont="1" applyNumberFormat="1"/>
    <xf borderId="0" fillId="0" fontId="10" numFmtId="165" xfId="0" applyFont="1" applyNumberFormat="1"/>
    <xf quotePrefix="1" borderId="0" fillId="0" fontId="13" numFmtId="0" xfId="0" applyFont="1"/>
    <xf quotePrefix="1" borderId="0" fillId="0" fontId="13" numFmtId="0" xfId="0" applyAlignment="1" applyFont="1">
      <alignment horizontal="center"/>
    </xf>
    <xf borderId="0" fillId="0" fontId="13" numFmtId="16" xfId="0" applyFont="1" applyNumberFormat="1"/>
    <xf borderId="0" fillId="0" fontId="13" numFmtId="165" xfId="0" applyFont="1" applyNumberFormat="1"/>
    <xf borderId="0" fillId="0" fontId="4" numFmtId="16" xfId="0" applyAlignment="1" applyFont="1" applyNumberFormat="1">
      <alignment horizontal="right"/>
    </xf>
    <xf borderId="15" fillId="9" fontId="13" numFmtId="17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1.43"/>
    <col customWidth="1" min="3" max="4" width="11.0"/>
    <col customWidth="1" min="5" max="5" width="9.14"/>
    <col customWidth="1" min="6" max="6" width="26.0"/>
    <col customWidth="1" min="7" max="7" width="13.14"/>
    <col customWidth="1" min="8" max="8" width="9.14"/>
    <col customWidth="1" min="9" max="9" width="35.29"/>
    <col customWidth="1" min="10" max="10" width="32.71"/>
    <col customWidth="1" min="11" max="11" width="21.0"/>
    <col customWidth="1" min="12" max="12" width="13.43"/>
    <col customWidth="1" min="13" max="13" width="18.71"/>
    <col customWidth="1" min="14" max="14" width="12.71"/>
    <col customWidth="1" min="15" max="15" width="17.71"/>
    <col customWidth="1" min="16" max="16" width="14.43"/>
    <col customWidth="1" min="17" max="17" width="17.0"/>
    <col customWidth="1" min="18" max="18" width="11.86"/>
    <col customWidth="1" min="19" max="19" width="14.57"/>
    <col customWidth="1" min="20" max="20" width="13.57"/>
    <col customWidth="1" min="21" max="21" width="12.14"/>
    <col customWidth="1" min="22" max="22" width="16.71"/>
    <col customWidth="1" min="23" max="23" width="12.43"/>
    <col customWidth="1" min="24" max="24" width="13.0"/>
    <col customWidth="1" min="25" max="25" width="12.29"/>
    <col customWidth="1" min="26" max="26" width="15.0"/>
    <col customWidth="1" min="27" max="27" width="13.29"/>
    <col customWidth="1" min="28" max="28" width="14.29"/>
    <col customWidth="1" min="29" max="29" width="12.86"/>
    <col customWidth="1" min="30" max="30" width="18.57"/>
    <col customWidth="1" min="31" max="31" width="10.57"/>
    <col customWidth="1" min="32" max="37" width="8.71"/>
  </cols>
  <sheetData>
    <row r="1">
      <c r="A1" s="1" t="s">
        <v>0</v>
      </c>
      <c r="B1" s="2"/>
      <c r="C1" s="3"/>
      <c r="D1" s="3"/>
      <c r="E1" s="4"/>
      <c r="F1" s="5"/>
      <c r="G1" s="2"/>
      <c r="H1" s="5"/>
      <c r="L1" s="6"/>
      <c r="M1" s="6"/>
      <c r="N1" s="6"/>
      <c r="O1" s="6"/>
      <c r="P1" s="6"/>
      <c r="Q1" s="6"/>
      <c r="R1" s="6"/>
      <c r="S1" s="6"/>
      <c r="T1" s="7"/>
      <c r="U1" s="6"/>
      <c r="V1" s="6"/>
      <c r="W1" s="6"/>
      <c r="X1" s="6"/>
      <c r="Y1" s="6"/>
      <c r="Z1" s="6"/>
      <c r="AA1" s="6"/>
      <c r="AB1" s="7"/>
      <c r="AC1" s="8"/>
      <c r="AD1" s="9"/>
      <c r="AE1" s="8"/>
    </row>
    <row r="2">
      <c r="A2" s="10" t="s">
        <v>1</v>
      </c>
      <c r="B2" s="2"/>
      <c r="C2" s="3"/>
      <c r="D2" s="3"/>
      <c r="E2" s="4"/>
      <c r="F2" s="5"/>
      <c r="G2" s="2"/>
      <c r="H2" s="5"/>
      <c r="L2" s="6"/>
      <c r="M2" s="6"/>
      <c r="N2" s="6"/>
      <c r="O2" s="6"/>
      <c r="P2" s="6"/>
      <c r="Q2" s="6"/>
      <c r="R2" s="6"/>
      <c r="S2" s="6"/>
      <c r="T2" s="7"/>
      <c r="U2" s="6"/>
      <c r="V2" s="6"/>
      <c r="W2" s="6"/>
      <c r="X2" s="6"/>
      <c r="Y2" s="6"/>
      <c r="Z2" s="6"/>
      <c r="AA2" s="6"/>
      <c r="AB2" s="7"/>
      <c r="AC2" s="8"/>
      <c r="AD2" s="9"/>
      <c r="AE2" s="8"/>
    </row>
    <row r="3">
      <c r="A3" s="11" t="s">
        <v>2</v>
      </c>
      <c r="B3" s="2"/>
      <c r="C3" s="3"/>
      <c r="D3" s="3"/>
      <c r="E3" s="4"/>
      <c r="F3" s="5"/>
      <c r="G3" s="2"/>
      <c r="H3" s="5"/>
      <c r="L3" s="6"/>
      <c r="M3" s="6"/>
      <c r="N3" s="6"/>
      <c r="O3" s="6"/>
      <c r="P3" s="6"/>
      <c r="Q3" s="6"/>
      <c r="R3" s="6"/>
      <c r="S3" s="6"/>
      <c r="T3" s="7"/>
      <c r="U3" s="6"/>
      <c r="V3" s="6"/>
      <c r="W3" s="6"/>
      <c r="X3" s="6"/>
      <c r="Y3" s="6"/>
      <c r="Z3" s="6"/>
      <c r="AA3" s="6"/>
      <c r="AB3" s="7"/>
      <c r="AC3" s="8"/>
      <c r="AD3" s="9"/>
      <c r="AE3" s="8"/>
    </row>
    <row r="4">
      <c r="B4" s="2"/>
      <c r="C4" s="3"/>
      <c r="D4" s="3"/>
      <c r="E4" s="4"/>
      <c r="F4" s="5"/>
      <c r="G4" s="2"/>
      <c r="H4" s="5"/>
      <c r="L4" s="6"/>
      <c r="M4" s="6"/>
      <c r="N4" s="6"/>
      <c r="O4" s="6"/>
      <c r="P4" s="6"/>
      <c r="Q4" s="6"/>
      <c r="R4" s="6"/>
      <c r="S4" s="6"/>
      <c r="T4" s="7"/>
      <c r="U4" s="6"/>
      <c r="V4" s="6"/>
      <c r="W4" s="6"/>
      <c r="X4" s="6"/>
      <c r="Y4" s="6"/>
      <c r="Z4" s="6"/>
      <c r="AA4" s="6"/>
      <c r="AB4" s="7"/>
      <c r="AC4" s="8"/>
      <c r="AD4" s="9"/>
      <c r="AE4" s="8"/>
    </row>
    <row r="5">
      <c r="A5" s="9"/>
      <c r="B5" s="2"/>
      <c r="C5" s="12"/>
      <c r="D5" s="12"/>
      <c r="E5" s="13"/>
      <c r="F5" s="2"/>
      <c r="G5" s="2"/>
      <c r="H5" s="2"/>
      <c r="I5" s="9"/>
      <c r="J5" s="9"/>
      <c r="K5" s="9"/>
      <c r="L5" s="8"/>
      <c r="M5" s="8"/>
      <c r="N5" s="8"/>
      <c r="O5" s="8"/>
      <c r="P5" s="8"/>
      <c r="Q5" s="8"/>
      <c r="R5" s="8"/>
      <c r="S5" s="8"/>
      <c r="T5" s="7"/>
      <c r="U5" s="8"/>
      <c r="V5" s="8"/>
      <c r="W5" s="8"/>
      <c r="X5" s="8"/>
      <c r="Y5" s="8"/>
      <c r="Z5" s="8"/>
      <c r="AA5" s="8"/>
      <c r="AB5" s="7"/>
      <c r="AC5" s="8"/>
      <c r="AD5" s="9"/>
      <c r="AE5" s="8"/>
    </row>
    <row r="6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6"/>
      <c r="L6" s="17" t="s">
        <v>4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8"/>
      <c r="AB6" s="19"/>
      <c r="AC6" s="20"/>
      <c r="AD6" s="21"/>
      <c r="AE6" s="22"/>
    </row>
    <row r="7">
      <c r="A7" s="23" t="s">
        <v>5</v>
      </c>
      <c r="B7" s="24" t="s">
        <v>6</v>
      </c>
      <c r="C7" s="25" t="s">
        <v>7</v>
      </c>
      <c r="D7" s="25" t="s">
        <v>8</v>
      </c>
      <c r="E7" s="25" t="s">
        <v>9</v>
      </c>
      <c r="F7" s="24" t="s">
        <v>10</v>
      </c>
      <c r="G7" s="24" t="s">
        <v>11</v>
      </c>
      <c r="H7" s="24" t="s">
        <v>12</v>
      </c>
      <c r="I7" s="24" t="s">
        <v>13</v>
      </c>
      <c r="J7" s="24" t="s">
        <v>14</v>
      </c>
      <c r="K7" s="26" t="s">
        <v>15</v>
      </c>
      <c r="L7" s="27" t="s">
        <v>16</v>
      </c>
      <c r="M7" s="28" t="s">
        <v>17</v>
      </c>
      <c r="N7" s="28" t="s">
        <v>18</v>
      </c>
      <c r="O7" s="28" t="s">
        <v>19</v>
      </c>
      <c r="P7" s="28" t="s">
        <v>20</v>
      </c>
      <c r="Q7" s="28" t="s">
        <v>21</v>
      </c>
      <c r="R7" s="28" t="s">
        <v>22</v>
      </c>
      <c r="S7" s="28" t="s">
        <v>23</v>
      </c>
      <c r="T7" s="29" t="s">
        <v>24</v>
      </c>
      <c r="U7" s="28" t="s">
        <v>25</v>
      </c>
      <c r="V7" s="28" t="s">
        <v>26</v>
      </c>
      <c r="W7" s="28" t="s">
        <v>27</v>
      </c>
      <c r="X7" s="28" t="s">
        <v>28</v>
      </c>
      <c r="Y7" s="28" t="s">
        <v>29</v>
      </c>
      <c r="Z7" s="28" t="s">
        <v>30</v>
      </c>
      <c r="AA7" s="30" t="s">
        <v>31</v>
      </c>
      <c r="AB7" s="31" t="s">
        <v>32</v>
      </c>
      <c r="AC7" s="32" t="s">
        <v>33</v>
      </c>
      <c r="AD7" s="33" t="s">
        <v>34</v>
      </c>
      <c r="AE7" s="34" t="s">
        <v>35</v>
      </c>
    </row>
    <row r="8">
      <c r="A8" s="35">
        <v>45658.0</v>
      </c>
      <c r="B8" s="36"/>
      <c r="C8" s="37"/>
      <c r="D8" s="37"/>
      <c r="E8" s="38"/>
      <c r="F8" s="36"/>
      <c r="G8" s="36"/>
      <c r="H8" s="36"/>
      <c r="I8" s="39"/>
      <c r="J8" s="39"/>
      <c r="K8" s="39"/>
      <c r="L8" s="40"/>
      <c r="M8" s="40"/>
      <c r="N8" s="40"/>
      <c r="O8" s="40"/>
      <c r="P8" s="40"/>
      <c r="Q8" s="40"/>
      <c r="R8" s="40"/>
      <c r="S8" s="40"/>
      <c r="T8" s="41"/>
      <c r="U8" s="40"/>
      <c r="V8" s="40"/>
      <c r="W8" s="40"/>
      <c r="X8" s="40"/>
      <c r="Y8" s="40"/>
      <c r="Z8" s="40"/>
      <c r="AA8" s="40"/>
      <c r="AB8" s="41"/>
      <c r="AC8" s="40"/>
      <c r="AD8" s="39"/>
      <c r="AE8" s="40"/>
    </row>
    <row r="9">
      <c r="A9" s="42"/>
      <c r="B9" s="2"/>
      <c r="C9" s="12"/>
      <c r="D9" s="12"/>
      <c r="E9" s="13"/>
      <c r="F9" s="2"/>
      <c r="G9" s="2"/>
      <c r="H9" s="2"/>
      <c r="I9" s="9" t="s">
        <v>36</v>
      </c>
      <c r="J9" s="43" t="s">
        <v>37</v>
      </c>
      <c r="K9" s="9"/>
      <c r="L9" s="8"/>
      <c r="M9" s="8"/>
      <c r="N9" s="8"/>
      <c r="O9" s="8"/>
      <c r="P9" s="8"/>
      <c r="Q9" s="8">
        <v>81566.55</v>
      </c>
      <c r="R9" s="8"/>
      <c r="S9" s="8"/>
      <c r="T9" s="7"/>
      <c r="U9" s="8"/>
      <c r="V9" s="8"/>
      <c r="W9" s="8"/>
      <c r="X9" s="8"/>
      <c r="Y9" s="8"/>
      <c r="Z9" s="8"/>
      <c r="AA9" s="8"/>
      <c r="AB9" s="7">
        <v>81566.55</v>
      </c>
      <c r="AC9" s="7">
        <f t="shared" ref="AC9:AC59" si="1">SUM(AB9)-SUM(L9:AA9)</f>
        <v>0</v>
      </c>
      <c r="AD9" s="44" t="s">
        <v>38</v>
      </c>
      <c r="AE9" s="8"/>
    </row>
    <row r="10">
      <c r="A10" s="45" t="s">
        <v>39</v>
      </c>
      <c r="B10" s="45" t="s">
        <v>40</v>
      </c>
      <c r="C10" s="46">
        <v>45659.0</v>
      </c>
      <c r="D10" s="46">
        <v>45659.0</v>
      </c>
      <c r="E10" s="45"/>
      <c r="F10" s="45"/>
      <c r="G10" s="47"/>
      <c r="H10" s="47"/>
      <c r="I10" s="45" t="s">
        <v>30</v>
      </c>
      <c r="J10" s="45" t="s">
        <v>41</v>
      </c>
      <c r="K10" s="45"/>
      <c r="L10" s="45"/>
      <c r="M10" s="7"/>
      <c r="N10" s="45"/>
      <c r="O10" s="45"/>
      <c r="P10" s="45"/>
      <c r="Q10" s="45"/>
      <c r="R10" s="45"/>
      <c r="S10" s="45"/>
      <c r="T10" s="7"/>
      <c r="U10" s="45"/>
      <c r="V10" s="45"/>
      <c r="W10" s="45"/>
      <c r="X10" s="7"/>
      <c r="Y10" s="45"/>
      <c r="Z10" s="7">
        <v>300000.0</v>
      </c>
      <c r="AA10" s="7"/>
      <c r="AB10" s="7">
        <v>300000.0</v>
      </c>
      <c r="AC10" s="7">
        <f t="shared" si="1"/>
        <v>0</v>
      </c>
      <c r="AD10" s="6"/>
      <c r="AE10" s="6"/>
    </row>
    <row r="11">
      <c r="A11" s="45" t="s">
        <v>42</v>
      </c>
      <c r="B11" s="47">
        <v>4233511.0</v>
      </c>
      <c r="C11" s="48">
        <v>45691.0</v>
      </c>
      <c r="D11" s="48">
        <v>45663.0</v>
      </c>
      <c r="E11" s="48">
        <v>45691.0</v>
      </c>
      <c r="F11" s="45" t="s">
        <v>43</v>
      </c>
      <c r="G11" s="47" t="s">
        <v>44</v>
      </c>
      <c r="H11" s="47"/>
      <c r="I11" s="45" t="s">
        <v>45</v>
      </c>
      <c r="J11" s="45" t="s">
        <v>46</v>
      </c>
      <c r="K11" s="45" t="s">
        <v>47</v>
      </c>
      <c r="L11" s="7">
        <v>5550.0</v>
      </c>
      <c r="M11" s="7">
        <v>46250.0</v>
      </c>
      <c r="N11" s="45"/>
      <c r="O11" s="45"/>
      <c r="P11" s="45"/>
      <c r="Q11" s="45"/>
      <c r="R11" s="45"/>
      <c r="S11" s="45"/>
      <c r="T11" s="7"/>
      <c r="U11" s="45"/>
      <c r="V11" s="45"/>
      <c r="W11" s="45"/>
      <c r="X11" s="7"/>
      <c r="Y11" s="45"/>
      <c r="Z11" s="7"/>
      <c r="AA11" s="7"/>
      <c r="AB11" s="7">
        <v>51800.0</v>
      </c>
      <c r="AC11" s="7">
        <f t="shared" si="1"/>
        <v>0</v>
      </c>
      <c r="AD11" s="6"/>
      <c r="AE11" s="6">
        <v>462.5</v>
      </c>
    </row>
    <row r="12">
      <c r="A12" s="45" t="s">
        <v>48</v>
      </c>
      <c r="B12" s="47">
        <v>4233512.0</v>
      </c>
      <c r="C12" s="48">
        <v>45664.0</v>
      </c>
      <c r="D12" s="48">
        <v>45664.0</v>
      </c>
      <c r="E12" s="45"/>
      <c r="F12" s="45"/>
      <c r="G12" s="47"/>
      <c r="H12" s="47"/>
      <c r="I12" s="45" t="s">
        <v>49</v>
      </c>
      <c r="J12" s="45" t="s">
        <v>50</v>
      </c>
      <c r="K12" s="45"/>
      <c r="L12" s="45"/>
      <c r="M12" s="7"/>
      <c r="N12" s="45"/>
      <c r="O12" s="45"/>
      <c r="P12" s="45"/>
      <c r="Q12" s="45"/>
      <c r="R12" s="45"/>
      <c r="S12" s="45"/>
      <c r="T12" s="7"/>
      <c r="U12" s="45"/>
      <c r="V12" s="45"/>
      <c r="W12" s="45"/>
      <c r="X12" s="7"/>
      <c r="Y12" s="45"/>
      <c r="Z12" s="7"/>
      <c r="AA12" s="7">
        <v>5000.0</v>
      </c>
      <c r="AB12" s="7">
        <v>1308.0</v>
      </c>
      <c r="AC12" s="7">
        <f t="shared" si="1"/>
        <v>-3692</v>
      </c>
      <c r="AD12" s="49" t="s">
        <v>51</v>
      </c>
      <c r="AE12" s="6"/>
    </row>
    <row r="13">
      <c r="A13" s="45" t="s">
        <v>52</v>
      </c>
      <c r="B13" s="47">
        <v>4233513.0</v>
      </c>
      <c r="C13" s="48">
        <v>45670.0</v>
      </c>
      <c r="D13" s="48">
        <v>45664.0</v>
      </c>
      <c r="E13" s="45"/>
      <c r="F13" s="45"/>
      <c r="G13" s="47"/>
      <c r="H13" s="47"/>
      <c r="I13" s="45" t="s">
        <v>53</v>
      </c>
      <c r="J13" s="45" t="s">
        <v>22</v>
      </c>
      <c r="K13" s="45"/>
      <c r="L13" s="45">
        <v>151.09</v>
      </c>
      <c r="M13" s="7"/>
      <c r="N13" s="45"/>
      <c r="O13" s="45"/>
      <c r="P13" s="45"/>
      <c r="Q13" s="45"/>
      <c r="R13" s="7">
        <v>1259.06</v>
      </c>
      <c r="S13" s="45"/>
      <c r="T13" s="7"/>
      <c r="U13" s="45"/>
      <c r="V13" s="45"/>
      <c r="W13" s="45"/>
      <c r="X13" s="7"/>
      <c r="Y13" s="45"/>
      <c r="Z13" s="7"/>
      <c r="AA13" s="7"/>
      <c r="AB13" s="7">
        <v>1410.15</v>
      </c>
      <c r="AC13" s="7">
        <f t="shared" si="1"/>
        <v>0</v>
      </c>
      <c r="AD13" s="6"/>
      <c r="AE13" s="6"/>
    </row>
    <row r="14">
      <c r="A14" s="45" t="s">
        <v>54</v>
      </c>
      <c r="B14" s="47">
        <v>4233514.0</v>
      </c>
      <c r="C14" s="48">
        <v>45670.0</v>
      </c>
      <c r="D14" s="48">
        <v>45664.0</v>
      </c>
      <c r="E14" s="45"/>
      <c r="F14" s="45"/>
      <c r="G14" s="47"/>
      <c r="H14" s="47"/>
      <c r="I14" s="45" t="s">
        <v>53</v>
      </c>
      <c r="J14" s="45" t="s">
        <v>22</v>
      </c>
      <c r="K14" s="45"/>
      <c r="L14" s="45">
        <v>811.09</v>
      </c>
      <c r="M14" s="7"/>
      <c r="N14" s="45"/>
      <c r="O14" s="45"/>
      <c r="P14" s="45"/>
      <c r="Q14" s="45"/>
      <c r="R14" s="7">
        <v>6759.06</v>
      </c>
      <c r="S14" s="45"/>
      <c r="T14" s="7"/>
      <c r="U14" s="45"/>
      <c r="V14" s="45"/>
      <c r="W14" s="45"/>
      <c r="X14" s="7"/>
      <c r="Y14" s="45"/>
      <c r="Z14" s="7"/>
      <c r="AA14" s="7"/>
      <c r="AB14" s="7">
        <v>7570.15</v>
      </c>
      <c r="AC14" s="7">
        <f t="shared" si="1"/>
        <v>0</v>
      </c>
      <c r="AD14" s="6"/>
      <c r="AE14" s="6"/>
    </row>
    <row r="15">
      <c r="A15" s="45" t="s">
        <v>55</v>
      </c>
      <c r="B15" s="47">
        <v>4233515.0</v>
      </c>
      <c r="C15" s="48">
        <v>45670.0</v>
      </c>
      <c r="D15" s="48">
        <v>45664.0</v>
      </c>
      <c r="E15" s="45"/>
      <c r="F15" s="50" t="s">
        <v>56</v>
      </c>
      <c r="G15" s="47"/>
      <c r="H15" s="47"/>
      <c r="I15" s="45" t="s">
        <v>57</v>
      </c>
      <c r="J15" s="45" t="s">
        <v>58</v>
      </c>
      <c r="K15" s="45"/>
      <c r="L15" s="45">
        <v>62.04</v>
      </c>
      <c r="M15" s="7"/>
      <c r="N15" s="45"/>
      <c r="O15" s="45"/>
      <c r="P15" s="45"/>
      <c r="Q15" s="45"/>
      <c r="R15" s="45"/>
      <c r="S15" s="7">
        <v>516.99</v>
      </c>
      <c r="T15" s="7"/>
      <c r="U15" s="45"/>
      <c r="V15" s="45"/>
      <c r="W15" s="45"/>
      <c r="X15" s="7"/>
      <c r="Y15" s="45"/>
      <c r="Z15" s="7"/>
      <c r="AA15" s="7"/>
      <c r="AB15" s="7">
        <v>579.03</v>
      </c>
      <c r="AC15" s="7">
        <f t="shared" si="1"/>
        <v>0</v>
      </c>
      <c r="AD15" s="6"/>
      <c r="AE15" s="6"/>
    </row>
    <row r="16">
      <c r="A16" s="45" t="s">
        <v>59</v>
      </c>
      <c r="B16" s="47">
        <v>4233516.0</v>
      </c>
      <c r="C16" s="48">
        <v>45670.0</v>
      </c>
      <c r="D16" s="48">
        <v>45664.0</v>
      </c>
      <c r="E16" s="45"/>
      <c r="F16" s="50" t="s">
        <v>56</v>
      </c>
      <c r="G16" s="47"/>
      <c r="H16" s="47"/>
      <c r="I16" s="45" t="s">
        <v>57</v>
      </c>
      <c r="J16" s="45" t="s">
        <v>58</v>
      </c>
      <c r="K16" s="45"/>
      <c r="L16" s="45">
        <v>32.14</v>
      </c>
      <c r="M16" s="7"/>
      <c r="N16" s="45"/>
      <c r="O16" s="45"/>
      <c r="P16" s="45"/>
      <c r="Q16" s="45"/>
      <c r="R16" s="45"/>
      <c r="S16" s="7">
        <v>267.86</v>
      </c>
      <c r="T16" s="7"/>
      <c r="U16" s="45"/>
      <c r="V16" s="45"/>
      <c r="W16" s="45"/>
      <c r="X16" s="7"/>
      <c r="Y16" s="45"/>
      <c r="Z16" s="7"/>
      <c r="AA16" s="7"/>
      <c r="AB16" s="7">
        <v>300.0</v>
      </c>
      <c r="AC16" s="7">
        <f t="shared" si="1"/>
        <v>0</v>
      </c>
      <c r="AD16" s="6"/>
      <c r="AE16" s="6"/>
    </row>
    <row r="17">
      <c r="A17" s="45" t="s">
        <v>60</v>
      </c>
      <c r="B17" s="47">
        <v>4233517.0</v>
      </c>
      <c r="C17" s="48">
        <v>45666.0</v>
      </c>
      <c r="D17" s="48">
        <v>45666.0</v>
      </c>
      <c r="E17" s="45"/>
      <c r="F17" s="45"/>
      <c r="G17" s="47"/>
      <c r="H17" s="47" t="s">
        <v>61</v>
      </c>
      <c r="I17" s="45" t="s">
        <v>62</v>
      </c>
      <c r="J17" s="45" t="s">
        <v>50</v>
      </c>
      <c r="K17" s="45"/>
      <c r="L17" s="45"/>
      <c r="M17" s="7"/>
      <c r="N17" s="45"/>
      <c r="O17" s="45"/>
      <c r="P17" s="45"/>
      <c r="Q17" s="45"/>
      <c r="R17" s="45"/>
      <c r="S17" s="45"/>
      <c r="T17" s="7">
        <v>4913.36</v>
      </c>
      <c r="U17" s="45"/>
      <c r="V17" s="45"/>
      <c r="W17" s="45"/>
      <c r="X17" s="7"/>
      <c r="Y17" s="45"/>
      <c r="Z17" s="7"/>
      <c r="AA17" s="7"/>
      <c r="AB17" s="7">
        <v>4913.36</v>
      </c>
      <c r="AC17" s="7">
        <f t="shared" si="1"/>
        <v>0</v>
      </c>
      <c r="AD17" s="6"/>
      <c r="AE17" s="6"/>
    </row>
    <row r="18">
      <c r="A18" s="45" t="s">
        <v>63</v>
      </c>
      <c r="B18" s="47">
        <v>4233518.0</v>
      </c>
      <c r="C18" s="48">
        <v>45666.0</v>
      </c>
      <c r="D18" s="48">
        <v>45666.0</v>
      </c>
      <c r="E18" s="48"/>
      <c r="F18" s="45"/>
      <c r="G18" s="47"/>
      <c r="H18" s="47" t="s">
        <v>64</v>
      </c>
      <c r="I18" s="45" t="s">
        <v>65</v>
      </c>
      <c r="J18" s="45" t="s">
        <v>50</v>
      </c>
      <c r="K18" s="45"/>
      <c r="L18" s="45"/>
      <c r="M18" s="7"/>
      <c r="N18" s="45"/>
      <c r="O18" s="45"/>
      <c r="P18" s="45"/>
      <c r="Q18" s="45"/>
      <c r="R18" s="45"/>
      <c r="S18" s="45"/>
      <c r="T18" s="7">
        <v>13712.5</v>
      </c>
      <c r="U18" s="45"/>
      <c r="V18" s="45"/>
      <c r="W18" s="45"/>
      <c r="X18" s="7"/>
      <c r="Y18" s="45"/>
      <c r="Z18" s="7"/>
      <c r="AA18" s="7"/>
      <c r="AB18" s="7">
        <v>13712.5</v>
      </c>
      <c r="AC18" s="7">
        <f t="shared" si="1"/>
        <v>0</v>
      </c>
      <c r="AD18" s="6"/>
      <c r="AE18" s="6"/>
    </row>
    <row r="19">
      <c r="A19" s="45" t="s">
        <v>66</v>
      </c>
      <c r="B19" s="47">
        <v>4233519.0</v>
      </c>
      <c r="C19" s="48">
        <v>45696.0</v>
      </c>
      <c r="D19" s="48">
        <v>45666.0</v>
      </c>
      <c r="E19" s="48">
        <v>45673.0</v>
      </c>
      <c r="F19" s="45" t="s">
        <v>67</v>
      </c>
      <c r="G19" s="47" t="s">
        <v>68</v>
      </c>
      <c r="H19" s="47"/>
      <c r="I19" s="45" t="s">
        <v>69</v>
      </c>
      <c r="J19" s="45" t="s">
        <v>70</v>
      </c>
      <c r="K19" s="45" t="s">
        <v>71</v>
      </c>
      <c r="L19" s="7">
        <v>11517.86</v>
      </c>
      <c r="M19" s="7">
        <v>95982.14</v>
      </c>
      <c r="N19" s="45"/>
      <c r="O19" s="45"/>
      <c r="P19" s="45"/>
      <c r="Q19" s="45"/>
      <c r="R19" s="45"/>
      <c r="S19" s="45"/>
      <c r="T19" s="7"/>
      <c r="U19" s="45"/>
      <c r="V19" s="45"/>
      <c r="W19" s="45"/>
      <c r="X19" s="7"/>
      <c r="Y19" s="45"/>
      <c r="Z19" s="7"/>
      <c r="AA19" s="7"/>
      <c r="AB19" s="7">
        <v>107500.0</v>
      </c>
      <c r="AC19" s="7">
        <f t="shared" si="1"/>
        <v>0</v>
      </c>
      <c r="AD19" s="6"/>
      <c r="AE19" s="6">
        <v>959.82</v>
      </c>
    </row>
    <row r="20">
      <c r="A20" s="45" t="s">
        <v>72</v>
      </c>
      <c r="B20" s="47">
        <v>4233520.0</v>
      </c>
      <c r="C20" s="48">
        <v>45709.0</v>
      </c>
      <c r="D20" s="48">
        <v>45666.0</v>
      </c>
      <c r="E20" s="48">
        <v>45695.0</v>
      </c>
      <c r="F20" s="45" t="s">
        <v>73</v>
      </c>
      <c r="G20" s="47" t="s">
        <v>74</v>
      </c>
      <c r="H20" s="47"/>
      <c r="I20" s="45" t="s">
        <v>75</v>
      </c>
      <c r="J20" s="45" t="s">
        <v>76</v>
      </c>
      <c r="K20" s="45" t="s">
        <v>77</v>
      </c>
      <c r="L20" s="7">
        <v>1607.14</v>
      </c>
      <c r="M20" s="7">
        <v>13392.86</v>
      </c>
      <c r="N20" s="45"/>
      <c r="O20" s="45"/>
      <c r="P20" s="45"/>
      <c r="Q20" s="45"/>
      <c r="R20" s="45"/>
      <c r="S20" s="45"/>
      <c r="T20" s="7"/>
      <c r="U20" s="45"/>
      <c r="V20" s="45"/>
      <c r="W20" s="45"/>
      <c r="X20" s="7"/>
      <c r="Y20" s="45"/>
      <c r="Z20" s="7"/>
      <c r="AA20" s="7"/>
      <c r="AB20" s="7">
        <v>15000.0</v>
      </c>
      <c r="AC20" s="7">
        <f t="shared" si="1"/>
        <v>0</v>
      </c>
      <c r="AD20" s="6"/>
      <c r="AE20" s="6">
        <v>133.93</v>
      </c>
    </row>
    <row r="21" ht="15.75" customHeight="1">
      <c r="A21" s="45" t="s">
        <v>78</v>
      </c>
      <c r="B21" s="47">
        <v>4233521.0</v>
      </c>
      <c r="C21" s="48">
        <v>45666.0</v>
      </c>
      <c r="D21" s="48">
        <v>45666.0</v>
      </c>
      <c r="E21" s="48">
        <v>45666.0</v>
      </c>
      <c r="F21" s="47" t="s">
        <v>79</v>
      </c>
      <c r="G21" s="47" t="s">
        <v>80</v>
      </c>
      <c r="H21" s="47"/>
      <c r="I21" s="45" t="s">
        <v>81</v>
      </c>
      <c r="J21" s="45" t="s">
        <v>82</v>
      </c>
      <c r="K21" s="45" t="s">
        <v>83</v>
      </c>
      <c r="L21" s="45">
        <v>203.57</v>
      </c>
      <c r="M21" s="7">
        <v>1696.43</v>
      </c>
      <c r="N21" s="45"/>
      <c r="O21" s="45"/>
      <c r="P21" s="45"/>
      <c r="Q21" s="45"/>
      <c r="R21" s="45"/>
      <c r="S21" s="45"/>
      <c r="T21" s="7"/>
      <c r="U21" s="45"/>
      <c r="V21" s="45"/>
      <c r="W21" s="45"/>
      <c r="X21" s="7"/>
      <c r="Y21" s="45"/>
      <c r="Z21" s="7"/>
      <c r="AA21" s="7"/>
      <c r="AB21" s="7">
        <v>1900.0</v>
      </c>
      <c r="AC21" s="7">
        <f t="shared" si="1"/>
        <v>0</v>
      </c>
      <c r="AD21" s="6"/>
      <c r="AE21" s="7">
        <v>16.96</v>
      </c>
    </row>
    <row r="22" ht="15.75" customHeight="1">
      <c r="A22" s="45" t="s">
        <v>84</v>
      </c>
      <c r="B22" s="45" t="s">
        <v>85</v>
      </c>
      <c r="C22" s="48">
        <v>45667.0</v>
      </c>
      <c r="D22" s="48">
        <v>45667.0</v>
      </c>
      <c r="E22" s="45"/>
      <c r="F22" s="45"/>
      <c r="G22" s="47"/>
      <c r="H22" s="47"/>
      <c r="I22" s="45" t="s">
        <v>30</v>
      </c>
      <c r="J22" s="45" t="s">
        <v>41</v>
      </c>
      <c r="K22" s="45"/>
      <c r="L22" s="45"/>
      <c r="M22" s="7"/>
      <c r="N22" s="45"/>
      <c r="O22" s="45"/>
      <c r="P22" s="45"/>
      <c r="Q22" s="45"/>
      <c r="R22" s="45"/>
      <c r="S22" s="45"/>
      <c r="T22" s="7"/>
      <c r="U22" s="45"/>
      <c r="V22" s="45"/>
      <c r="W22" s="45"/>
      <c r="X22" s="7"/>
      <c r="Y22" s="45"/>
      <c r="Z22" s="7">
        <v>150000.0</v>
      </c>
      <c r="AA22" s="7"/>
      <c r="AB22" s="7">
        <v>150000.0</v>
      </c>
      <c r="AC22" s="7">
        <f t="shared" si="1"/>
        <v>0</v>
      </c>
      <c r="AD22" s="6"/>
      <c r="AE22" s="6"/>
    </row>
    <row r="23" ht="15.75" customHeight="1">
      <c r="A23" s="45" t="s">
        <v>86</v>
      </c>
      <c r="B23" s="45" t="s">
        <v>87</v>
      </c>
      <c r="C23" s="48">
        <v>45667.0</v>
      </c>
      <c r="D23" s="48">
        <v>45667.0</v>
      </c>
      <c r="E23" s="48">
        <v>45670.0</v>
      </c>
      <c r="F23" s="45" t="s">
        <v>88</v>
      </c>
      <c r="G23" s="47" t="s">
        <v>89</v>
      </c>
      <c r="H23" s="47"/>
      <c r="I23" s="45" t="s">
        <v>90</v>
      </c>
      <c r="J23" s="45" t="s">
        <v>91</v>
      </c>
      <c r="K23" s="45" t="s">
        <v>92</v>
      </c>
      <c r="L23" s="7">
        <v>11817.86</v>
      </c>
      <c r="M23" s="7">
        <v>98482.14</v>
      </c>
      <c r="N23" s="45"/>
      <c r="O23" s="45"/>
      <c r="P23" s="45"/>
      <c r="Q23" s="45"/>
      <c r="R23" s="45"/>
      <c r="S23" s="45"/>
      <c r="T23" s="7"/>
      <c r="U23" s="45"/>
      <c r="V23" s="45"/>
      <c r="W23" s="45"/>
      <c r="X23" s="7"/>
      <c r="Y23" s="45"/>
      <c r="Z23" s="7"/>
      <c r="AA23" s="7"/>
      <c r="AB23" s="7">
        <v>110300.0</v>
      </c>
      <c r="AC23" s="7">
        <f t="shared" si="1"/>
        <v>0</v>
      </c>
      <c r="AD23" s="6"/>
      <c r="AE23" s="6">
        <v>984.82</v>
      </c>
    </row>
    <row r="24" ht="15.75" customHeight="1">
      <c r="A24" s="45" t="s">
        <v>93</v>
      </c>
      <c r="B24" s="47">
        <v>4233522.0</v>
      </c>
      <c r="C24" s="48">
        <v>45671.0</v>
      </c>
      <c r="D24" s="48">
        <v>45671.0</v>
      </c>
      <c r="E24" s="45"/>
      <c r="F24" s="45"/>
      <c r="G24" s="47"/>
      <c r="H24" s="47"/>
      <c r="I24" s="45" t="s">
        <v>94</v>
      </c>
      <c r="J24" s="45" t="s">
        <v>95</v>
      </c>
      <c r="K24" s="45"/>
      <c r="L24" s="45"/>
      <c r="M24" s="7"/>
      <c r="N24" s="45"/>
      <c r="O24" s="45"/>
      <c r="P24" s="45"/>
      <c r="Q24" s="45"/>
      <c r="R24" s="45"/>
      <c r="S24" s="45"/>
      <c r="T24" s="7"/>
      <c r="U24" s="45"/>
      <c r="V24" s="45"/>
      <c r="W24" s="45"/>
      <c r="X24" s="7"/>
      <c r="Y24" s="45"/>
      <c r="Z24" s="7"/>
      <c r="AA24" s="7">
        <v>25200.0</v>
      </c>
      <c r="AB24" s="7">
        <v>25200.0</v>
      </c>
      <c r="AC24" s="7">
        <f t="shared" si="1"/>
        <v>0</v>
      </c>
    </row>
    <row r="25" ht="15.75" customHeight="1">
      <c r="A25" s="45" t="s">
        <v>96</v>
      </c>
      <c r="B25" s="47">
        <v>4233523.0</v>
      </c>
      <c r="C25" s="48">
        <v>45671.0</v>
      </c>
      <c r="D25" s="48">
        <v>45671.0</v>
      </c>
      <c r="E25" s="45"/>
      <c r="F25" s="45"/>
      <c r="G25" s="47"/>
      <c r="H25" s="47"/>
      <c r="I25" s="45" t="s">
        <v>94</v>
      </c>
      <c r="J25" s="45" t="s">
        <v>97</v>
      </c>
      <c r="K25" s="45"/>
      <c r="L25" s="45"/>
      <c r="M25" s="7"/>
      <c r="N25" s="45"/>
      <c r="O25" s="45"/>
      <c r="P25" s="45"/>
      <c r="Q25" s="45"/>
      <c r="R25" s="45"/>
      <c r="S25" s="45"/>
      <c r="T25" s="7"/>
      <c r="U25" s="45"/>
      <c r="V25" s="45"/>
      <c r="W25" s="45"/>
      <c r="X25" s="7"/>
      <c r="Y25" s="45"/>
      <c r="Z25" s="7"/>
      <c r="AA25" s="7">
        <v>25000.0</v>
      </c>
      <c r="AB25" s="7">
        <v>25000.0</v>
      </c>
      <c r="AC25" s="7">
        <f t="shared" si="1"/>
        <v>0</v>
      </c>
    </row>
    <row r="26" ht="15.75" customHeight="1">
      <c r="A26" s="45" t="s">
        <v>98</v>
      </c>
      <c r="B26" s="47">
        <v>4233524.0</v>
      </c>
      <c r="C26" s="48">
        <v>45671.0</v>
      </c>
      <c r="D26" s="48">
        <v>45671.0</v>
      </c>
      <c r="E26" s="45"/>
      <c r="F26" s="45"/>
      <c r="G26" s="47"/>
      <c r="H26" s="47"/>
      <c r="I26" s="45" t="s">
        <v>99</v>
      </c>
      <c r="J26" s="45" t="s">
        <v>100</v>
      </c>
      <c r="K26" s="45"/>
      <c r="L26" s="45">
        <v>737.58</v>
      </c>
      <c r="M26" s="7"/>
      <c r="N26" s="45"/>
      <c r="O26" s="45"/>
      <c r="P26" s="45"/>
      <c r="Q26" s="45"/>
      <c r="R26" s="45"/>
      <c r="S26" s="45"/>
      <c r="T26" s="7"/>
      <c r="U26" s="45"/>
      <c r="V26" s="45"/>
      <c r="W26" s="45"/>
      <c r="X26" s="7">
        <v>6146.46</v>
      </c>
      <c r="Y26" s="45"/>
      <c r="Z26" s="7"/>
      <c r="AA26" s="7"/>
      <c r="AB26" s="7">
        <v>6884.04</v>
      </c>
      <c r="AC26" s="7">
        <f t="shared" si="1"/>
        <v>0</v>
      </c>
    </row>
    <row r="27" ht="15.75" customHeight="1">
      <c r="A27" s="45" t="s">
        <v>101</v>
      </c>
      <c r="B27" s="47">
        <v>4233527.0</v>
      </c>
      <c r="C27" s="48">
        <v>45671.0</v>
      </c>
      <c r="D27" s="48">
        <v>45671.0</v>
      </c>
      <c r="E27" s="45"/>
      <c r="F27" s="45"/>
      <c r="G27" s="47"/>
      <c r="H27" s="47"/>
      <c r="I27" s="45" t="s">
        <v>102</v>
      </c>
      <c r="J27" s="45" t="s">
        <v>103</v>
      </c>
      <c r="K27" s="45"/>
      <c r="L27" s="45">
        <v>160.61</v>
      </c>
      <c r="M27" s="7"/>
      <c r="N27" s="45"/>
      <c r="O27" s="45"/>
      <c r="P27" s="45"/>
      <c r="Q27" s="45"/>
      <c r="R27" s="45"/>
      <c r="S27" s="7">
        <v>1338.39</v>
      </c>
      <c r="T27" s="7"/>
      <c r="U27" s="45"/>
      <c r="V27" s="45"/>
      <c r="W27" s="45"/>
      <c r="X27" s="7"/>
      <c r="Y27" s="45"/>
      <c r="Z27" s="7"/>
      <c r="AA27" s="7"/>
      <c r="AB27" s="7">
        <v>1499.0</v>
      </c>
      <c r="AC27" s="7">
        <f t="shared" si="1"/>
        <v>0</v>
      </c>
    </row>
    <row r="28" ht="15.75" customHeight="1">
      <c r="A28" s="45" t="s">
        <v>104</v>
      </c>
      <c r="B28" s="47">
        <v>4233526.0</v>
      </c>
      <c r="C28" s="48">
        <v>45671.0</v>
      </c>
      <c r="D28" s="48">
        <v>45671.0</v>
      </c>
      <c r="E28" s="45"/>
      <c r="F28" s="45"/>
      <c r="G28" s="47"/>
      <c r="H28" s="47"/>
      <c r="I28" s="45" t="s">
        <v>105</v>
      </c>
      <c r="J28" s="45" t="s">
        <v>103</v>
      </c>
      <c r="K28" s="45"/>
      <c r="L28" s="45">
        <v>107.04</v>
      </c>
      <c r="M28" s="7"/>
      <c r="N28" s="45"/>
      <c r="O28" s="45"/>
      <c r="P28" s="45"/>
      <c r="Q28" s="45"/>
      <c r="R28" s="45"/>
      <c r="S28" s="45">
        <v>891.96</v>
      </c>
      <c r="T28" s="7"/>
      <c r="U28" s="45"/>
      <c r="V28" s="45"/>
      <c r="W28" s="45"/>
      <c r="X28" s="7"/>
      <c r="Y28" s="45"/>
      <c r="Z28" s="7"/>
      <c r="AA28" s="7"/>
      <c r="AB28" s="7">
        <v>999.0</v>
      </c>
      <c r="AC28" s="7">
        <f t="shared" si="1"/>
        <v>0</v>
      </c>
    </row>
    <row r="29" ht="15.75" customHeight="1">
      <c r="A29" s="45" t="s">
        <v>106</v>
      </c>
      <c r="B29" s="47">
        <v>4233528.0</v>
      </c>
      <c r="C29" s="48">
        <v>45671.0</v>
      </c>
      <c r="D29" s="48">
        <v>45671.0</v>
      </c>
      <c r="E29" s="48">
        <v>45672.0</v>
      </c>
      <c r="F29" s="45" t="s">
        <v>107</v>
      </c>
      <c r="G29" s="47" t="s">
        <v>108</v>
      </c>
      <c r="H29" s="47"/>
      <c r="I29" s="45" t="s">
        <v>109</v>
      </c>
      <c r="J29" s="45" t="s">
        <v>82</v>
      </c>
      <c r="K29" s="9" t="s">
        <v>83</v>
      </c>
      <c r="L29" s="7">
        <v>8369.57</v>
      </c>
      <c r="M29" s="7">
        <v>69746.43</v>
      </c>
      <c r="N29" s="45"/>
      <c r="O29" s="45"/>
      <c r="P29" s="45"/>
      <c r="Q29" s="45"/>
      <c r="R29" s="45"/>
      <c r="S29" s="45"/>
      <c r="T29" s="7"/>
      <c r="U29" s="45"/>
      <c r="V29" s="45"/>
      <c r="W29" s="45"/>
      <c r="X29" s="7"/>
      <c r="Y29" s="45"/>
      <c r="Z29" s="7"/>
      <c r="AA29" s="7"/>
      <c r="AB29" s="7">
        <v>78116.0</v>
      </c>
      <c r="AC29" s="7">
        <f t="shared" si="1"/>
        <v>0</v>
      </c>
      <c r="AE29" s="10">
        <v>697.46</v>
      </c>
    </row>
    <row r="30" ht="15.75" customHeight="1">
      <c r="A30" s="45" t="s">
        <v>110</v>
      </c>
      <c r="B30" s="47">
        <v>4233529.0</v>
      </c>
      <c r="C30" s="48">
        <v>45671.0</v>
      </c>
      <c r="D30" s="48">
        <v>45671.0</v>
      </c>
      <c r="E30" s="48">
        <v>45672.0</v>
      </c>
      <c r="F30" s="45" t="s">
        <v>111</v>
      </c>
      <c r="G30" s="47" t="s">
        <v>112</v>
      </c>
      <c r="H30" s="47"/>
      <c r="I30" s="45" t="s">
        <v>113</v>
      </c>
      <c r="J30" s="45" t="s">
        <v>82</v>
      </c>
      <c r="K30" s="9" t="s">
        <v>83</v>
      </c>
      <c r="L30" s="7">
        <v>5423.14</v>
      </c>
      <c r="M30" s="7">
        <v>45192.86</v>
      </c>
      <c r="N30" s="45"/>
      <c r="O30" s="45"/>
      <c r="P30" s="45"/>
      <c r="Q30" s="45"/>
      <c r="R30" s="45"/>
      <c r="S30" s="45"/>
      <c r="T30" s="7"/>
      <c r="U30" s="45"/>
      <c r="V30" s="45"/>
      <c r="W30" s="45"/>
      <c r="X30" s="7"/>
      <c r="Y30" s="45"/>
      <c r="Z30" s="7"/>
      <c r="AA30" s="7"/>
      <c r="AB30" s="7">
        <v>50616.0</v>
      </c>
      <c r="AC30" s="7">
        <f t="shared" si="1"/>
        <v>0</v>
      </c>
      <c r="AE30" s="10">
        <v>451.93</v>
      </c>
    </row>
    <row r="31" ht="15.75" customHeight="1">
      <c r="A31" s="45" t="s">
        <v>114</v>
      </c>
      <c r="B31" s="47">
        <v>4233530.0</v>
      </c>
      <c r="C31" s="48">
        <v>45671.0</v>
      </c>
      <c r="D31" s="48">
        <v>45671.0</v>
      </c>
      <c r="G31" s="5"/>
      <c r="H31" s="5"/>
      <c r="I31" s="45" t="s">
        <v>57</v>
      </c>
      <c r="J31" s="45" t="s">
        <v>58</v>
      </c>
      <c r="L31" s="45">
        <v>62.04</v>
      </c>
      <c r="M31" s="7"/>
      <c r="S31" s="7">
        <v>516.99</v>
      </c>
      <c r="T31" s="7"/>
      <c r="X31" s="6"/>
      <c r="Z31" s="6"/>
      <c r="AA31" s="6"/>
      <c r="AB31" s="7">
        <v>579.03</v>
      </c>
      <c r="AC31" s="8">
        <f t="shared" si="1"/>
        <v>0</v>
      </c>
    </row>
    <row r="32" ht="15.75" customHeight="1">
      <c r="A32" s="45" t="s">
        <v>115</v>
      </c>
      <c r="B32" s="47">
        <v>4233531.0</v>
      </c>
      <c r="C32" s="48">
        <v>45671.0</v>
      </c>
      <c r="D32" s="48">
        <v>45671.0</v>
      </c>
      <c r="G32" s="5"/>
      <c r="H32" s="5"/>
      <c r="I32" s="45" t="s">
        <v>57</v>
      </c>
      <c r="J32" s="45" t="s">
        <v>58</v>
      </c>
      <c r="L32" s="45">
        <v>32.14</v>
      </c>
      <c r="M32" s="7"/>
      <c r="S32" s="7">
        <v>267.86</v>
      </c>
      <c r="T32" s="7"/>
      <c r="X32" s="6"/>
      <c r="Z32" s="6"/>
      <c r="AA32" s="6"/>
      <c r="AB32" s="7">
        <v>300.0</v>
      </c>
      <c r="AC32" s="8">
        <f t="shared" si="1"/>
        <v>0</v>
      </c>
    </row>
    <row r="33" ht="15.75" customHeight="1">
      <c r="A33" s="45" t="s">
        <v>116</v>
      </c>
      <c r="B33" s="45" t="s">
        <v>117</v>
      </c>
      <c r="C33" s="48">
        <v>45671.0</v>
      </c>
      <c r="D33" s="48">
        <v>45671.0</v>
      </c>
      <c r="G33" s="5"/>
      <c r="H33" s="5"/>
      <c r="I33" s="45" t="s">
        <v>118</v>
      </c>
      <c r="J33" s="45" t="s">
        <v>119</v>
      </c>
      <c r="M33" s="6"/>
      <c r="T33" s="7"/>
      <c r="X33" s="6"/>
      <c r="Z33" s="6"/>
      <c r="AA33" s="7">
        <v>31160.0</v>
      </c>
      <c r="AB33" s="7">
        <v>31160.0</v>
      </c>
      <c r="AC33" s="8">
        <f t="shared" si="1"/>
        <v>0</v>
      </c>
    </row>
    <row r="34" ht="15.75" customHeight="1">
      <c r="A34" s="45" t="s">
        <v>120</v>
      </c>
      <c r="B34" s="47">
        <v>4233532.0</v>
      </c>
      <c r="C34" s="48">
        <v>45672.0</v>
      </c>
      <c r="D34" s="48">
        <v>45672.0</v>
      </c>
      <c r="G34" s="5"/>
      <c r="H34" s="47" t="s">
        <v>121</v>
      </c>
      <c r="I34" s="45" t="s">
        <v>122</v>
      </c>
      <c r="J34" s="45" t="s">
        <v>50</v>
      </c>
      <c r="M34" s="6"/>
      <c r="T34" s="7">
        <v>15310.64</v>
      </c>
      <c r="X34" s="6"/>
      <c r="Z34" s="6"/>
      <c r="AA34" s="6"/>
      <c r="AB34" s="7">
        <v>15310.64</v>
      </c>
      <c r="AC34" s="8">
        <f t="shared" si="1"/>
        <v>0</v>
      </c>
    </row>
    <row r="35" ht="15.75" customHeight="1">
      <c r="A35" s="45" t="s">
        <v>123</v>
      </c>
      <c r="B35" s="47">
        <v>4233533.0</v>
      </c>
      <c r="C35" s="48">
        <v>45672.0</v>
      </c>
      <c r="D35" s="48">
        <v>45672.0</v>
      </c>
      <c r="G35" s="5"/>
      <c r="H35" s="5"/>
      <c r="I35" s="45" t="s">
        <v>124</v>
      </c>
      <c r="J35" s="45" t="s">
        <v>125</v>
      </c>
      <c r="M35" s="6"/>
      <c r="T35" s="7"/>
      <c r="X35" s="6"/>
      <c r="Z35" s="6"/>
      <c r="AA35" s="7">
        <v>6000.0</v>
      </c>
      <c r="AB35" s="7">
        <v>6000.0</v>
      </c>
      <c r="AC35" s="8">
        <f t="shared" si="1"/>
        <v>0</v>
      </c>
    </row>
    <row r="36" ht="15.75" customHeight="1">
      <c r="A36" s="45" t="s">
        <v>126</v>
      </c>
      <c r="B36" s="45" t="s">
        <v>127</v>
      </c>
      <c r="C36" s="48">
        <v>45672.0</v>
      </c>
      <c r="D36" s="48">
        <v>45672.0</v>
      </c>
      <c r="G36" s="5"/>
      <c r="H36" s="5"/>
      <c r="I36" s="45" t="s">
        <v>30</v>
      </c>
      <c r="J36" s="45" t="s">
        <v>41</v>
      </c>
      <c r="M36" s="6"/>
      <c r="T36" s="7"/>
      <c r="X36" s="6"/>
      <c r="Z36" s="7">
        <v>400000.0</v>
      </c>
      <c r="AA36" s="7"/>
      <c r="AB36" s="7">
        <v>400000.0</v>
      </c>
      <c r="AC36" s="8">
        <f t="shared" si="1"/>
        <v>0</v>
      </c>
      <c r="AE36" s="45"/>
    </row>
    <row r="37" ht="15.75" customHeight="1">
      <c r="A37" s="45" t="s">
        <v>128</v>
      </c>
      <c r="B37" s="47">
        <v>4233534.0</v>
      </c>
      <c r="C37" s="48">
        <v>45703.0</v>
      </c>
      <c r="D37" s="48">
        <v>45672.0</v>
      </c>
      <c r="E37" s="48">
        <v>45705.0</v>
      </c>
      <c r="F37" s="45" t="s">
        <v>129</v>
      </c>
      <c r="G37" s="47" t="s">
        <v>130</v>
      </c>
      <c r="H37" s="5"/>
      <c r="I37" s="45" t="s">
        <v>131</v>
      </c>
      <c r="J37" s="45" t="s">
        <v>82</v>
      </c>
      <c r="L37" s="45">
        <v>642.86</v>
      </c>
      <c r="M37" s="7">
        <v>5357.14</v>
      </c>
      <c r="T37" s="7"/>
      <c r="X37" s="6"/>
      <c r="Z37" s="6"/>
      <c r="AA37" s="6"/>
      <c r="AB37" s="7">
        <v>6000.0</v>
      </c>
      <c r="AC37" s="8">
        <f t="shared" si="1"/>
        <v>0</v>
      </c>
      <c r="AE37" s="45">
        <v>53.57</v>
      </c>
    </row>
    <row r="38" ht="15.75" customHeight="1">
      <c r="A38" s="45" t="s">
        <v>132</v>
      </c>
      <c r="B38" s="47">
        <v>4233535.0</v>
      </c>
      <c r="C38" s="48">
        <v>45677.0</v>
      </c>
      <c r="D38" s="48">
        <v>45677.0</v>
      </c>
      <c r="G38" s="5"/>
      <c r="H38" s="47" t="s">
        <v>133</v>
      </c>
      <c r="I38" s="45" t="s">
        <v>122</v>
      </c>
      <c r="J38" s="45" t="s">
        <v>50</v>
      </c>
      <c r="M38" s="6"/>
      <c r="T38" s="7">
        <v>8941.49</v>
      </c>
      <c r="X38" s="6"/>
      <c r="Z38" s="6"/>
      <c r="AA38" s="6"/>
      <c r="AB38" s="7">
        <v>8941.49</v>
      </c>
      <c r="AC38" s="8">
        <f t="shared" si="1"/>
        <v>0</v>
      </c>
      <c r="AE38" s="45"/>
    </row>
    <row r="39" ht="15.75" customHeight="1">
      <c r="A39" s="45" t="s">
        <v>134</v>
      </c>
      <c r="B39" s="47">
        <v>4233536.0</v>
      </c>
      <c r="C39" s="48">
        <v>45719.0</v>
      </c>
      <c r="D39" s="48">
        <v>45677.0</v>
      </c>
      <c r="E39" s="48">
        <v>45674.0</v>
      </c>
      <c r="F39" s="45" t="s">
        <v>135</v>
      </c>
      <c r="G39" s="47" t="s">
        <v>136</v>
      </c>
      <c r="H39" s="47"/>
      <c r="I39" s="45" t="s">
        <v>137</v>
      </c>
      <c r="J39" s="45" t="s">
        <v>76</v>
      </c>
      <c r="K39" s="45" t="s">
        <v>77</v>
      </c>
      <c r="L39" s="45">
        <v>3085.71</v>
      </c>
      <c r="M39" s="7">
        <v>25714.29</v>
      </c>
      <c r="T39" s="7"/>
      <c r="X39" s="6"/>
      <c r="Z39" s="6"/>
      <c r="AA39" s="6"/>
      <c r="AB39" s="7">
        <v>28800.0</v>
      </c>
      <c r="AC39" s="8">
        <f t="shared" si="1"/>
        <v>0</v>
      </c>
      <c r="AE39" s="45">
        <v>257.14</v>
      </c>
    </row>
    <row r="40" ht="15.75" customHeight="1">
      <c r="A40" s="45" t="s">
        <v>138</v>
      </c>
      <c r="B40" s="47">
        <v>4233537.0</v>
      </c>
      <c r="C40" s="48">
        <v>45677.0</v>
      </c>
      <c r="D40" s="48">
        <v>45677.0</v>
      </c>
      <c r="E40" s="48">
        <v>45693.0</v>
      </c>
      <c r="F40" s="45" t="s">
        <v>139</v>
      </c>
      <c r="G40" s="47" t="s">
        <v>140</v>
      </c>
      <c r="H40" s="5"/>
      <c r="I40" s="45" t="s">
        <v>141</v>
      </c>
      <c r="J40" s="45" t="s">
        <v>142</v>
      </c>
      <c r="L40" s="45"/>
      <c r="M40" s="7"/>
      <c r="T40" s="7"/>
      <c r="X40" s="6"/>
      <c r="Z40" s="6"/>
      <c r="AA40" s="7">
        <v>8323.2</v>
      </c>
      <c r="AB40" s="7">
        <v>8323.2</v>
      </c>
      <c r="AC40" s="8">
        <f t="shared" si="1"/>
        <v>0</v>
      </c>
      <c r="AE40" s="45"/>
    </row>
    <row r="41" ht="15.75" customHeight="1">
      <c r="A41" s="45" t="s">
        <v>143</v>
      </c>
      <c r="B41" s="47">
        <v>4233538.0</v>
      </c>
      <c r="C41" s="48">
        <v>45679.0</v>
      </c>
      <c r="D41" s="48">
        <v>45679.0</v>
      </c>
      <c r="G41" s="5"/>
      <c r="H41" s="5"/>
      <c r="I41" s="45" t="s">
        <v>144</v>
      </c>
      <c r="J41" s="45" t="s">
        <v>103</v>
      </c>
      <c r="L41" s="7">
        <v>1387.24</v>
      </c>
      <c r="M41" s="6"/>
      <c r="S41" s="7">
        <v>11560.31</v>
      </c>
      <c r="T41" s="7"/>
      <c r="X41" s="6"/>
      <c r="Z41" s="6"/>
      <c r="AA41" s="6"/>
      <c r="AB41" s="7">
        <v>12947.55</v>
      </c>
      <c r="AC41" s="8">
        <f t="shared" si="1"/>
        <v>0</v>
      </c>
      <c r="AE41" s="45"/>
    </row>
    <row r="42" ht="15.75" customHeight="1">
      <c r="A42" s="45" t="s">
        <v>145</v>
      </c>
      <c r="B42" s="47">
        <v>4233539.0</v>
      </c>
      <c r="C42" s="48">
        <v>45687.0</v>
      </c>
      <c r="D42" s="48">
        <v>45679.0</v>
      </c>
      <c r="E42" s="48">
        <v>45685.0</v>
      </c>
      <c r="F42" s="45" t="s">
        <v>146</v>
      </c>
      <c r="G42" s="5"/>
      <c r="H42" s="5"/>
      <c r="I42" s="45" t="s">
        <v>147</v>
      </c>
      <c r="J42" s="45" t="s">
        <v>148</v>
      </c>
      <c r="M42" s="6"/>
      <c r="N42" s="7">
        <v>50750.0</v>
      </c>
      <c r="T42" s="7"/>
      <c r="X42" s="6"/>
      <c r="Z42" s="6"/>
      <c r="AA42" s="6"/>
      <c r="AB42" s="7">
        <v>50750.0</v>
      </c>
      <c r="AC42" s="8">
        <f t="shared" si="1"/>
        <v>0</v>
      </c>
    </row>
    <row r="43" ht="15.75" customHeight="1">
      <c r="A43" s="45" t="s">
        <v>149</v>
      </c>
      <c r="B43" s="47">
        <v>4233540.0</v>
      </c>
      <c r="C43" s="48">
        <v>45681.0</v>
      </c>
      <c r="D43" s="48">
        <v>45679.0</v>
      </c>
      <c r="G43" s="5"/>
      <c r="H43" s="5"/>
      <c r="I43" s="45" t="s">
        <v>150</v>
      </c>
      <c r="J43" s="45" t="s">
        <v>151</v>
      </c>
      <c r="M43" s="6"/>
      <c r="T43" s="7"/>
      <c r="X43" s="6"/>
      <c r="Z43" s="6"/>
      <c r="AA43" s="7">
        <v>5000.0</v>
      </c>
      <c r="AB43" s="7">
        <v>5000.0</v>
      </c>
      <c r="AC43" s="8">
        <f t="shared" si="1"/>
        <v>0</v>
      </c>
    </row>
    <row r="44" ht="15.75" customHeight="1">
      <c r="A44" s="45" t="s">
        <v>152</v>
      </c>
      <c r="B44" s="45" t="s">
        <v>153</v>
      </c>
      <c r="C44" s="48">
        <v>45680.0</v>
      </c>
      <c r="D44" s="48">
        <v>45679.0</v>
      </c>
      <c r="G44" s="5"/>
      <c r="H44" s="5"/>
      <c r="I44" s="45" t="s">
        <v>30</v>
      </c>
      <c r="J44" s="45" t="s">
        <v>41</v>
      </c>
      <c r="M44" s="6"/>
      <c r="T44" s="7"/>
      <c r="X44" s="6"/>
      <c r="Z44" s="7">
        <v>200000.0</v>
      </c>
      <c r="AA44" s="7"/>
      <c r="AB44" s="7">
        <v>200000.0</v>
      </c>
      <c r="AC44" s="8">
        <f t="shared" si="1"/>
        <v>0</v>
      </c>
    </row>
    <row r="45" ht="15.75" customHeight="1">
      <c r="A45" s="45" t="s">
        <v>154</v>
      </c>
      <c r="B45" s="45" t="s">
        <v>155</v>
      </c>
      <c r="C45" s="48">
        <v>45680.0</v>
      </c>
      <c r="D45" s="48">
        <v>45679.0</v>
      </c>
      <c r="G45" s="5"/>
      <c r="H45" s="5"/>
      <c r="I45" s="45" t="s">
        <v>20</v>
      </c>
      <c r="J45" s="45" t="s">
        <v>125</v>
      </c>
      <c r="M45" s="6"/>
      <c r="P45" s="7">
        <v>20000.0</v>
      </c>
      <c r="T45" s="7"/>
      <c r="X45" s="6"/>
      <c r="Z45" s="6"/>
      <c r="AA45" s="6"/>
      <c r="AB45" s="7">
        <v>20000.0</v>
      </c>
      <c r="AC45" s="8">
        <f t="shared" si="1"/>
        <v>0</v>
      </c>
    </row>
    <row r="46" ht="15.75" customHeight="1">
      <c r="A46" s="45" t="s">
        <v>156</v>
      </c>
      <c r="B46" s="45" t="s">
        <v>157</v>
      </c>
      <c r="C46" s="48">
        <v>45684.0</v>
      </c>
      <c r="D46" s="48">
        <v>45680.0</v>
      </c>
      <c r="E46" s="48">
        <v>45681.0</v>
      </c>
      <c r="F46" s="45" t="s">
        <v>158</v>
      </c>
      <c r="G46" s="47" t="s">
        <v>159</v>
      </c>
      <c r="H46" s="47"/>
      <c r="I46" s="45" t="s">
        <v>160</v>
      </c>
      <c r="J46" s="45" t="s">
        <v>91</v>
      </c>
      <c r="K46" s="45"/>
      <c r="L46" s="7">
        <v>11517.86</v>
      </c>
      <c r="M46" s="7">
        <v>95982.14</v>
      </c>
      <c r="N46" s="45"/>
      <c r="O46" s="45"/>
      <c r="P46" s="45"/>
      <c r="Q46" s="45"/>
      <c r="R46" s="45"/>
      <c r="S46" s="45"/>
      <c r="T46" s="7"/>
      <c r="U46" s="45"/>
      <c r="V46" s="45"/>
      <c r="W46" s="45"/>
      <c r="X46" s="7"/>
      <c r="Y46" s="45"/>
      <c r="Z46" s="7"/>
      <c r="AA46" s="7"/>
      <c r="AB46" s="7">
        <v>107500.0</v>
      </c>
      <c r="AC46" s="7">
        <f t="shared" si="1"/>
        <v>0</v>
      </c>
      <c r="AD46" s="45"/>
      <c r="AE46" s="45">
        <v>959.82</v>
      </c>
    </row>
    <row r="47" ht="15.75" customHeight="1">
      <c r="A47" s="45" t="s">
        <v>161</v>
      </c>
      <c r="B47" s="45" t="s">
        <v>162</v>
      </c>
      <c r="C47" s="48">
        <v>45684.0</v>
      </c>
      <c r="D47" s="48">
        <v>45684.0</v>
      </c>
      <c r="E47" s="45"/>
      <c r="F47" s="45"/>
      <c r="G47" s="47"/>
      <c r="H47" s="47"/>
      <c r="I47" s="45" t="s">
        <v>30</v>
      </c>
      <c r="J47" s="45" t="s">
        <v>41</v>
      </c>
      <c r="K47" s="45"/>
      <c r="L47" s="45"/>
      <c r="M47" s="7"/>
      <c r="N47" s="45"/>
      <c r="O47" s="45"/>
      <c r="P47" s="45"/>
      <c r="Q47" s="45"/>
      <c r="R47" s="45"/>
      <c r="S47" s="45"/>
      <c r="T47" s="7"/>
      <c r="U47" s="45"/>
      <c r="V47" s="45"/>
      <c r="W47" s="45"/>
      <c r="X47" s="7"/>
      <c r="Y47" s="45"/>
      <c r="Z47" s="7">
        <v>250000.0</v>
      </c>
      <c r="AA47" s="7"/>
      <c r="AB47" s="7">
        <v>250000.0</v>
      </c>
      <c r="AC47" s="7">
        <f t="shared" si="1"/>
        <v>0</v>
      </c>
      <c r="AD47" s="45"/>
      <c r="AE47" s="45"/>
    </row>
    <row r="48" ht="15.75" customHeight="1">
      <c r="A48" s="45" t="s">
        <v>163</v>
      </c>
      <c r="B48" s="47">
        <v>4233541.0</v>
      </c>
      <c r="C48" s="48">
        <v>45687.0</v>
      </c>
      <c r="D48" s="48">
        <v>45684.0</v>
      </c>
      <c r="E48" s="45"/>
      <c r="F48" s="45"/>
      <c r="G48" s="47"/>
      <c r="H48" s="47"/>
      <c r="I48" s="45" t="s">
        <v>94</v>
      </c>
      <c r="J48" s="45" t="s">
        <v>95</v>
      </c>
      <c r="K48" s="45"/>
      <c r="L48" s="45"/>
      <c r="M48" s="7"/>
      <c r="N48" s="45"/>
      <c r="O48" s="45"/>
      <c r="P48" s="45"/>
      <c r="Q48" s="45"/>
      <c r="R48" s="45"/>
      <c r="S48" s="45"/>
      <c r="T48" s="7"/>
      <c r="U48" s="45"/>
      <c r="V48" s="45"/>
      <c r="W48" s="45"/>
      <c r="X48" s="7"/>
      <c r="Y48" s="45"/>
      <c r="Z48" s="7"/>
      <c r="AA48" s="7">
        <v>25600.0</v>
      </c>
      <c r="AB48" s="7">
        <v>25600.0</v>
      </c>
      <c r="AC48" s="7">
        <f t="shared" si="1"/>
        <v>0</v>
      </c>
      <c r="AD48" s="45"/>
    </row>
    <row r="49" ht="15.75" customHeight="1">
      <c r="A49" s="45" t="s">
        <v>164</v>
      </c>
      <c r="B49" s="47">
        <v>4233542.0</v>
      </c>
      <c r="C49" s="48">
        <v>45687.0</v>
      </c>
      <c r="D49" s="48">
        <v>45684.0</v>
      </c>
      <c r="E49" s="45"/>
      <c r="F49" s="45"/>
      <c r="G49" s="47"/>
      <c r="H49" s="47"/>
      <c r="I49" s="45" t="s">
        <v>94</v>
      </c>
      <c r="J49" s="45" t="s">
        <v>97</v>
      </c>
      <c r="K49" s="45"/>
      <c r="L49" s="45"/>
      <c r="M49" s="7"/>
      <c r="N49" s="45"/>
      <c r="O49" s="45"/>
      <c r="P49" s="45"/>
      <c r="Q49" s="45"/>
      <c r="R49" s="45"/>
      <c r="S49" s="45"/>
      <c r="T49" s="7"/>
      <c r="U49" s="45"/>
      <c r="V49" s="45"/>
      <c r="W49" s="45"/>
      <c r="X49" s="7"/>
      <c r="Y49" s="45"/>
      <c r="Z49" s="7"/>
      <c r="AA49" s="7">
        <v>25000.0</v>
      </c>
      <c r="AB49" s="7">
        <v>25000.0</v>
      </c>
      <c r="AC49" s="7">
        <f t="shared" si="1"/>
        <v>0</v>
      </c>
      <c r="AD49" s="45"/>
    </row>
    <row r="50" ht="15.75" customHeight="1">
      <c r="A50" s="45" t="s">
        <v>165</v>
      </c>
      <c r="B50" s="47">
        <v>4233543.0</v>
      </c>
      <c r="C50" s="48">
        <v>45684.0</v>
      </c>
      <c r="D50" s="48">
        <v>45684.0</v>
      </c>
      <c r="E50" s="48">
        <v>45705.0</v>
      </c>
      <c r="F50" s="45" t="s">
        <v>166</v>
      </c>
      <c r="G50" s="47" t="s">
        <v>167</v>
      </c>
      <c r="H50" s="47"/>
      <c r="I50" s="45" t="s">
        <v>81</v>
      </c>
      <c r="J50" s="45" t="s">
        <v>82</v>
      </c>
      <c r="K50" s="45"/>
      <c r="L50" s="45">
        <v>203.57</v>
      </c>
      <c r="M50" s="7">
        <v>1696.43</v>
      </c>
      <c r="N50" s="45"/>
      <c r="O50" s="45"/>
      <c r="P50" s="45"/>
      <c r="Q50" s="45"/>
      <c r="R50" s="45"/>
      <c r="S50" s="45"/>
      <c r="T50" s="7"/>
      <c r="U50" s="45"/>
      <c r="V50" s="45"/>
      <c r="W50" s="45"/>
      <c r="X50" s="7"/>
      <c r="Y50" s="45"/>
      <c r="Z50" s="7"/>
      <c r="AA50" s="7"/>
      <c r="AB50" s="7">
        <v>1900.0</v>
      </c>
      <c r="AC50" s="7">
        <f t="shared" si="1"/>
        <v>0</v>
      </c>
      <c r="AD50" s="45"/>
      <c r="AE50" s="45">
        <v>16.96</v>
      </c>
    </row>
    <row r="51" ht="15.75" customHeight="1">
      <c r="A51" s="45" t="s">
        <v>168</v>
      </c>
      <c r="B51" s="45" t="s">
        <v>169</v>
      </c>
      <c r="C51" s="48">
        <v>45684.0</v>
      </c>
      <c r="D51" s="48">
        <v>45684.0</v>
      </c>
      <c r="E51" s="45"/>
      <c r="F51" s="45"/>
      <c r="G51" s="47"/>
      <c r="H51" s="47" t="s">
        <v>170</v>
      </c>
      <c r="I51" s="45" t="s">
        <v>171</v>
      </c>
      <c r="J51" s="45" t="s">
        <v>119</v>
      </c>
      <c r="K51" s="45"/>
      <c r="L51" s="45"/>
      <c r="M51" s="7"/>
      <c r="N51" s="45"/>
      <c r="O51" s="45"/>
      <c r="P51" s="45"/>
      <c r="Q51" s="45"/>
      <c r="R51" s="45"/>
      <c r="S51" s="45"/>
      <c r="T51" s="7"/>
      <c r="U51" s="45"/>
      <c r="V51" s="45"/>
      <c r="W51" s="45"/>
      <c r="X51" s="7"/>
      <c r="Y51" s="45"/>
      <c r="Z51" s="7"/>
      <c r="AA51" s="7">
        <v>25000.0</v>
      </c>
      <c r="AB51" s="7">
        <v>21091.39</v>
      </c>
      <c r="AC51" s="7">
        <f t="shared" si="1"/>
        <v>-3908.61</v>
      </c>
      <c r="AD51" s="51" t="s">
        <v>172</v>
      </c>
    </row>
    <row r="52" ht="15.75" customHeight="1">
      <c r="A52" s="45" t="s">
        <v>173</v>
      </c>
      <c r="B52" s="47">
        <v>4233545.0</v>
      </c>
      <c r="C52" s="48">
        <v>45688.0</v>
      </c>
      <c r="D52" s="48">
        <v>45688.0</v>
      </c>
      <c r="E52" s="45"/>
      <c r="F52" s="45"/>
      <c r="G52" s="47"/>
      <c r="H52" s="47" t="s">
        <v>174</v>
      </c>
      <c r="I52" s="45" t="s">
        <v>122</v>
      </c>
      <c r="J52" s="45" t="s">
        <v>50</v>
      </c>
      <c r="K52" s="45"/>
      <c r="L52" s="45"/>
      <c r="M52" s="7"/>
      <c r="N52" s="45"/>
      <c r="O52" s="45"/>
      <c r="P52" s="45"/>
      <c r="Q52" s="45"/>
      <c r="R52" s="45"/>
      <c r="S52" s="45"/>
      <c r="T52" s="7">
        <v>7544.91</v>
      </c>
      <c r="X52" s="6"/>
      <c r="Z52" s="6"/>
      <c r="AA52" s="6"/>
      <c r="AB52" s="7">
        <v>7544.91</v>
      </c>
      <c r="AC52" s="7">
        <f t="shared" si="1"/>
        <v>0</v>
      </c>
    </row>
    <row r="53" ht="15.75" customHeight="1">
      <c r="A53" s="45" t="s">
        <v>175</v>
      </c>
      <c r="B53" s="47">
        <v>4233546.0</v>
      </c>
      <c r="C53" s="48">
        <v>45688.0</v>
      </c>
      <c r="D53" s="48">
        <v>45688.0</v>
      </c>
      <c r="E53" s="45"/>
      <c r="F53" s="45"/>
      <c r="G53" s="47"/>
      <c r="H53" s="47" t="s">
        <v>176</v>
      </c>
      <c r="I53" s="45" t="s">
        <v>177</v>
      </c>
      <c r="J53" s="45" t="s">
        <v>50</v>
      </c>
      <c r="K53" s="45"/>
      <c r="L53" s="45"/>
      <c r="M53" s="7"/>
      <c r="N53" s="45"/>
      <c r="O53" s="45"/>
      <c r="P53" s="45"/>
      <c r="Q53" s="45"/>
      <c r="R53" s="45"/>
      <c r="S53" s="45"/>
      <c r="T53" s="7">
        <v>11050.02</v>
      </c>
      <c r="X53" s="6"/>
      <c r="Z53" s="6"/>
      <c r="AA53" s="6"/>
      <c r="AB53" s="7">
        <v>11050.02</v>
      </c>
      <c r="AC53" s="8">
        <f t="shared" si="1"/>
        <v>0</v>
      </c>
    </row>
    <row r="54" ht="15.75" customHeight="1">
      <c r="A54" s="45" t="s">
        <v>178</v>
      </c>
      <c r="B54" s="47">
        <v>4233547.0</v>
      </c>
      <c r="C54" s="48">
        <v>45717.0</v>
      </c>
      <c r="D54" s="48">
        <v>45688.0</v>
      </c>
      <c r="E54" s="48">
        <v>45691.0</v>
      </c>
      <c r="F54" s="45" t="s">
        <v>179</v>
      </c>
      <c r="G54" s="47" t="s">
        <v>180</v>
      </c>
      <c r="H54" s="47"/>
      <c r="I54" s="45" t="s">
        <v>181</v>
      </c>
      <c r="J54" s="45" t="s">
        <v>46</v>
      </c>
      <c r="K54" s="45" t="s">
        <v>47</v>
      </c>
      <c r="L54" s="45">
        <v>867.86</v>
      </c>
      <c r="M54" s="7">
        <v>7232.14</v>
      </c>
      <c r="N54" s="45"/>
      <c r="O54" s="45"/>
      <c r="P54" s="45"/>
      <c r="Q54" s="45"/>
      <c r="R54" s="45"/>
      <c r="S54" s="45"/>
      <c r="T54" s="7"/>
      <c r="X54" s="6"/>
      <c r="Z54" s="6"/>
      <c r="AA54" s="6"/>
      <c r="AB54" s="7">
        <v>8100.0</v>
      </c>
      <c r="AC54" s="8">
        <f t="shared" si="1"/>
        <v>0</v>
      </c>
      <c r="AE54" s="45">
        <v>72.32</v>
      </c>
    </row>
    <row r="55" ht="15.75" customHeight="1">
      <c r="A55" s="45" t="s">
        <v>182</v>
      </c>
      <c r="B55" s="47">
        <v>4233548.0</v>
      </c>
      <c r="C55" s="48">
        <v>45733.0</v>
      </c>
      <c r="D55" s="48">
        <v>45688.0</v>
      </c>
      <c r="E55" s="48">
        <v>45695.0</v>
      </c>
      <c r="F55" s="45" t="s">
        <v>183</v>
      </c>
      <c r="G55" s="47" t="s">
        <v>184</v>
      </c>
      <c r="H55" s="47"/>
      <c r="I55" s="45" t="s">
        <v>185</v>
      </c>
      <c r="J55" s="45" t="s">
        <v>76</v>
      </c>
      <c r="K55" s="45" t="s">
        <v>77</v>
      </c>
      <c r="L55" s="7">
        <v>9107.14</v>
      </c>
      <c r="M55" s="7">
        <v>75892.86</v>
      </c>
      <c r="N55" s="45"/>
      <c r="O55" s="45"/>
      <c r="P55" s="45"/>
      <c r="Q55" s="45"/>
      <c r="R55" s="45"/>
      <c r="S55" s="45"/>
      <c r="T55" s="7"/>
      <c r="X55" s="6"/>
      <c r="Z55" s="6"/>
      <c r="AA55" s="6"/>
      <c r="AB55" s="7">
        <v>85000.0</v>
      </c>
      <c r="AC55" s="8">
        <f t="shared" si="1"/>
        <v>0</v>
      </c>
      <c r="AE55" s="45">
        <v>758.93</v>
      </c>
    </row>
    <row r="56" ht="15.75" customHeight="1">
      <c r="A56" s="45" t="s">
        <v>186</v>
      </c>
      <c r="B56" s="47">
        <v>4233549.0</v>
      </c>
      <c r="C56" s="48">
        <v>45692.0</v>
      </c>
      <c r="D56" s="48">
        <v>45688.0</v>
      </c>
      <c r="E56" s="48">
        <v>45691.0</v>
      </c>
      <c r="F56" s="45" t="s">
        <v>187</v>
      </c>
      <c r="G56" s="47" t="s">
        <v>188</v>
      </c>
      <c r="H56" s="47"/>
      <c r="I56" s="45" t="s">
        <v>189</v>
      </c>
      <c r="J56" s="45" t="s">
        <v>91</v>
      </c>
      <c r="K56" s="45" t="s">
        <v>92</v>
      </c>
      <c r="L56" s="7">
        <v>3786.96</v>
      </c>
      <c r="M56" s="7">
        <v>31558.04</v>
      </c>
      <c r="N56" s="45"/>
      <c r="O56" s="45"/>
      <c r="P56" s="45"/>
      <c r="Q56" s="45"/>
      <c r="R56" s="45"/>
      <c r="S56" s="45"/>
      <c r="T56" s="7"/>
      <c r="X56" s="6"/>
      <c r="Z56" s="6"/>
      <c r="AA56" s="6"/>
      <c r="AB56" s="7">
        <v>35345.0</v>
      </c>
      <c r="AC56" s="8">
        <f t="shared" si="1"/>
        <v>0</v>
      </c>
      <c r="AE56" s="45">
        <v>315.58</v>
      </c>
    </row>
    <row r="57" ht="15.75" customHeight="1">
      <c r="A57" s="45" t="s">
        <v>190</v>
      </c>
      <c r="B57" s="47">
        <v>4233550.0</v>
      </c>
      <c r="C57" s="48">
        <v>45688.0</v>
      </c>
      <c r="D57" s="48">
        <v>45688.0</v>
      </c>
      <c r="E57" s="48">
        <v>45705.0</v>
      </c>
      <c r="F57" s="45" t="s">
        <v>191</v>
      </c>
      <c r="G57" s="47" t="s">
        <v>192</v>
      </c>
      <c r="H57" s="47"/>
      <c r="I57" s="45" t="s">
        <v>193</v>
      </c>
      <c r="J57" s="45" t="s">
        <v>46</v>
      </c>
      <c r="K57" s="45" t="s">
        <v>47</v>
      </c>
      <c r="L57" s="45">
        <v>16.07</v>
      </c>
      <c r="M57" s="7">
        <v>133.93</v>
      </c>
      <c r="N57" s="45"/>
      <c r="O57" s="45"/>
      <c r="P57" s="45"/>
      <c r="Q57" s="45"/>
      <c r="R57" s="45"/>
      <c r="S57" s="45"/>
      <c r="T57" s="7"/>
      <c r="X57" s="6"/>
      <c r="Z57" s="6"/>
      <c r="AA57" s="6"/>
      <c r="AB57" s="7">
        <v>150.0</v>
      </c>
      <c r="AC57" s="8">
        <f t="shared" si="1"/>
        <v>0</v>
      </c>
      <c r="AE57" s="45">
        <v>1.34</v>
      </c>
    </row>
    <row r="58" ht="15.75" customHeight="1">
      <c r="A58" s="45" t="s">
        <v>194</v>
      </c>
      <c r="B58" s="45" t="s">
        <v>195</v>
      </c>
      <c r="C58" s="48">
        <v>45691.0</v>
      </c>
      <c r="D58" s="48">
        <v>45688.0</v>
      </c>
      <c r="E58" s="45"/>
      <c r="F58" s="45"/>
      <c r="G58" s="47"/>
      <c r="H58" s="47"/>
      <c r="I58" s="45" t="s">
        <v>30</v>
      </c>
      <c r="J58" s="45" t="s">
        <v>41</v>
      </c>
      <c r="K58" s="45"/>
      <c r="L58" s="45"/>
      <c r="M58" s="7"/>
      <c r="N58" s="45"/>
      <c r="O58" s="45"/>
      <c r="P58" s="45"/>
      <c r="Q58" s="45"/>
      <c r="R58" s="45"/>
      <c r="S58" s="45"/>
      <c r="T58" s="7"/>
      <c r="X58" s="6"/>
      <c r="Z58" s="7">
        <v>300000.0</v>
      </c>
      <c r="AA58" s="6"/>
      <c r="AB58" s="7">
        <v>300000.0</v>
      </c>
      <c r="AC58" s="8">
        <f t="shared" si="1"/>
        <v>0</v>
      </c>
      <c r="AE58" s="45"/>
    </row>
    <row r="59" ht="15.75" customHeight="1">
      <c r="A59" s="45" t="s">
        <v>196</v>
      </c>
      <c r="B59" s="45" t="s">
        <v>197</v>
      </c>
      <c r="C59" s="48">
        <v>45698.0</v>
      </c>
      <c r="D59" s="48">
        <v>45688.0</v>
      </c>
      <c r="E59" s="48">
        <v>45691.0</v>
      </c>
      <c r="F59" s="45" t="s">
        <v>198</v>
      </c>
      <c r="G59" s="47" t="s">
        <v>199</v>
      </c>
      <c r="H59" s="47"/>
      <c r="I59" s="45" t="s">
        <v>200</v>
      </c>
      <c r="J59" s="45" t="s">
        <v>91</v>
      </c>
      <c r="K59" s="45" t="s">
        <v>92</v>
      </c>
      <c r="L59" s="7">
        <v>12857.14</v>
      </c>
      <c r="M59" s="7">
        <v>107142.86</v>
      </c>
      <c r="N59" s="7"/>
      <c r="O59" s="45"/>
      <c r="P59" s="45"/>
      <c r="Q59" s="45"/>
      <c r="R59" s="45"/>
      <c r="S59" s="45"/>
      <c r="T59" s="7"/>
      <c r="X59" s="6"/>
      <c r="Z59" s="6"/>
      <c r="AA59" s="6"/>
      <c r="AB59" s="7">
        <v>120000.0</v>
      </c>
      <c r="AC59" s="8">
        <f t="shared" si="1"/>
        <v>0</v>
      </c>
      <c r="AE59" s="7">
        <v>1071.43</v>
      </c>
    </row>
    <row r="60" ht="15.75" customHeight="1">
      <c r="A60" s="52">
        <v>45689.0</v>
      </c>
      <c r="B60" s="53"/>
      <c r="C60" s="54"/>
      <c r="D60" s="54"/>
      <c r="E60" s="54"/>
      <c r="F60" s="53"/>
      <c r="G60" s="55"/>
      <c r="H60" s="55"/>
      <c r="I60" s="53"/>
      <c r="J60" s="53"/>
      <c r="K60" s="53"/>
      <c r="L60" s="56"/>
      <c r="M60" s="56"/>
      <c r="N60" s="56"/>
      <c r="O60" s="53"/>
      <c r="P60" s="53"/>
      <c r="Q60" s="53"/>
      <c r="R60" s="53"/>
      <c r="S60" s="53"/>
      <c r="T60" s="56"/>
      <c r="U60" s="57"/>
      <c r="V60" s="57"/>
      <c r="W60" s="57"/>
      <c r="X60" s="58"/>
      <c r="Y60" s="57"/>
      <c r="Z60" s="58"/>
      <c r="AA60" s="58"/>
      <c r="AB60" s="56"/>
      <c r="AC60" s="59"/>
      <c r="AD60" s="57"/>
      <c r="AE60" s="56"/>
    </row>
    <row r="61" ht="15.75" customHeight="1">
      <c r="A61" s="45" t="s">
        <v>201</v>
      </c>
      <c r="B61" s="45" t="s">
        <v>202</v>
      </c>
      <c r="C61" s="48">
        <v>45691.0</v>
      </c>
      <c r="D61" s="48">
        <v>45691.0</v>
      </c>
      <c r="E61" s="45"/>
      <c r="F61" s="45"/>
      <c r="G61" s="47"/>
      <c r="H61" s="47"/>
      <c r="I61" s="45" t="s">
        <v>20</v>
      </c>
      <c r="J61" s="45" t="s">
        <v>203</v>
      </c>
      <c r="K61" s="45"/>
      <c r="L61" s="45"/>
      <c r="M61" s="7"/>
      <c r="N61" s="45"/>
      <c r="O61" s="45"/>
      <c r="P61" s="7">
        <v>20000.0</v>
      </c>
      <c r="Q61" s="45"/>
      <c r="R61" s="45"/>
      <c r="S61" s="45"/>
      <c r="T61" s="7"/>
      <c r="X61" s="6"/>
      <c r="Z61" s="6"/>
      <c r="AA61" s="6"/>
      <c r="AB61" s="7">
        <v>20000.0</v>
      </c>
      <c r="AC61" s="8">
        <f t="shared" ref="AC61:AC105" si="2">SUM(AB61)-SUM(L61:AA61)</f>
        <v>0</v>
      </c>
    </row>
    <row r="62" ht="15.75" customHeight="1">
      <c r="A62" s="45" t="s">
        <v>204</v>
      </c>
      <c r="B62" s="45" t="s">
        <v>205</v>
      </c>
      <c r="C62" s="48">
        <v>45691.0</v>
      </c>
      <c r="D62" s="48">
        <v>45691.0</v>
      </c>
      <c r="E62" s="48">
        <v>45692.0</v>
      </c>
      <c r="F62" s="45" t="s">
        <v>206</v>
      </c>
      <c r="G62" s="47" t="s">
        <v>207</v>
      </c>
      <c r="H62" s="47"/>
      <c r="I62" s="45" t="s">
        <v>208</v>
      </c>
      <c r="J62" s="45" t="s">
        <v>209</v>
      </c>
      <c r="K62" s="45" t="s">
        <v>210</v>
      </c>
      <c r="L62" s="7">
        <v>13392.86</v>
      </c>
      <c r="M62" s="7">
        <v>111607.14</v>
      </c>
      <c r="N62" s="45"/>
      <c r="O62" s="45"/>
      <c r="P62" s="45"/>
      <c r="Q62" s="45"/>
      <c r="R62" s="45"/>
      <c r="S62" s="45"/>
      <c r="T62" s="7"/>
      <c r="X62" s="6"/>
      <c r="Z62" s="6"/>
      <c r="AA62" s="6"/>
      <c r="AB62" s="7">
        <v>125000.0</v>
      </c>
      <c r="AC62" s="8">
        <f t="shared" si="2"/>
        <v>0</v>
      </c>
      <c r="AE62" s="10">
        <v>1116.07</v>
      </c>
    </row>
    <row r="63" ht="15.75" customHeight="1">
      <c r="A63" s="45" t="s">
        <v>211</v>
      </c>
      <c r="B63" s="47">
        <v>4233551.0</v>
      </c>
      <c r="C63" s="48">
        <v>45692.0</v>
      </c>
      <c r="D63" s="48">
        <v>45692.0</v>
      </c>
      <c r="E63" s="45"/>
      <c r="F63" s="45"/>
      <c r="G63" s="47"/>
      <c r="H63" s="47" t="s">
        <v>212</v>
      </c>
      <c r="I63" s="45" t="s">
        <v>213</v>
      </c>
      <c r="J63" s="45" t="s">
        <v>50</v>
      </c>
      <c r="K63" s="45"/>
      <c r="L63" s="45"/>
      <c r="M63" s="7"/>
      <c r="N63" s="45"/>
      <c r="O63" s="45"/>
      <c r="P63" s="45"/>
      <c r="Q63" s="45"/>
      <c r="R63" s="45"/>
      <c r="S63" s="45"/>
      <c r="T63" s="7">
        <v>10324.5</v>
      </c>
      <c r="X63" s="6"/>
      <c r="Z63" s="6"/>
      <c r="AA63" s="6"/>
      <c r="AB63" s="7">
        <v>10324.5</v>
      </c>
      <c r="AC63" s="8">
        <f t="shared" si="2"/>
        <v>0</v>
      </c>
    </row>
    <row r="64" ht="15.75" customHeight="1">
      <c r="A64" s="45" t="s">
        <v>214</v>
      </c>
      <c r="B64" s="47">
        <v>4233552.0</v>
      </c>
      <c r="C64" s="48">
        <v>45698.0</v>
      </c>
      <c r="D64" s="48">
        <v>45692.0</v>
      </c>
      <c r="E64" s="45"/>
      <c r="F64" s="45"/>
      <c r="G64" s="47"/>
      <c r="H64" s="47"/>
      <c r="I64" s="45" t="s">
        <v>215</v>
      </c>
      <c r="J64" s="45" t="s">
        <v>22</v>
      </c>
      <c r="K64" s="45"/>
      <c r="L64" s="45">
        <v>151.09</v>
      </c>
      <c r="M64" s="7"/>
      <c r="N64" s="45"/>
      <c r="O64" s="45"/>
      <c r="P64" s="45"/>
      <c r="Q64" s="45"/>
      <c r="R64" s="7">
        <v>1259.06</v>
      </c>
      <c r="S64" s="45"/>
      <c r="T64" s="7"/>
      <c r="X64" s="6"/>
      <c r="Z64" s="6"/>
      <c r="AA64" s="6"/>
      <c r="AB64" s="7">
        <v>1410.15</v>
      </c>
      <c r="AC64" s="8">
        <f t="shared" si="2"/>
        <v>0</v>
      </c>
    </row>
    <row r="65" ht="15.75" customHeight="1">
      <c r="A65" s="45" t="s">
        <v>216</v>
      </c>
      <c r="B65" s="47">
        <v>4233553.0</v>
      </c>
      <c r="C65" s="48">
        <v>45698.0</v>
      </c>
      <c r="D65" s="48">
        <v>45692.0</v>
      </c>
      <c r="E65" s="45"/>
      <c r="F65" s="45"/>
      <c r="G65" s="47"/>
      <c r="H65" s="47"/>
      <c r="I65" s="45" t="s">
        <v>215</v>
      </c>
      <c r="J65" s="45" t="s">
        <v>22</v>
      </c>
      <c r="K65" s="45"/>
      <c r="L65" s="45">
        <v>811.09</v>
      </c>
      <c r="M65" s="7"/>
      <c r="N65" s="45"/>
      <c r="O65" s="45"/>
      <c r="P65" s="45"/>
      <c r="Q65" s="45"/>
      <c r="R65" s="7">
        <v>6759.06</v>
      </c>
      <c r="S65" s="45"/>
      <c r="T65" s="7"/>
      <c r="X65" s="6"/>
      <c r="Z65" s="6"/>
      <c r="AA65" s="6"/>
      <c r="AB65" s="7">
        <v>7570.15</v>
      </c>
      <c r="AC65" s="8">
        <f t="shared" si="2"/>
        <v>0</v>
      </c>
    </row>
    <row r="66" ht="15.75" customHeight="1">
      <c r="A66" s="45" t="s">
        <v>217</v>
      </c>
      <c r="B66" s="47">
        <v>4233554.0</v>
      </c>
      <c r="C66" s="48">
        <v>45737.0</v>
      </c>
      <c r="D66" s="48">
        <v>45695.0</v>
      </c>
      <c r="E66" s="48">
        <v>45702.0</v>
      </c>
      <c r="F66" s="45" t="s">
        <v>218</v>
      </c>
      <c r="G66" s="47" t="s">
        <v>219</v>
      </c>
      <c r="H66" s="47"/>
      <c r="I66" s="45" t="s">
        <v>220</v>
      </c>
      <c r="J66" s="45" t="s">
        <v>76</v>
      </c>
      <c r="K66" s="45" t="s">
        <v>77</v>
      </c>
      <c r="L66" s="45">
        <v>5089.29</v>
      </c>
      <c r="M66" s="7">
        <v>42410.71</v>
      </c>
      <c r="N66" s="45"/>
      <c r="O66" s="45"/>
      <c r="P66" s="45"/>
      <c r="Q66" s="45"/>
      <c r="R66" s="45"/>
      <c r="S66" s="45"/>
      <c r="T66" s="7"/>
      <c r="X66" s="6"/>
      <c r="Z66" s="6"/>
      <c r="AA66" s="6"/>
      <c r="AB66" s="7">
        <v>47500.0</v>
      </c>
      <c r="AC66" s="8">
        <f t="shared" si="2"/>
        <v>0</v>
      </c>
      <c r="AE66" s="10">
        <v>424.11</v>
      </c>
    </row>
    <row r="67" ht="15.75" customHeight="1">
      <c r="A67" s="45" t="s">
        <v>221</v>
      </c>
      <c r="B67" s="47">
        <v>4233555.0</v>
      </c>
      <c r="C67" s="48">
        <v>45723.0</v>
      </c>
      <c r="D67" s="48">
        <v>45695.0</v>
      </c>
      <c r="E67" s="48">
        <v>45698.0</v>
      </c>
      <c r="F67" s="45" t="s">
        <v>222</v>
      </c>
      <c r="G67" s="47" t="s">
        <v>223</v>
      </c>
      <c r="H67" s="47"/>
      <c r="I67" s="45" t="s">
        <v>224</v>
      </c>
      <c r="J67" s="45" t="s">
        <v>70</v>
      </c>
      <c r="K67" s="45" t="s">
        <v>71</v>
      </c>
      <c r="L67" s="7">
        <v>3535.71</v>
      </c>
      <c r="M67" s="7">
        <v>29464.29</v>
      </c>
      <c r="N67" s="45"/>
      <c r="O67" s="45"/>
      <c r="P67" s="45"/>
      <c r="Q67" s="45"/>
      <c r="R67" s="45"/>
      <c r="S67" s="45"/>
      <c r="T67" s="7"/>
      <c r="X67" s="6"/>
      <c r="Z67" s="6"/>
      <c r="AA67" s="6"/>
      <c r="AB67" s="7">
        <v>33000.0</v>
      </c>
      <c r="AC67" s="8">
        <f t="shared" si="2"/>
        <v>0</v>
      </c>
      <c r="AE67" s="10">
        <v>294.64</v>
      </c>
    </row>
    <row r="68" ht="15.75" customHeight="1">
      <c r="A68" s="45" t="s">
        <v>225</v>
      </c>
      <c r="B68" s="47">
        <v>4233556.0</v>
      </c>
      <c r="C68" s="48">
        <v>45695.0</v>
      </c>
      <c r="D68" s="48">
        <v>45695.0</v>
      </c>
      <c r="E68" s="48">
        <v>45698.0</v>
      </c>
      <c r="F68" s="45" t="s">
        <v>226</v>
      </c>
      <c r="G68" s="47" t="s">
        <v>227</v>
      </c>
      <c r="H68" s="47"/>
      <c r="I68" s="45" t="s">
        <v>228</v>
      </c>
      <c r="J68" s="45" t="s">
        <v>91</v>
      </c>
      <c r="K68" s="45" t="s">
        <v>92</v>
      </c>
      <c r="L68" s="7">
        <v>1419.64</v>
      </c>
      <c r="M68" s="7">
        <v>11830.36</v>
      </c>
      <c r="N68" s="45"/>
      <c r="O68" s="45"/>
      <c r="P68" s="45"/>
      <c r="Q68" s="45"/>
      <c r="R68" s="45"/>
      <c r="S68" s="45"/>
      <c r="T68" s="7"/>
      <c r="X68" s="6"/>
      <c r="Z68" s="6"/>
      <c r="AA68" s="6"/>
      <c r="AB68" s="7">
        <v>13250.0</v>
      </c>
      <c r="AC68" s="8">
        <f t="shared" si="2"/>
        <v>0</v>
      </c>
      <c r="AE68" s="10">
        <v>118.3</v>
      </c>
    </row>
    <row r="69" ht="15.75" customHeight="1">
      <c r="A69" s="45" t="s">
        <v>229</v>
      </c>
      <c r="B69" s="47">
        <v>4233557.0</v>
      </c>
      <c r="C69" s="48">
        <v>45695.0</v>
      </c>
      <c r="D69" s="48">
        <v>45695.0</v>
      </c>
      <c r="E69" s="45"/>
      <c r="F69" s="45"/>
      <c r="G69" s="47"/>
      <c r="H69" s="47"/>
      <c r="I69" s="45" t="s">
        <v>94</v>
      </c>
      <c r="J69" s="45" t="s">
        <v>230</v>
      </c>
      <c r="K69" s="45"/>
      <c r="L69" s="45"/>
      <c r="M69" s="7"/>
      <c r="N69" s="45"/>
      <c r="O69" s="45"/>
      <c r="P69" s="45"/>
      <c r="Q69" s="45"/>
      <c r="R69" s="45"/>
      <c r="S69" s="45"/>
      <c r="T69" s="7"/>
      <c r="X69" s="6"/>
      <c r="Z69" s="6"/>
      <c r="AA69" s="7">
        <v>16000.0</v>
      </c>
      <c r="AB69" s="7">
        <v>16000.0</v>
      </c>
      <c r="AC69" s="8">
        <f t="shared" si="2"/>
        <v>0</v>
      </c>
    </row>
    <row r="70" ht="15.75" customHeight="1">
      <c r="A70" s="45" t="s">
        <v>231</v>
      </c>
      <c r="B70" s="47">
        <v>4233558.0</v>
      </c>
      <c r="C70" s="48">
        <v>45700.0</v>
      </c>
      <c r="D70" s="48">
        <v>45700.0</v>
      </c>
      <c r="E70" s="45"/>
      <c r="F70" s="45"/>
      <c r="G70" s="47"/>
      <c r="H70" s="47" t="s">
        <v>232</v>
      </c>
      <c r="I70" s="45" t="s">
        <v>213</v>
      </c>
      <c r="J70" s="45" t="s">
        <v>50</v>
      </c>
      <c r="K70" s="45"/>
      <c r="L70" s="45"/>
      <c r="M70" s="7"/>
      <c r="N70" s="45"/>
      <c r="O70" s="45"/>
      <c r="P70" s="45"/>
      <c r="Q70" s="45"/>
      <c r="R70" s="45"/>
      <c r="S70" s="45"/>
      <c r="T70" s="7">
        <v>6491.95</v>
      </c>
      <c r="X70" s="6"/>
      <c r="Z70" s="6"/>
      <c r="AA70" s="6"/>
      <c r="AB70" s="7">
        <v>6491.95</v>
      </c>
      <c r="AC70" s="8">
        <f t="shared" si="2"/>
        <v>0</v>
      </c>
    </row>
    <row r="71" ht="15.75" customHeight="1">
      <c r="A71" s="45" t="s">
        <v>233</v>
      </c>
      <c r="B71" s="47">
        <v>4233559.0</v>
      </c>
      <c r="C71" s="48">
        <v>45700.0</v>
      </c>
      <c r="D71" s="48">
        <v>45700.0</v>
      </c>
      <c r="G71" s="5"/>
      <c r="H71" s="5"/>
      <c r="I71" s="45" t="s">
        <v>234</v>
      </c>
      <c r="J71" s="45" t="s">
        <v>235</v>
      </c>
      <c r="L71" s="45"/>
      <c r="M71" s="7">
        <v>28000.0</v>
      </c>
      <c r="T71" s="7"/>
      <c r="X71" s="6"/>
      <c r="Z71" s="6"/>
      <c r="AA71" s="6"/>
      <c r="AB71" s="7">
        <v>28000.0</v>
      </c>
      <c r="AC71" s="8">
        <f t="shared" si="2"/>
        <v>0</v>
      </c>
    </row>
    <row r="72" ht="15.75" customHeight="1">
      <c r="A72" s="45" t="s">
        <v>236</v>
      </c>
      <c r="B72" s="47">
        <v>4233560.0</v>
      </c>
      <c r="C72" s="48">
        <v>45700.0</v>
      </c>
      <c r="D72" s="48">
        <v>45700.0</v>
      </c>
      <c r="G72" s="5"/>
      <c r="H72" s="5"/>
      <c r="I72" s="45" t="s">
        <v>237</v>
      </c>
      <c r="J72" s="45" t="s">
        <v>58</v>
      </c>
      <c r="L72" s="45">
        <v>64.18</v>
      </c>
      <c r="M72" s="7"/>
      <c r="S72" s="7">
        <v>534.82</v>
      </c>
      <c r="T72" s="7"/>
      <c r="X72" s="6"/>
      <c r="Z72" s="6"/>
      <c r="AA72" s="6"/>
      <c r="AB72" s="7">
        <v>599.0</v>
      </c>
      <c r="AC72" s="8">
        <f t="shared" si="2"/>
        <v>0</v>
      </c>
    </row>
    <row r="73" ht="15.75" customHeight="1">
      <c r="A73" s="45" t="s">
        <v>238</v>
      </c>
      <c r="B73" s="47">
        <v>4233561.0</v>
      </c>
      <c r="C73" s="48">
        <v>45700.0</v>
      </c>
      <c r="D73" s="48">
        <v>45700.0</v>
      </c>
      <c r="G73" s="5"/>
      <c r="H73" s="5"/>
      <c r="I73" s="45" t="s">
        <v>237</v>
      </c>
      <c r="J73" s="45" t="s">
        <v>58</v>
      </c>
      <c r="L73" s="45">
        <v>32.14</v>
      </c>
      <c r="M73" s="7"/>
      <c r="S73" s="7">
        <v>267.86</v>
      </c>
      <c r="T73" s="7"/>
      <c r="X73" s="6"/>
      <c r="Z73" s="6"/>
      <c r="AA73" s="6"/>
      <c r="AB73" s="7">
        <v>300.0</v>
      </c>
      <c r="AC73" s="8">
        <f t="shared" si="2"/>
        <v>0</v>
      </c>
    </row>
    <row r="74" ht="15.75" customHeight="1">
      <c r="A74" s="45" t="s">
        <v>239</v>
      </c>
      <c r="B74" s="47">
        <v>4233562.0</v>
      </c>
      <c r="C74" s="48">
        <v>45701.0</v>
      </c>
      <c r="D74" s="48">
        <v>45700.0</v>
      </c>
      <c r="G74" s="5"/>
      <c r="H74" s="5"/>
      <c r="I74" s="45" t="s">
        <v>94</v>
      </c>
      <c r="J74" s="45" t="s">
        <v>95</v>
      </c>
      <c r="M74" s="6"/>
      <c r="T74" s="7"/>
      <c r="X74" s="6"/>
      <c r="Z74" s="6"/>
      <c r="AA74" s="7">
        <v>25600.0</v>
      </c>
      <c r="AB74" s="7">
        <v>25600.0</v>
      </c>
      <c r="AC74" s="8">
        <f t="shared" si="2"/>
        <v>0</v>
      </c>
    </row>
    <row r="75" ht="15.75" customHeight="1">
      <c r="A75" s="45" t="s">
        <v>240</v>
      </c>
      <c r="B75" s="47">
        <v>4233563.0</v>
      </c>
      <c r="C75" s="48">
        <v>45701.0</v>
      </c>
      <c r="D75" s="48">
        <v>45700.0</v>
      </c>
      <c r="G75" s="5"/>
      <c r="H75" s="5"/>
      <c r="I75" s="45" t="s">
        <v>94</v>
      </c>
      <c r="J75" s="45" t="s">
        <v>97</v>
      </c>
      <c r="M75" s="6"/>
      <c r="T75" s="7"/>
      <c r="X75" s="6"/>
      <c r="Z75" s="6"/>
      <c r="AA75" s="7">
        <v>15000.0</v>
      </c>
      <c r="AB75" s="7">
        <v>15000.0</v>
      </c>
      <c r="AC75" s="8">
        <f t="shared" si="2"/>
        <v>0</v>
      </c>
    </row>
    <row r="76" ht="15.75" customHeight="1">
      <c r="A76" s="45" t="s">
        <v>241</v>
      </c>
      <c r="B76" s="45" t="s">
        <v>242</v>
      </c>
      <c r="C76" s="48">
        <v>45700.0</v>
      </c>
      <c r="D76" s="48">
        <v>45700.0</v>
      </c>
      <c r="G76" s="5"/>
      <c r="H76" s="5"/>
      <c r="I76" s="9" t="s">
        <v>243</v>
      </c>
      <c r="J76" s="9" t="s">
        <v>244</v>
      </c>
      <c r="M76" s="6"/>
      <c r="T76" s="7"/>
      <c r="X76" s="6"/>
      <c r="Z76" s="6"/>
      <c r="AA76" s="7">
        <v>30000.01</v>
      </c>
      <c r="AB76" s="7">
        <v>30000.01</v>
      </c>
      <c r="AC76" s="8">
        <f t="shared" si="2"/>
        <v>0</v>
      </c>
    </row>
    <row r="77" ht="15.75" customHeight="1">
      <c r="A77" s="45" t="s">
        <v>245</v>
      </c>
      <c r="B77" s="45" t="s">
        <v>246</v>
      </c>
      <c r="C77" s="48">
        <v>45700.0</v>
      </c>
      <c r="D77" s="48">
        <v>45700.0</v>
      </c>
      <c r="G77" s="5"/>
      <c r="H77" s="5"/>
      <c r="I77" s="9" t="s">
        <v>247</v>
      </c>
      <c r="J77" s="9" t="s">
        <v>248</v>
      </c>
      <c r="M77" s="6"/>
      <c r="T77" s="7"/>
      <c r="X77" s="6"/>
      <c r="Z77" s="6"/>
      <c r="AA77" s="7">
        <v>31471.89</v>
      </c>
      <c r="AB77" s="7">
        <v>31471.89</v>
      </c>
      <c r="AC77" s="8">
        <f t="shared" si="2"/>
        <v>0</v>
      </c>
    </row>
    <row r="78" ht="15.75" customHeight="1">
      <c r="A78" s="45" t="s">
        <v>249</v>
      </c>
      <c r="B78" s="45" t="s">
        <v>250</v>
      </c>
      <c r="C78" s="48">
        <v>45705.0</v>
      </c>
      <c r="D78" s="48">
        <v>45700.0</v>
      </c>
      <c r="G78" s="5"/>
      <c r="H78" s="5"/>
      <c r="I78" s="9" t="s">
        <v>251</v>
      </c>
      <c r="J78" s="9" t="s">
        <v>119</v>
      </c>
      <c r="M78" s="6"/>
      <c r="T78" s="7"/>
      <c r="X78" s="6"/>
      <c r="Z78" s="6"/>
      <c r="AA78" s="7">
        <v>67750.65</v>
      </c>
      <c r="AB78" s="7">
        <v>67750.65</v>
      </c>
      <c r="AC78" s="8">
        <f t="shared" si="2"/>
        <v>0</v>
      </c>
    </row>
    <row r="79" ht="15.75" customHeight="1">
      <c r="A79" s="45" t="s">
        <v>252</v>
      </c>
      <c r="B79" s="47">
        <v>4233564.0</v>
      </c>
      <c r="C79" s="48">
        <v>45702.0</v>
      </c>
      <c r="D79" s="48">
        <v>45702.0</v>
      </c>
      <c r="G79" s="5"/>
      <c r="H79" s="5"/>
      <c r="I79" s="45" t="s">
        <v>253</v>
      </c>
      <c r="J79" s="45" t="s">
        <v>100</v>
      </c>
      <c r="M79" s="6"/>
      <c r="T79" s="7"/>
      <c r="X79" s="6">
        <v>7198.81</v>
      </c>
      <c r="Z79" s="6"/>
      <c r="AA79" s="6"/>
      <c r="AB79" s="7">
        <v>7198.81</v>
      </c>
      <c r="AC79" s="8">
        <f t="shared" si="2"/>
        <v>0</v>
      </c>
    </row>
    <row r="80" ht="15.75" customHeight="1">
      <c r="A80" s="45" t="s">
        <v>254</v>
      </c>
      <c r="B80" s="47">
        <v>4233565.0</v>
      </c>
      <c r="C80" s="48">
        <v>45729.0</v>
      </c>
      <c r="D80" s="48">
        <v>45702.0</v>
      </c>
      <c r="E80" s="48">
        <v>45713.0</v>
      </c>
      <c r="F80" s="45" t="s">
        <v>255</v>
      </c>
      <c r="G80" s="47" t="s">
        <v>223</v>
      </c>
      <c r="H80" s="47"/>
      <c r="I80" s="45" t="s">
        <v>256</v>
      </c>
      <c r="J80" s="45" t="s">
        <v>70</v>
      </c>
      <c r="K80" s="45" t="s">
        <v>71</v>
      </c>
      <c r="L80" s="45">
        <v>8250.0</v>
      </c>
      <c r="M80" s="7">
        <v>68750.0</v>
      </c>
      <c r="N80" s="45"/>
      <c r="O80" s="45"/>
      <c r="P80" s="45"/>
      <c r="Q80" s="45"/>
      <c r="R80" s="45"/>
      <c r="S80" s="45"/>
      <c r="T80" s="7"/>
      <c r="U80" s="45"/>
      <c r="V80" s="45"/>
      <c r="W80" s="45"/>
      <c r="X80" s="7"/>
      <c r="Y80" s="45"/>
      <c r="Z80" s="7"/>
      <c r="AA80" s="7"/>
      <c r="AB80" s="7">
        <v>77000.0</v>
      </c>
      <c r="AC80" s="7">
        <f t="shared" si="2"/>
        <v>0</v>
      </c>
      <c r="AD80" s="45"/>
      <c r="AE80" s="45">
        <v>687.5</v>
      </c>
      <c r="AF80" s="45"/>
      <c r="AG80" s="45"/>
      <c r="AH80" s="45"/>
      <c r="AI80" s="45"/>
    </row>
    <row r="81" ht="15.75" customHeight="1">
      <c r="A81" s="45" t="s">
        <v>257</v>
      </c>
      <c r="B81" s="50" t="s">
        <v>56</v>
      </c>
      <c r="C81" s="48">
        <v>45747.0</v>
      </c>
      <c r="D81" s="48">
        <v>45702.0</v>
      </c>
      <c r="E81" s="48">
        <v>45716.0</v>
      </c>
      <c r="F81" s="45" t="s">
        <v>258</v>
      </c>
      <c r="G81" s="47" t="s">
        <v>259</v>
      </c>
      <c r="H81" s="50" t="s">
        <v>56</v>
      </c>
      <c r="I81" s="45" t="s">
        <v>260</v>
      </c>
      <c r="J81" s="45" t="s">
        <v>76</v>
      </c>
      <c r="K81" s="45" t="s">
        <v>77</v>
      </c>
      <c r="L81" s="45">
        <v>4553.57</v>
      </c>
      <c r="M81" s="7">
        <v>37946.43</v>
      </c>
      <c r="N81" s="45"/>
      <c r="O81" s="45"/>
      <c r="P81" s="45"/>
      <c r="Q81" s="45"/>
      <c r="R81" s="45"/>
      <c r="S81" s="45"/>
      <c r="T81" s="7"/>
      <c r="U81" s="45"/>
      <c r="V81" s="45"/>
      <c r="W81" s="45"/>
      <c r="X81" s="7"/>
      <c r="Y81" s="45"/>
      <c r="Z81" s="7"/>
      <c r="AA81" s="7"/>
      <c r="AB81" s="7">
        <v>42500.0</v>
      </c>
      <c r="AC81" s="7">
        <f t="shared" si="2"/>
        <v>0</v>
      </c>
      <c r="AD81" s="45"/>
      <c r="AE81" s="45">
        <v>379.46</v>
      </c>
      <c r="AF81" s="45"/>
      <c r="AG81" s="45"/>
      <c r="AH81" s="45"/>
      <c r="AI81" s="45"/>
    </row>
    <row r="82" ht="15.75" customHeight="1">
      <c r="A82" s="45" t="s">
        <v>261</v>
      </c>
      <c r="B82" s="47">
        <v>4233567.0</v>
      </c>
      <c r="C82" s="48">
        <v>45705.0</v>
      </c>
      <c r="D82" s="48">
        <v>45702.0</v>
      </c>
      <c r="E82" s="48">
        <v>45709.0</v>
      </c>
      <c r="F82" s="45" t="s">
        <v>262</v>
      </c>
      <c r="G82" s="47" t="s">
        <v>263</v>
      </c>
      <c r="H82" s="47"/>
      <c r="I82" s="45" t="s">
        <v>264</v>
      </c>
      <c r="J82" s="45" t="s">
        <v>91</v>
      </c>
      <c r="K82" s="45" t="s">
        <v>92</v>
      </c>
      <c r="L82" s="45">
        <v>787.5</v>
      </c>
      <c r="M82" s="7">
        <v>6562.5</v>
      </c>
      <c r="N82" s="45"/>
      <c r="O82" s="45"/>
      <c r="P82" s="45"/>
      <c r="Q82" s="45"/>
      <c r="R82" s="45"/>
      <c r="S82" s="45"/>
      <c r="T82" s="7"/>
      <c r="U82" s="45"/>
      <c r="V82" s="45"/>
      <c r="W82" s="45"/>
      <c r="X82" s="7"/>
      <c r="Y82" s="45"/>
      <c r="Z82" s="7"/>
      <c r="AA82" s="7"/>
      <c r="AB82" s="7">
        <v>7350.0</v>
      </c>
      <c r="AC82" s="7">
        <f t="shared" si="2"/>
        <v>0</v>
      </c>
      <c r="AD82" s="45"/>
      <c r="AE82" s="45">
        <v>65.63</v>
      </c>
      <c r="AF82" s="45"/>
      <c r="AG82" s="45"/>
      <c r="AH82" s="45"/>
      <c r="AI82" s="45"/>
    </row>
    <row r="83" ht="15.75" customHeight="1">
      <c r="A83" s="45" t="s">
        <v>265</v>
      </c>
      <c r="B83" s="45" t="s">
        <v>266</v>
      </c>
      <c r="C83" s="48">
        <v>45705.0</v>
      </c>
      <c r="D83" s="48">
        <v>45702.0</v>
      </c>
      <c r="E83" s="48">
        <v>45705.0</v>
      </c>
      <c r="F83" s="45" t="s">
        <v>267</v>
      </c>
      <c r="G83" s="47" t="s">
        <v>207</v>
      </c>
      <c r="H83" s="47"/>
      <c r="I83" s="45" t="s">
        <v>208</v>
      </c>
      <c r="J83" s="45" t="s">
        <v>209</v>
      </c>
      <c r="K83" s="45" t="s">
        <v>210</v>
      </c>
      <c r="L83" s="7">
        <v>15428.57</v>
      </c>
      <c r="M83" s="7">
        <v>128571.43</v>
      </c>
      <c r="N83" s="45"/>
      <c r="O83" s="45"/>
      <c r="P83" s="45"/>
      <c r="Q83" s="45"/>
      <c r="R83" s="45"/>
      <c r="S83" s="45"/>
      <c r="T83" s="7"/>
      <c r="U83" s="45"/>
      <c r="V83" s="45"/>
      <c r="W83" s="45"/>
      <c r="X83" s="7"/>
      <c r="Y83" s="45"/>
      <c r="Z83" s="7"/>
      <c r="AA83" s="7"/>
      <c r="AB83" s="7">
        <v>144000.0</v>
      </c>
      <c r="AC83" s="7">
        <f t="shared" si="2"/>
        <v>0</v>
      </c>
      <c r="AD83" s="45"/>
      <c r="AE83" s="45">
        <v>1285.71</v>
      </c>
      <c r="AF83" s="45"/>
      <c r="AG83" s="45"/>
      <c r="AH83" s="45"/>
      <c r="AI83" s="45"/>
    </row>
    <row r="84" ht="15.75" customHeight="1">
      <c r="A84" s="45" t="s">
        <v>268</v>
      </c>
      <c r="B84" s="47">
        <v>4233568.0</v>
      </c>
      <c r="C84" s="48">
        <v>45705.0</v>
      </c>
      <c r="D84" s="48">
        <v>45705.0</v>
      </c>
      <c r="E84" s="45"/>
      <c r="F84" s="45"/>
      <c r="G84" s="47"/>
      <c r="H84" s="47"/>
      <c r="I84" s="45" t="s">
        <v>269</v>
      </c>
      <c r="J84" s="45" t="s">
        <v>103</v>
      </c>
      <c r="K84" s="45"/>
      <c r="L84" s="45">
        <v>107.04</v>
      </c>
      <c r="M84" s="7"/>
      <c r="N84" s="45"/>
      <c r="O84" s="45"/>
      <c r="P84" s="45"/>
      <c r="Q84" s="45"/>
      <c r="R84" s="45"/>
      <c r="S84" s="45">
        <v>891.96</v>
      </c>
      <c r="T84" s="7"/>
      <c r="U84" s="45"/>
      <c r="V84" s="45"/>
      <c r="W84" s="45"/>
      <c r="X84" s="7"/>
      <c r="Y84" s="45"/>
      <c r="Z84" s="7"/>
      <c r="AA84" s="7"/>
      <c r="AB84" s="7">
        <v>999.0</v>
      </c>
      <c r="AC84" s="7">
        <f t="shared" si="2"/>
        <v>0</v>
      </c>
      <c r="AD84" s="45"/>
      <c r="AE84" s="45"/>
      <c r="AF84" s="45"/>
      <c r="AG84" s="45"/>
      <c r="AH84" s="45"/>
      <c r="AI84" s="45"/>
    </row>
    <row r="85" ht="15.75" customHeight="1">
      <c r="A85" s="45" t="s">
        <v>270</v>
      </c>
      <c r="B85" s="47">
        <v>4233569.0</v>
      </c>
      <c r="C85" s="48">
        <v>45705.0</v>
      </c>
      <c r="D85" s="48">
        <v>45705.0</v>
      </c>
      <c r="E85" s="45"/>
      <c r="F85" s="45"/>
      <c r="G85" s="47"/>
      <c r="H85" s="47"/>
      <c r="I85" s="45" t="s">
        <v>271</v>
      </c>
      <c r="J85" s="45" t="s">
        <v>103</v>
      </c>
      <c r="K85" s="45"/>
      <c r="L85" s="45">
        <v>160.61</v>
      </c>
      <c r="M85" s="7"/>
      <c r="N85" s="45"/>
      <c r="O85" s="45"/>
      <c r="P85" s="45"/>
      <c r="Q85" s="45"/>
      <c r="R85" s="45"/>
      <c r="S85" s="45">
        <v>1338.39</v>
      </c>
      <c r="T85" s="7"/>
      <c r="U85" s="45"/>
      <c r="V85" s="45"/>
      <c r="W85" s="45"/>
      <c r="X85" s="7"/>
      <c r="Y85" s="45"/>
      <c r="Z85" s="7"/>
      <c r="AA85" s="7"/>
      <c r="AB85" s="7">
        <v>1499.0</v>
      </c>
      <c r="AC85" s="7">
        <f t="shared" si="2"/>
        <v>0</v>
      </c>
      <c r="AD85" s="45"/>
      <c r="AE85" s="45"/>
      <c r="AF85" s="45"/>
      <c r="AG85" s="45"/>
      <c r="AH85" s="45"/>
      <c r="AI85" s="45"/>
    </row>
    <row r="86" ht="15.75" customHeight="1">
      <c r="A86" s="45" t="s">
        <v>272</v>
      </c>
      <c r="B86" s="47">
        <v>4233570.0</v>
      </c>
      <c r="C86" s="48">
        <v>45705.0</v>
      </c>
      <c r="D86" s="48">
        <v>45705.0</v>
      </c>
      <c r="E86" s="48">
        <v>45706.0</v>
      </c>
      <c r="F86" s="45" t="s">
        <v>273</v>
      </c>
      <c r="G86" s="47"/>
      <c r="H86" s="47"/>
      <c r="I86" s="45" t="s">
        <v>274</v>
      </c>
      <c r="J86" s="45" t="s">
        <v>142</v>
      </c>
      <c r="K86" s="45"/>
      <c r="L86" s="45"/>
      <c r="M86" s="7"/>
      <c r="N86" s="45"/>
      <c r="O86" s="45"/>
      <c r="P86" s="45"/>
      <c r="Q86" s="45"/>
      <c r="R86" s="45"/>
      <c r="S86" s="45"/>
      <c r="T86" s="7"/>
      <c r="U86" s="45"/>
      <c r="V86" s="45"/>
      <c r="W86" s="45"/>
      <c r="X86" s="7"/>
      <c r="Y86" s="45"/>
      <c r="Z86" s="7"/>
      <c r="AA86" s="7">
        <v>6732.0</v>
      </c>
      <c r="AB86" s="7">
        <v>6732.0</v>
      </c>
      <c r="AC86" s="7">
        <f t="shared" si="2"/>
        <v>0</v>
      </c>
      <c r="AD86" s="45"/>
      <c r="AE86" s="45"/>
      <c r="AF86" s="45"/>
      <c r="AG86" s="45"/>
      <c r="AH86" s="45"/>
      <c r="AI86" s="45"/>
    </row>
    <row r="87" ht="15.75" customHeight="1">
      <c r="A87" s="45" t="s">
        <v>275</v>
      </c>
      <c r="B87" s="45" t="s">
        <v>276</v>
      </c>
      <c r="C87" s="48">
        <v>45705.0</v>
      </c>
      <c r="D87" s="48">
        <v>45705.0</v>
      </c>
      <c r="E87" s="45"/>
      <c r="F87" s="45"/>
      <c r="G87" s="47"/>
      <c r="H87" s="47"/>
      <c r="I87" s="45" t="s">
        <v>30</v>
      </c>
      <c r="J87" s="45" t="s">
        <v>41</v>
      </c>
      <c r="K87" s="45"/>
      <c r="L87" s="45"/>
      <c r="M87" s="7"/>
      <c r="N87" s="45"/>
      <c r="O87" s="45"/>
      <c r="P87" s="45"/>
      <c r="Q87" s="45"/>
      <c r="R87" s="45"/>
      <c r="S87" s="45"/>
      <c r="T87" s="7"/>
      <c r="U87" s="45"/>
      <c r="V87" s="45"/>
      <c r="W87" s="45"/>
      <c r="X87" s="7"/>
      <c r="Y87" s="45"/>
      <c r="Z87" s="7">
        <v>300000.0</v>
      </c>
      <c r="AA87" s="7"/>
      <c r="AB87" s="7">
        <v>300000.0</v>
      </c>
      <c r="AC87" s="7">
        <f t="shared" si="2"/>
        <v>0</v>
      </c>
      <c r="AD87" s="45"/>
      <c r="AE87" s="45"/>
      <c r="AF87" s="45"/>
      <c r="AG87" s="45"/>
      <c r="AH87" s="45"/>
      <c r="AI87" s="45"/>
    </row>
    <row r="88" ht="15.75" customHeight="1">
      <c r="A88" s="45" t="s">
        <v>277</v>
      </c>
      <c r="B88" s="47">
        <v>4233571.0</v>
      </c>
      <c r="C88" s="48">
        <v>45706.0</v>
      </c>
      <c r="D88" s="48">
        <v>45706.0</v>
      </c>
      <c r="E88" s="45"/>
      <c r="F88" s="45"/>
      <c r="G88" s="47"/>
      <c r="H88" s="47" t="s">
        <v>278</v>
      </c>
      <c r="I88" s="45" t="s">
        <v>213</v>
      </c>
      <c r="J88" s="45" t="s">
        <v>50</v>
      </c>
      <c r="K88" s="45"/>
      <c r="L88" s="45"/>
      <c r="M88" s="7"/>
      <c r="N88" s="45"/>
      <c r="O88" s="45"/>
      <c r="P88" s="45"/>
      <c r="Q88" s="45"/>
      <c r="R88" s="45"/>
      <c r="S88" s="45"/>
      <c r="T88" s="7">
        <v>9358.37</v>
      </c>
      <c r="U88" s="45"/>
      <c r="V88" s="45"/>
      <c r="W88" s="45"/>
      <c r="X88" s="7"/>
      <c r="Y88" s="45"/>
      <c r="Z88" s="7"/>
      <c r="AA88" s="7"/>
      <c r="AB88" s="7">
        <v>9358.37</v>
      </c>
      <c r="AC88" s="7">
        <f t="shared" si="2"/>
        <v>0</v>
      </c>
      <c r="AD88" s="45"/>
      <c r="AE88" s="45"/>
      <c r="AF88" s="45"/>
      <c r="AG88" s="45"/>
      <c r="AH88" s="45"/>
      <c r="AI88" s="45"/>
    </row>
    <row r="89" ht="15.75" customHeight="1">
      <c r="A89" s="45" t="s">
        <v>279</v>
      </c>
      <c r="B89" s="47">
        <v>4233572.0</v>
      </c>
      <c r="C89" s="48">
        <v>45706.0</v>
      </c>
      <c r="D89" s="48">
        <v>45706.0</v>
      </c>
      <c r="E89" s="45"/>
      <c r="F89" s="45"/>
      <c r="G89" s="47"/>
      <c r="H89" s="47" t="s">
        <v>280</v>
      </c>
      <c r="I89" s="45" t="s">
        <v>281</v>
      </c>
      <c r="J89" s="45" t="s">
        <v>50</v>
      </c>
      <c r="K89" s="45"/>
      <c r="L89" s="45"/>
      <c r="M89" s="7"/>
      <c r="N89" s="45"/>
      <c r="O89" s="45"/>
      <c r="P89" s="45"/>
      <c r="Q89" s="45"/>
      <c r="R89" s="45"/>
      <c r="S89" s="45"/>
      <c r="T89" s="7">
        <v>11953.0</v>
      </c>
      <c r="U89" s="45"/>
      <c r="V89" s="45"/>
      <c r="W89" s="45"/>
      <c r="X89" s="7"/>
      <c r="Y89" s="45"/>
      <c r="Z89" s="7"/>
      <c r="AA89" s="7"/>
      <c r="AB89" s="7">
        <v>11953.0</v>
      </c>
      <c r="AC89" s="7">
        <f t="shared" si="2"/>
        <v>0</v>
      </c>
      <c r="AD89" s="45"/>
      <c r="AE89" s="45"/>
      <c r="AF89" s="45"/>
      <c r="AG89" s="45"/>
      <c r="AH89" s="45"/>
      <c r="AI89" s="45"/>
    </row>
    <row r="90" ht="15.75" customHeight="1">
      <c r="A90" s="45" t="s">
        <v>282</v>
      </c>
      <c r="B90" s="47">
        <v>4233573.0</v>
      </c>
      <c r="C90" s="48">
        <v>45733.0</v>
      </c>
      <c r="D90" s="48">
        <v>45706.0</v>
      </c>
      <c r="E90" s="48">
        <v>45720.0</v>
      </c>
      <c r="F90" s="45" t="s">
        <v>283</v>
      </c>
      <c r="G90" s="47" t="s">
        <v>284</v>
      </c>
      <c r="H90" s="47"/>
      <c r="I90" s="45" t="s">
        <v>285</v>
      </c>
      <c r="J90" s="45" t="s">
        <v>46</v>
      </c>
      <c r="K90" s="45" t="s">
        <v>47</v>
      </c>
      <c r="L90" s="45">
        <v>2705.36</v>
      </c>
      <c r="M90" s="7">
        <v>22544.64</v>
      </c>
      <c r="N90" s="45"/>
      <c r="O90" s="45"/>
      <c r="P90" s="45"/>
      <c r="Q90" s="45"/>
      <c r="R90" s="45"/>
      <c r="S90" s="45"/>
      <c r="T90" s="7"/>
      <c r="U90" s="45"/>
      <c r="V90" s="45"/>
      <c r="W90" s="45"/>
      <c r="X90" s="7"/>
      <c r="Y90" s="45"/>
      <c r="Z90" s="7"/>
      <c r="AA90" s="7"/>
      <c r="AB90" s="7">
        <v>25250.0</v>
      </c>
      <c r="AC90" s="7">
        <f t="shared" si="2"/>
        <v>0</v>
      </c>
      <c r="AD90" s="45"/>
      <c r="AE90" s="45">
        <v>225.45</v>
      </c>
      <c r="AF90" s="45"/>
      <c r="AG90" s="45"/>
      <c r="AH90" s="45"/>
      <c r="AI90" s="45"/>
    </row>
    <row r="91" ht="15.75" customHeight="1">
      <c r="A91" s="45" t="s">
        <v>286</v>
      </c>
      <c r="B91" s="47">
        <v>4233574.0</v>
      </c>
      <c r="C91" s="48">
        <v>45733.0</v>
      </c>
      <c r="D91" s="48">
        <v>45706.0</v>
      </c>
      <c r="E91" s="48">
        <v>45716.0</v>
      </c>
      <c r="F91" s="45" t="s">
        <v>287</v>
      </c>
      <c r="G91" s="47" t="s">
        <v>288</v>
      </c>
      <c r="H91" s="47"/>
      <c r="I91" s="45" t="s">
        <v>289</v>
      </c>
      <c r="J91" s="45" t="s">
        <v>82</v>
      </c>
      <c r="K91" s="45" t="s">
        <v>83</v>
      </c>
      <c r="L91" s="45">
        <v>4607.14</v>
      </c>
      <c r="M91" s="7">
        <v>38392.86</v>
      </c>
      <c r="N91" s="45"/>
      <c r="O91" s="45"/>
      <c r="P91" s="45"/>
      <c r="Q91" s="45"/>
      <c r="R91" s="45"/>
      <c r="S91" s="45"/>
      <c r="T91" s="7"/>
      <c r="U91" s="45"/>
      <c r="V91" s="45"/>
      <c r="W91" s="45"/>
      <c r="X91" s="7"/>
      <c r="Y91" s="45"/>
      <c r="Z91" s="7"/>
      <c r="AA91" s="7"/>
      <c r="AB91" s="7">
        <v>43000.0</v>
      </c>
      <c r="AC91" s="7">
        <f t="shared" si="2"/>
        <v>0</v>
      </c>
      <c r="AD91" s="45"/>
      <c r="AE91" s="45">
        <v>383.93</v>
      </c>
      <c r="AF91" s="45"/>
      <c r="AG91" s="45"/>
      <c r="AH91" s="45"/>
      <c r="AI91" s="45"/>
    </row>
    <row r="92" ht="15.75" customHeight="1">
      <c r="A92" s="45" t="s">
        <v>290</v>
      </c>
      <c r="B92" s="47">
        <v>4233575.0</v>
      </c>
      <c r="C92" s="48">
        <v>45707.0</v>
      </c>
      <c r="D92" s="48">
        <v>45707.0</v>
      </c>
      <c r="E92" s="45"/>
      <c r="F92" s="45"/>
      <c r="G92" s="47"/>
      <c r="H92" s="47"/>
      <c r="I92" s="9" t="s">
        <v>144</v>
      </c>
      <c r="J92" s="9" t="s">
        <v>103</v>
      </c>
      <c r="K92" s="45"/>
      <c r="L92" s="7">
        <v>1387.24</v>
      </c>
      <c r="M92" s="7"/>
      <c r="N92" s="45"/>
      <c r="O92" s="45"/>
      <c r="P92" s="45"/>
      <c r="Q92" s="45"/>
      <c r="R92" s="45"/>
      <c r="S92" s="7">
        <v>11560.31</v>
      </c>
      <c r="T92" s="7"/>
      <c r="U92" s="45"/>
      <c r="V92" s="45"/>
      <c r="W92" s="45"/>
      <c r="X92" s="7"/>
      <c r="Y92" s="45"/>
      <c r="Z92" s="7"/>
      <c r="AA92" s="7"/>
      <c r="AB92" s="7">
        <v>12947.55</v>
      </c>
      <c r="AC92" s="7">
        <f t="shared" si="2"/>
        <v>0</v>
      </c>
      <c r="AD92" s="45"/>
      <c r="AE92" s="45">
        <v>235.45</v>
      </c>
      <c r="AF92" s="45"/>
      <c r="AG92" s="45"/>
      <c r="AH92" s="45"/>
      <c r="AI92" s="45"/>
    </row>
    <row r="93" ht="15.75" customHeight="1">
      <c r="A93" s="45" t="s">
        <v>291</v>
      </c>
      <c r="B93" s="47">
        <v>4233576.0</v>
      </c>
      <c r="C93" s="48">
        <v>45712.0</v>
      </c>
      <c r="D93" s="48">
        <v>45712.0</v>
      </c>
      <c r="G93" s="5"/>
      <c r="H93" s="47" t="s">
        <v>292</v>
      </c>
      <c r="I93" s="45" t="s">
        <v>213</v>
      </c>
      <c r="J93" s="45" t="s">
        <v>50</v>
      </c>
      <c r="M93" s="6"/>
      <c r="T93" s="7">
        <v>8421.36</v>
      </c>
      <c r="X93" s="6"/>
      <c r="Z93" s="6"/>
      <c r="AA93" s="6"/>
      <c r="AB93" s="7">
        <v>8421.36</v>
      </c>
      <c r="AC93" s="8">
        <f t="shared" si="2"/>
        <v>0</v>
      </c>
    </row>
    <row r="94" ht="15.75" customHeight="1">
      <c r="A94" s="45" t="s">
        <v>293</v>
      </c>
      <c r="B94" s="47">
        <v>4233577.0</v>
      </c>
      <c r="C94" s="48">
        <v>45715.0</v>
      </c>
      <c r="D94" s="48">
        <v>45712.0</v>
      </c>
      <c r="G94" s="5"/>
      <c r="H94" s="5"/>
      <c r="I94" s="45" t="s">
        <v>147</v>
      </c>
      <c r="J94" s="45" t="s">
        <v>148</v>
      </c>
      <c r="M94" s="6"/>
      <c r="N94" s="7">
        <v>45675.0</v>
      </c>
      <c r="T94" s="7"/>
      <c r="X94" s="6"/>
      <c r="Z94" s="6"/>
      <c r="AA94" s="6"/>
      <c r="AB94" s="7">
        <v>45675.0</v>
      </c>
      <c r="AC94" s="8">
        <f t="shared" si="2"/>
        <v>0</v>
      </c>
    </row>
    <row r="95" ht="15.75" customHeight="1">
      <c r="A95" s="45" t="s">
        <v>294</v>
      </c>
      <c r="B95" s="47">
        <v>4233578.0</v>
      </c>
      <c r="C95" s="48">
        <v>45712.0</v>
      </c>
      <c r="D95" s="48">
        <v>45712.0</v>
      </c>
      <c r="G95" s="5"/>
      <c r="H95" s="5"/>
      <c r="I95" s="45" t="s">
        <v>295</v>
      </c>
      <c r="J95" s="45" t="s">
        <v>296</v>
      </c>
      <c r="M95" s="6"/>
      <c r="T95" s="7"/>
      <c r="X95" s="6"/>
      <c r="Z95" s="6"/>
      <c r="AA95" s="7">
        <v>14000.0</v>
      </c>
      <c r="AB95" s="7">
        <v>14000.0</v>
      </c>
      <c r="AC95" s="8">
        <f t="shared" si="2"/>
        <v>0</v>
      </c>
    </row>
    <row r="96" ht="15.75" customHeight="1">
      <c r="A96" s="45" t="s">
        <v>297</v>
      </c>
      <c r="B96" s="47">
        <v>4233579.0</v>
      </c>
      <c r="C96" s="48">
        <v>45712.0</v>
      </c>
      <c r="D96" s="48">
        <v>45712.0</v>
      </c>
      <c r="G96" s="5"/>
      <c r="H96" s="5"/>
      <c r="I96" s="45" t="s">
        <v>298</v>
      </c>
      <c r="J96" s="9" t="s">
        <v>296</v>
      </c>
      <c r="L96" s="7">
        <v>3375.0</v>
      </c>
      <c r="M96" s="6"/>
      <c r="T96" s="7"/>
      <c r="X96" s="6"/>
      <c r="Z96" s="6"/>
      <c r="AA96" s="7">
        <v>28125.0</v>
      </c>
      <c r="AB96" s="7">
        <v>31500.0</v>
      </c>
      <c r="AC96" s="8">
        <f t="shared" si="2"/>
        <v>0</v>
      </c>
    </row>
    <row r="97" ht="15.75" customHeight="1">
      <c r="A97" s="45" t="s">
        <v>299</v>
      </c>
      <c r="B97" s="47">
        <v>4233580.0</v>
      </c>
      <c r="C97" s="48">
        <v>45715.0</v>
      </c>
      <c r="D97" s="48">
        <v>45712.0</v>
      </c>
      <c r="E97" s="48">
        <v>45709.0</v>
      </c>
      <c r="F97" s="45" t="s">
        <v>300</v>
      </c>
      <c r="G97" s="47" t="s">
        <v>301</v>
      </c>
      <c r="H97" s="5"/>
      <c r="I97" s="45" t="s">
        <v>302</v>
      </c>
      <c r="J97" s="45" t="s">
        <v>91</v>
      </c>
      <c r="K97" s="45" t="s">
        <v>92</v>
      </c>
      <c r="L97" s="7">
        <v>3455.36</v>
      </c>
      <c r="M97" s="7">
        <v>28794.64</v>
      </c>
      <c r="T97" s="7"/>
      <c r="X97" s="6"/>
      <c r="Z97" s="6"/>
      <c r="AA97" s="6"/>
      <c r="AB97" s="7">
        <v>32250.0</v>
      </c>
      <c r="AC97" s="8">
        <f t="shared" si="2"/>
        <v>0</v>
      </c>
      <c r="AE97" s="10">
        <v>287.95</v>
      </c>
    </row>
    <row r="98" ht="15.75" customHeight="1">
      <c r="A98" s="45" t="s">
        <v>303</v>
      </c>
      <c r="B98" s="45" t="s">
        <v>304</v>
      </c>
      <c r="C98" s="48">
        <v>45712.0</v>
      </c>
      <c r="D98" s="48">
        <v>45712.0</v>
      </c>
      <c r="G98" s="5"/>
      <c r="H98" s="5"/>
      <c r="I98" s="45" t="s">
        <v>30</v>
      </c>
      <c r="J98" s="45" t="s">
        <v>41</v>
      </c>
      <c r="M98" s="6"/>
      <c r="T98" s="7"/>
      <c r="X98" s="6"/>
      <c r="Z98" s="7">
        <v>300000.0</v>
      </c>
      <c r="AA98" s="6"/>
      <c r="AB98" s="7">
        <v>300000.0</v>
      </c>
      <c r="AC98" s="8">
        <f t="shared" si="2"/>
        <v>0</v>
      </c>
    </row>
    <row r="99" ht="15.75" customHeight="1">
      <c r="A99" s="45" t="s">
        <v>305</v>
      </c>
      <c r="B99" s="47">
        <v>4233581.0</v>
      </c>
      <c r="C99" s="48">
        <v>45741.0</v>
      </c>
      <c r="D99" s="48">
        <v>45713.0</v>
      </c>
      <c r="E99" s="48">
        <v>45741.0</v>
      </c>
      <c r="F99" s="45" t="s">
        <v>306</v>
      </c>
      <c r="G99" s="47" t="s">
        <v>307</v>
      </c>
      <c r="H99" s="5"/>
      <c r="I99" s="45" t="s">
        <v>308</v>
      </c>
      <c r="J99" s="45" t="s">
        <v>82</v>
      </c>
      <c r="K99" s="45" t="s">
        <v>83</v>
      </c>
      <c r="L99" s="7">
        <v>13769.57</v>
      </c>
      <c r="M99" s="7">
        <v>114746.43</v>
      </c>
      <c r="T99" s="7"/>
      <c r="X99" s="6"/>
      <c r="Z99" s="6"/>
      <c r="AA99" s="6"/>
      <c r="AB99" s="7">
        <v>128516.0</v>
      </c>
      <c r="AC99" s="8">
        <f t="shared" si="2"/>
        <v>0</v>
      </c>
      <c r="AE99" s="45">
        <v>1147.46</v>
      </c>
    </row>
    <row r="100" ht="15.75" customHeight="1">
      <c r="A100" s="45" t="s">
        <v>309</v>
      </c>
      <c r="B100" s="47">
        <v>4233582.0</v>
      </c>
      <c r="C100" s="48">
        <v>45741.0</v>
      </c>
      <c r="D100" s="48">
        <v>45713.0</v>
      </c>
      <c r="E100" s="48">
        <v>45716.0</v>
      </c>
      <c r="F100" s="45" t="s">
        <v>310</v>
      </c>
      <c r="G100" s="47" t="s">
        <v>311</v>
      </c>
      <c r="H100" s="5"/>
      <c r="I100" s="45" t="s">
        <v>312</v>
      </c>
      <c r="J100" s="45" t="s">
        <v>82</v>
      </c>
      <c r="K100" s="45" t="s">
        <v>83</v>
      </c>
      <c r="L100" s="7">
        <v>814.29</v>
      </c>
      <c r="M100" s="7">
        <v>6785.71</v>
      </c>
      <c r="T100" s="7"/>
      <c r="X100" s="6"/>
      <c r="Z100" s="6"/>
      <c r="AA100" s="6"/>
      <c r="AB100" s="7">
        <v>7600.0</v>
      </c>
      <c r="AC100" s="8">
        <f t="shared" si="2"/>
        <v>0</v>
      </c>
      <c r="AE100" s="45">
        <v>67.83</v>
      </c>
    </row>
    <row r="101" ht="15.75" customHeight="1">
      <c r="A101" s="45" t="s">
        <v>313</v>
      </c>
      <c r="B101" s="47">
        <v>4233583.0</v>
      </c>
      <c r="C101" s="48">
        <v>45713.0</v>
      </c>
      <c r="D101" s="48">
        <v>45713.0</v>
      </c>
      <c r="E101" s="48">
        <v>45716.0</v>
      </c>
      <c r="F101" s="45" t="s">
        <v>314</v>
      </c>
      <c r="G101" s="47" t="s">
        <v>315</v>
      </c>
      <c r="H101" s="5"/>
      <c r="I101" s="45" t="s">
        <v>316</v>
      </c>
      <c r="J101" s="45" t="s">
        <v>317</v>
      </c>
      <c r="L101" s="7">
        <v>535.71</v>
      </c>
      <c r="M101" s="7">
        <v>4464.29</v>
      </c>
      <c r="T101" s="7"/>
      <c r="X101" s="6"/>
      <c r="Z101" s="6"/>
      <c r="AA101" s="6"/>
      <c r="AB101" s="7">
        <v>5000.0</v>
      </c>
      <c r="AC101" s="8">
        <f t="shared" si="2"/>
        <v>0</v>
      </c>
    </row>
    <row r="102" ht="15.75" customHeight="1">
      <c r="A102" s="45" t="s">
        <v>318</v>
      </c>
      <c r="B102" s="47">
        <v>4233584.0</v>
      </c>
      <c r="C102" s="48">
        <v>45716.0</v>
      </c>
      <c r="D102" s="48">
        <v>45713.0</v>
      </c>
      <c r="G102" s="5"/>
      <c r="H102" s="5"/>
      <c r="I102" s="45" t="s">
        <v>94</v>
      </c>
      <c r="J102" s="45" t="s">
        <v>97</v>
      </c>
      <c r="M102" s="6"/>
      <c r="T102" s="7"/>
      <c r="X102" s="6"/>
      <c r="Z102" s="6"/>
      <c r="AA102" s="7">
        <v>12500.0</v>
      </c>
      <c r="AB102" s="7">
        <v>12500.0</v>
      </c>
      <c r="AC102" s="8">
        <f t="shared" si="2"/>
        <v>0</v>
      </c>
    </row>
    <row r="103" ht="15.75" customHeight="1">
      <c r="A103" s="45" t="s">
        <v>319</v>
      </c>
      <c r="B103" s="47">
        <v>4233585.0</v>
      </c>
      <c r="C103" s="48">
        <v>45716.0</v>
      </c>
      <c r="D103" s="48">
        <v>45713.0</v>
      </c>
      <c r="G103" s="5"/>
      <c r="H103" s="5"/>
      <c r="I103" s="45" t="s">
        <v>94</v>
      </c>
      <c r="J103" s="45" t="s">
        <v>95</v>
      </c>
      <c r="M103" s="6"/>
      <c r="T103" s="7"/>
      <c r="X103" s="6"/>
      <c r="Z103" s="6"/>
      <c r="AA103" s="7">
        <v>32320.0</v>
      </c>
      <c r="AB103" s="7">
        <v>32320.0</v>
      </c>
      <c r="AC103" s="8">
        <f t="shared" si="2"/>
        <v>0</v>
      </c>
    </row>
    <row r="104" ht="15.75" customHeight="1">
      <c r="A104" s="45" t="s">
        <v>320</v>
      </c>
      <c r="B104" s="47">
        <v>4233586.0</v>
      </c>
      <c r="C104" s="48">
        <v>45713.0</v>
      </c>
      <c r="D104" s="48">
        <v>45713.0</v>
      </c>
      <c r="G104" s="5"/>
      <c r="H104" s="5"/>
      <c r="I104" s="45" t="s">
        <v>321</v>
      </c>
      <c r="J104" s="45" t="s">
        <v>151</v>
      </c>
      <c r="M104" s="6"/>
      <c r="T104" s="7"/>
      <c r="X104" s="6"/>
      <c r="Z104" s="6"/>
      <c r="AA104" s="7">
        <v>4500.0</v>
      </c>
      <c r="AB104" s="7">
        <v>4200.0</v>
      </c>
      <c r="AC104" s="8">
        <f t="shared" si="2"/>
        <v>-300</v>
      </c>
      <c r="AD104" s="51" t="s">
        <v>322</v>
      </c>
    </row>
    <row r="105" ht="15.75" customHeight="1">
      <c r="A105" s="45" t="s">
        <v>323</v>
      </c>
      <c r="B105" s="45" t="s">
        <v>324</v>
      </c>
      <c r="C105" s="48">
        <v>45720.0</v>
      </c>
      <c r="D105" s="48">
        <v>45713.0</v>
      </c>
      <c r="E105" s="48">
        <v>45716.0</v>
      </c>
      <c r="F105" s="45" t="s">
        <v>325</v>
      </c>
      <c r="G105" s="47" t="s">
        <v>326</v>
      </c>
      <c r="H105" s="5"/>
      <c r="I105" s="45" t="s">
        <v>327</v>
      </c>
      <c r="J105" s="45" t="s">
        <v>91</v>
      </c>
      <c r="K105" s="45" t="s">
        <v>92</v>
      </c>
      <c r="L105" s="7">
        <v>15080.36</v>
      </c>
      <c r="M105" s="7">
        <v>125669.64</v>
      </c>
      <c r="T105" s="7"/>
      <c r="X105" s="6"/>
      <c r="Z105" s="6"/>
      <c r="AA105" s="6"/>
      <c r="AB105" s="7">
        <v>140750.0</v>
      </c>
      <c r="AC105" s="8">
        <f t="shared" si="2"/>
        <v>0</v>
      </c>
      <c r="AE105" s="7">
        <v>1256.7</v>
      </c>
    </row>
    <row r="106" ht="15.75" customHeight="1">
      <c r="A106" s="52">
        <v>45717.0</v>
      </c>
      <c r="B106" s="53"/>
      <c r="C106" s="54"/>
      <c r="D106" s="54"/>
      <c r="E106" s="54"/>
      <c r="F106" s="53"/>
      <c r="G106" s="55"/>
      <c r="H106" s="55"/>
      <c r="I106" s="53"/>
      <c r="J106" s="53"/>
      <c r="K106" s="53"/>
      <c r="L106" s="56"/>
      <c r="M106" s="56"/>
      <c r="N106" s="56"/>
      <c r="O106" s="53"/>
      <c r="P106" s="53"/>
      <c r="Q106" s="53"/>
      <c r="R106" s="53"/>
      <c r="S106" s="53"/>
      <c r="T106" s="56"/>
      <c r="U106" s="57"/>
      <c r="V106" s="57"/>
      <c r="W106" s="57"/>
      <c r="X106" s="58"/>
      <c r="Y106" s="57"/>
      <c r="Z106" s="58"/>
      <c r="AA106" s="58"/>
      <c r="AB106" s="56"/>
      <c r="AC106" s="59"/>
      <c r="AD106" s="57"/>
      <c r="AE106" s="56"/>
    </row>
    <row r="107" ht="15.75" customHeight="1">
      <c r="A107" s="45" t="s">
        <v>328</v>
      </c>
      <c r="B107" s="47">
        <v>4233587.0</v>
      </c>
      <c r="C107" s="48">
        <v>45719.0</v>
      </c>
      <c r="D107" s="48">
        <v>45719.0</v>
      </c>
      <c r="G107" s="5"/>
      <c r="H107" s="47" t="s">
        <v>329</v>
      </c>
      <c r="I107" s="45" t="s">
        <v>330</v>
      </c>
      <c r="J107" s="45" t="s">
        <v>331</v>
      </c>
      <c r="M107" s="6"/>
      <c r="T107" s="7"/>
      <c r="X107" s="6"/>
      <c r="Z107" s="6"/>
      <c r="AA107" s="7">
        <v>41760.0</v>
      </c>
      <c r="AB107" s="7">
        <v>41760.0</v>
      </c>
      <c r="AC107" s="8">
        <f t="shared" ref="AC107:AC153" si="3">SUM(AB107)-SUM(L107:AA107)</f>
        <v>0</v>
      </c>
    </row>
    <row r="108" ht="15.75" customHeight="1">
      <c r="A108" s="45" t="s">
        <v>332</v>
      </c>
      <c r="B108" s="47">
        <v>4233588.0</v>
      </c>
      <c r="C108" s="48">
        <v>45719.0</v>
      </c>
      <c r="D108" s="48">
        <v>45719.0</v>
      </c>
      <c r="G108" s="5"/>
      <c r="H108" s="47" t="s">
        <v>333</v>
      </c>
      <c r="I108" s="45" t="s">
        <v>334</v>
      </c>
      <c r="J108" s="45" t="s">
        <v>119</v>
      </c>
      <c r="M108" s="6"/>
      <c r="T108" s="7"/>
      <c r="X108" s="6"/>
      <c r="Z108" s="6"/>
      <c r="AA108" s="7">
        <v>24547.29</v>
      </c>
      <c r="AB108" s="7">
        <v>30000.0</v>
      </c>
      <c r="AC108" s="8">
        <f t="shared" si="3"/>
        <v>5452.71</v>
      </c>
      <c r="AD108" s="51" t="s">
        <v>335</v>
      </c>
    </row>
    <row r="109" ht="15.75" customHeight="1">
      <c r="A109" s="45" t="s">
        <v>336</v>
      </c>
      <c r="B109" s="47">
        <v>4233589.0</v>
      </c>
      <c r="C109" s="48">
        <v>45720.0</v>
      </c>
      <c r="D109" s="48">
        <v>45720.0</v>
      </c>
      <c r="G109" s="5"/>
      <c r="H109" s="47" t="s">
        <v>337</v>
      </c>
      <c r="I109" s="45" t="s">
        <v>213</v>
      </c>
      <c r="J109" s="45" t="s">
        <v>50</v>
      </c>
      <c r="M109" s="6"/>
      <c r="T109" s="7">
        <v>6651.08</v>
      </c>
      <c r="X109" s="6"/>
      <c r="Z109" s="6"/>
      <c r="AA109" s="6"/>
      <c r="AB109" s="7">
        <v>6651.08</v>
      </c>
      <c r="AC109" s="8">
        <f t="shared" si="3"/>
        <v>0</v>
      </c>
    </row>
    <row r="110" ht="15.75" customHeight="1">
      <c r="A110" s="45" t="s">
        <v>338</v>
      </c>
      <c r="B110" s="47">
        <v>4233590.0</v>
      </c>
      <c r="C110" s="48">
        <v>45745.0</v>
      </c>
      <c r="D110" s="48">
        <v>45721.0</v>
      </c>
      <c r="E110" s="48">
        <v>45741.0</v>
      </c>
      <c r="F110" s="45" t="s">
        <v>339</v>
      </c>
      <c r="G110" s="47" t="s">
        <v>140</v>
      </c>
      <c r="H110" s="47"/>
      <c r="I110" s="45" t="s">
        <v>340</v>
      </c>
      <c r="J110" s="45" t="s">
        <v>82</v>
      </c>
      <c r="K110" s="45" t="s">
        <v>83</v>
      </c>
      <c r="L110" s="45">
        <v>4725.0</v>
      </c>
      <c r="M110" s="7">
        <v>39375.0</v>
      </c>
      <c r="N110" s="45"/>
      <c r="O110" s="45"/>
      <c r="P110" s="45"/>
      <c r="Q110" s="45"/>
      <c r="R110" s="45"/>
      <c r="S110" s="45"/>
      <c r="T110" s="7"/>
      <c r="U110" s="45"/>
      <c r="V110" s="45"/>
      <c r="W110" s="45"/>
      <c r="X110" s="7"/>
      <c r="Y110" s="45"/>
      <c r="Z110" s="7"/>
      <c r="AA110" s="7"/>
      <c r="AB110" s="7">
        <v>44100.0</v>
      </c>
      <c r="AC110" s="7">
        <f t="shared" si="3"/>
        <v>0</v>
      </c>
      <c r="AD110" s="45"/>
      <c r="AE110" s="45">
        <v>393.75</v>
      </c>
      <c r="AF110" s="45"/>
      <c r="AG110" s="45"/>
      <c r="AH110" s="45"/>
    </row>
    <row r="111" ht="15.75" customHeight="1">
      <c r="A111" s="45" t="s">
        <v>341</v>
      </c>
      <c r="B111" s="47">
        <v>4233591.0</v>
      </c>
      <c r="C111" s="48">
        <v>45750.0</v>
      </c>
      <c r="D111" s="48">
        <v>45721.0</v>
      </c>
      <c r="E111" s="50" t="s">
        <v>56</v>
      </c>
      <c r="F111" s="45" t="s">
        <v>342</v>
      </c>
      <c r="G111" s="47" t="s">
        <v>343</v>
      </c>
      <c r="H111" s="50" t="s">
        <v>56</v>
      </c>
      <c r="I111" s="45" t="s">
        <v>344</v>
      </c>
      <c r="J111" s="45" t="s">
        <v>46</v>
      </c>
      <c r="K111" s="45" t="s">
        <v>47</v>
      </c>
      <c r="L111" s="7">
        <v>4017.86</v>
      </c>
      <c r="M111" s="7">
        <v>33482.14</v>
      </c>
      <c r="N111" s="45"/>
      <c r="O111" s="45"/>
      <c r="P111" s="45"/>
      <c r="Q111" s="45"/>
      <c r="R111" s="45"/>
      <c r="S111" s="45"/>
      <c r="T111" s="7"/>
      <c r="U111" s="45"/>
      <c r="V111" s="45"/>
      <c r="W111" s="45"/>
      <c r="X111" s="7"/>
      <c r="Y111" s="45"/>
      <c r="Z111" s="7"/>
      <c r="AA111" s="7"/>
      <c r="AB111" s="60" t="s">
        <v>56</v>
      </c>
      <c r="AC111" s="7">
        <f t="shared" si="3"/>
        <v>-37500</v>
      </c>
      <c r="AD111" s="45"/>
      <c r="AE111" s="45">
        <v>334.82</v>
      </c>
      <c r="AF111" s="45"/>
      <c r="AG111" s="45"/>
      <c r="AH111" s="45"/>
    </row>
    <row r="112" ht="15.75" customHeight="1">
      <c r="A112" s="45" t="s">
        <v>345</v>
      </c>
      <c r="B112" s="47">
        <v>4233592.0</v>
      </c>
      <c r="C112" s="48">
        <v>45750.0</v>
      </c>
      <c r="D112" s="48">
        <v>45721.0</v>
      </c>
      <c r="E112" s="48">
        <v>45740.0</v>
      </c>
      <c r="F112" s="45" t="s">
        <v>346</v>
      </c>
      <c r="G112" s="47" t="s">
        <v>347</v>
      </c>
      <c r="H112" s="47"/>
      <c r="I112" s="45" t="s">
        <v>348</v>
      </c>
      <c r="J112" s="45" t="s">
        <v>349</v>
      </c>
      <c r="K112" s="45" t="s">
        <v>350</v>
      </c>
      <c r="L112" s="45">
        <v>755.36</v>
      </c>
      <c r="M112" s="7">
        <v>6294.64</v>
      </c>
      <c r="N112" s="45"/>
      <c r="O112" s="45"/>
      <c r="P112" s="45"/>
      <c r="Q112" s="45"/>
      <c r="R112" s="45"/>
      <c r="S112" s="45"/>
      <c r="T112" s="7"/>
      <c r="U112" s="45"/>
      <c r="V112" s="45"/>
      <c r="W112" s="45"/>
      <c r="X112" s="7"/>
      <c r="Y112" s="45"/>
      <c r="Z112" s="7"/>
      <c r="AA112" s="7"/>
      <c r="AB112" s="7">
        <v>7050.0</v>
      </c>
      <c r="AC112" s="7">
        <f t="shared" si="3"/>
        <v>0</v>
      </c>
      <c r="AD112" s="45"/>
      <c r="AE112" s="45">
        <v>62.95</v>
      </c>
      <c r="AF112" s="45"/>
      <c r="AG112" s="45"/>
      <c r="AH112" s="45"/>
    </row>
    <row r="113" ht="15.75" customHeight="1">
      <c r="A113" s="45" t="s">
        <v>351</v>
      </c>
      <c r="B113" s="47">
        <v>4233594.0</v>
      </c>
      <c r="C113" s="48">
        <v>45742.0</v>
      </c>
      <c r="D113" s="48">
        <v>45721.0</v>
      </c>
      <c r="E113" s="48">
        <v>45751.0</v>
      </c>
      <c r="F113" s="45" t="s">
        <v>352</v>
      </c>
      <c r="G113" s="47" t="s">
        <v>353</v>
      </c>
      <c r="H113" s="47"/>
      <c r="I113" s="45" t="s">
        <v>354</v>
      </c>
      <c r="J113" s="45" t="s">
        <v>46</v>
      </c>
      <c r="K113" s="45" t="s">
        <v>47</v>
      </c>
      <c r="L113" s="45">
        <v>866.79</v>
      </c>
      <c r="M113" s="7">
        <v>7223.21</v>
      </c>
      <c r="N113" s="45"/>
      <c r="O113" s="45"/>
      <c r="P113" s="45"/>
      <c r="Q113" s="45"/>
      <c r="R113" s="45"/>
      <c r="S113" s="45"/>
      <c r="T113" s="7"/>
      <c r="U113" s="45"/>
      <c r="V113" s="45"/>
      <c r="W113" s="45"/>
      <c r="X113" s="7"/>
      <c r="Y113" s="45"/>
      <c r="Z113" s="7"/>
      <c r="AA113" s="7"/>
      <c r="AB113" s="7">
        <v>8090.0</v>
      </c>
      <c r="AC113" s="7">
        <f t="shared" si="3"/>
        <v>0</v>
      </c>
      <c r="AD113" s="45"/>
      <c r="AE113" s="45">
        <v>72.23</v>
      </c>
      <c r="AF113" s="45"/>
      <c r="AG113" s="45"/>
      <c r="AH113" s="45"/>
    </row>
    <row r="114" ht="15.75" customHeight="1">
      <c r="A114" s="45" t="s">
        <v>355</v>
      </c>
      <c r="B114" s="47">
        <v>4233595.0</v>
      </c>
      <c r="C114" s="48">
        <v>45751.0</v>
      </c>
      <c r="D114" s="48">
        <v>45721.0</v>
      </c>
      <c r="E114" s="48">
        <v>45751.0</v>
      </c>
      <c r="F114" s="45" t="s">
        <v>356</v>
      </c>
      <c r="G114" s="47" t="s">
        <v>357</v>
      </c>
      <c r="H114" s="47"/>
      <c r="I114" s="45" t="s">
        <v>354</v>
      </c>
      <c r="J114" s="45" t="s">
        <v>46</v>
      </c>
      <c r="K114" s="45" t="s">
        <v>47</v>
      </c>
      <c r="L114" s="45">
        <v>871.45</v>
      </c>
      <c r="M114" s="7">
        <v>7262.05</v>
      </c>
      <c r="N114" s="45"/>
      <c r="O114" s="45"/>
      <c r="P114" s="45"/>
      <c r="Q114" s="45"/>
      <c r="R114" s="45"/>
      <c r="S114" s="45"/>
      <c r="T114" s="7"/>
      <c r="U114" s="45"/>
      <c r="V114" s="45"/>
      <c r="W114" s="45"/>
      <c r="X114" s="7"/>
      <c r="Y114" s="45"/>
      <c r="Z114" s="7"/>
      <c r="AA114" s="7"/>
      <c r="AB114" s="7">
        <v>8133.5</v>
      </c>
      <c r="AC114" s="7">
        <f t="shared" si="3"/>
        <v>0</v>
      </c>
      <c r="AD114" s="45"/>
      <c r="AE114" s="45">
        <v>72.62</v>
      </c>
      <c r="AF114" s="45"/>
      <c r="AG114" s="45"/>
      <c r="AH114" s="45"/>
    </row>
    <row r="115" ht="15.75" customHeight="1">
      <c r="A115" s="45" t="s">
        <v>358</v>
      </c>
      <c r="B115" s="45" t="s">
        <v>359</v>
      </c>
      <c r="C115" s="48">
        <v>45726.0</v>
      </c>
      <c r="D115" s="48">
        <v>45726.0</v>
      </c>
      <c r="E115" s="45"/>
      <c r="F115" s="45"/>
      <c r="G115" s="47"/>
      <c r="H115" s="47"/>
      <c r="I115" s="45" t="s">
        <v>30</v>
      </c>
      <c r="J115" s="45" t="s">
        <v>41</v>
      </c>
      <c r="K115" s="45"/>
      <c r="L115" s="45"/>
      <c r="M115" s="7"/>
      <c r="N115" s="45"/>
      <c r="O115" s="45"/>
      <c r="P115" s="45"/>
      <c r="Q115" s="45"/>
      <c r="R115" s="45"/>
      <c r="S115" s="45"/>
      <c r="T115" s="7"/>
      <c r="U115" s="45"/>
      <c r="V115" s="45"/>
      <c r="W115" s="45"/>
      <c r="X115" s="7"/>
      <c r="Y115" s="45"/>
      <c r="Z115" s="7">
        <v>400000.0</v>
      </c>
      <c r="AA115" s="7"/>
      <c r="AB115" s="7">
        <v>400000.0</v>
      </c>
      <c r="AC115" s="7">
        <f t="shared" si="3"/>
        <v>0</v>
      </c>
      <c r="AD115" s="45"/>
      <c r="AE115" s="45"/>
      <c r="AF115" s="45"/>
      <c r="AG115" s="45"/>
      <c r="AH115" s="45"/>
    </row>
    <row r="116" ht="15.75" customHeight="1">
      <c r="A116" s="45" t="s">
        <v>360</v>
      </c>
      <c r="B116" s="45" t="s">
        <v>361</v>
      </c>
      <c r="C116" s="48">
        <v>45727.0</v>
      </c>
      <c r="D116" s="48">
        <v>45726.0</v>
      </c>
      <c r="G116" s="5"/>
      <c r="H116" s="5"/>
      <c r="I116" s="45" t="s">
        <v>30</v>
      </c>
      <c r="J116" s="45" t="s">
        <v>41</v>
      </c>
      <c r="M116" s="6"/>
      <c r="T116" s="7"/>
      <c r="X116" s="6"/>
      <c r="Z116" s="7">
        <v>200000.0</v>
      </c>
      <c r="AA116" s="6"/>
      <c r="AB116" s="7">
        <v>200000.0</v>
      </c>
      <c r="AC116" s="8">
        <f t="shared" si="3"/>
        <v>0</v>
      </c>
    </row>
    <row r="117" ht="15.75" customHeight="1">
      <c r="A117" s="45" t="s">
        <v>362</v>
      </c>
      <c r="B117" s="47">
        <v>4233595.0</v>
      </c>
      <c r="C117" s="48">
        <v>45726.0</v>
      </c>
      <c r="D117" s="48">
        <v>45726.0</v>
      </c>
      <c r="G117" s="5"/>
      <c r="H117" s="47" t="s">
        <v>363</v>
      </c>
      <c r="I117" s="45" t="s">
        <v>213</v>
      </c>
      <c r="J117" s="45" t="s">
        <v>50</v>
      </c>
      <c r="M117" s="6"/>
      <c r="T117" s="7">
        <v>6851.01</v>
      </c>
      <c r="X117" s="6"/>
      <c r="Z117" s="6"/>
      <c r="AA117" s="6"/>
      <c r="AB117" s="7">
        <v>6851.01</v>
      </c>
      <c r="AC117" s="8">
        <f t="shared" si="3"/>
        <v>0</v>
      </c>
    </row>
    <row r="118" ht="15.75" customHeight="1">
      <c r="A118" s="45" t="s">
        <v>364</v>
      </c>
      <c r="B118" s="47">
        <v>4233597.0</v>
      </c>
      <c r="C118" s="48">
        <v>45768.0</v>
      </c>
      <c r="D118" s="48">
        <v>45726.0</v>
      </c>
      <c r="E118" s="48">
        <v>45728.0</v>
      </c>
      <c r="F118" s="45" t="s">
        <v>365</v>
      </c>
      <c r="G118" s="47" t="s">
        <v>366</v>
      </c>
      <c r="H118" s="5"/>
      <c r="I118" s="45" t="s">
        <v>367</v>
      </c>
      <c r="J118" s="45" t="s">
        <v>76</v>
      </c>
      <c r="K118" s="45" t="s">
        <v>77</v>
      </c>
      <c r="L118" s="7">
        <v>9107.14</v>
      </c>
      <c r="M118" s="7">
        <v>75892.86</v>
      </c>
      <c r="T118" s="7"/>
      <c r="X118" s="6"/>
      <c r="Z118" s="6"/>
      <c r="AA118" s="6"/>
      <c r="AB118" s="7">
        <v>85000.0</v>
      </c>
      <c r="AC118" s="8">
        <f t="shared" si="3"/>
        <v>0</v>
      </c>
      <c r="AE118" s="10">
        <v>758.93</v>
      </c>
    </row>
    <row r="119" ht="15.75" customHeight="1">
      <c r="A119" s="45" t="s">
        <v>368</v>
      </c>
      <c r="B119" s="47">
        <v>4233598.0</v>
      </c>
      <c r="C119" s="48">
        <v>45728.0</v>
      </c>
      <c r="D119" s="48">
        <v>45726.0</v>
      </c>
      <c r="E119" s="48">
        <v>45729.0</v>
      </c>
      <c r="F119" s="45" t="s">
        <v>369</v>
      </c>
      <c r="G119" s="47" t="s">
        <v>370</v>
      </c>
      <c r="H119" s="5"/>
      <c r="I119" s="45" t="s">
        <v>371</v>
      </c>
      <c r="J119" s="45" t="s">
        <v>91</v>
      </c>
      <c r="K119" s="45" t="s">
        <v>92</v>
      </c>
      <c r="L119" s="7">
        <v>5983.93</v>
      </c>
      <c r="M119" s="7">
        <v>49866.07</v>
      </c>
      <c r="T119" s="7"/>
      <c r="X119" s="6"/>
      <c r="Z119" s="6"/>
      <c r="AA119" s="6"/>
      <c r="AB119" s="7">
        <v>55850.0</v>
      </c>
      <c r="AC119" s="8">
        <f t="shared" si="3"/>
        <v>0</v>
      </c>
      <c r="AE119" s="10">
        <v>498.66</v>
      </c>
    </row>
    <row r="120" ht="15.75" customHeight="1">
      <c r="A120" s="45" t="s">
        <v>372</v>
      </c>
      <c r="B120" s="47">
        <v>4233599.0</v>
      </c>
      <c r="C120" s="48">
        <v>45768.0</v>
      </c>
      <c r="D120" s="48">
        <v>45726.0</v>
      </c>
      <c r="E120" s="48">
        <v>45728.0</v>
      </c>
      <c r="F120" s="45" t="s">
        <v>373</v>
      </c>
      <c r="G120" s="47" t="s">
        <v>374</v>
      </c>
      <c r="H120" s="5"/>
      <c r="I120" s="45" t="s">
        <v>375</v>
      </c>
      <c r="J120" s="45" t="s">
        <v>76</v>
      </c>
      <c r="K120" s="45" t="s">
        <v>77</v>
      </c>
      <c r="L120" s="7">
        <v>4553.57</v>
      </c>
      <c r="M120" s="7">
        <v>37946.43</v>
      </c>
      <c r="N120" s="45"/>
      <c r="T120" s="7"/>
      <c r="X120" s="6"/>
      <c r="Z120" s="6"/>
      <c r="AA120" s="6"/>
      <c r="AB120" s="7">
        <v>42500.0</v>
      </c>
      <c r="AC120" s="8">
        <f t="shared" si="3"/>
        <v>0</v>
      </c>
      <c r="AE120" s="10">
        <v>379.46</v>
      </c>
    </row>
    <row r="121" ht="15.75" customHeight="1">
      <c r="A121" s="45" t="s">
        <v>376</v>
      </c>
      <c r="B121" s="47">
        <v>4233600.0</v>
      </c>
      <c r="C121" s="48">
        <v>45726.0</v>
      </c>
      <c r="D121" s="48">
        <v>45726.0</v>
      </c>
      <c r="G121" s="5"/>
      <c r="H121" s="5"/>
      <c r="I121" s="45" t="s">
        <v>377</v>
      </c>
      <c r="J121" s="45" t="s">
        <v>22</v>
      </c>
      <c r="L121" s="45">
        <v>151.09</v>
      </c>
      <c r="M121" s="7"/>
      <c r="N121" s="45"/>
      <c r="O121" s="45"/>
      <c r="P121" s="45"/>
      <c r="Q121" s="45"/>
      <c r="R121" s="7">
        <v>1259.06</v>
      </c>
      <c r="T121" s="7"/>
      <c r="X121" s="6"/>
      <c r="Z121" s="6"/>
      <c r="AA121" s="6"/>
      <c r="AB121" s="7">
        <v>1410.15</v>
      </c>
      <c r="AC121" s="8">
        <f t="shared" si="3"/>
        <v>0</v>
      </c>
    </row>
    <row r="122" ht="15.75" customHeight="1">
      <c r="A122" s="45" t="s">
        <v>378</v>
      </c>
      <c r="B122" s="47">
        <v>4233601.0</v>
      </c>
      <c r="C122" s="48">
        <v>45726.0</v>
      </c>
      <c r="D122" s="48">
        <v>45726.0</v>
      </c>
      <c r="G122" s="5"/>
      <c r="H122" s="5"/>
      <c r="I122" s="45" t="s">
        <v>377</v>
      </c>
      <c r="J122" s="45" t="s">
        <v>22</v>
      </c>
      <c r="L122" s="45">
        <v>811.09</v>
      </c>
      <c r="M122" s="7"/>
      <c r="N122" s="45"/>
      <c r="O122" s="45"/>
      <c r="P122" s="45"/>
      <c r="Q122" s="45"/>
      <c r="R122" s="7">
        <v>6759.06</v>
      </c>
      <c r="T122" s="7"/>
      <c r="X122" s="6"/>
      <c r="Z122" s="6"/>
      <c r="AA122" s="6"/>
      <c r="AB122" s="7">
        <v>7570.15</v>
      </c>
      <c r="AC122" s="8">
        <f t="shared" si="3"/>
        <v>0</v>
      </c>
    </row>
    <row r="123" ht="15.75" customHeight="1">
      <c r="A123" s="45" t="s">
        <v>379</v>
      </c>
      <c r="B123" s="47">
        <v>4233602.0</v>
      </c>
      <c r="C123" s="48">
        <v>45726.0</v>
      </c>
      <c r="D123" s="48">
        <v>45726.0</v>
      </c>
      <c r="G123" s="5"/>
      <c r="H123" s="5"/>
      <c r="I123" s="45" t="s">
        <v>380</v>
      </c>
      <c r="J123" s="45" t="s">
        <v>58</v>
      </c>
      <c r="L123" s="7">
        <v>64.18</v>
      </c>
      <c r="M123" s="7"/>
      <c r="S123" s="7">
        <v>534.82</v>
      </c>
      <c r="T123" s="7"/>
      <c r="X123" s="6"/>
      <c r="Z123" s="6"/>
      <c r="AA123" s="6"/>
      <c r="AB123" s="7">
        <v>599.0</v>
      </c>
      <c r="AC123" s="8">
        <f t="shared" si="3"/>
        <v>0</v>
      </c>
    </row>
    <row r="124" ht="15.75" customHeight="1">
      <c r="A124" s="45" t="s">
        <v>381</v>
      </c>
      <c r="B124" s="47">
        <v>4233603.0</v>
      </c>
      <c r="C124" s="48">
        <v>45726.0</v>
      </c>
      <c r="D124" s="48">
        <v>45726.0</v>
      </c>
      <c r="G124" s="5"/>
      <c r="H124" s="5"/>
      <c r="I124" s="45" t="s">
        <v>380</v>
      </c>
      <c r="J124" s="45" t="s">
        <v>58</v>
      </c>
      <c r="L124" s="7">
        <v>32.14</v>
      </c>
      <c r="M124" s="7"/>
      <c r="S124" s="7">
        <v>267.86</v>
      </c>
      <c r="T124" s="7"/>
      <c r="X124" s="6"/>
      <c r="Z124" s="6"/>
      <c r="AA124" s="6"/>
      <c r="AB124" s="7">
        <v>300.0</v>
      </c>
      <c r="AC124" s="8">
        <f t="shared" si="3"/>
        <v>0</v>
      </c>
    </row>
    <row r="125" ht="15.75" customHeight="1">
      <c r="A125" s="45" t="s">
        <v>382</v>
      </c>
      <c r="B125" s="47">
        <v>4233604.0</v>
      </c>
      <c r="C125" s="48">
        <v>45730.0</v>
      </c>
      <c r="D125" s="48">
        <v>45726.0</v>
      </c>
      <c r="G125" s="5"/>
      <c r="H125" s="5"/>
      <c r="I125" s="45" t="s">
        <v>94</v>
      </c>
      <c r="J125" s="45" t="s">
        <v>97</v>
      </c>
      <c r="M125" s="6"/>
      <c r="T125" s="7"/>
      <c r="X125" s="6"/>
      <c r="Z125" s="6"/>
      <c r="AA125" s="7">
        <v>15000.0</v>
      </c>
      <c r="AB125" s="7">
        <v>15000.0</v>
      </c>
      <c r="AC125" s="8">
        <f t="shared" si="3"/>
        <v>0</v>
      </c>
    </row>
    <row r="126" ht="15.75" customHeight="1">
      <c r="A126" s="45" t="s">
        <v>383</v>
      </c>
      <c r="B126" s="47">
        <v>4233605.0</v>
      </c>
      <c r="C126" s="48">
        <v>45726.0</v>
      </c>
      <c r="D126" s="48">
        <v>45726.0</v>
      </c>
      <c r="G126" s="5"/>
      <c r="H126" s="5"/>
      <c r="I126" s="45" t="s">
        <v>384</v>
      </c>
      <c r="J126" s="45" t="s">
        <v>119</v>
      </c>
      <c r="M126" s="6"/>
      <c r="T126" s="7"/>
      <c r="X126" s="6"/>
      <c r="Z126" s="6"/>
      <c r="AA126" s="7">
        <v>9193.75</v>
      </c>
      <c r="AB126" s="7">
        <v>9193.75</v>
      </c>
      <c r="AC126" s="8">
        <f t="shared" si="3"/>
        <v>0</v>
      </c>
    </row>
    <row r="127" ht="15.75" customHeight="1">
      <c r="A127" s="45" t="s">
        <v>385</v>
      </c>
      <c r="B127" s="47">
        <v>4233606.0</v>
      </c>
      <c r="C127" s="48">
        <v>45730.0</v>
      </c>
      <c r="D127" s="48">
        <v>45726.0</v>
      </c>
      <c r="G127" s="5"/>
      <c r="H127" s="5"/>
      <c r="I127" s="45" t="s">
        <v>94</v>
      </c>
      <c r="J127" s="45" t="s">
        <v>95</v>
      </c>
      <c r="M127" s="6"/>
      <c r="T127" s="7"/>
      <c r="X127" s="6"/>
      <c r="Z127" s="6"/>
      <c r="AA127" s="7">
        <v>24960.0</v>
      </c>
      <c r="AB127" s="7">
        <v>24960.0</v>
      </c>
      <c r="AC127" s="8">
        <f t="shared" si="3"/>
        <v>0</v>
      </c>
    </row>
    <row r="128" ht="15.75" customHeight="1">
      <c r="A128" s="45" t="s">
        <v>386</v>
      </c>
      <c r="B128" s="47">
        <v>4233607.0</v>
      </c>
      <c r="C128" s="48">
        <v>45727.0</v>
      </c>
      <c r="D128" s="48">
        <v>45727.0</v>
      </c>
      <c r="E128" s="48">
        <v>45741.0</v>
      </c>
      <c r="F128" s="45" t="s">
        <v>387</v>
      </c>
      <c r="G128" s="5"/>
      <c r="H128" s="5"/>
      <c r="I128" s="45" t="s">
        <v>388</v>
      </c>
      <c r="J128" s="45" t="s">
        <v>142</v>
      </c>
      <c r="M128" s="6"/>
      <c r="T128" s="7"/>
      <c r="X128" s="6"/>
      <c r="Z128" s="6"/>
      <c r="AA128" s="7">
        <v>9690.0</v>
      </c>
      <c r="AB128" s="7">
        <v>9690.0</v>
      </c>
      <c r="AC128" s="8">
        <f t="shared" si="3"/>
        <v>0</v>
      </c>
    </row>
    <row r="129" ht="15.75" customHeight="1">
      <c r="A129" s="45" t="s">
        <v>389</v>
      </c>
      <c r="B129" s="47">
        <v>4233609.0</v>
      </c>
      <c r="C129" s="48">
        <v>45733.0</v>
      </c>
      <c r="D129" s="48">
        <v>45733.0</v>
      </c>
      <c r="G129" s="5"/>
      <c r="H129" s="47" t="s">
        <v>390</v>
      </c>
      <c r="I129" s="45" t="s">
        <v>391</v>
      </c>
      <c r="J129" s="45" t="s">
        <v>50</v>
      </c>
      <c r="M129" s="6"/>
      <c r="T129" s="7">
        <v>10026.56</v>
      </c>
      <c r="X129" s="6"/>
      <c r="Z129" s="6"/>
      <c r="AA129" s="6"/>
      <c r="AB129" s="7">
        <v>10026.56</v>
      </c>
      <c r="AC129" s="8">
        <f t="shared" si="3"/>
        <v>0</v>
      </c>
    </row>
    <row r="130" ht="15.75" customHeight="1">
      <c r="A130" s="45" t="s">
        <v>392</v>
      </c>
      <c r="B130" s="47">
        <v>4233610.0</v>
      </c>
      <c r="C130" s="48">
        <v>45733.0</v>
      </c>
      <c r="D130" s="48">
        <v>45733.0</v>
      </c>
      <c r="G130" s="5"/>
      <c r="H130" s="47" t="s">
        <v>393</v>
      </c>
      <c r="I130" s="45" t="s">
        <v>394</v>
      </c>
      <c r="J130" s="45" t="s">
        <v>50</v>
      </c>
      <c r="M130" s="6"/>
      <c r="T130" s="7">
        <v>10753.65</v>
      </c>
      <c r="X130" s="6"/>
      <c r="Z130" s="6"/>
      <c r="AA130" s="6"/>
      <c r="AB130" s="7">
        <v>10753.65</v>
      </c>
      <c r="AC130" s="8">
        <f t="shared" si="3"/>
        <v>0</v>
      </c>
    </row>
    <row r="131" ht="15.75" customHeight="1">
      <c r="A131" s="45" t="s">
        <v>395</v>
      </c>
      <c r="B131" s="47">
        <v>4233611.0</v>
      </c>
      <c r="C131" s="48">
        <v>45733.0</v>
      </c>
      <c r="D131" s="48">
        <v>45733.0</v>
      </c>
      <c r="G131" s="5"/>
      <c r="H131" s="5"/>
      <c r="I131" s="45" t="s">
        <v>396</v>
      </c>
      <c r="J131" s="45" t="s">
        <v>100</v>
      </c>
      <c r="M131" s="6"/>
      <c r="T131" s="7"/>
      <c r="X131" s="7">
        <v>7772.42</v>
      </c>
      <c r="Z131" s="6"/>
      <c r="AA131" s="6"/>
      <c r="AB131" s="7">
        <v>7772.42</v>
      </c>
      <c r="AC131" s="8">
        <f t="shared" si="3"/>
        <v>0</v>
      </c>
    </row>
    <row r="132" ht="15.75" customHeight="1">
      <c r="A132" s="45" t="s">
        <v>397</v>
      </c>
      <c r="B132" s="47">
        <v>4233612.0</v>
      </c>
      <c r="C132" s="48">
        <v>45733.0</v>
      </c>
      <c r="D132" s="48">
        <v>45758.0</v>
      </c>
      <c r="E132" s="48">
        <v>45741.0</v>
      </c>
      <c r="F132" s="45" t="s">
        <v>398</v>
      </c>
      <c r="G132" s="47" t="s">
        <v>399</v>
      </c>
      <c r="H132" s="5"/>
      <c r="I132" s="45" t="s">
        <v>400</v>
      </c>
      <c r="J132" s="45" t="s">
        <v>82</v>
      </c>
      <c r="K132" s="45" t="s">
        <v>83</v>
      </c>
      <c r="L132" s="7">
        <v>5250.0</v>
      </c>
      <c r="M132" s="7">
        <v>43750.0</v>
      </c>
      <c r="T132" s="7"/>
      <c r="X132" s="6"/>
      <c r="Z132" s="6"/>
      <c r="AA132" s="6"/>
      <c r="AB132" s="7">
        <v>49000.0</v>
      </c>
      <c r="AC132" s="8">
        <f t="shared" si="3"/>
        <v>0</v>
      </c>
    </row>
    <row r="133" ht="15.75" customHeight="1">
      <c r="A133" s="45" t="s">
        <v>401</v>
      </c>
      <c r="B133" s="47">
        <v>4233613.0</v>
      </c>
      <c r="C133" s="48">
        <v>45768.0</v>
      </c>
      <c r="D133" s="48">
        <v>45733.0</v>
      </c>
      <c r="E133" s="48">
        <v>45737.0</v>
      </c>
      <c r="F133" s="45" t="s">
        <v>402</v>
      </c>
      <c r="G133" s="47" t="s">
        <v>403</v>
      </c>
      <c r="H133" s="5"/>
      <c r="I133" s="45" t="s">
        <v>404</v>
      </c>
      <c r="J133" s="45" t="s">
        <v>76</v>
      </c>
      <c r="K133" s="45" t="s">
        <v>77</v>
      </c>
      <c r="L133" s="7">
        <v>3535.71</v>
      </c>
      <c r="M133" s="7">
        <v>29464.29</v>
      </c>
      <c r="N133" s="7"/>
      <c r="O133" s="7"/>
      <c r="T133" s="7"/>
      <c r="X133" s="6"/>
      <c r="Z133" s="6"/>
      <c r="AA133" s="6"/>
      <c r="AB133" s="7">
        <v>33000.0</v>
      </c>
      <c r="AC133" s="8">
        <f t="shared" si="3"/>
        <v>0</v>
      </c>
      <c r="AE133" s="10">
        <v>294.64</v>
      </c>
    </row>
    <row r="134" ht="15.75" customHeight="1">
      <c r="A134" s="45" t="s">
        <v>405</v>
      </c>
      <c r="B134" s="47">
        <v>4233614.0</v>
      </c>
      <c r="C134" s="48">
        <v>45758.0</v>
      </c>
      <c r="D134" s="48">
        <v>45733.0</v>
      </c>
      <c r="E134" s="48">
        <v>45741.0</v>
      </c>
      <c r="F134" s="45" t="s">
        <v>406</v>
      </c>
      <c r="G134" s="47" t="s">
        <v>407</v>
      </c>
      <c r="H134" s="5"/>
      <c r="I134" s="45" t="s">
        <v>408</v>
      </c>
      <c r="J134" s="45" t="s">
        <v>82</v>
      </c>
      <c r="K134" s="45" t="s">
        <v>83</v>
      </c>
      <c r="L134" s="7">
        <v>5423.14</v>
      </c>
      <c r="M134" s="7">
        <v>45192.86</v>
      </c>
      <c r="T134" s="7"/>
      <c r="X134" s="6"/>
      <c r="Z134" s="6"/>
      <c r="AA134" s="6"/>
      <c r="AB134" s="7">
        <v>50616.0</v>
      </c>
      <c r="AC134" s="8">
        <f t="shared" si="3"/>
        <v>0</v>
      </c>
    </row>
    <row r="135" ht="15.75" customHeight="1">
      <c r="A135" s="45" t="s">
        <v>409</v>
      </c>
      <c r="B135" s="47">
        <v>4233615.0</v>
      </c>
      <c r="C135" s="48">
        <v>45735.0</v>
      </c>
      <c r="D135" s="48">
        <v>45735.0</v>
      </c>
      <c r="G135" s="5"/>
      <c r="H135" s="5"/>
      <c r="I135" s="45" t="s">
        <v>410</v>
      </c>
      <c r="J135" s="45" t="s">
        <v>411</v>
      </c>
      <c r="M135" s="6"/>
      <c r="T135" s="7"/>
      <c r="X135" s="6"/>
      <c r="Z135" s="6"/>
      <c r="AA135" s="7">
        <v>6367.4</v>
      </c>
      <c r="AB135" s="7">
        <v>6367.4</v>
      </c>
      <c r="AC135" s="8">
        <f t="shared" si="3"/>
        <v>0</v>
      </c>
    </row>
    <row r="136" ht="15.75" customHeight="1">
      <c r="A136" s="45" t="s">
        <v>412</v>
      </c>
      <c r="B136" s="47">
        <v>4233616.0</v>
      </c>
      <c r="C136" s="48">
        <v>45744.0</v>
      </c>
      <c r="D136" s="48">
        <v>45735.0</v>
      </c>
      <c r="G136" s="5"/>
      <c r="H136" s="5"/>
      <c r="I136" s="45" t="s">
        <v>147</v>
      </c>
      <c r="J136" s="45" t="s">
        <v>148</v>
      </c>
      <c r="M136" s="6"/>
      <c r="N136" s="7">
        <v>14700.0</v>
      </c>
      <c r="T136" s="7"/>
      <c r="X136" s="6"/>
      <c r="Z136" s="6"/>
      <c r="AA136" s="6"/>
      <c r="AB136" s="7">
        <v>14700.0</v>
      </c>
      <c r="AC136" s="8">
        <f t="shared" si="3"/>
        <v>0</v>
      </c>
    </row>
    <row r="137" ht="15.75" customHeight="1">
      <c r="A137" s="45" t="s">
        <v>413</v>
      </c>
      <c r="B137" s="47">
        <v>4233617.0</v>
      </c>
      <c r="C137" s="48">
        <v>45735.0</v>
      </c>
      <c r="D137" s="48">
        <v>45735.0</v>
      </c>
      <c r="G137" s="5"/>
      <c r="H137" s="5"/>
      <c r="I137" s="45" t="s">
        <v>414</v>
      </c>
      <c r="J137" s="45" t="s">
        <v>103</v>
      </c>
      <c r="L137" s="7">
        <v>168.11</v>
      </c>
      <c r="M137" s="6"/>
      <c r="S137" s="45">
        <v>1400.96</v>
      </c>
      <c r="T137" s="7"/>
      <c r="X137" s="6"/>
      <c r="Z137" s="6"/>
      <c r="AA137" s="6"/>
      <c r="AB137" s="7">
        <v>1569.07</v>
      </c>
      <c r="AC137" s="8">
        <f t="shared" si="3"/>
        <v>0</v>
      </c>
    </row>
    <row r="138" ht="15.75" customHeight="1">
      <c r="A138" s="45" t="s">
        <v>415</v>
      </c>
      <c r="B138" s="47">
        <v>4233618.0</v>
      </c>
      <c r="C138" s="48">
        <v>45735.0</v>
      </c>
      <c r="D138" s="48">
        <v>45735.0</v>
      </c>
      <c r="G138" s="5"/>
      <c r="H138" s="5"/>
      <c r="I138" s="45" t="s">
        <v>416</v>
      </c>
      <c r="J138" s="45" t="s">
        <v>103</v>
      </c>
      <c r="L138" s="7">
        <v>107.04</v>
      </c>
      <c r="M138" s="6"/>
      <c r="S138" s="45">
        <v>891.96</v>
      </c>
      <c r="T138" s="7"/>
      <c r="X138" s="6"/>
      <c r="Z138" s="6"/>
      <c r="AA138" s="6"/>
      <c r="AB138" s="7">
        <v>999.0</v>
      </c>
      <c r="AC138" s="8">
        <f t="shared" si="3"/>
        <v>0</v>
      </c>
    </row>
    <row r="139" ht="15.75" customHeight="1">
      <c r="A139" s="45" t="s">
        <v>417</v>
      </c>
      <c r="B139" s="47">
        <v>4233618.0</v>
      </c>
      <c r="C139" s="48">
        <v>45735.0</v>
      </c>
      <c r="D139" s="48">
        <v>45735.0</v>
      </c>
      <c r="G139" s="5"/>
      <c r="H139" s="5"/>
      <c r="I139" s="45" t="s">
        <v>410</v>
      </c>
      <c r="J139" s="45" t="s">
        <v>418</v>
      </c>
      <c r="M139" s="6"/>
      <c r="T139" s="7"/>
      <c r="X139" s="6"/>
      <c r="Z139" s="6"/>
      <c r="AA139" s="7">
        <v>4746.74</v>
      </c>
      <c r="AB139" s="7">
        <v>4746.74</v>
      </c>
      <c r="AC139" s="8">
        <f t="shared" si="3"/>
        <v>0</v>
      </c>
    </row>
    <row r="140" ht="15.75" customHeight="1">
      <c r="A140" s="45" t="s">
        <v>419</v>
      </c>
      <c r="B140" s="47">
        <v>4233620.0</v>
      </c>
      <c r="C140" s="48">
        <v>45736.0</v>
      </c>
      <c r="D140" s="48">
        <v>45736.0</v>
      </c>
      <c r="G140" s="5"/>
      <c r="H140" s="47" t="s">
        <v>420</v>
      </c>
      <c r="I140" s="45" t="s">
        <v>122</v>
      </c>
      <c r="J140" s="45" t="s">
        <v>50</v>
      </c>
      <c r="M140" s="6"/>
      <c r="T140" s="7">
        <v>4713.05</v>
      </c>
      <c r="X140" s="6"/>
      <c r="Z140" s="6"/>
      <c r="AA140" s="6"/>
      <c r="AB140" s="7">
        <v>4713.05</v>
      </c>
      <c r="AC140" s="8">
        <f t="shared" si="3"/>
        <v>0</v>
      </c>
    </row>
    <row r="141" ht="15.75" customHeight="1">
      <c r="A141" s="45" t="s">
        <v>421</v>
      </c>
      <c r="B141" s="47">
        <v>4233621.0</v>
      </c>
      <c r="C141" s="48">
        <v>45736.0</v>
      </c>
      <c r="D141" s="48">
        <v>45736.0</v>
      </c>
      <c r="G141" s="5"/>
      <c r="H141" s="5"/>
      <c r="I141" s="45" t="s">
        <v>144</v>
      </c>
      <c r="J141" s="45" t="s">
        <v>103</v>
      </c>
      <c r="L141" s="7">
        <v>1387.24</v>
      </c>
      <c r="M141" s="7"/>
      <c r="S141" s="7">
        <v>11560.31</v>
      </c>
      <c r="T141" s="7"/>
      <c r="X141" s="6"/>
      <c r="Z141" s="6"/>
      <c r="AA141" s="6"/>
      <c r="AB141" s="7">
        <v>12947.55</v>
      </c>
      <c r="AC141" s="8">
        <f t="shared" si="3"/>
        <v>0</v>
      </c>
    </row>
    <row r="142" ht="15.75" customHeight="1">
      <c r="A142" s="45" t="s">
        <v>422</v>
      </c>
      <c r="B142" s="47">
        <v>4233622.0</v>
      </c>
      <c r="C142" s="48">
        <v>45736.0</v>
      </c>
      <c r="D142" s="48">
        <v>45736.0</v>
      </c>
      <c r="E142" s="48">
        <v>45758.0</v>
      </c>
      <c r="F142" s="45" t="s">
        <v>423</v>
      </c>
      <c r="G142" s="47" t="s">
        <v>424</v>
      </c>
      <c r="H142" s="5"/>
      <c r="I142" s="45" t="s">
        <v>425</v>
      </c>
      <c r="J142" s="45" t="s">
        <v>91</v>
      </c>
      <c r="K142" s="45" t="s">
        <v>92</v>
      </c>
      <c r="L142" s="45">
        <v>723.21</v>
      </c>
      <c r="M142" s="7">
        <v>6026.79</v>
      </c>
      <c r="T142" s="7"/>
      <c r="X142" s="6"/>
      <c r="Z142" s="6"/>
      <c r="AA142" s="6"/>
      <c r="AB142" s="7">
        <v>6750.0</v>
      </c>
      <c r="AC142" s="8">
        <f t="shared" si="3"/>
        <v>0</v>
      </c>
      <c r="AE142" s="10">
        <v>60.27</v>
      </c>
    </row>
    <row r="143" ht="15.75" customHeight="1">
      <c r="A143" s="45" t="s">
        <v>426</v>
      </c>
      <c r="B143" s="47">
        <v>4233622.0</v>
      </c>
      <c r="C143" s="48">
        <v>45779.0</v>
      </c>
      <c r="D143" s="48">
        <v>45736.0</v>
      </c>
      <c r="E143" s="48">
        <v>45737.0</v>
      </c>
      <c r="F143" s="45" t="s">
        <v>427</v>
      </c>
      <c r="G143" s="47" t="s">
        <v>428</v>
      </c>
      <c r="H143" s="5"/>
      <c r="I143" s="45" t="s">
        <v>429</v>
      </c>
      <c r="J143" s="45" t="s">
        <v>76</v>
      </c>
      <c r="K143" s="45" t="s">
        <v>77</v>
      </c>
      <c r="L143" s="7">
        <v>5464.29</v>
      </c>
      <c r="M143" s="7">
        <v>45535.71</v>
      </c>
      <c r="T143" s="7"/>
      <c r="X143" s="6"/>
      <c r="Z143" s="6"/>
      <c r="AA143" s="6"/>
      <c r="AB143" s="7">
        <v>51000.0</v>
      </c>
      <c r="AC143" s="8">
        <f t="shared" si="3"/>
        <v>0</v>
      </c>
      <c r="AE143" s="10">
        <v>455.36</v>
      </c>
    </row>
    <row r="144" ht="15.75" customHeight="1">
      <c r="A144" s="45" t="s">
        <v>430</v>
      </c>
      <c r="B144" s="47">
        <v>4233624.0</v>
      </c>
      <c r="C144" s="48">
        <v>45737.0</v>
      </c>
      <c r="D144" s="48">
        <v>45737.0</v>
      </c>
      <c r="E144" s="45"/>
      <c r="F144" s="45"/>
      <c r="G144" s="47"/>
      <c r="H144" s="47"/>
      <c r="I144" s="45" t="s">
        <v>431</v>
      </c>
      <c r="J144" s="45" t="s">
        <v>331</v>
      </c>
      <c r="K144" s="45"/>
      <c r="L144" s="45"/>
      <c r="M144" s="7"/>
      <c r="N144" s="45"/>
      <c r="O144" s="45"/>
      <c r="P144" s="45"/>
      <c r="Q144" s="45"/>
      <c r="R144" s="45"/>
      <c r="S144" s="45"/>
      <c r="T144" s="7"/>
      <c r="U144" s="45"/>
      <c r="V144" s="45"/>
      <c r="W144" s="45"/>
      <c r="X144" s="7"/>
      <c r="Y144" s="45"/>
      <c r="Z144" s="7"/>
      <c r="AA144" s="7">
        <v>15000.0</v>
      </c>
      <c r="AB144" s="7">
        <v>15000.0</v>
      </c>
      <c r="AC144" s="8">
        <f t="shared" si="3"/>
        <v>0</v>
      </c>
    </row>
    <row r="145" ht="15.75" customHeight="1">
      <c r="A145" s="45" t="s">
        <v>432</v>
      </c>
      <c r="B145" s="47">
        <v>4233625.0</v>
      </c>
      <c r="C145" s="48">
        <v>45768.0</v>
      </c>
      <c r="D145" s="48">
        <v>45740.0</v>
      </c>
      <c r="E145" s="48">
        <v>45754.0</v>
      </c>
      <c r="F145" s="45" t="s">
        <v>433</v>
      </c>
      <c r="G145" s="47" t="s">
        <v>434</v>
      </c>
      <c r="H145" s="5"/>
      <c r="I145" s="45" t="s">
        <v>435</v>
      </c>
      <c r="J145" s="45" t="s">
        <v>82</v>
      </c>
      <c r="K145" s="45" t="s">
        <v>83</v>
      </c>
      <c r="L145" s="7">
        <v>1767.86</v>
      </c>
      <c r="M145" s="7">
        <v>14732.14</v>
      </c>
      <c r="T145" s="7"/>
      <c r="X145" s="6"/>
      <c r="Z145" s="6"/>
      <c r="AA145" s="6"/>
      <c r="AB145" s="7">
        <v>16500.0</v>
      </c>
      <c r="AC145" s="8">
        <f t="shared" si="3"/>
        <v>0</v>
      </c>
      <c r="AE145" s="10">
        <v>147.32</v>
      </c>
    </row>
    <row r="146" ht="15.75" customHeight="1">
      <c r="A146" s="45" t="s">
        <v>436</v>
      </c>
      <c r="B146" s="45" t="s">
        <v>437</v>
      </c>
      <c r="C146" s="48">
        <v>45740.0</v>
      </c>
      <c r="D146" s="48">
        <v>45740.0</v>
      </c>
      <c r="G146" s="5"/>
      <c r="H146" s="5"/>
      <c r="I146" s="45" t="s">
        <v>30</v>
      </c>
      <c r="J146" s="45" t="s">
        <v>41</v>
      </c>
      <c r="M146" s="6"/>
      <c r="T146" s="7"/>
      <c r="X146" s="6"/>
      <c r="Z146" s="7">
        <v>250000.0</v>
      </c>
      <c r="AA146" s="6"/>
      <c r="AB146" s="7">
        <v>250000.0</v>
      </c>
      <c r="AC146" s="8">
        <f t="shared" si="3"/>
        <v>0</v>
      </c>
    </row>
    <row r="147" ht="15.75" customHeight="1">
      <c r="A147" s="45" t="s">
        <v>438</v>
      </c>
      <c r="B147" s="47">
        <v>4233626.0</v>
      </c>
      <c r="C147" s="48">
        <v>45744.0</v>
      </c>
      <c r="D147" s="48">
        <v>45743.0</v>
      </c>
      <c r="G147" s="5"/>
      <c r="H147" s="5"/>
      <c r="I147" s="45" t="s">
        <v>94</v>
      </c>
      <c r="J147" s="45" t="s">
        <v>95</v>
      </c>
      <c r="M147" s="6"/>
      <c r="T147" s="7"/>
      <c r="X147" s="6"/>
      <c r="Z147" s="6"/>
      <c r="AA147" s="7">
        <v>29360.0</v>
      </c>
      <c r="AB147" s="7">
        <v>29360.0</v>
      </c>
      <c r="AC147" s="8">
        <f t="shared" si="3"/>
        <v>0</v>
      </c>
    </row>
    <row r="148" ht="15.75" customHeight="1">
      <c r="A148" s="45" t="s">
        <v>439</v>
      </c>
      <c r="B148" s="47">
        <v>4233627.0</v>
      </c>
      <c r="C148" s="48">
        <v>45744.0</v>
      </c>
      <c r="D148" s="48">
        <v>45743.0</v>
      </c>
      <c r="G148" s="5"/>
      <c r="H148" s="5"/>
      <c r="I148" s="45" t="s">
        <v>94</v>
      </c>
      <c r="J148" s="45" t="s">
        <v>97</v>
      </c>
      <c r="M148" s="6"/>
      <c r="T148" s="7"/>
      <c r="X148" s="6"/>
      <c r="Z148" s="6"/>
      <c r="AA148" s="7">
        <v>18000.0</v>
      </c>
      <c r="AB148" s="7">
        <v>18000.0</v>
      </c>
      <c r="AC148" s="8">
        <f t="shared" si="3"/>
        <v>0</v>
      </c>
    </row>
    <row r="149" ht="15.75" customHeight="1">
      <c r="A149" s="45" t="s">
        <v>440</v>
      </c>
      <c r="B149" s="47">
        <v>4233628.0</v>
      </c>
      <c r="C149" s="48">
        <v>45771.0</v>
      </c>
      <c r="D149" s="48">
        <v>45743.0</v>
      </c>
      <c r="E149" s="48">
        <v>45769.0</v>
      </c>
      <c r="F149" s="45" t="s">
        <v>441</v>
      </c>
      <c r="G149" s="5" t="s">
        <v>442</v>
      </c>
      <c r="H149" s="5"/>
      <c r="I149" s="45" t="s">
        <v>443</v>
      </c>
      <c r="J149" s="45" t="s">
        <v>349</v>
      </c>
      <c r="K149" s="45" t="s">
        <v>444</v>
      </c>
      <c r="L149" s="45">
        <v>857.14</v>
      </c>
      <c r="M149" s="7">
        <v>7142.86</v>
      </c>
      <c r="T149" s="7"/>
      <c r="X149" s="6"/>
      <c r="Z149" s="6"/>
      <c r="AA149" s="6"/>
      <c r="AB149" s="7">
        <v>8000.0</v>
      </c>
      <c r="AC149" s="8">
        <f t="shared" si="3"/>
        <v>0</v>
      </c>
      <c r="AE149" s="10">
        <v>71.43</v>
      </c>
    </row>
    <row r="150" ht="15.75" customHeight="1">
      <c r="A150" s="45" t="s">
        <v>445</v>
      </c>
      <c r="B150" s="47">
        <v>4233629.0</v>
      </c>
      <c r="C150" s="48">
        <v>45773.0</v>
      </c>
      <c r="D150" s="48">
        <v>45743.0</v>
      </c>
      <c r="E150" s="48">
        <v>45751.0</v>
      </c>
      <c r="F150" s="45" t="s">
        <v>446</v>
      </c>
      <c r="G150" s="47" t="s">
        <v>447</v>
      </c>
      <c r="H150" s="5"/>
      <c r="I150" s="45" t="s">
        <v>448</v>
      </c>
      <c r="J150" s="45" t="s">
        <v>46</v>
      </c>
      <c r="K150" s="45" t="s">
        <v>47</v>
      </c>
      <c r="L150" s="45">
        <v>2455.71</v>
      </c>
      <c r="M150" s="7">
        <v>20464.29</v>
      </c>
      <c r="T150" s="7"/>
      <c r="X150" s="6"/>
      <c r="Z150" s="6"/>
      <c r="AA150" s="6"/>
      <c r="AB150" s="7">
        <v>22920.0</v>
      </c>
      <c r="AC150" s="8">
        <f t="shared" si="3"/>
        <v>0</v>
      </c>
      <c r="AE150" s="10">
        <v>204.64</v>
      </c>
    </row>
    <row r="151" ht="15.75" customHeight="1">
      <c r="A151" s="45" t="s">
        <v>449</v>
      </c>
      <c r="B151" s="47">
        <v>4233630.0</v>
      </c>
      <c r="C151" s="48">
        <v>45747.0</v>
      </c>
      <c r="D151" s="48">
        <v>45747.0</v>
      </c>
      <c r="G151" s="5"/>
      <c r="H151" s="47" t="s">
        <v>450</v>
      </c>
      <c r="I151" s="45" t="s">
        <v>451</v>
      </c>
      <c r="J151" s="45" t="s">
        <v>50</v>
      </c>
      <c r="M151" s="6"/>
      <c r="T151" s="7">
        <v>8060.19</v>
      </c>
      <c r="X151" s="6"/>
      <c r="Z151" s="6"/>
      <c r="AA151" s="6"/>
      <c r="AB151" s="7">
        <v>8060.19</v>
      </c>
      <c r="AC151" s="8">
        <f t="shared" si="3"/>
        <v>0</v>
      </c>
    </row>
    <row r="152" ht="15.75" customHeight="1">
      <c r="A152" s="45" t="s">
        <v>452</v>
      </c>
      <c r="B152" s="47">
        <v>4233631.0</v>
      </c>
      <c r="C152" s="48">
        <v>45747.0</v>
      </c>
      <c r="D152" s="48">
        <v>45747.0</v>
      </c>
      <c r="E152" s="45"/>
      <c r="F152" s="45"/>
      <c r="G152" s="47"/>
      <c r="H152" s="47"/>
      <c r="I152" s="45" t="s">
        <v>453</v>
      </c>
      <c r="J152" s="45" t="s">
        <v>119</v>
      </c>
      <c r="K152" s="45"/>
      <c r="L152" s="45"/>
      <c r="M152" s="7"/>
      <c r="N152" s="45"/>
      <c r="O152" s="45"/>
      <c r="P152" s="45"/>
      <c r="Q152" s="45"/>
      <c r="R152" s="45"/>
      <c r="S152" s="45"/>
      <c r="T152" s="7"/>
      <c r="U152" s="45"/>
      <c r="V152" s="45"/>
      <c r="W152" s="45"/>
      <c r="X152" s="7"/>
      <c r="Y152" s="45"/>
      <c r="Z152" s="7"/>
      <c r="AA152" s="7">
        <v>29521.58</v>
      </c>
      <c r="AB152" s="7">
        <v>29521.58</v>
      </c>
      <c r="AC152" s="8">
        <f t="shared" si="3"/>
        <v>0</v>
      </c>
    </row>
    <row r="153" ht="15.75" customHeight="1">
      <c r="A153" s="45" t="s">
        <v>454</v>
      </c>
      <c r="B153" s="47">
        <v>4233633.0</v>
      </c>
      <c r="C153" s="48">
        <v>45747.0</v>
      </c>
      <c r="D153" s="48">
        <v>45747.0</v>
      </c>
      <c r="E153" s="48">
        <v>45747.0</v>
      </c>
      <c r="F153" s="45" t="s">
        <v>258</v>
      </c>
      <c r="G153" s="47" t="s">
        <v>259</v>
      </c>
      <c r="H153" s="47"/>
      <c r="I153" s="45" t="s">
        <v>455</v>
      </c>
      <c r="J153" s="45" t="s">
        <v>76</v>
      </c>
      <c r="K153" s="45" t="s">
        <v>77</v>
      </c>
      <c r="L153" s="45">
        <v>4553.57</v>
      </c>
      <c r="M153" s="7">
        <v>37946.43</v>
      </c>
      <c r="N153" s="45"/>
      <c r="O153" s="45"/>
      <c r="P153" s="45"/>
      <c r="Q153" s="45"/>
      <c r="R153" s="45"/>
      <c r="S153" s="45"/>
      <c r="T153" s="7"/>
      <c r="U153" s="45"/>
      <c r="V153" s="45"/>
      <c r="W153" s="45"/>
      <c r="X153" s="7"/>
      <c r="Y153" s="45"/>
      <c r="Z153" s="7"/>
      <c r="AA153" s="7"/>
      <c r="AB153" s="7">
        <v>42500.0</v>
      </c>
      <c r="AC153" s="7">
        <f t="shared" si="3"/>
        <v>0</v>
      </c>
    </row>
    <row r="154" ht="15.75" customHeight="1">
      <c r="A154" s="52">
        <v>45748.0</v>
      </c>
      <c r="B154" s="53"/>
      <c r="C154" s="54"/>
      <c r="D154" s="54"/>
      <c r="E154" s="54"/>
      <c r="F154" s="53"/>
      <c r="G154" s="55"/>
      <c r="H154" s="55"/>
      <c r="I154" s="53"/>
      <c r="J154" s="53"/>
      <c r="K154" s="53"/>
      <c r="L154" s="56"/>
      <c r="M154" s="56"/>
      <c r="N154" s="56"/>
      <c r="O154" s="53"/>
      <c r="P154" s="53"/>
      <c r="Q154" s="53"/>
      <c r="R154" s="53"/>
      <c r="S154" s="53"/>
      <c r="T154" s="56"/>
      <c r="U154" s="57"/>
      <c r="V154" s="57"/>
      <c r="W154" s="57"/>
      <c r="X154" s="58"/>
      <c r="Y154" s="57"/>
      <c r="Z154" s="58"/>
      <c r="AA154" s="58"/>
      <c r="AB154" s="56"/>
      <c r="AC154" s="59"/>
      <c r="AD154" s="57"/>
      <c r="AE154" s="56"/>
    </row>
    <row r="155" ht="15.75" customHeight="1">
      <c r="A155" s="61"/>
      <c r="B155" s="45"/>
      <c r="C155" s="48"/>
      <c r="D155" s="48"/>
      <c r="E155" s="48"/>
      <c r="F155" s="45"/>
      <c r="G155" s="47"/>
      <c r="H155" s="47"/>
      <c r="I155" s="9" t="s">
        <v>456</v>
      </c>
      <c r="J155" s="43" t="s">
        <v>37</v>
      </c>
      <c r="K155" s="5"/>
      <c r="L155" s="7"/>
      <c r="M155" s="7"/>
      <c r="N155" s="7"/>
      <c r="O155" s="45"/>
      <c r="P155" s="45"/>
      <c r="Q155" s="7">
        <v>62922.14</v>
      </c>
      <c r="R155" s="45"/>
      <c r="S155" s="45"/>
      <c r="T155" s="7"/>
      <c r="X155" s="6"/>
      <c r="Z155" s="6"/>
      <c r="AA155" s="6"/>
      <c r="AB155" s="7">
        <v>62922.14</v>
      </c>
      <c r="AC155" s="8">
        <f t="shared" ref="AC155:AC185" si="4">SUM(AB155)-SUM(L155:AA155)</f>
        <v>0</v>
      </c>
      <c r="AD155" s="44" t="s">
        <v>38</v>
      </c>
      <c r="AE155" s="7"/>
    </row>
    <row r="156" ht="15.75" customHeight="1">
      <c r="A156" s="45" t="s">
        <v>457</v>
      </c>
      <c r="B156" s="47">
        <v>4233634.0</v>
      </c>
      <c r="C156" s="48">
        <v>45750.0</v>
      </c>
      <c r="D156" s="48">
        <v>45750.0</v>
      </c>
      <c r="G156" s="5"/>
      <c r="H156" s="47" t="s">
        <v>458</v>
      </c>
      <c r="I156" s="45" t="s">
        <v>451</v>
      </c>
      <c r="J156" s="45" t="s">
        <v>50</v>
      </c>
      <c r="M156" s="6"/>
      <c r="T156" s="7">
        <v>5831.0</v>
      </c>
      <c r="X156" s="6"/>
      <c r="Z156" s="6"/>
      <c r="AA156" s="6"/>
      <c r="AB156" s="7">
        <v>5831.0</v>
      </c>
      <c r="AC156" s="8">
        <f t="shared" si="4"/>
        <v>0</v>
      </c>
    </row>
    <row r="157" ht="15.75" customHeight="1">
      <c r="A157" s="45" t="s">
        <v>459</v>
      </c>
      <c r="B157" s="47">
        <v>4233635.0</v>
      </c>
      <c r="C157" s="48">
        <v>45750.0</v>
      </c>
      <c r="D157" s="48">
        <v>45750.0</v>
      </c>
      <c r="E157" s="45"/>
      <c r="F157" s="45"/>
      <c r="G157" s="47"/>
      <c r="H157" s="47"/>
      <c r="I157" s="45" t="s">
        <v>460</v>
      </c>
      <c r="J157" s="45" t="s">
        <v>119</v>
      </c>
      <c r="K157" s="45"/>
      <c r="L157" s="45"/>
      <c r="M157" s="7"/>
      <c r="N157" s="45"/>
      <c r="O157" s="45"/>
      <c r="P157" s="45"/>
      <c r="Q157" s="45"/>
      <c r="R157" s="45"/>
      <c r="S157" s="45"/>
      <c r="T157" s="7"/>
      <c r="U157" s="45"/>
      <c r="V157" s="45"/>
      <c r="W157" s="45"/>
      <c r="X157" s="7"/>
      <c r="Y157" s="45"/>
      <c r="Z157" s="7"/>
      <c r="AA157" s="7">
        <v>15176.0</v>
      </c>
      <c r="AB157" s="7">
        <v>15176.0</v>
      </c>
      <c r="AC157" s="8">
        <f t="shared" si="4"/>
        <v>0</v>
      </c>
    </row>
    <row r="158" ht="15.75" customHeight="1">
      <c r="A158" s="45" t="s">
        <v>461</v>
      </c>
      <c r="B158" s="45" t="s">
        <v>462</v>
      </c>
      <c r="C158" s="48">
        <v>45755.0</v>
      </c>
      <c r="D158" s="48">
        <v>45755.0</v>
      </c>
      <c r="E158" s="62"/>
      <c r="G158" s="5"/>
      <c r="H158" s="5"/>
      <c r="I158" s="45" t="s">
        <v>30</v>
      </c>
      <c r="J158" s="45" t="s">
        <v>41</v>
      </c>
      <c r="M158" s="6"/>
      <c r="T158" s="7"/>
      <c r="X158" s="6"/>
      <c r="Z158" s="7">
        <v>300000.0</v>
      </c>
      <c r="AA158" s="6"/>
      <c r="AB158" s="7">
        <v>300000.0</v>
      </c>
      <c r="AC158" s="8">
        <f t="shared" si="4"/>
        <v>0</v>
      </c>
    </row>
    <row r="159" ht="15.75" customHeight="1">
      <c r="A159" s="45" t="s">
        <v>463</v>
      </c>
      <c r="B159" s="47">
        <v>4233636.0</v>
      </c>
      <c r="C159" s="48">
        <v>45755.0</v>
      </c>
      <c r="D159" s="48">
        <v>45755.0</v>
      </c>
      <c r="E159" s="62"/>
      <c r="G159" s="5"/>
      <c r="H159" s="47" t="s">
        <v>464</v>
      </c>
      <c r="I159" s="45" t="s">
        <v>451</v>
      </c>
      <c r="J159" s="45" t="s">
        <v>50</v>
      </c>
      <c r="M159" s="6"/>
      <c r="T159" s="7">
        <v>3699.35</v>
      </c>
      <c r="X159" s="6"/>
      <c r="Z159" s="6"/>
      <c r="AA159" s="6"/>
      <c r="AB159" s="7">
        <v>3699.35</v>
      </c>
      <c r="AC159" s="8">
        <f t="shared" si="4"/>
        <v>0</v>
      </c>
    </row>
    <row r="160" ht="15.75" customHeight="1">
      <c r="A160" s="45" t="s">
        <v>465</v>
      </c>
      <c r="B160" s="47">
        <v>4233637.0</v>
      </c>
      <c r="C160" s="48">
        <v>45755.0</v>
      </c>
      <c r="D160" s="48">
        <v>45755.0</v>
      </c>
      <c r="E160" s="62"/>
      <c r="G160" s="5"/>
      <c r="H160" s="5" t="s">
        <v>466</v>
      </c>
      <c r="I160" s="45" t="s">
        <v>467</v>
      </c>
      <c r="J160" s="45" t="s">
        <v>468</v>
      </c>
      <c r="M160" s="6"/>
      <c r="T160" s="7"/>
      <c r="X160" s="6"/>
      <c r="Z160" s="6"/>
      <c r="AA160" s="7">
        <v>50000.0</v>
      </c>
      <c r="AB160" s="7">
        <v>50000.0</v>
      </c>
      <c r="AC160" s="8">
        <f t="shared" si="4"/>
        <v>0</v>
      </c>
    </row>
    <row r="161" ht="15.75" customHeight="1">
      <c r="A161" s="45" t="s">
        <v>469</v>
      </c>
      <c r="B161" s="47">
        <v>4233638.0</v>
      </c>
      <c r="C161" s="48">
        <v>45755.0</v>
      </c>
      <c r="D161" s="48">
        <v>45755.0</v>
      </c>
      <c r="E161" s="48">
        <v>45771.0</v>
      </c>
      <c r="F161" s="45" t="s">
        <v>470</v>
      </c>
      <c r="G161" s="47" t="s">
        <v>343</v>
      </c>
      <c r="H161" s="5"/>
      <c r="I161" s="45" t="s">
        <v>471</v>
      </c>
      <c r="J161" s="45" t="s">
        <v>46</v>
      </c>
      <c r="K161" s="45" t="s">
        <v>47</v>
      </c>
      <c r="M161" s="6"/>
      <c r="T161" s="7"/>
      <c r="X161" s="6"/>
      <c r="Z161" s="6"/>
      <c r="AA161" s="7">
        <v>24000.0</v>
      </c>
      <c r="AB161" s="7">
        <v>24000.0</v>
      </c>
      <c r="AC161" s="8">
        <f t="shared" si="4"/>
        <v>0</v>
      </c>
    </row>
    <row r="162" ht="15.75" customHeight="1">
      <c r="A162" s="45" t="s">
        <v>472</v>
      </c>
      <c r="B162" s="47">
        <v>4233639.0</v>
      </c>
      <c r="C162" s="48">
        <v>45755.0</v>
      </c>
      <c r="D162" s="48">
        <v>45755.0</v>
      </c>
      <c r="E162" s="48">
        <v>45771.0</v>
      </c>
      <c r="F162" s="45" t="s">
        <v>473</v>
      </c>
      <c r="G162" s="47" t="s">
        <v>343</v>
      </c>
      <c r="H162" s="5"/>
      <c r="I162" s="45" t="s">
        <v>474</v>
      </c>
      <c r="J162" s="45" t="s">
        <v>46</v>
      </c>
      <c r="K162" s="45" t="s">
        <v>47</v>
      </c>
      <c r="L162" s="7">
        <v>1446.43</v>
      </c>
      <c r="M162" s="7">
        <v>12053.57</v>
      </c>
      <c r="T162" s="7"/>
      <c r="X162" s="6"/>
      <c r="Z162" s="6"/>
      <c r="AA162" s="6"/>
      <c r="AB162" s="7">
        <v>13500.0</v>
      </c>
      <c r="AC162" s="8">
        <f t="shared" si="4"/>
        <v>0</v>
      </c>
      <c r="AE162" s="10">
        <v>120.54</v>
      </c>
    </row>
    <row r="163" ht="15.75" customHeight="1">
      <c r="A163" s="45" t="s">
        <v>475</v>
      </c>
      <c r="B163" s="47">
        <v>4233640.0</v>
      </c>
      <c r="C163" s="48">
        <v>45799.0</v>
      </c>
      <c r="D163" s="48">
        <v>45755.0</v>
      </c>
      <c r="E163" s="48">
        <v>45762.0</v>
      </c>
      <c r="F163" s="45" t="s">
        <v>476</v>
      </c>
      <c r="G163" s="47" t="s">
        <v>366</v>
      </c>
      <c r="H163" s="5"/>
      <c r="I163" s="45" t="s">
        <v>477</v>
      </c>
      <c r="J163" s="45" t="s">
        <v>76</v>
      </c>
      <c r="K163" s="45" t="s">
        <v>77</v>
      </c>
      <c r="L163" s="45">
        <v>9107.14</v>
      </c>
      <c r="M163" s="7">
        <v>75892.86</v>
      </c>
      <c r="T163" s="7"/>
      <c r="X163" s="6"/>
      <c r="Z163" s="6"/>
      <c r="AA163" s="6"/>
      <c r="AB163" s="7">
        <v>85000.0</v>
      </c>
      <c r="AC163" s="8">
        <f t="shared" si="4"/>
        <v>0</v>
      </c>
      <c r="AE163" s="10">
        <v>758.93</v>
      </c>
    </row>
    <row r="164" ht="15.75" customHeight="1">
      <c r="A164" s="45" t="s">
        <v>478</v>
      </c>
      <c r="B164" s="47">
        <v>4233641.0</v>
      </c>
      <c r="C164" s="48">
        <v>45784.0</v>
      </c>
      <c r="D164" s="48">
        <v>45755.0</v>
      </c>
      <c r="E164" s="48">
        <v>45785.0</v>
      </c>
      <c r="F164" s="45" t="s">
        <v>479</v>
      </c>
      <c r="G164" s="47" t="s">
        <v>480</v>
      </c>
      <c r="H164" s="5"/>
      <c r="I164" s="45" t="s">
        <v>481</v>
      </c>
      <c r="J164" s="45" t="s">
        <v>82</v>
      </c>
      <c r="K164" s="45" t="s">
        <v>83</v>
      </c>
      <c r="L164" s="7">
        <v>4500.0</v>
      </c>
      <c r="M164" s="7">
        <v>37500.0</v>
      </c>
      <c r="T164" s="7"/>
      <c r="X164" s="6"/>
      <c r="Z164" s="6"/>
      <c r="AA164" s="6"/>
      <c r="AB164" s="7">
        <v>42000.0</v>
      </c>
      <c r="AC164" s="8">
        <f t="shared" si="4"/>
        <v>0</v>
      </c>
      <c r="AE164" s="10">
        <v>375.0</v>
      </c>
    </row>
    <row r="165" ht="15.75" customHeight="1">
      <c r="A165" s="45" t="s">
        <v>482</v>
      </c>
      <c r="B165" s="47">
        <v>4233642.0</v>
      </c>
      <c r="C165" s="48">
        <v>45784.0</v>
      </c>
      <c r="D165" s="48">
        <v>45755.0</v>
      </c>
      <c r="E165" s="48">
        <v>45769.0</v>
      </c>
      <c r="F165" s="45" t="s">
        <v>483</v>
      </c>
      <c r="G165" s="47" t="s">
        <v>484</v>
      </c>
      <c r="H165" s="5"/>
      <c r="I165" s="45" t="s">
        <v>485</v>
      </c>
      <c r="J165" s="45" t="s">
        <v>70</v>
      </c>
      <c r="K165" s="45" t="s">
        <v>71</v>
      </c>
      <c r="L165" s="7">
        <v>11785.71</v>
      </c>
      <c r="M165" s="7">
        <v>98214.29</v>
      </c>
      <c r="T165" s="7"/>
      <c r="X165" s="6"/>
      <c r="Z165" s="6"/>
      <c r="AA165" s="6"/>
      <c r="AB165" s="7">
        <v>110000.0</v>
      </c>
      <c r="AC165" s="8">
        <f t="shared" si="4"/>
        <v>0</v>
      </c>
      <c r="AE165" s="10">
        <v>982.14</v>
      </c>
    </row>
    <row r="166" ht="15.75" customHeight="1">
      <c r="A166" s="45" t="s">
        <v>486</v>
      </c>
      <c r="B166" s="47">
        <v>4233643.0</v>
      </c>
      <c r="C166" s="48">
        <v>45761.0</v>
      </c>
      <c r="D166" s="48">
        <v>45755.0</v>
      </c>
      <c r="E166" s="45"/>
      <c r="G166" s="5"/>
      <c r="H166" s="5"/>
      <c r="I166" s="45" t="s">
        <v>487</v>
      </c>
      <c r="J166" s="45" t="s">
        <v>58</v>
      </c>
      <c r="L166" s="7">
        <v>32.14</v>
      </c>
      <c r="M166" s="6"/>
      <c r="S166" s="45">
        <v>267.86</v>
      </c>
      <c r="T166" s="7"/>
      <c r="X166" s="6"/>
      <c r="Z166" s="6"/>
      <c r="AA166" s="6"/>
      <c r="AB166" s="7">
        <v>300.0</v>
      </c>
      <c r="AC166" s="8">
        <f t="shared" si="4"/>
        <v>0</v>
      </c>
    </row>
    <row r="167" ht="15.75" customHeight="1">
      <c r="A167" s="45" t="s">
        <v>488</v>
      </c>
      <c r="B167" s="47">
        <v>4233644.0</v>
      </c>
      <c r="C167" s="48">
        <v>45761.0</v>
      </c>
      <c r="D167" s="48">
        <v>45755.0</v>
      </c>
      <c r="E167" s="45"/>
      <c r="G167" s="5"/>
      <c r="H167" s="5"/>
      <c r="I167" s="45" t="s">
        <v>487</v>
      </c>
      <c r="J167" s="45" t="s">
        <v>58</v>
      </c>
      <c r="L167" s="7">
        <v>37.26</v>
      </c>
      <c r="M167" s="6"/>
      <c r="S167" s="45">
        <v>310.54</v>
      </c>
      <c r="T167" s="7"/>
      <c r="X167" s="6"/>
      <c r="Z167" s="6"/>
      <c r="AA167" s="6"/>
      <c r="AB167" s="7">
        <v>347.8</v>
      </c>
      <c r="AC167" s="8">
        <f t="shared" si="4"/>
        <v>0</v>
      </c>
    </row>
    <row r="168" ht="15.75" customHeight="1">
      <c r="A168" s="45" t="s">
        <v>489</v>
      </c>
      <c r="B168" s="45" t="s">
        <v>490</v>
      </c>
      <c r="C168" s="48">
        <v>45758.0</v>
      </c>
      <c r="D168" s="48">
        <v>45755.0</v>
      </c>
      <c r="E168" s="48">
        <v>45758.0</v>
      </c>
      <c r="F168" s="45" t="s">
        <v>491</v>
      </c>
      <c r="G168" s="47" t="s">
        <v>492</v>
      </c>
      <c r="H168" s="5"/>
      <c r="I168" s="45" t="s">
        <v>493</v>
      </c>
      <c r="J168" s="45" t="s">
        <v>91</v>
      </c>
      <c r="K168" s="45" t="s">
        <v>92</v>
      </c>
      <c r="L168" s="7">
        <v>14364.11</v>
      </c>
      <c r="M168" s="7">
        <v>119700.89</v>
      </c>
      <c r="T168" s="7"/>
      <c r="X168" s="6"/>
      <c r="Z168" s="6"/>
      <c r="AA168" s="6"/>
      <c r="AB168" s="7">
        <v>134065.0</v>
      </c>
      <c r="AC168" s="8">
        <f t="shared" si="4"/>
        <v>0</v>
      </c>
      <c r="AE168" s="7">
        <v>1197.01</v>
      </c>
    </row>
    <row r="169" ht="15.75" customHeight="1">
      <c r="A169" s="45" t="s">
        <v>494</v>
      </c>
      <c r="B169" s="47">
        <v>4233645.0</v>
      </c>
      <c r="C169" s="48">
        <v>45762.0</v>
      </c>
      <c r="D169" s="48">
        <v>45758.0</v>
      </c>
      <c r="G169" s="5"/>
      <c r="H169" s="5"/>
      <c r="I169" s="45" t="s">
        <v>94</v>
      </c>
      <c r="J169" s="45" t="s">
        <v>95</v>
      </c>
      <c r="M169" s="6"/>
      <c r="T169" s="7"/>
      <c r="X169" s="6"/>
      <c r="Z169" s="6"/>
      <c r="AA169" s="6">
        <v>25600.0</v>
      </c>
      <c r="AB169" s="7">
        <v>25600.0</v>
      </c>
      <c r="AC169" s="8">
        <f t="shared" si="4"/>
        <v>0</v>
      </c>
      <c r="AK169" s="10" t="s">
        <v>495</v>
      </c>
    </row>
    <row r="170" ht="15.75" customHeight="1">
      <c r="A170" s="45" t="s">
        <v>496</v>
      </c>
      <c r="B170" s="47">
        <v>4233646.0</v>
      </c>
      <c r="C170" s="48">
        <v>45762.0</v>
      </c>
      <c r="D170" s="48">
        <v>45758.0</v>
      </c>
      <c r="G170" s="5"/>
      <c r="H170" s="5"/>
      <c r="I170" s="45" t="s">
        <v>94</v>
      </c>
      <c r="J170" s="45" t="s">
        <v>97</v>
      </c>
      <c r="M170" s="6"/>
      <c r="T170" s="7"/>
      <c r="X170" s="6"/>
      <c r="Z170" s="6"/>
      <c r="AA170" s="6">
        <v>16000.0</v>
      </c>
      <c r="AB170" s="7">
        <v>16000.0</v>
      </c>
      <c r="AC170" s="8">
        <f t="shared" si="4"/>
        <v>0</v>
      </c>
    </row>
    <row r="171" ht="15.75" customHeight="1">
      <c r="A171" s="45" t="s">
        <v>497</v>
      </c>
      <c r="B171" s="47">
        <v>4233647.0</v>
      </c>
      <c r="C171" s="48">
        <v>45761.0</v>
      </c>
      <c r="D171" s="48">
        <v>45758.0</v>
      </c>
      <c r="E171" s="48">
        <v>45763.0</v>
      </c>
      <c r="F171" s="45" t="s">
        <v>498</v>
      </c>
      <c r="G171" s="5"/>
      <c r="H171" s="5"/>
      <c r="I171" s="45" t="s">
        <v>499</v>
      </c>
      <c r="J171" s="45" t="s">
        <v>142</v>
      </c>
      <c r="M171" s="6"/>
      <c r="T171" s="7"/>
      <c r="X171" s="6"/>
      <c r="Z171" s="6"/>
      <c r="AA171" s="6">
        <v>5985.6</v>
      </c>
      <c r="AB171" s="7">
        <v>5985.6</v>
      </c>
      <c r="AC171" s="8">
        <f t="shared" si="4"/>
        <v>0</v>
      </c>
    </row>
    <row r="172" ht="15.75" customHeight="1">
      <c r="A172" s="45" t="s">
        <v>500</v>
      </c>
      <c r="B172" s="47">
        <v>4233648.0</v>
      </c>
      <c r="C172" s="48">
        <v>45758.0</v>
      </c>
      <c r="D172" s="48">
        <v>45758.0</v>
      </c>
      <c r="G172" s="5"/>
      <c r="H172" s="47" t="s">
        <v>501</v>
      </c>
      <c r="I172" s="45" t="s">
        <v>394</v>
      </c>
      <c r="J172" s="45" t="s">
        <v>50</v>
      </c>
      <c r="M172" s="6"/>
      <c r="T172" s="7">
        <v>9987.48</v>
      </c>
      <c r="X172" s="6"/>
      <c r="Z172" s="6"/>
      <c r="AA172" s="6"/>
      <c r="AB172" s="7">
        <v>9987.48</v>
      </c>
      <c r="AC172" s="8">
        <f t="shared" si="4"/>
        <v>0</v>
      </c>
    </row>
    <row r="173" ht="15.75" customHeight="1">
      <c r="A173" s="45" t="s">
        <v>502</v>
      </c>
      <c r="B173" s="47">
        <v>4233649.0</v>
      </c>
      <c r="C173" s="48">
        <v>45758.0</v>
      </c>
      <c r="D173" s="48">
        <v>45758.0</v>
      </c>
      <c r="G173" s="5"/>
      <c r="H173" s="5"/>
      <c r="I173" s="45" t="s">
        <v>503</v>
      </c>
      <c r="J173" s="45" t="s">
        <v>504</v>
      </c>
      <c r="M173" s="6"/>
      <c r="T173" s="7"/>
      <c r="X173" s="6"/>
      <c r="Z173" s="6"/>
      <c r="AA173" s="7">
        <v>4116.0</v>
      </c>
      <c r="AB173" s="7">
        <v>4116.0</v>
      </c>
      <c r="AC173" s="8">
        <f t="shared" si="4"/>
        <v>0</v>
      </c>
    </row>
    <row r="174" ht="15.75" customHeight="1">
      <c r="A174" s="45" t="s">
        <v>505</v>
      </c>
      <c r="B174" s="47">
        <v>4233650.0</v>
      </c>
      <c r="C174" s="48">
        <v>45762.0</v>
      </c>
      <c r="D174" s="48">
        <v>45761.0</v>
      </c>
      <c r="F174" s="9"/>
      <c r="G174" s="9"/>
      <c r="H174" s="5"/>
      <c r="I174" s="45" t="s">
        <v>94</v>
      </c>
      <c r="J174" s="45" t="s">
        <v>97</v>
      </c>
      <c r="M174" s="6"/>
      <c r="T174" s="7"/>
      <c r="X174" s="6"/>
      <c r="Z174" s="6"/>
      <c r="AA174" s="7">
        <v>15000.0</v>
      </c>
      <c r="AB174" s="7">
        <v>15000.0</v>
      </c>
      <c r="AC174" s="8">
        <f t="shared" si="4"/>
        <v>0</v>
      </c>
    </row>
    <row r="175" ht="15.75" customHeight="1">
      <c r="A175" s="45" t="s">
        <v>506</v>
      </c>
      <c r="B175" s="47">
        <v>4233651.0</v>
      </c>
      <c r="C175" s="48">
        <v>45762.0</v>
      </c>
      <c r="D175" s="48">
        <v>45761.0</v>
      </c>
      <c r="G175" s="5"/>
      <c r="H175" s="5"/>
      <c r="I175" s="45" t="s">
        <v>507</v>
      </c>
      <c r="J175" s="45" t="s">
        <v>100</v>
      </c>
      <c r="M175" s="6"/>
      <c r="T175" s="7"/>
      <c r="X175" s="6">
        <v>9802.87</v>
      </c>
      <c r="Z175" s="6"/>
      <c r="AA175" s="6"/>
      <c r="AB175" s="7">
        <v>9802.87</v>
      </c>
      <c r="AC175" s="8">
        <f t="shared" si="4"/>
        <v>0</v>
      </c>
    </row>
    <row r="176" ht="15.75" customHeight="1">
      <c r="A176" s="45" t="s">
        <v>508</v>
      </c>
      <c r="B176" s="47">
        <v>4233652.0</v>
      </c>
      <c r="C176" s="48">
        <v>45762.0</v>
      </c>
      <c r="D176" s="48">
        <v>45761.0</v>
      </c>
      <c r="G176" s="5"/>
      <c r="H176" s="5"/>
      <c r="I176" s="45" t="s">
        <v>509</v>
      </c>
      <c r="J176" s="45" t="s">
        <v>22</v>
      </c>
      <c r="L176" s="45">
        <v>151.09</v>
      </c>
      <c r="M176" s="7"/>
      <c r="N176" s="45"/>
      <c r="O176" s="45"/>
      <c r="P176" s="45"/>
      <c r="Q176" s="45"/>
      <c r="R176" s="7">
        <v>1259.06</v>
      </c>
      <c r="T176" s="7"/>
      <c r="X176" s="6"/>
      <c r="Z176" s="6"/>
      <c r="AA176" s="6"/>
      <c r="AB176" s="7">
        <v>1410.15</v>
      </c>
      <c r="AC176" s="8">
        <f t="shared" si="4"/>
        <v>0</v>
      </c>
    </row>
    <row r="177" ht="15.75" customHeight="1">
      <c r="A177" s="45" t="s">
        <v>510</v>
      </c>
      <c r="B177" s="47">
        <v>4233653.0</v>
      </c>
      <c r="C177" s="48">
        <v>45762.0</v>
      </c>
      <c r="D177" s="48">
        <v>45761.0</v>
      </c>
      <c r="F177" s="45"/>
      <c r="G177" s="47"/>
      <c r="H177" s="47"/>
      <c r="I177" s="45" t="s">
        <v>509</v>
      </c>
      <c r="J177" s="45" t="s">
        <v>22</v>
      </c>
      <c r="K177" s="45"/>
      <c r="L177" s="45">
        <v>811.09</v>
      </c>
      <c r="M177" s="7"/>
      <c r="N177" s="45"/>
      <c r="O177" s="45"/>
      <c r="P177" s="45"/>
      <c r="Q177" s="45"/>
      <c r="R177" s="7">
        <v>6759.06</v>
      </c>
      <c r="S177" s="45"/>
      <c r="T177" s="7"/>
      <c r="U177" s="45"/>
      <c r="V177" s="45"/>
      <c r="W177" s="45"/>
      <c r="X177" s="7"/>
      <c r="Y177" s="45"/>
      <c r="Z177" s="7"/>
      <c r="AA177" s="7"/>
      <c r="AB177" s="7">
        <v>7570.15</v>
      </c>
      <c r="AC177" s="8">
        <f t="shared" si="4"/>
        <v>0</v>
      </c>
    </row>
    <row r="178" ht="15.75" customHeight="1">
      <c r="A178" s="45" t="s">
        <v>511</v>
      </c>
      <c r="B178" s="47">
        <v>4233654.0</v>
      </c>
      <c r="C178" s="48">
        <v>45762.0</v>
      </c>
      <c r="D178" s="48">
        <v>45761.0</v>
      </c>
      <c r="E178" s="63">
        <v>45755.0</v>
      </c>
      <c r="F178" s="45" t="s">
        <v>512</v>
      </c>
      <c r="G178" s="47" t="s">
        <v>513</v>
      </c>
      <c r="H178" s="47"/>
      <c r="I178" s="45" t="s">
        <v>514</v>
      </c>
      <c r="J178" s="45" t="s">
        <v>148</v>
      </c>
      <c r="K178" s="45"/>
      <c r="L178" s="45"/>
      <c r="M178" s="7">
        <v>27500.0</v>
      </c>
      <c r="N178" s="45"/>
      <c r="O178" s="45"/>
      <c r="P178" s="45"/>
      <c r="Q178" s="45"/>
      <c r="R178" s="45"/>
      <c r="S178" s="45"/>
      <c r="T178" s="7"/>
      <c r="U178" s="45"/>
      <c r="V178" s="45"/>
      <c r="W178" s="45"/>
      <c r="X178" s="7"/>
      <c r="Y178" s="45"/>
      <c r="Z178" s="7"/>
      <c r="AA178" s="7"/>
      <c r="AB178" s="7">
        <v>27500.0</v>
      </c>
      <c r="AC178" s="8">
        <f t="shared" si="4"/>
        <v>0</v>
      </c>
    </row>
    <row r="179" ht="15.75" customHeight="1">
      <c r="A179" s="45" t="s">
        <v>515</v>
      </c>
      <c r="B179" s="47">
        <v>4233655.0</v>
      </c>
      <c r="C179" s="48">
        <v>45762.0</v>
      </c>
      <c r="D179" s="48">
        <v>45761.0</v>
      </c>
      <c r="F179" s="45" t="s">
        <v>516</v>
      </c>
      <c r="G179" s="64" t="s">
        <v>517</v>
      </c>
      <c r="H179" s="47"/>
      <c r="I179" s="45" t="s">
        <v>518</v>
      </c>
      <c r="J179" s="45" t="s">
        <v>148</v>
      </c>
      <c r="K179" s="45"/>
      <c r="L179" s="45"/>
      <c r="M179" s="7"/>
      <c r="N179" s="45"/>
      <c r="O179" s="45"/>
      <c r="P179" s="45"/>
      <c r="Q179" s="45"/>
      <c r="R179" s="45"/>
      <c r="S179" s="45"/>
      <c r="T179" s="7"/>
      <c r="U179" s="45"/>
      <c r="V179" s="45"/>
      <c r="W179" s="45"/>
      <c r="X179" s="7"/>
      <c r="Y179" s="45"/>
      <c r="Z179" s="7"/>
      <c r="AA179" s="7">
        <v>7350.0</v>
      </c>
      <c r="AB179" s="7">
        <v>7350.0</v>
      </c>
      <c r="AC179" s="8">
        <f t="shared" si="4"/>
        <v>0</v>
      </c>
    </row>
    <row r="180" ht="15.75" customHeight="1">
      <c r="A180" s="45" t="s">
        <v>519</v>
      </c>
      <c r="B180" s="47">
        <v>4233656.0</v>
      </c>
      <c r="C180" s="48">
        <v>45763.0</v>
      </c>
      <c r="D180" s="48">
        <v>45763.0</v>
      </c>
      <c r="F180" s="45"/>
      <c r="G180" s="47"/>
      <c r="H180" s="47"/>
      <c r="I180" s="45" t="s">
        <v>520</v>
      </c>
      <c r="J180" s="45" t="s">
        <v>103</v>
      </c>
      <c r="K180" s="45"/>
      <c r="L180" s="45">
        <v>161.68</v>
      </c>
      <c r="M180" s="7"/>
      <c r="N180" s="45"/>
      <c r="O180" s="45"/>
      <c r="P180" s="45"/>
      <c r="Q180" s="45"/>
      <c r="R180" s="45"/>
      <c r="S180" s="45">
        <v>1347.32</v>
      </c>
      <c r="T180" s="7"/>
      <c r="U180" s="45"/>
      <c r="V180" s="45"/>
      <c r="W180" s="45"/>
      <c r="X180" s="7"/>
      <c r="Y180" s="45"/>
      <c r="Z180" s="7"/>
      <c r="AA180" s="7"/>
      <c r="AB180" s="7">
        <v>1509.0</v>
      </c>
      <c r="AC180" s="8">
        <f t="shared" si="4"/>
        <v>0</v>
      </c>
    </row>
    <row r="181" ht="15.75" customHeight="1">
      <c r="A181" s="45" t="s">
        <v>521</v>
      </c>
      <c r="B181" s="47">
        <v>4233657.0</v>
      </c>
      <c r="C181" s="48">
        <v>45763.0</v>
      </c>
      <c r="D181" s="48">
        <v>45763.0</v>
      </c>
      <c r="G181" s="5"/>
      <c r="H181" s="5"/>
      <c r="I181" s="45" t="s">
        <v>522</v>
      </c>
      <c r="J181" s="45" t="s">
        <v>103</v>
      </c>
      <c r="L181" s="45">
        <v>107.04</v>
      </c>
      <c r="M181" s="6"/>
      <c r="S181" s="45">
        <v>891.96</v>
      </c>
      <c r="T181" s="7"/>
      <c r="X181" s="6"/>
      <c r="Z181" s="6"/>
      <c r="AA181" s="6"/>
      <c r="AB181" s="7">
        <v>999.0</v>
      </c>
      <c r="AC181" s="8">
        <f t="shared" si="4"/>
        <v>0</v>
      </c>
    </row>
    <row r="182" ht="15.75" customHeight="1">
      <c r="A182" s="45" t="s">
        <v>523</v>
      </c>
      <c r="B182" s="47">
        <v>4233658.0</v>
      </c>
      <c r="C182" s="48">
        <v>45763.0</v>
      </c>
      <c r="D182" s="48">
        <v>45763.0</v>
      </c>
      <c r="G182" s="5"/>
      <c r="H182" s="47" t="s">
        <v>524</v>
      </c>
      <c r="I182" s="45" t="s">
        <v>451</v>
      </c>
      <c r="J182" s="45" t="s">
        <v>41</v>
      </c>
      <c r="L182" s="45"/>
      <c r="M182" s="6"/>
      <c r="T182" s="7">
        <v>4992.06</v>
      </c>
      <c r="X182" s="6"/>
      <c r="Z182" s="6"/>
      <c r="AA182" s="6"/>
      <c r="AB182" s="7">
        <v>4992.06</v>
      </c>
      <c r="AC182" s="8">
        <f t="shared" si="4"/>
        <v>0</v>
      </c>
    </row>
    <row r="183" ht="15.75" customHeight="1">
      <c r="A183" s="45" t="s">
        <v>525</v>
      </c>
      <c r="B183" s="47">
        <v>4233659.0</v>
      </c>
      <c r="C183" s="48">
        <v>45769.0</v>
      </c>
      <c r="D183" s="48">
        <v>45768.0</v>
      </c>
      <c r="G183" s="5"/>
      <c r="H183" s="5"/>
      <c r="I183" s="45" t="s">
        <v>526</v>
      </c>
      <c r="J183" s="45" t="s">
        <v>296</v>
      </c>
      <c r="L183" s="45"/>
      <c r="M183" s="6"/>
      <c r="T183" s="7"/>
      <c r="X183" s="6"/>
      <c r="Z183" s="6"/>
      <c r="AA183" s="7">
        <v>14000.0</v>
      </c>
      <c r="AB183" s="7">
        <v>14000.0</v>
      </c>
      <c r="AC183" s="8">
        <f t="shared" si="4"/>
        <v>0</v>
      </c>
    </row>
    <row r="184" ht="15.75" customHeight="1">
      <c r="A184" s="45" t="s">
        <v>527</v>
      </c>
      <c r="B184" s="47">
        <v>4233660.0</v>
      </c>
      <c r="C184" s="48">
        <v>45769.0</v>
      </c>
      <c r="D184" s="48">
        <v>45768.0</v>
      </c>
      <c r="G184" s="5"/>
      <c r="H184" s="5"/>
      <c r="I184" s="45" t="s">
        <v>528</v>
      </c>
      <c r="J184" s="45" t="s">
        <v>119</v>
      </c>
      <c r="L184" s="45"/>
      <c r="M184" s="6"/>
      <c r="T184" s="7"/>
      <c r="X184" s="6"/>
      <c r="Z184" s="6"/>
      <c r="AA184" s="7">
        <v>5000.0</v>
      </c>
      <c r="AB184" s="7">
        <v>5000.0</v>
      </c>
      <c r="AC184" s="8">
        <f t="shared" si="4"/>
        <v>0</v>
      </c>
    </row>
    <row r="185" ht="15.75" customHeight="1">
      <c r="A185" s="45" t="s">
        <v>529</v>
      </c>
      <c r="B185" s="47">
        <v>4233661.0</v>
      </c>
      <c r="C185" s="48">
        <v>45769.0</v>
      </c>
      <c r="D185" s="48">
        <v>45769.0</v>
      </c>
      <c r="E185" s="45"/>
      <c r="F185" s="45"/>
      <c r="G185" s="5"/>
      <c r="H185" s="5"/>
      <c r="I185" s="45" t="s">
        <v>144</v>
      </c>
      <c r="J185" s="45" t="s">
        <v>103</v>
      </c>
      <c r="L185" s="45">
        <v>1387.24</v>
      </c>
      <c r="M185" s="6"/>
      <c r="S185" s="7">
        <v>11560.31</v>
      </c>
      <c r="T185" s="7"/>
      <c r="X185" s="6"/>
      <c r="Z185" s="6"/>
      <c r="AA185" s="6"/>
      <c r="AB185" s="7">
        <v>12947.55</v>
      </c>
      <c r="AC185" s="8">
        <f t="shared" si="4"/>
        <v>0</v>
      </c>
    </row>
    <row r="186" ht="15.75" customHeight="1">
      <c r="A186" s="45" t="s">
        <v>530</v>
      </c>
      <c r="B186" s="45" t="s">
        <v>531</v>
      </c>
      <c r="C186" s="48">
        <v>45769.0</v>
      </c>
      <c r="D186" s="48">
        <v>45769.0</v>
      </c>
      <c r="E186" s="45"/>
      <c r="F186" s="45"/>
      <c r="G186" s="5"/>
      <c r="H186" s="5"/>
      <c r="I186" s="45" t="s">
        <v>532</v>
      </c>
      <c r="J186" s="45" t="s">
        <v>119</v>
      </c>
      <c r="L186" s="45"/>
      <c r="M186" s="6"/>
      <c r="T186" s="7"/>
      <c r="W186" s="7">
        <v>30000.0</v>
      </c>
      <c r="X186" s="6"/>
      <c r="Z186" s="6"/>
      <c r="AA186" s="7"/>
      <c r="AB186" s="7">
        <v>30000.0</v>
      </c>
      <c r="AC186" s="8">
        <f>SUM(AB186)-SUM(L186:Z186)</f>
        <v>0</v>
      </c>
    </row>
    <row r="187" ht="15.75" customHeight="1">
      <c r="A187" s="45" t="s">
        <v>533</v>
      </c>
      <c r="B187" s="45" t="s">
        <v>534</v>
      </c>
      <c r="C187" s="48">
        <v>45769.0</v>
      </c>
      <c r="D187" s="48">
        <v>45769.0</v>
      </c>
      <c r="E187" s="45"/>
      <c r="F187" s="45"/>
      <c r="G187" s="5"/>
      <c r="H187" s="5"/>
      <c r="I187" s="45" t="s">
        <v>20</v>
      </c>
      <c r="J187" s="45" t="s">
        <v>535</v>
      </c>
      <c r="L187" s="45"/>
      <c r="M187" s="6"/>
      <c r="P187" s="7">
        <v>10000.0</v>
      </c>
      <c r="T187" s="7"/>
      <c r="X187" s="6"/>
      <c r="Z187" s="6"/>
      <c r="AA187" s="6"/>
      <c r="AB187" s="7">
        <v>10000.0</v>
      </c>
      <c r="AC187" s="8">
        <f t="shared" ref="AC187:AC191" si="5">SUM(AB187)-SUM(L187:AA187)</f>
        <v>0</v>
      </c>
    </row>
    <row r="188" ht="15.75" customHeight="1">
      <c r="A188" s="45" t="s">
        <v>536</v>
      </c>
      <c r="B188" s="45" t="s">
        <v>537</v>
      </c>
      <c r="C188" s="48">
        <v>45771.0</v>
      </c>
      <c r="D188" s="48">
        <v>45769.0</v>
      </c>
      <c r="E188" s="45"/>
      <c r="F188" s="45"/>
      <c r="G188" s="5"/>
      <c r="H188" s="5"/>
      <c r="I188" s="45" t="s">
        <v>20</v>
      </c>
      <c r="J188" s="45" t="s">
        <v>538</v>
      </c>
      <c r="M188" s="6"/>
      <c r="P188" s="7">
        <v>30000.0</v>
      </c>
      <c r="T188" s="7"/>
      <c r="X188" s="6"/>
      <c r="Z188" s="6"/>
      <c r="AA188" s="6"/>
      <c r="AB188" s="7">
        <v>30000.0</v>
      </c>
      <c r="AC188" s="8">
        <f t="shared" si="5"/>
        <v>0</v>
      </c>
    </row>
    <row r="189" ht="15.75" customHeight="1">
      <c r="A189" s="45" t="s">
        <v>539</v>
      </c>
      <c r="B189" s="47">
        <v>4233662.0</v>
      </c>
      <c r="C189" s="48">
        <v>45776.0</v>
      </c>
      <c r="D189" s="48">
        <v>45771.0</v>
      </c>
      <c r="E189" s="45"/>
      <c r="F189" s="45"/>
      <c r="G189" s="47"/>
      <c r="H189" s="47"/>
      <c r="I189" s="45" t="s">
        <v>540</v>
      </c>
      <c r="J189" s="45" t="s">
        <v>125</v>
      </c>
      <c r="K189" s="45"/>
      <c r="L189" s="45"/>
      <c r="M189" s="7"/>
      <c r="N189" s="45"/>
      <c r="O189" s="45"/>
      <c r="P189" s="45"/>
      <c r="Q189" s="45"/>
      <c r="R189" s="45"/>
      <c r="S189" s="45"/>
      <c r="T189" s="7"/>
      <c r="U189" s="45"/>
      <c r="V189" s="45"/>
      <c r="W189" s="45"/>
      <c r="X189" s="7"/>
      <c r="Y189" s="45"/>
      <c r="Z189" s="7"/>
      <c r="AA189" s="7">
        <v>12500.0</v>
      </c>
      <c r="AB189" s="7">
        <v>12500.0</v>
      </c>
      <c r="AC189" s="8">
        <f t="shared" si="5"/>
        <v>0</v>
      </c>
    </row>
    <row r="190" ht="15.75" customHeight="1">
      <c r="A190" s="45" t="s">
        <v>541</v>
      </c>
      <c r="B190" s="47">
        <v>4233663.0</v>
      </c>
      <c r="C190" s="48">
        <v>45813.0</v>
      </c>
      <c r="D190" s="48">
        <v>45771.0</v>
      </c>
      <c r="E190" s="48">
        <v>45775.0</v>
      </c>
      <c r="F190" s="45" t="s">
        <v>542</v>
      </c>
      <c r="G190" s="47" t="s">
        <v>543</v>
      </c>
      <c r="H190" s="47"/>
      <c r="I190" s="45" t="s">
        <v>544</v>
      </c>
      <c r="J190" s="45" t="s">
        <v>76</v>
      </c>
      <c r="K190" s="45" t="s">
        <v>77</v>
      </c>
      <c r="L190" s="45">
        <v>3053.57</v>
      </c>
      <c r="M190" s="7">
        <v>25446.43</v>
      </c>
      <c r="N190" s="45"/>
      <c r="O190" s="45"/>
      <c r="P190" s="45"/>
      <c r="Q190" s="45"/>
      <c r="R190" s="45"/>
      <c r="S190" s="45"/>
      <c r="T190" s="7"/>
      <c r="U190" s="45"/>
      <c r="V190" s="45"/>
      <c r="W190" s="45"/>
      <c r="X190" s="7"/>
      <c r="Y190" s="45"/>
      <c r="Z190" s="7"/>
      <c r="AA190" s="7"/>
      <c r="AB190" s="7">
        <v>28500.0</v>
      </c>
      <c r="AC190" s="8">
        <f t="shared" si="5"/>
        <v>0</v>
      </c>
      <c r="AE190" s="45">
        <v>254.46</v>
      </c>
    </row>
    <row r="191" ht="15.75" customHeight="1">
      <c r="A191" s="45" t="s">
        <v>545</v>
      </c>
      <c r="B191" s="47">
        <v>4233664.0</v>
      </c>
      <c r="C191" s="48">
        <v>45777.0</v>
      </c>
      <c r="D191" s="48">
        <v>45771.0</v>
      </c>
      <c r="E191" s="48">
        <v>45782.0</v>
      </c>
      <c r="F191" s="45" t="s">
        <v>546</v>
      </c>
      <c r="G191" s="47" t="s">
        <v>547</v>
      </c>
      <c r="H191" s="47"/>
      <c r="I191" s="45" t="s">
        <v>548</v>
      </c>
      <c r="J191" s="45" t="s">
        <v>91</v>
      </c>
      <c r="K191" s="45" t="s">
        <v>92</v>
      </c>
      <c r="L191" s="45">
        <v>2448.21</v>
      </c>
      <c r="M191" s="7">
        <v>20401.79</v>
      </c>
      <c r="N191" s="45"/>
      <c r="O191" s="45"/>
      <c r="P191" s="45"/>
      <c r="Q191" s="45"/>
      <c r="R191" s="45"/>
      <c r="S191" s="45"/>
      <c r="T191" s="7"/>
      <c r="U191" s="45"/>
      <c r="V191" s="45"/>
      <c r="W191" s="45"/>
      <c r="X191" s="7"/>
      <c r="Y191" s="45"/>
      <c r="Z191" s="7"/>
      <c r="AA191" s="7"/>
      <c r="AB191" s="7">
        <v>22850.0</v>
      </c>
      <c r="AC191" s="8">
        <f t="shared" si="5"/>
        <v>0</v>
      </c>
      <c r="AE191" s="45">
        <v>204.02</v>
      </c>
    </row>
    <row r="192" ht="15.75" customHeight="1">
      <c r="A192" s="45" t="s">
        <v>549</v>
      </c>
      <c r="B192" s="47">
        <v>4233665.0</v>
      </c>
      <c r="C192" s="48">
        <v>45771.0</v>
      </c>
      <c r="D192" s="48">
        <v>45771.0</v>
      </c>
      <c r="E192" s="45"/>
      <c r="F192" s="45"/>
      <c r="G192" s="47"/>
      <c r="H192" s="47"/>
      <c r="I192" s="45" t="s">
        <v>550</v>
      </c>
      <c r="J192" s="45" t="s">
        <v>331</v>
      </c>
      <c r="K192" s="45"/>
      <c r="L192" s="45"/>
      <c r="M192" s="7"/>
      <c r="N192" s="45"/>
      <c r="O192" s="45"/>
      <c r="P192" s="7"/>
      <c r="Q192" s="45"/>
      <c r="R192" s="45"/>
      <c r="S192" s="45"/>
      <c r="T192" s="7"/>
      <c r="U192" s="45"/>
      <c r="V192" s="45"/>
      <c r="W192" s="45"/>
      <c r="X192" s="7"/>
      <c r="Y192" s="7">
        <v>6000.0</v>
      </c>
      <c r="Z192" s="7"/>
      <c r="AA192" s="7"/>
      <c r="AB192" s="7">
        <v>3440.0</v>
      </c>
      <c r="AC192" s="8">
        <f>SUM(AB192)-SUM(L192:Z192)</f>
        <v>-2560</v>
      </c>
      <c r="AD192" s="51" t="s">
        <v>551</v>
      </c>
    </row>
    <row r="193" ht="15.75" customHeight="1">
      <c r="A193" s="45" t="s">
        <v>552</v>
      </c>
      <c r="B193" s="45" t="s">
        <v>553</v>
      </c>
      <c r="C193" s="48">
        <v>45771.0</v>
      </c>
      <c r="D193" s="48">
        <v>45771.0</v>
      </c>
      <c r="E193" s="45"/>
      <c r="F193" s="45"/>
      <c r="G193" s="47"/>
      <c r="H193" s="47"/>
      <c r="I193" s="45" t="s">
        <v>20</v>
      </c>
      <c r="J193" s="45" t="s">
        <v>125</v>
      </c>
      <c r="K193" s="45"/>
      <c r="L193" s="45"/>
      <c r="M193" s="7"/>
      <c r="N193" s="45"/>
      <c r="O193" s="45"/>
      <c r="P193" s="7">
        <v>20000.0</v>
      </c>
      <c r="Q193" s="45"/>
      <c r="R193" s="45"/>
      <c r="S193" s="45"/>
      <c r="T193" s="7"/>
      <c r="U193" s="45"/>
      <c r="V193" s="45"/>
      <c r="W193" s="45"/>
      <c r="X193" s="7"/>
      <c r="Y193" s="45"/>
      <c r="Z193" s="7"/>
      <c r="AA193" s="7"/>
      <c r="AB193" s="7">
        <v>20000.0</v>
      </c>
      <c r="AC193" s="8">
        <f t="shared" ref="AC193:AC201" si="6">SUM(AB193)-SUM(L193:AA193)</f>
        <v>0</v>
      </c>
    </row>
    <row r="194" ht="15.75" customHeight="1">
      <c r="A194" s="45" t="s">
        <v>554</v>
      </c>
      <c r="B194" s="45" t="s">
        <v>555</v>
      </c>
      <c r="C194" s="48">
        <v>45771.0</v>
      </c>
      <c r="D194" s="48">
        <v>45771.0</v>
      </c>
      <c r="G194" s="5"/>
      <c r="H194" s="5"/>
      <c r="I194" s="45" t="s">
        <v>556</v>
      </c>
      <c r="J194" s="45" t="s">
        <v>557</v>
      </c>
      <c r="M194" s="6"/>
      <c r="T194" s="7"/>
      <c r="X194" s="6"/>
      <c r="Z194" s="7">
        <v>300000.0</v>
      </c>
      <c r="AA194" s="6"/>
      <c r="AB194" s="7">
        <v>300000.0</v>
      </c>
      <c r="AC194" s="8">
        <f t="shared" si="6"/>
        <v>0</v>
      </c>
    </row>
    <row r="195" ht="15.75" customHeight="1">
      <c r="A195" s="45" t="s">
        <v>558</v>
      </c>
      <c r="B195" s="47">
        <v>4233666.0</v>
      </c>
      <c r="C195" s="48">
        <v>45777.0</v>
      </c>
      <c r="D195" s="48">
        <v>45776.0</v>
      </c>
      <c r="E195" s="45"/>
      <c r="F195" s="45"/>
      <c r="G195" s="47"/>
      <c r="H195" s="47" t="s">
        <v>559</v>
      </c>
      <c r="I195" s="45" t="s">
        <v>391</v>
      </c>
      <c r="J195" s="45" t="s">
        <v>41</v>
      </c>
      <c r="M195" s="6"/>
      <c r="T195" s="7">
        <v>9694.34</v>
      </c>
      <c r="X195" s="6"/>
      <c r="Z195" s="6"/>
      <c r="AA195" s="6"/>
      <c r="AB195" s="7">
        <v>9694.34</v>
      </c>
      <c r="AC195" s="8">
        <f t="shared" si="6"/>
        <v>0</v>
      </c>
    </row>
    <row r="196" ht="15.75" customHeight="1">
      <c r="A196" s="45" t="s">
        <v>560</v>
      </c>
      <c r="B196" s="47">
        <v>4233667.0</v>
      </c>
      <c r="C196" s="48">
        <v>45777.0</v>
      </c>
      <c r="D196" s="48">
        <v>45776.0</v>
      </c>
      <c r="E196" s="45"/>
      <c r="F196" s="45"/>
      <c r="G196" s="47"/>
      <c r="H196" s="47"/>
      <c r="I196" s="45" t="s">
        <v>94</v>
      </c>
      <c r="J196" s="45" t="s">
        <v>95</v>
      </c>
      <c r="M196" s="6"/>
      <c r="T196" s="7"/>
      <c r="X196" s="6"/>
      <c r="Z196" s="6"/>
      <c r="AA196" s="7">
        <v>23040.0</v>
      </c>
      <c r="AB196" s="7">
        <v>23040.0</v>
      </c>
      <c r="AC196" s="8">
        <f t="shared" si="6"/>
        <v>0</v>
      </c>
    </row>
    <row r="197" ht="15.75" customHeight="1">
      <c r="A197" s="45" t="s">
        <v>561</v>
      </c>
      <c r="B197" s="47">
        <v>4233668.0</v>
      </c>
      <c r="C197" s="48">
        <v>45777.0</v>
      </c>
      <c r="D197" s="48">
        <v>45776.0</v>
      </c>
      <c r="E197" s="45"/>
      <c r="F197" s="45"/>
      <c r="G197" s="47"/>
      <c r="H197" s="47"/>
      <c r="I197" s="45" t="s">
        <v>94</v>
      </c>
      <c r="J197" s="45" t="s">
        <v>97</v>
      </c>
      <c r="L197" s="45"/>
      <c r="M197" s="7"/>
      <c r="N197" s="45"/>
      <c r="T197" s="7"/>
      <c r="X197" s="6"/>
      <c r="Z197" s="6"/>
      <c r="AA197" s="7">
        <v>10000.0</v>
      </c>
      <c r="AB197" s="7">
        <v>10000.0</v>
      </c>
      <c r="AC197" s="8">
        <f t="shared" si="6"/>
        <v>0</v>
      </c>
    </row>
    <row r="198" ht="15.75" customHeight="1">
      <c r="A198" s="45" t="s">
        <v>562</v>
      </c>
      <c r="B198" s="47">
        <v>4233669.0</v>
      </c>
      <c r="C198" s="48">
        <v>45802.0</v>
      </c>
      <c r="D198" s="48">
        <v>45776.0</v>
      </c>
      <c r="E198" s="48">
        <v>45800.0</v>
      </c>
      <c r="F198" s="45" t="s">
        <v>563</v>
      </c>
      <c r="G198" s="47" t="s">
        <v>564</v>
      </c>
      <c r="H198" s="47"/>
      <c r="I198" s="45" t="s">
        <v>565</v>
      </c>
      <c r="J198" s="45" t="s">
        <v>349</v>
      </c>
      <c r="K198" s="45" t="s">
        <v>444</v>
      </c>
      <c r="L198" s="45">
        <v>4285.71</v>
      </c>
      <c r="M198" s="7">
        <v>35714.29</v>
      </c>
      <c r="N198" s="45"/>
      <c r="T198" s="7"/>
      <c r="X198" s="6"/>
      <c r="Z198" s="6"/>
      <c r="AA198" s="6"/>
      <c r="AB198" s="7">
        <v>40000.0</v>
      </c>
      <c r="AC198" s="8">
        <f t="shared" si="6"/>
        <v>0</v>
      </c>
      <c r="AE198" s="10">
        <v>357.14</v>
      </c>
    </row>
    <row r="199" ht="15.75" customHeight="1">
      <c r="A199" s="45" t="s">
        <v>566</v>
      </c>
      <c r="B199" s="47">
        <v>4233670.0</v>
      </c>
      <c r="C199" s="48">
        <v>45820.0</v>
      </c>
      <c r="D199" s="48">
        <v>45776.0</v>
      </c>
      <c r="E199" s="48">
        <v>45786.0</v>
      </c>
      <c r="F199" s="45" t="s">
        <v>567</v>
      </c>
      <c r="G199" s="47" t="s">
        <v>568</v>
      </c>
      <c r="H199" s="47"/>
      <c r="I199" s="45" t="s">
        <v>569</v>
      </c>
      <c r="J199" s="45" t="s">
        <v>76</v>
      </c>
      <c r="K199" s="45" t="s">
        <v>77</v>
      </c>
      <c r="L199" s="45">
        <v>4221.43</v>
      </c>
      <c r="M199" s="7">
        <v>35178.57</v>
      </c>
      <c r="N199" s="45"/>
      <c r="T199" s="7"/>
      <c r="X199" s="6"/>
      <c r="Z199" s="6"/>
      <c r="AA199" s="6"/>
      <c r="AB199" s="7">
        <v>39400.0</v>
      </c>
      <c r="AC199" s="8">
        <f t="shared" si="6"/>
        <v>0</v>
      </c>
      <c r="AE199" s="10">
        <v>351.79</v>
      </c>
    </row>
    <row r="200" ht="15.75" customHeight="1">
      <c r="A200" s="45" t="s">
        <v>570</v>
      </c>
      <c r="B200" s="45" t="s">
        <v>571</v>
      </c>
      <c r="C200" s="48">
        <v>45776.0</v>
      </c>
      <c r="D200" s="48">
        <v>45776.0</v>
      </c>
      <c r="E200" s="45"/>
      <c r="F200" s="45"/>
      <c r="G200" s="47"/>
      <c r="H200" s="47"/>
      <c r="I200" s="45" t="s">
        <v>572</v>
      </c>
      <c r="J200" s="45" t="s">
        <v>244</v>
      </c>
      <c r="L200" s="45"/>
      <c r="M200" s="7"/>
      <c r="N200" s="45"/>
      <c r="T200" s="7"/>
      <c r="X200" s="6"/>
      <c r="Z200" s="6"/>
      <c r="AA200" s="7">
        <v>73440.0</v>
      </c>
      <c r="AB200" s="7">
        <v>73440.0</v>
      </c>
      <c r="AC200" s="8">
        <f t="shared" si="6"/>
        <v>0</v>
      </c>
    </row>
    <row r="201" ht="15.75" customHeight="1">
      <c r="A201" s="45" t="s">
        <v>573</v>
      </c>
      <c r="B201" s="47">
        <v>4233670.0</v>
      </c>
      <c r="C201" s="48">
        <v>45777.0</v>
      </c>
      <c r="D201" s="48">
        <v>45777.0</v>
      </c>
      <c r="E201" s="45"/>
      <c r="F201" s="45"/>
      <c r="G201" s="47"/>
      <c r="H201" s="47"/>
      <c r="I201" s="45" t="s">
        <v>574</v>
      </c>
      <c r="J201" s="45" t="s">
        <v>504</v>
      </c>
      <c r="M201" s="6"/>
      <c r="T201" s="7"/>
      <c r="X201" s="6"/>
      <c r="Z201" s="6"/>
      <c r="AA201" s="7">
        <v>4116.0</v>
      </c>
      <c r="AB201" s="7">
        <v>4116.0</v>
      </c>
      <c r="AC201" s="8">
        <f t="shared" si="6"/>
        <v>0</v>
      </c>
    </row>
    <row r="202" ht="15.75" customHeight="1">
      <c r="A202" s="52">
        <v>45778.0</v>
      </c>
      <c r="B202" s="53"/>
      <c r="C202" s="54"/>
      <c r="D202" s="54"/>
      <c r="E202" s="54"/>
      <c r="F202" s="53"/>
      <c r="G202" s="55"/>
      <c r="H202" s="55"/>
      <c r="I202" s="53"/>
      <c r="J202" s="53"/>
      <c r="K202" s="53"/>
      <c r="L202" s="56"/>
      <c r="M202" s="56"/>
      <c r="N202" s="56"/>
      <c r="O202" s="53"/>
      <c r="P202" s="53"/>
      <c r="Q202" s="53"/>
      <c r="R202" s="53"/>
      <c r="S202" s="53"/>
      <c r="T202" s="56"/>
      <c r="U202" s="57"/>
      <c r="V202" s="57"/>
      <c r="W202" s="57"/>
      <c r="X202" s="58"/>
      <c r="Y202" s="57"/>
      <c r="Z202" s="58"/>
      <c r="AA202" s="58"/>
      <c r="AB202" s="56"/>
      <c r="AC202" s="59"/>
      <c r="AD202" s="57"/>
      <c r="AE202" s="56"/>
    </row>
    <row r="203" ht="15.75" customHeight="1">
      <c r="A203" s="45" t="s">
        <v>575</v>
      </c>
      <c r="B203" s="45" t="s">
        <v>576</v>
      </c>
      <c r="C203" s="48">
        <v>45783.0</v>
      </c>
      <c r="D203" s="48">
        <v>45782.0</v>
      </c>
      <c r="G203" s="5"/>
      <c r="H203" s="5"/>
      <c r="I203" s="45" t="s">
        <v>577</v>
      </c>
      <c r="J203" s="45" t="s">
        <v>578</v>
      </c>
      <c r="M203" s="6"/>
      <c r="T203" s="7"/>
      <c r="X203" s="6"/>
      <c r="Z203" s="6"/>
      <c r="AA203" s="7">
        <v>69000.0</v>
      </c>
      <c r="AB203" s="7">
        <v>69000.0</v>
      </c>
      <c r="AC203" s="8">
        <f t="shared" ref="AC203:AC247" si="7">SUM(AB203)-SUM(L203:AA203)</f>
        <v>0</v>
      </c>
    </row>
    <row r="204" ht="15.75" customHeight="1">
      <c r="A204" s="45" t="s">
        <v>579</v>
      </c>
      <c r="B204" s="45" t="s">
        <v>580</v>
      </c>
      <c r="C204" s="48">
        <v>45782.0</v>
      </c>
      <c r="D204" s="48">
        <v>45782.0</v>
      </c>
      <c r="G204" s="5"/>
      <c r="H204" s="5"/>
      <c r="I204" s="45" t="s">
        <v>30</v>
      </c>
      <c r="J204" s="45" t="s">
        <v>41</v>
      </c>
      <c r="M204" s="6"/>
      <c r="T204" s="7"/>
      <c r="X204" s="6"/>
      <c r="Z204" s="7">
        <v>300000.0</v>
      </c>
      <c r="AA204" s="6"/>
      <c r="AB204" s="7">
        <v>300000.0</v>
      </c>
      <c r="AC204" s="8">
        <f t="shared" si="7"/>
        <v>0</v>
      </c>
    </row>
    <row r="205" ht="15.75" customHeight="1">
      <c r="A205" s="45" t="s">
        <v>581</v>
      </c>
      <c r="B205" s="47">
        <v>4233672.0</v>
      </c>
      <c r="C205" s="48">
        <v>45784.0</v>
      </c>
      <c r="D205" s="48">
        <v>45784.0</v>
      </c>
      <c r="G205" s="5"/>
      <c r="H205" s="5"/>
      <c r="I205" s="45" t="s">
        <v>582</v>
      </c>
      <c r="J205" s="45" t="s">
        <v>58</v>
      </c>
      <c r="L205" s="7">
        <v>32.14</v>
      </c>
      <c r="M205" s="6"/>
      <c r="S205" s="45">
        <v>267.86</v>
      </c>
      <c r="T205" s="7"/>
      <c r="X205" s="6"/>
      <c r="Z205" s="6"/>
      <c r="AA205" s="6"/>
      <c r="AB205" s="7">
        <v>300.0</v>
      </c>
      <c r="AC205" s="8">
        <f t="shared" si="7"/>
        <v>0</v>
      </c>
    </row>
    <row r="206" ht="15.75" customHeight="1">
      <c r="A206" s="45" t="s">
        <v>583</v>
      </c>
      <c r="B206" s="47">
        <v>4233673.0</v>
      </c>
      <c r="C206" s="48">
        <v>45784.0</v>
      </c>
      <c r="D206" s="48">
        <v>45784.0</v>
      </c>
      <c r="G206" s="5"/>
      <c r="H206" s="47" t="s">
        <v>584</v>
      </c>
      <c r="I206" s="45" t="s">
        <v>391</v>
      </c>
      <c r="J206" s="45" t="s">
        <v>41</v>
      </c>
      <c r="M206" s="6"/>
      <c r="T206" s="7">
        <v>9359.36</v>
      </c>
      <c r="X206" s="6"/>
      <c r="Z206" s="6"/>
      <c r="AA206" s="6"/>
      <c r="AB206" s="7">
        <v>9359.36</v>
      </c>
      <c r="AC206" s="8">
        <f t="shared" si="7"/>
        <v>0</v>
      </c>
    </row>
    <row r="207" ht="15.75" customHeight="1">
      <c r="A207" s="45" t="s">
        <v>585</v>
      </c>
      <c r="B207" s="47">
        <v>4233674.0</v>
      </c>
      <c r="C207" s="48">
        <v>45784.0</v>
      </c>
      <c r="D207" s="48">
        <v>45784.0</v>
      </c>
      <c r="E207" s="48">
        <v>45791.0</v>
      </c>
      <c r="F207" s="45" t="s">
        <v>586</v>
      </c>
      <c r="G207" s="47" t="s">
        <v>587</v>
      </c>
      <c r="H207" s="47"/>
      <c r="I207" s="45" t="s">
        <v>588</v>
      </c>
      <c r="J207" s="45" t="s">
        <v>70</v>
      </c>
      <c r="K207" s="45" t="s">
        <v>71</v>
      </c>
      <c r="L207" s="45">
        <v>133.93</v>
      </c>
      <c r="M207" s="7">
        <v>1116.07</v>
      </c>
      <c r="N207" s="45"/>
      <c r="O207" s="45"/>
      <c r="P207" s="45"/>
      <c r="Q207" s="45"/>
      <c r="R207" s="45"/>
      <c r="S207" s="45"/>
      <c r="T207" s="7"/>
      <c r="U207" s="45"/>
      <c r="V207" s="45"/>
      <c r="W207" s="45"/>
      <c r="X207" s="7"/>
      <c r="Y207" s="45"/>
      <c r="Z207" s="7"/>
      <c r="AA207" s="7"/>
      <c r="AB207" s="7">
        <v>1250.0</v>
      </c>
      <c r="AC207" s="7">
        <f t="shared" si="7"/>
        <v>0</v>
      </c>
      <c r="AD207" s="45"/>
      <c r="AE207" s="45">
        <v>11.16</v>
      </c>
      <c r="AF207" s="45"/>
    </row>
    <row r="208" ht="15.75" customHeight="1">
      <c r="A208" s="45" t="s">
        <v>589</v>
      </c>
      <c r="B208" s="45" t="s">
        <v>590</v>
      </c>
      <c r="C208" s="48">
        <v>45784.0</v>
      </c>
      <c r="D208" s="48">
        <v>45784.0</v>
      </c>
      <c r="G208" s="5"/>
      <c r="H208" s="5"/>
      <c r="I208" s="45" t="s">
        <v>30</v>
      </c>
      <c r="J208" s="45" t="s">
        <v>41</v>
      </c>
      <c r="M208" s="6"/>
      <c r="T208" s="7"/>
      <c r="X208" s="6"/>
      <c r="Z208" s="7">
        <v>100000.0</v>
      </c>
      <c r="AA208" s="7"/>
      <c r="AB208" s="7">
        <v>100000.0</v>
      </c>
      <c r="AC208" s="7">
        <f t="shared" si="7"/>
        <v>0</v>
      </c>
    </row>
    <row r="209" ht="15.75" customHeight="1">
      <c r="A209" s="45" t="s">
        <v>591</v>
      </c>
      <c r="B209" s="45" t="s">
        <v>592</v>
      </c>
      <c r="C209" s="48">
        <v>45784.0</v>
      </c>
      <c r="D209" s="48">
        <v>45784.0</v>
      </c>
      <c r="G209" s="5"/>
      <c r="H209" s="5"/>
      <c r="I209" s="45" t="s">
        <v>593</v>
      </c>
      <c r="J209" s="45" t="s">
        <v>119</v>
      </c>
      <c r="M209" s="6"/>
      <c r="T209" s="7"/>
      <c r="X209" s="6"/>
      <c r="Z209" s="7"/>
      <c r="AA209" s="7">
        <v>50000.0</v>
      </c>
      <c r="AB209" s="7">
        <v>50000.0</v>
      </c>
      <c r="AC209" s="7">
        <f t="shared" si="7"/>
        <v>0</v>
      </c>
    </row>
    <row r="210" ht="15.75" customHeight="1">
      <c r="A210" s="45" t="s">
        <v>594</v>
      </c>
      <c r="B210" s="47">
        <v>4233675.0</v>
      </c>
      <c r="C210" s="48">
        <v>45785.0</v>
      </c>
      <c r="D210" s="48">
        <v>45785.0</v>
      </c>
      <c r="G210" s="5"/>
      <c r="H210" s="5"/>
      <c r="I210" s="45" t="s">
        <v>595</v>
      </c>
      <c r="J210" s="45" t="s">
        <v>119</v>
      </c>
      <c r="M210" s="6"/>
      <c r="T210" s="7"/>
      <c r="X210" s="6"/>
      <c r="Z210" s="7"/>
      <c r="AA210" s="7">
        <v>6701.0</v>
      </c>
      <c r="AB210" s="7">
        <v>6701.0</v>
      </c>
      <c r="AC210" s="7">
        <f t="shared" si="7"/>
        <v>0</v>
      </c>
    </row>
    <row r="211" ht="15.75" customHeight="1">
      <c r="A211" s="45" t="s">
        <v>596</v>
      </c>
      <c r="B211" s="45" t="s">
        <v>597</v>
      </c>
      <c r="C211" s="48">
        <v>45785.0</v>
      </c>
      <c r="D211" s="48">
        <v>45785.0</v>
      </c>
      <c r="G211" s="5"/>
      <c r="H211" s="5"/>
      <c r="I211" s="45" t="s">
        <v>598</v>
      </c>
      <c r="J211" s="45" t="s">
        <v>599</v>
      </c>
      <c r="M211" s="6"/>
      <c r="P211" s="6">
        <v>20000.0</v>
      </c>
      <c r="T211" s="7"/>
      <c r="X211" s="6"/>
      <c r="Z211" s="6"/>
      <c r="AA211" s="6"/>
      <c r="AB211" s="7">
        <v>20000.0</v>
      </c>
      <c r="AC211" s="8">
        <f t="shared" si="7"/>
        <v>0</v>
      </c>
    </row>
    <row r="212" ht="15.75" customHeight="1">
      <c r="A212" s="45" t="s">
        <v>600</v>
      </c>
      <c r="B212" s="47">
        <v>4233676.0</v>
      </c>
      <c r="C212" s="48">
        <v>45792.0</v>
      </c>
      <c r="D212" s="48">
        <v>45790.0</v>
      </c>
      <c r="G212" s="5"/>
      <c r="H212" s="5"/>
      <c r="I212" s="45" t="s">
        <v>94</v>
      </c>
      <c r="J212" s="45" t="s">
        <v>95</v>
      </c>
      <c r="M212" s="6"/>
      <c r="T212" s="7"/>
      <c r="X212" s="6"/>
      <c r="Z212" s="6"/>
      <c r="AA212" s="7">
        <v>28160.0</v>
      </c>
      <c r="AB212" s="7">
        <v>28160.0</v>
      </c>
      <c r="AC212" s="8">
        <f t="shared" si="7"/>
        <v>0</v>
      </c>
    </row>
    <row r="213" ht="15.75" customHeight="1">
      <c r="A213" s="45" t="s">
        <v>601</v>
      </c>
      <c r="B213" s="47">
        <v>4233677.0</v>
      </c>
      <c r="C213" s="48">
        <v>45792.0</v>
      </c>
      <c r="D213" s="48">
        <v>45790.0</v>
      </c>
      <c r="G213" s="5"/>
      <c r="H213" s="5"/>
      <c r="I213" s="45" t="s">
        <v>94</v>
      </c>
      <c r="J213" s="45" t="s">
        <v>602</v>
      </c>
      <c r="M213" s="6"/>
      <c r="T213" s="7"/>
      <c r="X213" s="6"/>
      <c r="Z213" s="6"/>
      <c r="AA213" s="7">
        <v>21000.0</v>
      </c>
      <c r="AB213" s="7">
        <v>21000.0</v>
      </c>
      <c r="AC213" s="8">
        <f t="shared" si="7"/>
        <v>0</v>
      </c>
    </row>
    <row r="214" ht="15.75" customHeight="1">
      <c r="A214" s="45" t="s">
        <v>603</v>
      </c>
      <c r="B214" s="47">
        <v>4233678.0</v>
      </c>
      <c r="C214" s="48">
        <v>45792.0</v>
      </c>
      <c r="D214" s="48">
        <v>45790.0</v>
      </c>
      <c r="E214" s="48">
        <v>45800.0</v>
      </c>
      <c r="F214" s="45" t="s">
        <v>604</v>
      </c>
      <c r="G214" s="5"/>
      <c r="H214" s="5"/>
      <c r="I214" s="45" t="s">
        <v>605</v>
      </c>
      <c r="J214" s="45" t="s">
        <v>142</v>
      </c>
      <c r="M214" s="6"/>
      <c r="T214" s="7"/>
      <c r="X214" s="6"/>
      <c r="Z214" s="6"/>
      <c r="AA214" s="7">
        <v>5875.2</v>
      </c>
      <c r="AB214" s="7">
        <v>5875.2</v>
      </c>
      <c r="AC214" s="8">
        <f t="shared" si="7"/>
        <v>0</v>
      </c>
    </row>
    <row r="215" ht="15.75" customHeight="1">
      <c r="A215" s="45" t="s">
        <v>606</v>
      </c>
      <c r="B215" s="47">
        <v>4233679.0</v>
      </c>
      <c r="C215" s="48">
        <v>45792.0</v>
      </c>
      <c r="D215" s="48">
        <v>45790.0</v>
      </c>
      <c r="E215" s="48">
        <v>45792.0</v>
      </c>
      <c r="F215" s="45" t="s">
        <v>607</v>
      </c>
      <c r="G215" s="5"/>
      <c r="H215" s="5"/>
      <c r="I215" s="45" t="s">
        <v>608</v>
      </c>
      <c r="J215" s="45" t="s">
        <v>609</v>
      </c>
      <c r="M215" s="6"/>
      <c r="N215" s="7">
        <v>27125.0</v>
      </c>
      <c r="T215" s="7"/>
      <c r="X215" s="6"/>
      <c r="Z215" s="6"/>
      <c r="AA215" s="6"/>
      <c r="AB215" s="7">
        <v>27125.0</v>
      </c>
      <c r="AC215" s="8">
        <f t="shared" si="7"/>
        <v>0</v>
      </c>
    </row>
    <row r="216" ht="15.75" customHeight="1">
      <c r="A216" s="45" t="s">
        <v>610</v>
      </c>
      <c r="B216" s="47">
        <v>4233680.0</v>
      </c>
      <c r="C216" s="48">
        <v>45816.0</v>
      </c>
      <c r="D216" s="48">
        <v>45790.0</v>
      </c>
      <c r="E216" s="48">
        <v>45819.0</v>
      </c>
      <c r="F216" s="45" t="s">
        <v>611</v>
      </c>
      <c r="G216" s="47" t="s">
        <v>612</v>
      </c>
      <c r="H216" s="5"/>
      <c r="I216" s="45" t="s">
        <v>613</v>
      </c>
      <c r="J216" s="45" t="s">
        <v>82</v>
      </c>
      <c r="K216" s="45" t="s">
        <v>83</v>
      </c>
      <c r="L216" s="7">
        <v>2067.86</v>
      </c>
      <c r="M216" s="7">
        <v>17232.14</v>
      </c>
      <c r="T216" s="7"/>
      <c r="X216" s="6"/>
      <c r="Z216" s="6"/>
      <c r="AA216" s="6"/>
      <c r="AB216" s="7">
        <v>19300.0</v>
      </c>
      <c r="AC216" s="8">
        <f t="shared" si="7"/>
        <v>0</v>
      </c>
      <c r="AE216" s="45">
        <v>172.32</v>
      </c>
    </row>
    <row r="217" ht="15.75" customHeight="1">
      <c r="A217" s="45" t="s">
        <v>614</v>
      </c>
      <c r="B217" s="47">
        <v>4233681.0</v>
      </c>
      <c r="C217" s="48">
        <v>45793.0</v>
      </c>
      <c r="D217" s="48">
        <v>45790.0</v>
      </c>
      <c r="E217" s="48">
        <v>45793.0</v>
      </c>
      <c r="F217" s="45" t="s">
        <v>615</v>
      </c>
      <c r="G217" s="47" t="s">
        <v>616</v>
      </c>
      <c r="H217" s="5"/>
      <c r="I217" s="45" t="s">
        <v>617</v>
      </c>
      <c r="J217" s="45" t="s">
        <v>91</v>
      </c>
      <c r="K217" s="45" t="s">
        <v>92</v>
      </c>
      <c r="L217" s="45">
        <v>1071.43</v>
      </c>
      <c r="M217" s="7">
        <v>8928.57</v>
      </c>
      <c r="T217" s="7"/>
      <c r="X217" s="6"/>
      <c r="Z217" s="6"/>
      <c r="AA217" s="7"/>
      <c r="AB217" s="7">
        <v>10000.0</v>
      </c>
      <c r="AC217" s="8">
        <f t="shared" si="7"/>
        <v>0</v>
      </c>
      <c r="AE217" s="45">
        <v>89.29</v>
      </c>
    </row>
    <row r="218" ht="15.75" customHeight="1">
      <c r="A218" s="45" t="s">
        <v>618</v>
      </c>
      <c r="B218" s="45" t="s">
        <v>619</v>
      </c>
      <c r="C218" s="48">
        <v>45790.0</v>
      </c>
      <c r="D218" s="48">
        <v>45790.0</v>
      </c>
      <c r="E218" s="45"/>
      <c r="G218" s="5"/>
      <c r="H218" s="5"/>
      <c r="I218" s="45" t="s">
        <v>620</v>
      </c>
      <c r="J218" s="45" t="s">
        <v>119</v>
      </c>
      <c r="L218" s="45"/>
      <c r="M218" s="7"/>
      <c r="T218" s="7"/>
      <c r="W218" s="7">
        <v>60000.0</v>
      </c>
      <c r="X218" s="6"/>
      <c r="Z218" s="6"/>
      <c r="AA218" s="7"/>
      <c r="AB218" s="7">
        <v>60000.0</v>
      </c>
      <c r="AC218" s="8">
        <f t="shared" si="7"/>
        <v>0</v>
      </c>
    </row>
    <row r="219" ht="15.75" customHeight="1">
      <c r="A219" s="45" t="s">
        <v>621</v>
      </c>
      <c r="B219" s="45" t="s">
        <v>622</v>
      </c>
      <c r="C219" s="48">
        <v>45790.0</v>
      </c>
      <c r="D219" s="48">
        <v>45790.0</v>
      </c>
      <c r="G219" s="5"/>
      <c r="H219" s="5"/>
      <c r="I219" s="45" t="s">
        <v>598</v>
      </c>
      <c r="J219" s="45" t="s">
        <v>599</v>
      </c>
      <c r="L219" s="45"/>
      <c r="M219" s="7"/>
      <c r="P219" s="7">
        <v>30000.0</v>
      </c>
      <c r="T219" s="7"/>
      <c r="X219" s="6"/>
      <c r="Z219" s="6"/>
      <c r="AA219" s="7"/>
      <c r="AB219" s="7">
        <v>30000.0</v>
      </c>
      <c r="AC219" s="8">
        <f t="shared" si="7"/>
        <v>0</v>
      </c>
    </row>
    <row r="220" ht="15.75" customHeight="1">
      <c r="A220" s="45" t="s">
        <v>623</v>
      </c>
      <c r="B220" s="47">
        <v>4233682.0</v>
      </c>
      <c r="C220" s="48">
        <v>45792.0</v>
      </c>
      <c r="D220" s="48">
        <v>45790.0</v>
      </c>
      <c r="G220" s="5"/>
      <c r="H220" s="5"/>
      <c r="I220" s="45" t="s">
        <v>520</v>
      </c>
      <c r="J220" s="45" t="s">
        <v>103</v>
      </c>
      <c r="L220" s="45">
        <v>160.61</v>
      </c>
      <c r="M220" s="7"/>
      <c r="S220" s="10">
        <v>1338.39</v>
      </c>
      <c r="T220" s="7"/>
      <c r="X220" s="6"/>
      <c r="Z220" s="6"/>
      <c r="AA220" s="7"/>
      <c r="AB220" s="7">
        <v>1499.0</v>
      </c>
      <c r="AC220" s="8">
        <f t="shared" si="7"/>
        <v>0</v>
      </c>
    </row>
    <row r="221" ht="15.75" customHeight="1">
      <c r="A221" s="45" t="s">
        <v>624</v>
      </c>
      <c r="B221" s="47">
        <v>4233683.0</v>
      </c>
      <c r="C221" s="48">
        <v>45792.0</v>
      </c>
      <c r="D221" s="48">
        <v>45790.0</v>
      </c>
      <c r="G221" s="5"/>
      <c r="H221" s="5"/>
      <c r="I221" s="45" t="s">
        <v>522</v>
      </c>
      <c r="J221" s="45" t="s">
        <v>103</v>
      </c>
      <c r="L221" s="45">
        <v>107.04</v>
      </c>
      <c r="M221" s="7"/>
      <c r="S221" s="10">
        <v>891.96</v>
      </c>
      <c r="T221" s="7"/>
      <c r="X221" s="6"/>
      <c r="Z221" s="6"/>
      <c r="AA221" s="7"/>
      <c r="AB221" s="7">
        <v>999.0</v>
      </c>
      <c r="AC221" s="8">
        <f t="shared" si="7"/>
        <v>0</v>
      </c>
    </row>
    <row r="222" ht="15.75" customHeight="1">
      <c r="A222" s="45" t="s">
        <v>625</v>
      </c>
      <c r="B222" s="47">
        <v>4233684.0</v>
      </c>
      <c r="C222" s="48">
        <v>45790.0</v>
      </c>
      <c r="D222" s="48">
        <v>45790.0</v>
      </c>
      <c r="G222" s="5"/>
      <c r="H222" s="5"/>
      <c r="I222" s="45" t="s">
        <v>626</v>
      </c>
      <c r="J222" s="45" t="s">
        <v>50</v>
      </c>
      <c r="M222" s="6"/>
      <c r="P222" s="45"/>
      <c r="Q222" s="45"/>
      <c r="R222" s="45"/>
      <c r="S222" s="45"/>
      <c r="T222" s="7"/>
      <c r="X222" s="6"/>
      <c r="Z222" s="6"/>
      <c r="AA222" s="7">
        <v>3750.0</v>
      </c>
      <c r="AB222" s="7">
        <v>3750.0</v>
      </c>
      <c r="AC222" s="8">
        <f t="shared" si="7"/>
        <v>0</v>
      </c>
    </row>
    <row r="223" ht="15.75" customHeight="1">
      <c r="A223" s="45" t="s">
        <v>627</v>
      </c>
      <c r="B223" s="45" t="s">
        <v>628</v>
      </c>
      <c r="C223" s="48">
        <v>45790.0</v>
      </c>
      <c r="D223" s="48">
        <v>45790.0</v>
      </c>
      <c r="G223" s="5"/>
      <c r="H223" s="5"/>
      <c r="I223" s="45" t="s">
        <v>598</v>
      </c>
      <c r="J223" s="45" t="s">
        <v>151</v>
      </c>
      <c r="M223" s="6"/>
      <c r="P223" s="7">
        <v>100000.0</v>
      </c>
      <c r="Q223" s="45"/>
      <c r="R223" s="45"/>
      <c r="S223" s="45"/>
      <c r="T223" s="7"/>
      <c r="X223" s="6"/>
      <c r="Z223" s="6"/>
      <c r="AA223" s="7"/>
      <c r="AB223" s="7">
        <v>100000.0</v>
      </c>
      <c r="AC223" s="8">
        <f t="shared" si="7"/>
        <v>0</v>
      </c>
    </row>
    <row r="224" ht="15.75" customHeight="1">
      <c r="A224" s="45" t="s">
        <v>629</v>
      </c>
      <c r="B224" s="47">
        <v>4233685.0</v>
      </c>
      <c r="C224" s="48">
        <v>45792.0</v>
      </c>
      <c r="D224" s="48">
        <v>45791.0</v>
      </c>
      <c r="G224" s="5"/>
      <c r="H224" s="47" t="s">
        <v>630</v>
      </c>
      <c r="I224" s="45" t="s">
        <v>391</v>
      </c>
      <c r="J224" s="45" t="s">
        <v>50</v>
      </c>
      <c r="M224" s="6"/>
      <c r="P224" s="45"/>
      <c r="Q224" s="45"/>
      <c r="R224" s="45"/>
      <c r="S224" s="45"/>
      <c r="T224" s="7">
        <v>7178.03</v>
      </c>
      <c r="X224" s="6"/>
      <c r="Z224" s="6"/>
      <c r="AA224" s="7"/>
      <c r="AB224" s="7">
        <v>7178.03</v>
      </c>
      <c r="AC224" s="8">
        <f t="shared" si="7"/>
        <v>0</v>
      </c>
    </row>
    <row r="225" ht="15.75" customHeight="1">
      <c r="A225" s="45" t="s">
        <v>631</v>
      </c>
      <c r="B225" s="47">
        <v>4233686.0</v>
      </c>
      <c r="C225" s="48">
        <v>45797.0</v>
      </c>
      <c r="D225" s="48">
        <v>45791.0</v>
      </c>
      <c r="G225" s="5"/>
      <c r="H225" s="5"/>
      <c r="I225" s="45" t="s">
        <v>632</v>
      </c>
      <c r="J225" s="45" t="s">
        <v>331</v>
      </c>
      <c r="M225" s="6"/>
      <c r="P225" s="45"/>
      <c r="Q225" s="45"/>
      <c r="R225" s="45"/>
      <c r="S225" s="45"/>
      <c r="T225" s="7"/>
      <c r="X225" s="6"/>
      <c r="Y225" s="7">
        <v>2513.0</v>
      </c>
      <c r="Z225" s="6"/>
      <c r="AA225" s="7"/>
      <c r="AB225" s="7">
        <v>3000.0</v>
      </c>
      <c r="AC225" s="8">
        <f t="shared" si="7"/>
        <v>487</v>
      </c>
      <c r="AD225" s="51" t="s">
        <v>633</v>
      </c>
    </row>
    <row r="226" ht="15.75" customHeight="1">
      <c r="A226" s="45" t="s">
        <v>634</v>
      </c>
      <c r="B226" s="47">
        <v>4233687.0</v>
      </c>
      <c r="C226" s="48">
        <v>45791.0</v>
      </c>
      <c r="D226" s="48">
        <v>45791.0</v>
      </c>
      <c r="G226" s="5"/>
      <c r="H226" s="5"/>
      <c r="I226" s="45" t="s">
        <v>635</v>
      </c>
      <c r="J226" s="45" t="s">
        <v>100</v>
      </c>
      <c r="M226" s="6"/>
      <c r="P226" s="45"/>
      <c r="Q226" s="45"/>
      <c r="R226" s="45"/>
      <c r="S226" s="45"/>
      <c r="T226" s="7"/>
      <c r="X226" s="7">
        <v>9780.3</v>
      </c>
      <c r="Z226" s="6"/>
      <c r="AA226" s="6"/>
      <c r="AB226" s="7">
        <v>9780.3</v>
      </c>
      <c r="AC226" s="8">
        <f t="shared" si="7"/>
        <v>0</v>
      </c>
    </row>
    <row r="227" ht="15.75" customHeight="1">
      <c r="A227" s="45" t="s">
        <v>636</v>
      </c>
      <c r="B227" s="47">
        <v>4233688.0</v>
      </c>
      <c r="C227" s="48">
        <v>45791.0</v>
      </c>
      <c r="D227" s="48">
        <v>45791.0</v>
      </c>
      <c r="G227" s="5"/>
      <c r="H227" s="5"/>
      <c r="I227" s="45" t="s">
        <v>637</v>
      </c>
      <c r="J227" s="45" t="s">
        <v>22</v>
      </c>
      <c r="L227" s="45">
        <v>151.09</v>
      </c>
      <c r="M227" s="7"/>
      <c r="N227" s="45"/>
      <c r="O227" s="45"/>
      <c r="P227" s="45"/>
      <c r="Q227" s="45"/>
      <c r="R227" s="7">
        <v>1259.06</v>
      </c>
      <c r="S227" s="45"/>
      <c r="T227" s="7"/>
      <c r="X227" s="6"/>
      <c r="Z227" s="6"/>
      <c r="AA227" s="6"/>
      <c r="AB227" s="7">
        <v>1410.15</v>
      </c>
      <c r="AC227" s="8">
        <f t="shared" si="7"/>
        <v>0</v>
      </c>
    </row>
    <row r="228" ht="15.75" customHeight="1">
      <c r="A228" s="45" t="s">
        <v>638</v>
      </c>
      <c r="B228" s="47">
        <v>4233689.0</v>
      </c>
      <c r="C228" s="48">
        <v>45791.0</v>
      </c>
      <c r="D228" s="48">
        <v>45791.0</v>
      </c>
      <c r="G228" s="5"/>
      <c r="H228" s="5"/>
      <c r="I228" s="45" t="s">
        <v>637</v>
      </c>
      <c r="J228" s="45" t="s">
        <v>22</v>
      </c>
      <c r="L228" s="45">
        <v>811.09</v>
      </c>
      <c r="M228" s="7"/>
      <c r="N228" s="45"/>
      <c r="O228" s="45"/>
      <c r="P228" s="45"/>
      <c r="Q228" s="45"/>
      <c r="R228" s="7">
        <v>6759.06</v>
      </c>
      <c r="S228" s="45"/>
      <c r="T228" s="7"/>
      <c r="X228" s="6"/>
      <c r="Z228" s="6"/>
      <c r="AA228" s="6"/>
      <c r="AB228" s="7">
        <v>7570.15</v>
      </c>
      <c r="AC228" s="8">
        <f t="shared" si="7"/>
        <v>0</v>
      </c>
    </row>
    <row r="229" ht="15.75" customHeight="1">
      <c r="A229" s="45" t="s">
        <v>639</v>
      </c>
      <c r="B229" s="47">
        <v>4233690.0</v>
      </c>
      <c r="C229" s="48">
        <v>45821.0</v>
      </c>
      <c r="D229" s="48">
        <v>45791.0</v>
      </c>
      <c r="E229" s="65">
        <v>0.5454545454545454</v>
      </c>
      <c r="F229" s="7" t="s">
        <v>640</v>
      </c>
      <c r="G229" s="66" t="s">
        <v>641</v>
      </c>
      <c r="H229" s="66"/>
      <c r="I229" s="7" t="s">
        <v>642</v>
      </c>
      <c r="J229" s="45" t="s">
        <v>82</v>
      </c>
      <c r="K229" s="45" t="s">
        <v>83</v>
      </c>
      <c r="L229" s="7">
        <v>11142.86</v>
      </c>
      <c r="M229" s="7">
        <v>92857.14</v>
      </c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>
        <v>104000.0</v>
      </c>
      <c r="AC229" s="8">
        <f t="shared" si="7"/>
        <v>0</v>
      </c>
      <c r="AD229" s="7"/>
      <c r="AE229" s="7">
        <v>928.57</v>
      </c>
    </row>
    <row r="230" ht="15.75" customHeight="1">
      <c r="A230" s="45" t="s">
        <v>643</v>
      </c>
      <c r="B230" s="47">
        <v>4233691.0</v>
      </c>
      <c r="C230" s="48">
        <v>45835.0</v>
      </c>
      <c r="D230" s="48">
        <v>45791.0</v>
      </c>
      <c r="E230" s="48">
        <v>45810.0</v>
      </c>
      <c r="F230" s="7" t="s">
        <v>644</v>
      </c>
      <c r="G230" s="66" t="s">
        <v>645</v>
      </c>
      <c r="H230" s="66"/>
      <c r="I230" s="7" t="s">
        <v>646</v>
      </c>
      <c r="J230" s="45" t="s">
        <v>76</v>
      </c>
      <c r="K230" s="45" t="s">
        <v>77</v>
      </c>
      <c r="L230" s="7">
        <v>7446.43</v>
      </c>
      <c r="M230" s="7">
        <v>62053.57</v>
      </c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>
        <v>69500.0</v>
      </c>
      <c r="AC230" s="8">
        <f t="shared" si="7"/>
        <v>0</v>
      </c>
      <c r="AD230" s="7"/>
      <c r="AE230" s="7">
        <v>620.54</v>
      </c>
    </row>
    <row r="231" ht="15.75" customHeight="1">
      <c r="A231" s="45" t="s">
        <v>647</v>
      </c>
      <c r="B231" s="47">
        <v>4233692.0</v>
      </c>
      <c r="C231" s="48">
        <v>45821.0</v>
      </c>
      <c r="D231" s="48">
        <v>45791.0</v>
      </c>
      <c r="E231" s="48">
        <v>45812.0</v>
      </c>
      <c r="F231" s="7" t="s">
        <v>648</v>
      </c>
      <c r="G231" s="66" t="s">
        <v>649</v>
      </c>
      <c r="H231" s="66"/>
      <c r="I231" s="7" t="s">
        <v>650</v>
      </c>
      <c r="J231" s="45" t="s">
        <v>46</v>
      </c>
      <c r="K231" s="45" t="s">
        <v>47</v>
      </c>
      <c r="L231" s="7">
        <v>723.21</v>
      </c>
      <c r="M231" s="7">
        <v>6026.79</v>
      </c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>
        <v>6750.0</v>
      </c>
      <c r="AC231" s="8">
        <f t="shared" si="7"/>
        <v>0</v>
      </c>
      <c r="AD231" s="7"/>
      <c r="AE231" s="7">
        <v>60.27</v>
      </c>
    </row>
    <row r="232" ht="15.75" customHeight="1">
      <c r="A232" s="45" t="s">
        <v>651</v>
      </c>
      <c r="B232" s="45" t="s">
        <v>652</v>
      </c>
      <c r="C232" s="48">
        <v>45791.0</v>
      </c>
      <c r="D232" s="48">
        <v>45791.0</v>
      </c>
      <c r="E232" s="7"/>
      <c r="F232" s="7"/>
      <c r="G232" s="66"/>
      <c r="H232" s="66"/>
      <c r="I232" s="7" t="s">
        <v>30</v>
      </c>
      <c r="J232" s="7" t="s">
        <v>41</v>
      </c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>
        <v>100000.0</v>
      </c>
      <c r="AA232" s="7"/>
      <c r="AB232" s="7">
        <v>100000.0</v>
      </c>
      <c r="AC232" s="8">
        <f t="shared" si="7"/>
        <v>0</v>
      </c>
      <c r="AD232" s="7"/>
      <c r="AE232" s="7"/>
    </row>
    <row r="233" ht="15.75" customHeight="1">
      <c r="A233" s="45" t="s">
        <v>653</v>
      </c>
      <c r="B233" s="47">
        <v>4233693.0</v>
      </c>
      <c r="C233" s="48">
        <v>45822.0</v>
      </c>
      <c r="D233" s="48">
        <v>45791.0</v>
      </c>
      <c r="E233" s="7"/>
      <c r="F233" s="7"/>
      <c r="G233" s="66"/>
      <c r="H233" s="66"/>
      <c r="I233" s="7" t="s">
        <v>654</v>
      </c>
      <c r="J233" s="45" t="s">
        <v>70</v>
      </c>
      <c r="K233" s="45" t="s">
        <v>71</v>
      </c>
      <c r="L233" s="7">
        <v>5892.86</v>
      </c>
      <c r="M233" s="7">
        <v>49107.14</v>
      </c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>
        <v>55000.0</v>
      </c>
      <c r="AC233" s="8">
        <f t="shared" si="7"/>
        <v>0</v>
      </c>
      <c r="AD233" s="7"/>
      <c r="AE233" s="7">
        <v>491.07</v>
      </c>
    </row>
    <row r="234" ht="15.75" customHeight="1">
      <c r="A234" s="45" t="s">
        <v>655</v>
      </c>
      <c r="B234" s="47">
        <v>4233694.0</v>
      </c>
      <c r="C234" s="48">
        <v>45791.0</v>
      </c>
      <c r="D234" s="48">
        <v>45791.0</v>
      </c>
      <c r="E234" s="7"/>
      <c r="F234" s="7"/>
      <c r="G234" s="66"/>
      <c r="H234" s="66"/>
      <c r="I234" s="7" t="s">
        <v>656</v>
      </c>
      <c r="J234" s="7" t="s">
        <v>50</v>
      </c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>
        <v>1600.0</v>
      </c>
      <c r="AB234" s="7">
        <v>1100.0</v>
      </c>
      <c r="AC234" s="8">
        <f t="shared" si="7"/>
        <v>-500</v>
      </c>
      <c r="AD234" s="51" t="s">
        <v>657</v>
      </c>
      <c r="AE234" s="7"/>
    </row>
    <row r="235" ht="15.75" customHeight="1">
      <c r="A235" s="45" t="s">
        <v>658</v>
      </c>
      <c r="B235" s="47">
        <v>4233699.0</v>
      </c>
      <c r="C235" s="48">
        <v>45793.0</v>
      </c>
      <c r="D235" s="48">
        <v>45793.0</v>
      </c>
      <c r="E235" s="48">
        <v>45799.0</v>
      </c>
      <c r="F235" s="7" t="s">
        <v>659</v>
      </c>
      <c r="G235" s="66"/>
      <c r="H235" s="66"/>
      <c r="I235" s="7" t="s">
        <v>660</v>
      </c>
      <c r="J235" s="7" t="s">
        <v>661</v>
      </c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>
        <v>15000.0</v>
      </c>
      <c r="AB235" s="7">
        <v>15000.0</v>
      </c>
      <c r="AC235" s="8">
        <f t="shared" si="7"/>
        <v>0</v>
      </c>
      <c r="AD235" s="7"/>
      <c r="AE235" s="7"/>
    </row>
    <row r="236" ht="15.75" customHeight="1">
      <c r="A236" s="45" t="s">
        <v>662</v>
      </c>
      <c r="B236" s="47">
        <v>4233696.0</v>
      </c>
      <c r="C236" s="48">
        <v>45793.0</v>
      </c>
      <c r="D236" s="48">
        <v>45793.0</v>
      </c>
      <c r="E236" s="7"/>
      <c r="F236" s="7"/>
      <c r="G236" s="66"/>
      <c r="H236" s="66"/>
      <c r="I236" s="7" t="s">
        <v>663</v>
      </c>
      <c r="J236" s="7" t="s">
        <v>664</v>
      </c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>
        <v>6696.0</v>
      </c>
      <c r="AB236" s="7">
        <v>6696.0</v>
      </c>
      <c r="AC236" s="8">
        <f t="shared" si="7"/>
        <v>0</v>
      </c>
      <c r="AD236" s="7"/>
      <c r="AE236" s="7"/>
    </row>
    <row r="237" ht="15.75" customHeight="1">
      <c r="A237" s="45" t="s">
        <v>665</v>
      </c>
      <c r="B237" s="47">
        <v>4233697.0</v>
      </c>
      <c r="C237" s="48">
        <v>45793.0</v>
      </c>
      <c r="D237" s="48">
        <v>45793.0</v>
      </c>
      <c r="E237" s="7"/>
      <c r="F237" s="7"/>
      <c r="G237" s="66"/>
      <c r="H237" s="47" t="s">
        <v>666</v>
      </c>
      <c r="I237" s="7" t="s">
        <v>177</v>
      </c>
      <c r="J237" s="7" t="s">
        <v>50</v>
      </c>
      <c r="K237" s="7"/>
      <c r="L237" s="7"/>
      <c r="M237" s="7"/>
      <c r="N237" s="7"/>
      <c r="O237" s="7"/>
      <c r="P237" s="7"/>
      <c r="Q237" s="7"/>
      <c r="R237" s="7"/>
      <c r="S237" s="7"/>
      <c r="T237" s="7">
        <v>10904.55</v>
      </c>
      <c r="U237" s="7"/>
      <c r="V237" s="7"/>
      <c r="W237" s="7"/>
      <c r="X237" s="7"/>
      <c r="Y237" s="7"/>
      <c r="Z237" s="7"/>
      <c r="AA237" s="7"/>
      <c r="AB237" s="7">
        <v>10904.55</v>
      </c>
      <c r="AC237" s="8">
        <f t="shared" si="7"/>
        <v>0</v>
      </c>
      <c r="AD237" s="7"/>
      <c r="AE237" s="7"/>
    </row>
    <row r="238" ht="15.75" customHeight="1">
      <c r="A238" s="45" t="s">
        <v>667</v>
      </c>
      <c r="B238" s="47">
        <v>4233700.0</v>
      </c>
      <c r="C238" s="48">
        <v>45796.0</v>
      </c>
      <c r="D238" s="48">
        <v>45796.0</v>
      </c>
      <c r="E238" s="7"/>
      <c r="F238" s="7"/>
      <c r="G238" s="66"/>
      <c r="H238" s="66"/>
      <c r="I238" s="45" t="s">
        <v>144</v>
      </c>
      <c r="J238" s="45" t="s">
        <v>103</v>
      </c>
      <c r="K238" s="7"/>
      <c r="L238" s="7">
        <v>1388.31</v>
      </c>
      <c r="M238" s="7"/>
      <c r="N238" s="7"/>
      <c r="O238" s="7"/>
      <c r="P238" s="7"/>
      <c r="Q238" s="7"/>
      <c r="R238" s="7"/>
      <c r="S238" s="7">
        <v>11569.24</v>
      </c>
      <c r="T238" s="7"/>
      <c r="U238" s="7"/>
      <c r="V238" s="7"/>
      <c r="W238" s="7"/>
      <c r="X238" s="7"/>
      <c r="Y238" s="7"/>
      <c r="Z238" s="7"/>
      <c r="AA238" s="7"/>
      <c r="AB238" s="7">
        <v>12957.55</v>
      </c>
      <c r="AC238" s="8">
        <f t="shared" si="7"/>
        <v>0</v>
      </c>
      <c r="AD238" s="7"/>
      <c r="AE238" s="7"/>
    </row>
    <row r="239" ht="15.75" customHeight="1">
      <c r="A239" s="45" t="s">
        <v>668</v>
      </c>
      <c r="B239" s="45" t="s">
        <v>669</v>
      </c>
      <c r="C239" s="48">
        <v>45798.0</v>
      </c>
      <c r="D239" s="48">
        <v>45797.0</v>
      </c>
      <c r="E239" s="7"/>
      <c r="F239" s="7"/>
      <c r="G239" s="66"/>
      <c r="H239" s="66"/>
      <c r="I239" s="7" t="s">
        <v>30</v>
      </c>
      <c r="J239" s="7" t="s">
        <v>41</v>
      </c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>
        <v>350000.0</v>
      </c>
      <c r="AA239" s="7"/>
      <c r="AB239" s="7">
        <v>350000.0</v>
      </c>
      <c r="AC239" s="8">
        <f t="shared" si="7"/>
        <v>0</v>
      </c>
      <c r="AD239" s="7"/>
      <c r="AE239" s="7"/>
    </row>
    <row r="240" ht="15.75" customHeight="1">
      <c r="A240" s="45" t="s">
        <v>670</v>
      </c>
      <c r="B240" s="45" t="s">
        <v>671</v>
      </c>
      <c r="C240" s="48">
        <v>45804.0</v>
      </c>
      <c r="D240" s="48">
        <v>45804.0</v>
      </c>
      <c r="E240" s="7"/>
      <c r="F240" s="7"/>
      <c r="G240" s="66"/>
      <c r="H240" s="66"/>
      <c r="I240" s="7" t="s">
        <v>672</v>
      </c>
      <c r="J240" s="7" t="s">
        <v>673</v>
      </c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>
        <v>20685.52</v>
      </c>
      <c r="AB240" s="7">
        <v>20685.52</v>
      </c>
      <c r="AC240" s="8">
        <f t="shared" si="7"/>
        <v>0</v>
      </c>
      <c r="AD240" s="7"/>
      <c r="AE240" s="7"/>
    </row>
    <row r="241" ht="15.75" customHeight="1">
      <c r="A241" s="45" t="s">
        <v>674</v>
      </c>
      <c r="B241" s="45" t="s">
        <v>675</v>
      </c>
      <c r="C241" s="48">
        <v>45804.0</v>
      </c>
      <c r="D241" s="48">
        <v>45804.0</v>
      </c>
      <c r="E241" s="7"/>
      <c r="F241" s="7"/>
      <c r="G241" s="66"/>
      <c r="H241" s="66"/>
      <c r="I241" s="7" t="s">
        <v>676</v>
      </c>
      <c r="J241" s="7" t="s">
        <v>673</v>
      </c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>
        <v>140000.0</v>
      </c>
      <c r="AB241" s="7">
        <v>140000.0</v>
      </c>
      <c r="AC241" s="8">
        <f t="shared" si="7"/>
        <v>0</v>
      </c>
      <c r="AD241" s="7"/>
      <c r="AE241" s="7"/>
    </row>
    <row r="242" ht="15.75" customHeight="1">
      <c r="A242" s="45" t="s">
        <v>677</v>
      </c>
      <c r="B242" s="47">
        <v>4233701.0</v>
      </c>
      <c r="C242" s="48">
        <v>45804.0</v>
      </c>
      <c r="D242" s="48">
        <v>45804.0</v>
      </c>
      <c r="E242" s="7"/>
      <c r="F242" s="7"/>
      <c r="G242" s="66"/>
      <c r="H242" s="47" t="s">
        <v>678</v>
      </c>
      <c r="I242" s="7" t="s">
        <v>122</v>
      </c>
      <c r="J242" s="7" t="s">
        <v>50</v>
      </c>
      <c r="K242" s="7"/>
      <c r="L242" s="7"/>
      <c r="M242" s="7"/>
      <c r="N242" s="7"/>
      <c r="O242" s="7"/>
      <c r="P242" s="7"/>
      <c r="Q242" s="7"/>
      <c r="R242" s="7"/>
      <c r="S242" s="7"/>
      <c r="T242" s="7">
        <v>13704.18</v>
      </c>
      <c r="U242" s="7"/>
      <c r="V242" s="7"/>
      <c r="W242" s="7"/>
      <c r="X242" s="7"/>
      <c r="Y242" s="7"/>
      <c r="Z242" s="7"/>
      <c r="AA242" s="7"/>
      <c r="AB242" s="7">
        <v>13704.18</v>
      </c>
      <c r="AC242" s="8">
        <f t="shared" si="7"/>
        <v>0</v>
      </c>
      <c r="AD242" s="7"/>
      <c r="AE242" s="7"/>
    </row>
    <row r="243" ht="15.75" customHeight="1">
      <c r="A243" s="45" t="s">
        <v>679</v>
      </c>
      <c r="B243" s="47">
        <v>4233702.0</v>
      </c>
      <c r="C243" s="48">
        <v>45807.0</v>
      </c>
      <c r="D243" s="48">
        <v>45804.0</v>
      </c>
      <c r="E243" s="7"/>
      <c r="F243" s="7"/>
      <c r="G243" s="66"/>
      <c r="H243" s="66"/>
      <c r="I243" s="7" t="s">
        <v>94</v>
      </c>
      <c r="J243" s="7" t="s">
        <v>95</v>
      </c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>
        <v>25600.0</v>
      </c>
      <c r="AB243" s="7">
        <v>25600.0</v>
      </c>
      <c r="AC243" s="8">
        <f t="shared" si="7"/>
        <v>0</v>
      </c>
      <c r="AD243" s="7"/>
      <c r="AE243" s="7"/>
    </row>
    <row r="244" ht="15.75" customHeight="1">
      <c r="A244" s="45" t="s">
        <v>680</v>
      </c>
      <c r="B244" s="47">
        <v>4233703.0</v>
      </c>
      <c r="C244" s="48">
        <v>45807.0</v>
      </c>
      <c r="D244" s="48">
        <v>45804.0</v>
      </c>
      <c r="E244" s="7"/>
      <c r="F244" s="7"/>
      <c r="G244" s="66"/>
      <c r="H244" s="66"/>
      <c r="I244" s="7" t="s">
        <v>94</v>
      </c>
      <c r="J244" s="7" t="s">
        <v>602</v>
      </c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>
        <v>15200.0</v>
      </c>
      <c r="AB244" s="7">
        <v>15200.0</v>
      </c>
      <c r="AC244" s="8">
        <f t="shared" si="7"/>
        <v>0</v>
      </c>
      <c r="AD244" s="7"/>
      <c r="AE244" s="7"/>
    </row>
    <row r="245" ht="15.75" customHeight="1">
      <c r="A245" s="45" t="s">
        <v>681</v>
      </c>
      <c r="B245" s="47">
        <v>4233704.0</v>
      </c>
      <c r="C245" s="48">
        <v>45805.0</v>
      </c>
      <c r="D245" s="48">
        <v>45805.0</v>
      </c>
      <c r="E245" s="7"/>
      <c r="F245" s="7"/>
      <c r="G245" s="66"/>
      <c r="H245" s="66"/>
      <c r="I245" s="7" t="s">
        <v>598</v>
      </c>
      <c r="J245" s="7" t="s">
        <v>535</v>
      </c>
      <c r="K245" s="7"/>
      <c r="L245" s="7"/>
      <c r="M245" s="7"/>
      <c r="N245" s="7"/>
      <c r="O245" s="7"/>
      <c r="P245" s="7">
        <v>15000.0</v>
      </c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>
        <v>15000.0</v>
      </c>
      <c r="AC245" s="8">
        <f t="shared" si="7"/>
        <v>0</v>
      </c>
      <c r="AD245" s="7"/>
      <c r="AE245" s="7"/>
    </row>
    <row r="246" ht="15.75" customHeight="1">
      <c r="A246" s="45" t="s">
        <v>682</v>
      </c>
      <c r="B246" s="47">
        <v>4233705.0</v>
      </c>
      <c r="C246" s="48">
        <v>45805.0</v>
      </c>
      <c r="D246" s="48">
        <v>45805.0</v>
      </c>
      <c r="E246" s="48">
        <v>45819.0</v>
      </c>
      <c r="F246" s="7"/>
      <c r="G246" s="66"/>
      <c r="H246" s="66"/>
      <c r="I246" s="7" t="s">
        <v>683</v>
      </c>
      <c r="J246" s="45" t="s">
        <v>82</v>
      </c>
      <c r="K246" s="45" t="s">
        <v>83</v>
      </c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>
        <v>5116.69</v>
      </c>
      <c r="AB246" s="7">
        <v>5116.69</v>
      </c>
      <c r="AC246" s="8">
        <f t="shared" si="7"/>
        <v>0</v>
      </c>
      <c r="AD246" s="7"/>
      <c r="AE246" s="7"/>
    </row>
    <row r="247" ht="15.75" customHeight="1">
      <c r="A247" s="45" t="s">
        <v>684</v>
      </c>
      <c r="B247" s="47">
        <v>4233706.0</v>
      </c>
      <c r="C247" s="48">
        <v>45806.0</v>
      </c>
      <c r="D247" s="48">
        <v>45806.0</v>
      </c>
      <c r="E247" s="7"/>
      <c r="F247" s="7"/>
      <c r="G247" s="66"/>
      <c r="H247" s="66"/>
      <c r="I247" s="7" t="s">
        <v>685</v>
      </c>
      <c r="J247" s="7" t="s">
        <v>50</v>
      </c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>
        <v>3000.0</v>
      </c>
      <c r="Z247" s="7"/>
      <c r="AA247" s="7"/>
      <c r="AB247" s="7">
        <v>2704.0</v>
      </c>
      <c r="AC247" s="8">
        <f t="shared" si="7"/>
        <v>-296</v>
      </c>
      <c r="AD247" s="51" t="s">
        <v>686</v>
      </c>
      <c r="AE247" s="7"/>
    </row>
    <row r="248" ht="15.75" customHeight="1">
      <c r="A248" s="52">
        <v>45809.0</v>
      </c>
      <c r="B248" s="53"/>
      <c r="C248" s="54"/>
      <c r="D248" s="54"/>
      <c r="E248" s="54"/>
      <c r="F248" s="53"/>
      <c r="G248" s="55"/>
      <c r="H248" s="55"/>
      <c r="I248" s="53"/>
      <c r="J248" s="53"/>
      <c r="K248" s="53"/>
      <c r="L248" s="56"/>
      <c r="M248" s="56"/>
      <c r="N248" s="56"/>
      <c r="O248" s="53"/>
      <c r="P248" s="53"/>
      <c r="Q248" s="53"/>
      <c r="R248" s="53"/>
      <c r="S248" s="53"/>
      <c r="T248" s="56"/>
      <c r="U248" s="57"/>
      <c r="V248" s="57"/>
      <c r="W248" s="57"/>
      <c r="X248" s="58"/>
      <c r="Y248" s="57"/>
      <c r="Z248" s="58"/>
      <c r="AA248" s="58"/>
      <c r="AB248" s="56"/>
      <c r="AC248" s="59"/>
      <c r="AD248" s="57"/>
      <c r="AE248" s="56"/>
    </row>
    <row r="249" ht="15.75" customHeight="1">
      <c r="A249" s="67" t="s">
        <v>687</v>
      </c>
      <c r="B249" s="68">
        <v>4233707.0</v>
      </c>
      <c r="C249" s="69">
        <v>45854.0</v>
      </c>
      <c r="D249" s="69">
        <v>45810.0</v>
      </c>
      <c r="E249" s="69">
        <v>45824.0</v>
      </c>
      <c r="F249" s="70" t="s">
        <v>688</v>
      </c>
      <c r="G249" s="71" t="s">
        <v>366</v>
      </c>
      <c r="H249" s="71"/>
      <c r="I249" s="70" t="s">
        <v>689</v>
      </c>
      <c r="J249" s="70" t="s">
        <v>76</v>
      </c>
      <c r="K249" s="67" t="s">
        <v>77</v>
      </c>
      <c r="L249" s="70">
        <v>4553.57</v>
      </c>
      <c r="M249" s="70">
        <v>37946.43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>
        <v>42500.0</v>
      </c>
      <c r="AC249" s="8">
        <f t="shared" ref="AC249:AC296" si="8">SUM(AB249)-SUM(L249:AA249)</f>
        <v>0</v>
      </c>
      <c r="AD249" s="70" t="s">
        <v>690</v>
      </c>
      <c r="AE249" s="7">
        <v>379.46</v>
      </c>
    </row>
    <row r="250" ht="15.75" customHeight="1">
      <c r="A250" s="45" t="s">
        <v>691</v>
      </c>
      <c r="B250" s="47">
        <v>4233708.0</v>
      </c>
      <c r="C250" s="48">
        <v>45817.0</v>
      </c>
      <c r="D250" s="48">
        <v>45810.0</v>
      </c>
      <c r="E250" s="48">
        <v>45818.0</v>
      </c>
      <c r="F250" s="7" t="s">
        <v>692</v>
      </c>
      <c r="G250" s="66" t="s">
        <v>693</v>
      </c>
      <c r="H250" s="66"/>
      <c r="I250" s="7" t="s">
        <v>694</v>
      </c>
      <c r="J250" s="45" t="s">
        <v>91</v>
      </c>
      <c r="K250" s="45" t="s">
        <v>92</v>
      </c>
      <c r="L250" s="7">
        <v>15160.71</v>
      </c>
      <c r="M250" s="7">
        <v>126339.29</v>
      </c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>
        <v>141500.0</v>
      </c>
      <c r="AC250" s="8">
        <f t="shared" si="8"/>
        <v>0</v>
      </c>
      <c r="AD250" s="7"/>
      <c r="AE250" s="7">
        <v>1263.39</v>
      </c>
    </row>
    <row r="251" ht="15.75" customHeight="1">
      <c r="A251" s="72" t="s">
        <v>695</v>
      </c>
      <c r="B251" s="73" t="s">
        <v>696</v>
      </c>
      <c r="C251" s="69">
        <v>45854.0</v>
      </c>
      <c r="D251" s="69">
        <v>45810.0</v>
      </c>
      <c r="E251" s="69">
        <v>45824.0</v>
      </c>
      <c r="F251" s="70" t="s">
        <v>697</v>
      </c>
      <c r="G251" s="71" t="s">
        <v>698</v>
      </c>
      <c r="H251" s="71"/>
      <c r="I251" s="70" t="s">
        <v>699</v>
      </c>
      <c r="J251" s="70" t="s">
        <v>76</v>
      </c>
      <c r="K251" s="67" t="s">
        <v>77</v>
      </c>
      <c r="L251" s="70">
        <v>5410.71</v>
      </c>
      <c r="M251" s="70">
        <v>45089.29</v>
      </c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>
        <v>50500.0</v>
      </c>
      <c r="AC251" s="8">
        <f t="shared" si="8"/>
        <v>0</v>
      </c>
      <c r="AD251" s="70" t="s">
        <v>690</v>
      </c>
      <c r="AE251" s="7">
        <v>450.89</v>
      </c>
    </row>
    <row r="252" ht="15.75" customHeight="1">
      <c r="A252" s="74" t="s">
        <v>700</v>
      </c>
      <c r="B252" s="75" t="s">
        <v>701</v>
      </c>
      <c r="C252" s="48">
        <v>45813.0</v>
      </c>
      <c r="D252" s="48">
        <v>45813.0</v>
      </c>
      <c r="E252" s="7"/>
      <c r="F252" s="7"/>
      <c r="G252" s="66"/>
      <c r="H252" s="66"/>
      <c r="I252" s="7" t="s">
        <v>384</v>
      </c>
      <c r="J252" s="7" t="s">
        <v>119</v>
      </c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>
        <v>9673.75</v>
      </c>
      <c r="AB252" s="7">
        <v>9673.75</v>
      </c>
      <c r="AC252" s="8">
        <f t="shared" si="8"/>
        <v>0</v>
      </c>
      <c r="AD252" s="7"/>
      <c r="AE252" s="7"/>
    </row>
    <row r="253" ht="15.75" customHeight="1">
      <c r="A253" s="74" t="s">
        <v>702</v>
      </c>
      <c r="B253" s="75" t="s">
        <v>703</v>
      </c>
      <c r="C253" s="48">
        <v>45813.0</v>
      </c>
      <c r="D253" s="48">
        <v>45813.0</v>
      </c>
      <c r="E253" s="7"/>
      <c r="F253" s="7"/>
      <c r="G253" s="66"/>
      <c r="H253" s="66" t="s">
        <v>704</v>
      </c>
      <c r="I253" s="7" t="s">
        <v>451</v>
      </c>
      <c r="J253" s="7" t="s">
        <v>50</v>
      </c>
      <c r="K253" s="7"/>
      <c r="L253" s="7"/>
      <c r="M253" s="7"/>
      <c r="N253" s="7"/>
      <c r="O253" s="7"/>
      <c r="P253" s="7"/>
      <c r="Q253" s="7"/>
      <c r="R253" s="7"/>
      <c r="S253" s="7"/>
      <c r="T253" s="7">
        <v>9435.13</v>
      </c>
      <c r="U253" s="7"/>
      <c r="V253" s="7"/>
      <c r="W253" s="7"/>
      <c r="X253" s="7"/>
      <c r="Y253" s="7"/>
      <c r="Z253" s="7"/>
      <c r="AA253" s="7"/>
      <c r="AB253" s="7">
        <v>9435.13</v>
      </c>
      <c r="AC253" s="8">
        <f t="shared" si="8"/>
        <v>0</v>
      </c>
      <c r="AD253" s="7"/>
      <c r="AE253" s="7"/>
    </row>
    <row r="254" ht="15.75" customHeight="1">
      <c r="A254" s="74" t="s">
        <v>705</v>
      </c>
      <c r="B254" s="75" t="s">
        <v>706</v>
      </c>
      <c r="C254" s="48">
        <v>45813.0</v>
      </c>
      <c r="D254" s="48">
        <v>45813.0</v>
      </c>
      <c r="E254" s="7"/>
      <c r="F254" s="7"/>
      <c r="G254" s="66"/>
      <c r="H254" s="66"/>
      <c r="I254" s="7" t="s">
        <v>707</v>
      </c>
      <c r="J254" s="7" t="s">
        <v>664</v>
      </c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>
        <v>4464.29</v>
      </c>
      <c r="AB254" s="7">
        <v>4464.29</v>
      </c>
      <c r="AC254" s="8">
        <f t="shared" si="8"/>
        <v>0</v>
      </c>
      <c r="AD254" s="7"/>
      <c r="AE254" s="7"/>
    </row>
    <row r="255" ht="15.75" customHeight="1">
      <c r="A255" s="72" t="s">
        <v>708</v>
      </c>
      <c r="B255" s="73" t="s">
        <v>709</v>
      </c>
      <c r="C255" s="69">
        <v>45842.0</v>
      </c>
      <c r="D255" s="69">
        <v>45813.0</v>
      </c>
      <c r="E255" s="69">
        <v>45832.0</v>
      </c>
      <c r="F255" s="70" t="s">
        <v>710</v>
      </c>
      <c r="G255" s="71" t="s">
        <v>711</v>
      </c>
      <c r="H255" s="71"/>
      <c r="I255" s="70" t="s">
        <v>712</v>
      </c>
      <c r="J255" s="67" t="s">
        <v>46</v>
      </c>
      <c r="K255" s="67" t="s">
        <v>47</v>
      </c>
      <c r="L255" s="70">
        <v>871.45</v>
      </c>
      <c r="M255" s="70">
        <v>7262.05</v>
      </c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>
        <v>8133.5</v>
      </c>
      <c r="AC255" s="8">
        <f t="shared" si="8"/>
        <v>0</v>
      </c>
      <c r="AD255" s="70" t="s">
        <v>690</v>
      </c>
      <c r="AE255" s="7"/>
    </row>
    <row r="256" ht="15.75" customHeight="1">
      <c r="A256" s="74" t="s">
        <v>713</v>
      </c>
      <c r="B256" s="75" t="s">
        <v>714</v>
      </c>
      <c r="C256" s="48">
        <v>45813.0</v>
      </c>
      <c r="D256" s="48">
        <v>45813.0</v>
      </c>
      <c r="E256" s="48">
        <v>45817.0</v>
      </c>
      <c r="F256" s="7" t="s">
        <v>715</v>
      </c>
      <c r="G256" s="66" t="s">
        <v>716</v>
      </c>
      <c r="H256" s="66"/>
      <c r="I256" s="7" t="s">
        <v>717</v>
      </c>
      <c r="J256" s="7" t="s">
        <v>718</v>
      </c>
      <c r="K256" s="7" t="s">
        <v>719</v>
      </c>
      <c r="L256" s="7">
        <v>826.61</v>
      </c>
      <c r="M256" s="7">
        <v>6888.39</v>
      </c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>
        <v>7715.0</v>
      </c>
      <c r="AC256" s="8">
        <f t="shared" si="8"/>
        <v>0</v>
      </c>
      <c r="AD256" s="7"/>
      <c r="AE256" s="7">
        <v>68.88</v>
      </c>
    </row>
    <row r="257" ht="15.75" customHeight="1">
      <c r="A257" s="74" t="s">
        <v>720</v>
      </c>
      <c r="B257" s="75" t="s">
        <v>721</v>
      </c>
      <c r="C257" s="48">
        <v>45813.0</v>
      </c>
      <c r="D257" s="48">
        <v>45813.0</v>
      </c>
      <c r="E257" s="7"/>
      <c r="F257" s="7"/>
      <c r="G257" s="66"/>
      <c r="H257" s="66"/>
      <c r="I257" s="7" t="s">
        <v>20</v>
      </c>
      <c r="J257" s="7" t="s">
        <v>50</v>
      </c>
      <c r="K257" s="7"/>
      <c r="L257" s="7"/>
      <c r="M257" s="7"/>
      <c r="N257" s="7"/>
      <c r="O257" s="7"/>
      <c r="P257" s="7">
        <v>15000.0</v>
      </c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>
        <v>15000.0</v>
      </c>
      <c r="AC257" s="8">
        <f t="shared" si="8"/>
        <v>0</v>
      </c>
      <c r="AD257" s="7"/>
      <c r="AE257" s="7"/>
    </row>
    <row r="258" ht="15.75" customHeight="1">
      <c r="A258" s="74" t="s">
        <v>722</v>
      </c>
      <c r="B258" s="47" t="s">
        <v>723</v>
      </c>
      <c r="C258" s="48">
        <v>45813.0</v>
      </c>
      <c r="D258" s="48">
        <v>45813.0</v>
      </c>
      <c r="E258" s="7"/>
      <c r="F258" s="7"/>
      <c r="G258" s="66"/>
      <c r="H258" s="66"/>
      <c r="I258" s="7" t="s">
        <v>30</v>
      </c>
      <c r="J258" s="7" t="s">
        <v>724</v>
      </c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>
        <v>200000.0</v>
      </c>
      <c r="AA258" s="7"/>
      <c r="AB258" s="7">
        <v>200000.0</v>
      </c>
      <c r="AC258" s="8">
        <f t="shared" si="8"/>
        <v>0</v>
      </c>
      <c r="AD258" s="7"/>
      <c r="AE258" s="7"/>
    </row>
    <row r="259" ht="15.75" customHeight="1">
      <c r="A259" s="72" t="s">
        <v>725</v>
      </c>
      <c r="B259" s="73" t="s">
        <v>726</v>
      </c>
      <c r="C259" s="69">
        <v>45844.0</v>
      </c>
      <c r="D259" s="69">
        <v>45813.0</v>
      </c>
      <c r="E259" s="69">
        <v>45832.0</v>
      </c>
      <c r="F259" s="70" t="s">
        <v>727</v>
      </c>
      <c r="G259" s="71" t="s">
        <v>728</v>
      </c>
      <c r="H259" s="71"/>
      <c r="I259" s="70" t="s">
        <v>729</v>
      </c>
      <c r="J259" s="70" t="s">
        <v>46</v>
      </c>
      <c r="K259" s="67" t="s">
        <v>47</v>
      </c>
      <c r="L259" s="70">
        <v>208.93</v>
      </c>
      <c r="M259" s="70">
        <v>1741.07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>
        <v>1950.0</v>
      </c>
      <c r="AC259" s="8">
        <f t="shared" si="8"/>
        <v>0</v>
      </c>
      <c r="AD259" s="70" t="s">
        <v>690</v>
      </c>
      <c r="AE259" s="7">
        <v>17.41</v>
      </c>
    </row>
    <row r="260" ht="15.75" customHeight="1">
      <c r="A260" s="72" t="s">
        <v>730</v>
      </c>
      <c r="B260" s="73" t="s">
        <v>731</v>
      </c>
      <c r="C260" s="69">
        <v>45848.0</v>
      </c>
      <c r="D260" s="69">
        <v>45817.0</v>
      </c>
      <c r="E260" s="69">
        <v>45818.0</v>
      </c>
      <c r="F260" s="70" t="s">
        <v>732</v>
      </c>
      <c r="G260" s="71" t="s">
        <v>733</v>
      </c>
      <c r="H260" s="71"/>
      <c r="I260" s="70" t="s">
        <v>734</v>
      </c>
      <c r="J260" s="67" t="s">
        <v>349</v>
      </c>
      <c r="K260" s="67" t="s">
        <v>444</v>
      </c>
      <c r="L260" s="70">
        <v>857.14</v>
      </c>
      <c r="M260" s="70">
        <v>7142.86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>
        <v>8000.0</v>
      </c>
      <c r="AC260" s="8">
        <f t="shared" si="8"/>
        <v>0</v>
      </c>
      <c r="AD260" s="70" t="s">
        <v>690</v>
      </c>
      <c r="AE260" s="7">
        <v>71.43</v>
      </c>
    </row>
    <row r="261" ht="15.75" customHeight="1">
      <c r="A261" s="74" t="s">
        <v>735</v>
      </c>
      <c r="B261" s="47" t="s">
        <v>736</v>
      </c>
      <c r="C261" s="48">
        <v>45821.0</v>
      </c>
      <c r="D261" s="48">
        <v>45817.0</v>
      </c>
      <c r="E261" s="7"/>
      <c r="F261" s="7"/>
      <c r="G261" s="66"/>
      <c r="H261" s="66"/>
      <c r="I261" s="7" t="s">
        <v>20</v>
      </c>
      <c r="J261" s="7" t="s">
        <v>737</v>
      </c>
      <c r="K261" s="7"/>
      <c r="L261" s="7"/>
      <c r="M261" s="7"/>
      <c r="N261" s="7"/>
      <c r="O261" s="7"/>
      <c r="P261" s="7">
        <v>15000.0</v>
      </c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>
        <v>15000.0</v>
      </c>
      <c r="AC261" s="8">
        <f t="shared" si="8"/>
        <v>0</v>
      </c>
      <c r="AD261" s="7"/>
      <c r="AE261" s="7"/>
    </row>
    <row r="262" ht="15.75" customHeight="1">
      <c r="A262" s="74" t="s">
        <v>738</v>
      </c>
      <c r="B262" s="75" t="s">
        <v>739</v>
      </c>
      <c r="C262" s="48">
        <v>45821.0</v>
      </c>
      <c r="D262" s="48">
        <v>45821.0</v>
      </c>
      <c r="E262" s="7"/>
      <c r="F262" s="7"/>
      <c r="G262" s="66"/>
      <c r="H262" s="66"/>
      <c r="I262" s="7" t="s">
        <v>94</v>
      </c>
      <c r="J262" s="7" t="s">
        <v>602</v>
      </c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>
        <v>17400.0</v>
      </c>
      <c r="AB262" s="7">
        <v>17400.0</v>
      </c>
      <c r="AC262" s="8">
        <f t="shared" si="8"/>
        <v>0</v>
      </c>
      <c r="AD262" s="7"/>
      <c r="AE262" s="7"/>
    </row>
    <row r="263" ht="15.75" customHeight="1">
      <c r="A263" s="74" t="s">
        <v>740</v>
      </c>
      <c r="B263" s="75" t="s">
        <v>741</v>
      </c>
      <c r="C263" s="48">
        <v>45821.0</v>
      </c>
      <c r="D263" s="48">
        <v>45821.0</v>
      </c>
      <c r="E263" s="7"/>
      <c r="F263" s="7"/>
      <c r="G263" s="66"/>
      <c r="H263" s="66"/>
      <c r="I263" s="7" t="s">
        <v>94</v>
      </c>
      <c r="J263" s="7" t="s">
        <v>742</v>
      </c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>
        <v>28160.0</v>
      </c>
      <c r="AB263" s="7">
        <v>28160.0</v>
      </c>
      <c r="AC263" s="8">
        <f t="shared" si="8"/>
        <v>0</v>
      </c>
      <c r="AD263" s="7"/>
      <c r="AE263" s="7"/>
    </row>
    <row r="264" ht="15.75" customHeight="1">
      <c r="A264" s="74" t="s">
        <v>743</v>
      </c>
      <c r="B264" s="75" t="s">
        <v>744</v>
      </c>
      <c r="C264" s="48">
        <v>45824.0</v>
      </c>
      <c r="D264" s="48">
        <v>45824.0</v>
      </c>
      <c r="E264" s="7"/>
      <c r="F264" s="7"/>
      <c r="G264" s="66"/>
      <c r="H264" s="66"/>
      <c r="I264" s="45" t="s">
        <v>745</v>
      </c>
      <c r="J264" s="45" t="s">
        <v>100</v>
      </c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>
        <v>10379.87</v>
      </c>
      <c r="Y264" s="7"/>
      <c r="Z264" s="7"/>
      <c r="AA264" s="7"/>
      <c r="AB264" s="7">
        <v>10379.87</v>
      </c>
      <c r="AC264" s="8">
        <f t="shared" si="8"/>
        <v>0</v>
      </c>
      <c r="AD264" s="7"/>
      <c r="AE264" s="7"/>
    </row>
    <row r="265" ht="15.75" customHeight="1">
      <c r="A265" s="74" t="s">
        <v>746</v>
      </c>
      <c r="B265" s="75" t="s">
        <v>747</v>
      </c>
      <c r="C265" s="48">
        <v>45824.0</v>
      </c>
      <c r="D265" s="48">
        <v>45824.0</v>
      </c>
      <c r="E265" s="7"/>
      <c r="F265" s="7"/>
      <c r="G265" s="66"/>
      <c r="H265" s="66"/>
      <c r="I265" s="45" t="s">
        <v>748</v>
      </c>
      <c r="J265" s="45" t="s">
        <v>58</v>
      </c>
      <c r="K265" s="7"/>
      <c r="L265" s="7">
        <v>32.14</v>
      </c>
      <c r="M265" s="7"/>
      <c r="N265" s="7"/>
      <c r="O265" s="7"/>
      <c r="P265" s="7"/>
      <c r="Q265" s="7"/>
      <c r="R265" s="7"/>
      <c r="S265" s="7">
        <v>267.86</v>
      </c>
      <c r="T265" s="7"/>
      <c r="U265" s="7"/>
      <c r="V265" s="7"/>
      <c r="W265" s="7"/>
      <c r="X265" s="7"/>
      <c r="Y265" s="7"/>
      <c r="Z265" s="7"/>
      <c r="AA265" s="7"/>
      <c r="AB265" s="7">
        <v>300.0</v>
      </c>
      <c r="AC265" s="8">
        <f t="shared" si="8"/>
        <v>0</v>
      </c>
      <c r="AD265" s="7"/>
      <c r="AE265" s="7"/>
    </row>
    <row r="266" ht="15.75" customHeight="1">
      <c r="A266" s="74" t="s">
        <v>749</v>
      </c>
      <c r="B266" s="75" t="s">
        <v>750</v>
      </c>
      <c r="C266" s="48">
        <v>45824.0</v>
      </c>
      <c r="D266" s="48">
        <v>45824.0</v>
      </c>
      <c r="E266" s="48">
        <v>45826.0</v>
      </c>
      <c r="F266" s="7" t="s">
        <v>751</v>
      </c>
      <c r="G266" s="66"/>
      <c r="H266" s="66"/>
      <c r="I266" s="45" t="s">
        <v>752</v>
      </c>
      <c r="J266" s="45" t="s">
        <v>142</v>
      </c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>
        <v>5875.2</v>
      </c>
      <c r="AB266" s="7">
        <v>5875.2</v>
      </c>
      <c r="AC266" s="8">
        <f t="shared" si="8"/>
        <v>0</v>
      </c>
      <c r="AD266" s="7"/>
      <c r="AE266" s="7"/>
    </row>
    <row r="267" ht="15.75" customHeight="1">
      <c r="A267" s="74" t="s">
        <v>753</v>
      </c>
      <c r="B267" s="75" t="s">
        <v>754</v>
      </c>
      <c r="C267" s="48">
        <v>45824.0</v>
      </c>
      <c r="D267" s="48">
        <v>45824.0</v>
      </c>
      <c r="E267" s="48">
        <v>45825.0</v>
      </c>
      <c r="F267" s="7" t="s">
        <v>755</v>
      </c>
      <c r="G267" s="66"/>
      <c r="H267" s="66"/>
      <c r="I267" s="45" t="s">
        <v>608</v>
      </c>
      <c r="J267" s="45" t="s">
        <v>609</v>
      </c>
      <c r="K267" s="7"/>
      <c r="L267" s="7"/>
      <c r="M267" s="7"/>
      <c r="N267" s="7">
        <v>39550.0</v>
      </c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>
        <v>39550.0</v>
      </c>
      <c r="AC267" s="8">
        <f t="shared" si="8"/>
        <v>0</v>
      </c>
      <c r="AD267" s="7"/>
      <c r="AE267" s="7"/>
    </row>
    <row r="268" ht="15.75" customHeight="1">
      <c r="A268" s="74" t="s">
        <v>756</v>
      </c>
      <c r="B268" s="75" t="s">
        <v>757</v>
      </c>
      <c r="C268" s="48">
        <v>45824.0</v>
      </c>
      <c r="D268" s="48">
        <v>45824.0</v>
      </c>
      <c r="E268" s="7"/>
      <c r="F268" s="7"/>
      <c r="G268" s="66"/>
      <c r="H268" s="66" t="s">
        <v>758</v>
      </c>
      <c r="I268" s="7" t="s">
        <v>394</v>
      </c>
      <c r="J268" s="7" t="s">
        <v>50</v>
      </c>
      <c r="K268" s="7"/>
      <c r="L268" s="7"/>
      <c r="M268" s="7"/>
      <c r="N268" s="7"/>
      <c r="O268" s="7"/>
      <c r="P268" s="7"/>
      <c r="Q268" s="7"/>
      <c r="R268" s="7"/>
      <c r="S268" s="7"/>
      <c r="T268" s="7">
        <v>10771.24</v>
      </c>
      <c r="U268" s="7"/>
      <c r="V268" s="7"/>
      <c r="W268" s="7"/>
      <c r="X268" s="7"/>
      <c r="Y268" s="7"/>
      <c r="Z268" s="7"/>
      <c r="AA268" s="7"/>
      <c r="AB268" s="7">
        <v>10771.24</v>
      </c>
      <c r="AC268" s="8">
        <f t="shared" si="8"/>
        <v>0</v>
      </c>
      <c r="AD268" s="7"/>
      <c r="AE268" s="7"/>
    </row>
    <row r="269" ht="15.75" customHeight="1">
      <c r="A269" s="72" t="s">
        <v>759</v>
      </c>
      <c r="B269" s="73" t="s">
        <v>760</v>
      </c>
      <c r="C269" s="69">
        <v>45864.0</v>
      </c>
      <c r="D269" s="69">
        <v>45824.0</v>
      </c>
      <c r="E269" s="69">
        <v>45824.0</v>
      </c>
      <c r="F269" s="70" t="s">
        <v>761</v>
      </c>
      <c r="G269" s="71" t="s">
        <v>762</v>
      </c>
      <c r="H269" s="71"/>
      <c r="I269" s="70" t="s">
        <v>763</v>
      </c>
      <c r="J269" s="70" t="s">
        <v>76</v>
      </c>
      <c r="K269" s="67" t="s">
        <v>77</v>
      </c>
      <c r="L269" s="70">
        <v>1821.43</v>
      </c>
      <c r="M269" s="70">
        <v>15178.57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>
        <v>17000.0</v>
      </c>
      <c r="AC269" s="8">
        <f t="shared" si="8"/>
        <v>0</v>
      </c>
      <c r="AD269" s="70" t="s">
        <v>690</v>
      </c>
      <c r="AE269" s="7">
        <v>151.79</v>
      </c>
    </row>
    <row r="270" ht="15.75" customHeight="1">
      <c r="A270" s="74" t="s">
        <v>764</v>
      </c>
      <c r="B270" s="75" t="s">
        <v>765</v>
      </c>
      <c r="C270" s="48">
        <v>45824.0</v>
      </c>
      <c r="D270" s="48">
        <v>45824.0</v>
      </c>
      <c r="E270" s="7"/>
      <c r="F270" s="7"/>
      <c r="G270" s="66"/>
      <c r="H270" s="66"/>
      <c r="I270" s="45" t="s">
        <v>766</v>
      </c>
      <c r="J270" s="45" t="s">
        <v>103</v>
      </c>
      <c r="K270" s="7"/>
      <c r="L270" s="7">
        <v>160.61</v>
      </c>
      <c r="M270" s="7">
        <v>1338.39</v>
      </c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>
        <v>1499.0</v>
      </c>
      <c r="AC270" s="8">
        <f t="shared" si="8"/>
        <v>0</v>
      </c>
      <c r="AD270" s="7"/>
      <c r="AE270" s="7"/>
    </row>
    <row r="271" ht="15.75" customHeight="1">
      <c r="A271" s="74" t="s">
        <v>767</v>
      </c>
      <c r="B271" s="75" t="s">
        <v>768</v>
      </c>
      <c r="C271" s="48">
        <v>45824.0</v>
      </c>
      <c r="D271" s="48">
        <v>45824.0</v>
      </c>
      <c r="E271" s="7"/>
      <c r="F271" s="7"/>
      <c r="G271" s="66"/>
      <c r="H271" s="66"/>
      <c r="I271" s="45" t="s">
        <v>769</v>
      </c>
      <c r="J271" s="45" t="s">
        <v>103</v>
      </c>
      <c r="K271" s="7"/>
      <c r="L271" s="7">
        <v>107.04</v>
      </c>
      <c r="M271" s="7">
        <v>891.96</v>
      </c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>
        <v>999.0</v>
      </c>
      <c r="AC271" s="8">
        <f t="shared" si="8"/>
        <v>0</v>
      </c>
      <c r="AD271" s="7"/>
      <c r="AE271" s="7"/>
    </row>
    <row r="272" ht="15.75" customHeight="1">
      <c r="A272" s="74" t="s">
        <v>770</v>
      </c>
      <c r="B272" s="75" t="s">
        <v>771</v>
      </c>
      <c r="C272" s="48">
        <v>45824.0</v>
      </c>
      <c r="D272" s="48">
        <v>45824.0</v>
      </c>
      <c r="E272" s="7"/>
      <c r="F272" s="7"/>
      <c r="G272" s="66"/>
      <c r="H272" s="66"/>
      <c r="I272" s="7" t="s">
        <v>772</v>
      </c>
      <c r="J272" s="7" t="s">
        <v>773</v>
      </c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>
        <v>1920.0</v>
      </c>
      <c r="AB272" s="7">
        <v>1920.0</v>
      </c>
      <c r="AC272" s="8">
        <f t="shared" si="8"/>
        <v>0</v>
      </c>
      <c r="AD272" s="7"/>
      <c r="AE272" s="7"/>
    </row>
    <row r="273" ht="15.75" customHeight="1">
      <c r="A273" s="74" t="s">
        <v>774</v>
      </c>
      <c r="B273" s="47" t="s">
        <v>775</v>
      </c>
      <c r="C273" s="48">
        <v>45824.0</v>
      </c>
      <c r="D273" s="48">
        <v>45824.0</v>
      </c>
      <c r="E273" s="7"/>
      <c r="F273" s="7"/>
      <c r="G273" s="66"/>
      <c r="H273" s="66"/>
      <c r="I273" s="7" t="s">
        <v>20</v>
      </c>
      <c r="J273" s="7" t="s">
        <v>599</v>
      </c>
      <c r="K273" s="7"/>
      <c r="L273" s="7"/>
      <c r="M273" s="7"/>
      <c r="N273" s="7"/>
      <c r="O273" s="7"/>
      <c r="P273" s="7">
        <v>20000.0</v>
      </c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>
        <v>20000.0</v>
      </c>
      <c r="AC273" s="8">
        <f t="shared" si="8"/>
        <v>0</v>
      </c>
      <c r="AD273" s="7"/>
      <c r="AE273" s="7"/>
    </row>
    <row r="274" ht="15.75" customHeight="1">
      <c r="A274" s="74" t="s">
        <v>776</v>
      </c>
      <c r="B274" s="47" t="s">
        <v>777</v>
      </c>
      <c r="C274" s="48">
        <v>45824.0</v>
      </c>
      <c r="D274" s="48">
        <v>45824.0</v>
      </c>
      <c r="E274" s="7"/>
      <c r="F274" s="7"/>
      <c r="G274" s="66"/>
      <c r="H274" s="66"/>
      <c r="I274" s="7" t="s">
        <v>30</v>
      </c>
      <c r="J274" s="7" t="s">
        <v>724</v>
      </c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>
        <v>200000.0</v>
      </c>
      <c r="AA274" s="7"/>
      <c r="AB274" s="7">
        <v>200000.0</v>
      </c>
      <c r="AC274" s="8">
        <f t="shared" si="8"/>
        <v>0</v>
      </c>
      <c r="AD274" s="7"/>
      <c r="AE274" s="7"/>
    </row>
    <row r="275" ht="15.75" customHeight="1">
      <c r="A275" s="74" t="s">
        <v>778</v>
      </c>
      <c r="B275" s="75" t="s">
        <v>779</v>
      </c>
      <c r="C275" s="48">
        <v>45825.0</v>
      </c>
      <c r="D275" s="48">
        <v>45825.0</v>
      </c>
      <c r="E275" s="7"/>
      <c r="F275" s="7"/>
      <c r="G275" s="66"/>
      <c r="H275" s="66"/>
      <c r="I275" s="7" t="s">
        <v>780</v>
      </c>
      <c r="J275" s="7" t="s">
        <v>609</v>
      </c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>
        <v>3596.0</v>
      </c>
      <c r="AB275" s="7">
        <v>3596.0</v>
      </c>
      <c r="AC275" s="8">
        <f t="shared" si="8"/>
        <v>0</v>
      </c>
      <c r="AD275" s="7"/>
      <c r="AE275" s="7"/>
    </row>
    <row r="276" ht="15.75" customHeight="1">
      <c r="A276" s="74" t="s">
        <v>781</v>
      </c>
      <c r="B276" s="75" t="s">
        <v>782</v>
      </c>
      <c r="C276" s="48">
        <v>45826.0</v>
      </c>
      <c r="D276" s="48">
        <v>45826.0</v>
      </c>
      <c r="E276" s="7"/>
      <c r="F276" s="7"/>
      <c r="G276" s="66"/>
      <c r="H276" s="66"/>
      <c r="I276" s="7" t="s">
        <v>783</v>
      </c>
      <c r="J276" s="7" t="s">
        <v>504</v>
      </c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>
        <v>4469.0</v>
      </c>
      <c r="AB276" s="7">
        <v>4469.0</v>
      </c>
      <c r="AC276" s="8">
        <f t="shared" si="8"/>
        <v>0</v>
      </c>
      <c r="AD276" s="7"/>
      <c r="AE276" s="7"/>
    </row>
    <row r="277" ht="15.75" customHeight="1">
      <c r="A277" s="72" t="s">
        <v>784</v>
      </c>
      <c r="B277" s="73" t="s">
        <v>785</v>
      </c>
      <c r="C277" s="69">
        <v>45855.0</v>
      </c>
      <c r="D277" s="69">
        <v>45826.0</v>
      </c>
      <c r="E277" s="76">
        <v>45832.0</v>
      </c>
      <c r="F277" s="70" t="s">
        <v>786</v>
      </c>
      <c r="G277" s="71" t="s">
        <v>787</v>
      </c>
      <c r="H277" s="71"/>
      <c r="I277" s="70" t="s">
        <v>788</v>
      </c>
      <c r="J277" s="70" t="s">
        <v>46</v>
      </c>
      <c r="K277" s="67" t="s">
        <v>47</v>
      </c>
      <c r="L277" s="70">
        <v>1080.0</v>
      </c>
      <c r="M277" s="70">
        <v>9000.0</v>
      </c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>
        <v>10080.0</v>
      </c>
      <c r="AC277" s="8">
        <f t="shared" si="8"/>
        <v>0</v>
      </c>
      <c r="AD277" s="71" t="s">
        <v>690</v>
      </c>
      <c r="AE277" s="7"/>
    </row>
    <row r="278" ht="15.75" customHeight="1">
      <c r="A278" s="74" t="s">
        <v>789</v>
      </c>
      <c r="B278" s="75" t="s">
        <v>790</v>
      </c>
      <c r="C278" s="48">
        <v>45825.0</v>
      </c>
      <c r="D278" s="48">
        <v>45826.0</v>
      </c>
      <c r="E278" s="65">
        <v>0.2</v>
      </c>
      <c r="F278" s="7" t="s">
        <v>791</v>
      </c>
      <c r="G278" s="66" t="s">
        <v>792</v>
      </c>
      <c r="H278" s="66"/>
      <c r="I278" s="7" t="s">
        <v>793</v>
      </c>
      <c r="J278" s="7" t="s">
        <v>91</v>
      </c>
      <c r="K278" s="45" t="s">
        <v>92</v>
      </c>
      <c r="L278" s="7">
        <v>123.21</v>
      </c>
      <c r="M278" s="7">
        <v>1026.79</v>
      </c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>
        <v>1150.0</v>
      </c>
      <c r="AC278" s="8">
        <f t="shared" si="8"/>
        <v>0</v>
      </c>
      <c r="AD278" s="7"/>
      <c r="AE278" s="7">
        <v>10.27</v>
      </c>
    </row>
    <row r="279" ht="15.75" customHeight="1">
      <c r="A279" s="74" t="s">
        <v>794</v>
      </c>
      <c r="B279" s="75" t="s">
        <v>795</v>
      </c>
      <c r="C279" s="48">
        <v>45833.0</v>
      </c>
      <c r="D279" s="48">
        <v>45826.0</v>
      </c>
      <c r="E279" s="48">
        <v>45826.0</v>
      </c>
      <c r="F279" s="7" t="s">
        <v>796</v>
      </c>
      <c r="G279" s="66" t="s">
        <v>797</v>
      </c>
      <c r="H279" s="66"/>
      <c r="I279" s="7" t="s">
        <v>798</v>
      </c>
      <c r="J279" s="7" t="s">
        <v>91</v>
      </c>
      <c r="K279" s="45" t="s">
        <v>92</v>
      </c>
      <c r="L279" s="7">
        <v>4553.57</v>
      </c>
      <c r="M279" s="7">
        <v>37946.43</v>
      </c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>
        <v>42500.0</v>
      </c>
      <c r="AC279" s="8">
        <f t="shared" si="8"/>
        <v>0</v>
      </c>
      <c r="AD279" s="7"/>
      <c r="AE279" s="7"/>
    </row>
    <row r="280" ht="15.75" customHeight="1">
      <c r="A280" s="72" t="s">
        <v>799</v>
      </c>
      <c r="B280" s="73" t="s">
        <v>800</v>
      </c>
      <c r="C280" s="69">
        <v>45857.0</v>
      </c>
      <c r="D280" s="69">
        <v>45826.0</v>
      </c>
      <c r="E280" s="69">
        <v>45827.0</v>
      </c>
      <c r="F280" s="70" t="s">
        <v>801</v>
      </c>
      <c r="G280" s="71" t="s">
        <v>802</v>
      </c>
      <c r="H280" s="71"/>
      <c r="I280" s="70" t="s">
        <v>803</v>
      </c>
      <c r="J280" s="67" t="s">
        <v>70</v>
      </c>
      <c r="K280" s="67" t="s">
        <v>71</v>
      </c>
      <c r="L280" s="70">
        <v>11785.71</v>
      </c>
      <c r="M280" s="70">
        <v>98214.29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>
        <v>110000.0</v>
      </c>
      <c r="AC280" s="7">
        <f t="shared" si="8"/>
        <v>0</v>
      </c>
      <c r="AD280" s="7"/>
      <c r="AE280" s="7"/>
    </row>
    <row r="281" ht="15.75" customHeight="1">
      <c r="A281" s="74" t="s">
        <v>804</v>
      </c>
      <c r="B281" s="75" t="s">
        <v>805</v>
      </c>
      <c r="C281" s="48">
        <v>45826.0</v>
      </c>
      <c r="D281" s="48">
        <v>45826.0</v>
      </c>
      <c r="E281" s="48">
        <v>45827.0</v>
      </c>
      <c r="F281" s="7" t="s">
        <v>806</v>
      </c>
      <c r="G281" s="66"/>
      <c r="H281" s="66"/>
      <c r="I281" s="7" t="s">
        <v>807</v>
      </c>
      <c r="J281" s="7" t="s">
        <v>609</v>
      </c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>
        <v>29650.0</v>
      </c>
      <c r="AB281" s="7">
        <v>29650.0</v>
      </c>
      <c r="AC281" s="7">
        <f t="shared" si="8"/>
        <v>0</v>
      </c>
      <c r="AD281" s="7"/>
      <c r="AE281" s="7"/>
    </row>
    <row r="282" ht="15.75" customHeight="1">
      <c r="A282" s="74" t="s">
        <v>808</v>
      </c>
      <c r="B282" s="75" t="s">
        <v>809</v>
      </c>
      <c r="C282" s="48">
        <v>45827.0</v>
      </c>
      <c r="D282" s="48">
        <v>45827.0</v>
      </c>
      <c r="E282" s="7"/>
      <c r="F282" s="7"/>
      <c r="G282" s="66"/>
      <c r="H282" s="66"/>
      <c r="I282" s="45" t="s">
        <v>810</v>
      </c>
      <c r="J282" s="45" t="s">
        <v>22</v>
      </c>
      <c r="K282" s="7"/>
      <c r="L282" s="45">
        <v>151.09</v>
      </c>
      <c r="M282" s="7"/>
      <c r="N282" s="45"/>
      <c r="O282" s="45"/>
      <c r="P282" s="45"/>
      <c r="Q282" s="45"/>
      <c r="R282" s="7">
        <v>1259.06</v>
      </c>
      <c r="S282" s="7"/>
      <c r="T282" s="7"/>
      <c r="U282" s="7"/>
      <c r="V282" s="7"/>
      <c r="W282" s="7"/>
      <c r="X282" s="7"/>
      <c r="Y282" s="7"/>
      <c r="Z282" s="7"/>
      <c r="AA282" s="7"/>
      <c r="AB282" s="7">
        <v>1410.15</v>
      </c>
      <c r="AC282" s="7">
        <f t="shared" si="8"/>
        <v>0</v>
      </c>
      <c r="AD282" s="7"/>
      <c r="AE282" s="7"/>
    </row>
    <row r="283" ht="15.75" customHeight="1">
      <c r="A283" s="74" t="s">
        <v>811</v>
      </c>
      <c r="B283" s="75" t="s">
        <v>812</v>
      </c>
      <c r="C283" s="48">
        <v>45827.0</v>
      </c>
      <c r="D283" s="48">
        <v>45827.0</v>
      </c>
      <c r="E283" s="7"/>
      <c r="F283" s="7"/>
      <c r="G283" s="66"/>
      <c r="H283" s="66"/>
      <c r="I283" s="45" t="s">
        <v>810</v>
      </c>
      <c r="J283" s="45" t="s">
        <v>22</v>
      </c>
      <c r="K283" s="7"/>
      <c r="L283" s="45">
        <v>811.09</v>
      </c>
      <c r="M283" s="7"/>
      <c r="N283" s="45"/>
      <c r="O283" s="45"/>
      <c r="P283" s="45"/>
      <c r="Q283" s="45"/>
      <c r="R283" s="7">
        <v>6759.06</v>
      </c>
      <c r="S283" s="7"/>
      <c r="T283" s="7"/>
      <c r="U283" s="7"/>
      <c r="V283" s="7"/>
      <c r="W283" s="7"/>
      <c r="X283" s="7"/>
      <c r="Y283" s="7"/>
      <c r="Z283" s="7"/>
      <c r="AA283" s="7"/>
      <c r="AB283" s="7">
        <v>7570.15</v>
      </c>
      <c r="AC283" s="7">
        <f t="shared" si="8"/>
        <v>0</v>
      </c>
      <c r="AD283" s="7"/>
      <c r="AE283" s="7"/>
    </row>
    <row r="284" ht="15.75" customHeight="1">
      <c r="A284" s="74" t="s">
        <v>813</v>
      </c>
      <c r="B284" s="75" t="s">
        <v>814</v>
      </c>
      <c r="C284" s="48">
        <v>45827.0</v>
      </c>
      <c r="D284" s="48">
        <v>45827.0</v>
      </c>
      <c r="E284" s="7"/>
      <c r="F284" s="7"/>
      <c r="G284" s="66"/>
      <c r="H284" s="66" t="s">
        <v>815</v>
      </c>
      <c r="I284" s="7" t="s">
        <v>816</v>
      </c>
      <c r="J284" s="7" t="s">
        <v>50</v>
      </c>
      <c r="K284" s="7"/>
      <c r="L284" s="7"/>
      <c r="M284" s="7"/>
      <c r="N284" s="7"/>
      <c r="O284" s="7"/>
      <c r="P284" s="7"/>
      <c r="Q284" s="7"/>
      <c r="R284" s="7"/>
      <c r="S284" s="7"/>
      <c r="T284" s="7">
        <v>7489.28</v>
      </c>
      <c r="U284" s="7"/>
      <c r="V284" s="7"/>
      <c r="W284" s="7"/>
      <c r="X284" s="7"/>
      <c r="Y284" s="7"/>
      <c r="Z284" s="7"/>
      <c r="AA284" s="7"/>
      <c r="AB284" s="7">
        <v>7489.28</v>
      </c>
      <c r="AC284" s="7">
        <f t="shared" si="8"/>
        <v>0</v>
      </c>
      <c r="AD284" s="7"/>
      <c r="AE284" s="7"/>
    </row>
    <row r="285" ht="15.75" customHeight="1">
      <c r="A285" s="72" t="s">
        <v>817</v>
      </c>
      <c r="B285" s="73" t="s">
        <v>818</v>
      </c>
      <c r="C285" s="69">
        <v>45857.0</v>
      </c>
      <c r="D285" s="69">
        <v>45827.0</v>
      </c>
      <c r="E285" s="70"/>
      <c r="F285" s="70"/>
      <c r="G285" s="71" t="s">
        <v>819</v>
      </c>
      <c r="H285" s="71"/>
      <c r="I285" s="70" t="s">
        <v>820</v>
      </c>
      <c r="J285" s="67" t="s">
        <v>82</v>
      </c>
      <c r="K285" s="67" t="s">
        <v>83</v>
      </c>
      <c r="L285" s="70">
        <v>2303.57</v>
      </c>
      <c r="M285" s="70">
        <v>19196.43</v>
      </c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>
        <f t="shared" si="8"/>
        <v>-21500</v>
      </c>
      <c r="AD285" s="71" t="s">
        <v>690</v>
      </c>
      <c r="AE285" s="7">
        <v>191.96</v>
      </c>
    </row>
    <row r="286" ht="15.75" customHeight="1">
      <c r="A286" s="74" t="s">
        <v>821</v>
      </c>
      <c r="B286" s="75" t="s">
        <v>822</v>
      </c>
      <c r="C286" s="48">
        <v>45832.0</v>
      </c>
      <c r="D286" s="48">
        <v>45832.0</v>
      </c>
      <c r="E286" s="7"/>
      <c r="F286" s="7"/>
      <c r="G286" s="66"/>
      <c r="H286" s="66"/>
      <c r="I286" s="7" t="s">
        <v>144</v>
      </c>
      <c r="J286" s="7" t="s">
        <v>50</v>
      </c>
      <c r="K286" s="7"/>
      <c r="L286" s="7">
        <v>1387.24</v>
      </c>
      <c r="M286" s="7"/>
      <c r="N286" s="7"/>
      <c r="O286" s="7"/>
      <c r="P286" s="7"/>
      <c r="Q286" s="7"/>
      <c r="R286" s="7"/>
      <c r="S286" s="7">
        <v>11560.31</v>
      </c>
      <c r="T286" s="7"/>
      <c r="U286" s="7"/>
      <c r="V286" s="7"/>
      <c r="W286" s="7"/>
      <c r="X286" s="7"/>
      <c r="Y286" s="7"/>
      <c r="Z286" s="7"/>
      <c r="AA286" s="7"/>
      <c r="AB286" s="7">
        <v>12947.55</v>
      </c>
      <c r="AC286" s="7">
        <f t="shared" si="8"/>
        <v>0</v>
      </c>
      <c r="AD286" s="7"/>
      <c r="AE286" s="7"/>
    </row>
    <row r="287" ht="15.75" customHeight="1">
      <c r="A287" s="74" t="s">
        <v>823</v>
      </c>
      <c r="B287" s="75" t="s">
        <v>824</v>
      </c>
      <c r="C287" s="48">
        <v>45834.0</v>
      </c>
      <c r="D287" s="48">
        <v>45832.0</v>
      </c>
      <c r="E287" s="48">
        <v>45834.0</v>
      </c>
      <c r="F287" s="7" t="s">
        <v>825</v>
      </c>
      <c r="G287" s="66"/>
      <c r="H287" s="66"/>
      <c r="I287" s="7" t="s">
        <v>826</v>
      </c>
      <c r="J287" s="7" t="s">
        <v>609</v>
      </c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>
        <v>76208.65</v>
      </c>
      <c r="AB287" s="7">
        <v>76208.65</v>
      </c>
      <c r="AC287" s="7">
        <f t="shared" si="8"/>
        <v>0</v>
      </c>
      <c r="AD287" s="7"/>
      <c r="AE287" s="7"/>
    </row>
    <row r="288" ht="15.75" customHeight="1">
      <c r="A288" s="74" t="s">
        <v>827</v>
      </c>
      <c r="B288" s="75" t="s">
        <v>828</v>
      </c>
      <c r="C288" s="48">
        <v>45832.0</v>
      </c>
      <c r="D288" s="48">
        <v>45832.0</v>
      </c>
      <c r="E288" s="7"/>
      <c r="F288" s="7"/>
      <c r="G288" s="66"/>
      <c r="H288" s="66"/>
      <c r="I288" s="7" t="s">
        <v>30</v>
      </c>
      <c r="J288" s="7" t="s">
        <v>41</v>
      </c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>
        <v>300000.0</v>
      </c>
      <c r="AA288" s="7"/>
      <c r="AB288" s="7">
        <v>300000.0</v>
      </c>
      <c r="AC288" s="7">
        <f t="shared" si="8"/>
        <v>0</v>
      </c>
      <c r="AD288" s="7"/>
      <c r="AE288" s="7"/>
    </row>
    <row r="289" ht="15.75" customHeight="1">
      <c r="A289" s="72" t="s">
        <v>829</v>
      </c>
      <c r="B289" s="73" t="s">
        <v>830</v>
      </c>
      <c r="C289" s="69">
        <v>45834.0</v>
      </c>
      <c r="D289" s="69">
        <v>45832.0</v>
      </c>
      <c r="E289" s="70"/>
      <c r="F289" s="70"/>
      <c r="G289" s="71" t="s">
        <v>831</v>
      </c>
      <c r="H289" s="71"/>
      <c r="I289" s="70" t="s">
        <v>832</v>
      </c>
      <c r="J289" s="70" t="s">
        <v>46</v>
      </c>
      <c r="K289" s="67" t="s">
        <v>47</v>
      </c>
      <c r="L289" s="70">
        <v>28.93</v>
      </c>
      <c r="M289" s="70">
        <v>241.07</v>
      </c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>
        <f t="shared" si="8"/>
        <v>-270</v>
      </c>
      <c r="AD289" s="71" t="s">
        <v>690</v>
      </c>
      <c r="AE289" s="7"/>
    </row>
    <row r="290" ht="15.75" customHeight="1">
      <c r="A290" s="74" t="s">
        <v>833</v>
      </c>
      <c r="B290" s="75" t="s">
        <v>834</v>
      </c>
      <c r="C290" s="48">
        <v>45835.0</v>
      </c>
      <c r="D290" s="48">
        <v>45835.0</v>
      </c>
      <c r="E290" s="7"/>
      <c r="F290" s="7"/>
      <c r="G290" s="66"/>
      <c r="H290" s="66" t="s">
        <v>835</v>
      </c>
      <c r="I290" s="7" t="s">
        <v>816</v>
      </c>
      <c r="J290" s="7" t="s">
        <v>50</v>
      </c>
      <c r="K290" s="7"/>
      <c r="L290" s="7"/>
      <c r="M290" s="7"/>
      <c r="N290" s="7"/>
      <c r="O290" s="7"/>
      <c r="P290" s="7"/>
      <c r="Q290" s="7"/>
      <c r="R290" s="7"/>
      <c r="S290" s="7"/>
      <c r="T290" s="7">
        <v>12546.75</v>
      </c>
      <c r="U290" s="7"/>
      <c r="V290" s="7"/>
      <c r="W290" s="7"/>
      <c r="X290" s="7"/>
      <c r="Y290" s="7"/>
      <c r="Z290" s="7"/>
      <c r="AA290" s="7"/>
      <c r="AB290" s="7">
        <v>12546.75</v>
      </c>
      <c r="AC290" s="7">
        <f t="shared" si="8"/>
        <v>0</v>
      </c>
      <c r="AD290" s="7"/>
      <c r="AE290" s="7"/>
    </row>
    <row r="291" ht="15.75" customHeight="1">
      <c r="A291" s="72" t="s">
        <v>836</v>
      </c>
      <c r="B291" s="73" t="s">
        <v>837</v>
      </c>
      <c r="C291" s="69">
        <v>45877.0</v>
      </c>
      <c r="D291" s="69">
        <v>45835.0</v>
      </c>
      <c r="E291" s="70"/>
      <c r="F291" s="70"/>
      <c r="G291" s="71" t="s">
        <v>838</v>
      </c>
      <c r="H291" s="71"/>
      <c r="I291" s="70" t="s">
        <v>839</v>
      </c>
      <c r="J291" s="70" t="s">
        <v>76</v>
      </c>
      <c r="K291" s="67" t="s">
        <v>77</v>
      </c>
      <c r="L291" s="70">
        <v>9107.14</v>
      </c>
      <c r="M291" s="70">
        <v>75892.86</v>
      </c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>
        <f t="shared" si="8"/>
        <v>-85000</v>
      </c>
      <c r="AD291" s="71" t="s">
        <v>690</v>
      </c>
      <c r="AE291" s="7">
        <v>758.93</v>
      </c>
    </row>
    <row r="292" ht="15.75" customHeight="1">
      <c r="A292" s="72" t="s">
        <v>840</v>
      </c>
      <c r="B292" s="73" t="s">
        <v>841</v>
      </c>
      <c r="C292" s="69">
        <v>45864.0</v>
      </c>
      <c r="D292" s="69">
        <v>45835.0</v>
      </c>
      <c r="E292" s="70"/>
      <c r="F292" s="70"/>
      <c r="G292" s="71" t="s">
        <v>842</v>
      </c>
      <c r="H292" s="71"/>
      <c r="I292" s="70" t="s">
        <v>843</v>
      </c>
      <c r="J292" s="67" t="s">
        <v>82</v>
      </c>
      <c r="K292" s="67" t="s">
        <v>83</v>
      </c>
      <c r="L292" s="70">
        <v>4553.57</v>
      </c>
      <c r="M292" s="70">
        <v>37946.43</v>
      </c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>
        <f t="shared" si="8"/>
        <v>-42500</v>
      </c>
      <c r="AD292" s="71" t="s">
        <v>690</v>
      </c>
      <c r="AE292" s="7">
        <v>379.46</v>
      </c>
    </row>
    <row r="293" ht="15.75" customHeight="1">
      <c r="A293" s="74" t="s">
        <v>844</v>
      </c>
      <c r="B293" s="75" t="s">
        <v>845</v>
      </c>
      <c r="C293" s="48">
        <v>45845.0</v>
      </c>
      <c r="D293" s="48">
        <v>45835.0</v>
      </c>
      <c r="E293" s="48">
        <v>45839.0</v>
      </c>
      <c r="F293" s="7" t="s">
        <v>846</v>
      </c>
      <c r="G293" s="66" t="s">
        <v>847</v>
      </c>
      <c r="H293" s="66"/>
      <c r="I293" s="7" t="s">
        <v>848</v>
      </c>
      <c r="J293" s="7" t="s">
        <v>91</v>
      </c>
      <c r="K293" s="45" t="s">
        <v>92</v>
      </c>
      <c r="L293" s="7">
        <v>14196.43</v>
      </c>
      <c r="M293" s="7">
        <v>118303.57</v>
      </c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>
        <v>132500.0</v>
      </c>
      <c r="AC293" s="7">
        <f t="shared" si="8"/>
        <v>0</v>
      </c>
      <c r="AD293" s="77"/>
      <c r="AE293" s="7">
        <v>1183.04</v>
      </c>
    </row>
    <row r="294" ht="15.75" customHeight="1">
      <c r="A294" s="74" t="s">
        <v>849</v>
      </c>
      <c r="B294" s="75" t="s">
        <v>850</v>
      </c>
      <c r="C294" s="48">
        <v>45835.0</v>
      </c>
      <c r="D294" s="48">
        <v>45835.0</v>
      </c>
      <c r="E294" s="7"/>
      <c r="F294" s="7"/>
      <c r="G294" s="66"/>
      <c r="H294" s="66"/>
      <c r="I294" s="7" t="s">
        <v>94</v>
      </c>
      <c r="J294" s="7" t="s">
        <v>95</v>
      </c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>
        <v>25600.0</v>
      </c>
      <c r="AB294" s="7">
        <v>25600.0</v>
      </c>
      <c r="AC294" s="7">
        <f t="shared" si="8"/>
        <v>0</v>
      </c>
      <c r="AD294" s="77"/>
      <c r="AE294" s="7"/>
    </row>
    <row r="295" ht="15.75" customHeight="1">
      <c r="A295" s="74" t="s">
        <v>851</v>
      </c>
      <c r="B295" s="75" t="s">
        <v>852</v>
      </c>
      <c r="C295" s="48">
        <v>45838.0</v>
      </c>
      <c r="D295" s="48">
        <v>45835.0</v>
      </c>
      <c r="E295" s="7"/>
      <c r="F295" s="7"/>
      <c r="G295" s="66"/>
      <c r="H295" s="66"/>
      <c r="I295" s="7" t="s">
        <v>94</v>
      </c>
      <c r="J295" s="7" t="s">
        <v>602</v>
      </c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>
        <v>17200.0</v>
      </c>
      <c r="AB295" s="7">
        <v>17200.0</v>
      </c>
      <c r="AC295" s="7">
        <f t="shared" si="8"/>
        <v>0</v>
      </c>
      <c r="AD295" s="7"/>
      <c r="AE295" s="7"/>
    </row>
    <row r="296" ht="15.75" customHeight="1">
      <c r="A296" s="74" t="s">
        <v>853</v>
      </c>
      <c r="B296" s="75" t="s">
        <v>854</v>
      </c>
      <c r="C296" s="48">
        <v>45839.0</v>
      </c>
      <c r="D296" s="48">
        <v>45835.0</v>
      </c>
      <c r="E296" s="7"/>
      <c r="F296" s="7"/>
      <c r="G296" s="66"/>
      <c r="H296" s="66"/>
      <c r="I296" s="7" t="s">
        <v>855</v>
      </c>
      <c r="J296" s="7" t="s">
        <v>602</v>
      </c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>
        <v>32500.0</v>
      </c>
      <c r="AB296" s="7">
        <v>32500.0</v>
      </c>
      <c r="AC296" s="7">
        <f t="shared" si="8"/>
        <v>0</v>
      </c>
      <c r="AD296" s="7"/>
      <c r="AE296" s="7"/>
    </row>
    <row r="297" ht="15.75" customHeight="1">
      <c r="A297" s="52">
        <v>45839.0</v>
      </c>
      <c r="B297" s="53"/>
      <c r="C297" s="54"/>
      <c r="D297" s="54"/>
      <c r="E297" s="54"/>
      <c r="F297" s="53"/>
      <c r="G297" s="55"/>
      <c r="H297" s="55"/>
      <c r="I297" s="53"/>
      <c r="J297" s="53"/>
      <c r="K297" s="53"/>
      <c r="L297" s="56"/>
      <c r="M297" s="56"/>
      <c r="N297" s="56"/>
      <c r="O297" s="53"/>
      <c r="P297" s="53"/>
      <c r="Q297" s="53"/>
      <c r="R297" s="53"/>
      <c r="S297" s="53"/>
      <c r="T297" s="56"/>
      <c r="U297" s="57"/>
      <c r="V297" s="57"/>
      <c r="W297" s="57"/>
      <c r="X297" s="58"/>
      <c r="Y297" s="57"/>
      <c r="Z297" s="58"/>
      <c r="AA297" s="58"/>
      <c r="AB297" s="56"/>
      <c r="AC297" s="59"/>
      <c r="AD297" s="57"/>
      <c r="AE297" s="56"/>
    </row>
    <row r="298" ht="15.75" customHeight="1">
      <c r="A298" s="61"/>
      <c r="B298" s="45"/>
      <c r="C298" s="48"/>
      <c r="D298" s="48"/>
      <c r="E298" s="48"/>
      <c r="F298" s="45"/>
      <c r="G298" s="47"/>
      <c r="H298" s="47"/>
      <c r="I298" s="9" t="s">
        <v>856</v>
      </c>
      <c r="J298" s="43" t="s">
        <v>37</v>
      </c>
      <c r="K298" s="5"/>
      <c r="L298" s="7"/>
      <c r="M298" s="7"/>
      <c r="N298" s="7"/>
      <c r="O298" s="45"/>
      <c r="P298" s="45"/>
      <c r="Q298" s="7">
        <v>62922.14</v>
      </c>
      <c r="R298" s="45"/>
      <c r="S298" s="45"/>
      <c r="T298" s="7"/>
      <c r="X298" s="6"/>
      <c r="Z298" s="6"/>
      <c r="AA298" s="6"/>
      <c r="AB298" s="7">
        <v>62922.14</v>
      </c>
      <c r="AC298" s="8">
        <f t="shared" ref="AC298:AC358" si="9">SUM(AB298)-SUM(L298:AA298)</f>
        <v>0</v>
      </c>
      <c r="AD298" s="44" t="s">
        <v>38</v>
      </c>
      <c r="AE298" s="7"/>
    </row>
    <row r="299" ht="15.75" customHeight="1">
      <c r="A299" s="72" t="s">
        <v>857</v>
      </c>
      <c r="B299" s="73" t="s">
        <v>858</v>
      </c>
      <c r="C299" s="69">
        <v>45839.0</v>
      </c>
      <c r="D299" s="69">
        <v>45839.0</v>
      </c>
      <c r="E299" s="70"/>
      <c r="F299" s="70"/>
      <c r="G299" s="71"/>
      <c r="H299" s="71"/>
      <c r="I299" s="70" t="s">
        <v>859</v>
      </c>
      <c r="J299" s="70" t="s">
        <v>860</v>
      </c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>
        <v>4469.0</v>
      </c>
      <c r="AB299" s="70">
        <v>4469.0</v>
      </c>
      <c r="AC299" s="7">
        <f t="shared" si="9"/>
        <v>0</v>
      </c>
      <c r="AD299" s="71" t="s">
        <v>690</v>
      </c>
      <c r="AE299" s="7"/>
    </row>
    <row r="300" ht="15.75" customHeight="1">
      <c r="A300" s="74" t="s">
        <v>861</v>
      </c>
      <c r="B300" s="75" t="s">
        <v>862</v>
      </c>
      <c r="C300" s="48">
        <v>45854.0</v>
      </c>
      <c r="D300" s="48">
        <v>45845.0</v>
      </c>
      <c r="E300" s="48">
        <v>45824.0</v>
      </c>
      <c r="F300" s="7" t="s">
        <v>688</v>
      </c>
      <c r="G300" s="66" t="s">
        <v>366</v>
      </c>
      <c r="H300" s="66"/>
      <c r="I300" s="7" t="s">
        <v>689</v>
      </c>
      <c r="J300" s="7" t="s">
        <v>76</v>
      </c>
      <c r="K300" s="45" t="s">
        <v>77</v>
      </c>
      <c r="L300" s="7">
        <v>4553.57</v>
      </c>
      <c r="M300" s="7">
        <v>37946.43</v>
      </c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>
        <v>42500.0</v>
      </c>
      <c r="AC300" s="7">
        <f t="shared" si="9"/>
        <v>0</v>
      </c>
      <c r="AD300" s="7"/>
      <c r="AE300" s="7">
        <v>379.46</v>
      </c>
    </row>
    <row r="301" ht="15.75" customHeight="1">
      <c r="A301" s="74" t="s">
        <v>863</v>
      </c>
      <c r="B301" s="75" t="s">
        <v>864</v>
      </c>
      <c r="C301" s="48">
        <v>45854.0</v>
      </c>
      <c r="D301" s="48">
        <v>45845.0</v>
      </c>
      <c r="E301" s="48">
        <v>45824.0</v>
      </c>
      <c r="F301" s="7" t="s">
        <v>697</v>
      </c>
      <c r="G301" s="66" t="s">
        <v>698</v>
      </c>
      <c r="H301" s="66"/>
      <c r="I301" s="7" t="s">
        <v>699</v>
      </c>
      <c r="J301" s="7" t="s">
        <v>76</v>
      </c>
      <c r="K301" s="45" t="s">
        <v>77</v>
      </c>
      <c r="L301" s="7">
        <v>5410.71</v>
      </c>
      <c r="M301" s="7">
        <v>45089.29</v>
      </c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>
        <v>50500.0</v>
      </c>
      <c r="AC301" s="8">
        <f t="shared" si="9"/>
        <v>0</v>
      </c>
      <c r="AD301" s="7"/>
      <c r="AE301" s="7">
        <v>450.89</v>
      </c>
    </row>
    <row r="302" ht="15.75" customHeight="1">
      <c r="A302" s="74" t="s">
        <v>865</v>
      </c>
      <c r="B302" s="75" t="s">
        <v>866</v>
      </c>
      <c r="C302" s="48">
        <v>45845.0</v>
      </c>
      <c r="D302" s="48">
        <v>45845.0</v>
      </c>
      <c r="E302" s="48">
        <v>45832.0</v>
      </c>
      <c r="F302" s="7" t="s">
        <v>710</v>
      </c>
      <c r="G302" s="66" t="s">
        <v>711</v>
      </c>
      <c r="H302" s="66"/>
      <c r="I302" s="7" t="s">
        <v>712</v>
      </c>
      <c r="J302" s="45" t="s">
        <v>46</v>
      </c>
      <c r="K302" s="45" t="s">
        <v>47</v>
      </c>
      <c r="L302" s="7">
        <v>871.45</v>
      </c>
      <c r="M302" s="7">
        <v>7262.05</v>
      </c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>
        <v>8133.5</v>
      </c>
      <c r="AC302" s="7">
        <f t="shared" si="9"/>
        <v>0</v>
      </c>
      <c r="AD302" s="7"/>
      <c r="AE302" s="7">
        <v>72.62</v>
      </c>
    </row>
    <row r="303" ht="15.75" customHeight="1">
      <c r="A303" s="74" t="s">
        <v>867</v>
      </c>
      <c r="B303" s="75" t="s">
        <v>868</v>
      </c>
      <c r="C303" s="48">
        <v>45845.0</v>
      </c>
      <c r="D303" s="48">
        <v>45845.0</v>
      </c>
      <c r="E303" s="48">
        <v>45832.0</v>
      </c>
      <c r="F303" s="7" t="s">
        <v>727</v>
      </c>
      <c r="G303" s="66" t="s">
        <v>728</v>
      </c>
      <c r="H303" s="66"/>
      <c r="I303" s="7" t="s">
        <v>729</v>
      </c>
      <c r="J303" s="7" t="s">
        <v>46</v>
      </c>
      <c r="K303" s="45" t="s">
        <v>47</v>
      </c>
      <c r="L303" s="7">
        <v>208.93</v>
      </c>
      <c r="M303" s="7">
        <v>1741.07</v>
      </c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>
        <v>1950.0</v>
      </c>
      <c r="AC303" s="8">
        <f t="shared" si="9"/>
        <v>0</v>
      </c>
      <c r="AD303" s="7"/>
      <c r="AE303" s="7">
        <v>17.41</v>
      </c>
    </row>
    <row r="304" ht="15.75" customHeight="1">
      <c r="A304" s="74" t="s">
        <v>869</v>
      </c>
      <c r="B304" s="75" t="s">
        <v>870</v>
      </c>
      <c r="C304" s="48">
        <v>45848.0</v>
      </c>
      <c r="D304" s="48">
        <v>45845.0</v>
      </c>
      <c r="E304" s="48">
        <v>45818.0</v>
      </c>
      <c r="F304" s="7" t="s">
        <v>732</v>
      </c>
      <c r="G304" s="66" t="s">
        <v>733</v>
      </c>
      <c r="H304" s="66"/>
      <c r="I304" s="7" t="s">
        <v>734</v>
      </c>
      <c r="J304" s="45" t="s">
        <v>349</v>
      </c>
      <c r="K304" s="45" t="s">
        <v>444</v>
      </c>
      <c r="L304" s="7">
        <v>857.14</v>
      </c>
      <c r="M304" s="7">
        <v>7142.86</v>
      </c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>
        <v>8000.0</v>
      </c>
      <c r="AC304" s="8">
        <f t="shared" si="9"/>
        <v>0</v>
      </c>
      <c r="AD304" s="7"/>
      <c r="AE304" s="7">
        <v>71.43</v>
      </c>
    </row>
    <row r="305" ht="15.75" customHeight="1">
      <c r="A305" s="74" t="s">
        <v>871</v>
      </c>
      <c r="B305" s="75" t="s">
        <v>872</v>
      </c>
      <c r="C305" s="48">
        <v>45864.0</v>
      </c>
      <c r="D305" s="48">
        <v>45845.0</v>
      </c>
      <c r="E305" s="48">
        <v>45824.0</v>
      </c>
      <c r="F305" s="7" t="s">
        <v>761</v>
      </c>
      <c r="G305" s="66" t="s">
        <v>762</v>
      </c>
      <c r="H305" s="66"/>
      <c r="I305" s="7" t="s">
        <v>763</v>
      </c>
      <c r="J305" s="7" t="s">
        <v>76</v>
      </c>
      <c r="K305" s="45" t="s">
        <v>77</v>
      </c>
      <c r="L305" s="7">
        <v>1821.43</v>
      </c>
      <c r="M305" s="7">
        <v>15178.57</v>
      </c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>
        <v>17000.0</v>
      </c>
      <c r="AC305" s="8">
        <f t="shared" si="9"/>
        <v>0</v>
      </c>
      <c r="AD305" s="7"/>
      <c r="AE305" s="7">
        <v>151.79</v>
      </c>
    </row>
    <row r="306" ht="15.75" customHeight="1">
      <c r="A306" s="74" t="s">
        <v>873</v>
      </c>
      <c r="B306" s="75" t="s">
        <v>874</v>
      </c>
      <c r="C306" s="48">
        <v>45855.0</v>
      </c>
      <c r="D306" s="48">
        <v>45845.0</v>
      </c>
      <c r="E306" s="46">
        <v>45832.0</v>
      </c>
      <c r="F306" s="7" t="s">
        <v>786</v>
      </c>
      <c r="G306" s="66" t="s">
        <v>787</v>
      </c>
      <c r="H306" s="66"/>
      <c r="I306" s="7" t="s">
        <v>788</v>
      </c>
      <c r="J306" s="7" t="s">
        <v>46</v>
      </c>
      <c r="K306" s="45" t="s">
        <v>47</v>
      </c>
      <c r="L306" s="7">
        <v>1080.0</v>
      </c>
      <c r="M306" s="7">
        <v>9000.0</v>
      </c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>
        <v>10080.0</v>
      </c>
      <c r="AC306" s="8">
        <f t="shared" si="9"/>
        <v>0</v>
      </c>
      <c r="AD306" s="7"/>
      <c r="AE306" s="7"/>
    </row>
    <row r="307" ht="15.75" customHeight="1">
      <c r="A307" s="74" t="s">
        <v>875</v>
      </c>
      <c r="B307" s="75" t="s">
        <v>876</v>
      </c>
      <c r="C307" s="48">
        <v>45855.0</v>
      </c>
      <c r="D307" s="48">
        <v>45845.0</v>
      </c>
      <c r="E307" s="46">
        <v>45827.0</v>
      </c>
      <c r="F307" s="7" t="s">
        <v>801</v>
      </c>
      <c r="G307" s="66" t="s">
        <v>802</v>
      </c>
      <c r="H307" s="66"/>
      <c r="I307" s="7" t="s">
        <v>803</v>
      </c>
      <c r="J307" s="45" t="s">
        <v>70</v>
      </c>
      <c r="K307" s="45" t="s">
        <v>71</v>
      </c>
      <c r="L307" s="7">
        <v>11785.71</v>
      </c>
      <c r="M307" s="7">
        <v>98214.29</v>
      </c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>
        <v>110000.0</v>
      </c>
      <c r="AC307" s="7">
        <f t="shared" si="9"/>
        <v>0</v>
      </c>
      <c r="AD307" s="7"/>
      <c r="AE307" s="7"/>
    </row>
    <row r="308" ht="15.75" customHeight="1">
      <c r="A308" s="74" t="s">
        <v>877</v>
      </c>
      <c r="B308" s="75" t="s">
        <v>878</v>
      </c>
      <c r="C308" s="48">
        <v>45877.0</v>
      </c>
      <c r="D308" s="48">
        <v>45845.0</v>
      </c>
      <c r="E308" s="46">
        <v>45847.0</v>
      </c>
      <c r="F308" s="7" t="s">
        <v>879</v>
      </c>
      <c r="G308" s="66" t="s">
        <v>838</v>
      </c>
      <c r="H308" s="66"/>
      <c r="I308" s="7" t="s">
        <v>839</v>
      </c>
      <c r="J308" s="7" t="s">
        <v>76</v>
      </c>
      <c r="K308" s="45" t="s">
        <v>77</v>
      </c>
      <c r="L308" s="7">
        <v>9107.14</v>
      </c>
      <c r="M308" s="7">
        <v>75892.86</v>
      </c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>
        <v>85000.0</v>
      </c>
      <c r="AC308" s="7">
        <f t="shared" si="9"/>
        <v>0</v>
      </c>
      <c r="AD308" s="7"/>
      <c r="AE308" s="7">
        <v>758.93</v>
      </c>
    </row>
    <row r="309" ht="15.75" customHeight="1">
      <c r="A309" s="74" t="s">
        <v>880</v>
      </c>
      <c r="B309" s="75" t="s">
        <v>881</v>
      </c>
      <c r="C309" s="48">
        <v>45864.0</v>
      </c>
      <c r="D309" s="48">
        <v>45845.0</v>
      </c>
      <c r="E309" s="46">
        <v>45854.0</v>
      </c>
      <c r="F309" s="7" t="s">
        <v>882</v>
      </c>
      <c r="G309" s="66" t="s">
        <v>842</v>
      </c>
      <c r="H309" s="66"/>
      <c r="I309" s="7" t="s">
        <v>843</v>
      </c>
      <c r="J309" s="45" t="s">
        <v>82</v>
      </c>
      <c r="K309" s="45" t="s">
        <v>83</v>
      </c>
      <c r="L309" s="7">
        <v>4553.57</v>
      </c>
      <c r="M309" s="7">
        <v>37946.43</v>
      </c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>
        <v>42500.0</v>
      </c>
      <c r="AC309" s="7">
        <f t="shared" si="9"/>
        <v>0</v>
      </c>
      <c r="AD309" s="7"/>
      <c r="AE309" s="7">
        <v>379.46</v>
      </c>
    </row>
    <row r="310" ht="15.75" customHeight="1">
      <c r="A310" s="74" t="s">
        <v>883</v>
      </c>
      <c r="B310" s="75" t="s">
        <v>884</v>
      </c>
      <c r="C310" s="48">
        <v>45857.0</v>
      </c>
      <c r="D310" s="48">
        <v>45845.0</v>
      </c>
      <c r="E310" s="46">
        <v>45854.0</v>
      </c>
      <c r="F310" s="7" t="s">
        <v>885</v>
      </c>
      <c r="G310" s="66" t="s">
        <v>819</v>
      </c>
      <c r="H310" s="66"/>
      <c r="I310" s="7" t="s">
        <v>820</v>
      </c>
      <c r="J310" s="45" t="s">
        <v>82</v>
      </c>
      <c r="K310" s="45" t="s">
        <v>83</v>
      </c>
      <c r="L310" s="7">
        <v>2303.57</v>
      </c>
      <c r="M310" s="7">
        <v>19196.43</v>
      </c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>
        <v>21500.0</v>
      </c>
      <c r="AC310" s="7">
        <f t="shared" si="9"/>
        <v>0</v>
      </c>
      <c r="AD310" s="7"/>
      <c r="AE310" s="7">
        <v>191.96</v>
      </c>
    </row>
    <row r="311" ht="15.75" customHeight="1">
      <c r="A311" s="74" t="s">
        <v>886</v>
      </c>
      <c r="B311" s="75" t="s">
        <v>887</v>
      </c>
      <c r="C311" s="48">
        <v>45845.0</v>
      </c>
      <c r="D311" s="48">
        <v>45845.0</v>
      </c>
      <c r="E311" s="46">
        <v>45846.0</v>
      </c>
      <c r="F311" s="7" t="s">
        <v>888</v>
      </c>
      <c r="G311" s="66" t="s">
        <v>831</v>
      </c>
      <c r="H311" s="66"/>
      <c r="I311" s="7" t="s">
        <v>832</v>
      </c>
      <c r="J311" s="7" t="s">
        <v>46</v>
      </c>
      <c r="K311" s="45" t="s">
        <v>47</v>
      </c>
      <c r="L311" s="7">
        <v>28.93</v>
      </c>
      <c r="M311" s="7">
        <v>241.07</v>
      </c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>
        <v>270.0</v>
      </c>
      <c r="AC311" s="7">
        <f t="shared" si="9"/>
        <v>0</v>
      </c>
      <c r="AD311" s="7"/>
      <c r="AE311" s="7">
        <v>2.41</v>
      </c>
    </row>
    <row r="312" ht="15.75" customHeight="1">
      <c r="A312" s="74" t="s">
        <v>889</v>
      </c>
      <c r="B312" s="75" t="s">
        <v>890</v>
      </c>
      <c r="C312" s="48">
        <v>45845.0</v>
      </c>
      <c r="D312" s="48">
        <v>45845.0</v>
      </c>
      <c r="E312" s="7"/>
      <c r="F312" s="7"/>
      <c r="G312" s="66"/>
      <c r="H312" s="66"/>
      <c r="I312" s="7" t="s">
        <v>859</v>
      </c>
      <c r="J312" s="7" t="s">
        <v>860</v>
      </c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>
        <v>4469.0</v>
      </c>
      <c r="AB312" s="7">
        <v>4469.0</v>
      </c>
      <c r="AC312" s="7">
        <f t="shared" si="9"/>
        <v>0</v>
      </c>
      <c r="AD312" s="7"/>
      <c r="AE312" s="7"/>
    </row>
    <row r="313" ht="15.75" customHeight="1">
      <c r="A313" s="74" t="s">
        <v>891</v>
      </c>
      <c r="B313" s="75" t="s">
        <v>892</v>
      </c>
      <c r="C313" s="48">
        <v>45873.0</v>
      </c>
      <c r="D313" s="48">
        <v>45845.0</v>
      </c>
      <c r="E313" s="46">
        <v>45846.0</v>
      </c>
      <c r="F313" s="7" t="s">
        <v>893</v>
      </c>
      <c r="G313" s="66" t="s">
        <v>894</v>
      </c>
      <c r="H313" s="66"/>
      <c r="I313" s="7" t="s">
        <v>895</v>
      </c>
      <c r="J313" s="7" t="s">
        <v>46</v>
      </c>
      <c r="K313" s="45" t="s">
        <v>47</v>
      </c>
      <c r="L313" s="7">
        <v>871.45</v>
      </c>
      <c r="M313" s="7">
        <v>7262.05</v>
      </c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>
        <v>8133.5</v>
      </c>
      <c r="AC313" s="7">
        <f t="shared" si="9"/>
        <v>0</v>
      </c>
      <c r="AD313" s="7"/>
      <c r="AE313" s="7">
        <v>72.62</v>
      </c>
    </row>
    <row r="314" ht="15.75" customHeight="1">
      <c r="A314" s="74" t="s">
        <v>896</v>
      </c>
      <c r="B314" s="75" t="s">
        <v>897</v>
      </c>
      <c r="C314" s="48">
        <v>45887.0</v>
      </c>
      <c r="D314" s="48">
        <v>45845.0</v>
      </c>
      <c r="E314" s="46">
        <v>45847.0</v>
      </c>
      <c r="F314" s="7" t="s">
        <v>898</v>
      </c>
      <c r="G314" s="66" t="s">
        <v>899</v>
      </c>
      <c r="H314" s="66"/>
      <c r="I314" s="7" t="s">
        <v>900</v>
      </c>
      <c r="J314" s="7" t="s">
        <v>76</v>
      </c>
      <c r="K314" s="45" t="s">
        <v>77</v>
      </c>
      <c r="L314" s="7">
        <v>6696.43</v>
      </c>
      <c r="M314" s="7">
        <v>55803.57</v>
      </c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>
        <v>62500.0</v>
      </c>
      <c r="AC314" s="7">
        <f t="shared" si="9"/>
        <v>0</v>
      </c>
      <c r="AD314" s="7"/>
      <c r="AE314" s="7">
        <v>558.04</v>
      </c>
    </row>
    <row r="315" ht="15.75" customHeight="1">
      <c r="A315" s="74" t="s">
        <v>901</v>
      </c>
      <c r="B315" s="75" t="s">
        <v>902</v>
      </c>
      <c r="C315" s="48">
        <v>45845.0</v>
      </c>
      <c r="D315" s="48">
        <v>45845.0</v>
      </c>
      <c r="E315" s="7"/>
      <c r="F315" s="7"/>
      <c r="G315" s="66"/>
      <c r="H315" s="66"/>
      <c r="I315" s="45" t="s">
        <v>903</v>
      </c>
      <c r="J315" s="45" t="s">
        <v>58</v>
      </c>
      <c r="K315" s="7"/>
      <c r="L315" s="7">
        <v>32.14</v>
      </c>
      <c r="M315" s="7"/>
      <c r="N315" s="7"/>
      <c r="O315" s="7"/>
      <c r="P315" s="7"/>
      <c r="Q315" s="7"/>
      <c r="R315" s="7"/>
      <c r="S315" s="7">
        <v>267.86</v>
      </c>
      <c r="T315" s="7"/>
      <c r="U315" s="7"/>
      <c r="V315" s="7"/>
      <c r="W315" s="7"/>
      <c r="X315" s="7"/>
      <c r="Y315" s="7"/>
      <c r="Z315" s="7"/>
      <c r="AA315" s="7"/>
      <c r="AB315" s="7">
        <v>300.0</v>
      </c>
      <c r="AC315" s="7">
        <f t="shared" si="9"/>
        <v>0</v>
      </c>
      <c r="AD315" s="7"/>
      <c r="AE315" s="7"/>
    </row>
    <row r="316" ht="15.75" customHeight="1">
      <c r="A316" s="74" t="s">
        <v>904</v>
      </c>
      <c r="B316" s="75" t="s">
        <v>905</v>
      </c>
      <c r="C316" s="48">
        <v>45845.0</v>
      </c>
      <c r="D316" s="48">
        <v>45845.0</v>
      </c>
      <c r="E316" s="7"/>
      <c r="F316" s="7"/>
      <c r="G316" s="66"/>
      <c r="H316" s="66"/>
      <c r="I316" s="45" t="s">
        <v>903</v>
      </c>
      <c r="J316" s="7" t="s">
        <v>50</v>
      </c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>
        <v>17710.0</v>
      </c>
      <c r="AB316" s="7">
        <v>17710.0</v>
      </c>
      <c r="AC316" s="7">
        <f t="shared" si="9"/>
        <v>0</v>
      </c>
      <c r="AD316" s="7"/>
      <c r="AE316" s="7"/>
    </row>
    <row r="317" ht="15.75" customHeight="1">
      <c r="A317" s="74" t="s">
        <v>906</v>
      </c>
      <c r="B317" s="75" t="s">
        <v>907</v>
      </c>
      <c r="C317" s="48">
        <v>45845.0</v>
      </c>
      <c r="D317" s="48">
        <v>45845.0</v>
      </c>
      <c r="E317" s="7"/>
      <c r="F317" s="7"/>
      <c r="G317" s="66"/>
      <c r="H317" s="66" t="s">
        <v>908</v>
      </c>
      <c r="I317" s="7" t="s">
        <v>451</v>
      </c>
      <c r="J317" s="7" t="s">
        <v>50</v>
      </c>
      <c r="K317" s="7"/>
      <c r="L317" s="7"/>
      <c r="M317" s="7"/>
      <c r="N317" s="7"/>
      <c r="O317" s="7"/>
      <c r="P317" s="7"/>
      <c r="Q317" s="7"/>
      <c r="R317" s="7"/>
      <c r="S317" s="7"/>
      <c r="T317" s="7">
        <v>5536.42</v>
      </c>
      <c r="U317" s="7"/>
      <c r="V317" s="7"/>
      <c r="W317" s="7"/>
      <c r="X317" s="7"/>
      <c r="Y317" s="7"/>
      <c r="Z317" s="7"/>
      <c r="AA317" s="7"/>
      <c r="AB317" s="7">
        <v>5536.42</v>
      </c>
      <c r="AC317" s="7">
        <f t="shared" si="9"/>
        <v>0</v>
      </c>
      <c r="AD317" s="7"/>
      <c r="AE317" s="7"/>
    </row>
    <row r="318" ht="15.75" customHeight="1">
      <c r="A318" s="74" t="s">
        <v>909</v>
      </c>
      <c r="B318" s="75" t="s">
        <v>910</v>
      </c>
      <c r="C318" s="48">
        <v>45845.0</v>
      </c>
      <c r="D318" s="48">
        <v>45845.0</v>
      </c>
      <c r="E318" s="7"/>
      <c r="F318" s="7"/>
      <c r="G318" s="66"/>
      <c r="H318" s="66"/>
      <c r="I318" s="7" t="s">
        <v>911</v>
      </c>
      <c r="J318" s="7" t="s">
        <v>151</v>
      </c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>
        <v>5000.0</v>
      </c>
      <c r="AB318" s="7">
        <v>5000.0</v>
      </c>
      <c r="AC318" s="7">
        <f t="shared" si="9"/>
        <v>0</v>
      </c>
      <c r="AD318" s="7"/>
      <c r="AE318" s="7"/>
    </row>
    <row r="319" ht="15.75" customHeight="1">
      <c r="A319" s="74" t="s">
        <v>912</v>
      </c>
      <c r="B319" s="75" t="s">
        <v>913</v>
      </c>
      <c r="C319" s="48">
        <v>45849.0</v>
      </c>
      <c r="D319" s="48">
        <v>45845.0</v>
      </c>
      <c r="E319" s="7"/>
      <c r="F319" s="7"/>
      <c r="G319" s="66"/>
      <c r="H319" s="66"/>
      <c r="I319" s="9" t="s">
        <v>914</v>
      </c>
      <c r="J319" s="9" t="s">
        <v>915</v>
      </c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>
        <v>80000.0</v>
      </c>
      <c r="AB319" s="7">
        <v>80000.0</v>
      </c>
      <c r="AC319" s="7">
        <f t="shared" si="9"/>
        <v>0</v>
      </c>
      <c r="AD319" s="7"/>
      <c r="AE319" s="7"/>
    </row>
    <row r="320" ht="15.75" customHeight="1">
      <c r="A320" s="74" t="s">
        <v>916</v>
      </c>
      <c r="B320" s="75" t="s">
        <v>917</v>
      </c>
      <c r="C320" s="48">
        <v>45846.0</v>
      </c>
      <c r="D320" s="48">
        <v>45845.0</v>
      </c>
      <c r="E320" s="7"/>
      <c r="F320" s="7"/>
      <c r="G320" s="66"/>
      <c r="H320" s="66"/>
      <c r="I320" s="7" t="s">
        <v>30</v>
      </c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>
        <v>400000.0</v>
      </c>
      <c r="AA320" s="7"/>
      <c r="AB320" s="7">
        <v>400000.0</v>
      </c>
      <c r="AC320" s="7">
        <f t="shared" si="9"/>
        <v>0</v>
      </c>
      <c r="AD320" s="7"/>
      <c r="AE320" s="7"/>
    </row>
    <row r="321" ht="15.75" customHeight="1">
      <c r="A321" s="74" t="s">
        <v>918</v>
      </c>
      <c r="B321" s="75" t="s">
        <v>919</v>
      </c>
      <c r="C321" s="48">
        <v>45846.0</v>
      </c>
      <c r="D321" s="48">
        <v>45845.0</v>
      </c>
      <c r="E321" s="7"/>
      <c r="F321" s="7"/>
      <c r="G321" s="66"/>
      <c r="H321" s="66"/>
      <c r="I321" s="7" t="s">
        <v>620</v>
      </c>
      <c r="J321" s="7" t="s">
        <v>119</v>
      </c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>
        <v>60000.0</v>
      </c>
      <c r="X321" s="7"/>
      <c r="Y321" s="7"/>
      <c r="Z321" s="7"/>
      <c r="AA321" s="7"/>
      <c r="AB321" s="7">
        <v>60000.0</v>
      </c>
      <c r="AC321" s="7">
        <f t="shared" si="9"/>
        <v>0</v>
      </c>
      <c r="AD321" s="7"/>
      <c r="AE321" s="7"/>
    </row>
    <row r="322" ht="15.75" customHeight="1">
      <c r="A322" s="74" t="s">
        <v>920</v>
      </c>
      <c r="B322" s="75" t="s">
        <v>921</v>
      </c>
      <c r="C322" s="48">
        <v>45852.0</v>
      </c>
      <c r="D322" s="48">
        <v>45849.0</v>
      </c>
      <c r="E322" s="7"/>
      <c r="F322" s="7"/>
      <c r="G322" s="66"/>
      <c r="H322" s="66"/>
      <c r="I322" s="7" t="s">
        <v>922</v>
      </c>
      <c r="J322" s="7" t="s">
        <v>296</v>
      </c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>
        <v>52500.0</v>
      </c>
      <c r="AB322" s="7">
        <v>52500.0</v>
      </c>
      <c r="AC322" s="7">
        <f t="shared" si="9"/>
        <v>0</v>
      </c>
      <c r="AD322" s="7"/>
      <c r="AE322" s="7"/>
    </row>
    <row r="323" ht="15.75" customHeight="1">
      <c r="A323" s="74" t="s">
        <v>923</v>
      </c>
      <c r="B323" s="75" t="s">
        <v>924</v>
      </c>
      <c r="C323" s="48">
        <v>45852.0</v>
      </c>
      <c r="D323" s="48">
        <v>45849.0</v>
      </c>
      <c r="E323" s="7"/>
      <c r="F323" s="7"/>
      <c r="G323" s="66"/>
      <c r="H323" s="66" t="s">
        <v>925</v>
      </c>
      <c r="I323" s="7" t="s">
        <v>451</v>
      </c>
      <c r="J323" s="7" t="s">
        <v>50</v>
      </c>
      <c r="K323" s="7"/>
      <c r="L323" s="7"/>
      <c r="M323" s="7"/>
      <c r="N323" s="7"/>
      <c r="O323" s="7"/>
      <c r="P323" s="7"/>
      <c r="Q323" s="7"/>
      <c r="R323" s="7"/>
      <c r="S323" s="7"/>
      <c r="T323" s="7">
        <v>12839.78</v>
      </c>
      <c r="U323" s="7"/>
      <c r="V323" s="7"/>
      <c r="W323" s="7"/>
      <c r="X323" s="7"/>
      <c r="Y323" s="7"/>
      <c r="Z323" s="7"/>
      <c r="AA323" s="7"/>
      <c r="AB323" s="7">
        <v>12839.78</v>
      </c>
      <c r="AC323" s="7">
        <f t="shared" si="9"/>
        <v>0</v>
      </c>
      <c r="AD323" s="7"/>
      <c r="AE323" s="7"/>
    </row>
    <row r="324" ht="15.75" customHeight="1">
      <c r="A324" s="74" t="s">
        <v>926</v>
      </c>
      <c r="B324" s="75" t="s">
        <v>927</v>
      </c>
      <c r="C324" s="48">
        <v>45852.0</v>
      </c>
      <c r="D324" s="48">
        <v>45849.0</v>
      </c>
      <c r="E324" s="7"/>
      <c r="F324" s="7"/>
      <c r="G324" s="66"/>
      <c r="H324" s="66" t="s">
        <v>928</v>
      </c>
      <c r="I324" s="7" t="s">
        <v>929</v>
      </c>
      <c r="J324" s="7" t="s">
        <v>50</v>
      </c>
      <c r="K324" s="7"/>
      <c r="L324" s="7"/>
      <c r="M324" s="7"/>
      <c r="N324" s="7"/>
      <c r="O324" s="7"/>
      <c r="P324" s="7"/>
      <c r="Q324" s="7"/>
      <c r="R324" s="7"/>
      <c r="S324" s="7"/>
      <c r="T324" s="7">
        <v>12410.0</v>
      </c>
      <c r="U324" s="7"/>
      <c r="V324" s="7"/>
      <c r="W324" s="7"/>
      <c r="X324" s="7"/>
      <c r="Y324" s="7"/>
      <c r="Z324" s="7"/>
      <c r="AA324" s="7"/>
      <c r="AB324" s="7">
        <v>12410.0</v>
      </c>
      <c r="AC324" s="7">
        <f t="shared" si="9"/>
        <v>0</v>
      </c>
      <c r="AD324" s="7"/>
      <c r="AE324" s="7"/>
    </row>
    <row r="325" ht="15.75" customHeight="1">
      <c r="A325" s="74" t="s">
        <v>930</v>
      </c>
      <c r="B325" s="75" t="s">
        <v>931</v>
      </c>
      <c r="C325" s="48">
        <v>45853.0</v>
      </c>
      <c r="D325" s="48">
        <v>45849.0</v>
      </c>
      <c r="E325" s="7"/>
      <c r="F325" s="7"/>
      <c r="G325" s="66"/>
      <c r="H325" s="66"/>
      <c r="I325" s="7" t="s">
        <v>94</v>
      </c>
      <c r="J325" s="7" t="s">
        <v>95</v>
      </c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>
        <v>28160.0</v>
      </c>
      <c r="AB325" s="7">
        <v>28160.0</v>
      </c>
      <c r="AC325" s="7">
        <f t="shared" si="9"/>
        <v>0</v>
      </c>
      <c r="AD325" s="7"/>
      <c r="AE325" s="7"/>
    </row>
    <row r="326" ht="15.75" customHeight="1">
      <c r="A326" s="74" t="s">
        <v>932</v>
      </c>
      <c r="B326" s="75" t="s">
        <v>933</v>
      </c>
      <c r="C326" s="48">
        <v>45853.0</v>
      </c>
      <c r="D326" s="48">
        <v>45849.0</v>
      </c>
      <c r="E326" s="7"/>
      <c r="F326" s="7"/>
      <c r="G326" s="66"/>
      <c r="H326" s="66"/>
      <c r="I326" s="7" t="s">
        <v>94</v>
      </c>
      <c r="J326" s="7" t="s">
        <v>97</v>
      </c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>
        <v>22500.0</v>
      </c>
      <c r="AB326" s="7">
        <v>22500.0</v>
      </c>
      <c r="AC326" s="7">
        <f t="shared" si="9"/>
        <v>0</v>
      </c>
      <c r="AD326" s="7"/>
      <c r="AE326" s="7"/>
    </row>
    <row r="327" ht="15.75" customHeight="1">
      <c r="A327" s="74" t="s">
        <v>934</v>
      </c>
      <c r="B327" s="75" t="s">
        <v>935</v>
      </c>
      <c r="C327" s="48">
        <v>45894.0</v>
      </c>
      <c r="D327" s="48">
        <v>45849.0</v>
      </c>
      <c r="E327" s="48">
        <v>45883.0</v>
      </c>
      <c r="F327" s="7" t="s">
        <v>936</v>
      </c>
      <c r="G327" s="66" t="s">
        <v>937</v>
      </c>
      <c r="H327" s="66"/>
      <c r="I327" s="7" t="s">
        <v>938</v>
      </c>
      <c r="J327" s="7" t="s">
        <v>76</v>
      </c>
      <c r="K327" s="45" t="s">
        <v>77</v>
      </c>
      <c r="L327" s="7">
        <v>2357.14</v>
      </c>
      <c r="M327" s="7">
        <v>19642.86</v>
      </c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>
        <v>22000.0</v>
      </c>
      <c r="AC327" s="7">
        <f t="shared" si="9"/>
        <v>0</v>
      </c>
      <c r="AD327" s="7"/>
      <c r="AE327" s="7">
        <v>196.43</v>
      </c>
    </row>
    <row r="328" ht="15.75" customHeight="1">
      <c r="A328" s="74" t="s">
        <v>939</v>
      </c>
      <c r="B328" s="75" t="s">
        <v>940</v>
      </c>
      <c r="C328" s="48">
        <v>45879.0</v>
      </c>
      <c r="D328" s="48">
        <v>45849.0</v>
      </c>
      <c r="E328" s="65">
        <v>0.4117647058823529</v>
      </c>
      <c r="F328" s="7" t="s">
        <v>941</v>
      </c>
      <c r="G328" s="66" t="s">
        <v>942</v>
      </c>
      <c r="H328" s="66"/>
      <c r="I328" s="7" t="s">
        <v>943</v>
      </c>
      <c r="J328" s="7" t="s">
        <v>349</v>
      </c>
      <c r="K328" s="45" t="s">
        <v>444</v>
      </c>
      <c r="L328" s="7">
        <v>1767.86</v>
      </c>
      <c r="M328" s="7">
        <v>14732.14</v>
      </c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>
        <v>16500.0</v>
      </c>
      <c r="AC328" s="7">
        <f t="shared" si="9"/>
        <v>0</v>
      </c>
      <c r="AD328" s="7"/>
      <c r="AE328" s="7">
        <v>147.32</v>
      </c>
    </row>
    <row r="329" ht="15.75" customHeight="1">
      <c r="A329" s="74" t="s">
        <v>944</v>
      </c>
      <c r="B329" s="75" t="s">
        <v>945</v>
      </c>
      <c r="C329" s="48">
        <v>45852.0</v>
      </c>
      <c r="D329" s="48">
        <v>45849.0</v>
      </c>
      <c r="E329" s="65">
        <v>0.22580645161290322</v>
      </c>
      <c r="F329" s="7" t="s">
        <v>946</v>
      </c>
      <c r="G329" s="66"/>
      <c r="H329" s="66"/>
      <c r="I329" s="7" t="s">
        <v>903</v>
      </c>
      <c r="J329" s="7" t="s">
        <v>947</v>
      </c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>
        <v>5851.2</v>
      </c>
      <c r="AB329" s="7">
        <v>5851.2</v>
      </c>
      <c r="AC329" s="7">
        <f t="shared" si="9"/>
        <v>0</v>
      </c>
      <c r="AD329" s="7"/>
      <c r="AE329" s="7"/>
    </row>
    <row r="330" ht="15.75" customHeight="1">
      <c r="A330" s="74" t="s">
        <v>948</v>
      </c>
      <c r="B330" s="75" t="s">
        <v>949</v>
      </c>
      <c r="C330" s="48">
        <v>45852.0</v>
      </c>
      <c r="D330" s="48">
        <v>45852.0</v>
      </c>
      <c r="E330" s="7"/>
      <c r="F330" s="7"/>
      <c r="G330" s="66"/>
      <c r="H330" s="66"/>
      <c r="I330" s="7" t="s">
        <v>950</v>
      </c>
      <c r="J330" s="7" t="s">
        <v>50</v>
      </c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>
        <v>4464.29</v>
      </c>
      <c r="AB330" s="7">
        <v>4464.29</v>
      </c>
      <c r="AC330" s="7">
        <f t="shared" si="9"/>
        <v>0</v>
      </c>
      <c r="AD330" s="7"/>
      <c r="AE330" s="7"/>
    </row>
    <row r="331" ht="15.75" customHeight="1">
      <c r="A331" s="74" t="s">
        <v>951</v>
      </c>
      <c r="B331" s="75" t="s">
        <v>952</v>
      </c>
      <c r="C331" s="48">
        <v>45852.0</v>
      </c>
      <c r="D331" s="48">
        <v>45852.0</v>
      </c>
      <c r="E331" s="7"/>
      <c r="F331" s="7"/>
      <c r="G331" s="66"/>
      <c r="H331" s="66"/>
      <c r="I331" s="45" t="s">
        <v>953</v>
      </c>
      <c r="J331" s="45" t="s">
        <v>100</v>
      </c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>
        <v>10264.34</v>
      </c>
      <c r="Y331" s="7"/>
      <c r="Z331" s="7"/>
      <c r="AA331" s="7"/>
      <c r="AB331" s="7">
        <v>10264.34</v>
      </c>
      <c r="AC331" s="7">
        <f t="shared" si="9"/>
        <v>0</v>
      </c>
      <c r="AD331" s="7"/>
      <c r="AE331" s="7"/>
    </row>
    <row r="332" ht="15.75" customHeight="1">
      <c r="A332" s="74" t="s">
        <v>954</v>
      </c>
      <c r="B332" s="75" t="s">
        <v>955</v>
      </c>
      <c r="C332" s="48">
        <v>45852.0</v>
      </c>
      <c r="D332" s="48">
        <v>45852.0</v>
      </c>
      <c r="E332" s="7"/>
      <c r="F332" s="7"/>
      <c r="G332" s="66"/>
      <c r="H332" s="66"/>
      <c r="I332" s="45" t="s">
        <v>956</v>
      </c>
      <c r="J332" s="45" t="s">
        <v>103</v>
      </c>
      <c r="K332" s="7"/>
      <c r="L332" s="7">
        <v>160.82</v>
      </c>
      <c r="M332" s="7"/>
      <c r="N332" s="7"/>
      <c r="O332" s="7"/>
      <c r="P332" s="7"/>
      <c r="Q332" s="7"/>
      <c r="R332" s="7"/>
      <c r="S332" s="7">
        <v>1340.17</v>
      </c>
      <c r="T332" s="7"/>
      <c r="U332" s="7"/>
      <c r="V332" s="7"/>
      <c r="W332" s="7"/>
      <c r="X332" s="7"/>
      <c r="Y332" s="7"/>
      <c r="Z332" s="7"/>
      <c r="AA332" s="7"/>
      <c r="AB332" s="7">
        <v>1500.99</v>
      </c>
      <c r="AC332" s="7">
        <f t="shared" si="9"/>
        <v>0</v>
      </c>
      <c r="AD332" s="7"/>
      <c r="AE332" s="7"/>
    </row>
    <row r="333" ht="15.75" customHeight="1">
      <c r="A333" s="74" t="s">
        <v>957</v>
      </c>
      <c r="B333" s="75" t="s">
        <v>958</v>
      </c>
      <c r="C333" s="48">
        <v>45852.0</v>
      </c>
      <c r="D333" s="48">
        <v>45852.0</v>
      </c>
      <c r="E333" s="7"/>
      <c r="F333" s="7"/>
      <c r="G333" s="66"/>
      <c r="H333" s="66"/>
      <c r="I333" s="45" t="s">
        <v>959</v>
      </c>
      <c r="J333" s="45" t="s">
        <v>103</v>
      </c>
      <c r="K333" s="7"/>
      <c r="L333" s="7">
        <v>107.04</v>
      </c>
      <c r="M333" s="7"/>
      <c r="N333" s="7"/>
      <c r="O333" s="7"/>
      <c r="P333" s="7"/>
      <c r="Q333" s="7"/>
      <c r="R333" s="7"/>
      <c r="S333" s="7">
        <v>891.96</v>
      </c>
      <c r="T333" s="7"/>
      <c r="U333" s="7"/>
      <c r="V333" s="7"/>
      <c r="W333" s="7"/>
      <c r="X333" s="7"/>
      <c r="Y333" s="7"/>
      <c r="Z333" s="7"/>
      <c r="AA333" s="7"/>
      <c r="AB333" s="7">
        <v>999.0</v>
      </c>
      <c r="AC333" s="7">
        <f t="shared" si="9"/>
        <v>0</v>
      </c>
      <c r="AD333" s="7"/>
      <c r="AE333" s="7"/>
    </row>
    <row r="334" ht="15.75" customHeight="1">
      <c r="A334" s="74" t="s">
        <v>960</v>
      </c>
      <c r="B334" s="75" t="s">
        <v>961</v>
      </c>
      <c r="C334" s="48">
        <v>45852.0</v>
      </c>
      <c r="D334" s="48">
        <v>45852.0</v>
      </c>
      <c r="E334" s="7"/>
      <c r="F334" s="7"/>
      <c r="G334" s="66"/>
      <c r="H334" s="66"/>
      <c r="I334" s="45" t="s">
        <v>962</v>
      </c>
      <c r="J334" s="45" t="s">
        <v>22</v>
      </c>
      <c r="K334" s="7"/>
      <c r="L334" s="7"/>
      <c r="M334" s="7"/>
      <c r="N334" s="7"/>
      <c r="O334" s="7"/>
      <c r="P334" s="7"/>
      <c r="Q334" s="7"/>
      <c r="R334" s="7">
        <v>1410.15</v>
      </c>
      <c r="S334" s="7"/>
      <c r="T334" s="7"/>
      <c r="U334" s="7"/>
      <c r="V334" s="7"/>
      <c r="W334" s="7"/>
      <c r="X334" s="7"/>
      <c r="Y334" s="7"/>
      <c r="Z334" s="7"/>
      <c r="AA334" s="7"/>
      <c r="AB334" s="7">
        <v>1410.15</v>
      </c>
      <c r="AC334" s="7">
        <f t="shared" si="9"/>
        <v>0</v>
      </c>
      <c r="AD334" s="7"/>
      <c r="AE334" s="7"/>
    </row>
    <row r="335" ht="15.75" customHeight="1">
      <c r="A335" s="74" t="s">
        <v>963</v>
      </c>
      <c r="B335" s="75" t="s">
        <v>964</v>
      </c>
      <c r="C335" s="48">
        <v>45852.0</v>
      </c>
      <c r="D335" s="48">
        <v>45852.0</v>
      </c>
      <c r="E335" s="7"/>
      <c r="F335" s="7"/>
      <c r="G335" s="66"/>
      <c r="H335" s="66"/>
      <c r="I335" s="45" t="s">
        <v>962</v>
      </c>
      <c r="J335" s="45" t="s">
        <v>22</v>
      </c>
      <c r="K335" s="7"/>
      <c r="L335" s="7"/>
      <c r="M335" s="7"/>
      <c r="N335" s="7"/>
      <c r="O335" s="7"/>
      <c r="P335" s="7"/>
      <c r="Q335" s="7"/>
      <c r="R335" s="7">
        <v>7570.15</v>
      </c>
      <c r="S335" s="7"/>
      <c r="T335" s="7"/>
      <c r="U335" s="7"/>
      <c r="V335" s="7"/>
      <c r="W335" s="7"/>
      <c r="X335" s="7"/>
      <c r="Y335" s="7"/>
      <c r="Z335" s="7"/>
      <c r="AA335" s="7"/>
      <c r="AB335" s="7">
        <v>7570.15</v>
      </c>
      <c r="AC335" s="7">
        <f t="shared" si="9"/>
        <v>0</v>
      </c>
      <c r="AD335" s="7"/>
      <c r="AE335" s="7"/>
    </row>
    <row r="336" ht="15.75" customHeight="1">
      <c r="A336" s="74" t="s">
        <v>965</v>
      </c>
      <c r="B336" s="47" t="s">
        <v>966</v>
      </c>
      <c r="C336" s="48">
        <v>45852.0</v>
      </c>
      <c r="D336" s="48">
        <v>45852.0</v>
      </c>
      <c r="E336" s="7"/>
      <c r="F336" s="7"/>
      <c r="G336" s="66"/>
      <c r="H336" s="66" t="s">
        <v>967</v>
      </c>
      <c r="I336" s="7" t="s">
        <v>968</v>
      </c>
      <c r="J336" s="7" t="s">
        <v>119</v>
      </c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>
        <v>58074.0</v>
      </c>
      <c r="AB336" s="7">
        <v>65000.0</v>
      </c>
      <c r="AC336" s="7">
        <f t="shared" si="9"/>
        <v>6926</v>
      </c>
      <c r="AD336" s="51" t="s">
        <v>969</v>
      </c>
      <c r="AE336" s="7"/>
    </row>
    <row r="337" ht="15.75" customHeight="1">
      <c r="A337" s="74" t="s">
        <v>970</v>
      </c>
      <c r="B337" s="75" t="s">
        <v>971</v>
      </c>
      <c r="C337" s="48">
        <v>45854.0</v>
      </c>
      <c r="D337" s="48">
        <v>45854.0</v>
      </c>
      <c r="E337" s="7"/>
      <c r="F337" s="7"/>
      <c r="G337" s="66"/>
      <c r="H337" s="66"/>
      <c r="I337" s="7" t="s">
        <v>972</v>
      </c>
      <c r="J337" s="7" t="s">
        <v>50</v>
      </c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>
        <v>22000.0</v>
      </c>
      <c r="AB337" s="7">
        <v>21749.0</v>
      </c>
      <c r="AC337" s="7">
        <f t="shared" si="9"/>
        <v>-251</v>
      </c>
      <c r="AD337" s="51" t="s">
        <v>973</v>
      </c>
      <c r="AE337" s="7"/>
    </row>
    <row r="338" ht="15.75" customHeight="1">
      <c r="A338" s="74" t="s">
        <v>974</v>
      </c>
      <c r="B338" s="75" t="s">
        <v>975</v>
      </c>
      <c r="C338" s="48">
        <v>45855.0</v>
      </c>
      <c r="D338" s="48">
        <v>45855.0</v>
      </c>
      <c r="E338" s="7"/>
      <c r="F338" s="7"/>
      <c r="G338" s="66"/>
      <c r="H338" s="66"/>
      <c r="I338" s="7" t="s">
        <v>518</v>
      </c>
      <c r="J338" s="7" t="s">
        <v>609</v>
      </c>
      <c r="K338" s="7"/>
      <c r="L338" s="7"/>
      <c r="M338" s="7"/>
      <c r="N338" s="7">
        <v>36050.0</v>
      </c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>
        <v>36050.0</v>
      </c>
      <c r="AC338" s="7">
        <f t="shared" si="9"/>
        <v>0</v>
      </c>
      <c r="AD338" s="7"/>
      <c r="AE338" s="7"/>
    </row>
    <row r="339" ht="15.75" customHeight="1">
      <c r="A339" s="74" t="s">
        <v>976</v>
      </c>
      <c r="B339" s="75" t="s">
        <v>977</v>
      </c>
      <c r="C339" s="48">
        <v>45855.0</v>
      </c>
      <c r="D339" s="48">
        <v>45855.0</v>
      </c>
      <c r="E339" s="7"/>
      <c r="F339" s="7"/>
      <c r="G339" s="66"/>
      <c r="H339" s="66" t="s">
        <v>978</v>
      </c>
      <c r="I339" s="7" t="s">
        <v>213</v>
      </c>
      <c r="J339" s="7" t="s">
        <v>50</v>
      </c>
      <c r="K339" s="7"/>
      <c r="L339" s="7"/>
      <c r="M339" s="7"/>
      <c r="N339" s="7"/>
      <c r="O339" s="7"/>
      <c r="P339" s="7"/>
      <c r="Q339" s="7"/>
      <c r="R339" s="7"/>
      <c r="S339" s="7"/>
      <c r="T339" s="7">
        <v>12342.62</v>
      </c>
      <c r="U339" s="7"/>
      <c r="V339" s="7"/>
      <c r="W339" s="7"/>
      <c r="X339" s="7"/>
      <c r="Y339" s="7"/>
      <c r="Z339" s="7"/>
      <c r="AA339" s="7"/>
      <c r="AB339" s="7">
        <v>12342.62</v>
      </c>
      <c r="AC339" s="7">
        <f t="shared" si="9"/>
        <v>0</v>
      </c>
      <c r="AD339" s="7"/>
      <c r="AE339" s="7"/>
    </row>
    <row r="340" ht="15.75" customHeight="1">
      <c r="A340" s="74" t="s">
        <v>979</v>
      </c>
      <c r="B340" s="75" t="s">
        <v>980</v>
      </c>
      <c r="C340" s="48">
        <v>45885.0</v>
      </c>
      <c r="D340" s="48">
        <v>45855.0</v>
      </c>
      <c r="E340" s="46">
        <v>45887.0</v>
      </c>
      <c r="F340" s="7" t="s">
        <v>981</v>
      </c>
      <c r="G340" s="66" t="s">
        <v>641</v>
      </c>
      <c r="H340" s="66"/>
      <c r="I340" s="7" t="s">
        <v>642</v>
      </c>
      <c r="J340" s="7" t="s">
        <v>82</v>
      </c>
      <c r="K340" s="45" t="s">
        <v>83</v>
      </c>
      <c r="L340" s="7">
        <v>11142.86</v>
      </c>
      <c r="M340" s="7">
        <v>92857.14</v>
      </c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>
        <v>104000.0</v>
      </c>
      <c r="AC340" s="7">
        <f t="shared" si="9"/>
        <v>0</v>
      </c>
      <c r="AD340" s="7"/>
      <c r="AE340" s="7">
        <v>928.57</v>
      </c>
    </row>
    <row r="341" ht="15.75" customHeight="1">
      <c r="A341" s="74" t="s">
        <v>982</v>
      </c>
      <c r="B341" s="75" t="s">
        <v>983</v>
      </c>
      <c r="C341" s="48">
        <v>45854.0</v>
      </c>
      <c r="D341" s="48">
        <v>45855.0</v>
      </c>
      <c r="E341" s="46">
        <v>45887.0</v>
      </c>
      <c r="F341" s="7" t="s">
        <v>984</v>
      </c>
      <c r="G341" s="66" t="s">
        <v>985</v>
      </c>
      <c r="H341" s="66"/>
      <c r="I341" s="7" t="s">
        <v>81</v>
      </c>
      <c r="J341" s="7" t="s">
        <v>82</v>
      </c>
      <c r="K341" s="45" t="s">
        <v>83</v>
      </c>
      <c r="L341" s="7">
        <v>203.57</v>
      </c>
      <c r="M341" s="7">
        <v>1696.43</v>
      </c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>
        <v>1900.0</v>
      </c>
      <c r="AC341" s="7">
        <f t="shared" si="9"/>
        <v>0</v>
      </c>
      <c r="AD341" s="7"/>
      <c r="AE341" s="7">
        <v>16.96</v>
      </c>
    </row>
    <row r="342" ht="15.75" customHeight="1">
      <c r="A342" s="74" t="s">
        <v>986</v>
      </c>
      <c r="B342" s="75" t="s">
        <v>987</v>
      </c>
      <c r="C342" s="48">
        <v>45885.0</v>
      </c>
      <c r="D342" s="48">
        <v>45855.0</v>
      </c>
      <c r="E342" s="46">
        <v>45884.0</v>
      </c>
      <c r="F342" s="7" t="s">
        <v>988</v>
      </c>
      <c r="G342" s="66" t="s">
        <v>989</v>
      </c>
      <c r="H342" s="66"/>
      <c r="I342" s="7" t="s">
        <v>990</v>
      </c>
      <c r="J342" s="7" t="s">
        <v>46</v>
      </c>
      <c r="K342" s="45" t="s">
        <v>47</v>
      </c>
      <c r="L342" s="7">
        <v>2701.07</v>
      </c>
      <c r="M342" s="7">
        <v>22508.93</v>
      </c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>
        <v>25210.0</v>
      </c>
      <c r="AC342" s="7">
        <f t="shared" si="9"/>
        <v>0</v>
      </c>
      <c r="AD342" s="7"/>
      <c r="AE342" s="7">
        <v>225.09</v>
      </c>
    </row>
    <row r="343" ht="15.75" customHeight="1">
      <c r="A343" s="74" t="s">
        <v>991</v>
      </c>
      <c r="B343" s="75" t="s">
        <v>992</v>
      </c>
      <c r="C343" s="48">
        <v>45860.0</v>
      </c>
      <c r="D343" s="48">
        <v>45855.0</v>
      </c>
      <c r="E343" s="48">
        <v>45866.0</v>
      </c>
      <c r="F343" s="7" t="s">
        <v>993</v>
      </c>
      <c r="G343" s="66" t="s">
        <v>994</v>
      </c>
      <c r="H343" s="66"/>
      <c r="I343" s="7" t="s">
        <v>995</v>
      </c>
      <c r="J343" s="45" t="s">
        <v>91</v>
      </c>
      <c r="K343" s="45" t="s">
        <v>92</v>
      </c>
      <c r="L343" s="7">
        <v>2142.86</v>
      </c>
      <c r="M343" s="7">
        <v>17857.14</v>
      </c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>
        <v>20000.0</v>
      </c>
      <c r="AC343" s="7">
        <f t="shared" si="9"/>
        <v>0</v>
      </c>
      <c r="AD343" s="7"/>
      <c r="AE343" s="7">
        <v>178.57</v>
      </c>
    </row>
    <row r="344" ht="15.75" customHeight="1">
      <c r="A344" s="74" t="s">
        <v>996</v>
      </c>
      <c r="B344" s="47" t="s">
        <v>997</v>
      </c>
      <c r="C344" s="48">
        <v>45855.0</v>
      </c>
      <c r="D344" s="48">
        <v>45855.0</v>
      </c>
      <c r="E344" s="7"/>
      <c r="F344" s="7"/>
      <c r="G344" s="66"/>
      <c r="H344" s="66"/>
      <c r="I344" s="7" t="s">
        <v>998</v>
      </c>
      <c r="J344" s="7" t="s">
        <v>296</v>
      </c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>
        <v>130000.0</v>
      </c>
      <c r="AB344" s="7">
        <v>130000.0</v>
      </c>
      <c r="AC344" s="7">
        <f t="shared" si="9"/>
        <v>0</v>
      </c>
      <c r="AD344" s="7"/>
      <c r="AE344" s="7"/>
    </row>
    <row r="345" ht="15.75" customHeight="1">
      <c r="A345" s="74" t="s">
        <v>999</v>
      </c>
      <c r="B345" s="75" t="s">
        <v>1000</v>
      </c>
      <c r="C345" s="48">
        <v>45859.0</v>
      </c>
      <c r="D345" s="48">
        <v>45859.0</v>
      </c>
      <c r="E345" s="7"/>
      <c r="F345" s="7"/>
      <c r="G345" s="66"/>
      <c r="H345" s="66" t="s">
        <v>1001</v>
      </c>
      <c r="I345" s="7" t="s">
        <v>1002</v>
      </c>
      <c r="J345" s="7" t="s">
        <v>119</v>
      </c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>
        <v>15000.0</v>
      </c>
      <c r="AB345" s="7">
        <v>13750.0</v>
      </c>
      <c r="AC345" s="7">
        <f t="shared" si="9"/>
        <v>-1250</v>
      </c>
      <c r="AD345" s="51" t="s">
        <v>1003</v>
      </c>
      <c r="AE345" s="7"/>
    </row>
    <row r="346" ht="15.75" customHeight="1">
      <c r="A346" s="74" t="s">
        <v>1004</v>
      </c>
      <c r="B346" s="75" t="s">
        <v>1005</v>
      </c>
      <c r="C346" s="48">
        <v>45862.0</v>
      </c>
      <c r="D346" s="48">
        <v>45862.0</v>
      </c>
      <c r="E346" s="7"/>
      <c r="F346" s="7"/>
      <c r="G346" s="66"/>
      <c r="H346" s="66"/>
      <c r="I346" s="7" t="s">
        <v>144</v>
      </c>
      <c r="J346" s="7" t="s">
        <v>50</v>
      </c>
      <c r="K346" s="7"/>
      <c r="L346" s="7">
        <v>1572.48</v>
      </c>
      <c r="M346" s="7"/>
      <c r="N346" s="7"/>
      <c r="O346" s="7"/>
      <c r="P346" s="7"/>
      <c r="Q346" s="7"/>
      <c r="R346" s="7"/>
      <c r="S346" s="7">
        <v>13104.04</v>
      </c>
      <c r="T346" s="7"/>
      <c r="U346" s="7"/>
      <c r="V346" s="7"/>
      <c r="W346" s="7"/>
      <c r="X346" s="7"/>
      <c r="Y346" s="7"/>
      <c r="Z346" s="7"/>
      <c r="AA346" s="7"/>
      <c r="AB346" s="7">
        <v>14676.52</v>
      </c>
      <c r="AC346" s="7">
        <f t="shared" si="9"/>
        <v>0</v>
      </c>
      <c r="AD346" s="7"/>
      <c r="AE346" s="7"/>
    </row>
    <row r="347" ht="15.75" customHeight="1">
      <c r="A347" s="74" t="s">
        <v>1006</v>
      </c>
      <c r="B347" s="75" t="s">
        <v>1007</v>
      </c>
      <c r="C347" s="48">
        <v>45862.0</v>
      </c>
      <c r="D347" s="48">
        <v>45862.0</v>
      </c>
      <c r="E347" s="46">
        <v>45887.0</v>
      </c>
      <c r="F347" s="7" t="s">
        <v>1008</v>
      </c>
      <c r="G347" s="66"/>
      <c r="H347" s="66"/>
      <c r="I347" s="7" t="s">
        <v>1009</v>
      </c>
      <c r="J347" s="7" t="s">
        <v>82</v>
      </c>
      <c r="K347" s="45" t="s">
        <v>83</v>
      </c>
      <c r="L347" s="7">
        <v>246.43</v>
      </c>
      <c r="M347" s="7">
        <v>2053.57</v>
      </c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>
        <v>2300.0</v>
      </c>
      <c r="AC347" s="7">
        <f t="shared" si="9"/>
        <v>0</v>
      </c>
      <c r="AD347" s="7"/>
      <c r="AE347" s="7">
        <v>30.29</v>
      </c>
    </row>
    <row r="348" ht="15.75" customHeight="1">
      <c r="A348" s="74" t="s">
        <v>1010</v>
      </c>
      <c r="B348" s="75" t="s">
        <v>1011</v>
      </c>
      <c r="C348" s="48">
        <v>45886.0</v>
      </c>
      <c r="D348" s="48">
        <v>45862.0</v>
      </c>
      <c r="E348" s="46">
        <v>45891.0</v>
      </c>
      <c r="F348" s="7" t="s">
        <v>1012</v>
      </c>
      <c r="G348" s="66" t="s">
        <v>1013</v>
      </c>
      <c r="H348" s="66"/>
      <c r="I348" s="7" t="s">
        <v>1014</v>
      </c>
      <c r="J348" s="7" t="s">
        <v>349</v>
      </c>
      <c r="K348" s="45" t="s">
        <v>444</v>
      </c>
      <c r="L348" s="7">
        <v>5142.86</v>
      </c>
      <c r="M348" s="7">
        <v>42857.14</v>
      </c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>
        <v>48000.0</v>
      </c>
      <c r="AC348" s="7">
        <f t="shared" si="9"/>
        <v>0</v>
      </c>
      <c r="AD348" s="7"/>
      <c r="AE348" s="7">
        <v>428.57</v>
      </c>
    </row>
    <row r="349" ht="15.75" customHeight="1">
      <c r="A349" s="74" t="s">
        <v>1015</v>
      </c>
      <c r="B349" s="75" t="s">
        <v>1016</v>
      </c>
      <c r="C349" s="48">
        <v>45909.0</v>
      </c>
      <c r="D349" s="48">
        <v>45862.0</v>
      </c>
      <c r="E349" s="48">
        <v>45882.0</v>
      </c>
      <c r="F349" s="7" t="s">
        <v>1017</v>
      </c>
      <c r="G349" s="66" t="s">
        <v>1018</v>
      </c>
      <c r="H349" s="66"/>
      <c r="I349" s="7" t="s">
        <v>1019</v>
      </c>
      <c r="J349" s="7" t="s">
        <v>76</v>
      </c>
      <c r="K349" s="45" t="s">
        <v>77</v>
      </c>
      <c r="L349" s="7">
        <v>3300.0</v>
      </c>
      <c r="M349" s="7">
        <v>27500.0</v>
      </c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>
        <v>30800.0</v>
      </c>
      <c r="AC349" s="7">
        <f t="shared" si="9"/>
        <v>0</v>
      </c>
      <c r="AD349" s="7"/>
      <c r="AE349" s="7">
        <v>275.0</v>
      </c>
    </row>
    <row r="350" ht="15.75" customHeight="1">
      <c r="A350" s="74" t="s">
        <v>1020</v>
      </c>
      <c r="B350" s="75" t="s">
        <v>1021</v>
      </c>
      <c r="C350" s="48">
        <v>45893.0</v>
      </c>
      <c r="D350" s="48">
        <v>45862.0</v>
      </c>
      <c r="E350" s="48">
        <v>45868.0</v>
      </c>
      <c r="F350" s="7" t="s">
        <v>1022</v>
      </c>
      <c r="G350" s="66" t="s">
        <v>1023</v>
      </c>
      <c r="H350" s="66"/>
      <c r="I350" s="7" t="s">
        <v>803</v>
      </c>
      <c r="J350" s="45" t="s">
        <v>70</v>
      </c>
      <c r="K350" s="45" t="s">
        <v>71</v>
      </c>
      <c r="L350" s="7">
        <v>11785.71</v>
      </c>
      <c r="M350" s="7">
        <v>98214.29</v>
      </c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>
        <v>110000.0</v>
      </c>
      <c r="AC350" s="7">
        <f t="shared" si="9"/>
        <v>0</v>
      </c>
      <c r="AD350" s="7"/>
      <c r="AE350" s="7">
        <v>982.14</v>
      </c>
    </row>
    <row r="351" ht="15.75" customHeight="1">
      <c r="A351" s="74" t="s">
        <v>1024</v>
      </c>
      <c r="B351" s="75" t="s">
        <v>1025</v>
      </c>
      <c r="C351" s="48">
        <v>45893.0</v>
      </c>
      <c r="D351" s="48">
        <v>45862.0</v>
      </c>
      <c r="E351" s="46">
        <v>45887.0</v>
      </c>
      <c r="F351" s="7" t="s">
        <v>1026</v>
      </c>
      <c r="G351" s="66" t="s">
        <v>1027</v>
      </c>
      <c r="H351" s="66"/>
      <c r="I351" s="7" t="s">
        <v>1028</v>
      </c>
      <c r="J351" s="7" t="s">
        <v>82</v>
      </c>
      <c r="K351" s="45" t="s">
        <v>83</v>
      </c>
      <c r="L351" s="7">
        <v>9482.14</v>
      </c>
      <c r="M351" s="7">
        <v>79017.86</v>
      </c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>
        <v>88500.0</v>
      </c>
      <c r="AC351" s="7">
        <f t="shared" si="9"/>
        <v>0</v>
      </c>
      <c r="AD351" s="7"/>
      <c r="AE351" s="7">
        <v>790.18</v>
      </c>
    </row>
    <row r="352" ht="15.75" customHeight="1">
      <c r="A352" s="74" t="s">
        <v>1029</v>
      </c>
      <c r="B352" s="75" t="s">
        <v>1030</v>
      </c>
      <c r="C352" s="48">
        <v>45869.0</v>
      </c>
      <c r="D352" s="48">
        <v>45866.0</v>
      </c>
      <c r="E352" s="7"/>
      <c r="F352" s="7"/>
      <c r="G352" s="66"/>
      <c r="H352" s="66"/>
      <c r="I352" s="7" t="s">
        <v>94</v>
      </c>
      <c r="J352" s="7" t="s">
        <v>97</v>
      </c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>
        <v>20000.0</v>
      </c>
      <c r="AB352" s="7">
        <v>20000.0</v>
      </c>
      <c r="AC352" s="7">
        <f t="shared" si="9"/>
        <v>0</v>
      </c>
      <c r="AD352" s="7"/>
      <c r="AE352" s="7"/>
    </row>
    <row r="353" ht="15.75" customHeight="1">
      <c r="A353" s="74" t="s">
        <v>1031</v>
      </c>
      <c r="B353" s="75" t="s">
        <v>1032</v>
      </c>
      <c r="C353" s="48">
        <v>45869.0</v>
      </c>
      <c r="D353" s="48">
        <v>45866.0</v>
      </c>
      <c r="E353" s="7"/>
      <c r="F353" s="7"/>
      <c r="G353" s="66"/>
      <c r="H353" s="66"/>
      <c r="I353" s="7" t="s">
        <v>94</v>
      </c>
      <c r="J353" s="7" t="s">
        <v>95</v>
      </c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>
        <v>28160.0</v>
      </c>
      <c r="AB353" s="7">
        <v>28160.0</v>
      </c>
      <c r="AC353" s="7">
        <f t="shared" si="9"/>
        <v>0</v>
      </c>
      <c r="AD353" s="7"/>
      <c r="AE353" s="7"/>
    </row>
    <row r="354" ht="15.75" customHeight="1">
      <c r="A354" s="74" t="s">
        <v>1033</v>
      </c>
      <c r="B354" s="47" t="s">
        <v>1034</v>
      </c>
      <c r="C354" s="48">
        <v>45866.0</v>
      </c>
      <c r="D354" s="48">
        <v>45866.0</v>
      </c>
      <c r="E354" s="7"/>
      <c r="F354" s="7"/>
      <c r="G354" s="66"/>
      <c r="H354" s="66"/>
      <c r="I354" s="7" t="s">
        <v>30</v>
      </c>
      <c r="J354" s="7" t="s">
        <v>41</v>
      </c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>
        <v>350000.0</v>
      </c>
      <c r="AA354" s="7"/>
      <c r="AB354" s="7">
        <v>350000.0</v>
      </c>
      <c r="AC354" s="7">
        <f t="shared" si="9"/>
        <v>0</v>
      </c>
      <c r="AD354" s="7"/>
      <c r="AE354" s="7"/>
    </row>
    <row r="355" ht="15.75" customHeight="1">
      <c r="A355" s="74" t="s">
        <v>1035</v>
      </c>
      <c r="B355" s="47" t="s">
        <v>1036</v>
      </c>
      <c r="C355" s="48">
        <v>45868.0</v>
      </c>
      <c r="D355" s="48">
        <v>45868.0</v>
      </c>
      <c r="E355" s="7"/>
      <c r="F355" s="7"/>
      <c r="G355" s="66"/>
      <c r="H355" s="66"/>
      <c r="I355" s="7" t="s">
        <v>1037</v>
      </c>
      <c r="J355" s="7" t="s">
        <v>609</v>
      </c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>
        <v>200000.0</v>
      </c>
      <c r="AB355" s="7">
        <v>200000.0</v>
      </c>
      <c r="AC355" s="7">
        <f t="shared" si="9"/>
        <v>0</v>
      </c>
      <c r="AD355" s="7"/>
      <c r="AE355" s="7"/>
    </row>
    <row r="356" ht="15.75" customHeight="1">
      <c r="A356" s="74" t="s">
        <v>1038</v>
      </c>
      <c r="B356" s="75" t="s">
        <v>1039</v>
      </c>
      <c r="C356" s="48">
        <v>45868.0</v>
      </c>
      <c r="D356" s="48">
        <v>45868.0</v>
      </c>
      <c r="E356" s="7"/>
      <c r="F356" s="7"/>
      <c r="G356" s="66"/>
      <c r="H356" s="66"/>
      <c r="I356" s="7" t="s">
        <v>1040</v>
      </c>
      <c r="J356" s="7" t="s">
        <v>1041</v>
      </c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>
        <v>9720.0</v>
      </c>
      <c r="AB356" s="7">
        <v>9720.0</v>
      </c>
      <c r="AC356" s="7">
        <f t="shared" si="9"/>
        <v>0</v>
      </c>
      <c r="AD356" s="7"/>
      <c r="AE356" s="7"/>
    </row>
    <row r="357" ht="15.75" customHeight="1">
      <c r="A357" s="74" t="s">
        <v>1042</v>
      </c>
      <c r="B357" s="75" t="s">
        <v>1043</v>
      </c>
      <c r="C357" s="48">
        <v>45868.0</v>
      </c>
      <c r="D357" s="48">
        <v>45868.0</v>
      </c>
      <c r="E357" s="7"/>
      <c r="F357" s="7"/>
      <c r="G357" s="66"/>
      <c r="H357" s="66" t="s">
        <v>1044</v>
      </c>
      <c r="I357" s="7" t="s">
        <v>451</v>
      </c>
      <c r="J357" s="7" t="s">
        <v>50</v>
      </c>
      <c r="K357" s="7"/>
      <c r="L357" s="7"/>
      <c r="M357" s="7"/>
      <c r="N357" s="7"/>
      <c r="O357" s="7"/>
      <c r="P357" s="7"/>
      <c r="Q357" s="7"/>
      <c r="R357" s="7"/>
      <c r="S357" s="7"/>
      <c r="T357" s="7">
        <v>12995.79</v>
      </c>
      <c r="U357" s="7"/>
      <c r="V357" s="7"/>
      <c r="W357" s="7"/>
      <c r="X357" s="7"/>
      <c r="Y357" s="7"/>
      <c r="Z357" s="7"/>
      <c r="AA357" s="7"/>
      <c r="AB357" s="7">
        <v>12995.79</v>
      </c>
      <c r="AC357" s="7">
        <f t="shared" si="9"/>
        <v>0</v>
      </c>
      <c r="AD357" s="7"/>
      <c r="AE357" s="7"/>
    </row>
    <row r="358" ht="15.75" customHeight="1">
      <c r="A358" s="74" t="s">
        <v>1045</v>
      </c>
      <c r="B358" s="75" t="s">
        <v>1046</v>
      </c>
      <c r="C358" s="48">
        <v>45873.0</v>
      </c>
      <c r="D358" s="48">
        <v>45868.0</v>
      </c>
      <c r="E358" s="48">
        <v>45875.0</v>
      </c>
      <c r="F358" s="7" t="s">
        <v>1047</v>
      </c>
      <c r="G358" s="66" t="s">
        <v>1048</v>
      </c>
      <c r="H358" s="66"/>
      <c r="I358" s="7" t="s">
        <v>1049</v>
      </c>
      <c r="J358" s="45" t="s">
        <v>91</v>
      </c>
      <c r="K358" s="45" t="s">
        <v>92</v>
      </c>
      <c r="L358" s="7">
        <v>3414.64</v>
      </c>
      <c r="M358" s="7">
        <v>28455.36</v>
      </c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>
        <v>31870.0</v>
      </c>
      <c r="AC358" s="7">
        <f t="shared" si="9"/>
        <v>0</v>
      </c>
      <c r="AD358" s="7"/>
      <c r="AE358" s="7">
        <v>284.55</v>
      </c>
    </row>
    <row r="359" ht="15.75" customHeight="1">
      <c r="A359" s="52">
        <v>45870.0</v>
      </c>
      <c r="B359" s="53"/>
      <c r="C359" s="54"/>
      <c r="D359" s="54"/>
      <c r="E359" s="54"/>
      <c r="F359" s="53"/>
      <c r="G359" s="55"/>
      <c r="H359" s="55"/>
      <c r="I359" s="53"/>
      <c r="J359" s="53"/>
      <c r="K359" s="53"/>
      <c r="L359" s="56"/>
      <c r="M359" s="56"/>
      <c r="N359" s="56"/>
      <c r="O359" s="53"/>
      <c r="P359" s="53"/>
      <c r="Q359" s="53"/>
      <c r="R359" s="53"/>
      <c r="S359" s="53"/>
      <c r="T359" s="56"/>
      <c r="U359" s="57"/>
      <c r="V359" s="57"/>
      <c r="W359" s="57"/>
      <c r="X359" s="58"/>
      <c r="Y359" s="57"/>
      <c r="Z359" s="58"/>
      <c r="AA359" s="58"/>
      <c r="AB359" s="56"/>
      <c r="AC359" s="59"/>
      <c r="AD359" s="57"/>
      <c r="AE359" s="56"/>
    </row>
    <row r="360" ht="15.75" customHeight="1">
      <c r="A360" s="74" t="s">
        <v>1050</v>
      </c>
      <c r="B360" s="75" t="s">
        <v>1051</v>
      </c>
      <c r="C360" s="48">
        <v>45915.0</v>
      </c>
      <c r="D360" s="48">
        <v>45870.0</v>
      </c>
      <c r="E360" s="48">
        <v>45882.0</v>
      </c>
      <c r="F360" s="7" t="s">
        <v>1052</v>
      </c>
      <c r="G360" s="66" t="s">
        <v>1053</v>
      </c>
      <c r="H360" s="66"/>
      <c r="I360" s="7" t="s">
        <v>1054</v>
      </c>
      <c r="J360" s="7" t="s">
        <v>76</v>
      </c>
      <c r="K360" s="45" t="s">
        <v>77</v>
      </c>
      <c r="L360" s="7">
        <v>5089.29</v>
      </c>
      <c r="M360" s="7">
        <v>42410.71</v>
      </c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>
        <v>47500.0</v>
      </c>
      <c r="AC360" s="7">
        <f t="shared" ref="AC360:AC418" si="10">SUM(AB360)-SUM(L360:AA360)</f>
        <v>0</v>
      </c>
      <c r="AD360" s="7"/>
      <c r="AE360" s="7">
        <v>424.11</v>
      </c>
    </row>
    <row r="361" ht="15.75" customHeight="1">
      <c r="A361" s="74" t="s">
        <v>1055</v>
      </c>
      <c r="B361" s="47" t="s">
        <v>1056</v>
      </c>
      <c r="C361" s="48">
        <v>45870.0</v>
      </c>
      <c r="D361" s="48">
        <v>45870.0</v>
      </c>
      <c r="E361" s="7"/>
      <c r="F361" s="7"/>
      <c r="G361" s="66"/>
      <c r="H361" s="66"/>
      <c r="I361" s="7" t="s">
        <v>30</v>
      </c>
      <c r="J361" s="7" t="s">
        <v>41</v>
      </c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>
        <v>200000.0</v>
      </c>
      <c r="AA361" s="7"/>
      <c r="AB361" s="7">
        <v>200000.0</v>
      </c>
      <c r="AC361" s="7">
        <f t="shared" si="10"/>
        <v>0</v>
      </c>
      <c r="AD361" s="7"/>
      <c r="AE361" s="7"/>
    </row>
    <row r="362" ht="15.75" customHeight="1">
      <c r="A362" s="74" t="s">
        <v>1057</v>
      </c>
      <c r="B362" s="75" t="s">
        <v>1058</v>
      </c>
      <c r="C362" s="48">
        <v>45873.0</v>
      </c>
      <c r="D362" s="48">
        <v>45873.0</v>
      </c>
      <c r="E362" s="7"/>
      <c r="F362" s="7"/>
      <c r="G362" s="66"/>
      <c r="H362" s="66" t="s">
        <v>1059</v>
      </c>
      <c r="I362" s="7" t="s">
        <v>1060</v>
      </c>
      <c r="J362" s="7" t="s">
        <v>50</v>
      </c>
      <c r="K362" s="7"/>
      <c r="L362" s="7"/>
      <c r="M362" s="7"/>
      <c r="N362" s="7"/>
      <c r="O362" s="7"/>
      <c r="P362" s="7"/>
      <c r="Q362" s="7"/>
      <c r="R362" s="7"/>
      <c r="S362" s="7"/>
      <c r="T362" s="7">
        <v>5517.72</v>
      </c>
      <c r="U362" s="7"/>
      <c r="V362" s="7"/>
      <c r="W362" s="7"/>
      <c r="X362" s="7"/>
      <c r="Y362" s="7"/>
      <c r="Z362" s="7"/>
      <c r="AA362" s="7"/>
      <c r="AB362" s="7">
        <v>5517.72</v>
      </c>
      <c r="AC362" s="7">
        <f t="shared" si="10"/>
        <v>0</v>
      </c>
      <c r="AD362" s="7"/>
      <c r="AE362" s="7"/>
    </row>
    <row r="363" ht="15.75" customHeight="1">
      <c r="A363" s="74" t="s">
        <v>1061</v>
      </c>
      <c r="B363" s="75" t="s">
        <v>1062</v>
      </c>
      <c r="C363" s="48">
        <v>45873.0</v>
      </c>
      <c r="D363" s="48">
        <v>45873.0</v>
      </c>
      <c r="E363" s="7"/>
      <c r="F363" s="7"/>
      <c r="G363" s="66"/>
      <c r="H363" s="66"/>
      <c r="I363" s="7" t="s">
        <v>1063</v>
      </c>
      <c r="J363" s="7" t="s">
        <v>331</v>
      </c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>
        <v>1853.0</v>
      </c>
      <c r="AB363" s="7">
        <v>4000.0</v>
      </c>
      <c r="AC363" s="7">
        <f t="shared" si="10"/>
        <v>2147</v>
      </c>
      <c r="AD363" s="51" t="s">
        <v>1064</v>
      </c>
      <c r="AE363" s="7"/>
    </row>
    <row r="364" ht="15.75" customHeight="1">
      <c r="A364" s="74" t="s">
        <v>1065</v>
      </c>
      <c r="B364" s="47" t="s">
        <v>1066</v>
      </c>
      <c r="C364" s="48">
        <v>45873.0</v>
      </c>
      <c r="D364" s="48">
        <v>45873.0</v>
      </c>
      <c r="E364" s="7"/>
      <c r="F364" s="7"/>
      <c r="G364" s="66"/>
      <c r="H364" s="66"/>
      <c r="I364" s="7" t="s">
        <v>598</v>
      </c>
      <c r="J364" s="7" t="s">
        <v>535</v>
      </c>
      <c r="K364" s="7"/>
      <c r="L364" s="7"/>
      <c r="M364" s="7"/>
      <c r="N364" s="7"/>
      <c r="O364" s="7"/>
      <c r="P364" s="7">
        <v>15000.0</v>
      </c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>
        <v>15000.0</v>
      </c>
      <c r="AC364" s="7">
        <f t="shared" si="10"/>
        <v>0</v>
      </c>
      <c r="AD364" s="7"/>
      <c r="AE364" s="7"/>
    </row>
    <row r="365" ht="15.75" customHeight="1">
      <c r="A365" s="74" t="s">
        <v>1067</v>
      </c>
      <c r="B365" s="47" t="s">
        <v>1068</v>
      </c>
      <c r="C365" s="48">
        <v>45873.0</v>
      </c>
      <c r="D365" s="48">
        <v>45873.0</v>
      </c>
      <c r="E365" s="7"/>
      <c r="F365" s="7"/>
      <c r="G365" s="66"/>
      <c r="H365" s="66"/>
      <c r="I365" s="7" t="s">
        <v>1069</v>
      </c>
      <c r="J365" s="7" t="s">
        <v>119</v>
      </c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>
        <v>50000.0</v>
      </c>
      <c r="X365" s="7"/>
      <c r="Y365" s="7"/>
      <c r="Z365" s="7"/>
      <c r="AA365" s="7"/>
      <c r="AB365" s="7">
        <v>50000.0</v>
      </c>
      <c r="AC365" s="7">
        <f t="shared" si="10"/>
        <v>0</v>
      </c>
      <c r="AD365" s="7"/>
      <c r="AE365" s="7"/>
    </row>
    <row r="366" ht="15.75" customHeight="1">
      <c r="A366" s="74" t="s">
        <v>1070</v>
      </c>
      <c r="B366" s="75" t="s">
        <v>1071</v>
      </c>
      <c r="C366" s="48">
        <v>45874.0</v>
      </c>
      <c r="D366" s="48">
        <v>45874.0</v>
      </c>
      <c r="E366" s="7"/>
      <c r="F366" s="7"/>
      <c r="G366" s="66"/>
      <c r="H366" s="66" t="s">
        <v>1072</v>
      </c>
      <c r="I366" s="7" t="s">
        <v>1073</v>
      </c>
      <c r="J366" s="7" t="s">
        <v>119</v>
      </c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>
        <v>5000.0</v>
      </c>
      <c r="AB366" s="7">
        <v>5000.0</v>
      </c>
      <c r="AC366" s="7">
        <f t="shared" si="10"/>
        <v>0</v>
      </c>
      <c r="AD366" s="7"/>
      <c r="AE366" s="7"/>
    </row>
    <row r="367" ht="15.75" customHeight="1">
      <c r="A367" s="74" t="s">
        <v>1074</v>
      </c>
      <c r="B367" s="47" t="s">
        <v>1075</v>
      </c>
      <c r="C367" s="48">
        <v>45874.0</v>
      </c>
      <c r="D367" s="48">
        <v>45874.0</v>
      </c>
      <c r="E367" s="7"/>
      <c r="F367" s="7"/>
      <c r="G367" s="66"/>
      <c r="H367" s="66"/>
      <c r="I367" s="7" t="s">
        <v>30</v>
      </c>
      <c r="J367" s="7" t="s">
        <v>1076</v>
      </c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>
        <v>400000.0</v>
      </c>
      <c r="AA367" s="7"/>
      <c r="AB367" s="7">
        <v>400000.0</v>
      </c>
      <c r="AC367" s="7">
        <f t="shared" si="10"/>
        <v>0</v>
      </c>
      <c r="AD367" s="7"/>
      <c r="AE367" s="7"/>
    </row>
    <row r="368" ht="15.75" customHeight="1">
      <c r="A368" s="78" t="s">
        <v>1077</v>
      </c>
      <c r="B368" s="79" t="s">
        <v>1078</v>
      </c>
      <c r="C368" s="80">
        <v>45874.0</v>
      </c>
      <c r="D368" s="80">
        <v>45874.0</v>
      </c>
      <c r="E368" s="81"/>
      <c r="F368" s="81"/>
      <c r="G368" s="60" t="s">
        <v>1079</v>
      </c>
      <c r="H368" s="60"/>
      <c r="I368" s="81" t="s">
        <v>1080</v>
      </c>
      <c r="J368" s="81" t="s">
        <v>1081</v>
      </c>
      <c r="K368" s="81"/>
      <c r="L368" s="81">
        <v>1607.14</v>
      </c>
      <c r="M368" s="81">
        <v>13392.86</v>
      </c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>
        <f t="shared" si="10"/>
        <v>-15000</v>
      </c>
      <c r="AD368" s="60" t="s">
        <v>1082</v>
      </c>
      <c r="AE368" s="7">
        <v>133.93</v>
      </c>
    </row>
    <row r="369" ht="15.75" customHeight="1">
      <c r="A369" s="74" t="s">
        <v>1083</v>
      </c>
      <c r="B369" s="75" t="s">
        <v>1084</v>
      </c>
      <c r="C369" s="48">
        <v>45922.0</v>
      </c>
      <c r="D369" s="48">
        <v>45874.0</v>
      </c>
      <c r="E369" s="48">
        <v>45882.0</v>
      </c>
      <c r="F369" s="7" t="s">
        <v>1085</v>
      </c>
      <c r="G369" s="66" t="s">
        <v>366</v>
      </c>
      <c r="H369" s="66"/>
      <c r="I369" s="7" t="s">
        <v>1086</v>
      </c>
      <c r="J369" s="7" t="s">
        <v>76</v>
      </c>
      <c r="K369" s="45" t="s">
        <v>77</v>
      </c>
      <c r="L369" s="7">
        <v>9107.14</v>
      </c>
      <c r="M369" s="7">
        <v>75892.86</v>
      </c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>
        <v>85000.0</v>
      </c>
      <c r="AC369" s="7">
        <f t="shared" si="10"/>
        <v>0</v>
      </c>
      <c r="AD369" s="7"/>
      <c r="AE369" s="7">
        <v>758.93</v>
      </c>
    </row>
    <row r="370" ht="15.75" customHeight="1">
      <c r="A370" s="74" t="s">
        <v>1087</v>
      </c>
      <c r="B370" s="75" t="s">
        <v>1088</v>
      </c>
      <c r="C370" s="48">
        <v>45881.0</v>
      </c>
      <c r="D370" s="48">
        <v>45874.0</v>
      </c>
      <c r="E370" s="7"/>
      <c r="F370" s="7"/>
      <c r="G370" s="66"/>
      <c r="H370" s="66"/>
      <c r="I370" s="7" t="s">
        <v>617</v>
      </c>
      <c r="J370" s="7" t="s">
        <v>151</v>
      </c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>
        <v>10000.0</v>
      </c>
      <c r="AB370" s="7">
        <v>10000.0</v>
      </c>
      <c r="AC370" s="7">
        <f t="shared" si="10"/>
        <v>0</v>
      </c>
      <c r="AD370" s="7"/>
      <c r="AE370" s="7"/>
    </row>
    <row r="371" ht="15.75" customHeight="1">
      <c r="A371" s="74" t="s">
        <v>1089</v>
      </c>
      <c r="B371" s="75" t="s">
        <v>1090</v>
      </c>
      <c r="C371" s="48">
        <v>45905.0</v>
      </c>
      <c r="D371" s="48">
        <v>45874.0</v>
      </c>
      <c r="E371" s="46">
        <v>45887.0</v>
      </c>
      <c r="F371" s="7" t="s">
        <v>1091</v>
      </c>
      <c r="G371" s="66" t="s">
        <v>1092</v>
      </c>
      <c r="H371" s="66"/>
      <c r="I371" s="7" t="s">
        <v>1093</v>
      </c>
      <c r="J371" s="7" t="s">
        <v>82</v>
      </c>
      <c r="K371" s="45" t="s">
        <v>83</v>
      </c>
      <c r="L371" s="7">
        <v>23142.86</v>
      </c>
      <c r="M371" s="7">
        <v>192857.14</v>
      </c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>
        <v>216000.0</v>
      </c>
      <c r="AC371" s="7">
        <f t="shared" si="10"/>
        <v>0</v>
      </c>
      <c r="AD371" s="7"/>
      <c r="AE371" s="7">
        <v>1928.57</v>
      </c>
    </row>
    <row r="372" ht="15.75" customHeight="1">
      <c r="A372" s="74" t="s">
        <v>1094</v>
      </c>
      <c r="B372" s="75" t="s">
        <v>1095</v>
      </c>
      <c r="C372" s="48">
        <v>45905.0</v>
      </c>
      <c r="D372" s="48">
        <v>45874.0</v>
      </c>
      <c r="E372" s="46">
        <v>45884.0</v>
      </c>
      <c r="F372" s="7" t="s">
        <v>1096</v>
      </c>
      <c r="G372" s="66" t="s">
        <v>1097</v>
      </c>
      <c r="H372" s="66"/>
      <c r="I372" s="7" t="s">
        <v>650</v>
      </c>
      <c r="J372" s="7" t="s">
        <v>46</v>
      </c>
      <c r="K372" s="45" t="s">
        <v>47</v>
      </c>
      <c r="L372" s="7">
        <v>723.21</v>
      </c>
      <c r="M372" s="7">
        <v>6026.79</v>
      </c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>
        <v>6750.0</v>
      </c>
      <c r="AC372" s="7">
        <f t="shared" si="10"/>
        <v>0</v>
      </c>
      <c r="AD372" s="7"/>
      <c r="AE372" s="7">
        <v>60.27</v>
      </c>
    </row>
    <row r="373" ht="15.75" customHeight="1">
      <c r="A373" s="74" t="s">
        <v>1098</v>
      </c>
      <c r="B373" s="75" t="s">
        <v>1099</v>
      </c>
      <c r="C373" s="48">
        <v>45881.0</v>
      </c>
      <c r="D373" s="48">
        <v>45874.0</v>
      </c>
      <c r="E373" s="48">
        <v>45875.0</v>
      </c>
      <c r="F373" s="7" t="s">
        <v>1100</v>
      </c>
      <c r="G373" s="66" t="s">
        <v>1101</v>
      </c>
      <c r="H373" s="66"/>
      <c r="I373" s="7" t="s">
        <v>1102</v>
      </c>
      <c r="J373" s="45" t="s">
        <v>91</v>
      </c>
      <c r="K373" s="45" t="s">
        <v>92</v>
      </c>
      <c r="L373" s="7">
        <v>12500.36</v>
      </c>
      <c r="M373" s="7">
        <v>104169.64</v>
      </c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>
        <v>116670.0</v>
      </c>
      <c r="AC373" s="7">
        <f t="shared" si="10"/>
        <v>0</v>
      </c>
      <c r="AD373" s="7"/>
      <c r="AE373" s="7">
        <v>1041.7</v>
      </c>
    </row>
    <row r="374" ht="15.75" customHeight="1">
      <c r="A374" s="74" t="s">
        <v>1103</v>
      </c>
      <c r="B374" s="75" t="s">
        <v>1104</v>
      </c>
      <c r="C374" s="48">
        <v>45883.0</v>
      </c>
      <c r="D374" s="48">
        <v>45874.0</v>
      </c>
      <c r="E374" s="48">
        <v>45876.0</v>
      </c>
      <c r="F374" s="7" t="s">
        <v>1105</v>
      </c>
      <c r="G374" s="66" t="s">
        <v>1106</v>
      </c>
      <c r="H374" s="66"/>
      <c r="I374" s="7" t="s">
        <v>1107</v>
      </c>
      <c r="J374" s="45" t="s">
        <v>91</v>
      </c>
      <c r="K374" s="45" t="s">
        <v>92</v>
      </c>
      <c r="L374" s="7">
        <v>12768.21</v>
      </c>
      <c r="M374" s="7">
        <v>106401.79</v>
      </c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>
        <v>119170.0</v>
      </c>
      <c r="AC374" s="7">
        <f t="shared" si="10"/>
        <v>0</v>
      </c>
      <c r="AD374" s="7"/>
      <c r="AE374" s="7">
        <v>1064.02</v>
      </c>
    </row>
    <row r="375" ht="15.75" customHeight="1">
      <c r="A375" s="74" t="s">
        <v>1108</v>
      </c>
      <c r="B375" s="75" t="s">
        <v>1109</v>
      </c>
      <c r="C375" s="48">
        <v>45874.0</v>
      </c>
      <c r="D375" s="48">
        <v>45874.0</v>
      </c>
      <c r="E375" s="7"/>
      <c r="F375" s="7"/>
      <c r="G375" s="66"/>
      <c r="H375" s="66" t="s">
        <v>1072</v>
      </c>
      <c r="I375" s="7" t="s">
        <v>1073</v>
      </c>
      <c r="J375" s="7" t="s">
        <v>119</v>
      </c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>
        <v>700.0</v>
      </c>
      <c r="AB375" s="7">
        <v>700.0</v>
      </c>
      <c r="AC375" s="7">
        <f t="shared" si="10"/>
        <v>0</v>
      </c>
      <c r="AD375" s="7"/>
      <c r="AE375" s="7"/>
    </row>
    <row r="376" ht="15.75" customHeight="1">
      <c r="A376" s="74" t="s">
        <v>1110</v>
      </c>
      <c r="B376" s="75" t="s">
        <v>1111</v>
      </c>
      <c r="C376" s="48">
        <v>45874.0</v>
      </c>
      <c r="D376" s="48">
        <v>45874.0</v>
      </c>
      <c r="E376" s="48">
        <v>45882.0</v>
      </c>
      <c r="F376" s="7" t="s">
        <v>1112</v>
      </c>
      <c r="G376" s="66" t="s">
        <v>1079</v>
      </c>
      <c r="H376" s="66"/>
      <c r="I376" s="7" t="s">
        <v>1080</v>
      </c>
      <c r="J376" s="7" t="s">
        <v>1081</v>
      </c>
      <c r="K376" s="7"/>
      <c r="L376" s="7">
        <v>1607.14</v>
      </c>
      <c r="M376" s="7">
        <v>13392.86</v>
      </c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>
        <v>15000.0</v>
      </c>
      <c r="AC376" s="7">
        <f t="shared" si="10"/>
        <v>0</v>
      </c>
      <c r="AD376" s="7"/>
      <c r="AE376" s="7">
        <v>133.93</v>
      </c>
    </row>
    <row r="377" ht="15.75" customHeight="1">
      <c r="A377" s="74" t="s">
        <v>1113</v>
      </c>
      <c r="B377" s="75" t="s">
        <v>1114</v>
      </c>
      <c r="C377" s="48">
        <v>45877.0</v>
      </c>
      <c r="D377" s="48">
        <v>45877.0</v>
      </c>
      <c r="E377" s="48">
        <v>45882.0</v>
      </c>
      <c r="F377" s="7" t="s">
        <v>1115</v>
      </c>
      <c r="G377" s="66" t="s">
        <v>1116</v>
      </c>
      <c r="H377" s="66"/>
      <c r="I377" s="7" t="s">
        <v>1117</v>
      </c>
      <c r="J377" s="45" t="s">
        <v>70</v>
      </c>
      <c r="K377" s="45" t="s">
        <v>71</v>
      </c>
      <c r="L377" s="7">
        <v>267.86</v>
      </c>
      <c r="M377" s="7">
        <v>2232.14</v>
      </c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>
        <v>2500.0</v>
      </c>
      <c r="AC377" s="7">
        <f t="shared" si="10"/>
        <v>0</v>
      </c>
      <c r="AD377" s="7"/>
      <c r="AE377" s="7">
        <v>22.32</v>
      </c>
    </row>
    <row r="378" ht="15.75" customHeight="1">
      <c r="A378" s="74" t="s">
        <v>1118</v>
      </c>
      <c r="B378" s="75" t="s">
        <v>1119</v>
      </c>
      <c r="C378" s="48">
        <v>45877.0</v>
      </c>
      <c r="D378" s="48">
        <v>45877.0</v>
      </c>
      <c r="E378" s="48">
        <v>45871.0</v>
      </c>
      <c r="F378" s="7" t="s">
        <v>1120</v>
      </c>
      <c r="G378" s="66"/>
      <c r="H378" s="66"/>
      <c r="I378" s="7" t="s">
        <v>1121</v>
      </c>
      <c r="J378" s="7" t="s">
        <v>947</v>
      </c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>
        <v>5875.2</v>
      </c>
      <c r="AB378" s="7">
        <v>5875.2</v>
      </c>
      <c r="AC378" s="7">
        <f t="shared" si="10"/>
        <v>0</v>
      </c>
      <c r="AD378" s="7"/>
      <c r="AE378" s="7"/>
    </row>
    <row r="379" ht="15.75" customHeight="1">
      <c r="A379" s="74" t="s">
        <v>1122</v>
      </c>
      <c r="B379" s="75" t="s">
        <v>1123</v>
      </c>
      <c r="C379" s="48">
        <v>45877.0</v>
      </c>
      <c r="D379" s="48">
        <v>45877.0</v>
      </c>
      <c r="E379" s="7"/>
      <c r="F379" s="7"/>
      <c r="G379" s="66"/>
      <c r="H379" s="66"/>
      <c r="I379" s="45" t="s">
        <v>1121</v>
      </c>
      <c r="J379" s="45" t="s">
        <v>58</v>
      </c>
      <c r="K379" s="7"/>
      <c r="L379" s="7">
        <v>32.14</v>
      </c>
      <c r="M379" s="7"/>
      <c r="N379" s="7"/>
      <c r="O379" s="7"/>
      <c r="P379" s="7"/>
      <c r="Q379" s="7"/>
      <c r="R379" s="7"/>
      <c r="S379" s="7">
        <v>267.86</v>
      </c>
      <c r="T379" s="7"/>
      <c r="U379" s="7"/>
      <c r="V379" s="7"/>
      <c r="W379" s="7"/>
      <c r="X379" s="7"/>
      <c r="Y379" s="7"/>
      <c r="Z379" s="7"/>
      <c r="AA379" s="7"/>
      <c r="AB379" s="7">
        <v>300.0</v>
      </c>
      <c r="AC379" s="7">
        <f t="shared" si="10"/>
        <v>0</v>
      </c>
      <c r="AD379" s="7"/>
      <c r="AE379" s="7"/>
    </row>
    <row r="380" ht="15.75" customHeight="1">
      <c r="A380" s="74" t="s">
        <v>1124</v>
      </c>
      <c r="B380" s="75" t="s">
        <v>1125</v>
      </c>
      <c r="C380" s="48">
        <v>45877.0</v>
      </c>
      <c r="D380" s="48">
        <v>45877.0</v>
      </c>
      <c r="E380" s="7"/>
      <c r="F380" s="7"/>
      <c r="G380" s="66"/>
      <c r="H380" s="66"/>
      <c r="I380" s="45" t="s">
        <v>1126</v>
      </c>
      <c r="J380" s="45" t="s">
        <v>22</v>
      </c>
      <c r="K380" s="7"/>
      <c r="L380" s="7">
        <v>151.09</v>
      </c>
      <c r="M380" s="7"/>
      <c r="N380" s="7"/>
      <c r="O380" s="7"/>
      <c r="P380" s="7"/>
      <c r="Q380" s="7"/>
      <c r="R380" s="7">
        <v>1259.06</v>
      </c>
      <c r="S380" s="7"/>
      <c r="T380" s="7"/>
      <c r="U380" s="7"/>
      <c r="V380" s="7"/>
      <c r="W380" s="7"/>
      <c r="X380" s="7"/>
      <c r="Y380" s="7"/>
      <c r="Z380" s="7"/>
      <c r="AA380" s="7"/>
      <c r="AB380" s="7">
        <v>1410.15</v>
      </c>
      <c r="AC380" s="7">
        <f t="shared" si="10"/>
        <v>0</v>
      </c>
      <c r="AD380" s="7"/>
      <c r="AE380" s="7"/>
    </row>
    <row r="381" ht="15.75" customHeight="1">
      <c r="A381" s="74" t="s">
        <v>1127</v>
      </c>
      <c r="B381" s="75" t="s">
        <v>1128</v>
      </c>
      <c r="C381" s="48">
        <v>45877.0</v>
      </c>
      <c r="D381" s="48">
        <v>45877.0</v>
      </c>
      <c r="E381" s="7"/>
      <c r="F381" s="7"/>
      <c r="G381" s="66"/>
      <c r="H381" s="66"/>
      <c r="I381" s="45" t="s">
        <v>1126</v>
      </c>
      <c r="J381" s="45" t="s">
        <v>22</v>
      </c>
      <c r="K381" s="7"/>
      <c r="L381" s="7">
        <v>811.09</v>
      </c>
      <c r="M381" s="7"/>
      <c r="N381" s="7"/>
      <c r="O381" s="7"/>
      <c r="P381" s="7"/>
      <c r="Q381" s="7"/>
      <c r="R381" s="7">
        <v>6759.06</v>
      </c>
      <c r="S381" s="7"/>
      <c r="T381" s="7"/>
      <c r="U381" s="7"/>
      <c r="V381" s="7"/>
      <c r="W381" s="7"/>
      <c r="X381" s="7"/>
      <c r="Y381" s="7"/>
      <c r="Z381" s="7"/>
      <c r="AA381" s="7"/>
      <c r="AB381" s="7">
        <v>7570.15</v>
      </c>
      <c r="AC381" s="7">
        <f t="shared" si="10"/>
        <v>0</v>
      </c>
      <c r="AD381" s="7"/>
      <c r="AE381" s="7"/>
    </row>
    <row r="382" ht="15.75" customHeight="1">
      <c r="A382" s="74" t="s">
        <v>1129</v>
      </c>
      <c r="B382" s="47" t="s">
        <v>1130</v>
      </c>
      <c r="C382" s="48">
        <v>45877.0</v>
      </c>
      <c r="D382" s="48">
        <v>45877.0</v>
      </c>
      <c r="E382" s="7"/>
      <c r="F382" s="7"/>
      <c r="G382" s="66"/>
      <c r="H382" s="66"/>
      <c r="I382" s="7" t="s">
        <v>598</v>
      </c>
      <c r="J382" s="7" t="s">
        <v>1131</v>
      </c>
      <c r="K382" s="7"/>
      <c r="L382" s="7"/>
      <c r="M382" s="7"/>
      <c r="N382" s="7"/>
      <c r="O382" s="7"/>
      <c r="P382" s="7">
        <v>10000.0</v>
      </c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>
        <v>10000.0</v>
      </c>
      <c r="AC382" s="7">
        <f t="shared" si="10"/>
        <v>0</v>
      </c>
      <c r="AD382" s="7"/>
      <c r="AE382" s="7"/>
    </row>
    <row r="383" ht="15.75" customHeight="1">
      <c r="A383" s="74" t="s">
        <v>1132</v>
      </c>
      <c r="B383" s="47" t="s">
        <v>1133</v>
      </c>
      <c r="C383" s="48">
        <v>45880.0</v>
      </c>
      <c r="D383" s="48">
        <v>45880.0</v>
      </c>
      <c r="E383" s="7"/>
      <c r="F383" s="7"/>
      <c r="G383" s="66"/>
      <c r="H383" s="66"/>
      <c r="I383" s="7" t="s">
        <v>30</v>
      </c>
      <c r="J383" s="7" t="s">
        <v>41</v>
      </c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>
        <v>400000.0</v>
      </c>
      <c r="AA383" s="7"/>
      <c r="AB383" s="7">
        <v>400000.0</v>
      </c>
      <c r="AC383" s="7">
        <f t="shared" si="10"/>
        <v>0</v>
      </c>
      <c r="AD383" s="7"/>
      <c r="AE383" s="7"/>
    </row>
    <row r="384" ht="15.75" customHeight="1">
      <c r="A384" s="74" t="s">
        <v>1134</v>
      </c>
      <c r="B384" s="75" t="s">
        <v>1135</v>
      </c>
      <c r="C384" s="48">
        <v>45882.0</v>
      </c>
      <c r="D384" s="48">
        <v>45882.0</v>
      </c>
      <c r="E384" s="7"/>
      <c r="F384" s="7"/>
      <c r="G384" s="66"/>
      <c r="H384" s="66"/>
      <c r="I384" s="7" t="s">
        <v>1136</v>
      </c>
      <c r="J384" s="7" t="s">
        <v>103</v>
      </c>
      <c r="K384" s="7"/>
      <c r="L384" s="7">
        <v>160.61</v>
      </c>
      <c r="M384" s="7"/>
      <c r="N384" s="7"/>
      <c r="O384" s="7"/>
      <c r="P384" s="7"/>
      <c r="Q384" s="7"/>
      <c r="R384" s="7"/>
      <c r="S384" s="7">
        <v>1338.39</v>
      </c>
      <c r="T384" s="7"/>
      <c r="U384" s="7"/>
      <c r="V384" s="7"/>
      <c r="W384" s="7"/>
      <c r="X384" s="7"/>
      <c r="Y384" s="7"/>
      <c r="Z384" s="7"/>
      <c r="AA384" s="7"/>
      <c r="AB384" s="7">
        <v>1499.0</v>
      </c>
      <c r="AC384" s="7">
        <f t="shared" si="10"/>
        <v>0</v>
      </c>
      <c r="AD384" s="7"/>
      <c r="AE384" s="7"/>
    </row>
    <row r="385" ht="15.75" customHeight="1">
      <c r="A385" s="74" t="s">
        <v>1137</v>
      </c>
      <c r="B385" s="75" t="s">
        <v>1138</v>
      </c>
      <c r="C385" s="48">
        <v>45882.0</v>
      </c>
      <c r="D385" s="48">
        <v>45882.0</v>
      </c>
      <c r="E385" s="7"/>
      <c r="F385" s="7"/>
      <c r="G385" s="66"/>
      <c r="H385" s="66"/>
      <c r="I385" s="7" t="s">
        <v>1139</v>
      </c>
      <c r="J385" s="7" t="s">
        <v>103</v>
      </c>
      <c r="K385" s="7"/>
      <c r="L385" s="7">
        <v>107.04</v>
      </c>
      <c r="M385" s="7"/>
      <c r="N385" s="7"/>
      <c r="O385" s="7"/>
      <c r="P385" s="7"/>
      <c r="Q385" s="7"/>
      <c r="R385" s="7"/>
      <c r="S385" s="7">
        <v>891.96</v>
      </c>
      <c r="T385" s="7"/>
      <c r="U385" s="7"/>
      <c r="V385" s="7"/>
      <c r="W385" s="7"/>
      <c r="X385" s="7"/>
      <c r="Y385" s="7"/>
      <c r="Z385" s="7"/>
      <c r="AA385" s="7"/>
      <c r="AB385" s="7">
        <v>999.0</v>
      </c>
      <c r="AC385" s="7">
        <f t="shared" si="10"/>
        <v>0</v>
      </c>
      <c r="AD385" s="7"/>
      <c r="AE385" s="7"/>
    </row>
    <row r="386" ht="15.75" customHeight="1">
      <c r="A386" s="74" t="s">
        <v>1140</v>
      </c>
      <c r="B386" s="75" t="s">
        <v>1141</v>
      </c>
      <c r="C386" s="48">
        <v>45884.0</v>
      </c>
      <c r="D386" s="48">
        <v>45882.0</v>
      </c>
      <c r="E386" s="7"/>
      <c r="F386" s="7"/>
      <c r="G386" s="66"/>
      <c r="H386" s="66"/>
      <c r="I386" s="7" t="s">
        <v>94</v>
      </c>
      <c r="J386" s="7" t="s">
        <v>95</v>
      </c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>
        <v>25600.0</v>
      </c>
      <c r="AB386" s="7">
        <v>25600.0</v>
      </c>
      <c r="AC386" s="7">
        <f t="shared" si="10"/>
        <v>0</v>
      </c>
      <c r="AD386" s="7"/>
      <c r="AE386" s="7"/>
    </row>
    <row r="387" ht="15.75" customHeight="1">
      <c r="A387" s="74" t="s">
        <v>1142</v>
      </c>
      <c r="B387" s="75" t="s">
        <v>1143</v>
      </c>
      <c r="C387" s="48">
        <v>45884.0</v>
      </c>
      <c r="D387" s="48">
        <v>45882.0</v>
      </c>
      <c r="E387" s="7"/>
      <c r="F387" s="7"/>
      <c r="G387" s="66"/>
      <c r="H387" s="66"/>
      <c r="I387" s="7" t="s">
        <v>94</v>
      </c>
      <c r="J387" s="7" t="s">
        <v>97</v>
      </c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>
        <v>10000.0</v>
      </c>
      <c r="AB387" s="7">
        <v>10000.0</v>
      </c>
      <c r="AC387" s="7">
        <f t="shared" si="10"/>
        <v>0</v>
      </c>
      <c r="AD387" s="7"/>
      <c r="AE387" s="7"/>
    </row>
    <row r="388" ht="15.75" customHeight="1">
      <c r="A388" s="74" t="s">
        <v>1144</v>
      </c>
      <c r="B388" s="75" t="s">
        <v>1145</v>
      </c>
      <c r="C388" s="48">
        <v>45882.0</v>
      </c>
      <c r="D388" s="48">
        <v>45882.0</v>
      </c>
      <c r="E388" s="7"/>
      <c r="F388" s="7"/>
      <c r="G388" s="66"/>
      <c r="H388" s="66"/>
      <c r="I388" s="45" t="s">
        <v>1146</v>
      </c>
      <c r="J388" s="7" t="s">
        <v>1147</v>
      </c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>
        <v>9952.09</v>
      </c>
      <c r="Y388" s="7"/>
      <c r="Z388" s="7"/>
      <c r="AA388" s="7"/>
      <c r="AB388" s="7">
        <v>9952.09</v>
      </c>
      <c r="AC388" s="7">
        <f t="shared" si="10"/>
        <v>0</v>
      </c>
      <c r="AD388" s="7"/>
      <c r="AE388" s="7"/>
    </row>
    <row r="389" ht="15.75" customHeight="1">
      <c r="A389" s="74" t="s">
        <v>1148</v>
      </c>
      <c r="B389" s="75" t="s">
        <v>1149</v>
      </c>
      <c r="C389" s="48">
        <v>45882.0</v>
      </c>
      <c r="D389" s="48">
        <v>45882.0</v>
      </c>
      <c r="E389" s="7"/>
      <c r="F389" s="7"/>
      <c r="G389" s="66"/>
      <c r="H389" s="66" t="s">
        <v>1150</v>
      </c>
      <c r="I389" s="7" t="s">
        <v>1060</v>
      </c>
      <c r="J389" s="7" t="s">
        <v>50</v>
      </c>
      <c r="K389" s="7"/>
      <c r="L389" s="7"/>
      <c r="M389" s="7"/>
      <c r="N389" s="7"/>
      <c r="O389" s="7"/>
      <c r="P389" s="7"/>
      <c r="Q389" s="7"/>
      <c r="R389" s="7"/>
      <c r="S389" s="7"/>
      <c r="T389" s="7">
        <v>8806.13</v>
      </c>
      <c r="U389" s="7"/>
      <c r="V389" s="7"/>
      <c r="W389" s="7"/>
      <c r="X389" s="7"/>
      <c r="Y389" s="7"/>
      <c r="Z389" s="7"/>
      <c r="AA389" s="7"/>
      <c r="AB389" s="7">
        <v>8806.13</v>
      </c>
      <c r="AC389" s="7">
        <f t="shared" si="10"/>
        <v>0</v>
      </c>
      <c r="AD389" s="7"/>
      <c r="AE389" s="7"/>
    </row>
    <row r="390" ht="15.75" customHeight="1">
      <c r="A390" s="74" t="s">
        <v>1151</v>
      </c>
      <c r="B390" s="75" t="s">
        <v>1152</v>
      </c>
      <c r="C390" s="48">
        <v>45882.0</v>
      </c>
      <c r="D390" s="48">
        <v>45882.0</v>
      </c>
      <c r="E390" s="7"/>
      <c r="F390" s="7"/>
      <c r="G390" s="66"/>
      <c r="H390" s="66" t="s">
        <v>1153</v>
      </c>
      <c r="I390" s="7" t="s">
        <v>281</v>
      </c>
      <c r="J390" s="7" t="s">
        <v>50</v>
      </c>
      <c r="K390" s="7"/>
      <c r="L390" s="7"/>
      <c r="M390" s="7"/>
      <c r="N390" s="7"/>
      <c r="O390" s="7"/>
      <c r="P390" s="7"/>
      <c r="Q390" s="7"/>
      <c r="R390" s="7"/>
      <c r="S390" s="7"/>
      <c r="T390" s="7">
        <v>13025.0</v>
      </c>
      <c r="U390" s="7"/>
      <c r="V390" s="7"/>
      <c r="W390" s="7"/>
      <c r="X390" s="7"/>
      <c r="Y390" s="7"/>
      <c r="Z390" s="7"/>
      <c r="AA390" s="7"/>
      <c r="AB390" s="7">
        <v>13025.0</v>
      </c>
      <c r="AC390" s="7">
        <f t="shared" si="10"/>
        <v>0</v>
      </c>
      <c r="AD390" s="7"/>
      <c r="AE390" s="7"/>
    </row>
    <row r="391" ht="15.75" customHeight="1">
      <c r="A391" s="74" t="s">
        <v>1154</v>
      </c>
      <c r="B391" s="75" t="s">
        <v>1155</v>
      </c>
      <c r="C391" s="48">
        <v>45929.0</v>
      </c>
      <c r="D391" s="48">
        <v>45882.0</v>
      </c>
      <c r="E391" s="48">
        <v>45883.0</v>
      </c>
      <c r="F391" s="7" t="s">
        <v>1156</v>
      </c>
      <c r="G391" s="66" t="s">
        <v>1157</v>
      </c>
      <c r="H391" s="66"/>
      <c r="I391" s="7" t="s">
        <v>1158</v>
      </c>
      <c r="J391" s="7" t="s">
        <v>76</v>
      </c>
      <c r="K391" s="45" t="s">
        <v>77</v>
      </c>
      <c r="L391" s="7">
        <v>3107.14</v>
      </c>
      <c r="M391" s="7">
        <v>25892.86</v>
      </c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>
        <v>29000.0</v>
      </c>
      <c r="AC391" s="7">
        <f t="shared" si="10"/>
        <v>0</v>
      </c>
      <c r="AD391" s="7"/>
      <c r="AE391" s="7">
        <v>258.93</v>
      </c>
    </row>
    <row r="392" ht="15.75" customHeight="1">
      <c r="A392" s="74" t="s">
        <v>1159</v>
      </c>
      <c r="B392" s="47" t="s">
        <v>1160</v>
      </c>
      <c r="C392" s="48">
        <v>45882.0</v>
      </c>
      <c r="D392" s="48">
        <v>45882.0</v>
      </c>
      <c r="E392" s="7"/>
      <c r="F392" s="7"/>
      <c r="G392" s="66"/>
      <c r="H392" s="66" t="s">
        <v>1161</v>
      </c>
      <c r="I392" s="7" t="s">
        <v>171</v>
      </c>
      <c r="J392" s="7" t="s">
        <v>119</v>
      </c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>
        <v>25000.0</v>
      </c>
      <c r="AB392" s="7">
        <v>22290.72</v>
      </c>
      <c r="AC392" s="7">
        <f t="shared" si="10"/>
        <v>-2709.28</v>
      </c>
      <c r="AD392" s="51" t="s">
        <v>1162</v>
      </c>
      <c r="AE392" s="7"/>
    </row>
    <row r="393" ht="15.75" customHeight="1">
      <c r="A393" s="74" t="s">
        <v>1163</v>
      </c>
      <c r="B393" s="47" t="s">
        <v>1164</v>
      </c>
      <c r="C393" s="48">
        <v>45887.0</v>
      </c>
      <c r="D393" s="48">
        <v>45882.0</v>
      </c>
      <c r="E393" s="7"/>
      <c r="F393" s="7" t="s">
        <v>1165</v>
      </c>
      <c r="G393" s="66"/>
      <c r="H393" s="66"/>
      <c r="I393" s="7" t="s">
        <v>1166</v>
      </c>
      <c r="J393" s="7" t="s">
        <v>609</v>
      </c>
      <c r="K393" s="7"/>
      <c r="L393" s="7"/>
      <c r="M393" s="7"/>
      <c r="N393" s="7">
        <v>39725.0</v>
      </c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>
        <v>39725.0</v>
      </c>
      <c r="AC393" s="7">
        <f t="shared" si="10"/>
        <v>0</v>
      </c>
      <c r="AD393" s="7"/>
      <c r="AE393" s="7"/>
    </row>
    <row r="394" ht="15.75" customHeight="1">
      <c r="A394" s="74" t="s">
        <v>1167</v>
      </c>
      <c r="B394" s="47" t="s">
        <v>1168</v>
      </c>
      <c r="C394" s="48">
        <v>45882.0</v>
      </c>
      <c r="D394" s="48">
        <v>45882.0</v>
      </c>
      <c r="E394" s="7"/>
      <c r="F394" s="7"/>
      <c r="G394" s="66"/>
      <c r="H394" s="66"/>
      <c r="I394" s="7" t="s">
        <v>30</v>
      </c>
      <c r="J394" s="7" t="s">
        <v>41</v>
      </c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>
        <v>100000.0</v>
      </c>
      <c r="AA394" s="7"/>
      <c r="AB394" s="7">
        <v>100000.0</v>
      </c>
      <c r="AC394" s="7">
        <f t="shared" si="10"/>
        <v>0</v>
      </c>
      <c r="AD394" s="7"/>
      <c r="AE394" s="7"/>
    </row>
    <row r="395" ht="15.75" customHeight="1">
      <c r="A395" s="74" t="s">
        <v>1169</v>
      </c>
      <c r="B395" s="75" t="s">
        <v>1170</v>
      </c>
      <c r="C395" s="48">
        <v>45884.0</v>
      </c>
      <c r="D395" s="48">
        <v>45882.0</v>
      </c>
      <c r="E395" s="7"/>
      <c r="F395" s="7"/>
      <c r="G395" s="66"/>
      <c r="H395" s="66"/>
      <c r="I395" s="7" t="s">
        <v>1171</v>
      </c>
      <c r="J395" s="7" t="s">
        <v>1172</v>
      </c>
      <c r="K395" s="7"/>
      <c r="L395" s="7"/>
      <c r="M395" s="7"/>
      <c r="N395" s="7"/>
      <c r="O395" s="7">
        <v>26875.0</v>
      </c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>
        <v>26875.0</v>
      </c>
      <c r="AC395" s="7">
        <f t="shared" si="10"/>
        <v>0</v>
      </c>
      <c r="AD395" s="7"/>
      <c r="AE395" s="7"/>
    </row>
    <row r="396" ht="15.75" customHeight="1">
      <c r="A396" s="74" t="s">
        <v>1173</v>
      </c>
      <c r="B396" s="75" t="s">
        <v>1174</v>
      </c>
      <c r="C396" s="48">
        <v>45915.0</v>
      </c>
      <c r="D396" s="48">
        <v>45882.0</v>
      </c>
      <c r="E396" s="7"/>
      <c r="F396" s="7"/>
      <c r="G396" s="66"/>
      <c r="H396" s="66"/>
      <c r="I396" s="7" t="s">
        <v>1175</v>
      </c>
      <c r="J396" s="7" t="s">
        <v>1176</v>
      </c>
      <c r="K396" s="7"/>
      <c r="L396" s="7"/>
      <c r="M396" s="7"/>
      <c r="N396" s="7"/>
      <c r="O396" s="7">
        <v>26875.0</v>
      </c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>
        <v>26875.0</v>
      </c>
      <c r="AC396" s="7">
        <f t="shared" si="10"/>
        <v>0</v>
      </c>
      <c r="AD396" s="7"/>
      <c r="AE396" s="7"/>
    </row>
    <row r="397" ht="15.75" customHeight="1">
      <c r="A397" s="74" t="s">
        <v>1177</v>
      </c>
      <c r="B397" s="75" t="s">
        <v>1178</v>
      </c>
      <c r="C397" s="48">
        <v>45945.0</v>
      </c>
      <c r="D397" s="48">
        <v>45882.0</v>
      </c>
      <c r="E397" s="7"/>
      <c r="F397" s="7"/>
      <c r="G397" s="66"/>
      <c r="H397" s="66"/>
      <c r="I397" s="7" t="s">
        <v>1179</v>
      </c>
      <c r="J397" s="7" t="s">
        <v>1176</v>
      </c>
      <c r="K397" s="7"/>
      <c r="L397" s="7"/>
      <c r="M397" s="7"/>
      <c r="N397" s="7"/>
      <c r="O397" s="7">
        <v>26875.0</v>
      </c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>
        <v>26875.0</v>
      </c>
      <c r="AC397" s="7">
        <f t="shared" si="10"/>
        <v>0</v>
      </c>
      <c r="AD397" s="7"/>
      <c r="AE397" s="7"/>
    </row>
    <row r="398" ht="15.75" customHeight="1">
      <c r="A398" s="74" t="s">
        <v>1180</v>
      </c>
      <c r="B398" s="75" t="s">
        <v>1181</v>
      </c>
      <c r="C398" s="48">
        <v>45976.0</v>
      </c>
      <c r="D398" s="48">
        <v>45882.0</v>
      </c>
      <c r="E398" s="7"/>
      <c r="F398" s="7"/>
      <c r="G398" s="66"/>
      <c r="H398" s="66"/>
      <c r="I398" s="7" t="s">
        <v>1182</v>
      </c>
      <c r="J398" s="7" t="s">
        <v>1176</v>
      </c>
      <c r="K398" s="7"/>
      <c r="L398" s="7"/>
      <c r="M398" s="7"/>
      <c r="N398" s="7"/>
      <c r="O398" s="7">
        <v>26875.0</v>
      </c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>
        <v>26875.0</v>
      </c>
      <c r="AC398" s="7">
        <f t="shared" si="10"/>
        <v>0</v>
      </c>
      <c r="AD398" s="7"/>
      <c r="AE398" s="7"/>
    </row>
    <row r="399" ht="15.75" customHeight="1">
      <c r="A399" s="74" t="s">
        <v>1183</v>
      </c>
      <c r="B399" s="75" t="s">
        <v>1184</v>
      </c>
      <c r="C399" s="48">
        <v>46006.0</v>
      </c>
      <c r="D399" s="48">
        <v>45882.0</v>
      </c>
      <c r="E399" s="7"/>
      <c r="F399" s="7"/>
      <c r="G399" s="66"/>
      <c r="H399" s="66"/>
      <c r="I399" s="7" t="s">
        <v>1185</v>
      </c>
      <c r="J399" s="7" t="s">
        <v>1176</v>
      </c>
      <c r="K399" s="7"/>
      <c r="L399" s="7"/>
      <c r="M399" s="7"/>
      <c r="N399" s="7"/>
      <c r="O399" s="7">
        <v>26875.0</v>
      </c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>
        <v>26875.0</v>
      </c>
      <c r="AC399" s="7">
        <f t="shared" si="10"/>
        <v>0</v>
      </c>
      <c r="AD399" s="7"/>
      <c r="AE399" s="7"/>
    </row>
    <row r="400" ht="15.75" customHeight="1">
      <c r="A400" s="74" t="s">
        <v>1186</v>
      </c>
      <c r="B400" s="75" t="s">
        <v>1187</v>
      </c>
      <c r="C400" s="48">
        <v>46037.0</v>
      </c>
      <c r="D400" s="48">
        <v>45882.0</v>
      </c>
      <c r="E400" s="7"/>
      <c r="F400" s="7"/>
      <c r="G400" s="66"/>
      <c r="H400" s="66"/>
      <c r="I400" s="7" t="s">
        <v>1188</v>
      </c>
      <c r="J400" s="7" t="s">
        <v>1176</v>
      </c>
      <c r="K400" s="7"/>
      <c r="L400" s="7"/>
      <c r="M400" s="7"/>
      <c r="N400" s="7"/>
      <c r="O400" s="7">
        <v>26875.0</v>
      </c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>
        <v>26875.0</v>
      </c>
      <c r="AC400" s="7">
        <f t="shared" si="10"/>
        <v>0</v>
      </c>
      <c r="AD400" s="7"/>
      <c r="AE400" s="7"/>
    </row>
    <row r="401" ht="15.75" customHeight="1">
      <c r="A401" s="74" t="s">
        <v>1189</v>
      </c>
      <c r="B401" s="75" t="s">
        <v>1190</v>
      </c>
      <c r="C401" s="48">
        <v>46068.0</v>
      </c>
      <c r="D401" s="48">
        <v>45882.0</v>
      </c>
      <c r="E401" s="7"/>
      <c r="F401" s="7"/>
      <c r="G401" s="66"/>
      <c r="H401" s="66"/>
      <c r="I401" s="7" t="s">
        <v>1191</v>
      </c>
      <c r="J401" s="7" t="s">
        <v>1176</v>
      </c>
      <c r="K401" s="7"/>
      <c r="L401" s="7"/>
      <c r="M401" s="7"/>
      <c r="N401" s="7"/>
      <c r="O401" s="7">
        <v>26875.0</v>
      </c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>
        <v>26875.0</v>
      </c>
      <c r="AC401" s="7">
        <f t="shared" si="10"/>
        <v>0</v>
      </c>
      <c r="AD401" s="7"/>
      <c r="AE401" s="7"/>
    </row>
    <row r="402" ht="15.75" customHeight="1">
      <c r="A402" s="74" t="s">
        <v>1192</v>
      </c>
      <c r="B402" s="75" t="s">
        <v>1193</v>
      </c>
      <c r="C402" s="48">
        <v>46096.0</v>
      </c>
      <c r="D402" s="48">
        <v>45882.0</v>
      </c>
      <c r="E402" s="7"/>
      <c r="F402" s="7"/>
      <c r="G402" s="66"/>
      <c r="H402" s="66"/>
      <c r="I402" s="7" t="s">
        <v>1194</v>
      </c>
      <c r="J402" s="7" t="s">
        <v>1176</v>
      </c>
      <c r="K402" s="7"/>
      <c r="L402" s="7"/>
      <c r="M402" s="7"/>
      <c r="N402" s="7"/>
      <c r="O402" s="7">
        <v>26875.0</v>
      </c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>
        <v>26875.0</v>
      </c>
      <c r="AC402" s="7">
        <f t="shared" si="10"/>
        <v>0</v>
      </c>
      <c r="AD402" s="7"/>
      <c r="AE402" s="7"/>
    </row>
    <row r="403" ht="15.75" customHeight="1">
      <c r="A403" s="74" t="s">
        <v>1195</v>
      </c>
      <c r="B403" s="75" t="s">
        <v>1196</v>
      </c>
      <c r="C403" s="48">
        <v>46127.0</v>
      </c>
      <c r="D403" s="48">
        <v>45882.0</v>
      </c>
      <c r="E403" s="7"/>
      <c r="F403" s="7"/>
      <c r="G403" s="66"/>
      <c r="H403" s="66"/>
      <c r="I403" s="7" t="s">
        <v>1197</v>
      </c>
      <c r="J403" s="7" t="s">
        <v>1176</v>
      </c>
      <c r="K403" s="7"/>
      <c r="L403" s="7"/>
      <c r="M403" s="7"/>
      <c r="N403" s="7"/>
      <c r="O403" s="7">
        <v>26875.0</v>
      </c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>
        <v>26875.0</v>
      </c>
      <c r="AC403" s="7">
        <f t="shared" si="10"/>
        <v>0</v>
      </c>
      <c r="AD403" s="7"/>
      <c r="AE403" s="7"/>
    </row>
    <row r="404" ht="15.75" customHeight="1">
      <c r="A404" s="74" t="s">
        <v>1198</v>
      </c>
      <c r="B404" s="75" t="s">
        <v>1199</v>
      </c>
      <c r="C404" s="48">
        <v>46157.0</v>
      </c>
      <c r="D404" s="48">
        <v>45882.0</v>
      </c>
      <c r="E404" s="7"/>
      <c r="F404" s="7"/>
      <c r="G404" s="66"/>
      <c r="H404" s="66"/>
      <c r="I404" s="7" t="s">
        <v>1200</v>
      </c>
      <c r="J404" s="7" t="s">
        <v>1176</v>
      </c>
      <c r="K404" s="7"/>
      <c r="L404" s="7"/>
      <c r="M404" s="7"/>
      <c r="N404" s="7"/>
      <c r="O404" s="7">
        <v>26875.0</v>
      </c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>
        <v>26875.0</v>
      </c>
      <c r="AC404" s="7">
        <f t="shared" si="10"/>
        <v>0</v>
      </c>
      <c r="AD404" s="7"/>
      <c r="AE404" s="7"/>
    </row>
    <row r="405" ht="15.75" customHeight="1">
      <c r="A405" s="74" t="s">
        <v>1201</v>
      </c>
      <c r="B405" s="75" t="s">
        <v>1202</v>
      </c>
      <c r="C405" s="48">
        <v>46188.0</v>
      </c>
      <c r="D405" s="48">
        <v>45882.0</v>
      </c>
      <c r="E405" s="7"/>
      <c r="F405" s="7"/>
      <c r="G405" s="66"/>
      <c r="H405" s="66"/>
      <c r="I405" s="7" t="s">
        <v>1203</v>
      </c>
      <c r="J405" s="7" t="s">
        <v>1176</v>
      </c>
      <c r="K405" s="7"/>
      <c r="L405" s="7"/>
      <c r="M405" s="7"/>
      <c r="N405" s="7"/>
      <c r="O405" s="7">
        <v>26875.0</v>
      </c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>
        <v>26875.0</v>
      </c>
      <c r="AC405" s="7">
        <f t="shared" si="10"/>
        <v>0</v>
      </c>
      <c r="AD405" s="7"/>
      <c r="AE405" s="7"/>
    </row>
    <row r="406" ht="15.75" customHeight="1">
      <c r="A406" s="74" t="s">
        <v>1204</v>
      </c>
      <c r="B406" s="75" t="s">
        <v>1205</v>
      </c>
      <c r="C406" s="48">
        <v>46218.0</v>
      </c>
      <c r="D406" s="48">
        <v>45882.0</v>
      </c>
      <c r="E406" s="7"/>
      <c r="F406" s="7"/>
      <c r="G406" s="66"/>
      <c r="H406" s="66"/>
      <c r="I406" s="7" t="s">
        <v>1206</v>
      </c>
      <c r="J406" s="7" t="s">
        <v>1176</v>
      </c>
      <c r="K406" s="7"/>
      <c r="L406" s="7"/>
      <c r="M406" s="7"/>
      <c r="N406" s="7"/>
      <c r="O406" s="7">
        <v>26875.0</v>
      </c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>
        <v>26875.0</v>
      </c>
      <c r="AC406" s="7">
        <f t="shared" si="10"/>
        <v>0</v>
      </c>
      <c r="AD406" s="7"/>
      <c r="AE406" s="7"/>
    </row>
    <row r="407" ht="15.75" customHeight="1">
      <c r="A407" s="74" t="s">
        <v>1207</v>
      </c>
      <c r="B407" s="75" t="s">
        <v>1208</v>
      </c>
      <c r="C407" s="48">
        <v>45883.0</v>
      </c>
      <c r="D407" s="48">
        <v>45882.0</v>
      </c>
      <c r="E407" s="46">
        <v>45887.0</v>
      </c>
      <c r="F407" s="7" t="s">
        <v>1209</v>
      </c>
      <c r="G407" s="66"/>
      <c r="H407" s="66"/>
      <c r="I407" s="7" t="s">
        <v>495</v>
      </c>
      <c r="J407" s="7" t="s">
        <v>1210</v>
      </c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>
        <v>1350.0</v>
      </c>
      <c r="AB407" s="7">
        <v>1350.0</v>
      </c>
      <c r="AC407" s="7">
        <f t="shared" si="10"/>
        <v>0</v>
      </c>
      <c r="AD407" s="7"/>
      <c r="AE407" s="7"/>
    </row>
    <row r="408" ht="15.75" customHeight="1">
      <c r="A408" s="74" t="s">
        <v>1211</v>
      </c>
      <c r="B408" s="75" t="s">
        <v>1212</v>
      </c>
      <c r="C408" s="48">
        <v>45888.0</v>
      </c>
      <c r="D408" s="48">
        <v>45888.0</v>
      </c>
      <c r="E408" s="7"/>
      <c r="F408" s="7"/>
      <c r="G408" s="66"/>
      <c r="H408" s="66"/>
      <c r="I408" s="7" t="s">
        <v>144</v>
      </c>
      <c r="J408" s="7" t="s">
        <v>50</v>
      </c>
      <c r="K408" s="7"/>
      <c r="L408" s="7">
        <v>1387.24</v>
      </c>
      <c r="M408" s="7"/>
      <c r="N408" s="7"/>
      <c r="O408" s="7"/>
      <c r="P408" s="7"/>
      <c r="Q408" s="7"/>
      <c r="R408" s="7"/>
      <c r="S408" s="7">
        <v>11560.31</v>
      </c>
      <c r="T408" s="7"/>
      <c r="U408" s="7"/>
      <c r="V408" s="7"/>
      <c r="W408" s="7"/>
      <c r="X408" s="7"/>
      <c r="Y408" s="7"/>
      <c r="Z408" s="7"/>
      <c r="AA408" s="7"/>
      <c r="AB408" s="7">
        <v>12947.55</v>
      </c>
      <c r="AC408" s="7">
        <f t="shared" si="10"/>
        <v>0</v>
      </c>
      <c r="AD408" s="7"/>
      <c r="AE408" s="7"/>
    </row>
    <row r="409" ht="15.75" customHeight="1">
      <c r="A409" s="74" t="s">
        <v>1213</v>
      </c>
      <c r="B409" s="47" t="s">
        <v>1214</v>
      </c>
      <c r="C409" s="48">
        <v>45888.0</v>
      </c>
      <c r="D409" s="48">
        <v>45888.0</v>
      </c>
      <c r="E409" s="7"/>
      <c r="F409" s="7"/>
      <c r="G409" s="66"/>
      <c r="H409" s="66"/>
      <c r="I409" s="7" t="s">
        <v>30</v>
      </c>
      <c r="J409" s="7" t="s">
        <v>1215</v>
      </c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>
        <v>300000.0</v>
      </c>
      <c r="AA409" s="7"/>
      <c r="AB409" s="7">
        <v>300000.0</v>
      </c>
      <c r="AC409" s="7">
        <f t="shared" si="10"/>
        <v>0</v>
      </c>
      <c r="AD409" s="7"/>
      <c r="AE409" s="7"/>
    </row>
    <row r="410" ht="15.75" customHeight="1">
      <c r="A410" s="74" t="s">
        <v>1216</v>
      </c>
      <c r="B410" s="47" t="s">
        <v>1217</v>
      </c>
      <c r="C410" s="48">
        <v>45891.0</v>
      </c>
      <c r="D410" s="48">
        <v>45891.0</v>
      </c>
      <c r="E410" s="7"/>
      <c r="F410" s="7"/>
      <c r="G410" s="66"/>
      <c r="H410" s="66"/>
      <c r="I410" s="7" t="s">
        <v>1218</v>
      </c>
      <c r="J410" s="7" t="s">
        <v>119</v>
      </c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>
        <v>18932.56</v>
      </c>
      <c r="X410" s="7"/>
      <c r="Y410" s="7"/>
      <c r="Z410" s="7"/>
      <c r="AA410" s="7"/>
      <c r="AB410" s="7">
        <v>18932.56</v>
      </c>
      <c r="AC410" s="7">
        <f t="shared" si="10"/>
        <v>0</v>
      </c>
      <c r="AD410" s="7"/>
      <c r="AE410" s="7"/>
    </row>
    <row r="411" ht="15.75" customHeight="1">
      <c r="A411" s="74" t="s">
        <v>1219</v>
      </c>
      <c r="B411" s="75" t="s">
        <v>1220</v>
      </c>
      <c r="C411" s="48">
        <v>45891.0</v>
      </c>
      <c r="D411" s="48">
        <v>45891.0</v>
      </c>
      <c r="E411" s="46">
        <v>45903.0</v>
      </c>
      <c r="F411" s="7" t="s">
        <v>1221</v>
      </c>
      <c r="G411" s="66" t="s">
        <v>1222</v>
      </c>
      <c r="H411" s="66"/>
      <c r="I411" s="7" t="s">
        <v>1117</v>
      </c>
      <c r="J411" s="7" t="s">
        <v>70</v>
      </c>
      <c r="K411" s="7"/>
      <c r="L411" s="7">
        <v>267.86</v>
      </c>
      <c r="M411" s="7">
        <v>2232.14</v>
      </c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>
        <v>2500.0</v>
      </c>
      <c r="AC411" s="7">
        <f t="shared" si="10"/>
        <v>0</v>
      </c>
      <c r="AD411" s="7"/>
      <c r="AE411" s="7">
        <v>22.32</v>
      </c>
    </row>
    <row r="412" ht="15.75" customHeight="1">
      <c r="A412" s="74" t="s">
        <v>1223</v>
      </c>
      <c r="B412" s="75" t="s">
        <v>1224</v>
      </c>
      <c r="C412" s="48">
        <v>45891.0</v>
      </c>
      <c r="D412" s="48">
        <v>45891.0</v>
      </c>
      <c r="E412" s="7"/>
      <c r="F412" s="7"/>
      <c r="G412" s="66"/>
      <c r="H412" s="66" t="s">
        <v>1225</v>
      </c>
      <c r="I412" s="7" t="s">
        <v>213</v>
      </c>
      <c r="J412" s="7" t="s">
        <v>50</v>
      </c>
      <c r="K412" s="7"/>
      <c r="L412" s="7"/>
      <c r="M412" s="7"/>
      <c r="N412" s="7"/>
      <c r="O412" s="7"/>
      <c r="P412" s="7"/>
      <c r="Q412" s="7"/>
      <c r="R412" s="7"/>
      <c r="S412" s="7"/>
      <c r="T412" s="7">
        <v>8302.32</v>
      </c>
      <c r="U412" s="7"/>
      <c r="V412" s="7"/>
      <c r="W412" s="7"/>
      <c r="X412" s="7"/>
      <c r="Y412" s="7"/>
      <c r="Z412" s="7"/>
      <c r="AA412" s="7"/>
      <c r="AB412" s="7">
        <v>8302.32</v>
      </c>
      <c r="AC412" s="7">
        <f t="shared" si="10"/>
        <v>0</v>
      </c>
      <c r="AD412" s="7"/>
      <c r="AE412" s="7"/>
    </row>
    <row r="413" ht="15.75" customHeight="1">
      <c r="A413" s="74" t="s">
        <v>1226</v>
      </c>
      <c r="B413" s="47" t="s">
        <v>1227</v>
      </c>
      <c r="C413" s="48">
        <v>45895.0</v>
      </c>
      <c r="D413" s="48">
        <v>45895.0</v>
      </c>
      <c r="E413" s="7"/>
      <c r="F413" s="7"/>
      <c r="G413" s="66"/>
      <c r="H413" s="66"/>
      <c r="I413" s="7" t="s">
        <v>30</v>
      </c>
      <c r="J413" s="7" t="s">
        <v>41</v>
      </c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>
        <v>200000.0</v>
      </c>
      <c r="AA413" s="7"/>
      <c r="AB413" s="7">
        <v>200000.0</v>
      </c>
      <c r="AC413" s="7">
        <f t="shared" si="10"/>
        <v>0</v>
      </c>
      <c r="AD413" s="7"/>
      <c r="AE413" s="7"/>
    </row>
    <row r="414" ht="15.75" customHeight="1">
      <c r="A414" s="74" t="s">
        <v>1228</v>
      </c>
      <c r="B414" s="47" t="s">
        <v>1229</v>
      </c>
      <c r="C414" s="48">
        <v>45895.0</v>
      </c>
      <c r="D414" s="48">
        <v>45895.0</v>
      </c>
      <c r="E414" s="48">
        <v>46353.0</v>
      </c>
      <c r="F414" s="7" t="s">
        <v>1230</v>
      </c>
      <c r="G414" s="66"/>
      <c r="H414" s="66"/>
      <c r="I414" s="7" t="s">
        <v>1231</v>
      </c>
      <c r="J414" s="7" t="s">
        <v>609</v>
      </c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>
        <v>25000.0</v>
      </c>
      <c r="AB414" s="7">
        <v>25000.0</v>
      </c>
      <c r="AC414" s="7">
        <f t="shared" si="10"/>
        <v>0</v>
      </c>
      <c r="AD414" s="7"/>
      <c r="AE414" s="7"/>
    </row>
    <row r="415" ht="15.75" customHeight="1">
      <c r="A415" s="74" t="s">
        <v>1232</v>
      </c>
      <c r="B415" s="75" t="s">
        <v>1233</v>
      </c>
      <c r="C415" s="48">
        <v>45895.0</v>
      </c>
      <c r="D415" s="48">
        <v>45895.0</v>
      </c>
      <c r="E415" s="46">
        <v>45902.0</v>
      </c>
      <c r="F415" s="7" t="s">
        <v>1234</v>
      </c>
      <c r="G415" s="66" t="s">
        <v>1235</v>
      </c>
      <c r="H415" s="66"/>
      <c r="I415" s="7" t="s">
        <v>1236</v>
      </c>
      <c r="J415" s="7" t="s">
        <v>76</v>
      </c>
      <c r="K415" s="45" t="s">
        <v>77</v>
      </c>
      <c r="L415" s="7">
        <v>803.57</v>
      </c>
      <c r="M415" s="7">
        <v>6696.43</v>
      </c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>
        <v>7500.0</v>
      </c>
      <c r="AC415" s="7">
        <f t="shared" si="10"/>
        <v>0</v>
      </c>
      <c r="AD415" s="7"/>
      <c r="AE415" s="7">
        <v>66.96</v>
      </c>
    </row>
    <row r="416" ht="15.75" customHeight="1">
      <c r="A416" s="74" t="s">
        <v>1237</v>
      </c>
      <c r="B416" s="75" t="s">
        <v>1238</v>
      </c>
      <c r="C416" s="48">
        <v>45898.0</v>
      </c>
      <c r="D416" s="48">
        <v>45895.0</v>
      </c>
      <c r="E416" s="7" t="s">
        <v>495</v>
      </c>
      <c r="F416" s="7"/>
      <c r="G416" s="66"/>
      <c r="H416" s="66"/>
      <c r="I416" s="7" t="s">
        <v>94</v>
      </c>
      <c r="J416" s="7" t="s">
        <v>602</v>
      </c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>
        <v>15000.0</v>
      </c>
      <c r="AB416" s="7">
        <v>15000.0</v>
      </c>
      <c r="AC416" s="7">
        <f t="shared" si="10"/>
        <v>0</v>
      </c>
      <c r="AD416" s="7"/>
      <c r="AE416" s="7"/>
    </row>
    <row r="417" ht="15.75" customHeight="1">
      <c r="A417" s="74" t="s">
        <v>1239</v>
      </c>
      <c r="B417" s="75" t="s">
        <v>1240</v>
      </c>
      <c r="C417" s="48">
        <v>45898.0</v>
      </c>
      <c r="D417" s="48">
        <v>45895.0</v>
      </c>
      <c r="E417" s="7"/>
      <c r="F417" s="7"/>
      <c r="G417" s="66"/>
      <c r="H417" s="66"/>
      <c r="I417" s="7" t="s">
        <v>94</v>
      </c>
      <c r="J417" s="7" t="s">
        <v>95</v>
      </c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>
        <v>23040.0</v>
      </c>
      <c r="AB417" s="7">
        <v>23040.0</v>
      </c>
      <c r="AC417" s="7">
        <f t="shared" si="10"/>
        <v>0</v>
      </c>
      <c r="AD417" s="7"/>
      <c r="AE417" s="7"/>
    </row>
    <row r="418" ht="15.75" customHeight="1">
      <c r="A418" s="74" t="s">
        <v>1241</v>
      </c>
      <c r="B418" s="75" t="s">
        <v>1242</v>
      </c>
      <c r="C418" s="48">
        <v>45897.0</v>
      </c>
      <c r="D418" s="48">
        <v>45897.0</v>
      </c>
      <c r="E418" s="7"/>
      <c r="F418" s="7"/>
      <c r="G418" s="66"/>
      <c r="H418" s="66" t="s">
        <v>1243</v>
      </c>
      <c r="I418" s="7" t="s">
        <v>213</v>
      </c>
      <c r="J418" s="7" t="s">
        <v>50</v>
      </c>
      <c r="K418" s="7"/>
      <c r="L418" s="7"/>
      <c r="M418" s="7"/>
      <c r="N418" s="7"/>
      <c r="O418" s="7"/>
      <c r="P418" s="7"/>
      <c r="Q418" s="7"/>
      <c r="R418" s="7"/>
      <c r="S418" s="7"/>
      <c r="T418" s="7">
        <v>8450.36</v>
      </c>
      <c r="U418" s="7"/>
      <c r="V418" s="7"/>
      <c r="W418" s="7"/>
      <c r="X418" s="7"/>
      <c r="Y418" s="7"/>
      <c r="Z418" s="7"/>
      <c r="AA418" s="7"/>
      <c r="AB418" s="7">
        <v>8450.36</v>
      </c>
      <c r="AC418" s="7">
        <f t="shared" si="10"/>
        <v>0</v>
      </c>
      <c r="AD418" s="7"/>
      <c r="AE418" s="7"/>
    </row>
    <row r="419" ht="15.75" customHeight="1">
      <c r="A419" s="52">
        <v>45901.0</v>
      </c>
      <c r="B419" s="53"/>
      <c r="C419" s="54"/>
      <c r="D419" s="54"/>
      <c r="E419" s="54"/>
      <c r="F419" s="53"/>
      <c r="G419" s="55"/>
      <c r="H419" s="55"/>
      <c r="I419" s="53"/>
      <c r="J419" s="53"/>
      <c r="K419" s="53"/>
      <c r="L419" s="56"/>
      <c r="M419" s="56"/>
      <c r="N419" s="56"/>
      <c r="O419" s="53"/>
      <c r="P419" s="53"/>
      <c r="Q419" s="53"/>
      <c r="R419" s="53"/>
      <c r="S419" s="53"/>
      <c r="T419" s="56"/>
      <c r="U419" s="57"/>
      <c r="V419" s="57"/>
      <c r="W419" s="57"/>
      <c r="X419" s="58"/>
      <c r="Y419" s="57"/>
      <c r="Z419" s="58"/>
      <c r="AA419" s="58"/>
      <c r="AB419" s="56"/>
      <c r="AC419" s="59"/>
      <c r="AD419" s="57"/>
      <c r="AE419" s="56"/>
    </row>
    <row r="420" ht="15.75" customHeight="1">
      <c r="A420" s="74" t="s">
        <v>1244</v>
      </c>
      <c r="B420" s="47" t="s">
        <v>1245</v>
      </c>
      <c r="C420" s="48">
        <v>45901.0</v>
      </c>
      <c r="D420" s="48">
        <v>45901.0</v>
      </c>
      <c r="E420" s="7"/>
      <c r="F420" s="7"/>
      <c r="G420" s="66"/>
      <c r="H420" s="66"/>
      <c r="I420" s="7" t="s">
        <v>30</v>
      </c>
      <c r="J420" s="7" t="s">
        <v>41</v>
      </c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>
        <v>250000.0</v>
      </c>
      <c r="AA420" s="7"/>
      <c r="AB420" s="7">
        <v>250000.0</v>
      </c>
      <c r="AC420" s="7">
        <f t="shared" ref="AC420:AC463" si="11">SUM(AB420)-SUM(L420:AA420)</f>
        <v>0</v>
      </c>
      <c r="AD420" s="7"/>
      <c r="AE420" s="7"/>
    </row>
    <row r="421" ht="15.75" customHeight="1">
      <c r="A421" s="74" t="s">
        <v>1246</v>
      </c>
      <c r="B421" s="75" t="s">
        <v>1247</v>
      </c>
      <c r="C421" s="48">
        <v>45903.0</v>
      </c>
      <c r="D421" s="48">
        <v>45903.0</v>
      </c>
      <c r="E421" s="7"/>
      <c r="F421" s="7"/>
      <c r="G421" s="66"/>
      <c r="H421" s="66" t="s">
        <v>1248</v>
      </c>
      <c r="I421" s="7" t="s">
        <v>281</v>
      </c>
      <c r="J421" s="7" t="s">
        <v>41</v>
      </c>
      <c r="K421" s="7"/>
      <c r="L421" s="7"/>
      <c r="M421" s="7"/>
      <c r="N421" s="7"/>
      <c r="O421" s="7"/>
      <c r="P421" s="7"/>
      <c r="Q421" s="7"/>
      <c r="R421" s="7"/>
      <c r="S421" s="7"/>
      <c r="T421" s="7">
        <v>12958.5</v>
      </c>
      <c r="U421" s="7"/>
      <c r="V421" s="7"/>
      <c r="W421" s="7"/>
      <c r="X421" s="7"/>
      <c r="Y421" s="7"/>
      <c r="Z421" s="7"/>
      <c r="AA421" s="7"/>
      <c r="AB421" s="7">
        <v>12958.5</v>
      </c>
      <c r="AC421" s="7">
        <f t="shared" si="11"/>
        <v>0</v>
      </c>
      <c r="AD421" s="7"/>
      <c r="AE421" s="7"/>
    </row>
    <row r="422" ht="15.75" customHeight="1">
      <c r="A422" s="74" t="s">
        <v>1249</v>
      </c>
      <c r="B422" s="75" t="s">
        <v>1250</v>
      </c>
      <c r="C422" s="48">
        <v>45947.0</v>
      </c>
      <c r="D422" s="48">
        <v>45903.0</v>
      </c>
      <c r="E422" s="48">
        <v>45911.0</v>
      </c>
      <c r="F422" s="7" t="s">
        <v>1251</v>
      </c>
      <c r="G422" s="66" t="s">
        <v>366</v>
      </c>
      <c r="H422" s="66"/>
      <c r="I422" s="7" t="s">
        <v>1252</v>
      </c>
      <c r="J422" s="7" t="s">
        <v>76</v>
      </c>
      <c r="K422" s="45" t="s">
        <v>77</v>
      </c>
      <c r="L422" s="7">
        <v>9107.14</v>
      </c>
      <c r="M422" s="7">
        <v>75892.86</v>
      </c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>
        <v>85000.0</v>
      </c>
      <c r="AC422" s="7">
        <f t="shared" si="11"/>
        <v>0</v>
      </c>
      <c r="AD422" s="7"/>
      <c r="AE422" s="7">
        <v>758.93</v>
      </c>
    </row>
    <row r="423" ht="15.75" customHeight="1">
      <c r="A423" s="74" t="s">
        <v>1253</v>
      </c>
      <c r="B423" s="75" t="s">
        <v>1254</v>
      </c>
      <c r="C423" s="48">
        <v>45931.0</v>
      </c>
      <c r="D423" s="48">
        <v>45903.0</v>
      </c>
      <c r="E423" s="48">
        <v>45911.0</v>
      </c>
      <c r="F423" s="7" t="s">
        <v>1255</v>
      </c>
      <c r="G423" s="66" t="s">
        <v>1256</v>
      </c>
      <c r="H423" s="66"/>
      <c r="I423" s="7" t="s">
        <v>1257</v>
      </c>
      <c r="J423" s="7" t="s">
        <v>349</v>
      </c>
      <c r="K423" s="45" t="s">
        <v>444</v>
      </c>
      <c r="L423" s="7">
        <v>755.36</v>
      </c>
      <c r="M423" s="7">
        <v>6294.64</v>
      </c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>
        <v>7050.0</v>
      </c>
      <c r="AC423" s="7">
        <f t="shared" si="11"/>
        <v>0</v>
      </c>
      <c r="AD423" s="7"/>
      <c r="AE423" s="7">
        <v>62.95</v>
      </c>
    </row>
    <row r="424" ht="15.75" customHeight="1">
      <c r="A424" s="74" t="s">
        <v>1258</v>
      </c>
      <c r="B424" s="75" t="s">
        <v>1259</v>
      </c>
      <c r="C424" s="48">
        <v>45908.0</v>
      </c>
      <c r="D424" s="48">
        <v>45903.0</v>
      </c>
      <c r="E424" s="48">
        <v>45910.0</v>
      </c>
      <c r="F424" s="7" t="s">
        <v>1260</v>
      </c>
      <c r="G424" s="66" t="s">
        <v>1261</v>
      </c>
      <c r="H424" s="66"/>
      <c r="I424" s="7" t="s">
        <v>1262</v>
      </c>
      <c r="J424" s="45" t="s">
        <v>91</v>
      </c>
      <c r="K424" s="45" t="s">
        <v>92</v>
      </c>
      <c r="L424" s="7">
        <v>2678.57</v>
      </c>
      <c r="M424" s="7">
        <v>22321.43</v>
      </c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>
        <v>25000.0</v>
      </c>
      <c r="AC424" s="7">
        <f t="shared" si="11"/>
        <v>0</v>
      </c>
      <c r="AD424" s="7"/>
      <c r="AE424" s="7">
        <v>223.21</v>
      </c>
    </row>
    <row r="425" ht="15.75" customHeight="1">
      <c r="A425" s="74" t="s">
        <v>1263</v>
      </c>
      <c r="B425" s="75" t="s">
        <v>1264</v>
      </c>
      <c r="C425" s="48">
        <v>45947.0</v>
      </c>
      <c r="D425" s="48">
        <v>45903.0</v>
      </c>
      <c r="E425" s="48">
        <v>45912.0</v>
      </c>
      <c r="F425" s="7" t="s">
        <v>1265</v>
      </c>
      <c r="G425" s="66" t="s">
        <v>1266</v>
      </c>
      <c r="H425" s="66"/>
      <c r="I425" s="7" t="s">
        <v>1267</v>
      </c>
      <c r="J425" s="7" t="s">
        <v>76</v>
      </c>
      <c r="K425" s="45" t="s">
        <v>77</v>
      </c>
      <c r="L425" s="7">
        <v>5089.29</v>
      </c>
      <c r="M425" s="7">
        <v>42410.71</v>
      </c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>
        <v>47500.0</v>
      </c>
      <c r="AC425" s="7">
        <f t="shared" si="11"/>
        <v>0</v>
      </c>
      <c r="AD425" s="7"/>
      <c r="AE425" s="7">
        <v>424.11</v>
      </c>
    </row>
    <row r="426" ht="15.75" customHeight="1">
      <c r="A426" s="74" t="s">
        <v>1268</v>
      </c>
      <c r="B426" s="75" t="s">
        <v>1269</v>
      </c>
      <c r="C426" s="48">
        <v>45908.0</v>
      </c>
      <c r="D426" s="48">
        <v>45908.0</v>
      </c>
      <c r="E426" s="7"/>
      <c r="F426" s="7"/>
      <c r="G426" s="66"/>
      <c r="H426" s="66" t="s">
        <v>1270</v>
      </c>
      <c r="I426" s="7" t="s">
        <v>1060</v>
      </c>
      <c r="J426" s="7" t="s">
        <v>50</v>
      </c>
      <c r="K426" s="7"/>
      <c r="L426" s="7"/>
      <c r="M426" s="7"/>
      <c r="N426" s="7"/>
      <c r="O426" s="7"/>
      <c r="P426" s="7"/>
      <c r="Q426" s="7"/>
      <c r="R426" s="7"/>
      <c r="S426" s="7"/>
      <c r="T426" s="7">
        <v>7633.33</v>
      </c>
      <c r="U426" s="7"/>
      <c r="V426" s="7"/>
      <c r="W426" s="7"/>
      <c r="X426" s="7"/>
      <c r="Y426" s="7"/>
      <c r="Z426" s="7"/>
      <c r="AA426" s="7"/>
      <c r="AB426" s="7">
        <v>7633.33</v>
      </c>
      <c r="AC426" s="7">
        <f t="shared" si="11"/>
        <v>0</v>
      </c>
      <c r="AD426" s="7"/>
      <c r="AE426" s="7"/>
    </row>
    <row r="427" ht="15.75" customHeight="1">
      <c r="A427" s="74" t="s">
        <v>1271</v>
      </c>
      <c r="B427" s="75" t="s">
        <v>1272</v>
      </c>
      <c r="C427" s="48">
        <v>45908.0</v>
      </c>
      <c r="D427" s="48">
        <v>45908.0</v>
      </c>
      <c r="E427" s="48">
        <v>45902.0</v>
      </c>
      <c r="F427" s="7" t="s">
        <v>1273</v>
      </c>
      <c r="G427" s="66"/>
      <c r="H427" s="66"/>
      <c r="I427" s="7" t="s">
        <v>1274</v>
      </c>
      <c r="J427" s="7" t="s">
        <v>947</v>
      </c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>
        <v>5875.2</v>
      </c>
      <c r="AB427" s="7">
        <v>5875.2</v>
      </c>
      <c r="AC427" s="7">
        <f t="shared" si="11"/>
        <v>0</v>
      </c>
      <c r="AD427" s="7"/>
      <c r="AE427" s="7"/>
    </row>
    <row r="428" ht="15.75" customHeight="1">
      <c r="A428" s="74" t="s">
        <v>1275</v>
      </c>
      <c r="B428" s="75" t="s">
        <v>1276</v>
      </c>
      <c r="C428" s="48">
        <v>45908.0</v>
      </c>
      <c r="D428" s="48">
        <v>45908.0</v>
      </c>
      <c r="E428" s="7"/>
      <c r="F428" s="7"/>
      <c r="G428" s="66"/>
      <c r="H428" s="66"/>
      <c r="I428" s="7" t="s">
        <v>1277</v>
      </c>
      <c r="J428" s="7" t="s">
        <v>119</v>
      </c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>
        <v>9673.75</v>
      </c>
      <c r="AB428" s="7">
        <v>9673.75</v>
      </c>
      <c r="AC428" s="7">
        <f t="shared" si="11"/>
        <v>0</v>
      </c>
      <c r="AD428" s="7"/>
      <c r="AE428" s="7"/>
    </row>
    <row r="429" ht="15.75" customHeight="1">
      <c r="A429" s="74" t="s">
        <v>1278</v>
      </c>
      <c r="B429" s="75" t="s">
        <v>1279</v>
      </c>
      <c r="C429" s="48">
        <v>45908.0</v>
      </c>
      <c r="D429" s="48">
        <v>45908.0</v>
      </c>
      <c r="E429" s="7"/>
      <c r="F429" s="7"/>
      <c r="G429" s="66"/>
      <c r="H429" s="66"/>
      <c r="I429" s="7" t="s">
        <v>707</v>
      </c>
      <c r="J429" s="7" t="s">
        <v>664</v>
      </c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>
        <v>2232.14</v>
      </c>
      <c r="AB429" s="7">
        <v>2232.14</v>
      </c>
      <c r="AC429" s="7">
        <f t="shared" si="11"/>
        <v>0</v>
      </c>
      <c r="AD429" s="7"/>
      <c r="AE429" s="7"/>
    </row>
    <row r="430" ht="15.75" customHeight="1">
      <c r="A430" s="74" t="s">
        <v>1280</v>
      </c>
      <c r="B430" s="75" t="s">
        <v>1281</v>
      </c>
      <c r="C430" s="48">
        <v>45909.0</v>
      </c>
      <c r="D430" s="48">
        <v>45909.0</v>
      </c>
      <c r="E430" s="7"/>
      <c r="F430" s="7"/>
      <c r="G430" s="66"/>
      <c r="H430" s="66"/>
      <c r="I430" s="45" t="s">
        <v>1282</v>
      </c>
      <c r="J430" s="45" t="s">
        <v>58</v>
      </c>
      <c r="K430" s="7"/>
      <c r="L430" s="7">
        <v>32.14</v>
      </c>
      <c r="M430" s="7"/>
      <c r="N430" s="7"/>
      <c r="O430" s="7"/>
      <c r="P430" s="7"/>
      <c r="Q430" s="7"/>
      <c r="R430" s="7"/>
      <c r="S430" s="7">
        <v>267.86</v>
      </c>
      <c r="T430" s="7"/>
      <c r="U430" s="7"/>
      <c r="V430" s="7"/>
      <c r="W430" s="7"/>
      <c r="X430" s="7"/>
      <c r="Y430" s="7"/>
      <c r="Z430" s="7"/>
      <c r="AA430" s="7"/>
      <c r="AB430" s="7">
        <v>300.0</v>
      </c>
      <c r="AC430" s="7">
        <f t="shared" si="11"/>
        <v>0</v>
      </c>
      <c r="AD430" s="7"/>
      <c r="AE430" s="7"/>
    </row>
    <row r="431" ht="15.75" customHeight="1">
      <c r="A431" s="74" t="s">
        <v>1283</v>
      </c>
      <c r="B431" s="75" t="s">
        <v>1284</v>
      </c>
      <c r="C431" s="48">
        <v>45939.0</v>
      </c>
      <c r="D431" s="48">
        <v>45909.0</v>
      </c>
      <c r="E431" s="48">
        <v>45915.0</v>
      </c>
      <c r="F431" s="7" t="s">
        <v>1285</v>
      </c>
      <c r="G431" s="66" t="s">
        <v>1286</v>
      </c>
      <c r="H431" s="66"/>
      <c r="I431" s="7" t="s">
        <v>1287</v>
      </c>
      <c r="J431" s="7" t="s">
        <v>82</v>
      </c>
      <c r="K431" s="45" t="s">
        <v>83</v>
      </c>
      <c r="L431" s="7">
        <v>14946.43</v>
      </c>
      <c r="M431" s="7">
        <v>124553.57</v>
      </c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>
        <v>139500.0</v>
      </c>
      <c r="AC431" s="7">
        <f t="shared" si="11"/>
        <v>0</v>
      </c>
      <c r="AD431" s="7"/>
      <c r="AE431" s="7">
        <v>1245.54</v>
      </c>
    </row>
    <row r="432" ht="15.75" customHeight="1">
      <c r="A432" s="74" t="s">
        <v>1288</v>
      </c>
      <c r="B432" s="75" t="s">
        <v>1289</v>
      </c>
      <c r="C432" s="48">
        <v>45939.0</v>
      </c>
      <c r="D432" s="48">
        <v>45909.0</v>
      </c>
      <c r="E432" s="48">
        <v>45915.0</v>
      </c>
      <c r="F432" s="7" t="s">
        <v>1290</v>
      </c>
      <c r="G432" s="66" t="s">
        <v>1291</v>
      </c>
      <c r="H432" s="66"/>
      <c r="I432" s="7" t="s">
        <v>1292</v>
      </c>
      <c r="J432" s="7" t="s">
        <v>82</v>
      </c>
      <c r="K432" s="45" t="s">
        <v>83</v>
      </c>
      <c r="L432" s="7">
        <v>11571.43</v>
      </c>
      <c r="M432" s="7">
        <v>96428.57</v>
      </c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>
        <v>108000.0</v>
      </c>
      <c r="AC432" s="7">
        <f t="shared" si="11"/>
        <v>0</v>
      </c>
      <c r="AD432" s="7"/>
      <c r="AE432" s="7">
        <v>964.29</v>
      </c>
    </row>
    <row r="433" ht="15.75" customHeight="1">
      <c r="A433" s="74" t="s">
        <v>1293</v>
      </c>
      <c r="B433" s="75" t="s">
        <v>1294</v>
      </c>
      <c r="C433" s="48">
        <v>45943.0</v>
      </c>
      <c r="D433" s="48">
        <v>45909.0</v>
      </c>
      <c r="E433" s="48">
        <v>45909.0</v>
      </c>
      <c r="F433" s="7" t="s">
        <v>1295</v>
      </c>
      <c r="G433" s="66" t="s">
        <v>1296</v>
      </c>
      <c r="H433" s="66"/>
      <c r="I433" s="7" t="s">
        <v>1297</v>
      </c>
      <c r="J433" s="45" t="s">
        <v>70</v>
      </c>
      <c r="K433" s="45" t="s">
        <v>71</v>
      </c>
      <c r="L433" s="7">
        <v>11785.71</v>
      </c>
      <c r="M433" s="7">
        <v>98214.29</v>
      </c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>
        <v>110000.0</v>
      </c>
      <c r="AC433" s="7">
        <f t="shared" si="11"/>
        <v>0</v>
      </c>
      <c r="AD433" s="7"/>
      <c r="AE433" s="7">
        <v>982.14</v>
      </c>
    </row>
    <row r="434" ht="15.75" customHeight="1">
      <c r="A434" s="74" t="s">
        <v>1298</v>
      </c>
      <c r="B434" s="47" t="s">
        <v>1299</v>
      </c>
      <c r="C434" s="48">
        <v>45916.0</v>
      </c>
      <c r="D434" s="48">
        <v>45909.0</v>
      </c>
      <c r="E434" s="48">
        <v>45910.0</v>
      </c>
      <c r="F434" s="7" t="s">
        <v>1300</v>
      </c>
      <c r="G434" s="66" t="s">
        <v>1301</v>
      </c>
      <c r="H434" s="66"/>
      <c r="I434" s="7" t="s">
        <v>1302</v>
      </c>
      <c r="J434" s="45" t="s">
        <v>91</v>
      </c>
      <c r="K434" s="45" t="s">
        <v>92</v>
      </c>
      <c r="L434" s="7">
        <v>15462.86</v>
      </c>
      <c r="M434" s="7">
        <v>128857.14</v>
      </c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>
        <v>144320.0</v>
      </c>
      <c r="AC434" s="7">
        <f t="shared" si="11"/>
        <v>0</v>
      </c>
      <c r="AD434" s="7"/>
      <c r="AE434" s="7">
        <v>1288.57</v>
      </c>
    </row>
    <row r="435" ht="15.75" customHeight="1">
      <c r="A435" s="74" t="s">
        <v>1303</v>
      </c>
      <c r="B435" s="75" t="s">
        <v>1304</v>
      </c>
      <c r="C435" s="48">
        <v>45915.0</v>
      </c>
      <c r="D435" s="48">
        <v>45911.0</v>
      </c>
      <c r="E435" s="7"/>
      <c r="F435" s="7"/>
      <c r="G435" s="66"/>
      <c r="H435" s="66"/>
      <c r="I435" s="7" t="s">
        <v>94</v>
      </c>
      <c r="J435" s="7" t="s">
        <v>742</v>
      </c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>
        <v>30720.0</v>
      </c>
      <c r="AB435" s="7">
        <v>30720.0</v>
      </c>
      <c r="AC435" s="7">
        <f t="shared" si="11"/>
        <v>0</v>
      </c>
      <c r="AD435" s="7"/>
      <c r="AE435" s="7"/>
    </row>
    <row r="436" ht="15.75" customHeight="1">
      <c r="A436" s="74" t="s">
        <v>1305</v>
      </c>
      <c r="B436" s="75" t="s">
        <v>1306</v>
      </c>
      <c r="C436" s="48">
        <v>45915.0</v>
      </c>
      <c r="D436" s="48">
        <v>45911.0</v>
      </c>
      <c r="E436" s="7"/>
      <c r="F436" s="7"/>
      <c r="G436" s="66"/>
      <c r="H436" s="66"/>
      <c r="I436" s="7" t="s">
        <v>94</v>
      </c>
      <c r="J436" s="7" t="s">
        <v>97</v>
      </c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>
        <v>12000.0</v>
      </c>
      <c r="AB436" s="7">
        <v>12000.0</v>
      </c>
      <c r="AC436" s="7">
        <f t="shared" si="11"/>
        <v>0</v>
      </c>
      <c r="AD436" s="7"/>
      <c r="AE436" s="7"/>
    </row>
    <row r="437" ht="15.75" customHeight="1">
      <c r="A437" s="74" t="s">
        <v>1307</v>
      </c>
      <c r="B437" s="47" t="s">
        <v>1308</v>
      </c>
      <c r="C437" s="48">
        <v>45911.0</v>
      </c>
      <c r="D437" s="48">
        <v>45911.0</v>
      </c>
      <c r="E437" s="7"/>
      <c r="F437" s="7"/>
      <c r="G437" s="66"/>
      <c r="H437" s="66"/>
      <c r="I437" s="7" t="s">
        <v>1309</v>
      </c>
      <c r="J437" s="7" t="s">
        <v>119</v>
      </c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>
        <v>74622.81</v>
      </c>
      <c r="X437" s="7"/>
      <c r="Y437" s="7"/>
      <c r="Z437" s="7"/>
      <c r="AA437" s="7"/>
      <c r="AB437" s="7">
        <v>74622.81</v>
      </c>
      <c r="AC437" s="7">
        <f t="shared" si="11"/>
        <v>0</v>
      </c>
      <c r="AD437" s="7"/>
      <c r="AE437" s="7"/>
    </row>
    <row r="438" ht="15.75" customHeight="1">
      <c r="A438" s="74" t="s">
        <v>1310</v>
      </c>
      <c r="B438" s="75" t="s">
        <v>1311</v>
      </c>
      <c r="C438" s="48">
        <v>45911.0</v>
      </c>
      <c r="D438" s="48">
        <v>45911.0</v>
      </c>
      <c r="E438" s="7"/>
      <c r="F438" s="7"/>
      <c r="G438" s="66"/>
      <c r="H438" s="66"/>
      <c r="I438" s="45" t="s">
        <v>1312</v>
      </c>
      <c r="J438" s="45" t="s">
        <v>22</v>
      </c>
      <c r="K438" s="7"/>
      <c r="L438" s="7">
        <v>151.09</v>
      </c>
      <c r="M438" s="7"/>
      <c r="N438" s="7"/>
      <c r="O438" s="7"/>
      <c r="P438" s="7"/>
      <c r="Q438" s="7"/>
      <c r="R438" s="7">
        <v>1259.06</v>
      </c>
      <c r="S438" s="7"/>
      <c r="T438" s="7"/>
      <c r="U438" s="7"/>
      <c r="V438" s="7"/>
      <c r="W438" s="7"/>
      <c r="X438" s="7"/>
      <c r="Y438" s="7"/>
      <c r="Z438" s="7"/>
      <c r="AA438" s="7"/>
      <c r="AB438" s="7">
        <v>1410.15</v>
      </c>
      <c r="AC438" s="7">
        <f t="shared" si="11"/>
        <v>0</v>
      </c>
      <c r="AD438" s="7"/>
      <c r="AE438" s="7"/>
    </row>
    <row r="439" ht="15.75" customHeight="1">
      <c r="A439" s="74" t="s">
        <v>1313</v>
      </c>
      <c r="B439" s="75" t="s">
        <v>1314</v>
      </c>
      <c r="C439" s="48">
        <v>45911.0</v>
      </c>
      <c r="D439" s="48">
        <v>45911.0</v>
      </c>
      <c r="E439" s="7"/>
      <c r="F439" s="7"/>
      <c r="G439" s="66"/>
      <c r="H439" s="66"/>
      <c r="I439" s="45" t="s">
        <v>1312</v>
      </c>
      <c r="J439" s="45" t="s">
        <v>22</v>
      </c>
      <c r="K439" s="7"/>
      <c r="L439" s="7">
        <v>811.09</v>
      </c>
      <c r="M439" s="7"/>
      <c r="N439" s="7"/>
      <c r="O439" s="7"/>
      <c r="P439" s="7"/>
      <c r="Q439" s="7"/>
      <c r="R439" s="7">
        <v>6759.06</v>
      </c>
      <c r="S439" s="7"/>
      <c r="T439" s="7"/>
      <c r="U439" s="7"/>
      <c r="V439" s="7"/>
      <c r="W439" s="7"/>
      <c r="X439" s="7"/>
      <c r="Y439" s="7"/>
      <c r="Z439" s="7"/>
      <c r="AA439" s="7"/>
      <c r="AB439" s="7">
        <v>7570.15</v>
      </c>
      <c r="AC439" s="7">
        <f t="shared" si="11"/>
        <v>0</v>
      </c>
      <c r="AD439" s="7"/>
      <c r="AE439" s="7"/>
    </row>
    <row r="440" ht="15.75" customHeight="1">
      <c r="A440" s="74" t="s">
        <v>1315</v>
      </c>
      <c r="B440" s="75" t="s">
        <v>1316</v>
      </c>
      <c r="C440" s="48">
        <v>45911.0</v>
      </c>
      <c r="D440" s="48">
        <v>45911.0</v>
      </c>
      <c r="E440" s="48">
        <v>45915.0</v>
      </c>
      <c r="F440" s="7" t="s">
        <v>1317</v>
      </c>
      <c r="G440" s="66"/>
      <c r="H440" s="66"/>
      <c r="I440" s="7" t="s">
        <v>1318</v>
      </c>
      <c r="J440" s="7" t="s">
        <v>1319</v>
      </c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>
        <v>3700.0</v>
      </c>
      <c r="AB440" s="7">
        <v>3700.0</v>
      </c>
      <c r="AC440" s="7">
        <f t="shared" si="11"/>
        <v>0</v>
      </c>
      <c r="AD440" s="7"/>
      <c r="AE440" s="7"/>
    </row>
    <row r="441" ht="15.75" customHeight="1">
      <c r="A441" s="74" t="s">
        <v>1320</v>
      </c>
      <c r="B441" s="75" t="s">
        <v>1321</v>
      </c>
      <c r="C441" s="48">
        <v>45942.0</v>
      </c>
      <c r="D441" s="48">
        <v>45911.0</v>
      </c>
      <c r="E441" s="48">
        <v>45912.0</v>
      </c>
      <c r="F441" s="7" t="s">
        <v>1322</v>
      </c>
      <c r="G441" s="66" t="s">
        <v>1323</v>
      </c>
      <c r="H441" s="66"/>
      <c r="I441" s="7" t="s">
        <v>1324</v>
      </c>
      <c r="J441" s="7" t="s">
        <v>1325</v>
      </c>
      <c r="K441" s="7"/>
      <c r="L441" s="7">
        <v>1230.11</v>
      </c>
      <c r="M441" s="7">
        <v>10250.89</v>
      </c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>
        <v>11481.0</v>
      </c>
      <c r="AC441" s="7">
        <f t="shared" si="11"/>
        <v>0</v>
      </c>
      <c r="AD441" s="7"/>
      <c r="AE441" s="7">
        <v>102.51</v>
      </c>
    </row>
    <row r="442" ht="15.75" customHeight="1">
      <c r="A442" s="74" t="s">
        <v>1326</v>
      </c>
      <c r="B442" s="75" t="s">
        <v>1327</v>
      </c>
      <c r="C442" s="48">
        <v>45912.0</v>
      </c>
      <c r="D442" s="48">
        <v>45912.0</v>
      </c>
      <c r="E442" s="7"/>
      <c r="F442" s="7"/>
      <c r="G442" s="66"/>
      <c r="H442" s="66"/>
      <c r="I442" s="45" t="s">
        <v>1328</v>
      </c>
      <c r="J442" s="7" t="s">
        <v>1147</v>
      </c>
      <c r="K442" s="7"/>
      <c r="L442" s="7">
        <v>1023.66</v>
      </c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>
        <v>8530.53</v>
      </c>
      <c r="Y442" s="7"/>
      <c r="Z442" s="7"/>
      <c r="AA442" s="7"/>
      <c r="AB442" s="7">
        <v>9554.19</v>
      </c>
      <c r="AC442" s="7">
        <f t="shared" si="11"/>
        <v>0</v>
      </c>
      <c r="AD442" s="7"/>
      <c r="AE442" s="7"/>
    </row>
    <row r="443" ht="15.75" customHeight="1">
      <c r="A443" s="74" t="s">
        <v>1329</v>
      </c>
      <c r="B443" s="75" t="s">
        <v>1330</v>
      </c>
      <c r="C443" s="48">
        <v>45946.0</v>
      </c>
      <c r="D443" s="48">
        <v>45912.0</v>
      </c>
      <c r="E443" s="48">
        <v>45951.0</v>
      </c>
      <c r="F443" s="7" t="s">
        <v>1331</v>
      </c>
      <c r="G443" s="66" t="s">
        <v>1332</v>
      </c>
      <c r="H443" s="66"/>
      <c r="I443" s="7" t="s">
        <v>1333</v>
      </c>
      <c r="J443" s="7" t="s">
        <v>82</v>
      </c>
      <c r="K443" s="45" t="s">
        <v>83</v>
      </c>
      <c r="L443" s="7">
        <v>2250.0</v>
      </c>
      <c r="M443" s="7">
        <v>18750.0</v>
      </c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>
        <v>21000.0</v>
      </c>
      <c r="AC443" s="7">
        <f t="shared" si="11"/>
        <v>0</v>
      </c>
      <c r="AD443" s="7"/>
      <c r="AE443" s="7">
        <v>187.5</v>
      </c>
    </row>
    <row r="444" ht="15.75" customHeight="1">
      <c r="A444" s="74" t="s">
        <v>1334</v>
      </c>
      <c r="B444" s="75" t="s">
        <v>1335</v>
      </c>
      <c r="C444" s="48">
        <v>45912.0</v>
      </c>
      <c r="D444" s="48">
        <v>45912.0</v>
      </c>
      <c r="E444" s="48">
        <v>45923.0</v>
      </c>
      <c r="F444" s="7" t="s">
        <v>1336</v>
      </c>
      <c r="G444" s="66" t="s">
        <v>1337</v>
      </c>
      <c r="H444" s="66"/>
      <c r="I444" s="7" t="s">
        <v>1338</v>
      </c>
      <c r="J444" s="7" t="s">
        <v>46</v>
      </c>
      <c r="K444" s="45" t="s">
        <v>47</v>
      </c>
      <c r="L444" s="7">
        <v>476.79</v>
      </c>
      <c r="M444" s="7">
        <v>3973.21</v>
      </c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>
        <v>4450.0</v>
      </c>
      <c r="AC444" s="7">
        <f t="shared" si="11"/>
        <v>0</v>
      </c>
      <c r="AD444" s="7"/>
      <c r="AE444" s="7">
        <v>39.73</v>
      </c>
    </row>
    <row r="445" ht="15.75" customHeight="1">
      <c r="A445" s="74" t="s">
        <v>1339</v>
      </c>
      <c r="B445" s="75" t="s">
        <v>1340</v>
      </c>
      <c r="C445" s="48">
        <v>45960.0</v>
      </c>
      <c r="D445" s="48">
        <v>45912.0</v>
      </c>
      <c r="E445" s="48">
        <v>45916.0</v>
      </c>
      <c r="F445" s="7" t="s">
        <v>1341</v>
      </c>
      <c r="G445" s="66" t="s">
        <v>1342</v>
      </c>
      <c r="H445" s="66"/>
      <c r="I445" s="7" t="s">
        <v>1343</v>
      </c>
      <c r="J445" s="7" t="s">
        <v>76</v>
      </c>
      <c r="K445" s="45" t="s">
        <v>77</v>
      </c>
      <c r="L445" s="7">
        <v>1821.43</v>
      </c>
      <c r="M445" s="7">
        <v>15178.57</v>
      </c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>
        <v>17000.0</v>
      </c>
      <c r="AC445" s="7">
        <f t="shared" si="11"/>
        <v>0</v>
      </c>
      <c r="AD445" s="7"/>
      <c r="AE445" s="7">
        <v>151.79</v>
      </c>
    </row>
    <row r="446" ht="15.75" customHeight="1">
      <c r="A446" s="74" t="s">
        <v>1344</v>
      </c>
      <c r="B446" s="75" t="s">
        <v>1345</v>
      </c>
      <c r="C446" s="48">
        <v>45912.0</v>
      </c>
      <c r="D446" s="48">
        <v>45912.0</v>
      </c>
      <c r="E446" s="7"/>
      <c r="F446" s="7"/>
      <c r="G446" s="66"/>
      <c r="H446" s="66"/>
      <c r="I446" s="7" t="s">
        <v>1346</v>
      </c>
      <c r="J446" s="7" t="s">
        <v>103</v>
      </c>
      <c r="K446" s="7"/>
      <c r="L446" s="7">
        <v>160.61</v>
      </c>
      <c r="M446" s="7"/>
      <c r="N446" s="7"/>
      <c r="O446" s="7"/>
      <c r="P446" s="7"/>
      <c r="Q446" s="7"/>
      <c r="R446" s="7"/>
      <c r="S446" s="7">
        <v>1338.39</v>
      </c>
      <c r="T446" s="7"/>
      <c r="U446" s="7"/>
      <c r="V446" s="7"/>
      <c r="W446" s="7"/>
      <c r="X446" s="7"/>
      <c r="Y446" s="7"/>
      <c r="Z446" s="7"/>
      <c r="AA446" s="7"/>
      <c r="AB446" s="7">
        <v>1499.0</v>
      </c>
      <c r="AC446" s="7">
        <f t="shared" si="11"/>
        <v>0</v>
      </c>
      <c r="AD446" s="7"/>
      <c r="AE446" s="7"/>
    </row>
    <row r="447" ht="15.75" customHeight="1">
      <c r="A447" s="74" t="s">
        <v>1347</v>
      </c>
      <c r="B447" s="75" t="s">
        <v>1348</v>
      </c>
      <c r="C447" s="48">
        <v>45912.0</v>
      </c>
      <c r="D447" s="48">
        <v>45912.0</v>
      </c>
      <c r="E447" s="7"/>
      <c r="F447" s="7"/>
      <c r="G447" s="66"/>
      <c r="H447" s="66"/>
      <c r="I447" s="7" t="s">
        <v>1349</v>
      </c>
      <c r="J447" s="7" t="s">
        <v>103</v>
      </c>
      <c r="K447" s="7"/>
      <c r="L447" s="7">
        <v>107.04</v>
      </c>
      <c r="M447" s="7"/>
      <c r="N447" s="7"/>
      <c r="O447" s="7"/>
      <c r="P447" s="7"/>
      <c r="Q447" s="7"/>
      <c r="R447" s="7"/>
      <c r="S447" s="7">
        <v>891.96</v>
      </c>
      <c r="T447" s="7"/>
      <c r="U447" s="7"/>
      <c r="V447" s="7"/>
      <c r="W447" s="7"/>
      <c r="X447" s="7"/>
      <c r="Y447" s="7"/>
      <c r="Z447" s="7"/>
      <c r="AA447" s="7"/>
      <c r="AB447" s="7">
        <v>999.0</v>
      </c>
      <c r="AC447" s="7">
        <f t="shared" si="11"/>
        <v>0</v>
      </c>
      <c r="AD447" s="7"/>
      <c r="AE447" s="7"/>
    </row>
    <row r="448" ht="15.75" customHeight="1">
      <c r="A448" s="74" t="s">
        <v>1350</v>
      </c>
      <c r="B448" s="47" t="s">
        <v>1351</v>
      </c>
      <c r="C448" s="48">
        <v>45912.0</v>
      </c>
      <c r="D448" s="48">
        <v>45912.0</v>
      </c>
      <c r="E448" s="48">
        <v>45916.0</v>
      </c>
      <c r="F448" s="7" t="s">
        <v>1352</v>
      </c>
      <c r="G448" s="66"/>
      <c r="H448" s="66"/>
      <c r="I448" s="7" t="s">
        <v>518</v>
      </c>
      <c r="J448" s="7" t="s">
        <v>148</v>
      </c>
      <c r="K448" s="7"/>
      <c r="L448" s="7"/>
      <c r="M448" s="7"/>
      <c r="N448" s="7">
        <v>85925.0</v>
      </c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>
        <v>85925.0</v>
      </c>
      <c r="AC448" s="7">
        <f t="shared" si="11"/>
        <v>0</v>
      </c>
      <c r="AD448" s="7"/>
      <c r="AE448" s="7"/>
    </row>
    <row r="449" ht="15.75" customHeight="1">
      <c r="A449" s="74" t="s">
        <v>1353</v>
      </c>
      <c r="B449" s="47" t="s">
        <v>1354</v>
      </c>
      <c r="C449" s="48">
        <v>45915.0</v>
      </c>
      <c r="D449" s="48">
        <v>45915.0</v>
      </c>
      <c r="E449" s="48">
        <v>45916.0</v>
      </c>
      <c r="F449" s="7" t="s">
        <v>1355</v>
      </c>
      <c r="G449" s="66"/>
      <c r="H449" s="66"/>
      <c r="I449" s="7" t="s">
        <v>1356</v>
      </c>
      <c r="J449" s="7" t="s">
        <v>148</v>
      </c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>
        <v>83411.0</v>
      </c>
      <c r="AB449" s="7">
        <v>83411.0</v>
      </c>
      <c r="AC449" s="7">
        <f t="shared" si="11"/>
        <v>0</v>
      </c>
      <c r="AD449" s="7"/>
      <c r="AE449" s="7"/>
    </row>
    <row r="450" ht="15.75" customHeight="1">
      <c r="A450" s="74" t="s">
        <v>1357</v>
      </c>
      <c r="B450" s="75" t="s">
        <v>1358</v>
      </c>
      <c r="C450" s="48">
        <v>45915.0</v>
      </c>
      <c r="D450" s="48">
        <v>45915.0</v>
      </c>
      <c r="E450" s="7"/>
      <c r="F450" s="7"/>
      <c r="G450" s="66"/>
      <c r="H450" s="66" t="s">
        <v>1359</v>
      </c>
      <c r="I450" s="7" t="s">
        <v>391</v>
      </c>
      <c r="J450" s="7" t="s">
        <v>50</v>
      </c>
      <c r="K450" s="7"/>
      <c r="L450" s="7"/>
      <c r="M450" s="7"/>
      <c r="N450" s="7"/>
      <c r="O450" s="7"/>
      <c r="P450" s="7"/>
      <c r="Q450" s="7"/>
      <c r="R450" s="7"/>
      <c r="S450" s="7"/>
      <c r="T450" s="7">
        <v>8146.83</v>
      </c>
      <c r="U450" s="7"/>
      <c r="V450" s="7"/>
      <c r="W450" s="7"/>
      <c r="X450" s="7"/>
      <c r="Y450" s="7"/>
      <c r="Z450" s="7"/>
      <c r="AA450" s="7"/>
      <c r="AB450" s="7">
        <v>8146.83</v>
      </c>
      <c r="AC450" s="7">
        <f t="shared" si="11"/>
        <v>0</v>
      </c>
      <c r="AD450" s="7"/>
      <c r="AE450" s="7"/>
    </row>
    <row r="451" ht="15.75" customHeight="1">
      <c r="A451" s="74" t="s">
        <v>1360</v>
      </c>
      <c r="B451" s="47" t="s">
        <v>1361</v>
      </c>
      <c r="C451" s="48">
        <v>45915.0</v>
      </c>
      <c r="D451" s="48">
        <v>45915.0</v>
      </c>
      <c r="E451" s="7"/>
      <c r="F451" s="7"/>
      <c r="G451" s="66"/>
      <c r="H451" s="66"/>
      <c r="I451" s="7" t="s">
        <v>30</v>
      </c>
      <c r="J451" s="7" t="s">
        <v>41</v>
      </c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>
        <v>400000.0</v>
      </c>
      <c r="AA451" s="7"/>
      <c r="AB451" s="7">
        <v>400000.0</v>
      </c>
      <c r="AC451" s="7">
        <f t="shared" si="11"/>
        <v>0</v>
      </c>
      <c r="AD451" s="7"/>
      <c r="AE451" s="7"/>
    </row>
    <row r="452" ht="15.75" customHeight="1">
      <c r="A452" s="74" t="s">
        <v>1362</v>
      </c>
      <c r="B452" s="75" t="s">
        <v>1363</v>
      </c>
      <c r="C452" s="48">
        <v>45916.0</v>
      </c>
      <c r="D452" s="48">
        <v>45916.0</v>
      </c>
      <c r="E452" s="7"/>
      <c r="F452" s="7"/>
      <c r="G452" s="66"/>
      <c r="H452" s="66"/>
      <c r="I452" s="7" t="s">
        <v>1364</v>
      </c>
      <c r="J452" s="7" t="s">
        <v>1041</v>
      </c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>
        <v>5945.0</v>
      </c>
      <c r="AB452" s="7">
        <v>5945.0</v>
      </c>
      <c r="AC452" s="7">
        <f t="shared" si="11"/>
        <v>0</v>
      </c>
      <c r="AD452" s="7"/>
      <c r="AE452" s="7"/>
    </row>
    <row r="453" ht="15.75" customHeight="1">
      <c r="A453" s="74" t="s">
        <v>1365</v>
      </c>
      <c r="B453" s="75" t="s">
        <v>1366</v>
      </c>
      <c r="C453" s="48">
        <v>45947.0</v>
      </c>
      <c r="D453" s="48">
        <v>45917.0</v>
      </c>
      <c r="E453" s="48">
        <v>45923.0</v>
      </c>
      <c r="F453" s="7" t="s">
        <v>1367</v>
      </c>
      <c r="G453" s="66" t="s">
        <v>1368</v>
      </c>
      <c r="H453" s="66"/>
      <c r="I453" s="7" t="s">
        <v>1369</v>
      </c>
      <c r="J453" s="7" t="s">
        <v>46</v>
      </c>
      <c r="K453" s="45" t="s">
        <v>47</v>
      </c>
      <c r="L453" s="7">
        <v>1012.5</v>
      </c>
      <c r="M453" s="7">
        <v>8437.5</v>
      </c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>
        <v>9450.0</v>
      </c>
      <c r="AC453" s="7">
        <f t="shared" si="11"/>
        <v>0</v>
      </c>
      <c r="AD453" s="7"/>
      <c r="AE453" s="7">
        <v>84.38</v>
      </c>
    </row>
    <row r="454" ht="15.75" customHeight="1">
      <c r="A454" s="74" t="s">
        <v>1370</v>
      </c>
      <c r="B454" s="75" t="s">
        <v>1371</v>
      </c>
      <c r="C454" s="48">
        <v>45948.0</v>
      </c>
      <c r="D454" s="48">
        <v>45919.0</v>
      </c>
      <c r="E454" s="48">
        <v>45951.0</v>
      </c>
      <c r="F454" s="7" t="s">
        <v>1372</v>
      </c>
      <c r="G454" s="66" t="s">
        <v>1373</v>
      </c>
      <c r="H454" s="66"/>
      <c r="I454" s="7" t="s">
        <v>1374</v>
      </c>
      <c r="J454" s="7" t="s">
        <v>82</v>
      </c>
      <c r="K454" s="45" t="s">
        <v>83</v>
      </c>
      <c r="L454" s="7">
        <v>1982.14</v>
      </c>
      <c r="M454" s="7">
        <v>16517.86</v>
      </c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>
        <v>18500.0</v>
      </c>
      <c r="AC454" s="7">
        <f t="shared" si="11"/>
        <v>0</v>
      </c>
      <c r="AD454" s="7"/>
      <c r="AE454" s="7">
        <v>165.18</v>
      </c>
    </row>
    <row r="455" ht="15.75" customHeight="1">
      <c r="A455" s="74" t="s">
        <v>1375</v>
      </c>
      <c r="B455" s="47" t="s">
        <v>1376</v>
      </c>
      <c r="C455" s="48">
        <v>45919.0</v>
      </c>
      <c r="D455" s="48">
        <v>45919.0</v>
      </c>
      <c r="E455" s="7"/>
      <c r="F455" s="7"/>
      <c r="G455" s="66"/>
      <c r="H455" s="66"/>
      <c r="I455" s="7" t="s">
        <v>1377</v>
      </c>
      <c r="J455" s="7" t="s">
        <v>1378</v>
      </c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>
        <v>5000.0</v>
      </c>
      <c r="AB455" s="7">
        <v>5000.0</v>
      </c>
      <c r="AC455" s="7">
        <f t="shared" si="11"/>
        <v>0</v>
      </c>
      <c r="AD455" s="7"/>
      <c r="AE455" s="7"/>
    </row>
    <row r="456" ht="15.75" customHeight="1">
      <c r="A456" s="74" t="s">
        <v>1379</v>
      </c>
      <c r="B456" s="75" t="s">
        <v>1380</v>
      </c>
      <c r="C456" s="48">
        <v>45922.0</v>
      </c>
      <c r="D456" s="48">
        <v>45922.0</v>
      </c>
      <c r="E456" s="48">
        <v>45923.0</v>
      </c>
      <c r="F456" s="7" t="s">
        <v>1381</v>
      </c>
      <c r="G456" s="66" t="s">
        <v>1382</v>
      </c>
      <c r="H456" s="66"/>
      <c r="I456" s="7" t="s">
        <v>1383</v>
      </c>
      <c r="J456" s="7" t="s">
        <v>46</v>
      </c>
      <c r="K456" s="45" t="s">
        <v>47</v>
      </c>
      <c r="L456" s="7">
        <v>360.0</v>
      </c>
      <c r="M456" s="7">
        <v>3000.0</v>
      </c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>
        <v>3360.0</v>
      </c>
      <c r="AC456" s="7">
        <f t="shared" si="11"/>
        <v>0</v>
      </c>
      <c r="AD456" s="7"/>
      <c r="AE456" s="7">
        <v>30.0</v>
      </c>
    </row>
    <row r="457" ht="15.75" customHeight="1">
      <c r="A457" s="74" t="s">
        <v>1384</v>
      </c>
      <c r="B457" s="75" t="s">
        <v>1385</v>
      </c>
      <c r="C457" s="48">
        <v>45929.0</v>
      </c>
      <c r="D457" s="48">
        <v>45922.0</v>
      </c>
      <c r="E457" s="48">
        <v>45922.0</v>
      </c>
      <c r="F457" s="7" t="s">
        <v>1386</v>
      </c>
      <c r="G457" s="66" t="s">
        <v>1387</v>
      </c>
      <c r="H457" s="66"/>
      <c r="I457" s="7" t="s">
        <v>1388</v>
      </c>
      <c r="J457" s="45" t="s">
        <v>91</v>
      </c>
      <c r="K457" s="45" t="s">
        <v>92</v>
      </c>
      <c r="L457" s="7">
        <v>2321.79</v>
      </c>
      <c r="M457" s="7">
        <v>19348.21</v>
      </c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>
        <v>21670.0</v>
      </c>
      <c r="AC457" s="7">
        <f t="shared" si="11"/>
        <v>0</v>
      </c>
      <c r="AD457" s="7"/>
      <c r="AE457" s="7">
        <v>193.48</v>
      </c>
    </row>
    <row r="458" ht="15.75" customHeight="1">
      <c r="A458" s="74" t="s">
        <v>1389</v>
      </c>
      <c r="B458" s="47" t="s">
        <v>1390</v>
      </c>
      <c r="C458" s="48">
        <v>45922.0</v>
      </c>
      <c r="D458" s="48">
        <v>45922.0</v>
      </c>
      <c r="E458" s="7"/>
      <c r="F458" s="7"/>
      <c r="G458" s="66"/>
      <c r="H458" s="66"/>
      <c r="I458" s="7" t="s">
        <v>30</v>
      </c>
      <c r="J458" s="7" t="s">
        <v>41</v>
      </c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>
        <v>200000.0</v>
      </c>
      <c r="AA458" s="7"/>
      <c r="AB458" s="7">
        <v>200000.0</v>
      </c>
      <c r="AC458" s="7">
        <f t="shared" si="11"/>
        <v>0</v>
      </c>
      <c r="AD458" s="7"/>
      <c r="AE458" s="7"/>
    </row>
    <row r="459" ht="15.75" customHeight="1">
      <c r="A459" s="74" t="s">
        <v>1391</v>
      </c>
      <c r="B459" s="75" t="s">
        <v>1392</v>
      </c>
      <c r="C459" s="48">
        <v>45924.0</v>
      </c>
      <c r="D459" s="48">
        <v>45924.0</v>
      </c>
      <c r="E459" s="7"/>
      <c r="F459" s="7"/>
      <c r="G459" s="66"/>
      <c r="H459" s="66" t="s">
        <v>1393</v>
      </c>
      <c r="I459" s="7" t="s">
        <v>451</v>
      </c>
      <c r="J459" s="7" t="s">
        <v>41</v>
      </c>
      <c r="K459" s="7"/>
      <c r="L459" s="7"/>
      <c r="M459" s="7"/>
      <c r="N459" s="7"/>
      <c r="O459" s="7"/>
      <c r="P459" s="7"/>
      <c r="Q459" s="7"/>
      <c r="R459" s="7"/>
      <c r="S459" s="7"/>
      <c r="T459" s="7">
        <v>4185.34</v>
      </c>
      <c r="U459" s="7"/>
      <c r="V459" s="7"/>
      <c r="W459" s="7"/>
      <c r="X459" s="7"/>
      <c r="Y459" s="7"/>
      <c r="Z459" s="7"/>
      <c r="AA459" s="7"/>
      <c r="AB459" s="7">
        <v>4185.34</v>
      </c>
      <c r="AC459" s="7">
        <f t="shared" si="11"/>
        <v>0</v>
      </c>
      <c r="AD459" s="7"/>
      <c r="AE459" s="7"/>
    </row>
    <row r="460" ht="15.75" customHeight="1">
      <c r="A460" s="74" t="s">
        <v>1394</v>
      </c>
      <c r="B460" s="75" t="s">
        <v>1395</v>
      </c>
      <c r="C460" s="48">
        <v>45924.0</v>
      </c>
      <c r="D460" s="48">
        <v>45924.0</v>
      </c>
      <c r="E460" s="7"/>
      <c r="F460" s="7"/>
      <c r="G460" s="66"/>
      <c r="H460" s="66"/>
      <c r="I460" s="7" t="s">
        <v>144</v>
      </c>
      <c r="J460" s="7" t="s">
        <v>50</v>
      </c>
      <c r="K460" s="7"/>
      <c r="L460" s="7">
        <v>1396.02</v>
      </c>
      <c r="M460" s="7"/>
      <c r="N460" s="7"/>
      <c r="O460" s="7"/>
      <c r="P460" s="7"/>
      <c r="Q460" s="7"/>
      <c r="R460" s="7"/>
      <c r="S460" s="7">
        <v>11633.47</v>
      </c>
      <c r="T460" s="7"/>
      <c r="U460" s="7"/>
      <c r="V460" s="7"/>
      <c r="W460" s="7"/>
      <c r="X460" s="7"/>
      <c r="Y460" s="7"/>
      <c r="Z460" s="7"/>
      <c r="AA460" s="7"/>
      <c r="AB460" s="7">
        <v>13029.49</v>
      </c>
      <c r="AC460" s="7">
        <f t="shared" si="11"/>
        <v>0</v>
      </c>
      <c r="AD460" s="7"/>
      <c r="AE460" s="7"/>
    </row>
    <row r="461" ht="15.75" customHeight="1">
      <c r="A461" s="74" t="s">
        <v>1396</v>
      </c>
      <c r="B461" s="75" t="s">
        <v>1397</v>
      </c>
      <c r="C461" s="48">
        <v>45930.0</v>
      </c>
      <c r="D461" s="48">
        <v>45930.0</v>
      </c>
      <c r="E461" s="7"/>
      <c r="F461" s="7"/>
      <c r="G461" s="66"/>
      <c r="H461" s="66"/>
      <c r="I461" s="7" t="s">
        <v>94</v>
      </c>
      <c r="J461" s="7" t="s">
        <v>742</v>
      </c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>
        <v>28160.0</v>
      </c>
      <c r="AB461" s="7">
        <v>28160.0</v>
      </c>
      <c r="AC461" s="7">
        <f t="shared" si="11"/>
        <v>0</v>
      </c>
      <c r="AD461" s="7"/>
      <c r="AE461" s="7"/>
    </row>
    <row r="462" ht="15.75" customHeight="1">
      <c r="A462" s="74" t="s">
        <v>1398</v>
      </c>
      <c r="B462" s="75" t="s">
        <v>1399</v>
      </c>
      <c r="C462" s="48">
        <v>45930.0</v>
      </c>
      <c r="D462" s="48">
        <v>45930.0</v>
      </c>
      <c r="E462" s="7"/>
      <c r="F462" s="7"/>
      <c r="G462" s="66"/>
      <c r="H462" s="66"/>
      <c r="I462" s="7" t="s">
        <v>94</v>
      </c>
      <c r="J462" s="7" t="s">
        <v>97</v>
      </c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>
        <v>10000.0</v>
      </c>
      <c r="AB462" s="7">
        <v>10000.0</v>
      </c>
      <c r="AC462" s="7">
        <f t="shared" si="11"/>
        <v>0</v>
      </c>
      <c r="AD462" s="7"/>
      <c r="AE462" s="7"/>
    </row>
    <row r="463" ht="15.75" customHeight="1">
      <c r="A463" s="74" t="s">
        <v>1400</v>
      </c>
      <c r="B463" s="47" t="s">
        <v>1401</v>
      </c>
      <c r="C463" s="48">
        <v>45938.0</v>
      </c>
      <c r="D463" s="48">
        <v>45930.0</v>
      </c>
      <c r="E463" s="48">
        <v>45931.0</v>
      </c>
      <c r="F463" s="7" t="s">
        <v>1402</v>
      </c>
      <c r="G463" s="66" t="s">
        <v>1403</v>
      </c>
      <c r="H463" s="66"/>
      <c r="I463" s="7" t="s">
        <v>1404</v>
      </c>
      <c r="J463" s="45" t="s">
        <v>91</v>
      </c>
      <c r="K463" s="45" t="s">
        <v>92</v>
      </c>
      <c r="L463" s="7">
        <v>15762.86</v>
      </c>
      <c r="M463" s="7">
        <v>131357.14</v>
      </c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>
        <v>147120.0</v>
      </c>
      <c r="AC463" s="7">
        <f t="shared" si="11"/>
        <v>0</v>
      </c>
      <c r="AD463" s="7"/>
      <c r="AE463" s="7">
        <v>1313.57</v>
      </c>
    </row>
    <row r="464" ht="15.75" customHeight="1">
      <c r="A464" s="52">
        <v>45931.0</v>
      </c>
      <c r="B464" s="53"/>
      <c r="C464" s="54"/>
      <c r="D464" s="54"/>
      <c r="E464" s="54"/>
      <c r="F464" s="53"/>
      <c r="G464" s="55"/>
      <c r="H464" s="55"/>
      <c r="I464" s="53"/>
      <c r="J464" s="53"/>
      <c r="K464" s="53"/>
      <c r="L464" s="56"/>
      <c r="M464" s="56"/>
      <c r="N464" s="56"/>
      <c r="O464" s="53"/>
      <c r="P464" s="53"/>
      <c r="Q464" s="53"/>
      <c r="R464" s="53"/>
      <c r="S464" s="53"/>
      <c r="T464" s="56"/>
      <c r="U464" s="57"/>
      <c r="V464" s="57"/>
      <c r="W464" s="57"/>
      <c r="X464" s="58"/>
      <c r="Y464" s="57"/>
      <c r="Z464" s="58"/>
      <c r="AA464" s="58"/>
      <c r="AB464" s="56"/>
      <c r="AC464" s="59"/>
      <c r="AD464" s="57"/>
      <c r="AE464" s="56"/>
    </row>
    <row r="465" ht="15.75" customHeight="1">
      <c r="A465" s="61"/>
      <c r="B465" s="45"/>
      <c r="C465" s="48"/>
      <c r="D465" s="48"/>
      <c r="E465" s="48"/>
      <c r="F465" s="45"/>
      <c r="G465" s="47"/>
      <c r="H465" s="47"/>
      <c r="I465" s="9" t="s">
        <v>1405</v>
      </c>
      <c r="J465" s="43" t="s">
        <v>37</v>
      </c>
      <c r="K465" s="45"/>
      <c r="L465" s="7"/>
      <c r="M465" s="7"/>
      <c r="N465" s="7"/>
      <c r="O465" s="45"/>
      <c r="P465" s="45"/>
      <c r="Q465" s="7">
        <v>62922.14</v>
      </c>
      <c r="R465" s="45"/>
      <c r="S465" s="45"/>
      <c r="T465" s="7"/>
      <c r="X465" s="6"/>
      <c r="Z465" s="6"/>
      <c r="AA465" s="6"/>
      <c r="AB465" s="7">
        <v>62922.14</v>
      </c>
      <c r="AC465" s="7">
        <f t="shared" ref="AC465:AC520" si="12">SUM(AB465)-SUM(L465:AA465)</f>
        <v>0</v>
      </c>
      <c r="AD465" s="44" t="s">
        <v>38</v>
      </c>
      <c r="AE465" s="7"/>
    </row>
    <row r="466" ht="15.75" customHeight="1">
      <c r="A466" s="74" t="s">
        <v>1406</v>
      </c>
      <c r="B466" s="47" t="s">
        <v>1407</v>
      </c>
      <c r="C466" s="48">
        <v>45931.0</v>
      </c>
      <c r="D466" s="48">
        <v>45931.0</v>
      </c>
      <c r="E466" s="7"/>
      <c r="F466" s="7"/>
      <c r="G466" s="66"/>
      <c r="H466" s="66"/>
      <c r="I466" s="7" t="s">
        <v>30</v>
      </c>
      <c r="J466" s="7" t="s">
        <v>41</v>
      </c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>
        <v>300000.0</v>
      </c>
      <c r="AA466" s="7"/>
      <c r="AB466" s="7">
        <v>300000.0</v>
      </c>
      <c r="AC466" s="7">
        <f t="shared" si="12"/>
        <v>0</v>
      </c>
      <c r="AD466" s="7"/>
      <c r="AE466" s="7"/>
    </row>
    <row r="467" ht="15.75" customHeight="1">
      <c r="A467" s="74" t="s">
        <v>1408</v>
      </c>
      <c r="B467" s="75" t="s">
        <v>1409</v>
      </c>
      <c r="C467" s="48">
        <v>45931.0</v>
      </c>
      <c r="D467" s="48">
        <v>45931.0</v>
      </c>
      <c r="E467" s="7"/>
      <c r="F467" s="7"/>
      <c r="G467" s="66"/>
      <c r="H467" s="66" t="s">
        <v>1410</v>
      </c>
      <c r="I467" s="7" t="s">
        <v>1411</v>
      </c>
      <c r="J467" s="7" t="s">
        <v>50</v>
      </c>
      <c r="K467" s="7"/>
      <c r="L467" s="7"/>
      <c r="M467" s="7"/>
      <c r="N467" s="7"/>
      <c r="O467" s="7"/>
      <c r="P467" s="7"/>
      <c r="Q467" s="7"/>
      <c r="R467" s="7"/>
      <c r="S467" s="7"/>
      <c r="T467" s="7">
        <v>11623.25</v>
      </c>
      <c r="U467" s="7"/>
      <c r="V467" s="7"/>
      <c r="W467" s="7"/>
      <c r="X467" s="7"/>
      <c r="Y467" s="7"/>
      <c r="Z467" s="7"/>
      <c r="AA467" s="7"/>
      <c r="AB467" s="7">
        <v>11623.25</v>
      </c>
      <c r="AC467" s="7">
        <f t="shared" si="12"/>
        <v>0</v>
      </c>
      <c r="AD467" s="7"/>
      <c r="AE467" s="7"/>
    </row>
    <row r="468" ht="15.75" customHeight="1">
      <c r="A468" s="74" t="s">
        <v>1412</v>
      </c>
      <c r="B468" s="75" t="s">
        <v>1413</v>
      </c>
      <c r="C468" s="48">
        <v>45978.0</v>
      </c>
      <c r="D468" s="48">
        <v>45931.0</v>
      </c>
      <c r="E468" s="48">
        <v>45932.0</v>
      </c>
      <c r="F468" s="7" t="s">
        <v>1414</v>
      </c>
      <c r="G468" s="66" t="s">
        <v>366</v>
      </c>
      <c r="H468" s="66"/>
      <c r="I468" s="7" t="s">
        <v>367</v>
      </c>
      <c r="J468" s="7" t="s">
        <v>76</v>
      </c>
      <c r="K468" s="45" t="s">
        <v>77</v>
      </c>
      <c r="L468" s="7">
        <v>9107.14</v>
      </c>
      <c r="M468" s="7">
        <v>75892.86</v>
      </c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>
        <v>85000.0</v>
      </c>
      <c r="AC468" s="7">
        <f t="shared" si="12"/>
        <v>0</v>
      </c>
      <c r="AD468" s="7"/>
      <c r="AE468" s="7">
        <v>758.93</v>
      </c>
    </row>
    <row r="469" ht="15.75" customHeight="1">
      <c r="A469" s="74" t="s">
        <v>1415</v>
      </c>
      <c r="B469" s="75" t="s">
        <v>1416</v>
      </c>
      <c r="C469" s="48">
        <v>45964.0</v>
      </c>
      <c r="D469" s="48">
        <v>45931.0</v>
      </c>
      <c r="E469" s="48">
        <v>45951.0</v>
      </c>
      <c r="F469" s="7" t="s">
        <v>1417</v>
      </c>
      <c r="G469" s="66" t="s">
        <v>1418</v>
      </c>
      <c r="H469" s="66"/>
      <c r="I469" s="7" t="s">
        <v>1419</v>
      </c>
      <c r="J469" s="7" t="s">
        <v>82</v>
      </c>
      <c r="K469" s="45" t="s">
        <v>83</v>
      </c>
      <c r="L469" s="7">
        <v>12342.86</v>
      </c>
      <c r="M469" s="7">
        <v>102857.14</v>
      </c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>
        <v>115200.0</v>
      </c>
      <c r="AC469" s="7">
        <f t="shared" si="12"/>
        <v>0</v>
      </c>
      <c r="AD469" s="7"/>
      <c r="AE469" s="7">
        <v>1028.57</v>
      </c>
    </row>
    <row r="470" ht="15.75" customHeight="1">
      <c r="A470" s="74" t="s">
        <v>1420</v>
      </c>
      <c r="B470" s="75" t="s">
        <v>1421</v>
      </c>
      <c r="C470" s="48">
        <v>45978.0</v>
      </c>
      <c r="D470" s="48">
        <v>45931.0</v>
      </c>
      <c r="E470" s="48">
        <v>45932.0</v>
      </c>
      <c r="F470" s="7" t="s">
        <v>1422</v>
      </c>
      <c r="G470" s="66" t="s">
        <v>1423</v>
      </c>
      <c r="H470" s="66"/>
      <c r="I470" s="7" t="s">
        <v>1424</v>
      </c>
      <c r="J470" s="7" t="s">
        <v>76</v>
      </c>
      <c r="K470" s="45" t="s">
        <v>77</v>
      </c>
      <c r="L470" s="7">
        <v>5089.29</v>
      </c>
      <c r="M470" s="7">
        <v>42410.71</v>
      </c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>
        <v>47500.0</v>
      </c>
      <c r="AC470" s="7">
        <f t="shared" si="12"/>
        <v>0</v>
      </c>
      <c r="AD470" s="7"/>
      <c r="AE470" s="7">
        <v>424.11</v>
      </c>
    </row>
    <row r="471" ht="15.75" customHeight="1">
      <c r="A471" s="74" t="s">
        <v>1425</v>
      </c>
      <c r="B471" s="75" t="s">
        <v>1426</v>
      </c>
      <c r="C471" s="48">
        <v>45932.0</v>
      </c>
      <c r="D471" s="48">
        <v>45932.0</v>
      </c>
      <c r="E471" s="48">
        <v>45944.0</v>
      </c>
      <c r="F471" s="7" t="s">
        <v>1427</v>
      </c>
      <c r="G471" s="66" t="s">
        <v>1428</v>
      </c>
      <c r="H471" s="66"/>
      <c r="I471" s="7" t="s">
        <v>1429</v>
      </c>
      <c r="J471" s="45" t="s">
        <v>91</v>
      </c>
      <c r="K471" s="45" t="s">
        <v>92</v>
      </c>
      <c r="L471" s="7">
        <v>341.79</v>
      </c>
      <c r="M471" s="7">
        <v>2848.21</v>
      </c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>
        <v>3190.0</v>
      </c>
      <c r="AC471" s="7">
        <f t="shared" si="12"/>
        <v>0</v>
      </c>
      <c r="AD471" s="7"/>
      <c r="AE471" s="7">
        <v>28.48</v>
      </c>
    </row>
    <row r="472" ht="15.75" customHeight="1">
      <c r="A472" s="74" t="s">
        <v>1430</v>
      </c>
      <c r="B472" s="75" t="s">
        <v>1431</v>
      </c>
      <c r="C472" s="48">
        <v>45980.0</v>
      </c>
      <c r="D472" s="48">
        <v>45932.0</v>
      </c>
      <c r="E472" s="48">
        <v>45950.0</v>
      </c>
      <c r="F472" s="7" t="s">
        <v>1432</v>
      </c>
      <c r="G472" s="66" t="s">
        <v>1433</v>
      </c>
      <c r="H472" s="66"/>
      <c r="I472" s="7" t="s">
        <v>1434</v>
      </c>
      <c r="J472" s="7" t="s">
        <v>76</v>
      </c>
      <c r="K472" s="45" t="s">
        <v>77</v>
      </c>
      <c r="L472" s="7">
        <v>2357.14</v>
      </c>
      <c r="M472" s="7">
        <v>19642.86</v>
      </c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>
        <v>22000.0</v>
      </c>
      <c r="AC472" s="7">
        <f t="shared" si="12"/>
        <v>0</v>
      </c>
      <c r="AD472" s="7"/>
      <c r="AE472" s="7">
        <v>196.43</v>
      </c>
    </row>
    <row r="473" ht="15.75" customHeight="1">
      <c r="A473" s="74" t="s">
        <v>1435</v>
      </c>
      <c r="B473" s="47" t="s">
        <v>1436</v>
      </c>
      <c r="C473" s="48">
        <v>45932.0</v>
      </c>
      <c r="D473" s="48">
        <v>45932.0</v>
      </c>
      <c r="E473" s="7"/>
      <c r="F473" s="7"/>
      <c r="G473" s="66"/>
      <c r="H473" s="66"/>
      <c r="I473" s="7" t="s">
        <v>598</v>
      </c>
      <c r="J473" s="7" t="s">
        <v>119</v>
      </c>
      <c r="K473" s="7"/>
      <c r="L473" s="7"/>
      <c r="M473" s="7"/>
      <c r="N473" s="7"/>
      <c r="O473" s="7"/>
      <c r="P473" s="7">
        <v>60000.0</v>
      </c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>
        <v>60000.0</v>
      </c>
      <c r="AC473" s="7">
        <f t="shared" si="12"/>
        <v>0</v>
      </c>
      <c r="AD473" s="7"/>
      <c r="AE473" s="7"/>
    </row>
    <row r="474" ht="15.75" customHeight="1">
      <c r="A474" s="74" t="s">
        <v>1437</v>
      </c>
      <c r="B474" s="75" t="s">
        <v>1438</v>
      </c>
      <c r="C474" s="48">
        <v>45936.0</v>
      </c>
      <c r="D474" s="48">
        <v>45936.0</v>
      </c>
      <c r="E474" s="7"/>
      <c r="F474" s="7"/>
      <c r="G474" s="66"/>
      <c r="H474" s="66" t="s">
        <v>1439</v>
      </c>
      <c r="I474" s="7" t="s">
        <v>1440</v>
      </c>
      <c r="J474" s="7" t="s">
        <v>50</v>
      </c>
      <c r="K474" s="7"/>
      <c r="L474" s="7"/>
      <c r="M474" s="7"/>
      <c r="N474" s="7"/>
      <c r="O474" s="7"/>
      <c r="P474" s="7"/>
      <c r="Q474" s="7"/>
      <c r="R474" s="7"/>
      <c r="S474" s="7"/>
      <c r="T474" s="7">
        <v>9980.86</v>
      </c>
      <c r="U474" s="7"/>
      <c r="V474" s="7"/>
      <c r="W474" s="7"/>
      <c r="X474" s="7"/>
      <c r="Y474" s="7"/>
      <c r="Z474" s="7"/>
      <c r="AA474" s="7"/>
      <c r="AB474" s="7">
        <v>9980.86</v>
      </c>
      <c r="AC474" s="7">
        <f t="shared" si="12"/>
        <v>0</v>
      </c>
      <c r="AD474" s="7"/>
      <c r="AE474" s="7"/>
    </row>
    <row r="475" ht="15.75" customHeight="1">
      <c r="A475" s="74" t="s">
        <v>1441</v>
      </c>
      <c r="B475" s="75" t="s">
        <v>1442</v>
      </c>
      <c r="C475" s="48">
        <v>45937.0</v>
      </c>
      <c r="D475" s="48">
        <v>45937.0</v>
      </c>
      <c r="E475" s="48">
        <v>45938.0</v>
      </c>
      <c r="F475" s="7" t="s">
        <v>1443</v>
      </c>
      <c r="G475" s="66"/>
      <c r="H475" s="66"/>
      <c r="I475" s="7" t="s">
        <v>1444</v>
      </c>
      <c r="J475" s="7" t="s">
        <v>947</v>
      </c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>
        <v>5875.0</v>
      </c>
      <c r="AB475" s="7">
        <v>5875.0</v>
      </c>
      <c r="AC475" s="7">
        <f t="shared" si="12"/>
        <v>0</v>
      </c>
      <c r="AD475" s="7"/>
      <c r="AE475" s="7"/>
    </row>
    <row r="476" ht="15.75" customHeight="1">
      <c r="A476" s="74" t="s">
        <v>1445</v>
      </c>
      <c r="B476" s="75" t="s">
        <v>1446</v>
      </c>
      <c r="C476" s="48">
        <v>45939.0</v>
      </c>
      <c r="D476" s="48">
        <v>45938.0</v>
      </c>
      <c r="E476" s="48">
        <v>45939.0</v>
      </c>
      <c r="F476" s="7" t="s">
        <v>1447</v>
      </c>
      <c r="G476" s="66" t="s">
        <v>1448</v>
      </c>
      <c r="H476" s="66"/>
      <c r="I476" s="7" t="s">
        <v>717</v>
      </c>
      <c r="J476" s="7" t="s">
        <v>718</v>
      </c>
      <c r="K476" s="7" t="s">
        <v>719</v>
      </c>
      <c r="L476" s="7">
        <v>291.96</v>
      </c>
      <c r="M476" s="7">
        <v>2433.04</v>
      </c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>
        <v>2725.0</v>
      </c>
      <c r="AC476" s="7">
        <f t="shared" si="12"/>
        <v>0</v>
      </c>
      <c r="AD476" s="7"/>
      <c r="AE476" s="7">
        <v>24.33</v>
      </c>
    </row>
    <row r="477" ht="15.75" customHeight="1">
      <c r="A477" s="74" t="s">
        <v>1449</v>
      </c>
      <c r="B477" s="75" t="s">
        <v>1450</v>
      </c>
      <c r="C477" s="48">
        <v>45943.0</v>
      </c>
      <c r="D477" s="48">
        <v>45943.0</v>
      </c>
      <c r="E477" s="7"/>
      <c r="F477" s="7"/>
      <c r="G477" s="66"/>
      <c r="H477" s="66"/>
      <c r="I477" s="45" t="s">
        <v>1451</v>
      </c>
      <c r="J477" s="45" t="s">
        <v>22</v>
      </c>
      <c r="K477" s="7"/>
      <c r="L477" s="7">
        <v>151.09</v>
      </c>
      <c r="M477" s="7"/>
      <c r="N477" s="7"/>
      <c r="O477" s="7"/>
      <c r="P477" s="7"/>
      <c r="Q477" s="7"/>
      <c r="R477" s="7">
        <v>1259.06</v>
      </c>
      <c r="S477" s="7"/>
      <c r="T477" s="7"/>
      <c r="U477" s="7"/>
      <c r="V477" s="7"/>
      <c r="W477" s="7"/>
      <c r="X477" s="7"/>
      <c r="Y477" s="7"/>
      <c r="Z477" s="7"/>
      <c r="AA477" s="7"/>
      <c r="AB477" s="7">
        <v>1410.15</v>
      </c>
      <c r="AC477" s="7">
        <f t="shared" si="12"/>
        <v>0</v>
      </c>
      <c r="AD477" s="7"/>
      <c r="AE477" s="7"/>
    </row>
    <row r="478" ht="15.75" customHeight="1">
      <c r="A478" s="74" t="s">
        <v>1452</v>
      </c>
      <c r="B478" s="75" t="s">
        <v>1453</v>
      </c>
      <c r="C478" s="48">
        <v>45943.0</v>
      </c>
      <c r="D478" s="48">
        <v>45943.0</v>
      </c>
      <c r="E478" s="7"/>
      <c r="F478" s="7"/>
      <c r="G478" s="66"/>
      <c r="H478" s="66"/>
      <c r="I478" s="45" t="s">
        <v>1451</v>
      </c>
      <c r="J478" s="45" t="s">
        <v>22</v>
      </c>
      <c r="K478" s="7"/>
      <c r="L478" s="7">
        <v>811.09</v>
      </c>
      <c r="M478" s="7"/>
      <c r="N478" s="7"/>
      <c r="O478" s="7"/>
      <c r="P478" s="7"/>
      <c r="Q478" s="7"/>
      <c r="R478" s="7">
        <v>6759.06</v>
      </c>
      <c r="S478" s="7"/>
      <c r="T478" s="7"/>
      <c r="U478" s="7"/>
      <c r="V478" s="7"/>
      <c r="W478" s="7"/>
      <c r="X478" s="7"/>
      <c r="Y478" s="7"/>
      <c r="Z478" s="7"/>
      <c r="AA478" s="7"/>
      <c r="AB478" s="7">
        <v>7570.15</v>
      </c>
      <c r="AC478" s="7">
        <f t="shared" si="12"/>
        <v>0</v>
      </c>
      <c r="AD478" s="7"/>
      <c r="AE478" s="7"/>
    </row>
    <row r="479" ht="15.75" customHeight="1">
      <c r="A479" s="74" t="s">
        <v>1454</v>
      </c>
      <c r="B479" s="75" t="s">
        <v>1455</v>
      </c>
      <c r="C479" s="48">
        <v>45943.0</v>
      </c>
      <c r="D479" s="48">
        <v>45943.0</v>
      </c>
      <c r="E479" s="7"/>
      <c r="F479" s="7"/>
      <c r="G479" s="66"/>
      <c r="H479" s="66"/>
      <c r="I479" s="45" t="s">
        <v>1456</v>
      </c>
      <c r="J479" s="7" t="s">
        <v>58</v>
      </c>
      <c r="K479" s="7"/>
      <c r="L479" s="7">
        <v>32.14</v>
      </c>
      <c r="M479" s="7"/>
      <c r="N479" s="7"/>
      <c r="O479" s="7"/>
      <c r="P479" s="7"/>
      <c r="Q479" s="7"/>
      <c r="R479" s="7"/>
      <c r="S479" s="7">
        <v>267.86</v>
      </c>
      <c r="T479" s="7"/>
      <c r="U479" s="7"/>
      <c r="V479" s="7"/>
      <c r="W479" s="7"/>
      <c r="X479" s="7"/>
      <c r="Y479" s="7"/>
      <c r="Z479" s="7"/>
      <c r="AA479" s="7"/>
      <c r="AB479" s="7">
        <v>300.0</v>
      </c>
      <c r="AC479" s="7">
        <f t="shared" si="12"/>
        <v>0</v>
      </c>
      <c r="AD479" s="7"/>
      <c r="AE479" s="7"/>
    </row>
    <row r="480" ht="15.75" customHeight="1">
      <c r="A480" s="74" t="s">
        <v>1457</v>
      </c>
      <c r="B480" s="75" t="s">
        <v>1458</v>
      </c>
      <c r="C480" s="48">
        <v>45943.0</v>
      </c>
      <c r="D480" s="48">
        <v>45943.0</v>
      </c>
      <c r="E480" s="7"/>
      <c r="F480" s="7"/>
      <c r="G480" s="66"/>
      <c r="H480" s="66"/>
      <c r="I480" s="7" t="s">
        <v>1459</v>
      </c>
      <c r="J480" s="7" t="s">
        <v>103</v>
      </c>
      <c r="K480" s="7"/>
      <c r="L480" s="7">
        <v>160.61</v>
      </c>
      <c r="M480" s="7"/>
      <c r="N480" s="7"/>
      <c r="O480" s="7"/>
      <c r="P480" s="7"/>
      <c r="Q480" s="7"/>
      <c r="R480" s="7"/>
      <c r="S480" s="7">
        <v>1338.39</v>
      </c>
      <c r="T480" s="7"/>
      <c r="U480" s="7"/>
      <c r="V480" s="7"/>
      <c r="W480" s="7"/>
      <c r="X480" s="7"/>
      <c r="Y480" s="7"/>
      <c r="Z480" s="7"/>
      <c r="AA480" s="7"/>
      <c r="AB480" s="7">
        <v>1499.0</v>
      </c>
      <c r="AC480" s="7">
        <f t="shared" si="12"/>
        <v>0</v>
      </c>
      <c r="AD480" s="7"/>
      <c r="AE480" s="7"/>
    </row>
    <row r="481" ht="15.75" customHeight="1">
      <c r="A481" s="74" t="s">
        <v>1460</v>
      </c>
      <c r="B481" s="75" t="s">
        <v>1461</v>
      </c>
      <c r="C481" s="48">
        <v>45943.0</v>
      </c>
      <c r="D481" s="48">
        <v>45943.0</v>
      </c>
      <c r="E481" s="7"/>
      <c r="F481" s="7"/>
      <c r="G481" s="66"/>
      <c r="H481" s="66"/>
      <c r="I481" s="7" t="s">
        <v>1462</v>
      </c>
      <c r="J481" s="7" t="s">
        <v>103</v>
      </c>
      <c r="K481" s="7"/>
      <c r="L481" s="7">
        <v>107.04</v>
      </c>
      <c r="M481" s="7"/>
      <c r="N481" s="7"/>
      <c r="O481" s="7"/>
      <c r="P481" s="7"/>
      <c r="Q481" s="7"/>
      <c r="R481" s="7"/>
      <c r="S481" s="7">
        <v>891.96</v>
      </c>
      <c r="T481" s="7"/>
      <c r="U481" s="7"/>
      <c r="V481" s="7"/>
      <c r="W481" s="7"/>
      <c r="X481" s="7"/>
      <c r="Y481" s="7"/>
      <c r="Z481" s="7"/>
      <c r="AA481" s="7"/>
      <c r="AB481" s="7">
        <v>999.0</v>
      </c>
      <c r="AC481" s="7">
        <f t="shared" si="12"/>
        <v>0</v>
      </c>
      <c r="AD481" s="7"/>
      <c r="AE481" s="7"/>
    </row>
    <row r="482" ht="15.75" customHeight="1">
      <c r="A482" s="74" t="s">
        <v>1463</v>
      </c>
      <c r="B482" s="75" t="s">
        <v>1464</v>
      </c>
      <c r="C482" s="48">
        <v>45943.0</v>
      </c>
      <c r="D482" s="48">
        <v>45943.0</v>
      </c>
      <c r="E482" s="7"/>
      <c r="F482" s="7"/>
      <c r="G482" s="66"/>
      <c r="H482" s="66" t="s">
        <v>1465</v>
      </c>
      <c r="I482" s="7" t="s">
        <v>213</v>
      </c>
      <c r="J482" s="7" t="s">
        <v>50</v>
      </c>
      <c r="K482" s="7"/>
      <c r="L482" s="7"/>
      <c r="M482" s="7"/>
      <c r="N482" s="7"/>
      <c r="O482" s="7"/>
      <c r="P482" s="7"/>
      <c r="Q482" s="7"/>
      <c r="R482" s="7"/>
      <c r="S482" s="7"/>
      <c r="T482" s="7">
        <v>7989.11</v>
      </c>
      <c r="U482" s="7"/>
      <c r="V482" s="7"/>
      <c r="W482" s="7"/>
      <c r="X482" s="7"/>
      <c r="Y482" s="7"/>
      <c r="Z482" s="7"/>
      <c r="AA482" s="7"/>
      <c r="AB482" s="7">
        <v>7989.11</v>
      </c>
      <c r="AC482" s="7">
        <f t="shared" si="12"/>
        <v>0</v>
      </c>
      <c r="AD482" s="7"/>
      <c r="AE482" s="7"/>
    </row>
    <row r="483" ht="15.75" customHeight="1">
      <c r="A483" s="74" t="s">
        <v>1466</v>
      </c>
      <c r="B483" s="75" t="s">
        <v>1467</v>
      </c>
      <c r="C483" s="48">
        <v>45943.0</v>
      </c>
      <c r="D483" s="48">
        <v>45943.0</v>
      </c>
      <c r="E483" s="7"/>
      <c r="F483" s="7"/>
      <c r="G483" s="66" t="s">
        <v>1468</v>
      </c>
      <c r="H483" s="66"/>
      <c r="I483" s="7" t="s">
        <v>1469</v>
      </c>
      <c r="J483" s="7" t="s">
        <v>609</v>
      </c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>
        <v>12500.0</v>
      </c>
      <c r="AB483" s="7">
        <v>12500.0</v>
      </c>
      <c r="AC483" s="7">
        <f t="shared" si="12"/>
        <v>0</v>
      </c>
      <c r="AD483" s="7"/>
      <c r="AE483" s="7"/>
    </row>
    <row r="484" ht="15.75" customHeight="1">
      <c r="A484" s="74" t="s">
        <v>1470</v>
      </c>
      <c r="B484" s="75" t="s">
        <v>1471</v>
      </c>
      <c r="C484" s="48">
        <v>45946.0</v>
      </c>
      <c r="D484" s="48">
        <v>45943.0</v>
      </c>
      <c r="E484" s="48">
        <v>45944.0</v>
      </c>
      <c r="F484" s="7" t="s">
        <v>1472</v>
      </c>
      <c r="G484" s="66" t="s">
        <v>1473</v>
      </c>
      <c r="H484" s="66"/>
      <c r="I484" s="7" t="s">
        <v>1474</v>
      </c>
      <c r="J484" s="7" t="s">
        <v>91</v>
      </c>
      <c r="K484" s="45" t="s">
        <v>92</v>
      </c>
      <c r="L484" s="7">
        <v>3144.64</v>
      </c>
      <c r="M484" s="7">
        <v>26205.36</v>
      </c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>
        <v>29350.0</v>
      </c>
      <c r="AC484" s="7">
        <f t="shared" si="12"/>
        <v>0</v>
      </c>
      <c r="AD484" s="7"/>
      <c r="AE484" s="7">
        <v>262.05</v>
      </c>
    </row>
    <row r="485" ht="15.75" customHeight="1">
      <c r="A485" s="74" t="s">
        <v>1475</v>
      </c>
      <c r="B485" s="75" t="s">
        <v>1476</v>
      </c>
      <c r="C485" s="48">
        <v>45974.0</v>
      </c>
      <c r="D485" s="48">
        <v>45943.0</v>
      </c>
      <c r="E485" s="48">
        <v>45993.0</v>
      </c>
      <c r="F485" s="7" t="s">
        <v>1477</v>
      </c>
      <c r="G485" s="66" t="s">
        <v>1478</v>
      </c>
      <c r="H485" s="66"/>
      <c r="I485" s="7" t="s">
        <v>1292</v>
      </c>
      <c r="J485" s="7" t="s">
        <v>82</v>
      </c>
      <c r="K485" s="45" t="s">
        <v>83</v>
      </c>
      <c r="L485" s="7">
        <v>11571.43</v>
      </c>
      <c r="M485" s="7">
        <v>96428.57</v>
      </c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>
        <v>108000.0</v>
      </c>
      <c r="AC485" s="7">
        <f t="shared" si="12"/>
        <v>0</v>
      </c>
      <c r="AD485" s="7"/>
      <c r="AE485" s="7">
        <v>964.29</v>
      </c>
    </row>
    <row r="486" ht="15.75" customHeight="1">
      <c r="A486" s="74" t="s">
        <v>1479</v>
      </c>
      <c r="B486" s="75" t="s">
        <v>1480</v>
      </c>
      <c r="C486" s="82">
        <v>45943.0</v>
      </c>
      <c r="D486" s="48">
        <v>45943.0</v>
      </c>
      <c r="E486" s="7"/>
      <c r="F486" s="7"/>
      <c r="G486" s="66"/>
      <c r="H486" s="66"/>
      <c r="I486" s="7" t="s">
        <v>94</v>
      </c>
      <c r="J486" s="7" t="s">
        <v>95</v>
      </c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>
        <v>28160.0</v>
      </c>
      <c r="AB486" s="7">
        <v>28160.0</v>
      </c>
      <c r="AC486" s="7">
        <f t="shared" si="12"/>
        <v>0</v>
      </c>
      <c r="AD486" s="7"/>
      <c r="AE486" s="7"/>
    </row>
    <row r="487" ht="15.75" customHeight="1">
      <c r="A487" s="74" t="s">
        <v>1481</v>
      </c>
      <c r="B487" s="75" t="s">
        <v>1482</v>
      </c>
      <c r="C487" s="48">
        <v>45945.0</v>
      </c>
      <c r="D487" s="48">
        <v>45943.0</v>
      </c>
      <c r="E487" s="7"/>
      <c r="F487" s="7"/>
      <c r="G487" s="66"/>
      <c r="H487" s="66"/>
      <c r="I487" s="7" t="s">
        <v>94</v>
      </c>
      <c r="J487" s="7" t="s">
        <v>97</v>
      </c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>
        <v>33125.0</v>
      </c>
      <c r="AB487" s="7">
        <v>33125.0</v>
      </c>
      <c r="AC487" s="7">
        <f t="shared" si="12"/>
        <v>0</v>
      </c>
      <c r="AD487" s="7"/>
      <c r="AE487" s="7"/>
    </row>
    <row r="488" ht="15.75" customHeight="1">
      <c r="A488" s="74" t="s">
        <v>1483</v>
      </c>
      <c r="B488" s="47" t="s">
        <v>1484</v>
      </c>
      <c r="C488" s="48">
        <v>45943.0</v>
      </c>
      <c r="D488" s="48">
        <v>45943.0</v>
      </c>
      <c r="E488" s="48">
        <v>45947.0</v>
      </c>
      <c r="F488" s="7" t="s">
        <v>1485</v>
      </c>
      <c r="G488" s="66"/>
      <c r="H488" s="66"/>
      <c r="I488" s="7" t="s">
        <v>608</v>
      </c>
      <c r="J488" s="7" t="s">
        <v>609</v>
      </c>
      <c r="K488" s="7"/>
      <c r="L488" s="7"/>
      <c r="M488" s="7"/>
      <c r="N488" s="7">
        <v>55230.0</v>
      </c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>
        <v>55230.0</v>
      </c>
      <c r="AC488" s="7">
        <f t="shared" si="12"/>
        <v>0</v>
      </c>
      <c r="AD488" s="7"/>
      <c r="AE488" s="7"/>
    </row>
    <row r="489" ht="15.75" customHeight="1">
      <c r="A489" s="74" t="s">
        <v>1486</v>
      </c>
      <c r="B489" s="47" t="s">
        <v>1487</v>
      </c>
      <c r="C489" s="48">
        <v>45943.0</v>
      </c>
      <c r="D489" s="48">
        <v>45943.0</v>
      </c>
      <c r="E489" s="48">
        <v>45947.0</v>
      </c>
      <c r="F489" s="7" t="s">
        <v>1488</v>
      </c>
      <c r="G489" s="66"/>
      <c r="H489" s="66"/>
      <c r="I489" s="7" t="s">
        <v>1489</v>
      </c>
      <c r="J489" s="7" t="s">
        <v>609</v>
      </c>
      <c r="K489" s="7"/>
      <c r="L489" s="7"/>
      <c r="M489" s="7"/>
      <c r="N489" s="7">
        <v>54425.0</v>
      </c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>
        <v>54425.0</v>
      </c>
      <c r="AC489" s="7">
        <f t="shared" si="12"/>
        <v>0</v>
      </c>
      <c r="AD489" s="7"/>
      <c r="AE489" s="7"/>
    </row>
    <row r="490" ht="15.75" customHeight="1">
      <c r="A490" s="74" t="s">
        <v>1490</v>
      </c>
      <c r="B490" s="47" t="s">
        <v>1491</v>
      </c>
      <c r="C490" s="48">
        <v>45943.0</v>
      </c>
      <c r="D490" s="48">
        <v>45943.0</v>
      </c>
      <c r="E490" s="7"/>
      <c r="F490" s="7"/>
      <c r="G490" s="66"/>
      <c r="H490" s="66"/>
      <c r="I490" s="7" t="s">
        <v>30</v>
      </c>
      <c r="J490" s="7" t="s">
        <v>41</v>
      </c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>
        <v>300000.0</v>
      </c>
      <c r="AA490" s="7"/>
      <c r="AB490" s="7">
        <v>300000.0</v>
      </c>
      <c r="AC490" s="7">
        <f t="shared" si="12"/>
        <v>0</v>
      </c>
      <c r="AD490" s="7"/>
      <c r="AE490" s="7"/>
    </row>
    <row r="491" ht="15.75" customHeight="1">
      <c r="A491" s="74" t="s">
        <v>1492</v>
      </c>
      <c r="B491" s="75" t="s">
        <v>1493</v>
      </c>
      <c r="C491" s="48">
        <v>45977.0</v>
      </c>
      <c r="D491" s="48">
        <v>45943.0</v>
      </c>
      <c r="E491" s="46">
        <v>45945.0</v>
      </c>
      <c r="F491" s="7" t="s">
        <v>1494</v>
      </c>
      <c r="G491" s="66" t="s">
        <v>1495</v>
      </c>
      <c r="H491" s="66"/>
      <c r="I491" s="7" t="s">
        <v>1496</v>
      </c>
      <c r="J491" s="7" t="s">
        <v>349</v>
      </c>
      <c r="K491" s="45" t="s">
        <v>444</v>
      </c>
      <c r="L491" s="7">
        <v>1414.29</v>
      </c>
      <c r="M491" s="7">
        <v>11785.71</v>
      </c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>
        <v>13200.0</v>
      </c>
      <c r="AC491" s="7">
        <f t="shared" si="12"/>
        <v>0</v>
      </c>
      <c r="AD491" s="7"/>
      <c r="AE491" s="7">
        <v>117.86</v>
      </c>
    </row>
    <row r="492" ht="15.75" customHeight="1">
      <c r="A492" s="74" t="s">
        <v>1497</v>
      </c>
      <c r="B492" s="47" t="s">
        <v>1498</v>
      </c>
      <c r="C492" s="48">
        <v>45944.0</v>
      </c>
      <c r="D492" s="48">
        <v>45943.0</v>
      </c>
      <c r="E492" s="46"/>
      <c r="F492" s="7"/>
      <c r="G492" s="66"/>
      <c r="H492" s="66"/>
      <c r="I492" s="7" t="s">
        <v>1499</v>
      </c>
      <c r="J492" s="7" t="s">
        <v>1500</v>
      </c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>
        <v>19964.0</v>
      </c>
      <c r="AB492" s="7">
        <v>19964.0</v>
      </c>
      <c r="AC492" s="7">
        <f t="shared" si="12"/>
        <v>0</v>
      </c>
      <c r="AD492" s="7"/>
      <c r="AE492" s="7"/>
    </row>
    <row r="493" ht="15.75" customHeight="1">
      <c r="A493" s="74" t="s">
        <v>1501</v>
      </c>
      <c r="B493" s="75" t="s">
        <v>1502</v>
      </c>
      <c r="C493" s="48">
        <v>45945.0</v>
      </c>
      <c r="D493" s="48">
        <v>45945.0</v>
      </c>
      <c r="E493" s="46"/>
      <c r="F493" s="7"/>
      <c r="G493" s="66"/>
      <c r="H493" s="66"/>
      <c r="I493" s="7" t="s">
        <v>1503</v>
      </c>
      <c r="J493" s="7" t="s">
        <v>119</v>
      </c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>
        <v>1503.11</v>
      </c>
      <c r="AB493" s="7">
        <v>1503.11</v>
      </c>
      <c r="AC493" s="7">
        <f t="shared" si="12"/>
        <v>0</v>
      </c>
      <c r="AD493" s="7"/>
      <c r="AE493" s="7"/>
    </row>
    <row r="494" ht="15.75" customHeight="1">
      <c r="A494" s="74" t="s">
        <v>1504</v>
      </c>
      <c r="B494" s="75" t="s">
        <v>1505</v>
      </c>
      <c r="C494" s="48">
        <v>45945.0</v>
      </c>
      <c r="D494" s="48">
        <v>45945.0</v>
      </c>
      <c r="E494" s="46"/>
      <c r="F494" s="7"/>
      <c r="G494" s="66"/>
      <c r="H494" s="66"/>
      <c r="I494" s="45" t="s">
        <v>1506</v>
      </c>
      <c r="J494" s="45" t="s">
        <v>100</v>
      </c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>
        <v>8380.27</v>
      </c>
      <c r="Y494" s="7"/>
      <c r="Z494" s="7"/>
      <c r="AA494" s="7"/>
      <c r="AB494" s="7">
        <v>8380.27</v>
      </c>
      <c r="AC494" s="7">
        <f t="shared" si="12"/>
        <v>0</v>
      </c>
      <c r="AD494" s="7"/>
      <c r="AE494" s="7"/>
    </row>
    <row r="495" ht="15.75" customHeight="1">
      <c r="A495" s="74" t="s">
        <v>1507</v>
      </c>
      <c r="B495" s="75" t="s">
        <v>1508</v>
      </c>
      <c r="C495" s="48">
        <v>45945.0</v>
      </c>
      <c r="D495" s="48">
        <v>45945.0</v>
      </c>
      <c r="E495" s="46">
        <v>45945.0</v>
      </c>
      <c r="F495" s="7" t="s">
        <v>1509</v>
      </c>
      <c r="G495" s="66" t="s">
        <v>1510</v>
      </c>
      <c r="H495" s="66"/>
      <c r="I495" s="7" t="s">
        <v>1511</v>
      </c>
      <c r="J495" s="7" t="s">
        <v>91</v>
      </c>
      <c r="K495" s="45" t="s">
        <v>92</v>
      </c>
      <c r="L495" s="7">
        <v>492.86</v>
      </c>
      <c r="M495" s="7">
        <v>4107.14</v>
      </c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>
        <v>4600.0</v>
      </c>
      <c r="AC495" s="7">
        <f t="shared" si="12"/>
        <v>0</v>
      </c>
      <c r="AD495" s="7"/>
      <c r="AE495" s="7">
        <v>41.07</v>
      </c>
    </row>
    <row r="496" ht="15.75" customHeight="1">
      <c r="A496" s="74" t="s">
        <v>1512</v>
      </c>
      <c r="B496" s="75" t="s">
        <v>1513</v>
      </c>
      <c r="C496" s="48">
        <v>45946.0</v>
      </c>
      <c r="D496" s="48">
        <v>45945.0</v>
      </c>
      <c r="E496" s="46">
        <v>45945.0</v>
      </c>
      <c r="F496" s="7" t="s">
        <v>1514</v>
      </c>
      <c r="G496" s="66" t="s">
        <v>1515</v>
      </c>
      <c r="H496" s="66"/>
      <c r="I496" s="7" t="s">
        <v>1516</v>
      </c>
      <c r="J496" s="7" t="s">
        <v>91</v>
      </c>
      <c r="K496" s="45" t="s">
        <v>92</v>
      </c>
      <c r="L496" s="7">
        <v>535.71</v>
      </c>
      <c r="M496" s="7">
        <v>4464.29</v>
      </c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>
        <v>5000.0</v>
      </c>
      <c r="AC496" s="7">
        <f t="shared" si="12"/>
        <v>0</v>
      </c>
      <c r="AD496" s="7"/>
      <c r="AE496" s="7">
        <v>44.64</v>
      </c>
    </row>
    <row r="497" ht="15.75" customHeight="1">
      <c r="A497" s="74" t="s">
        <v>1517</v>
      </c>
      <c r="B497" s="75" t="s">
        <v>1518</v>
      </c>
      <c r="C497" s="48">
        <v>45947.0</v>
      </c>
      <c r="D497" s="48">
        <v>45947.0</v>
      </c>
      <c r="E497" s="46"/>
      <c r="F497" s="7"/>
      <c r="G497" s="66"/>
      <c r="H497" s="66" t="s">
        <v>1519</v>
      </c>
      <c r="I497" s="7" t="s">
        <v>1520</v>
      </c>
      <c r="J497" s="7" t="s">
        <v>119</v>
      </c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>
        <v>5000.0</v>
      </c>
      <c r="AB497" s="7">
        <v>5000.0</v>
      </c>
      <c r="AC497" s="7">
        <f t="shared" si="12"/>
        <v>0</v>
      </c>
      <c r="AD497" s="7"/>
      <c r="AE497" s="7"/>
    </row>
    <row r="498" ht="15.75" customHeight="1">
      <c r="A498" s="74" t="s">
        <v>1521</v>
      </c>
      <c r="B498" s="75" t="s">
        <v>1522</v>
      </c>
      <c r="C498" s="48">
        <v>45950.0</v>
      </c>
      <c r="D498" s="48">
        <v>45950.0</v>
      </c>
      <c r="E498" s="46"/>
      <c r="F498" s="7"/>
      <c r="G498" s="66"/>
      <c r="H498" s="66"/>
      <c r="I498" s="7" t="s">
        <v>1523</v>
      </c>
      <c r="J498" s="7" t="s">
        <v>609</v>
      </c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>
        <v>38000.0</v>
      </c>
      <c r="AB498" s="7">
        <v>38000.0</v>
      </c>
      <c r="AC498" s="7">
        <f t="shared" si="12"/>
        <v>0</v>
      </c>
      <c r="AD498" s="7"/>
      <c r="AE498" s="7"/>
    </row>
    <row r="499" ht="15.75" customHeight="1">
      <c r="A499" s="74" t="s">
        <v>1524</v>
      </c>
      <c r="B499" s="75" t="s">
        <v>1525</v>
      </c>
      <c r="C499" s="48">
        <v>45978.0</v>
      </c>
      <c r="D499" s="48">
        <v>45950.0</v>
      </c>
      <c r="E499" s="48">
        <v>45980.0</v>
      </c>
      <c r="F499" s="7" t="s">
        <v>1526</v>
      </c>
      <c r="G499" s="66" t="s">
        <v>1527</v>
      </c>
      <c r="H499" s="66"/>
      <c r="I499" s="7" t="s">
        <v>1528</v>
      </c>
      <c r="J499" s="7" t="s">
        <v>46</v>
      </c>
      <c r="K499" s="45" t="s">
        <v>47</v>
      </c>
      <c r="L499" s="7">
        <v>3787.5</v>
      </c>
      <c r="M499" s="7">
        <v>31562.5</v>
      </c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>
        <v>35350.0</v>
      </c>
      <c r="AC499" s="7">
        <f t="shared" si="12"/>
        <v>0</v>
      </c>
      <c r="AD499" s="7"/>
      <c r="AE499" s="7">
        <v>315.63</v>
      </c>
    </row>
    <row r="500" ht="15.75" customHeight="1">
      <c r="A500" s="74" t="s">
        <v>1529</v>
      </c>
      <c r="B500" s="75" t="s">
        <v>1530</v>
      </c>
      <c r="C500" s="48">
        <v>45978.0</v>
      </c>
      <c r="D500" s="48">
        <v>45950.0</v>
      </c>
      <c r="E500" s="48">
        <v>45950.0</v>
      </c>
      <c r="F500" s="7" t="s">
        <v>1531</v>
      </c>
      <c r="G500" s="66" t="s">
        <v>1532</v>
      </c>
      <c r="H500" s="66"/>
      <c r="I500" s="7" t="s">
        <v>1014</v>
      </c>
      <c r="J500" s="7" t="s">
        <v>349</v>
      </c>
      <c r="K500" s="45" t="s">
        <v>444</v>
      </c>
      <c r="L500" s="7">
        <v>5142.86</v>
      </c>
      <c r="M500" s="7">
        <v>42857.14</v>
      </c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>
        <v>48000.0</v>
      </c>
      <c r="AC500" s="7">
        <f t="shared" si="12"/>
        <v>0</v>
      </c>
      <c r="AD500" s="7"/>
      <c r="AE500" s="7">
        <v>428.57</v>
      </c>
    </row>
    <row r="501" ht="15.75" customHeight="1">
      <c r="A501" s="74" t="s">
        <v>1533</v>
      </c>
      <c r="B501" s="75" t="s">
        <v>1534</v>
      </c>
      <c r="C501" s="48">
        <v>45950.0</v>
      </c>
      <c r="D501" s="48">
        <v>45950.0</v>
      </c>
      <c r="E501" s="46">
        <v>45953.0</v>
      </c>
      <c r="F501" s="7" t="s">
        <v>1535</v>
      </c>
      <c r="G501" s="66" t="s">
        <v>1536</v>
      </c>
      <c r="H501" s="66"/>
      <c r="I501" s="7" t="s">
        <v>1537</v>
      </c>
      <c r="J501" s="7" t="s">
        <v>1538</v>
      </c>
      <c r="K501" s="7" t="s">
        <v>1539</v>
      </c>
      <c r="L501" s="7">
        <v>964.29</v>
      </c>
      <c r="M501" s="7">
        <v>8035.71</v>
      </c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>
        <v>9000.0</v>
      </c>
      <c r="AC501" s="7">
        <f t="shared" si="12"/>
        <v>0</v>
      </c>
      <c r="AD501" s="7"/>
      <c r="AE501" s="7">
        <v>80.36</v>
      </c>
    </row>
    <row r="502" ht="15.75" customHeight="1">
      <c r="A502" s="74" t="s">
        <v>1540</v>
      </c>
      <c r="B502" s="47" t="s">
        <v>1541</v>
      </c>
      <c r="C502" s="48">
        <v>45957.0</v>
      </c>
      <c r="D502" s="48">
        <v>45950.0</v>
      </c>
      <c r="E502" s="46">
        <v>45950.0</v>
      </c>
      <c r="F502" s="7" t="s">
        <v>1542</v>
      </c>
      <c r="G502" s="66" t="s">
        <v>1543</v>
      </c>
      <c r="H502" s="66"/>
      <c r="I502" s="7" t="s">
        <v>1544</v>
      </c>
      <c r="J502" s="7" t="s">
        <v>91</v>
      </c>
      <c r="K502" s="45" t="s">
        <v>92</v>
      </c>
      <c r="L502" s="7">
        <v>12768.21</v>
      </c>
      <c r="M502" s="7">
        <v>106401.79</v>
      </c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>
        <v>119170.0</v>
      </c>
      <c r="AC502" s="7">
        <f t="shared" si="12"/>
        <v>0</v>
      </c>
      <c r="AD502" s="7"/>
      <c r="AE502" s="7">
        <v>1064.02</v>
      </c>
    </row>
    <row r="503" ht="15.75" customHeight="1">
      <c r="A503" s="74" t="s">
        <v>1545</v>
      </c>
      <c r="B503" s="47" t="s">
        <v>1546</v>
      </c>
      <c r="C503" s="48">
        <v>45950.0</v>
      </c>
      <c r="D503" s="48">
        <v>45950.0</v>
      </c>
      <c r="E503" s="46"/>
      <c r="F503" s="7"/>
      <c r="G503" s="66"/>
      <c r="H503" s="66"/>
      <c r="I503" s="7" t="s">
        <v>30</v>
      </c>
      <c r="J503" s="7" t="s">
        <v>1215</v>
      </c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>
        <v>300000.0</v>
      </c>
      <c r="AA503" s="7"/>
      <c r="AB503" s="7">
        <v>300000.0</v>
      </c>
      <c r="AC503" s="7">
        <f t="shared" si="12"/>
        <v>0</v>
      </c>
      <c r="AD503" s="7"/>
      <c r="AE503" s="7"/>
    </row>
    <row r="504" ht="15.75" customHeight="1">
      <c r="A504" s="74" t="s">
        <v>1547</v>
      </c>
      <c r="B504" s="75" t="s">
        <v>1548</v>
      </c>
      <c r="C504" s="48">
        <v>45950.0</v>
      </c>
      <c r="D504" s="48">
        <v>45950.0</v>
      </c>
      <c r="E504" s="46"/>
      <c r="F504" s="7"/>
      <c r="G504" s="66"/>
      <c r="H504" s="66"/>
      <c r="I504" s="7" t="s">
        <v>144</v>
      </c>
      <c r="J504" s="7" t="s">
        <v>50</v>
      </c>
      <c r="K504" s="7"/>
      <c r="L504" s="7">
        <v>1396.02</v>
      </c>
      <c r="M504" s="7"/>
      <c r="N504" s="7"/>
      <c r="O504" s="7"/>
      <c r="P504" s="7"/>
      <c r="Q504" s="7"/>
      <c r="R504" s="7"/>
      <c r="S504" s="7">
        <v>11633.47</v>
      </c>
      <c r="T504" s="7"/>
      <c r="U504" s="7"/>
      <c r="V504" s="7"/>
      <c r="W504" s="7"/>
      <c r="X504" s="7"/>
      <c r="Y504" s="7"/>
      <c r="Z504" s="7"/>
      <c r="AA504" s="7"/>
      <c r="AB504" s="7">
        <v>13029.49</v>
      </c>
      <c r="AC504" s="7">
        <f t="shared" si="12"/>
        <v>0</v>
      </c>
      <c r="AD504" s="7"/>
      <c r="AE504" s="7"/>
    </row>
    <row r="505" ht="15.75" customHeight="1">
      <c r="A505" s="74" t="s">
        <v>1549</v>
      </c>
      <c r="B505" s="75" t="s">
        <v>1550</v>
      </c>
      <c r="C505" s="48">
        <v>45996.0</v>
      </c>
      <c r="D505" s="48">
        <v>45951.0</v>
      </c>
      <c r="E505" s="48">
        <v>45964.0</v>
      </c>
      <c r="F505" s="7" t="s">
        <v>1551</v>
      </c>
      <c r="G505" s="66" t="s">
        <v>1552</v>
      </c>
      <c r="H505" s="66"/>
      <c r="I505" s="7" t="s">
        <v>1553</v>
      </c>
      <c r="J505" s="7" t="s">
        <v>76</v>
      </c>
      <c r="K505" s="45" t="s">
        <v>77</v>
      </c>
      <c r="L505" s="7">
        <v>4896.43</v>
      </c>
      <c r="M505" s="7">
        <v>40803.57</v>
      </c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>
        <v>45700.0</v>
      </c>
      <c r="AC505" s="7">
        <f t="shared" si="12"/>
        <v>0</v>
      </c>
      <c r="AD505" s="7"/>
      <c r="AE505" s="7">
        <v>408.04</v>
      </c>
    </row>
    <row r="506" ht="15.75" customHeight="1">
      <c r="A506" s="74" t="s">
        <v>1554</v>
      </c>
      <c r="B506" s="75" t="s">
        <v>1555</v>
      </c>
      <c r="C506" s="48">
        <v>45982.0</v>
      </c>
      <c r="D506" s="48">
        <v>45951.0</v>
      </c>
      <c r="E506" s="48">
        <v>45951.0</v>
      </c>
      <c r="F506" s="7" t="s">
        <v>1556</v>
      </c>
      <c r="G506" s="66" t="s">
        <v>1557</v>
      </c>
      <c r="H506" s="66"/>
      <c r="I506" s="7" t="s">
        <v>1558</v>
      </c>
      <c r="J506" s="7" t="s">
        <v>82</v>
      </c>
      <c r="K506" s="45" t="s">
        <v>83</v>
      </c>
      <c r="L506" s="7">
        <v>6942.86</v>
      </c>
      <c r="M506" s="7">
        <v>57857.14</v>
      </c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>
        <v>64800.0</v>
      </c>
      <c r="AC506" s="7">
        <f t="shared" si="12"/>
        <v>0</v>
      </c>
      <c r="AD506" s="7"/>
      <c r="AE506" s="7">
        <v>578.57</v>
      </c>
    </row>
    <row r="507" ht="15.75" customHeight="1">
      <c r="A507" s="74" t="s">
        <v>1559</v>
      </c>
      <c r="B507" s="75" t="s">
        <v>1560</v>
      </c>
      <c r="C507" s="48">
        <v>45999.0</v>
      </c>
      <c r="D507" s="48">
        <v>45951.0</v>
      </c>
      <c r="E507" s="48">
        <v>45964.0</v>
      </c>
      <c r="F507" s="7" t="s">
        <v>1561</v>
      </c>
      <c r="G507" s="66" t="s">
        <v>1562</v>
      </c>
      <c r="H507" s="66"/>
      <c r="I507" s="7" t="s">
        <v>938</v>
      </c>
      <c r="J507" s="7" t="s">
        <v>76</v>
      </c>
      <c r="K507" s="45" t="s">
        <v>77</v>
      </c>
      <c r="L507" s="7">
        <v>2357.14</v>
      </c>
      <c r="M507" s="7">
        <v>19642.86</v>
      </c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>
        <v>22000.0</v>
      </c>
      <c r="AC507" s="7">
        <f t="shared" si="12"/>
        <v>0</v>
      </c>
      <c r="AD507" s="7"/>
      <c r="AE507" s="7">
        <v>196.43</v>
      </c>
    </row>
    <row r="508" ht="15.75" customHeight="1">
      <c r="A508" s="74" t="s">
        <v>1563</v>
      </c>
      <c r="B508" s="75" t="s">
        <v>1564</v>
      </c>
      <c r="C508" s="48">
        <v>45953.0</v>
      </c>
      <c r="D508" s="48">
        <v>45953.0</v>
      </c>
      <c r="E508" s="7"/>
      <c r="F508" s="7"/>
      <c r="G508" s="66"/>
      <c r="H508" s="66" t="s">
        <v>1565</v>
      </c>
      <c r="I508" s="7" t="s">
        <v>394</v>
      </c>
      <c r="J508" s="7" t="s">
        <v>50</v>
      </c>
      <c r="K508" s="7"/>
      <c r="L508" s="7"/>
      <c r="M508" s="7"/>
      <c r="N508" s="7"/>
      <c r="O508" s="7"/>
      <c r="P508" s="7"/>
      <c r="Q508" s="7"/>
      <c r="R508" s="7"/>
      <c r="S508" s="7"/>
      <c r="T508" s="7">
        <v>13811.5</v>
      </c>
      <c r="U508" s="7"/>
      <c r="V508" s="7"/>
      <c r="W508" s="7"/>
      <c r="X508" s="7"/>
      <c r="Y508" s="7"/>
      <c r="Z508" s="7"/>
      <c r="AA508" s="7"/>
      <c r="AB508" s="7">
        <v>13811.5</v>
      </c>
      <c r="AC508" s="7">
        <f t="shared" si="12"/>
        <v>0</v>
      </c>
      <c r="AD508" s="7"/>
      <c r="AE508" s="7"/>
    </row>
    <row r="509" ht="15.75" customHeight="1">
      <c r="A509" s="74" t="s">
        <v>1566</v>
      </c>
      <c r="B509" s="75" t="s">
        <v>1567</v>
      </c>
      <c r="C509" s="48">
        <v>45957.0</v>
      </c>
      <c r="D509" s="48">
        <v>45957.0</v>
      </c>
      <c r="E509" s="7"/>
      <c r="F509" s="7"/>
      <c r="G509" s="66"/>
      <c r="H509" s="66" t="s">
        <v>1568</v>
      </c>
      <c r="I509" s="7" t="s">
        <v>122</v>
      </c>
      <c r="J509" s="7" t="s">
        <v>50</v>
      </c>
      <c r="K509" s="7"/>
      <c r="L509" s="7"/>
      <c r="M509" s="7"/>
      <c r="N509" s="7"/>
      <c r="O509" s="7"/>
      <c r="P509" s="7"/>
      <c r="Q509" s="7"/>
      <c r="R509" s="7"/>
      <c r="S509" s="7"/>
      <c r="T509" s="7">
        <v>16260.21</v>
      </c>
      <c r="U509" s="7"/>
      <c r="V509" s="7"/>
      <c r="W509" s="7"/>
      <c r="X509" s="7"/>
      <c r="Y509" s="7"/>
      <c r="Z509" s="7"/>
      <c r="AA509" s="7"/>
      <c r="AB509" s="7">
        <v>16260.21</v>
      </c>
      <c r="AC509" s="7">
        <f t="shared" si="12"/>
        <v>0</v>
      </c>
      <c r="AD509" s="7"/>
      <c r="AE509" s="7"/>
    </row>
    <row r="510" ht="15.75" customHeight="1">
      <c r="A510" s="74" t="s">
        <v>1569</v>
      </c>
      <c r="B510" s="75" t="s">
        <v>1570</v>
      </c>
      <c r="C510" s="48">
        <v>45957.0</v>
      </c>
      <c r="D510" s="48">
        <v>45957.0</v>
      </c>
      <c r="E510" s="48">
        <v>45967.0</v>
      </c>
      <c r="F510" s="7" t="s">
        <v>1571</v>
      </c>
      <c r="G510" s="66" t="s">
        <v>1572</v>
      </c>
      <c r="H510" s="66"/>
      <c r="I510" s="7" t="s">
        <v>1573</v>
      </c>
      <c r="J510" s="7" t="s">
        <v>91</v>
      </c>
      <c r="K510" s="45" t="s">
        <v>92</v>
      </c>
      <c r="L510" s="7">
        <v>300.0</v>
      </c>
      <c r="M510" s="7">
        <v>2500.0</v>
      </c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>
        <v>2800.0</v>
      </c>
      <c r="AC510" s="7">
        <f t="shared" si="12"/>
        <v>0</v>
      </c>
      <c r="AD510" s="7"/>
      <c r="AE510" s="7">
        <v>25.0</v>
      </c>
    </row>
    <row r="511" ht="15.75" customHeight="1">
      <c r="A511" s="74" t="s">
        <v>1574</v>
      </c>
      <c r="B511" s="75" t="s">
        <v>1575</v>
      </c>
      <c r="C511" s="48">
        <v>45984.0</v>
      </c>
      <c r="D511" s="48">
        <v>45957.0</v>
      </c>
      <c r="E511" s="48">
        <v>45980.0</v>
      </c>
      <c r="F511" s="7" t="s">
        <v>1576</v>
      </c>
      <c r="G511" s="66" t="s">
        <v>1577</v>
      </c>
      <c r="H511" s="66"/>
      <c r="I511" s="7" t="s">
        <v>1578</v>
      </c>
      <c r="J511" s="7" t="s">
        <v>46</v>
      </c>
      <c r="K511" s="45" t="s">
        <v>47</v>
      </c>
      <c r="L511" s="7">
        <v>1735.71</v>
      </c>
      <c r="M511" s="7">
        <v>14464.29</v>
      </c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>
        <v>16200.0</v>
      </c>
      <c r="AC511" s="7">
        <f t="shared" si="12"/>
        <v>0</v>
      </c>
      <c r="AD511" s="7"/>
      <c r="AE511" s="7">
        <v>144.64</v>
      </c>
    </row>
    <row r="512" ht="15.75" customHeight="1">
      <c r="A512" s="74" t="s">
        <v>1579</v>
      </c>
      <c r="B512" s="75" t="s">
        <v>1580</v>
      </c>
      <c r="C512" s="48">
        <v>45960.0</v>
      </c>
      <c r="D512" s="48">
        <v>45957.0</v>
      </c>
      <c r="E512" s="7"/>
      <c r="F512" s="7"/>
      <c r="G512" s="66"/>
      <c r="H512" s="66"/>
      <c r="I512" s="7" t="s">
        <v>1581</v>
      </c>
      <c r="J512" s="7" t="s">
        <v>95</v>
      </c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>
        <v>25600.0</v>
      </c>
      <c r="AB512" s="7">
        <v>25600.0</v>
      </c>
      <c r="AC512" s="7">
        <f t="shared" si="12"/>
        <v>0</v>
      </c>
      <c r="AD512" s="7"/>
      <c r="AE512" s="7"/>
    </row>
    <row r="513" ht="15.75" customHeight="1">
      <c r="A513" s="74" t="s">
        <v>1582</v>
      </c>
      <c r="B513" s="75" t="s">
        <v>1583</v>
      </c>
      <c r="C513" s="48">
        <v>45960.0</v>
      </c>
      <c r="D513" s="48">
        <v>45957.0</v>
      </c>
      <c r="E513" s="7"/>
      <c r="F513" s="7"/>
      <c r="G513" s="66"/>
      <c r="H513" s="66"/>
      <c r="I513" s="7" t="s">
        <v>1581</v>
      </c>
      <c r="J513" s="7" t="s">
        <v>602</v>
      </c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>
        <v>14500.0</v>
      </c>
      <c r="AB513" s="7">
        <v>14500.0</v>
      </c>
      <c r="AC513" s="7">
        <f t="shared" si="12"/>
        <v>0</v>
      </c>
      <c r="AD513" s="7"/>
      <c r="AE513" s="7"/>
    </row>
    <row r="514" ht="15.75" customHeight="1">
      <c r="A514" s="74" t="s">
        <v>1584</v>
      </c>
      <c r="B514" s="75" t="s">
        <v>1585</v>
      </c>
      <c r="C514" s="48">
        <v>45957.0</v>
      </c>
      <c r="D514" s="48">
        <v>45957.0</v>
      </c>
      <c r="E514" s="7"/>
      <c r="F514" s="7"/>
      <c r="G514" s="66"/>
      <c r="H514" s="66"/>
      <c r="I514" s="7" t="s">
        <v>595</v>
      </c>
      <c r="J514" s="7" t="s">
        <v>673</v>
      </c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>
        <v>8049.0</v>
      </c>
      <c r="AB514" s="7">
        <v>8049.0</v>
      </c>
      <c r="AC514" s="7">
        <f t="shared" si="12"/>
        <v>0</v>
      </c>
      <c r="AD514" s="7"/>
      <c r="AE514" s="7"/>
    </row>
    <row r="515" ht="15.75" customHeight="1">
      <c r="A515" s="74" t="s">
        <v>1586</v>
      </c>
      <c r="B515" s="47" t="s">
        <v>1587</v>
      </c>
      <c r="C515" s="48">
        <v>45957.0</v>
      </c>
      <c r="D515" s="48">
        <v>45957.0</v>
      </c>
      <c r="E515" s="7"/>
      <c r="F515" s="7"/>
      <c r="G515" s="66"/>
      <c r="H515" s="66"/>
      <c r="I515" s="7" t="s">
        <v>1588</v>
      </c>
      <c r="J515" s="7" t="s">
        <v>1589</v>
      </c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>
        <v>60000.0</v>
      </c>
      <c r="AB515" s="7">
        <v>60000.0</v>
      </c>
      <c r="AC515" s="7">
        <f t="shared" si="12"/>
        <v>0</v>
      </c>
      <c r="AD515" s="7"/>
      <c r="AE515" s="7"/>
    </row>
    <row r="516" ht="15.75" customHeight="1">
      <c r="A516" s="74" t="s">
        <v>1590</v>
      </c>
      <c r="B516" s="75" t="s">
        <v>1591</v>
      </c>
      <c r="C516" s="48">
        <v>46007.0</v>
      </c>
      <c r="D516" s="48">
        <v>45959.0</v>
      </c>
      <c r="E516" s="48">
        <v>45964.0</v>
      </c>
      <c r="F516" s="7" t="s">
        <v>1592</v>
      </c>
      <c r="G516" s="66" t="s">
        <v>366</v>
      </c>
      <c r="H516" s="66"/>
      <c r="I516" s="7" t="s">
        <v>1252</v>
      </c>
      <c r="J516" s="7" t="s">
        <v>76</v>
      </c>
      <c r="K516" s="45" t="s">
        <v>77</v>
      </c>
      <c r="L516" s="7">
        <v>9107.14</v>
      </c>
      <c r="M516" s="7">
        <v>75892.86</v>
      </c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>
        <v>85000.0</v>
      </c>
      <c r="AC516" s="7">
        <f t="shared" si="12"/>
        <v>0</v>
      </c>
      <c r="AD516" s="7"/>
      <c r="AE516" s="7">
        <v>758.93</v>
      </c>
    </row>
    <row r="517" ht="15.75" customHeight="1">
      <c r="A517" s="74" t="s">
        <v>1593</v>
      </c>
      <c r="B517" s="75" t="s">
        <v>1594</v>
      </c>
      <c r="C517" s="48">
        <v>46007.0</v>
      </c>
      <c r="D517" s="48">
        <v>45959.0</v>
      </c>
      <c r="E517" s="48">
        <v>45964.0</v>
      </c>
      <c r="F517" s="7" t="s">
        <v>1595</v>
      </c>
      <c r="G517" s="66" t="s">
        <v>1596</v>
      </c>
      <c r="H517" s="66"/>
      <c r="I517" s="7" t="s">
        <v>1597</v>
      </c>
      <c r="J517" s="7" t="s">
        <v>76</v>
      </c>
      <c r="K517" s="45" t="s">
        <v>77</v>
      </c>
      <c r="L517" s="7">
        <v>803.57</v>
      </c>
      <c r="M517" s="7">
        <v>6696.43</v>
      </c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>
        <v>7500.0</v>
      </c>
      <c r="AC517" s="7">
        <f t="shared" si="12"/>
        <v>0</v>
      </c>
      <c r="AD517" s="7"/>
      <c r="AE517" s="7">
        <v>66.96</v>
      </c>
    </row>
    <row r="518" ht="15.75" customHeight="1">
      <c r="A518" s="74" t="s">
        <v>1598</v>
      </c>
      <c r="B518" s="47" t="s">
        <v>1599</v>
      </c>
      <c r="C518" s="48">
        <v>45959.0</v>
      </c>
      <c r="D518" s="48">
        <v>45959.0</v>
      </c>
      <c r="E518" s="7"/>
      <c r="F518" s="7"/>
      <c r="G518" s="66"/>
      <c r="H518" s="66"/>
      <c r="I518" s="7" t="s">
        <v>1600</v>
      </c>
      <c r="J518" s="7" t="s">
        <v>609</v>
      </c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>
        <v>200000.0</v>
      </c>
      <c r="AB518" s="7">
        <v>200000.0</v>
      </c>
      <c r="AC518" s="7">
        <f t="shared" si="12"/>
        <v>0</v>
      </c>
      <c r="AD518" s="7"/>
      <c r="AE518" s="7"/>
    </row>
    <row r="519" ht="15.75" customHeight="1">
      <c r="A519" s="74" t="s">
        <v>1601</v>
      </c>
      <c r="B519" s="47" t="s">
        <v>1602</v>
      </c>
      <c r="C519" s="48">
        <v>45959.0</v>
      </c>
      <c r="D519" s="48">
        <v>45959.0</v>
      </c>
      <c r="E519" s="7"/>
      <c r="F519" s="7"/>
      <c r="G519" s="66"/>
      <c r="H519" s="66"/>
      <c r="I519" s="7" t="s">
        <v>1603</v>
      </c>
      <c r="J519" s="7" t="s">
        <v>1500</v>
      </c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>
        <v>19180.0</v>
      </c>
      <c r="AB519" s="7">
        <v>19180.0</v>
      </c>
      <c r="AC519" s="7">
        <f t="shared" si="12"/>
        <v>0</v>
      </c>
      <c r="AD519" s="7"/>
      <c r="AE519" s="7"/>
    </row>
    <row r="520" ht="15.75" customHeight="1">
      <c r="A520" s="74" t="s">
        <v>1604</v>
      </c>
      <c r="B520" s="75" t="s">
        <v>1605</v>
      </c>
      <c r="C520" s="48">
        <v>45992.0</v>
      </c>
      <c r="D520" s="48">
        <v>45960.0</v>
      </c>
      <c r="E520" s="48">
        <v>45960.0</v>
      </c>
      <c r="F520" s="7" t="s">
        <v>1606</v>
      </c>
      <c r="G520" s="66" t="s">
        <v>1607</v>
      </c>
      <c r="H520" s="66"/>
      <c r="I520" s="7" t="s">
        <v>803</v>
      </c>
      <c r="J520" s="45" t="s">
        <v>70</v>
      </c>
      <c r="K520" s="45" t="s">
        <v>71</v>
      </c>
      <c r="L520" s="7">
        <v>11785.71</v>
      </c>
      <c r="M520" s="7">
        <v>98214.29</v>
      </c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>
        <v>110000.0</v>
      </c>
      <c r="AC520" s="7">
        <f t="shared" si="12"/>
        <v>0</v>
      </c>
      <c r="AD520" s="7"/>
      <c r="AE520" s="7">
        <v>982.14</v>
      </c>
    </row>
    <row r="521" ht="15.75" customHeight="1">
      <c r="A521" s="52">
        <v>45962.0</v>
      </c>
      <c r="B521" s="53"/>
      <c r="C521" s="54"/>
      <c r="D521" s="54"/>
      <c r="E521" s="54"/>
      <c r="F521" s="53"/>
      <c r="G521" s="55"/>
      <c r="H521" s="55"/>
      <c r="I521" s="53"/>
      <c r="J521" s="53"/>
      <c r="K521" s="53"/>
      <c r="L521" s="56"/>
      <c r="M521" s="56"/>
      <c r="N521" s="56"/>
      <c r="O521" s="53"/>
      <c r="P521" s="53"/>
      <c r="Q521" s="53"/>
      <c r="R521" s="53"/>
      <c r="S521" s="53"/>
      <c r="T521" s="56"/>
      <c r="U521" s="57"/>
      <c r="V521" s="57"/>
      <c r="W521" s="57"/>
      <c r="X521" s="58"/>
      <c r="Y521" s="57"/>
      <c r="Z521" s="58"/>
      <c r="AA521" s="58"/>
      <c r="AB521" s="56"/>
      <c r="AC521" s="59"/>
      <c r="AD521" s="57"/>
      <c r="AE521" s="56"/>
    </row>
    <row r="522" ht="15.75" customHeight="1">
      <c r="A522" s="74" t="s">
        <v>1608</v>
      </c>
      <c r="B522" s="75" t="s">
        <v>1609</v>
      </c>
      <c r="C522" s="48">
        <v>45964.0</v>
      </c>
      <c r="D522" s="48">
        <v>45964.0</v>
      </c>
      <c r="E522" s="7"/>
      <c r="F522" s="7"/>
      <c r="G522" s="66"/>
      <c r="H522" s="66"/>
      <c r="I522" s="7" t="s">
        <v>1610</v>
      </c>
      <c r="J522" s="7" t="s">
        <v>50</v>
      </c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>
        <v>2164.0</v>
      </c>
      <c r="AB522" s="7">
        <v>2164.0</v>
      </c>
      <c r="AC522" s="7">
        <f t="shared" ref="AC522:AC562" si="13">SUM(AB522)-SUM(L522:AA522)</f>
        <v>0</v>
      </c>
      <c r="AD522" s="7"/>
      <c r="AE522" s="7"/>
    </row>
    <row r="523" ht="15.75" customHeight="1">
      <c r="A523" s="74" t="s">
        <v>1611</v>
      </c>
      <c r="B523" s="47" t="s">
        <v>1612</v>
      </c>
      <c r="C523" s="48">
        <v>45964.0</v>
      </c>
      <c r="D523" s="48">
        <v>45964.0</v>
      </c>
      <c r="E523" s="7"/>
      <c r="F523" s="7"/>
      <c r="G523" s="66"/>
      <c r="H523" s="66"/>
      <c r="I523" s="7" t="s">
        <v>30</v>
      </c>
      <c r="J523" s="7" t="s">
        <v>41</v>
      </c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>
        <v>100000.0</v>
      </c>
      <c r="AA523" s="7"/>
      <c r="AB523" s="7">
        <v>100000.0</v>
      </c>
      <c r="AC523" s="7">
        <f t="shared" si="13"/>
        <v>0</v>
      </c>
      <c r="AD523" s="7"/>
      <c r="AE523" s="7"/>
    </row>
    <row r="524" ht="15.75" customHeight="1">
      <c r="A524" s="74" t="s">
        <v>1613</v>
      </c>
      <c r="B524" s="47" t="s">
        <v>1614</v>
      </c>
      <c r="C524" s="48">
        <v>45964.0</v>
      </c>
      <c r="D524" s="48">
        <v>45964.0</v>
      </c>
      <c r="E524" s="7"/>
      <c r="F524" s="7"/>
      <c r="G524" s="66"/>
      <c r="H524" s="66"/>
      <c r="I524" s="7" t="s">
        <v>1615</v>
      </c>
      <c r="J524" s="7" t="s">
        <v>119</v>
      </c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>
        <v>153419.75</v>
      </c>
      <c r="AB524" s="7">
        <v>160000.0</v>
      </c>
      <c r="AC524" s="7">
        <f t="shared" si="13"/>
        <v>6580.25</v>
      </c>
      <c r="AD524" s="51" t="s">
        <v>1616</v>
      </c>
      <c r="AE524" s="7"/>
    </row>
    <row r="525" ht="15.75" customHeight="1">
      <c r="A525" s="74" t="s">
        <v>1617</v>
      </c>
      <c r="B525" s="75" t="s">
        <v>1618</v>
      </c>
      <c r="C525" s="48">
        <v>45966.0</v>
      </c>
      <c r="D525" s="48">
        <v>45966.0</v>
      </c>
      <c r="E525" s="7"/>
      <c r="F525" s="7"/>
      <c r="G525" s="66"/>
      <c r="H525" s="66"/>
      <c r="I525" s="7" t="s">
        <v>1619</v>
      </c>
      <c r="J525" s="7" t="s">
        <v>296</v>
      </c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>
        <v>8700.0</v>
      </c>
      <c r="AB525" s="7">
        <v>8700.0</v>
      </c>
      <c r="AC525" s="7">
        <f t="shared" si="13"/>
        <v>0</v>
      </c>
      <c r="AD525" s="7"/>
      <c r="AE525" s="7"/>
    </row>
    <row r="526" ht="15.75" customHeight="1">
      <c r="A526" s="74" t="s">
        <v>1620</v>
      </c>
      <c r="B526" s="75" t="s">
        <v>1621</v>
      </c>
      <c r="C526" s="48">
        <v>45966.0</v>
      </c>
      <c r="D526" s="48">
        <v>45966.0</v>
      </c>
      <c r="E526" s="7"/>
      <c r="F526" s="7"/>
      <c r="G526" s="66"/>
      <c r="H526" s="66" t="s">
        <v>1622</v>
      </c>
      <c r="I526" s="7" t="s">
        <v>122</v>
      </c>
      <c r="J526" s="7" t="s">
        <v>119</v>
      </c>
      <c r="K526" s="7"/>
      <c r="L526" s="7"/>
      <c r="M526" s="7"/>
      <c r="N526" s="7"/>
      <c r="O526" s="7"/>
      <c r="P526" s="7"/>
      <c r="Q526" s="7"/>
      <c r="R526" s="7"/>
      <c r="S526" s="7"/>
      <c r="T526" s="7">
        <v>9654.51</v>
      </c>
      <c r="U526" s="7"/>
      <c r="V526" s="7"/>
      <c r="W526" s="7"/>
      <c r="X526" s="7"/>
      <c r="Y526" s="7"/>
      <c r="Z526" s="7"/>
      <c r="AA526" s="7"/>
      <c r="AB526" s="7">
        <v>9654.51</v>
      </c>
      <c r="AC526" s="7">
        <f t="shared" si="13"/>
        <v>0</v>
      </c>
      <c r="AD526" s="7"/>
      <c r="AE526" s="7"/>
    </row>
    <row r="527" ht="15.75" customHeight="1">
      <c r="A527" s="74" t="s">
        <v>1623</v>
      </c>
      <c r="B527" s="75" t="s">
        <v>1624</v>
      </c>
      <c r="C527" s="48">
        <v>45972.0</v>
      </c>
      <c r="D527" s="48">
        <v>45966.0</v>
      </c>
      <c r="E527" s="48">
        <v>45967.0</v>
      </c>
      <c r="F527" s="7" t="s">
        <v>1625</v>
      </c>
      <c r="G527" s="66" t="s">
        <v>1626</v>
      </c>
      <c r="H527" s="66"/>
      <c r="I527" s="7" t="s">
        <v>1627</v>
      </c>
      <c r="J527" s="7" t="s">
        <v>91</v>
      </c>
      <c r="K527" s="45" t="s">
        <v>92</v>
      </c>
      <c r="L527" s="7">
        <v>6445.71</v>
      </c>
      <c r="M527" s="7">
        <v>53714.29</v>
      </c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>
        <v>60160.0</v>
      </c>
      <c r="AC527" s="7">
        <f t="shared" si="13"/>
        <v>0</v>
      </c>
      <c r="AD527" s="7"/>
      <c r="AE527" s="7">
        <v>537.14</v>
      </c>
    </row>
    <row r="528" ht="15.75" customHeight="1">
      <c r="A528" s="74" t="s">
        <v>1628</v>
      </c>
      <c r="B528" s="75" t="s">
        <v>1629</v>
      </c>
      <c r="C528" s="48">
        <v>46010.0</v>
      </c>
      <c r="D528" s="48">
        <v>45966.0</v>
      </c>
      <c r="E528" s="48">
        <v>45966.0</v>
      </c>
      <c r="F528" s="7" t="s">
        <v>1630</v>
      </c>
      <c r="G528" s="66" t="s">
        <v>1631</v>
      </c>
      <c r="H528" s="66"/>
      <c r="I528" s="7" t="s">
        <v>1632</v>
      </c>
      <c r="J528" s="7" t="s">
        <v>76</v>
      </c>
      <c r="K528" s="45" t="s">
        <v>77</v>
      </c>
      <c r="L528" s="7">
        <v>8250.0</v>
      </c>
      <c r="M528" s="7">
        <v>68750.0</v>
      </c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>
        <v>77000.0</v>
      </c>
      <c r="AC528" s="7">
        <f t="shared" si="13"/>
        <v>0</v>
      </c>
      <c r="AD528" s="7"/>
      <c r="AE528" s="7">
        <v>687.5</v>
      </c>
    </row>
    <row r="529" ht="15.75" customHeight="1">
      <c r="A529" s="74" t="s">
        <v>1633</v>
      </c>
      <c r="B529" s="75" t="s">
        <v>1634</v>
      </c>
      <c r="C529" s="48">
        <v>45996.0</v>
      </c>
      <c r="D529" s="48">
        <v>45966.0</v>
      </c>
      <c r="E529" s="48">
        <v>45966.0</v>
      </c>
      <c r="F529" s="7" t="s">
        <v>1635</v>
      </c>
      <c r="G529" s="66" t="s">
        <v>1636</v>
      </c>
      <c r="H529" s="66"/>
      <c r="I529" s="7" t="s">
        <v>1637</v>
      </c>
      <c r="J529" s="7" t="s">
        <v>349</v>
      </c>
      <c r="K529" s="45" t="s">
        <v>444</v>
      </c>
      <c r="L529" s="7">
        <v>530.36</v>
      </c>
      <c r="M529" s="7">
        <v>4419.64</v>
      </c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>
        <v>4950.0</v>
      </c>
      <c r="AC529" s="7">
        <f t="shared" si="13"/>
        <v>0</v>
      </c>
      <c r="AD529" s="7"/>
      <c r="AE529" s="7">
        <v>44.2</v>
      </c>
    </row>
    <row r="530" ht="15.75" customHeight="1">
      <c r="A530" s="74" t="s">
        <v>1638</v>
      </c>
      <c r="B530" s="47" t="s">
        <v>1639</v>
      </c>
      <c r="C530" s="48">
        <v>45967.0</v>
      </c>
      <c r="D530" s="48">
        <v>45967.0</v>
      </c>
      <c r="E530" s="7"/>
      <c r="F530" s="7"/>
      <c r="G530" s="66"/>
      <c r="H530" s="66"/>
      <c r="I530" s="7" t="s">
        <v>20</v>
      </c>
      <c r="J530" s="7" t="s">
        <v>535</v>
      </c>
      <c r="K530" s="7"/>
      <c r="L530" s="7"/>
      <c r="M530" s="7"/>
      <c r="N530" s="7"/>
      <c r="O530" s="7"/>
      <c r="P530" s="7">
        <v>15000.0</v>
      </c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>
        <v>15000.0</v>
      </c>
      <c r="AC530" s="7">
        <f t="shared" si="13"/>
        <v>0</v>
      </c>
      <c r="AD530" s="7"/>
      <c r="AE530" s="7"/>
    </row>
    <row r="531" ht="15.75" customHeight="1">
      <c r="A531" s="74" t="s">
        <v>1640</v>
      </c>
      <c r="B531" s="47" t="s">
        <v>1641</v>
      </c>
      <c r="C531" s="48">
        <v>45968.0</v>
      </c>
      <c r="D531" s="48">
        <v>45968.0</v>
      </c>
      <c r="E531" s="48">
        <v>45978.0</v>
      </c>
      <c r="F531" s="7" t="s">
        <v>1642</v>
      </c>
      <c r="G531" s="66"/>
      <c r="H531" s="66"/>
      <c r="I531" s="7" t="s">
        <v>518</v>
      </c>
      <c r="J531" s="7" t="s">
        <v>609</v>
      </c>
      <c r="K531" s="7"/>
      <c r="L531" s="7"/>
      <c r="M531" s="7"/>
      <c r="N531" s="7">
        <v>59675.0</v>
      </c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>
        <v>59675.0</v>
      </c>
      <c r="AC531" s="7">
        <f t="shared" si="13"/>
        <v>0</v>
      </c>
      <c r="AD531" s="7"/>
      <c r="AE531" s="7"/>
    </row>
    <row r="532" ht="15.75" customHeight="1">
      <c r="A532" s="74" t="s">
        <v>1643</v>
      </c>
      <c r="B532" s="75" t="s">
        <v>1644</v>
      </c>
      <c r="C532" s="48">
        <v>45968.0</v>
      </c>
      <c r="D532" s="48">
        <v>45968.0</v>
      </c>
      <c r="E532" s="7"/>
      <c r="F532" s="7"/>
      <c r="G532" s="66"/>
      <c r="H532" s="66" t="s">
        <v>1645</v>
      </c>
      <c r="I532" s="7" t="s">
        <v>177</v>
      </c>
      <c r="J532" s="7" t="s">
        <v>50</v>
      </c>
      <c r="K532" s="7"/>
      <c r="L532" s="7"/>
      <c r="M532" s="7"/>
      <c r="N532" s="7"/>
      <c r="O532" s="7"/>
      <c r="P532" s="7"/>
      <c r="Q532" s="7"/>
      <c r="R532" s="7"/>
      <c r="S532" s="7"/>
      <c r="T532" s="7">
        <v>14456.0</v>
      </c>
      <c r="U532" s="7"/>
      <c r="V532" s="7"/>
      <c r="W532" s="7"/>
      <c r="X532" s="7"/>
      <c r="Y532" s="7"/>
      <c r="Z532" s="7"/>
      <c r="AA532" s="7"/>
      <c r="AB532" s="7">
        <v>14456.0</v>
      </c>
      <c r="AC532" s="7">
        <f t="shared" si="13"/>
        <v>0</v>
      </c>
      <c r="AD532" s="7"/>
      <c r="AE532" s="7"/>
    </row>
    <row r="533" ht="15.75" customHeight="1">
      <c r="A533" s="74" t="s">
        <v>1646</v>
      </c>
      <c r="B533" s="75" t="s">
        <v>1647</v>
      </c>
      <c r="C533" s="48">
        <v>45968.0</v>
      </c>
      <c r="D533" s="48">
        <v>45968.0</v>
      </c>
      <c r="E533" s="7"/>
      <c r="F533" s="7"/>
      <c r="G533" s="66"/>
      <c r="H533" s="66" t="s">
        <v>1648</v>
      </c>
      <c r="I533" s="7" t="s">
        <v>213</v>
      </c>
      <c r="J533" s="7" t="s">
        <v>50</v>
      </c>
      <c r="K533" s="7"/>
      <c r="L533" s="7"/>
      <c r="M533" s="7"/>
      <c r="N533" s="7"/>
      <c r="O533" s="7"/>
      <c r="P533" s="7"/>
      <c r="Q533" s="7"/>
      <c r="R533" s="7"/>
      <c r="S533" s="7"/>
      <c r="T533" s="7">
        <v>14173.3</v>
      </c>
      <c r="U533" s="7"/>
      <c r="V533" s="7"/>
      <c r="W533" s="7"/>
      <c r="X533" s="7"/>
      <c r="Y533" s="7"/>
      <c r="Z533" s="7"/>
      <c r="AA533" s="7"/>
      <c r="AB533" s="7">
        <v>14173.3</v>
      </c>
      <c r="AC533" s="7">
        <f t="shared" si="13"/>
        <v>0</v>
      </c>
      <c r="AD533" s="7"/>
      <c r="AE533" s="7"/>
    </row>
    <row r="534" ht="15.75" customHeight="1">
      <c r="A534" s="74" t="s">
        <v>1649</v>
      </c>
      <c r="B534" s="75" t="s">
        <v>1650</v>
      </c>
      <c r="C534" s="48">
        <v>45990.0</v>
      </c>
      <c r="D534" s="48">
        <v>45968.0</v>
      </c>
      <c r="E534" s="48">
        <v>45980.0</v>
      </c>
      <c r="F534" s="7" t="s">
        <v>1651</v>
      </c>
      <c r="G534" s="66" t="s">
        <v>1652</v>
      </c>
      <c r="H534" s="66"/>
      <c r="I534" s="7" t="s">
        <v>1653</v>
      </c>
      <c r="J534" s="7" t="s">
        <v>46</v>
      </c>
      <c r="K534" s="45" t="s">
        <v>47</v>
      </c>
      <c r="L534" s="7">
        <v>2341.07</v>
      </c>
      <c r="M534" s="7">
        <v>19508.93</v>
      </c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>
        <v>21850.0</v>
      </c>
      <c r="AC534" s="7">
        <f t="shared" si="13"/>
        <v>0</v>
      </c>
      <c r="AD534" s="7"/>
      <c r="AE534" s="7">
        <v>195.09</v>
      </c>
    </row>
    <row r="535" ht="15.75" customHeight="1">
      <c r="A535" s="74" t="s">
        <v>1654</v>
      </c>
      <c r="B535" s="75" t="s">
        <v>1655</v>
      </c>
      <c r="C535" s="48">
        <v>45972.0</v>
      </c>
      <c r="D535" s="48">
        <v>45972.0</v>
      </c>
      <c r="E535" s="7"/>
      <c r="F535" s="7"/>
      <c r="G535" s="66"/>
      <c r="H535" s="66"/>
      <c r="I535" s="45" t="s">
        <v>1656</v>
      </c>
      <c r="J535" s="7" t="s">
        <v>58</v>
      </c>
      <c r="K535" s="7"/>
      <c r="L535" s="7">
        <v>32.14</v>
      </c>
      <c r="M535" s="7"/>
      <c r="N535" s="7"/>
      <c r="O535" s="7"/>
      <c r="P535" s="7"/>
      <c r="Q535" s="7"/>
      <c r="R535" s="7"/>
      <c r="S535" s="7">
        <v>267.86</v>
      </c>
      <c r="T535" s="7"/>
      <c r="U535" s="7"/>
      <c r="V535" s="7"/>
      <c r="W535" s="7"/>
      <c r="X535" s="7"/>
      <c r="Y535" s="7"/>
      <c r="Z535" s="7"/>
      <c r="AA535" s="7"/>
      <c r="AB535" s="7">
        <v>300.0</v>
      </c>
      <c r="AC535" s="7">
        <f t="shared" si="13"/>
        <v>0</v>
      </c>
      <c r="AD535" s="7"/>
      <c r="AE535" s="7"/>
    </row>
    <row r="536" ht="15.75" customHeight="1">
      <c r="A536" s="74" t="s">
        <v>1657</v>
      </c>
      <c r="B536" s="75" t="s">
        <v>1658</v>
      </c>
      <c r="C536" s="48">
        <v>45972.0</v>
      </c>
      <c r="D536" s="48">
        <v>45972.0</v>
      </c>
      <c r="E536" s="48">
        <v>46007.0</v>
      </c>
      <c r="F536" s="7" t="s">
        <v>1659</v>
      </c>
      <c r="G536" s="66"/>
      <c r="H536" s="66"/>
      <c r="I536" s="7" t="s">
        <v>1660</v>
      </c>
      <c r="J536" s="7" t="s">
        <v>947</v>
      </c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>
        <v>5875.2</v>
      </c>
      <c r="AB536" s="7">
        <v>5875.2</v>
      </c>
      <c r="AC536" s="7">
        <f t="shared" si="13"/>
        <v>0</v>
      </c>
      <c r="AD536" s="7"/>
      <c r="AE536" s="7"/>
    </row>
    <row r="537" ht="15.75" customHeight="1">
      <c r="A537" s="74" t="s">
        <v>1661</v>
      </c>
      <c r="B537" s="75" t="s">
        <v>1662</v>
      </c>
      <c r="C537" s="48">
        <v>45975.0</v>
      </c>
      <c r="D537" s="48">
        <v>45972.0</v>
      </c>
      <c r="E537" s="7"/>
      <c r="F537" s="7"/>
      <c r="G537" s="66"/>
      <c r="H537" s="66"/>
      <c r="I537" s="7" t="s">
        <v>94</v>
      </c>
      <c r="J537" s="7" t="s">
        <v>95</v>
      </c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>
        <v>26000.0</v>
      </c>
      <c r="AB537" s="7">
        <v>26000.0</v>
      </c>
      <c r="AC537" s="7">
        <f t="shared" si="13"/>
        <v>0</v>
      </c>
      <c r="AD537" s="7"/>
      <c r="AE537" s="7"/>
    </row>
    <row r="538" ht="15.75" customHeight="1">
      <c r="A538" s="74" t="s">
        <v>1663</v>
      </c>
      <c r="B538" s="75" t="s">
        <v>1664</v>
      </c>
      <c r="C538" s="48">
        <v>45975.0</v>
      </c>
      <c r="D538" s="48">
        <v>45972.0</v>
      </c>
      <c r="E538" s="7"/>
      <c r="F538" s="7"/>
      <c r="G538" s="66"/>
      <c r="H538" s="66"/>
      <c r="I538" s="7" t="s">
        <v>94</v>
      </c>
      <c r="J538" s="7" t="s">
        <v>97</v>
      </c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>
        <v>10000.0</v>
      </c>
      <c r="AB538" s="7">
        <v>10000.0</v>
      </c>
      <c r="AC538" s="7">
        <f t="shared" si="13"/>
        <v>0</v>
      </c>
      <c r="AD538" s="7"/>
      <c r="AE538" s="7"/>
    </row>
    <row r="539" ht="15.75" customHeight="1">
      <c r="A539" s="74" t="s">
        <v>1665</v>
      </c>
      <c r="B539" s="75" t="s">
        <v>1666</v>
      </c>
      <c r="C539" s="48">
        <v>45972.0</v>
      </c>
      <c r="D539" s="48">
        <v>45972.0</v>
      </c>
      <c r="E539" s="7"/>
      <c r="F539" s="7"/>
      <c r="G539" s="66"/>
      <c r="H539" s="66"/>
      <c r="I539" s="7" t="s">
        <v>1667</v>
      </c>
      <c r="J539" s="7" t="s">
        <v>1668</v>
      </c>
      <c r="K539" s="7"/>
      <c r="L539" s="7">
        <v>160.61</v>
      </c>
      <c r="M539" s="7">
        <v>1338.39</v>
      </c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>
        <v>1499.0</v>
      </c>
      <c r="AC539" s="7">
        <f t="shared" si="13"/>
        <v>0</v>
      </c>
      <c r="AD539" s="7"/>
      <c r="AE539" s="7"/>
    </row>
    <row r="540" ht="15.75" customHeight="1">
      <c r="A540" s="74" t="s">
        <v>1669</v>
      </c>
      <c r="B540" s="75" t="s">
        <v>1670</v>
      </c>
      <c r="C540" s="48">
        <v>45972.0</v>
      </c>
      <c r="D540" s="48">
        <v>45972.0</v>
      </c>
      <c r="E540" s="7"/>
      <c r="F540" s="7"/>
      <c r="G540" s="66"/>
      <c r="H540" s="66"/>
      <c r="I540" s="7" t="s">
        <v>1671</v>
      </c>
      <c r="J540" s="7" t="s">
        <v>1668</v>
      </c>
      <c r="K540" s="7"/>
      <c r="L540" s="7">
        <v>107.04</v>
      </c>
      <c r="M540" s="7">
        <v>891.96</v>
      </c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>
        <v>999.0</v>
      </c>
      <c r="AC540" s="7">
        <f t="shared" si="13"/>
        <v>0</v>
      </c>
      <c r="AD540" s="7"/>
      <c r="AE540" s="7"/>
    </row>
    <row r="541" ht="15.75" customHeight="1">
      <c r="A541" s="74" t="s">
        <v>1672</v>
      </c>
      <c r="B541" s="47" t="s">
        <v>1673</v>
      </c>
      <c r="C541" s="48">
        <v>45979.0</v>
      </c>
      <c r="D541" s="48">
        <v>45972.0</v>
      </c>
      <c r="E541" s="48">
        <v>45975.0</v>
      </c>
      <c r="F541" s="7" t="s">
        <v>1674</v>
      </c>
      <c r="G541" s="66" t="s">
        <v>1675</v>
      </c>
      <c r="H541" s="66"/>
      <c r="I541" s="7" t="s">
        <v>1676</v>
      </c>
      <c r="J541" s="7" t="s">
        <v>91</v>
      </c>
      <c r="K541" s="45" t="s">
        <v>92</v>
      </c>
      <c r="L541" s="7">
        <v>18160.71</v>
      </c>
      <c r="M541" s="7">
        <v>151339.29</v>
      </c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>
        <v>169500.0</v>
      </c>
      <c r="AC541" s="7">
        <f t="shared" si="13"/>
        <v>0</v>
      </c>
      <c r="AD541" s="7"/>
      <c r="AE541" s="7">
        <v>1513.39</v>
      </c>
    </row>
    <row r="542" ht="15.75" customHeight="1">
      <c r="A542" s="74" t="s">
        <v>1677</v>
      </c>
      <c r="B542" s="75" t="s">
        <v>1678</v>
      </c>
      <c r="C542" s="48">
        <v>45974.0</v>
      </c>
      <c r="D542" s="48">
        <v>45974.0</v>
      </c>
      <c r="E542" s="7"/>
      <c r="F542" s="7"/>
      <c r="G542" s="66"/>
      <c r="H542" s="66"/>
      <c r="I542" s="7" t="s">
        <v>1679</v>
      </c>
      <c r="J542" s="7" t="s">
        <v>1680</v>
      </c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>
        <v>509.57</v>
      </c>
      <c r="AB542" s="7">
        <v>509.57</v>
      </c>
      <c r="AC542" s="7">
        <f t="shared" si="13"/>
        <v>0</v>
      </c>
      <c r="AD542" s="7"/>
      <c r="AE542" s="7"/>
    </row>
    <row r="543" ht="15.75" customHeight="1">
      <c r="A543" s="74" t="s">
        <v>1681</v>
      </c>
      <c r="B543" s="75" t="s">
        <v>1682</v>
      </c>
      <c r="C543" s="48">
        <v>45975.0</v>
      </c>
      <c r="D543" s="48">
        <v>45975.0</v>
      </c>
      <c r="E543" s="7"/>
      <c r="F543" s="7"/>
      <c r="G543" s="66"/>
      <c r="H543" s="66" t="s">
        <v>1683</v>
      </c>
      <c r="I543" s="7" t="s">
        <v>1684</v>
      </c>
      <c r="J543" s="7" t="s">
        <v>119</v>
      </c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>
        <v>4359.25</v>
      </c>
      <c r="AB543" s="7">
        <v>5000.0</v>
      </c>
      <c r="AC543" s="7">
        <f t="shared" si="13"/>
        <v>640.75</v>
      </c>
      <c r="AD543" s="51" t="s">
        <v>1685</v>
      </c>
      <c r="AE543" s="7"/>
    </row>
    <row r="544" ht="15.75" customHeight="1">
      <c r="A544" s="74" t="s">
        <v>1686</v>
      </c>
      <c r="B544" s="75" t="s">
        <v>1687</v>
      </c>
      <c r="C544" s="48">
        <v>45975.0</v>
      </c>
      <c r="D544" s="48">
        <v>45975.0</v>
      </c>
      <c r="E544" s="7"/>
      <c r="F544" s="7"/>
      <c r="G544" s="66"/>
      <c r="H544" s="66"/>
      <c r="I544" s="45" t="s">
        <v>1688</v>
      </c>
      <c r="J544" s="45" t="s">
        <v>100</v>
      </c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>
        <v>8161.46</v>
      </c>
      <c r="Y544" s="7"/>
      <c r="Z544" s="7"/>
      <c r="AA544" s="7"/>
      <c r="AB544" s="7">
        <v>8161.46</v>
      </c>
      <c r="AC544" s="7">
        <f t="shared" si="13"/>
        <v>0</v>
      </c>
      <c r="AD544" s="7"/>
      <c r="AE544" s="7"/>
    </row>
    <row r="545" ht="15.75" customHeight="1">
      <c r="A545" s="74" t="s">
        <v>1689</v>
      </c>
      <c r="B545" s="75" t="s">
        <v>1690</v>
      </c>
      <c r="C545" s="48">
        <v>45975.0</v>
      </c>
      <c r="D545" s="48">
        <v>45975.0</v>
      </c>
      <c r="E545" s="7"/>
      <c r="F545" s="7"/>
      <c r="G545" s="66"/>
      <c r="H545" s="66"/>
      <c r="I545" s="45" t="s">
        <v>1691</v>
      </c>
      <c r="J545" s="45" t="s">
        <v>22</v>
      </c>
      <c r="K545" s="7"/>
      <c r="L545" s="7">
        <v>151.09</v>
      </c>
      <c r="M545" s="7"/>
      <c r="N545" s="7"/>
      <c r="O545" s="7"/>
      <c r="P545" s="7"/>
      <c r="Q545" s="7"/>
      <c r="R545" s="7">
        <v>1259.06</v>
      </c>
      <c r="S545" s="7"/>
      <c r="T545" s="7"/>
      <c r="U545" s="7"/>
      <c r="V545" s="7"/>
      <c r="W545" s="7"/>
      <c r="X545" s="7"/>
      <c r="Y545" s="7"/>
      <c r="Z545" s="7"/>
      <c r="AA545" s="7"/>
      <c r="AB545" s="7">
        <v>1410.15</v>
      </c>
      <c r="AC545" s="7">
        <f t="shared" si="13"/>
        <v>0</v>
      </c>
      <c r="AD545" s="7"/>
      <c r="AE545" s="7"/>
    </row>
    <row r="546" ht="15.75" customHeight="1">
      <c r="A546" s="74" t="s">
        <v>1692</v>
      </c>
      <c r="B546" s="75" t="s">
        <v>1693</v>
      </c>
      <c r="C546" s="48">
        <v>45975.0</v>
      </c>
      <c r="D546" s="48">
        <v>45975.0</v>
      </c>
      <c r="E546" s="7"/>
      <c r="F546" s="7"/>
      <c r="G546" s="66"/>
      <c r="H546" s="66"/>
      <c r="I546" s="45" t="s">
        <v>1691</v>
      </c>
      <c r="J546" s="45" t="s">
        <v>22</v>
      </c>
      <c r="K546" s="7"/>
      <c r="L546" s="7">
        <v>811.09</v>
      </c>
      <c r="M546" s="7"/>
      <c r="N546" s="7"/>
      <c r="O546" s="7"/>
      <c r="P546" s="7"/>
      <c r="Q546" s="7"/>
      <c r="R546" s="7">
        <v>6759.06</v>
      </c>
      <c r="S546" s="7"/>
      <c r="T546" s="7"/>
      <c r="U546" s="7"/>
      <c r="V546" s="7"/>
      <c r="W546" s="7"/>
      <c r="X546" s="7"/>
      <c r="Y546" s="7"/>
      <c r="Z546" s="7"/>
      <c r="AA546" s="7"/>
      <c r="AB546" s="7">
        <v>7570.15</v>
      </c>
      <c r="AC546" s="7">
        <f t="shared" si="13"/>
        <v>0</v>
      </c>
      <c r="AD546" s="7"/>
      <c r="AE546" s="7"/>
    </row>
    <row r="547" ht="15.75" customHeight="1">
      <c r="A547" s="74" t="s">
        <v>1694</v>
      </c>
      <c r="B547" s="75" t="s">
        <v>1695</v>
      </c>
      <c r="C547" s="48">
        <v>45975.0</v>
      </c>
      <c r="D547" s="48">
        <v>45975.0</v>
      </c>
      <c r="E547" s="7"/>
      <c r="F547" s="7"/>
      <c r="G547" s="66"/>
      <c r="H547" s="66" t="s">
        <v>1696</v>
      </c>
      <c r="I547" s="7" t="s">
        <v>391</v>
      </c>
      <c r="J547" s="7" t="s">
        <v>50</v>
      </c>
      <c r="K547" s="7"/>
      <c r="L547" s="7"/>
      <c r="M547" s="7"/>
      <c r="N547" s="7"/>
      <c r="O547" s="7"/>
      <c r="P547" s="7"/>
      <c r="Q547" s="7"/>
      <c r="R547" s="7"/>
      <c r="S547" s="7"/>
      <c r="T547" s="7">
        <v>8635.63</v>
      </c>
      <c r="U547" s="7"/>
      <c r="V547" s="7"/>
      <c r="W547" s="7"/>
      <c r="X547" s="7"/>
      <c r="Y547" s="7"/>
      <c r="Z547" s="7"/>
      <c r="AA547" s="7"/>
      <c r="AB547" s="7">
        <v>8635.63</v>
      </c>
      <c r="AC547" s="7">
        <f t="shared" si="13"/>
        <v>0</v>
      </c>
      <c r="AD547" s="7"/>
      <c r="AE547" s="7"/>
    </row>
    <row r="548" ht="15.75" customHeight="1">
      <c r="A548" s="74" t="s">
        <v>1697</v>
      </c>
      <c r="B548" s="47" t="s">
        <v>1698</v>
      </c>
      <c r="C548" s="48">
        <v>45975.0</v>
      </c>
      <c r="D548" s="48">
        <v>45975.0</v>
      </c>
      <c r="E548" s="7"/>
      <c r="F548" s="7"/>
      <c r="G548" s="66"/>
      <c r="H548" s="66"/>
      <c r="I548" s="7" t="s">
        <v>30</v>
      </c>
      <c r="J548" s="7" t="s">
        <v>1215</v>
      </c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>
        <v>300000.0</v>
      </c>
      <c r="AA548" s="7"/>
      <c r="AB548" s="7">
        <v>300000.0</v>
      </c>
      <c r="AC548" s="7">
        <f t="shared" si="13"/>
        <v>0</v>
      </c>
      <c r="AD548" s="7"/>
      <c r="AE548" s="7"/>
    </row>
    <row r="549" ht="15.75" customHeight="1">
      <c r="A549" s="74" t="s">
        <v>1699</v>
      </c>
      <c r="B549" s="75" t="s">
        <v>1700</v>
      </c>
      <c r="C549" s="48">
        <v>45986.0</v>
      </c>
      <c r="D549" s="48">
        <v>45979.0</v>
      </c>
      <c r="E549" s="7"/>
      <c r="F549" s="7"/>
      <c r="G549" s="66"/>
      <c r="H549" s="66"/>
      <c r="I549" s="7" t="s">
        <v>1701</v>
      </c>
      <c r="J549" s="7" t="s">
        <v>151</v>
      </c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>
        <v>10000.0</v>
      </c>
      <c r="AB549" s="7">
        <v>10000.0</v>
      </c>
      <c r="AC549" s="7">
        <f t="shared" si="13"/>
        <v>0</v>
      </c>
      <c r="AD549" s="7"/>
      <c r="AE549" s="7"/>
    </row>
    <row r="550" ht="15.75" customHeight="1">
      <c r="A550" s="74" t="s">
        <v>1702</v>
      </c>
      <c r="B550" s="75" t="s">
        <v>1703</v>
      </c>
      <c r="C550" s="48">
        <v>45985.0</v>
      </c>
      <c r="D550" s="48">
        <v>45979.0</v>
      </c>
      <c r="E550" s="48">
        <v>45993.0</v>
      </c>
      <c r="F550" s="7" t="s">
        <v>1704</v>
      </c>
      <c r="G550" s="66" t="s">
        <v>1705</v>
      </c>
      <c r="H550" s="66"/>
      <c r="I550" s="7" t="s">
        <v>1701</v>
      </c>
      <c r="J550" s="7" t="s">
        <v>91</v>
      </c>
      <c r="K550" s="45" t="s">
        <v>92</v>
      </c>
      <c r="L550" s="7">
        <v>1071.43</v>
      </c>
      <c r="M550" s="7">
        <v>8928.57</v>
      </c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>
        <v>10000.0</v>
      </c>
      <c r="AC550" s="7">
        <f t="shared" si="13"/>
        <v>0</v>
      </c>
      <c r="AD550" s="7"/>
      <c r="AE550" s="7">
        <v>89.29</v>
      </c>
    </row>
    <row r="551" ht="15.75" customHeight="1">
      <c r="A551" s="74" t="s">
        <v>1706</v>
      </c>
      <c r="B551" s="75" t="s">
        <v>1707</v>
      </c>
      <c r="C551" s="48">
        <v>45982.0</v>
      </c>
      <c r="D551" s="48">
        <v>45979.0</v>
      </c>
      <c r="E551" s="7"/>
      <c r="F551" s="7"/>
      <c r="G551" s="66"/>
      <c r="H551" s="66"/>
      <c r="I551" s="7" t="s">
        <v>1581</v>
      </c>
      <c r="J551" s="7" t="s">
        <v>97</v>
      </c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>
        <v>8000.0</v>
      </c>
      <c r="AB551" s="7">
        <v>8000.0</v>
      </c>
      <c r="AC551" s="7">
        <f t="shared" si="13"/>
        <v>0</v>
      </c>
      <c r="AD551" s="7"/>
      <c r="AE551" s="7"/>
    </row>
    <row r="552" ht="15.75" customHeight="1">
      <c r="A552" s="74" t="s">
        <v>1708</v>
      </c>
      <c r="B552" s="47" t="s">
        <v>1709</v>
      </c>
      <c r="C552" s="48">
        <v>45979.0</v>
      </c>
      <c r="D552" s="48">
        <v>45979.0</v>
      </c>
      <c r="E552" s="7"/>
      <c r="F552" s="7"/>
      <c r="G552" s="66"/>
      <c r="H552" s="66"/>
      <c r="I552" s="7" t="s">
        <v>30</v>
      </c>
      <c r="J552" s="7" t="s">
        <v>1215</v>
      </c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>
        <v>200000.0</v>
      </c>
      <c r="AA552" s="7"/>
      <c r="AB552" s="7">
        <v>200000.0</v>
      </c>
      <c r="AC552" s="7">
        <f t="shared" si="13"/>
        <v>0</v>
      </c>
      <c r="AD552" s="7"/>
      <c r="AE552" s="7"/>
    </row>
    <row r="553" ht="15.75" customHeight="1">
      <c r="A553" s="74" t="s">
        <v>1710</v>
      </c>
      <c r="B553" s="75" t="s">
        <v>1711</v>
      </c>
      <c r="C553" s="48">
        <v>45980.0</v>
      </c>
      <c r="D553" s="48">
        <v>45980.0</v>
      </c>
      <c r="E553" s="7"/>
      <c r="F553" s="7"/>
      <c r="G553" s="66"/>
      <c r="H553" s="66"/>
      <c r="I553" s="7" t="s">
        <v>144</v>
      </c>
      <c r="J553" s="7" t="s">
        <v>50</v>
      </c>
      <c r="K553" s="7"/>
      <c r="L553" s="7">
        <v>1391.22</v>
      </c>
      <c r="M553" s="7"/>
      <c r="N553" s="7"/>
      <c r="O553" s="7"/>
      <c r="P553" s="7"/>
      <c r="Q553" s="7"/>
      <c r="R553" s="7"/>
      <c r="S553" s="7">
        <v>11593.47</v>
      </c>
      <c r="T553" s="7"/>
      <c r="U553" s="7"/>
      <c r="V553" s="7"/>
      <c r="W553" s="7"/>
      <c r="X553" s="7"/>
      <c r="Y553" s="7"/>
      <c r="Z553" s="7"/>
      <c r="AA553" s="7"/>
      <c r="AB553" s="7">
        <v>12984.69</v>
      </c>
      <c r="AC553" s="7">
        <f t="shared" si="13"/>
        <v>0</v>
      </c>
      <c r="AD553" s="7"/>
      <c r="AE553" s="7"/>
    </row>
    <row r="554" ht="15.75" customHeight="1">
      <c r="A554" s="74" t="s">
        <v>1712</v>
      </c>
      <c r="B554" s="75" t="s">
        <v>1713</v>
      </c>
      <c r="C554" s="48">
        <v>45985.0</v>
      </c>
      <c r="D554" s="48">
        <v>45985.0</v>
      </c>
      <c r="E554" s="7"/>
      <c r="F554" s="7"/>
      <c r="G554" s="66"/>
      <c r="H554" s="66" t="s">
        <v>1714</v>
      </c>
      <c r="I554" s="7" t="s">
        <v>391</v>
      </c>
      <c r="J554" s="7" t="s">
        <v>50</v>
      </c>
      <c r="K554" s="7"/>
      <c r="L554" s="7"/>
      <c r="M554" s="7"/>
      <c r="N554" s="7"/>
      <c r="O554" s="7"/>
      <c r="P554" s="7"/>
      <c r="Q554" s="7"/>
      <c r="R554" s="7"/>
      <c r="S554" s="7"/>
      <c r="T554" s="7">
        <v>9882.36</v>
      </c>
      <c r="U554" s="7"/>
      <c r="V554" s="7"/>
      <c r="W554" s="7"/>
      <c r="X554" s="7"/>
      <c r="Y554" s="7"/>
      <c r="Z554" s="7"/>
      <c r="AA554" s="7"/>
      <c r="AB554" s="7">
        <v>9882.36</v>
      </c>
      <c r="AC554" s="7">
        <f t="shared" si="13"/>
        <v>0</v>
      </c>
      <c r="AD554" s="7"/>
      <c r="AE554" s="7"/>
    </row>
    <row r="555" ht="15.75" customHeight="1">
      <c r="A555" s="74" t="s">
        <v>1715</v>
      </c>
      <c r="B555" s="75" t="s">
        <v>1716</v>
      </c>
      <c r="C555" s="48">
        <v>46011.0</v>
      </c>
      <c r="D555" s="48">
        <v>45985.0</v>
      </c>
      <c r="E555" s="48">
        <v>46002.0</v>
      </c>
      <c r="F555" s="7" t="s">
        <v>1717</v>
      </c>
      <c r="G555" s="66" t="s">
        <v>1718</v>
      </c>
      <c r="H555" s="66"/>
      <c r="I555" s="7" t="s">
        <v>1719</v>
      </c>
      <c r="J555" s="7" t="s">
        <v>46</v>
      </c>
      <c r="K555" s="45" t="s">
        <v>47</v>
      </c>
      <c r="L555" s="7">
        <v>4500.0</v>
      </c>
      <c r="M555" s="7">
        <v>37500.0</v>
      </c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>
        <v>42000.0</v>
      </c>
      <c r="AC555" s="7">
        <f t="shared" si="13"/>
        <v>0</v>
      </c>
      <c r="AD555" s="7"/>
      <c r="AE555" s="7">
        <v>375.0</v>
      </c>
    </row>
    <row r="556" ht="15.75" customHeight="1">
      <c r="A556" s="74" t="s">
        <v>1720</v>
      </c>
      <c r="B556" s="47" t="s">
        <v>1721</v>
      </c>
      <c r="C556" s="48">
        <v>45985.0</v>
      </c>
      <c r="D556" s="48">
        <v>45985.0</v>
      </c>
      <c r="E556" s="7"/>
      <c r="F556" s="7"/>
      <c r="G556" s="66"/>
      <c r="H556" s="66"/>
      <c r="I556" s="7" t="s">
        <v>30</v>
      </c>
      <c r="J556" s="7" t="s">
        <v>1722</v>
      </c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>
        <v>250000.0</v>
      </c>
      <c r="AA556" s="7"/>
      <c r="AB556" s="7">
        <v>250000.0</v>
      </c>
      <c r="AC556" s="7">
        <f t="shared" si="13"/>
        <v>0</v>
      </c>
      <c r="AD556" s="7"/>
      <c r="AE556" s="7"/>
    </row>
    <row r="557" ht="15.75" customHeight="1">
      <c r="A557" s="74" t="s">
        <v>1723</v>
      </c>
      <c r="B557" s="47" t="s">
        <v>1724</v>
      </c>
      <c r="C557" s="48">
        <v>45985.0</v>
      </c>
      <c r="D557" s="48">
        <v>45985.0</v>
      </c>
      <c r="E557" s="7"/>
      <c r="F557" s="7"/>
      <c r="G557" s="66"/>
      <c r="H557" s="66"/>
      <c r="I557" s="7" t="s">
        <v>1725</v>
      </c>
      <c r="J557" s="7" t="s">
        <v>41</v>
      </c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>
        <v>250000.0</v>
      </c>
      <c r="AA557" s="7"/>
      <c r="AB557" s="7">
        <v>250000.0</v>
      </c>
      <c r="AC557" s="7">
        <f t="shared" si="13"/>
        <v>0</v>
      </c>
      <c r="AD557" s="7"/>
      <c r="AE557" s="7"/>
    </row>
    <row r="558" ht="15.75" customHeight="1">
      <c r="A558" s="74" t="s">
        <v>1726</v>
      </c>
      <c r="B558" s="75" t="s">
        <v>1727</v>
      </c>
      <c r="C558" s="48">
        <v>45989.0</v>
      </c>
      <c r="D558" s="48">
        <v>45987.0</v>
      </c>
      <c r="E558" s="7"/>
      <c r="F558" s="7"/>
      <c r="G558" s="66"/>
      <c r="H558" s="66"/>
      <c r="I558" s="7" t="s">
        <v>94</v>
      </c>
      <c r="J558" s="7" t="s">
        <v>95</v>
      </c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>
        <v>28660.0</v>
      </c>
      <c r="AB558" s="7">
        <v>28660.0</v>
      </c>
      <c r="AC558" s="7">
        <f t="shared" si="13"/>
        <v>0</v>
      </c>
      <c r="AD558" s="7"/>
      <c r="AE558" s="7"/>
    </row>
    <row r="559" ht="15.75" customHeight="1">
      <c r="A559" s="74" t="s">
        <v>1728</v>
      </c>
      <c r="B559" s="75" t="s">
        <v>1729</v>
      </c>
      <c r="C559" s="48">
        <v>45989.0</v>
      </c>
      <c r="D559" s="48">
        <v>45987.0</v>
      </c>
      <c r="E559" s="7"/>
      <c r="F559" s="7"/>
      <c r="G559" s="66"/>
      <c r="H559" s="66"/>
      <c r="I559" s="7" t="s">
        <v>94</v>
      </c>
      <c r="J559" s="7" t="s">
        <v>97</v>
      </c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>
        <v>10000.0</v>
      </c>
      <c r="AB559" s="7">
        <v>10000.0</v>
      </c>
      <c r="AC559" s="7">
        <f t="shared" si="13"/>
        <v>0</v>
      </c>
      <c r="AD559" s="7"/>
      <c r="AE559" s="7"/>
    </row>
    <row r="560" ht="15.75" customHeight="1">
      <c r="A560" s="74" t="s">
        <v>1730</v>
      </c>
      <c r="B560" s="75" t="s">
        <v>1731</v>
      </c>
      <c r="C560" s="48">
        <v>45989.0</v>
      </c>
      <c r="D560" s="48">
        <v>45989.0</v>
      </c>
      <c r="E560" s="48">
        <v>46006.0</v>
      </c>
      <c r="F560" s="7" t="s">
        <v>1732</v>
      </c>
      <c r="G560" s="66"/>
      <c r="H560" s="66"/>
      <c r="I560" s="7" t="s">
        <v>1733</v>
      </c>
      <c r="J560" s="7" t="s">
        <v>609</v>
      </c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>
        <v>11474.5</v>
      </c>
      <c r="AB560" s="7">
        <v>11474.5</v>
      </c>
      <c r="AC560" s="7">
        <f t="shared" si="13"/>
        <v>0</v>
      </c>
      <c r="AD560" s="7"/>
      <c r="AE560" s="7"/>
    </row>
    <row r="561" ht="15.75" customHeight="1">
      <c r="A561" s="74" t="s">
        <v>1734</v>
      </c>
      <c r="B561" s="75" t="s">
        <v>1735</v>
      </c>
      <c r="C561" s="48">
        <v>45989.0</v>
      </c>
      <c r="D561" s="48">
        <v>45989.0</v>
      </c>
      <c r="E561" s="7"/>
      <c r="F561" s="7"/>
      <c r="G561" s="66"/>
      <c r="H561" s="66"/>
      <c r="I561" s="7" t="s">
        <v>1736</v>
      </c>
      <c r="J561" s="7" t="s">
        <v>1737</v>
      </c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>
        <v>18740.72</v>
      </c>
      <c r="AB561" s="7">
        <v>18740.72</v>
      </c>
      <c r="AC561" s="7">
        <f t="shared" si="13"/>
        <v>0</v>
      </c>
      <c r="AD561" s="7"/>
      <c r="AE561" s="7"/>
    </row>
    <row r="562" ht="15.75" customHeight="1">
      <c r="A562" s="74" t="s">
        <v>1738</v>
      </c>
      <c r="B562" s="47" t="s">
        <v>1739</v>
      </c>
      <c r="C562" s="48">
        <v>45989.0</v>
      </c>
      <c r="D562" s="48">
        <v>45989.0</v>
      </c>
      <c r="E562" s="7"/>
      <c r="F562" s="7"/>
      <c r="G562" s="66"/>
      <c r="H562" s="66"/>
      <c r="I562" s="7" t="s">
        <v>1740</v>
      </c>
      <c r="J562" s="7" t="s">
        <v>41</v>
      </c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>
        <v>130000.0</v>
      </c>
      <c r="AA562" s="7"/>
      <c r="AB562" s="7">
        <v>130000.0</v>
      </c>
      <c r="AC562" s="7">
        <f t="shared" si="13"/>
        <v>0</v>
      </c>
      <c r="AD562" s="7"/>
      <c r="AE562" s="7"/>
    </row>
    <row r="563" ht="15.75" customHeight="1">
      <c r="A563" s="52">
        <v>45992.0</v>
      </c>
      <c r="B563" s="53"/>
      <c r="C563" s="54"/>
      <c r="D563" s="54"/>
      <c r="E563" s="54"/>
      <c r="F563" s="53"/>
      <c r="G563" s="55"/>
      <c r="H563" s="55"/>
      <c r="I563" s="53"/>
      <c r="J563" s="53"/>
      <c r="K563" s="53"/>
      <c r="L563" s="56"/>
      <c r="M563" s="56"/>
      <c r="N563" s="56"/>
      <c r="O563" s="53"/>
      <c r="P563" s="53"/>
      <c r="Q563" s="53"/>
      <c r="R563" s="53"/>
      <c r="S563" s="53"/>
      <c r="T563" s="56"/>
      <c r="U563" s="57"/>
      <c r="V563" s="57"/>
      <c r="W563" s="57"/>
      <c r="X563" s="58"/>
      <c r="Y563" s="57"/>
      <c r="Z563" s="58"/>
      <c r="AA563" s="58"/>
      <c r="AB563" s="56"/>
      <c r="AC563" s="59"/>
      <c r="AD563" s="57"/>
      <c r="AE563" s="56"/>
    </row>
    <row r="564" ht="15.75" customHeight="1">
      <c r="A564" s="74" t="s">
        <v>1741</v>
      </c>
      <c r="B564" s="75" t="s">
        <v>1742</v>
      </c>
      <c r="C564" s="48">
        <v>45992.0</v>
      </c>
      <c r="D564" s="48">
        <v>45992.0</v>
      </c>
      <c r="E564" s="7"/>
      <c r="F564" s="7"/>
      <c r="G564" s="66"/>
      <c r="H564" s="66"/>
      <c r="I564" s="7" t="s">
        <v>1743</v>
      </c>
      <c r="J564" s="7" t="s">
        <v>41</v>
      </c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>
        <v>50000.0</v>
      </c>
      <c r="AA564" s="7"/>
      <c r="AB564" s="7">
        <v>50000.0</v>
      </c>
      <c r="AC564" s="7">
        <f t="shared" ref="AC564:AC600" si="14">SUM(AB564)-SUM(L564:AA564)</f>
        <v>0</v>
      </c>
      <c r="AD564" s="7"/>
      <c r="AE564" s="7"/>
    </row>
    <row r="565" ht="15.75" customHeight="1">
      <c r="A565" s="74" t="s">
        <v>1744</v>
      </c>
      <c r="B565" s="47" t="s">
        <v>1745</v>
      </c>
      <c r="C565" s="48">
        <v>45992.0</v>
      </c>
      <c r="D565" s="48">
        <v>45992.0</v>
      </c>
      <c r="E565" s="7"/>
      <c r="F565" s="7"/>
      <c r="G565" s="66"/>
      <c r="H565" s="66"/>
      <c r="I565" s="7" t="s">
        <v>598</v>
      </c>
      <c r="J565" s="7" t="s">
        <v>1746</v>
      </c>
      <c r="K565" s="7"/>
      <c r="L565" s="7"/>
      <c r="M565" s="7"/>
      <c r="N565" s="7"/>
      <c r="O565" s="7"/>
      <c r="P565" s="7">
        <v>20000.0</v>
      </c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>
        <v>20000.0</v>
      </c>
      <c r="AC565" s="7">
        <f t="shared" si="14"/>
        <v>0</v>
      </c>
      <c r="AD565" s="7"/>
      <c r="AE565" s="7"/>
    </row>
    <row r="566" ht="15.75" customHeight="1">
      <c r="A566" s="74" t="s">
        <v>1747</v>
      </c>
      <c r="B566" s="75" t="s">
        <v>1748</v>
      </c>
      <c r="C566" s="48">
        <v>45669.0</v>
      </c>
      <c r="D566" s="48">
        <v>45993.0</v>
      </c>
      <c r="E566" s="48">
        <v>46002.0</v>
      </c>
      <c r="F566" s="7" t="s">
        <v>1749</v>
      </c>
      <c r="G566" s="66" t="s">
        <v>366</v>
      </c>
      <c r="H566" s="66"/>
      <c r="I566" s="7" t="s">
        <v>1750</v>
      </c>
      <c r="J566" s="7" t="s">
        <v>76</v>
      </c>
      <c r="K566" s="45" t="s">
        <v>77</v>
      </c>
      <c r="L566" s="7">
        <v>9107.14</v>
      </c>
      <c r="M566" s="7">
        <v>75892.86</v>
      </c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>
        <v>85000.0</v>
      </c>
      <c r="AC566" s="7">
        <f t="shared" si="14"/>
        <v>0</v>
      </c>
      <c r="AD566" s="7"/>
      <c r="AE566" s="7">
        <v>758.93</v>
      </c>
    </row>
    <row r="567" ht="15.75" customHeight="1">
      <c r="A567" s="74" t="s">
        <v>1751</v>
      </c>
      <c r="B567" s="47" t="s">
        <v>1752</v>
      </c>
      <c r="C567" s="48">
        <v>45996.0</v>
      </c>
      <c r="D567" s="48">
        <v>45996.0</v>
      </c>
      <c r="E567" s="7"/>
      <c r="F567" s="7"/>
      <c r="G567" s="66"/>
      <c r="H567" s="66"/>
      <c r="I567" s="7" t="s">
        <v>1740</v>
      </c>
      <c r="J567" s="7" t="s">
        <v>41</v>
      </c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>
        <v>140000.0</v>
      </c>
      <c r="AA567" s="7"/>
      <c r="AB567" s="7">
        <v>140000.0</v>
      </c>
      <c r="AC567" s="7">
        <f t="shared" si="14"/>
        <v>0</v>
      </c>
      <c r="AD567" s="7"/>
      <c r="AE567" s="7"/>
    </row>
    <row r="568" ht="15.75" customHeight="1">
      <c r="A568" s="74" t="s">
        <v>1753</v>
      </c>
      <c r="B568" s="75" t="s">
        <v>1754</v>
      </c>
      <c r="C568" s="48">
        <v>46002.0</v>
      </c>
      <c r="D568" s="48">
        <v>45996.0</v>
      </c>
      <c r="E568" s="7"/>
      <c r="F568" s="7"/>
      <c r="G568" s="66"/>
      <c r="H568" s="66"/>
      <c r="I568" s="45" t="s">
        <v>1755</v>
      </c>
      <c r="J568" s="45" t="s">
        <v>22</v>
      </c>
      <c r="K568" s="7"/>
      <c r="L568" s="7">
        <v>151.09</v>
      </c>
      <c r="M568" s="7"/>
      <c r="N568" s="7"/>
      <c r="O568" s="7"/>
      <c r="P568" s="7"/>
      <c r="Q568" s="7"/>
      <c r="R568" s="7">
        <v>1259.06</v>
      </c>
      <c r="S568" s="7"/>
      <c r="T568" s="7"/>
      <c r="U568" s="7"/>
      <c r="V568" s="7"/>
      <c r="W568" s="7"/>
      <c r="X568" s="7"/>
      <c r="Y568" s="7"/>
      <c r="Z568" s="7"/>
      <c r="AA568" s="7"/>
      <c r="AB568" s="7">
        <v>1410.15</v>
      </c>
      <c r="AC568" s="7">
        <f t="shared" si="14"/>
        <v>0</v>
      </c>
      <c r="AD568" s="7"/>
      <c r="AE568" s="7"/>
    </row>
    <row r="569" ht="15.75" customHeight="1">
      <c r="A569" s="74" t="s">
        <v>1756</v>
      </c>
      <c r="B569" s="75" t="s">
        <v>1757</v>
      </c>
      <c r="C569" s="48">
        <v>46002.0</v>
      </c>
      <c r="D569" s="48">
        <v>45996.0</v>
      </c>
      <c r="E569" s="7"/>
      <c r="F569" s="7"/>
      <c r="G569" s="66"/>
      <c r="H569" s="66"/>
      <c r="I569" s="45" t="s">
        <v>1755</v>
      </c>
      <c r="J569" s="45" t="s">
        <v>22</v>
      </c>
      <c r="K569" s="7"/>
      <c r="L569" s="7">
        <v>811.09</v>
      </c>
      <c r="M569" s="7"/>
      <c r="N569" s="7"/>
      <c r="O569" s="7"/>
      <c r="P569" s="7"/>
      <c r="Q569" s="7"/>
      <c r="R569" s="7">
        <v>6759.06</v>
      </c>
      <c r="S569" s="7"/>
      <c r="T569" s="7"/>
      <c r="U569" s="7"/>
      <c r="V569" s="7"/>
      <c r="W569" s="7"/>
      <c r="X569" s="7"/>
      <c r="Y569" s="7"/>
      <c r="Z569" s="7"/>
      <c r="AA569" s="7"/>
      <c r="AB569" s="7">
        <v>7570.15</v>
      </c>
      <c r="AC569" s="7">
        <f t="shared" si="14"/>
        <v>0</v>
      </c>
      <c r="AD569" s="7"/>
      <c r="AE569" s="7"/>
    </row>
    <row r="570" ht="15.75" customHeight="1">
      <c r="A570" s="78" t="s">
        <v>1758</v>
      </c>
      <c r="B570" s="79" t="s">
        <v>1759</v>
      </c>
      <c r="C570" s="80">
        <v>46002.0</v>
      </c>
      <c r="D570" s="80">
        <v>46000.0</v>
      </c>
      <c r="E570" s="81"/>
      <c r="F570" s="60"/>
      <c r="G570" s="60"/>
      <c r="H570" s="60"/>
      <c r="I570" s="81" t="s">
        <v>1760</v>
      </c>
      <c r="J570" s="81" t="s">
        <v>1761</v>
      </c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>
        <v>42000.0</v>
      </c>
      <c r="AB570" s="81">
        <v>42000.0</v>
      </c>
      <c r="AC570" s="7">
        <f t="shared" si="14"/>
        <v>0</v>
      </c>
      <c r="AD570" s="81" t="s">
        <v>1762</v>
      </c>
      <c r="AE570" s="7"/>
    </row>
    <row r="571" ht="15.75" customHeight="1">
      <c r="A571" s="74" t="s">
        <v>1763</v>
      </c>
      <c r="B571" s="75" t="s">
        <v>1764</v>
      </c>
      <c r="C571" s="48">
        <v>46003.0</v>
      </c>
      <c r="D571" s="48">
        <v>46000.0</v>
      </c>
      <c r="E571" s="48">
        <v>46007.0</v>
      </c>
      <c r="F571" s="7" t="s">
        <v>1765</v>
      </c>
      <c r="G571" s="66"/>
      <c r="H571" s="66"/>
      <c r="I571" s="7" t="s">
        <v>1766</v>
      </c>
      <c r="J571" s="7" t="s">
        <v>1767</v>
      </c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>
        <v>5875.2</v>
      </c>
      <c r="AB571" s="7">
        <v>5875.2</v>
      </c>
      <c r="AC571" s="7">
        <f t="shared" si="14"/>
        <v>0</v>
      </c>
      <c r="AD571" s="7"/>
      <c r="AE571" s="7"/>
    </row>
    <row r="572" ht="15.75" customHeight="1">
      <c r="A572" s="74" t="s">
        <v>1768</v>
      </c>
      <c r="B572" s="75" t="s">
        <v>1769</v>
      </c>
      <c r="C572" s="48">
        <v>46003.0</v>
      </c>
      <c r="D572" s="48">
        <v>46000.0</v>
      </c>
      <c r="E572" s="7"/>
      <c r="F572" s="7"/>
      <c r="G572" s="66"/>
      <c r="H572" s="66"/>
      <c r="I572" s="7" t="s">
        <v>1770</v>
      </c>
      <c r="J572" s="7" t="s">
        <v>235</v>
      </c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>
        <v>5000.0</v>
      </c>
      <c r="AB572" s="7">
        <v>5000.0</v>
      </c>
      <c r="AC572" s="7">
        <f t="shared" si="14"/>
        <v>0</v>
      </c>
      <c r="AD572" s="7"/>
      <c r="AE572" s="7"/>
    </row>
    <row r="573" ht="15.75" customHeight="1">
      <c r="A573" s="74" t="s">
        <v>1771</v>
      </c>
      <c r="B573" s="75" t="s">
        <v>1772</v>
      </c>
      <c r="C573" s="48">
        <v>46003.0</v>
      </c>
      <c r="D573" s="48">
        <v>46000.0</v>
      </c>
      <c r="E573" s="48">
        <v>46009.0</v>
      </c>
      <c r="F573" s="7" t="s">
        <v>1773</v>
      </c>
      <c r="G573" s="66"/>
      <c r="H573" s="66"/>
      <c r="I573" s="7" t="s">
        <v>608</v>
      </c>
      <c r="J573" s="7" t="s">
        <v>609</v>
      </c>
      <c r="K573" s="7"/>
      <c r="L573" s="7"/>
      <c r="M573" s="7"/>
      <c r="N573" s="7">
        <v>14700.0</v>
      </c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>
        <v>14700.0</v>
      </c>
      <c r="AC573" s="7">
        <f t="shared" si="14"/>
        <v>0</v>
      </c>
      <c r="AD573" s="7"/>
      <c r="AE573" s="7"/>
    </row>
    <row r="574" ht="15.75" customHeight="1">
      <c r="A574" s="74" t="s">
        <v>1774</v>
      </c>
      <c r="B574" s="75" t="s">
        <v>1775</v>
      </c>
      <c r="C574" s="48">
        <v>45662.0</v>
      </c>
      <c r="D574" s="48">
        <v>46000.0</v>
      </c>
      <c r="E574" s="48">
        <v>46042.0</v>
      </c>
      <c r="F574" s="7" t="s">
        <v>1776</v>
      </c>
      <c r="G574" s="66" t="s">
        <v>1777</v>
      </c>
      <c r="H574" s="66"/>
      <c r="I574" s="7" t="s">
        <v>1778</v>
      </c>
      <c r="J574" s="7" t="s">
        <v>82</v>
      </c>
      <c r="K574" s="45" t="s">
        <v>83</v>
      </c>
      <c r="L574" s="7">
        <v>4500.0</v>
      </c>
      <c r="M574" s="7">
        <v>37500.0</v>
      </c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>
        <v>42000.0</v>
      </c>
      <c r="AC574" s="7">
        <f t="shared" si="14"/>
        <v>0</v>
      </c>
      <c r="AD574" s="7"/>
      <c r="AE574" s="7">
        <v>375.0</v>
      </c>
    </row>
    <row r="575" ht="15.75" customHeight="1">
      <c r="A575" s="74" t="s">
        <v>1779</v>
      </c>
      <c r="B575" s="75" t="s">
        <v>1780</v>
      </c>
      <c r="C575" s="48">
        <v>45662.0</v>
      </c>
      <c r="D575" s="48">
        <v>46000.0</v>
      </c>
      <c r="E575" s="48">
        <v>46038.0</v>
      </c>
      <c r="F575" s="7" t="s">
        <v>1781</v>
      </c>
      <c r="G575" s="66" t="s">
        <v>1782</v>
      </c>
      <c r="H575" s="66"/>
      <c r="I575" s="7" t="s">
        <v>1783</v>
      </c>
      <c r="J575" s="7" t="s">
        <v>46</v>
      </c>
      <c r="K575" s="45" t="s">
        <v>47</v>
      </c>
      <c r="L575" s="7">
        <v>857.14</v>
      </c>
      <c r="M575" s="7">
        <v>7142.86</v>
      </c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>
        <v>8000.0</v>
      </c>
      <c r="AC575" s="7">
        <f t="shared" si="14"/>
        <v>0</v>
      </c>
      <c r="AD575" s="7"/>
      <c r="AE575" s="7">
        <v>71.43</v>
      </c>
    </row>
    <row r="576" ht="15.75" customHeight="1">
      <c r="A576" s="74" t="s">
        <v>1784</v>
      </c>
      <c r="B576" s="75" t="s">
        <v>1785</v>
      </c>
      <c r="C576" s="48">
        <v>46003.0</v>
      </c>
      <c r="D576" s="48">
        <v>46000.0</v>
      </c>
      <c r="E576" s="7"/>
      <c r="F576" s="7"/>
      <c r="G576" s="66"/>
      <c r="H576" s="66" t="s">
        <v>1786</v>
      </c>
      <c r="I576" s="7" t="s">
        <v>122</v>
      </c>
      <c r="J576" s="7" t="s">
        <v>50</v>
      </c>
      <c r="K576" s="7"/>
      <c r="L576" s="7"/>
      <c r="M576" s="7"/>
      <c r="N576" s="7"/>
      <c r="O576" s="7"/>
      <c r="P576" s="7"/>
      <c r="Q576" s="7"/>
      <c r="R576" s="7"/>
      <c r="S576" s="7"/>
      <c r="T576" s="7">
        <v>19495.32</v>
      </c>
      <c r="U576" s="7"/>
      <c r="V576" s="7"/>
      <c r="W576" s="7"/>
      <c r="X576" s="7"/>
      <c r="Y576" s="7"/>
      <c r="Z576" s="7"/>
      <c r="AA576" s="7"/>
      <c r="AB576" s="7">
        <v>19495.32</v>
      </c>
      <c r="AC576" s="7">
        <f t="shared" si="14"/>
        <v>0</v>
      </c>
      <c r="AD576" s="7"/>
      <c r="AE576" s="7"/>
    </row>
    <row r="577" ht="15.75" customHeight="1">
      <c r="A577" s="74" t="s">
        <v>1787</v>
      </c>
      <c r="B577" s="75" t="s">
        <v>1788</v>
      </c>
      <c r="C577" s="48">
        <v>46003.0</v>
      </c>
      <c r="D577" s="48">
        <v>46000.0</v>
      </c>
      <c r="E577" s="7"/>
      <c r="F577" s="7"/>
      <c r="G577" s="66"/>
      <c r="H577" s="66" t="s">
        <v>1789</v>
      </c>
      <c r="I577" s="7" t="s">
        <v>177</v>
      </c>
      <c r="J577" s="7" t="s">
        <v>50</v>
      </c>
      <c r="K577" s="7"/>
      <c r="L577" s="7"/>
      <c r="M577" s="7"/>
      <c r="N577" s="7"/>
      <c r="O577" s="7"/>
      <c r="P577" s="7"/>
      <c r="Q577" s="7"/>
      <c r="R577" s="7"/>
      <c r="S577" s="7"/>
      <c r="T577" s="7">
        <v>11580.76</v>
      </c>
      <c r="U577" s="7"/>
      <c r="V577" s="7"/>
      <c r="W577" s="7"/>
      <c r="X577" s="7"/>
      <c r="Y577" s="7"/>
      <c r="Z577" s="7"/>
      <c r="AA577" s="7"/>
      <c r="AB577" s="7">
        <v>11580.76</v>
      </c>
      <c r="AC577" s="7">
        <f t="shared" si="14"/>
        <v>0</v>
      </c>
      <c r="AD577" s="7"/>
      <c r="AE577" s="7"/>
    </row>
    <row r="578" ht="15.75" customHeight="1">
      <c r="A578" s="74" t="s">
        <v>1790</v>
      </c>
      <c r="B578" s="47" t="s">
        <v>1791</v>
      </c>
      <c r="C578" s="48">
        <v>46003.0</v>
      </c>
      <c r="D578" s="48">
        <v>46003.0</v>
      </c>
      <c r="E578" s="7"/>
      <c r="F578" s="7"/>
      <c r="G578" s="66"/>
      <c r="H578" s="66"/>
      <c r="I578" s="7" t="s">
        <v>1740</v>
      </c>
      <c r="J578" s="7" t="s">
        <v>41</v>
      </c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>
        <v>250000.0</v>
      </c>
      <c r="AA578" s="7"/>
      <c r="AB578" s="7">
        <v>250000.0</v>
      </c>
      <c r="AC578" s="7">
        <f t="shared" si="14"/>
        <v>0</v>
      </c>
      <c r="AD578" s="7"/>
      <c r="AE578" s="7"/>
    </row>
    <row r="579" ht="15.75" customHeight="1">
      <c r="A579" s="74" t="s">
        <v>1792</v>
      </c>
      <c r="B579" s="75" t="s">
        <v>1793</v>
      </c>
      <c r="C579" s="48">
        <v>46006.0</v>
      </c>
      <c r="D579" s="48">
        <v>46003.0</v>
      </c>
      <c r="E579" s="7"/>
      <c r="F579" s="7"/>
      <c r="G579" s="66"/>
      <c r="H579" s="66"/>
      <c r="I579" s="7" t="s">
        <v>1794</v>
      </c>
      <c r="J579" s="7" t="s">
        <v>95</v>
      </c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>
        <v>30000.0</v>
      </c>
      <c r="AB579" s="7">
        <v>30000.0</v>
      </c>
      <c r="AC579" s="7">
        <f t="shared" si="14"/>
        <v>0</v>
      </c>
      <c r="AD579" s="7"/>
      <c r="AE579" s="7"/>
    </row>
    <row r="580" ht="15.75" customHeight="1">
      <c r="A580" s="74" t="s">
        <v>1795</v>
      </c>
      <c r="B580" s="75" t="s">
        <v>1796</v>
      </c>
      <c r="C580" s="48">
        <v>46006.0</v>
      </c>
      <c r="D580" s="48">
        <v>46003.0</v>
      </c>
      <c r="E580" s="7"/>
      <c r="F580" s="7"/>
      <c r="G580" s="66"/>
      <c r="H580" s="66"/>
      <c r="I580" s="7" t="s">
        <v>1794</v>
      </c>
      <c r="J580" s="7" t="s">
        <v>97</v>
      </c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>
        <v>23500.0</v>
      </c>
      <c r="AB580" s="7">
        <v>23500.0</v>
      </c>
      <c r="AC580" s="7">
        <f t="shared" si="14"/>
        <v>0</v>
      </c>
      <c r="AD580" s="7"/>
      <c r="AE580" s="7"/>
    </row>
    <row r="581" ht="15.75" customHeight="1">
      <c r="A581" s="74" t="s">
        <v>1797</v>
      </c>
      <c r="B581" s="75" t="s">
        <v>1798</v>
      </c>
      <c r="C581" s="48">
        <v>46007.0</v>
      </c>
      <c r="D581" s="48">
        <v>46003.0</v>
      </c>
      <c r="E581" s="7"/>
      <c r="F581" s="7"/>
      <c r="G581" s="66"/>
      <c r="H581" s="66"/>
      <c r="I581" s="7" t="s">
        <v>1799</v>
      </c>
      <c r="J581" s="7" t="s">
        <v>1668</v>
      </c>
      <c r="K581" s="7"/>
      <c r="L581" s="7">
        <v>160.61</v>
      </c>
      <c r="M581" s="7"/>
      <c r="N581" s="7"/>
      <c r="O581" s="7"/>
      <c r="P581" s="7"/>
      <c r="Q581" s="7"/>
      <c r="R581" s="7"/>
      <c r="S581" s="7">
        <v>1338.39</v>
      </c>
      <c r="T581" s="7"/>
      <c r="U581" s="7"/>
      <c r="V581" s="7"/>
      <c r="W581" s="7"/>
      <c r="X581" s="7"/>
      <c r="Y581" s="7"/>
      <c r="Z581" s="7"/>
      <c r="AA581" s="7"/>
      <c r="AB581" s="7">
        <v>1499.0</v>
      </c>
      <c r="AC581" s="7">
        <f t="shared" si="14"/>
        <v>0</v>
      </c>
      <c r="AD581" s="7"/>
      <c r="AE581" s="7"/>
    </row>
    <row r="582" ht="15.75" customHeight="1">
      <c r="A582" s="74" t="s">
        <v>1800</v>
      </c>
      <c r="B582" s="75" t="s">
        <v>1801</v>
      </c>
      <c r="C582" s="48">
        <v>46007.0</v>
      </c>
      <c r="D582" s="48">
        <v>46003.0</v>
      </c>
      <c r="E582" s="7"/>
      <c r="F582" s="7"/>
      <c r="G582" s="66"/>
      <c r="H582" s="66"/>
      <c r="I582" s="7" t="s">
        <v>1802</v>
      </c>
      <c r="J582" s="7" t="s">
        <v>1668</v>
      </c>
      <c r="K582" s="7"/>
      <c r="L582" s="7">
        <v>107.04</v>
      </c>
      <c r="M582" s="7"/>
      <c r="N582" s="7"/>
      <c r="O582" s="7"/>
      <c r="P582" s="7"/>
      <c r="Q582" s="7"/>
      <c r="R582" s="7"/>
      <c r="S582" s="7">
        <v>891.96</v>
      </c>
      <c r="T582" s="7"/>
      <c r="U582" s="7"/>
      <c r="V582" s="7"/>
      <c r="W582" s="7"/>
      <c r="X582" s="7"/>
      <c r="Y582" s="7"/>
      <c r="Z582" s="7"/>
      <c r="AA582" s="7"/>
      <c r="AB582" s="7">
        <v>999.0</v>
      </c>
      <c r="AC582" s="7">
        <f t="shared" si="14"/>
        <v>0</v>
      </c>
      <c r="AD582" s="7"/>
      <c r="AE582" s="7"/>
    </row>
    <row r="583" ht="15.75" customHeight="1">
      <c r="A583" s="74" t="s">
        <v>1803</v>
      </c>
      <c r="B583" s="75" t="s">
        <v>1804</v>
      </c>
      <c r="C583" s="48">
        <v>46007.0</v>
      </c>
      <c r="D583" s="48">
        <v>46003.0</v>
      </c>
      <c r="E583" s="7"/>
      <c r="F583" s="7"/>
      <c r="G583" s="66"/>
      <c r="H583" s="66"/>
      <c r="I583" s="45" t="s">
        <v>1805</v>
      </c>
      <c r="J583" s="7" t="s">
        <v>58</v>
      </c>
      <c r="K583" s="7"/>
      <c r="L583" s="7">
        <v>32.14</v>
      </c>
      <c r="M583" s="7"/>
      <c r="N583" s="7"/>
      <c r="O583" s="7"/>
      <c r="P583" s="7"/>
      <c r="Q583" s="7"/>
      <c r="R583" s="7"/>
      <c r="S583" s="7">
        <v>267.86</v>
      </c>
      <c r="T583" s="7"/>
      <c r="U583" s="7"/>
      <c r="V583" s="7"/>
      <c r="W583" s="7"/>
      <c r="X583" s="7"/>
      <c r="Y583" s="7"/>
      <c r="Z583" s="7"/>
      <c r="AA583" s="7"/>
      <c r="AB583" s="7">
        <v>300.0</v>
      </c>
      <c r="AC583" s="7">
        <f t="shared" si="14"/>
        <v>0</v>
      </c>
      <c r="AD583" s="7"/>
      <c r="AE583" s="7"/>
    </row>
    <row r="584" ht="15.75" customHeight="1">
      <c r="A584" s="74" t="s">
        <v>1806</v>
      </c>
      <c r="B584" s="75" t="s">
        <v>1807</v>
      </c>
      <c r="C584" s="48">
        <v>46006.0</v>
      </c>
      <c r="D584" s="48">
        <v>46006.0</v>
      </c>
      <c r="E584" s="7"/>
      <c r="F584" s="7"/>
      <c r="G584" s="66"/>
      <c r="H584" s="66"/>
      <c r="I584" s="7" t="s">
        <v>1760</v>
      </c>
      <c r="J584" s="7" t="s">
        <v>1761</v>
      </c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>
        <v>42000.0</v>
      </c>
      <c r="AB584" s="7">
        <v>42000.0</v>
      </c>
      <c r="AC584" s="7">
        <f t="shared" si="14"/>
        <v>0</v>
      </c>
      <c r="AD584" s="7"/>
      <c r="AE584" s="7"/>
    </row>
    <row r="585" ht="15.75" customHeight="1">
      <c r="A585" s="74" t="s">
        <v>1808</v>
      </c>
      <c r="B585" s="75" t="s">
        <v>1809</v>
      </c>
      <c r="C585" s="48">
        <v>45683.0</v>
      </c>
      <c r="D585" s="48">
        <v>46006.0</v>
      </c>
      <c r="E585" s="48">
        <v>45672.0</v>
      </c>
      <c r="F585" s="7" t="s">
        <v>1810</v>
      </c>
      <c r="G585" s="66" t="s">
        <v>1811</v>
      </c>
      <c r="H585" s="66"/>
      <c r="I585" s="7" t="s">
        <v>1597</v>
      </c>
      <c r="J585" s="7" t="s">
        <v>76</v>
      </c>
      <c r="K585" s="45" t="s">
        <v>77</v>
      </c>
      <c r="L585" s="7">
        <v>803.57</v>
      </c>
      <c r="M585" s="7">
        <v>6696.43</v>
      </c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>
        <v>7500.0</v>
      </c>
      <c r="AC585" s="7">
        <f t="shared" si="14"/>
        <v>0</v>
      </c>
      <c r="AD585" s="7"/>
      <c r="AE585" s="7">
        <v>66.96</v>
      </c>
    </row>
    <row r="586" ht="15.75" customHeight="1">
      <c r="A586" s="74" t="s">
        <v>1812</v>
      </c>
      <c r="B586" s="75" t="s">
        <v>1813</v>
      </c>
      <c r="C586" s="48">
        <v>45667.0</v>
      </c>
      <c r="D586" s="48">
        <v>46006.0</v>
      </c>
      <c r="E586" s="48">
        <v>46038.0</v>
      </c>
      <c r="F586" s="7" t="s">
        <v>1814</v>
      </c>
      <c r="G586" s="66" t="s">
        <v>1815</v>
      </c>
      <c r="H586" s="66"/>
      <c r="I586" s="7" t="s">
        <v>1816</v>
      </c>
      <c r="J586" s="7" t="s">
        <v>46</v>
      </c>
      <c r="K586" s="45" t="s">
        <v>47</v>
      </c>
      <c r="L586" s="7">
        <v>360.0</v>
      </c>
      <c r="M586" s="7">
        <v>3000.0</v>
      </c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>
        <v>3360.0</v>
      </c>
      <c r="AC586" s="7">
        <f t="shared" si="14"/>
        <v>0</v>
      </c>
      <c r="AD586" s="7"/>
      <c r="AE586" s="7">
        <v>30.0</v>
      </c>
    </row>
    <row r="587" ht="15.75" customHeight="1">
      <c r="A587" s="74" t="s">
        <v>1817</v>
      </c>
      <c r="B587" s="75" t="s">
        <v>1818</v>
      </c>
      <c r="C587" s="48">
        <v>46010.0</v>
      </c>
      <c r="D587" s="48">
        <v>46006.0</v>
      </c>
      <c r="E587" s="48">
        <v>46029.0</v>
      </c>
      <c r="F587" s="7" t="s">
        <v>1819</v>
      </c>
      <c r="G587" s="66" t="s">
        <v>1820</v>
      </c>
      <c r="H587" s="66"/>
      <c r="I587" s="7" t="s">
        <v>1821</v>
      </c>
      <c r="J587" s="7" t="s">
        <v>91</v>
      </c>
      <c r="K587" s="45" t="s">
        <v>92</v>
      </c>
      <c r="L587" s="7">
        <v>1537.5</v>
      </c>
      <c r="M587" s="7">
        <v>12812.5</v>
      </c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>
        <v>14350.0</v>
      </c>
      <c r="AC587" s="7">
        <f t="shared" si="14"/>
        <v>0</v>
      </c>
      <c r="AD587" s="7"/>
      <c r="AE587" s="7">
        <v>128.13</v>
      </c>
    </row>
    <row r="588" ht="15.75" customHeight="1">
      <c r="A588" s="74" t="s">
        <v>1822</v>
      </c>
      <c r="B588" s="75" t="s">
        <v>1823</v>
      </c>
      <c r="C588" s="48">
        <v>45683.0</v>
      </c>
      <c r="D588" s="48">
        <v>46006.0</v>
      </c>
      <c r="E588" s="48">
        <v>45672.0</v>
      </c>
      <c r="F588" s="7" t="s">
        <v>1824</v>
      </c>
      <c r="G588" s="66" t="s">
        <v>1825</v>
      </c>
      <c r="H588" s="66"/>
      <c r="I588" s="7" t="s">
        <v>1826</v>
      </c>
      <c r="J588" s="7" t="s">
        <v>76</v>
      </c>
      <c r="K588" s="45" t="s">
        <v>77</v>
      </c>
      <c r="L588" s="7">
        <v>1607.14</v>
      </c>
      <c r="M588" s="7">
        <v>13392.86</v>
      </c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>
        <v>15000.0</v>
      </c>
      <c r="AC588" s="7">
        <f t="shared" si="14"/>
        <v>0</v>
      </c>
      <c r="AD588" s="7"/>
      <c r="AE588" s="7">
        <v>133.93</v>
      </c>
    </row>
    <row r="589" ht="15.75" customHeight="1">
      <c r="A589" s="74" t="s">
        <v>1827</v>
      </c>
      <c r="B589" s="75" t="s">
        <v>1828</v>
      </c>
      <c r="C589" s="48">
        <v>46008.0</v>
      </c>
      <c r="D589" s="48">
        <v>46008.0</v>
      </c>
      <c r="E589" s="7"/>
      <c r="F589" s="7"/>
      <c r="G589" s="66"/>
      <c r="H589" s="66"/>
      <c r="I589" s="45" t="s">
        <v>1829</v>
      </c>
      <c r="J589" s="45" t="s">
        <v>100</v>
      </c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>
        <v>8576.09</v>
      </c>
      <c r="Y589" s="7"/>
      <c r="Z589" s="7"/>
      <c r="AA589" s="7"/>
      <c r="AB589" s="7">
        <v>8576.09</v>
      </c>
      <c r="AC589" s="7">
        <f t="shared" si="14"/>
        <v>0</v>
      </c>
      <c r="AD589" s="7"/>
      <c r="AE589" s="7"/>
    </row>
    <row r="590" ht="15.75" customHeight="1">
      <c r="A590" s="74" t="s">
        <v>1830</v>
      </c>
      <c r="B590" s="75" t="s">
        <v>1831</v>
      </c>
      <c r="C590" s="48">
        <v>46008.0</v>
      </c>
      <c r="D590" s="48">
        <v>46008.0</v>
      </c>
      <c r="E590" s="7"/>
      <c r="F590" s="7"/>
      <c r="G590" s="66"/>
      <c r="H590" s="66" t="s">
        <v>1832</v>
      </c>
      <c r="I590" s="7" t="s">
        <v>1060</v>
      </c>
      <c r="J590" s="7" t="s">
        <v>50</v>
      </c>
      <c r="K590" s="7"/>
      <c r="L590" s="7"/>
      <c r="M590" s="7"/>
      <c r="N590" s="7"/>
      <c r="O590" s="7"/>
      <c r="P590" s="7"/>
      <c r="Q590" s="7"/>
      <c r="R590" s="7"/>
      <c r="S590" s="7"/>
      <c r="T590" s="7">
        <v>10059.6</v>
      </c>
      <c r="U590" s="7"/>
      <c r="V590" s="7"/>
      <c r="W590" s="7"/>
      <c r="X590" s="7"/>
      <c r="Y590" s="7"/>
      <c r="Z590" s="7"/>
      <c r="AA590" s="7"/>
      <c r="AB590" s="7">
        <v>10059.6</v>
      </c>
      <c r="AC590" s="7">
        <f t="shared" si="14"/>
        <v>0</v>
      </c>
      <c r="AD590" s="7"/>
      <c r="AE590" s="7"/>
    </row>
    <row r="591" ht="15.75" customHeight="1">
      <c r="A591" s="74" t="s">
        <v>1833</v>
      </c>
      <c r="B591" s="75" t="s">
        <v>1834</v>
      </c>
      <c r="C591" s="48">
        <v>46038.0</v>
      </c>
      <c r="D591" s="48">
        <v>46008.0</v>
      </c>
      <c r="E591" s="48">
        <v>46039.0</v>
      </c>
      <c r="F591" s="7" t="s">
        <v>1835</v>
      </c>
      <c r="G591" s="66" t="s">
        <v>1836</v>
      </c>
      <c r="H591" s="66"/>
      <c r="I591" s="7" t="s">
        <v>1837</v>
      </c>
      <c r="J591" s="7" t="s">
        <v>349</v>
      </c>
      <c r="K591" s="45" t="s">
        <v>444</v>
      </c>
      <c r="L591" s="7">
        <v>171.43</v>
      </c>
      <c r="M591" s="7">
        <v>1428.57</v>
      </c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>
        <v>1600.0</v>
      </c>
      <c r="AC591" s="7">
        <f t="shared" si="14"/>
        <v>0</v>
      </c>
      <c r="AD591" s="7"/>
      <c r="AE591" s="7">
        <v>14.29</v>
      </c>
    </row>
    <row r="592" ht="15.75" customHeight="1">
      <c r="A592" s="74" t="s">
        <v>1838</v>
      </c>
      <c r="B592" s="75" t="s">
        <v>1839</v>
      </c>
      <c r="C592" s="48">
        <v>46051.0</v>
      </c>
      <c r="D592" s="48">
        <v>46008.0</v>
      </c>
      <c r="E592" s="48">
        <v>46042.0</v>
      </c>
      <c r="F592" s="7" t="s">
        <v>1840</v>
      </c>
      <c r="G592" s="66" t="s">
        <v>1841</v>
      </c>
      <c r="H592" s="66"/>
      <c r="I592" s="7" t="s">
        <v>1842</v>
      </c>
      <c r="J592" s="7" t="s">
        <v>82</v>
      </c>
      <c r="K592" s="45" t="s">
        <v>83</v>
      </c>
      <c r="L592" s="7">
        <v>6910.71</v>
      </c>
      <c r="M592" s="7">
        <v>57589.29</v>
      </c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>
        <v>64500.0</v>
      </c>
      <c r="AC592" s="7">
        <f t="shared" si="14"/>
        <v>0</v>
      </c>
      <c r="AD592" s="7"/>
      <c r="AE592" s="7">
        <v>575.89</v>
      </c>
    </row>
    <row r="593" ht="15.75" customHeight="1">
      <c r="A593" s="74" t="s">
        <v>1843</v>
      </c>
      <c r="B593" s="75" t="s">
        <v>1844</v>
      </c>
      <c r="C593" s="48">
        <v>46008.0</v>
      </c>
      <c r="D593" s="48">
        <v>46008.0</v>
      </c>
      <c r="E593" s="7"/>
      <c r="F593" s="7"/>
      <c r="G593" s="66"/>
      <c r="H593" s="66"/>
      <c r="I593" s="7" t="s">
        <v>1845</v>
      </c>
      <c r="J593" s="7" t="s">
        <v>119</v>
      </c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>
        <v>19982.8</v>
      </c>
      <c r="AB593" s="7">
        <v>20000.0</v>
      </c>
      <c r="AC593" s="7">
        <f t="shared" si="14"/>
        <v>17.2</v>
      </c>
      <c r="AD593" s="51" t="s">
        <v>1846</v>
      </c>
      <c r="AE593" s="7"/>
    </row>
    <row r="594" ht="15.75" customHeight="1">
      <c r="A594" s="74" t="s">
        <v>1847</v>
      </c>
      <c r="B594" s="75" t="s">
        <v>1848</v>
      </c>
      <c r="C594" s="48">
        <v>46008.0</v>
      </c>
      <c r="D594" s="48">
        <v>46008.0</v>
      </c>
      <c r="E594" s="7"/>
      <c r="F594" s="7"/>
      <c r="G594" s="66"/>
      <c r="H594" s="66"/>
      <c r="I594" s="7" t="s">
        <v>1849</v>
      </c>
      <c r="J594" s="7" t="s">
        <v>151</v>
      </c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>
        <v>1500.0</v>
      </c>
      <c r="AB594" s="7">
        <v>1500.0</v>
      </c>
      <c r="AC594" s="7">
        <f t="shared" si="14"/>
        <v>0</v>
      </c>
      <c r="AD594" s="7"/>
      <c r="AE594" s="7"/>
    </row>
    <row r="595" ht="15.75" customHeight="1">
      <c r="A595" s="74" t="s">
        <v>1850</v>
      </c>
      <c r="B595" s="75" t="s">
        <v>1851</v>
      </c>
      <c r="C595" s="48">
        <v>46010.0</v>
      </c>
      <c r="D595" s="48">
        <v>46010.0</v>
      </c>
      <c r="E595" s="7"/>
      <c r="F595" s="7"/>
      <c r="G595" s="66"/>
      <c r="H595" s="66"/>
      <c r="I595" s="7" t="s">
        <v>144</v>
      </c>
      <c r="J595" s="7" t="s">
        <v>50</v>
      </c>
      <c r="K595" s="7"/>
      <c r="L595" s="7">
        <v>1387.67</v>
      </c>
      <c r="M595" s="7"/>
      <c r="N595" s="7"/>
      <c r="O595" s="7"/>
      <c r="P595" s="7"/>
      <c r="Q595" s="7"/>
      <c r="R595" s="7"/>
      <c r="S595" s="7">
        <v>11563.93</v>
      </c>
      <c r="T595" s="7"/>
      <c r="U595" s="7"/>
      <c r="V595" s="7"/>
      <c r="W595" s="7"/>
      <c r="X595" s="7"/>
      <c r="Y595" s="7"/>
      <c r="Z595" s="7"/>
      <c r="AA595" s="7"/>
      <c r="AB595" s="7">
        <v>12951.6</v>
      </c>
      <c r="AC595" s="7">
        <f t="shared" si="14"/>
        <v>0</v>
      </c>
      <c r="AD595" s="7"/>
      <c r="AE595" s="7"/>
    </row>
    <row r="596" ht="15.75" customHeight="1">
      <c r="A596" s="74" t="s">
        <v>1852</v>
      </c>
      <c r="B596" s="75" t="s">
        <v>1853</v>
      </c>
      <c r="C596" s="48">
        <v>45676.0</v>
      </c>
      <c r="D596" s="48">
        <v>46010.0</v>
      </c>
      <c r="E596" s="48">
        <v>45662.0</v>
      </c>
      <c r="F596" s="7" t="s">
        <v>1854</v>
      </c>
      <c r="G596" s="66" t="s">
        <v>1855</v>
      </c>
      <c r="H596" s="66"/>
      <c r="I596" s="7" t="s">
        <v>1856</v>
      </c>
      <c r="J596" s="45" t="s">
        <v>70</v>
      </c>
      <c r="K596" s="45" t="s">
        <v>71</v>
      </c>
      <c r="L596" s="7">
        <v>17678.57</v>
      </c>
      <c r="M596" s="7">
        <v>147321.43</v>
      </c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>
        <v>165000.0</v>
      </c>
      <c r="AC596" s="7">
        <f t="shared" si="14"/>
        <v>0</v>
      </c>
      <c r="AD596" s="7"/>
      <c r="AE596" s="7">
        <v>1473.21</v>
      </c>
    </row>
    <row r="597" ht="15.75" customHeight="1">
      <c r="A597" s="74" t="s">
        <v>1857</v>
      </c>
      <c r="B597" s="75" t="s">
        <v>1858</v>
      </c>
      <c r="C597" s="48">
        <v>46014.0</v>
      </c>
      <c r="D597" s="48">
        <v>46014.0</v>
      </c>
      <c r="E597" s="7"/>
      <c r="F597" s="7"/>
      <c r="G597" s="66"/>
      <c r="H597" s="66"/>
      <c r="I597" s="7" t="s">
        <v>1859</v>
      </c>
      <c r="J597" s="7" t="s">
        <v>119</v>
      </c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>
        <v>19673.75</v>
      </c>
      <c r="AB597" s="7">
        <v>19673.75</v>
      </c>
      <c r="AC597" s="7">
        <f t="shared" si="14"/>
        <v>0</v>
      </c>
      <c r="AD597" s="7"/>
      <c r="AE597" s="7"/>
    </row>
    <row r="598" ht="15.75" customHeight="1">
      <c r="A598" s="74" t="s">
        <v>1860</v>
      </c>
      <c r="B598" s="75" t="s">
        <v>1861</v>
      </c>
      <c r="C598" s="48">
        <v>46382.0</v>
      </c>
      <c r="D598" s="48">
        <v>46382.0</v>
      </c>
      <c r="E598" s="7"/>
      <c r="F598" s="7"/>
      <c r="G598" s="66"/>
      <c r="H598" s="66"/>
      <c r="I598" s="7" t="s">
        <v>94</v>
      </c>
      <c r="J598" s="7" t="s">
        <v>97</v>
      </c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>
        <v>12000.0</v>
      </c>
      <c r="AB598" s="7">
        <v>12000.0</v>
      </c>
      <c r="AC598" s="7">
        <f t="shared" si="14"/>
        <v>0</v>
      </c>
      <c r="AD598" s="7"/>
      <c r="AE598" s="7"/>
    </row>
    <row r="599" ht="15.75" customHeight="1">
      <c r="A599" s="74" t="s">
        <v>1862</v>
      </c>
      <c r="B599" s="75" t="s">
        <v>1863</v>
      </c>
      <c r="C599" s="48">
        <v>46382.0</v>
      </c>
      <c r="D599" s="48">
        <v>46382.0</v>
      </c>
      <c r="E599" s="7"/>
      <c r="F599" s="7"/>
      <c r="G599" s="66"/>
      <c r="H599" s="66"/>
      <c r="I599" s="7" t="s">
        <v>94</v>
      </c>
      <c r="J599" s="7" t="s">
        <v>95</v>
      </c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>
        <v>23040.0</v>
      </c>
      <c r="AB599" s="7">
        <v>23040.0</v>
      </c>
      <c r="AC599" s="7">
        <f t="shared" si="14"/>
        <v>0</v>
      </c>
      <c r="AD599" s="7"/>
      <c r="AE599" s="7"/>
    </row>
    <row r="600" ht="15.75" customHeight="1">
      <c r="A600" s="74" t="s">
        <v>1864</v>
      </c>
      <c r="B600" s="47" t="s">
        <v>1865</v>
      </c>
      <c r="C600" s="48">
        <v>46382.0</v>
      </c>
      <c r="D600" s="48">
        <v>46382.0</v>
      </c>
      <c r="E600" s="7"/>
      <c r="F600" s="7"/>
      <c r="G600" s="66"/>
      <c r="H600" s="66"/>
      <c r="I600" s="7" t="s">
        <v>598</v>
      </c>
      <c r="J600" s="7" t="s">
        <v>331</v>
      </c>
      <c r="K600" s="7"/>
      <c r="L600" s="7"/>
      <c r="M600" s="7"/>
      <c r="N600" s="7"/>
      <c r="O600" s="7"/>
      <c r="P600" s="7">
        <v>20000.0</v>
      </c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>
        <v>20000.0</v>
      </c>
      <c r="AC600" s="7">
        <f t="shared" si="14"/>
        <v>0</v>
      </c>
      <c r="AD600" s="7"/>
      <c r="AE600" s="7"/>
    </row>
    <row r="601" ht="15.75" customHeight="1">
      <c r="A601" s="83" t="s">
        <v>1866</v>
      </c>
      <c r="B601" s="53"/>
      <c r="C601" s="54"/>
      <c r="D601" s="54"/>
      <c r="E601" s="54"/>
      <c r="F601" s="53"/>
      <c r="G601" s="55"/>
      <c r="H601" s="55"/>
      <c r="I601" s="53"/>
      <c r="J601" s="53"/>
      <c r="K601" s="53"/>
      <c r="L601" s="56">
        <f>SUM(L10:L600)</f>
        <v>904104.39</v>
      </c>
      <c r="M601" s="56">
        <f>SUM(M11:M600)</f>
        <v>7289968.79</v>
      </c>
      <c r="N601" s="56">
        <f t="shared" ref="N601:AB601" si="15">SUM(N10:N600)</f>
        <v>523530</v>
      </c>
      <c r="O601" s="53">
        <f t="shared" si="15"/>
        <v>322500</v>
      </c>
      <c r="P601" s="53">
        <f t="shared" si="15"/>
        <v>455000</v>
      </c>
      <c r="Q601" s="53">
        <f t="shared" si="15"/>
        <v>188766.42</v>
      </c>
      <c r="R601" s="53">
        <f t="shared" si="15"/>
        <v>97179.62</v>
      </c>
      <c r="S601" s="53">
        <f t="shared" si="15"/>
        <v>168732.6</v>
      </c>
      <c r="T601" s="56">
        <f t="shared" si="15"/>
        <v>561422.94</v>
      </c>
      <c r="U601" s="57">
        <f t="shared" si="15"/>
        <v>0</v>
      </c>
      <c r="V601" s="57">
        <f t="shared" si="15"/>
        <v>0</v>
      </c>
      <c r="W601" s="57">
        <f t="shared" si="15"/>
        <v>293555.37</v>
      </c>
      <c r="X601" s="58">
        <f t="shared" si="15"/>
        <v>104945.51</v>
      </c>
      <c r="Y601" s="57">
        <f t="shared" si="15"/>
        <v>11513</v>
      </c>
      <c r="Z601" s="58">
        <f t="shared" si="15"/>
        <v>10970000</v>
      </c>
      <c r="AA601" s="58">
        <f t="shared" si="15"/>
        <v>3716998.04</v>
      </c>
      <c r="AB601" s="56">
        <f t="shared" si="15"/>
        <v>25413230.7</v>
      </c>
      <c r="AC601" s="59"/>
      <c r="AD601" s="57"/>
      <c r="AE601" s="56"/>
    </row>
    <row r="602" ht="15.75" customHeight="1">
      <c r="C602" s="48"/>
      <c r="D602" s="48"/>
      <c r="E602" s="7"/>
      <c r="F602" s="7"/>
      <c r="G602" s="66"/>
      <c r="H602" s="66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>
        <f t="shared" ref="AC602:AC603" si="16">SUM(AB602)-SUM(L602:AA602)</f>
        <v>0</v>
      </c>
      <c r="AD602" s="7"/>
      <c r="AE602" s="7"/>
    </row>
    <row r="603" ht="15.75" customHeight="1">
      <c r="C603" s="48"/>
      <c r="D603" s="48"/>
      <c r="E603" s="7"/>
      <c r="F603" s="7"/>
      <c r="G603" s="66"/>
      <c r="H603" s="66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>
        <f t="shared" si="16"/>
        <v>0</v>
      </c>
      <c r="AD603" s="7"/>
      <c r="AE603" s="7"/>
    </row>
    <row r="604" ht="15.75" customHeight="1">
      <c r="C604" s="48"/>
      <c r="D604" s="48"/>
      <c r="E604" s="7"/>
      <c r="F604" s="7"/>
      <c r="G604" s="66"/>
      <c r="H604" s="66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ht="15.75" customHeight="1">
      <c r="C605" s="48"/>
      <c r="D605" s="48"/>
      <c r="E605" s="7"/>
      <c r="F605" s="7"/>
      <c r="G605" s="66"/>
      <c r="H605" s="66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ht="15.75" customHeight="1">
      <c r="C606" s="48"/>
      <c r="D606" s="48"/>
      <c r="E606" s="7"/>
      <c r="F606" s="7"/>
      <c r="G606" s="66"/>
      <c r="H606" s="66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ht="15.75" customHeight="1">
      <c r="C607" s="48"/>
      <c r="D607" s="48"/>
      <c r="E607" s="7"/>
      <c r="F607" s="7"/>
      <c r="G607" s="66"/>
      <c r="H607" s="66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ht="15.75" customHeight="1">
      <c r="C608" s="48"/>
      <c r="D608" s="48"/>
      <c r="E608" s="7"/>
      <c r="F608" s="7"/>
      <c r="G608" s="66"/>
      <c r="H608" s="66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ht="15.75" customHeight="1">
      <c r="C609" s="48"/>
      <c r="D609" s="48"/>
      <c r="E609" s="7"/>
      <c r="F609" s="7"/>
      <c r="G609" s="66"/>
      <c r="H609" s="66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 ht="15.75" customHeight="1">
      <c r="C610" s="48"/>
      <c r="D610" s="48"/>
      <c r="E610" s="7"/>
      <c r="F610" s="7"/>
      <c r="G610" s="66"/>
      <c r="H610" s="66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ht="15.75" customHeight="1">
      <c r="C611" s="48"/>
      <c r="D611" s="48"/>
      <c r="E611" s="7"/>
      <c r="F611" s="7"/>
      <c r="G611" s="66"/>
      <c r="H611" s="66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ht="15.75" customHeight="1">
      <c r="C612" s="48"/>
      <c r="D612" s="48"/>
      <c r="E612" s="7"/>
      <c r="F612" s="7"/>
      <c r="G612" s="66"/>
      <c r="H612" s="66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 ht="15.75" customHeight="1">
      <c r="C613" s="48"/>
      <c r="D613" s="48"/>
      <c r="E613" s="7"/>
      <c r="F613" s="7"/>
      <c r="G613" s="66"/>
      <c r="H613" s="66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 ht="15.75" customHeight="1">
      <c r="C614" s="48"/>
      <c r="D614" s="48"/>
      <c r="E614" s="7"/>
      <c r="F614" s="7"/>
      <c r="G614" s="66"/>
      <c r="H614" s="66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ht="15.75" customHeight="1">
      <c r="C615" s="48"/>
      <c r="D615" s="48"/>
      <c r="E615" s="7"/>
      <c r="F615" s="7"/>
      <c r="G615" s="66"/>
      <c r="H615" s="66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 ht="15.75" customHeight="1">
      <c r="C616" s="48"/>
      <c r="D616" s="48"/>
      <c r="E616" s="7"/>
      <c r="F616" s="7"/>
      <c r="G616" s="66"/>
      <c r="H616" s="66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ht="15.75" customHeight="1">
      <c r="C617" s="48"/>
      <c r="D617" s="48"/>
      <c r="E617" s="7"/>
      <c r="F617" s="7"/>
      <c r="G617" s="66"/>
      <c r="H617" s="66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ht="15.75" customHeight="1">
      <c r="C618" s="48"/>
      <c r="D618" s="48"/>
      <c r="E618" s="7"/>
      <c r="F618" s="7"/>
      <c r="G618" s="66"/>
      <c r="H618" s="66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ht="15.75" customHeight="1">
      <c r="C619" s="48"/>
      <c r="D619" s="48"/>
      <c r="E619" s="7"/>
      <c r="F619" s="7"/>
      <c r="G619" s="66"/>
      <c r="H619" s="66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 ht="15.75" customHeight="1">
      <c r="C620" s="48"/>
      <c r="D620" s="48"/>
      <c r="E620" s="7"/>
      <c r="F620" s="7"/>
      <c r="G620" s="66"/>
      <c r="H620" s="66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ht="15.75" customHeight="1">
      <c r="C621" s="48"/>
      <c r="D621" s="48"/>
      <c r="E621" s="7"/>
      <c r="F621" s="7"/>
      <c r="G621" s="66"/>
      <c r="H621" s="66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ht="15.75" customHeight="1">
      <c r="C622" s="48"/>
      <c r="D622" s="48"/>
      <c r="E622" s="7"/>
      <c r="F622" s="7"/>
      <c r="G622" s="66"/>
      <c r="H622" s="66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 ht="15.75" customHeight="1">
      <c r="C623" s="48"/>
      <c r="D623" s="48"/>
      <c r="E623" s="7"/>
      <c r="F623" s="7"/>
      <c r="G623" s="66"/>
      <c r="H623" s="66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ht="15.75" customHeight="1">
      <c r="C624" s="48"/>
      <c r="D624" s="48"/>
      <c r="E624" s="7"/>
      <c r="F624" s="7"/>
      <c r="G624" s="66"/>
      <c r="H624" s="66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 ht="15.75" customHeight="1">
      <c r="C625" s="48"/>
      <c r="D625" s="48"/>
      <c r="E625" s="7"/>
      <c r="F625" s="7"/>
      <c r="G625" s="66"/>
      <c r="H625" s="66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 ht="15.75" customHeight="1">
      <c r="C626" s="48"/>
      <c r="D626" s="48"/>
      <c r="E626" s="7"/>
      <c r="F626" s="7"/>
      <c r="G626" s="66"/>
      <c r="H626" s="66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ht="15.75" customHeight="1">
      <c r="C627" s="48"/>
      <c r="D627" s="48"/>
      <c r="E627" s="7"/>
      <c r="F627" s="7"/>
      <c r="G627" s="66"/>
      <c r="H627" s="66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ht="15.75" customHeight="1">
      <c r="C628" s="48"/>
      <c r="D628" s="48"/>
      <c r="E628" s="7"/>
      <c r="F628" s="7"/>
      <c r="G628" s="66"/>
      <c r="H628" s="66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ht="15.75" customHeight="1">
      <c r="C629" s="48"/>
      <c r="D629" s="48"/>
      <c r="E629" s="7"/>
      <c r="F629" s="7"/>
      <c r="G629" s="66"/>
      <c r="H629" s="66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ht="15.75" customHeight="1">
      <c r="C630" s="48"/>
      <c r="D630" s="48"/>
      <c r="E630" s="7"/>
      <c r="F630" s="7"/>
      <c r="G630" s="66"/>
      <c r="H630" s="66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ht="15.75" customHeight="1">
      <c r="C631" s="48"/>
      <c r="D631" s="48"/>
      <c r="E631" s="7"/>
      <c r="F631" s="7"/>
      <c r="G631" s="66"/>
      <c r="H631" s="66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ht="15.75" customHeight="1">
      <c r="C632" s="48"/>
      <c r="D632" s="48"/>
      <c r="E632" s="7"/>
      <c r="F632" s="7"/>
      <c r="G632" s="66"/>
      <c r="H632" s="66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ht="15.75" customHeight="1">
      <c r="C633" s="48"/>
      <c r="D633" s="48"/>
      <c r="E633" s="7"/>
      <c r="F633" s="7"/>
      <c r="G633" s="66"/>
      <c r="H633" s="66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ht="15.75" customHeight="1">
      <c r="C634" s="48"/>
      <c r="D634" s="48"/>
      <c r="E634" s="7"/>
      <c r="F634" s="7"/>
      <c r="G634" s="66"/>
      <c r="H634" s="66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 ht="15.75" customHeight="1">
      <c r="C635" s="48"/>
      <c r="D635" s="48"/>
      <c r="E635" s="7"/>
      <c r="F635" s="7"/>
      <c r="G635" s="66"/>
      <c r="H635" s="66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 ht="15.75" customHeight="1">
      <c r="C636" s="48"/>
      <c r="D636" s="48"/>
      <c r="E636" s="7"/>
      <c r="F636" s="7"/>
      <c r="G636" s="66"/>
      <c r="H636" s="66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ht="15.75" customHeight="1">
      <c r="C637" s="48"/>
      <c r="D637" s="48"/>
      <c r="E637" s="7"/>
      <c r="F637" s="7"/>
      <c r="G637" s="66"/>
      <c r="H637" s="66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ht="15.75" customHeight="1">
      <c r="C638" s="48"/>
      <c r="D638" s="48"/>
      <c r="E638" s="7"/>
      <c r="F638" s="7"/>
      <c r="G638" s="66"/>
      <c r="H638" s="66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ht="15.75" customHeight="1">
      <c r="C639" s="48"/>
      <c r="D639" s="48"/>
      <c r="E639" s="7"/>
      <c r="F639" s="7"/>
      <c r="G639" s="66"/>
      <c r="H639" s="66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ht="15.75" customHeight="1">
      <c r="C640" s="48"/>
      <c r="D640" s="48"/>
      <c r="E640" s="7"/>
      <c r="F640" s="7"/>
      <c r="G640" s="66"/>
      <c r="H640" s="66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ht="15.75" customHeight="1">
      <c r="C641" s="48"/>
      <c r="D641" s="48"/>
      <c r="E641" s="7"/>
      <c r="F641" s="7"/>
      <c r="G641" s="66"/>
      <c r="H641" s="66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 ht="15.75" customHeight="1">
      <c r="C642" s="48"/>
      <c r="D642" s="48"/>
      <c r="E642" s="7"/>
      <c r="F642" s="7"/>
      <c r="G642" s="66"/>
      <c r="H642" s="66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ht="15.75" customHeight="1">
      <c r="C643" s="48"/>
      <c r="D643" s="48"/>
      <c r="E643" s="7"/>
      <c r="F643" s="7"/>
      <c r="G643" s="66"/>
      <c r="H643" s="66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 ht="15.75" customHeight="1">
      <c r="C644" s="48"/>
      <c r="D644" s="48"/>
      <c r="E644" s="7"/>
      <c r="F644" s="7"/>
      <c r="G644" s="66"/>
      <c r="H644" s="66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ht="15.75" customHeight="1">
      <c r="C645" s="48"/>
      <c r="D645" s="48"/>
      <c r="E645" s="7"/>
      <c r="F645" s="7"/>
      <c r="G645" s="66"/>
      <c r="H645" s="66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ht="15.75" customHeight="1">
      <c r="C646" s="48"/>
      <c r="D646" s="48"/>
      <c r="E646" s="7"/>
      <c r="F646" s="7"/>
      <c r="G646" s="66"/>
      <c r="H646" s="66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ht="15.75" customHeight="1">
      <c r="C647" s="48"/>
      <c r="D647" s="48"/>
      <c r="E647" s="7"/>
      <c r="F647" s="7"/>
      <c r="G647" s="66"/>
      <c r="H647" s="66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 ht="15.75" customHeight="1">
      <c r="C648" s="48"/>
      <c r="D648" s="48"/>
      <c r="E648" s="7"/>
      <c r="F648" s="7"/>
      <c r="G648" s="66"/>
      <c r="H648" s="66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 ht="15.75" customHeight="1">
      <c r="C649" s="48"/>
      <c r="D649" s="48"/>
      <c r="E649" s="7"/>
      <c r="F649" s="7"/>
      <c r="G649" s="66"/>
      <c r="H649" s="66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ht="15.75" customHeight="1">
      <c r="C650" s="48"/>
      <c r="D650" s="48"/>
      <c r="E650" s="7"/>
      <c r="F650" s="7"/>
      <c r="G650" s="66"/>
      <c r="H650" s="66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ht="15.75" customHeight="1">
      <c r="C651" s="48"/>
      <c r="D651" s="48"/>
      <c r="E651" s="7"/>
      <c r="F651" s="7"/>
      <c r="G651" s="66"/>
      <c r="H651" s="66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ht="15.75" customHeight="1">
      <c r="C652" s="48"/>
      <c r="D652" s="48"/>
      <c r="E652" s="7"/>
      <c r="F652" s="7"/>
      <c r="G652" s="66"/>
      <c r="H652" s="66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ht="15.75" customHeight="1">
      <c r="C653" s="48"/>
      <c r="D653" s="48"/>
      <c r="E653" s="7"/>
      <c r="F653" s="7"/>
      <c r="G653" s="66"/>
      <c r="H653" s="66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 ht="15.75" customHeight="1">
      <c r="C654" s="48"/>
      <c r="D654" s="48"/>
      <c r="E654" s="7"/>
      <c r="F654" s="7"/>
      <c r="G654" s="66"/>
      <c r="H654" s="66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 ht="15.75" customHeight="1">
      <c r="C655" s="48"/>
      <c r="D655" s="48"/>
      <c r="E655" s="7"/>
      <c r="F655" s="7"/>
      <c r="G655" s="66"/>
      <c r="H655" s="66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ht="15.75" customHeight="1">
      <c r="C656" s="48"/>
      <c r="D656" s="48"/>
      <c r="E656" s="7"/>
      <c r="F656" s="7"/>
      <c r="G656" s="66"/>
      <c r="H656" s="66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ht="15.75" customHeight="1">
      <c r="C657" s="48"/>
      <c r="D657" s="48"/>
      <c r="E657" s="7"/>
      <c r="F657" s="7"/>
      <c r="G657" s="66"/>
      <c r="H657" s="66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ht="15.75" customHeight="1">
      <c r="C658" s="48"/>
      <c r="D658" s="48"/>
      <c r="E658" s="7"/>
      <c r="F658" s="7"/>
      <c r="G658" s="66"/>
      <c r="H658" s="66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 ht="15.75" customHeight="1">
      <c r="C659" s="48"/>
      <c r="D659" s="48"/>
      <c r="E659" s="7"/>
      <c r="F659" s="7"/>
      <c r="G659" s="66"/>
      <c r="H659" s="66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ht="15.75" customHeight="1">
      <c r="C660" s="48"/>
      <c r="D660" s="48"/>
      <c r="E660" s="7"/>
      <c r="F660" s="7"/>
      <c r="G660" s="66"/>
      <c r="H660" s="66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 ht="15.75" customHeight="1">
      <c r="C661" s="48"/>
      <c r="D661" s="48"/>
      <c r="E661" s="7"/>
      <c r="F661" s="7"/>
      <c r="G661" s="66"/>
      <c r="H661" s="66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 ht="15.75" customHeight="1">
      <c r="C662" s="48"/>
      <c r="D662" s="48"/>
      <c r="E662" s="7"/>
      <c r="F662" s="7"/>
      <c r="G662" s="66"/>
      <c r="H662" s="66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 ht="15.75" customHeight="1">
      <c r="C663" s="48"/>
      <c r="D663" s="48"/>
      <c r="E663" s="7"/>
      <c r="F663" s="7"/>
      <c r="G663" s="66"/>
      <c r="H663" s="66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 ht="15.75" customHeight="1">
      <c r="C664" s="48"/>
      <c r="D664" s="48"/>
      <c r="E664" s="7"/>
      <c r="F664" s="7"/>
      <c r="G664" s="66"/>
      <c r="H664" s="66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 ht="15.75" customHeight="1">
      <c r="C665" s="48"/>
      <c r="D665" s="48"/>
      <c r="E665" s="7"/>
      <c r="F665" s="7"/>
      <c r="G665" s="66"/>
      <c r="H665" s="66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 ht="15.75" customHeight="1">
      <c r="C666" s="48"/>
      <c r="D666" s="48"/>
      <c r="E666" s="7"/>
      <c r="F666" s="7"/>
      <c r="G666" s="66"/>
      <c r="H666" s="66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 ht="15.75" customHeight="1">
      <c r="C667" s="48"/>
      <c r="D667" s="48"/>
      <c r="E667" s="7"/>
      <c r="F667" s="7"/>
      <c r="G667" s="66"/>
      <c r="H667" s="66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 ht="15.75" customHeight="1">
      <c r="C668" s="48"/>
      <c r="D668" s="48"/>
      <c r="E668" s="7"/>
      <c r="F668" s="7"/>
      <c r="G668" s="66"/>
      <c r="H668" s="66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 ht="15.75" customHeight="1">
      <c r="C669" s="48"/>
      <c r="D669" s="48"/>
      <c r="E669" s="7"/>
      <c r="F669" s="7"/>
      <c r="G669" s="66"/>
      <c r="H669" s="66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 ht="15.75" customHeight="1">
      <c r="C670" s="48"/>
      <c r="D670" s="48"/>
      <c r="E670" s="7"/>
      <c r="F670" s="7"/>
      <c r="G670" s="66"/>
      <c r="H670" s="66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 ht="15.75" customHeight="1">
      <c r="C671" s="48"/>
      <c r="D671" s="48"/>
      <c r="E671" s="7"/>
      <c r="F671" s="7"/>
      <c r="G671" s="66"/>
      <c r="H671" s="66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 ht="15.75" customHeight="1">
      <c r="C672" s="48"/>
      <c r="D672" s="48"/>
      <c r="E672" s="7"/>
      <c r="F672" s="7"/>
      <c r="G672" s="66"/>
      <c r="H672" s="66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 ht="15.75" customHeight="1">
      <c r="C673" s="48"/>
      <c r="D673" s="48"/>
      <c r="E673" s="7"/>
      <c r="F673" s="7"/>
      <c r="G673" s="66"/>
      <c r="H673" s="66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 ht="15.75" customHeight="1">
      <c r="C674" s="48"/>
      <c r="D674" s="48"/>
      <c r="E674" s="7"/>
      <c r="F674" s="7"/>
      <c r="G674" s="66"/>
      <c r="H674" s="66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 ht="15.75" customHeight="1">
      <c r="C675" s="48"/>
      <c r="D675" s="48"/>
      <c r="E675" s="7"/>
      <c r="F675" s="7"/>
      <c r="G675" s="66"/>
      <c r="H675" s="66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 ht="15.75" customHeight="1">
      <c r="C676" s="48"/>
      <c r="D676" s="48"/>
      <c r="E676" s="7"/>
      <c r="F676" s="7"/>
      <c r="G676" s="66"/>
      <c r="H676" s="66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 ht="15.75" customHeight="1">
      <c r="C677" s="48"/>
      <c r="D677" s="48"/>
      <c r="E677" s="7"/>
      <c r="F677" s="7"/>
      <c r="G677" s="66"/>
      <c r="H677" s="66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 ht="15.75" customHeight="1">
      <c r="C678" s="48"/>
      <c r="D678" s="48"/>
      <c r="E678" s="7"/>
      <c r="F678" s="7"/>
      <c r="G678" s="66"/>
      <c r="H678" s="66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 ht="15.75" customHeight="1">
      <c r="C679" s="48"/>
      <c r="D679" s="48"/>
      <c r="E679" s="7"/>
      <c r="F679" s="7"/>
      <c r="G679" s="66"/>
      <c r="H679" s="66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 ht="15.75" customHeight="1">
      <c r="C680" s="48"/>
      <c r="D680" s="48"/>
      <c r="E680" s="7"/>
      <c r="F680" s="7"/>
      <c r="G680" s="66"/>
      <c r="H680" s="66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 ht="15.75" customHeight="1">
      <c r="C681" s="48"/>
      <c r="D681" s="48"/>
      <c r="E681" s="7"/>
      <c r="F681" s="7"/>
      <c r="G681" s="66"/>
      <c r="H681" s="66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 ht="15.75" customHeight="1">
      <c r="C682" s="48"/>
      <c r="D682" s="48"/>
      <c r="E682" s="7"/>
      <c r="F682" s="7"/>
      <c r="G682" s="66"/>
      <c r="H682" s="66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 ht="15.75" customHeight="1">
      <c r="C683" s="48"/>
      <c r="D683" s="48"/>
      <c r="E683" s="7"/>
      <c r="F683" s="7"/>
      <c r="G683" s="66"/>
      <c r="H683" s="66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 ht="15.75" customHeight="1">
      <c r="C684" s="48"/>
      <c r="D684" s="48"/>
      <c r="E684" s="7"/>
      <c r="F684" s="7"/>
      <c r="G684" s="66"/>
      <c r="H684" s="66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 ht="15.75" customHeight="1">
      <c r="C685" s="48"/>
      <c r="D685" s="48"/>
      <c r="E685" s="7"/>
      <c r="F685" s="7"/>
      <c r="G685" s="66"/>
      <c r="H685" s="66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 ht="15.75" customHeight="1">
      <c r="C686" s="48"/>
      <c r="D686" s="48"/>
      <c r="E686" s="7"/>
      <c r="F686" s="7"/>
      <c r="G686" s="66"/>
      <c r="H686" s="66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 ht="15.75" customHeight="1">
      <c r="C687" s="48"/>
      <c r="D687" s="48"/>
      <c r="E687" s="7"/>
      <c r="F687" s="7"/>
      <c r="G687" s="66"/>
      <c r="H687" s="66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 ht="15.75" customHeight="1">
      <c r="C688" s="48"/>
      <c r="D688" s="48"/>
      <c r="E688" s="7"/>
      <c r="F688" s="7"/>
      <c r="G688" s="66"/>
      <c r="H688" s="66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 ht="15.75" customHeight="1">
      <c r="C689" s="48"/>
      <c r="D689" s="48"/>
      <c r="E689" s="7"/>
      <c r="F689" s="7"/>
      <c r="G689" s="66"/>
      <c r="H689" s="66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 ht="15.75" customHeight="1">
      <c r="C690" s="48"/>
      <c r="D690" s="48"/>
      <c r="E690" s="7"/>
      <c r="F690" s="7"/>
      <c r="G690" s="66"/>
      <c r="H690" s="66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 ht="15.75" customHeight="1">
      <c r="C691" s="48"/>
      <c r="D691" s="48"/>
      <c r="E691" s="7"/>
      <c r="F691" s="7"/>
      <c r="G691" s="66"/>
      <c r="H691" s="66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 ht="15.75" customHeight="1">
      <c r="C692" s="48"/>
      <c r="D692" s="48"/>
      <c r="E692" s="7"/>
      <c r="F692" s="7"/>
      <c r="G692" s="66"/>
      <c r="H692" s="66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 ht="15.75" customHeight="1">
      <c r="C693" s="48"/>
      <c r="D693" s="48"/>
      <c r="E693" s="7"/>
      <c r="F693" s="7"/>
      <c r="G693" s="66"/>
      <c r="H693" s="66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 ht="15.75" customHeight="1">
      <c r="C694" s="48"/>
      <c r="D694" s="48"/>
      <c r="E694" s="7"/>
      <c r="F694" s="7"/>
      <c r="G694" s="66"/>
      <c r="H694" s="66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 ht="15.75" customHeight="1">
      <c r="C695" s="48"/>
      <c r="D695" s="48"/>
      <c r="E695" s="7"/>
      <c r="F695" s="7"/>
      <c r="G695" s="66"/>
      <c r="H695" s="66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 ht="15.75" customHeight="1">
      <c r="C696" s="48"/>
      <c r="D696" s="48"/>
      <c r="E696" s="7"/>
      <c r="F696" s="7"/>
      <c r="G696" s="66"/>
      <c r="H696" s="66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 ht="15.75" customHeight="1">
      <c r="C697" s="48"/>
      <c r="D697" s="48"/>
      <c r="E697" s="7"/>
      <c r="F697" s="7"/>
      <c r="G697" s="66"/>
      <c r="H697" s="66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 ht="15.75" customHeight="1">
      <c r="C698" s="48"/>
      <c r="D698" s="48"/>
      <c r="E698" s="7"/>
      <c r="F698" s="7"/>
      <c r="G698" s="66"/>
      <c r="H698" s="66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 ht="15.75" customHeight="1">
      <c r="C699" s="48"/>
      <c r="D699" s="48"/>
      <c r="E699" s="7"/>
      <c r="F699" s="7"/>
      <c r="G699" s="66"/>
      <c r="H699" s="66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 ht="15.75" customHeight="1">
      <c r="C700" s="48"/>
      <c r="D700" s="48"/>
      <c r="E700" s="7"/>
      <c r="F700" s="7"/>
      <c r="G700" s="66"/>
      <c r="H700" s="66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 ht="15.75" customHeight="1">
      <c r="C701" s="48"/>
      <c r="D701" s="48"/>
      <c r="E701" s="7"/>
      <c r="F701" s="7"/>
      <c r="G701" s="66"/>
      <c r="H701" s="66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 ht="15.75" customHeight="1">
      <c r="C702" s="48"/>
      <c r="D702" s="48"/>
      <c r="E702" s="7"/>
      <c r="F702" s="7"/>
      <c r="G702" s="66"/>
      <c r="H702" s="66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 ht="15.75" customHeight="1">
      <c r="C703" s="48"/>
      <c r="D703" s="48"/>
      <c r="E703" s="7"/>
      <c r="F703" s="7"/>
      <c r="G703" s="66"/>
      <c r="H703" s="66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 ht="15.75" customHeight="1">
      <c r="C704" s="48"/>
      <c r="D704" s="48"/>
      <c r="E704" s="7"/>
      <c r="F704" s="7"/>
      <c r="G704" s="66"/>
      <c r="H704" s="66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 ht="15.75" customHeight="1">
      <c r="C705" s="48"/>
      <c r="D705" s="48"/>
      <c r="E705" s="7"/>
      <c r="F705" s="7"/>
      <c r="G705" s="66"/>
      <c r="H705" s="66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 ht="15.75" customHeight="1">
      <c r="C706" s="48"/>
      <c r="D706" s="48"/>
      <c r="E706" s="7"/>
      <c r="F706" s="7"/>
      <c r="G706" s="66"/>
      <c r="H706" s="66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 ht="15.75" customHeight="1">
      <c r="C707" s="48"/>
      <c r="D707" s="48"/>
      <c r="E707" s="7"/>
      <c r="F707" s="7"/>
      <c r="G707" s="66"/>
      <c r="H707" s="66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 ht="15.75" customHeight="1">
      <c r="C708" s="48"/>
      <c r="D708" s="48"/>
      <c r="E708" s="7"/>
      <c r="F708" s="7"/>
      <c r="G708" s="66"/>
      <c r="H708" s="66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 ht="15.75" customHeight="1">
      <c r="C709" s="48"/>
      <c r="D709" s="48"/>
      <c r="E709" s="7"/>
      <c r="F709" s="7"/>
      <c r="G709" s="66"/>
      <c r="H709" s="66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 ht="15.75" customHeight="1">
      <c r="C710" s="48"/>
      <c r="D710" s="48"/>
      <c r="E710" s="7"/>
      <c r="F710" s="7"/>
      <c r="G710" s="66"/>
      <c r="H710" s="66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 ht="15.75" customHeight="1">
      <c r="C711" s="48"/>
      <c r="D711" s="48"/>
      <c r="E711" s="7"/>
      <c r="F711" s="7"/>
      <c r="G711" s="66"/>
      <c r="H711" s="66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 ht="15.75" customHeight="1">
      <c r="C712" s="48"/>
      <c r="D712" s="48"/>
      <c r="E712" s="7"/>
      <c r="F712" s="7"/>
      <c r="G712" s="66"/>
      <c r="H712" s="66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 ht="15.75" customHeight="1">
      <c r="C713" s="48"/>
      <c r="D713" s="48"/>
      <c r="E713" s="7"/>
      <c r="F713" s="7"/>
      <c r="G713" s="66"/>
      <c r="H713" s="66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 ht="15.75" customHeight="1">
      <c r="C714" s="48"/>
      <c r="D714" s="48"/>
      <c r="E714" s="7"/>
      <c r="F714" s="7"/>
      <c r="G714" s="66"/>
      <c r="H714" s="66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 ht="15.75" customHeight="1">
      <c r="C715" s="48"/>
      <c r="D715" s="48"/>
      <c r="E715" s="7"/>
      <c r="F715" s="7"/>
      <c r="G715" s="66"/>
      <c r="H715" s="66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 ht="15.75" customHeight="1">
      <c r="C716" s="48"/>
      <c r="D716" s="48"/>
      <c r="E716" s="7"/>
      <c r="F716" s="7"/>
      <c r="G716" s="66"/>
      <c r="H716" s="66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 ht="15.75" customHeight="1">
      <c r="C717" s="48"/>
      <c r="D717" s="48"/>
      <c r="E717" s="7"/>
      <c r="F717" s="7"/>
      <c r="G717" s="66"/>
      <c r="H717" s="66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 ht="15.75" customHeight="1">
      <c r="C718" s="48"/>
      <c r="D718" s="48"/>
      <c r="E718" s="7"/>
      <c r="F718" s="7"/>
      <c r="G718" s="66"/>
      <c r="H718" s="66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 ht="15.75" customHeight="1">
      <c r="C719" s="48"/>
      <c r="D719" s="48"/>
      <c r="E719" s="7"/>
      <c r="F719" s="7"/>
      <c r="G719" s="66"/>
      <c r="H719" s="66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 ht="15.75" customHeight="1">
      <c r="C720" s="48"/>
      <c r="D720" s="48"/>
      <c r="E720" s="7"/>
      <c r="F720" s="7"/>
      <c r="G720" s="66"/>
      <c r="H720" s="66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 ht="15.75" customHeight="1">
      <c r="C721" s="48"/>
      <c r="D721" s="48"/>
      <c r="E721" s="7"/>
      <c r="F721" s="7"/>
      <c r="G721" s="66"/>
      <c r="H721" s="66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 ht="15.75" customHeight="1">
      <c r="C722" s="48"/>
      <c r="D722" s="48"/>
      <c r="E722" s="7"/>
      <c r="F722" s="7"/>
      <c r="G722" s="66"/>
      <c r="H722" s="66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 ht="15.75" customHeight="1">
      <c r="C723" s="48"/>
      <c r="D723" s="48"/>
      <c r="E723" s="7"/>
      <c r="F723" s="7"/>
      <c r="G723" s="66"/>
      <c r="H723" s="66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 ht="15.75" customHeight="1">
      <c r="C724" s="48"/>
      <c r="D724" s="48"/>
      <c r="E724" s="7"/>
      <c r="F724" s="7"/>
      <c r="G724" s="66"/>
      <c r="H724" s="66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 ht="15.75" customHeight="1">
      <c r="C725" s="48"/>
      <c r="D725" s="48"/>
      <c r="E725" s="7"/>
      <c r="F725" s="7"/>
      <c r="G725" s="66"/>
      <c r="H725" s="66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 ht="15.75" customHeight="1">
      <c r="C726" s="48"/>
      <c r="D726" s="48"/>
      <c r="E726" s="7"/>
      <c r="F726" s="7"/>
      <c r="G726" s="66"/>
      <c r="H726" s="66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 ht="15.75" customHeight="1">
      <c r="C727" s="48"/>
      <c r="D727" s="48"/>
      <c r="E727" s="7"/>
      <c r="F727" s="7"/>
      <c r="G727" s="66"/>
      <c r="H727" s="66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 ht="15.75" customHeight="1">
      <c r="C728" s="48"/>
      <c r="D728" s="48"/>
      <c r="E728" s="7"/>
      <c r="F728" s="7"/>
      <c r="G728" s="66"/>
      <c r="H728" s="66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 ht="15.75" customHeight="1">
      <c r="C729" s="48"/>
      <c r="D729" s="48"/>
      <c r="E729" s="7"/>
      <c r="F729" s="7"/>
      <c r="G729" s="66"/>
      <c r="H729" s="66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 ht="15.75" customHeight="1">
      <c r="C730" s="48"/>
      <c r="D730" s="48"/>
      <c r="E730" s="7"/>
      <c r="F730" s="7"/>
      <c r="G730" s="66"/>
      <c r="H730" s="66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 ht="15.75" customHeight="1">
      <c r="C731" s="48"/>
      <c r="D731" s="48"/>
      <c r="E731" s="7"/>
      <c r="F731" s="7"/>
      <c r="G731" s="66"/>
      <c r="H731" s="66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 ht="15.75" customHeight="1">
      <c r="C732" s="48"/>
      <c r="D732" s="48"/>
      <c r="E732" s="7"/>
      <c r="F732" s="7"/>
      <c r="G732" s="66"/>
      <c r="H732" s="66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 ht="15.75" customHeight="1">
      <c r="C733" s="48"/>
      <c r="D733" s="48"/>
      <c r="E733" s="7"/>
      <c r="F733" s="7"/>
      <c r="G733" s="66"/>
      <c r="H733" s="66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 ht="15.75" customHeight="1">
      <c r="C734" s="48"/>
      <c r="D734" s="48"/>
      <c r="E734" s="7"/>
      <c r="F734" s="7"/>
      <c r="G734" s="66"/>
      <c r="H734" s="66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 ht="15.75" customHeight="1">
      <c r="C735" s="48"/>
      <c r="D735" s="48"/>
      <c r="E735" s="7"/>
      <c r="F735" s="7"/>
      <c r="G735" s="66"/>
      <c r="H735" s="66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 ht="15.75" customHeight="1">
      <c r="C736" s="48"/>
      <c r="D736" s="48"/>
      <c r="E736" s="7"/>
      <c r="F736" s="7"/>
      <c r="G736" s="66"/>
      <c r="H736" s="66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 ht="15.75" customHeight="1">
      <c r="C737" s="48"/>
      <c r="D737" s="48"/>
      <c r="E737" s="7"/>
      <c r="F737" s="7"/>
      <c r="G737" s="66"/>
      <c r="H737" s="66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 ht="15.75" customHeight="1">
      <c r="C738" s="48"/>
      <c r="D738" s="48"/>
      <c r="E738" s="7"/>
      <c r="F738" s="7"/>
      <c r="G738" s="66"/>
      <c r="H738" s="66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 ht="15.75" customHeight="1">
      <c r="C739" s="48"/>
      <c r="D739" s="48"/>
      <c r="E739" s="7"/>
      <c r="F739" s="7"/>
      <c r="G739" s="66"/>
      <c r="H739" s="66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 ht="15.75" customHeight="1">
      <c r="C740" s="48"/>
      <c r="D740" s="48"/>
      <c r="E740" s="7"/>
      <c r="F740" s="7"/>
      <c r="G740" s="66"/>
      <c r="H740" s="66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 ht="15.75" customHeight="1">
      <c r="C741" s="48"/>
      <c r="D741" s="48"/>
      <c r="E741" s="7"/>
      <c r="F741" s="7"/>
      <c r="G741" s="66"/>
      <c r="H741" s="66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 ht="15.75" customHeight="1">
      <c r="C742" s="48"/>
      <c r="D742" s="48"/>
      <c r="E742" s="7"/>
      <c r="F742" s="7"/>
      <c r="G742" s="66"/>
      <c r="H742" s="66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 ht="15.75" customHeight="1">
      <c r="C743" s="48"/>
      <c r="D743" s="48"/>
      <c r="E743" s="7"/>
      <c r="F743" s="7"/>
      <c r="G743" s="66"/>
      <c r="H743" s="66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 ht="15.75" customHeight="1">
      <c r="C744" s="48"/>
      <c r="D744" s="48"/>
      <c r="E744" s="7"/>
      <c r="F744" s="7"/>
      <c r="G744" s="66"/>
      <c r="H744" s="66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 ht="15.75" customHeight="1">
      <c r="C745" s="48"/>
      <c r="D745" s="48"/>
      <c r="E745" s="7"/>
      <c r="F745" s="7"/>
      <c r="G745" s="66"/>
      <c r="H745" s="66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 ht="15.75" customHeight="1">
      <c r="C746" s="48"/>
      <c r="D746" s="48"/>
      <c r="E746" s="7"/>
      <c r="F746" s="7"/>
      <c r="G746" s="66"/>
      <c r="H746" s="66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 ht="15.75" customHeight="1">
      <c r="C747" s="48"/>
      <c r="D747" s="48"/>
      <c r="E747" s="7"/>
      <c r="F747" s="7"/>
      <c r="G747" s="66"/>
      <c r="H747" s="66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 ht="15.75" customHeight="1">
      <c r="C748" s="48"/>
      <c r="D748" s="48"/>
      <c r="E748" s="7"/>
      <c r="F748" s="7"/>
      <c r="G748" s="66"/>
      <c r="H748" s="66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 ht="15.75" customHeight="1">
      <c r="C749" s="48"/>
      <c r="D749" s="48"/>
      <c r="E749" s="7"/>
      <c r="F749" s="7"/>
      <c r="G749" s="66"/>
      <c r="H749" s="66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 ht="15.75" customHeight="1">
      <c r="C750" s="48"/>
      <c r="D750" s="48"/>
      <c r="E750" s="7"/>
      <c r="F750" s="7"/>
      <c r="G750" s="66"/>
      <c r="H750" s="66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 ht="15.75" customHeight="1">
      <c r="C751" s="48"/>
      <c r="D751" s="48"/>
      <c r="E751" s="7"/>
      <c r="F751" s="7"/>
      <c r="G751" s="66"/>
      <c r="H751" s="66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 ht="15.75" customHeight="1">
      <c r="C752" s="48"/>
      <c r="D752" s="48"/>
      <c r="E752" s="7"/>
      <c r="F752" s="7"/>
      <c r="G752" s="66"/>
      <c r="H752" s="66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 ht="15.75" customHeight="1">
      <c r="C753" s="48"/>
      <c r="D753" s="48"/>
      <c r="E753" s="7"/>
      <c r="F753" s="7"/>
      <c r="G753" s="66"/>
      <c r="H753" s="66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 ht="15.75" customHeight="1">
      <c r="C754" s="48"/>
      <c r="D754" s="48"/>
      <c r="E754" s="7"/>
      <c r="F754" s="7"/>
      <c r="G754" s="66"/>
      <c r="H754" s="66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 ht="15.75" customHeight="1">
      <c r="C755" s="48"/>
      <c r="D755" s="48"/>
      <c r="E755" s="7"/>
      <c r="F755" s="7"/>
      <c r="G755" s="66"/>
      <c r="H755" s="66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 ht="15.75" customHeight="1">
      <c r="C756" s="48"/>
      <c r="D756" s="48"/>
      <c r="E756" s="7"/>
      <c r="F756" s="7"/>
      <c r="G756" s="66"/>
      <c r="H756" s="66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 ht="15.75" customHeight="1">
      <c r="C757" s="48"/>
      <c r="D757" s="48"/>
      <c r="E757" s="7"/>
      <c r="F757" s="7"/>
      <c r="G757" s="66"/>
      <c r="H757" s="66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 ht="15.75" customHeight="1">
      <c r="C758" s="48"/>
      <c r="D758" s="48"/>
      <c r="E758" s="7"/>
      <c r="F758" s="7"/>
      <c r="G758" s="66"/>
      <c r="H758" s="66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 ht="15.75" customHeight="1">
      <c r="C759" s="48"/>
      <c r="D759" s="48"/>
      <c r="E759" s="7"/>
      <c r="F759" s="7"/>
      <c r="G759" s="66"/>
      <c r="H759" s="66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 ht="15.75" customHeight="1">
      <c r="C760" s="48"/>
      <c r="D760" s="48"/>
      <c r="E760" s="7"/>
      <c r="F760" s="7"/>
      <c r="G760" s="66"/>
      <c r="H760" s="66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 ht="15.75" customHeight="1">
      <c r="C761" s="48"/>
      <c r="D761" s="48"/>
      <c r="E761" s="7"/>
      <c r="F761" s="7"/>
      <c r="G761" s="66"/>
      <c r="H761" s="66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 ht="15.75" customHeight="1">
      <c r="C762" s="48"/>
      <c r="D762" s="48"/>
      <c r="E762" s="7"/>
      <c r="F762" s="7"/>
      <c r="G762" s="66"/>
      <c r="H762" s="66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 ht="15.75" customHeight="1">
      <c r="C763" s="48"/>
      <c r="D763" s="48"/>
      <c r="E763" s="7"/>
      <c r="F763" s="7"/>
      <c r="G763" s="66"/>
      <c r="H763" s="66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 ht="15.75" customHeight="1">
      <c r="C764" s="48"/>
      <c r="D764" s="48"/>
      <c r="E764" s="7"/>
      <c r="F764" s="7"/>
      <c r="G764" s="66"/>
      <c r="H764" s="66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 ht="15.75" customHeight="1">
      <c r="C765" s="48"/>
      <c r="D765" s="48"/>
      <c r="E765" s="7"/>
      <c r="F765" s="7"/>
      <c r="G765" s="66"/>
      <c r="H765" s="66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 ht="15.75" customHeight="1">
      <c r="C766" s="48"/>
      <c r="D766" s="48"/>
      <c r="E766" s="7"/>
      <c r="F766" s="7"/>
      <c r="G766" s="66"/>
      <c r="H766" s="66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 ht="15.75" customHeight="1">
      <c r="C767" s="48"/>
      <c r="D767" s="48"/>
      <c r="E767" s="7"/>
      <c r="F767" s="7"/>
      <c r="G767" s="66"/>
      <c r="H767" s="66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 ht="15.75" customHeight="1">
      <c r="C768" s="48"/>
      <c r="D768" s="48"/>
      <c r="E768" s="7"/>
      <c r="F768" s="7"/>
      <c r="G768" s="66"/>
      <c r="H768" s="66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 ht="15.75" customHeight="1">
      <c r="C769" s="48"/>
      <c r="D769" s="48"/>
      <c r="E769" s="7"/>
      <c r="F769" s="7"/>
      <c r="G769" s="66"/>
      <c r="H769" s="66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 ht="15.75" customHeight="1">
      <c r="C770" s="48"/>
      <c r="D770" s="48"/>
      <c r="E770" s="7"/>
      <c r="F770" s="7"/>
      <c r="G770" s="66"/>
      <c r="H770" s="66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 ht="15.75" customHeight="1">
      <c r="C771" s="48"/>
      <c r="D771" s="48"/>
      <c r="E771" s="7"/>
      <c r="F771" s="7"/>
      <c r="G771" s="66"/>
      <c r="H771" s="66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 ht="15.75" customHeight="1">
      <c r="C772" s="48"/>
      <c r="D772" s="48"/>
      <c r="E772" s="7"/>
      <c r="F772" s="7"/>
      <c r="G772" s="66"/>
      <c r="H772" s="66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 ht="15.75" customHeight="1">
      <c r="C773" s="48"/>
      <c r="D773" s="48"/>
      <c r="E773" s="7"/>
      <c r="F773" s="7"/>
      <c r="G773" s="66"/>
      <c r="H773" s="66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 ht="15.75" customHeight="1">
      <c r="C774" s="48"/>
      <c r="D774" s="48"/>
      <c r="E774" s="7"/>
      <c r="F774" s="7"/>
      <c r="G774" s="66"/>
      <c r="H774" s="66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 ht="15.75" customHeight="1">
      <c r="C775" s="48"/>
      <c r="D775" s="48"/>
      <c r="E775" s="7"/>
      <c r="F775" s="7"/>
      <c r="G775" s="66"/>
      <c r="H775" s="66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 ht="15.75" customHeight="1">
      <c r="C776" s="48"/>
      <c r="D776" s="48"/>
      <c r="E776" s="7"/>
      <c r="F776" s="7"/>
      <c r="G776" s="66"/>
      <c r="H776" s="66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 ht="15.75" customHeight="1">
      <c r="C777" s="48"/>
      <c r="D777" s="48"/>
      <c r="E777" s="7"/>
      <c r="F777" s="7"/>
      <c r="G777" s="66"/>
      <c r="H777" s="66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 ht="15.75" customHeight="1">
      <c r="C778" s="48"/>
      <c r="D778" s="48"/>
      <c r="E778" s="7"/>
      <c r="F778" s="7"/>
      <c r="G778" s="66"/>
      <c r="H778" s="66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 ht="15.75" customHeight="1">
      <c r="C779" s="48"/>
      <c r="D779" s="48"/>
      <c r="E779" s="7"/>
      <c r="F779" s="7"/>
      <c r="G779" s="66"/>
      <c r="H779" s="66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 ht="15.75" customHeight="1">
      <c r="C780" s="48"/>
      <c r="D780" s="48"/>
      <c r="E780" s="7"/>
      <c r="F780" s="7"/>
      <c r="G780" s="66"/>
      <c r="H780" s="66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 ht="15.75" customHeight="1">
      <c r="C781" s="48"/>
      <c r="D781" s="48"/>
      <c r="E781" s="7"/>
      <c r="F781" s="7"/>
      <c r="G781" s="66"/>
      <c r="H781" s="66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 ht="15.75" customHeight="1">
      <c r="C782" s="48"/>
      <c r="D782" s="48"/>
      <c r="E782" s="7"/>
      <c r="F782" s="7"/>
      <c r="G782" s="66"/>
      <c r="H782" s="66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 ht="15.75" customHeight="1">
      <c r="C783" s="48"/>
      <c r="D783" s="48"/>
      <c r="E783" s="7"/>
      <c r="F783" s="7"/>
      <c r="G783" s="66"/>
      <c r="H783" s="66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 ht="15.75" customHeight="1">
      <c r="C784" s="48"/>
      <c r="D784" s="48"/>
      <c r="E784" s="7"/>
      <c r="F784" s="7"/>
      <c r="G784" s="66"/>
      <c r="H784" s="66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 ht="15.75" customHeight="1">
      <c r="C785" s="48"/>
      <c r="D785" s="48"/>
      <c r="E785" s="7"/>
      <c r="F785" s="7"/>
      <c r="G785" s="66"/>
      <c r="H785" s="66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 ht="15.75" customHeight="1">
      <c r="C786" s="48"/>
      <c r="D786" s="48"/>
      <c r="E786" s="7"/>
      <c r="F786" s="7"/>
      <c r="G786" s="66"/>
      <c r="H786" s="66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 ht="15.75" customHeight="1">
      <c r="C787" s="48"/>
      <c r="D787" s="48"/>
      <c r="E787" s="7"/>
      <c r="F787" s="7"/>
      <c r="G787" s="66"/>
      <c r="H787" s="66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 ht="15.75" customHeight="1">
      <c r="C788" s="48"/>
      <c r="D788" s="48"/>
      <c r="E788" s="7"/>
      <c r="F788" s="7"/>
      <c r="G788" s="66"/>
      <c r="H788" s="66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 ht="15.75" customHeight="1">
      <c r="C789" s="48"/>
      <c r="D789" s="48"/>
      <c r="E789" s="7"/>
      <c r="F789" s="7"/>
      <c r="G789" s="66"/>
      <c r="H789" s="66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 ht="15.75" customHeight="1">
      <c r="C790" s="48"/>
      <c r="D790" s="48"/>
      <c r="E790" s="7"/>
      <c r="F790" s="7"/>
      <c r="G790" s="66"/>
      <c r="H790" s="66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 ht="15.75" customHeight="1">
      <c r="C791" s="48"/>
      <c r="D791" s="48"/>
      <c r="E791" s="7"/>
      <c r="F791" s="7"/>
      <c r="G791" s="66"/>
      <c r="H791" s="66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 ht="15.75" customHeight="1">
      <c r="C792" s="48"/>
      <c r="D792" s="48"/>
      <c r="E792" s="7"/>
      <c r="F792" s="7"/>
      <c r="G792" s="66"/>
      <c r="H792" s="66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 ht="15.75" customHeight="1">
      <c r="C793" s="48"/>
      <c r="D793" s="48"/>
      <c r="E793" s="7"/>
      <c r="F793" s="7"/>
      <c r="G793" s="66"/>
      <c r="H793" s="66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 ht="15.75" customHeight="1">
      <c r="C794" s="48"/>
      <c r="D794" s="48"/>
      <c r="E794" s="7"/>
      <c r="F794" s="7"/>
      <c r="G794" s="66"/>
      <c r="H794" s="66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 ht="15.75" customHeight="1">
      <c r="C795" s="48"/>
      <c r="D795" s="48"/>
      <c r="E795" s="7"/>
      <c r="F795" s="7"/>
      <c r="G795" s="66"/>
      <c r="H795" s="66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 ht="15.75" customHeight="1">
      <c r="C796" s="48"/>
      <c r="D796" s="48"/>
      <c r="E796" s="7"/>
      <c r="F796" s="7"/>
      <c r="G796" s="66"/>
      <c r="H796" s="66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 ht="15.75" customHeight="1">
      <c r="C797" s="48"/>
      <c r="D797" s="48"/>
      <c r="E797" s="7"/>
      <c r="F797" s="7"/>
      <c r="G797" s="66"/>
      <c r="H797" s="66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 ht="15.75" customHeight="1">
      <c r="C798" s="48"/>
      <c r="D798" s="48"/>
      <c r="E798" s="7"/>
      <c r="F798" s="7"/>
      <c r="G798" s="66"/>
      <c r="H798" s="66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 ht="15.75" customHeight="1">
      <c r="C799" s="48"/>
      <c r="D799" s="48"/>
      <c r="E799" s="7"/>
      <c r="F799" s="7"/>
      <c r="G799" s="66"/>
      <c r="H799" s="66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 ht="15.75" customHeight="1">
      <c r="C800" s="48"/>
      <c r="D800" s="48"/>
      <c r="E800" s="7"/>
      <c r="F800" s="7"/>
      <c r="G800" s="66"/>
      <c r="H800" s="66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 ht="15.75" customHeight="1">
      <c r="C801" s="48"/>
      <c r="D801" s="48"/>
      <c r="E801" s="7"/>
      <c r="F801" s="7"/>
      <c r="G801" s="66"/>
      <c r="H801" s="66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 ht="15.75" customHeight="1">
      <c r="C802" s="48"/>
      <c r="D802" s="48"/>
      <c r="E802" s="7"/>
      <c r="F802" s="7"/>
      <c r="G802" s="66"/>
      <c r="H802" s="66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 ht="15.75" customHeight="1">
      <c r="C803" s="48"/>
      <c r="D803" s="48"/>
      <c r="E803" s="7"/>
      <c r="F803" s="7"/>
      <c r="G803" s="66"/>
      <c r="H803" s="66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 ht="15.75" customHeight="1">
      <c r="C804" s="48"/>
      <c r="D804" s="48"/>
      <c r="E804" s="7"/>
      <c r="F804" s="7"/>
      <c r="G804" s="66"/>
      <c r="H804" s="66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 ht="15.75" customHeight="1">
      <c r="C805" s="48"/>
      <c r="D805" s="48"/>
      <c r="E805" s="7"/>
      <c r="F805" s="7"/>
      <c r="G805" s="66"/>
      <c r="H805" s="66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 ht="15.75" customHeight="1">
      <c r="C806" s="48"/>
      <c r="D806" s="48"/>
      <c r="E806" s="7"/>
      <c r="F806" s="7"/>
      <c r="G806" s="66"/>
      <c r="H806" s="66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 ht="15.75" customHeight="1">
      <c r="C807" s="48"/>
      <c r="D807" s="48"/>
      <c r="E807" s="7"/>
      <c r="F807" s="7"/>
      <c r="G807" s="66"/>
      <c r="H807" s="66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 ht="15.75" customHeight="1">
      <c r="C808" s="48"/>
      <c r="D808" s="48"/>
      <c r="E808" s="7"/>
      <c r="F808" s="7"/>
      <c r="G808" s="66"/>
      <c r="H808" s="66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 ht="15.75" customHeight="1">
      <c r="C809" s="48"/>
      <c r="D809" s="48"/>
      <c r="E809" s="7"/>
      <c r="F809" s="7"/>
      <c r="G809" s="66"/>
      <c r="H809" s="66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 ht="15.75" customHeight="1">
      <c r="C810" s="48"/>
      <c r="D810" s="48"/>
      <c r="E810" s="7"/>
      <c r="F810" s="7"/>
      <c r="G810" s="66"/>
      <c r="H810" s="66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 ht="15.75" customHeight="1">
      <c r="C811" s="48"/>
      <c r="D811" s="48"/>
      <c r="E811" s="7"/>
      <c r="F811" s="7"/>
      <c r="G811" s="66"/>
      <c r="H811" s="66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 ht="15.75" customHeight="1">
      <c r="C812" s="48"/>
      <c r="D812" s="48"/>
      <c r="E812" s="7"/>
      <c r="F812" s="7"/>
      <c r="G812" s="66"/>
      <c r="H812" s="66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 ht="15.75" customHeight="1">
      <c r="C813" s="48"/>
      <c r="D813" s="48"/>
      <c r="E813" s="7"/>
      <c r="F813" s="7"/>
      <c r="G813" s="66"/>
      <c r="H813" s="66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 ht="15.75" customHeight="1">
      <c r="C814" s="48"/>
      <c r="D814" s="48"/>
      <c r="E814" s="7"/>
      <c r="F814" s="7"/>
      <c r="G814" s="66"/>
      <c r="H814" s="66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 ht="15.75" customHeight="1">
      <c r="C815" s="48"/>
      <c r="D815" s="48"/>
      <c r="E815" s="7"/>
      <c r="F815" s="7"/>
      <c r="G815" s="66"/>
      <c r="H815" s="66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 ht="15.75" customHeight="1">
      <c r="C816" s="48"/>
      <c r="D816" s="48"/>
      <c r="E816" s="7"/>
      <c r="F816" s="7"/>
      <c r="G816" s="66"/>
      <c r="H816" s="66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 ht="15.75" customHeight="1">
      <c r="C817" s="48"/>
      <c r="D817" s="48"/>
      <c r="E817" s="7"/>
      <c r="F817" s="7"/>
      <c r="G817" s="66"/>
      <c r="H817" s="66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 ht="15.75" customHeight="1">
      <c r="C818" s="48"/>
      <c r="D818" s="48"/>
      <c r="E818" s="7"/>
      <c r="F818" s="7"/>
      <c r="G818" s="66"/>
      <c r="H818" s="66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 ht="15.75" customHeight="1">
      <c r="C819" s="48"/>
      <c r="D819" s="48"/>
      <c r="E819" s="7"/>
      <c r="F819" s="7"/>
      <c r="G819" s="66"/>
      <c r="H819" s="66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 ht="15.75" customHeight="1">
      <c r="C820" s="48"/>
      <c r="D820" s="48"/>
      <c r="E820" s="7"/>
      <c r="F820" s="7"/>
      <c r="G820" s="66"/>
      <c r="H820" s="66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 ht="15.75" customHeight="1">
      <c r="C821" s="48"/>
      <c r="D821" s="48"/>
      <c r="E821" s="7"/>
      <c r="F821" s="7"/>
      <c r="G821" s="66"/>
      <c r="H821" s="66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 ht="15.75" customHeight="1">
      <c r="C822" s="48"/>
      <c r="D822" s="48"/>
      <c r="E822" s="7"/>
      <c r="F822" s="7"/>
      <c r="G822" s="66"/>
      <c r="H822" s="66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 ht="15.75" customHeight="1">
      <c r="C823" s="48"/>
      <c r="D823" s="48"/>
      <c r="E823" s="7"/>
      <c r="F823" s="7"/>
      <c r="G823" s="66"/>
      <c r="H823" s="66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 ht="15.75" customHeight="1">
      <c r="C824" s="48"/>
      <c r="D824" s="48"/>
      <c r="E824" s="7"/>
      <c r="F824" s="7"/>
      <c r="G824" s="66"/>
      <c r="H824" s="66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 ht="15.75" customHeight="1">
      <c r="C825" s="48"/>
      <c r="D825" s="48"/>
      <c r="E825" s="7"/>
      <c r="F825" s="7"/>
      <c r="G825" s="66"/>
      <c r="H825" s="66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 ht="15.75" customHeight="1">
      <c r="C826" s="48"/>
      <c r="D826" s="48"/>
      <c r="E826" s="7"/>
      <c r="F826" s="7"/>
      <c r="G826" s="66"/>
      <c r="H826" s="66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 ht="15.75" customHeight="1">
      <c r="C827" s="48"/>
      <c r="D827" s="48"/>
      <c r="E827" s="7"/>
      <c r="F827" s="7"/>
      <c r="G827" s="66"/>
      <c r="H827" s="66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 ht="15.75" customHeight="1">
      <c r="C828" s="48"/>
      <c r="D828" s="48"/>
      <c r="E828" s="7"/>
      <c r="F828" s="7"/>
      <c r="G828" s="66"/>
      <c r="H828" s="66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 ht="15.75" customHeight="1">
      <c r="C829" s="48"/>
      <c r="D829" s="48"/>
      <c r="E829" s="7"/>
      <c r="F829" s="7"/>
      <c r="G829" s="66"/>
      <c r="H829" s="66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 ht="15.75" customHeight="1">
      <c r="C830" s="48"/>
      <c r="D830" s="48"/>
      <c r="E830" s="7"/>
      <c r="F830" s="7"/>
      <c r="G830" s="66"/>
      <c r="H830" s="66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 ht="15.75" customHeight="1">
      <c r="C831" s="48"/>
      <c r="D831" s="48"/>
      <c r="E831" s="7"/>
      <c r="F831" s="7"/>
      <c r="G831" s="66"/>
      <c r="H831" s="66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 ht="15.75" customHeight="1">
      <c r="C832" s="48"/>
      <c r="D832" s="48"/>
      <c r="E832" s="7"/>
      <c r="F832" s="7"/>
      <c r="G832" s="66"/>
      <c r="H832" s="66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 ht="15.75" customHeight="1">
      <c r="C833" s="48"/>
      <c r="D833" s="48"/>
      <c r="E833" s="7"/>
      <c r="F833" s="7"/>
      <c r="G833" s="66"/>
      <c r="H833" s="66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 ht="15.75" customHeight="1">
      <c r="C834" s="48"/>
      <c r="D834" s="48"/>
      <c r="E834" s="7"/>
      <c r="F834" s="7"/>
      <c r="G834" s="66"/>
      <c r="H834" s="66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 ht="15.75" customHeight="1">
      <c r="C835" s="48"/>
      <c r="D835" s="48"/>
      <c r="E835" s="7"/>
      <c r="F835" s="7"/>
      <c r="G835" s="66"/>
      <c r="H835" s="66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 ht="15.75" customHeight="1">
      <c r="C836" s="48"/>
      <c r="D836" s="48"/>
      <c r="E836" s="7"/>
      <c r="F836" s="7"/>
      <c r="G836" s="66"/>
      <c r="H836" s="66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 ht="15.75" customHeight="1">
      <c r="C837" s="48"/>
      <c r="D837" s="48"/>
      <c r="E837" s="7"/>
      <c r="F837" s="7"/>
      <c r="G837" s="66"/>
      <c r="H837" s="66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 ht="15.75" customHeight="1">
      <c r="C838" s="48"/>
      <c r="D838" s="48"/>
      <c r="E838" s="7"/>
      <c r="F838" s="7"/>
      <c r="G838" s="66"/>
      <c r="H838" s="66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 ht="15.75" customHeight="1">
      <c r="C839" s="48"/>
      <c r="D839" s="48"/>
      <c r="E839" s="7"/>
      <c r="F839" s="7"/>
      <c r="G839" s="66"/>
      <c r="H839" s="66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 ht="15.75" customHeight="1">
      <c r="C840" s="48"/>
      <c r="D840" s="48"/>
      <c r="E840" s="7"/>
      <c r="F840" s="7"/>
      <c r="G840" s="66"/>
      <c r="H840" s="66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 ht="15.75" customHeight="1">
      <c r="C841" s="48"/>
      <c r="D841" s="48"/>
      <c r="E841" s="7"/>
      <c r="F841" s="7"/>
      <c r="G841" s="66"/>
      <c r="H841" s="66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 ht="15.75" customHeight="1">
      <c r="C842" s="48"/>
      <c r="D842" s="48"/>
      <c r="E842" s="7"/>
      <c r="F842" s="7"/>
      <c r="G842" s="66"/>
      <c r="H842" s="66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 ht="15.75" customHeight="1">
      <c r="C843" s="48"/>
      <c r="D843" s="48"/>
      <c r="E843" s="7"/>
      <c r="F843" s="7"/>
      <c r="G843" s="66"/>
      <c r="H843" s="66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 ht="15.75" customHeight="1">
      <c r="C844" s="48"/>
      <c r="D844" s="48"/>
      <c r="E844" s="7"/>
      <c r="F844" s="7"/>
      <c r="G844" s="66"/>
      <c r="H844" s="66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 ht="15.75" customHeight="1">
      <c r="C845" s="48"/>
      <c r="D845" s="48"/>
      <c r="E845" s="7"/>
      <c r="F845" s="7"/>
      <c r="G845" s="66"/>
      <c r="H845" s="66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 ht="15.75" customHeight="1">
      <c r="C846" s="48"/>
      <c r="D846" s="48"/>
      <c r="E846" s="7"/>
      <c r="F846" s="7"/>
      <c r="G846" s="66"/>
      <c r="H846" s="66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 ht="15.75" customHeight="1">
      <c r="C847" s="48"/>
      <c r="D847" s="48"/>
      <c r="E847" s="7"/>
      <c r="F847" s="7"/>
      <c r="G847" s="66"/>
      <c r="H847" s="66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 ht="15.75" customHeight="1">
      <c r="C848" s="48"/>
      <c r="D848" s="48"/>
      <c r="E848" s="7"/>
      <c r="F848" s="7"/>
      <c r="G848" s="66"/>
      <c r="H848" s="66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 ht="15.75" customHeight="1">
      <c r="C849" s="48"/>
      <c r="D849" s="48"/>
      <c r="E849" s="7"/>
      <c r="F849" s="7"/>
      <c r="G849" s="66"/>
      <c r="H849" s="66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 ht="15.75" customHeight="1">
      <c r="C850" s="48"/>
      <c r="D850" s="48"/>
      <c r="E850" s="7"/>
      <c r="F850" s="7"/>
      <c r="G850" s="66"/>
      <c r="H850" s="66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 ht="15.75" customHeight="1">
      <c r="C851" s="48"/>
      <c r="D851" s="48"/>
      <c r="E851" s="7"/>
      <c r="F851" s="7"/>
      <c r="G851" s="66"/>
      <c r="H851" s="66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 ht="15.75" customHeight="1">
      <c r="C852" s="48"/>
      <c r="D852" s="48"/>
      <c r="E852" s="7"/>
      <c r="F852" s="7"/>
      <c r="G852" s="66"/>
      <c r="H852" s="66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 ht="15.75" customHeight="1">
      <c r="C853" s="48"/>
      <c r="D853" s="48"/>
      <c r="E853" s="7"/>
      <c r="F853" s="7"/>
      <c r="G853" s="66"/>
      <c r="H853" s="66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 ht="15.75" customHeight="1">
      <c r="C854" s="48"/>
      <c r="D854" s="48"/>
      <c r="E854" s="7"/>
      <c r="F854" s="7"/>
      <c r="G854" s="66"/>
      <c r="H854" s="66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 ht="15.75" customHeight="1">
      <c r="C855" s="48"/>
      <c r="D855" s="48"/>
      <c r="E855" s="7"/>
      <c r="F855" s="7"/>
      <c r="G855" s="66"/>
      <c r="H855" s="66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 ht="15.75" customHeight="1">
      <c r="C856" s="48"/>
      <c r="D856" s="48"/>
      <c r="E856" s="7"/>
      <c r="F856" s="7"/>
      <c r="G856" s="66"/>
      <c r="H856" s="66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 ht="15.75" customHeight="1">
      <c r="C857" s="48"/>
      <c r="D857" s="48"/>
      <c r="E857" s="7"/>
      <c r="F857" s="7"/>
      <c r="G857" s="66"/>
      <c r="H857" s="66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 ht="15.75" customHeight="1">
      <c r="C858" s="48"/>
      <c r="D858" s="48"/>
      <c r="E858" s="7"/>
      <c r="F858" s="7"/>
      <c r="G858" s="66"/>
      <c r="H858" s="66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 ht="15.75" customHeight="1">
      <c r="C859" s="48"/>
      <c r="D859" s="48"/>
      <c r="E859" s="7"/>
      <c r="F859" s="7"/>
      <c r="G859" s="66"/>
      <c r="H859" s="66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 ht="15.75" customHeight="1">
      <c r="C860" s="48"/>
      <c r="D860" s="48"/>
      <c r="E860" s="7"/>
      <c r="F860" s="7"/>
      <c r="G860" s="66"/>
      <c r="H860" s="66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 ht="15.75" customHeight="1">
      <c r="C861" s="48"/>
      <c r="D861" s="48"/>
      <c r="E861" s="7"/>
      <c r="F861" s="7"/>
      <c r="G861" s="66"/>
      <c r="H861" s="66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 ht="15.75" customHeight="1">
      <c r="C862" s="48"/>
      <c r="D862" s="48"/>
      <c r="E862" s="7"/>
      <c r="F862" s="7"/>
      <c r="G862" s="66"/>
      <c r="H862" s="66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 ht="15.75" customHeight="1">
      <c r="C863" s="48"/>
      <c r="D863" s="48"/>
      <c r="E863" s="7"/>
      <c r="F863" s="7"/>
      <c r="G863" s="66"/>
      <c r="H863" s="66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 ht="15.75" customHeight="1">
      <c r="C864" s="48"/>
      <c r="D864" s="48"/>
      <c r="E864" s="7"/>
      <c r="F864" s="7"/>
      <c r="G864" s="66"/>
      <c r="H864" s="66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 ht="15.75" customHeight="1">
      <c r="C865" s="48"/>
      <c r="D865" s="48"/>
      <c r="E865" s="7"/>
      <c r="F865" s="7"/>
      <c r="G865" s="66"/>
      <c r="H865" s="66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 ht="15.75" customHeight="1">
      <c r="C866" s="48"/>
      <c r="D866" s="48"/>
      <c r="E866" s="7"/>
      <c r="F866" s="7"/>
      <c r="G866" s="66"/>
      <c r="H866" s="66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 ht="15.75" customHeight="1">
      <c r="C867" s="48"/>
      <c r="D867" s="48"/>
      <c r="E867" s="7"/>
      <c r="F867" s="7"/>
      <c r="G867" s="66"/>
      <c r="H867" s="66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 ht="15.75" customHeight="1">
      <c r="C868" s="48"/>
      <c r="D868" s="48"/>
      <c r="E868" s="7"/>
      <c r="F868" s="7"/>
      <c r="G868" s="66"/>
      <c r="H868" s="66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 ht="15.75" customHeight="1">
      <c r="C869" s="48"/>
      <c r="D869" s="48"/>
      <c r="E869" s="7"/>
      <c r="F869" s="7"/>
      <c r="G869" s="66"/>
      <c r="H869" s="66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 ht="15.75" customHeight="1">
      <c r="C870" s="48"/>
      <c r="D870" s="48"/>
      <c r="E870" s="7"/>
      <c r="F870" s="7"/>
      <c r="G870" s="66"/>
      <c r="H870" s="66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 ht="15.75" customHeight="1">
      <c r="C871" s="48"/>
      <c r="D871" s="48"/>
      <c r="E871" s="7"/>
      <c r="F871" s="7"/>
      <c r="G871" s="66"/>
      <c r="H871" s="66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 ht="15.75" customHeight="1">
      <c r="C872" s="48"/>
      <c r="D872" s="48"/>
      <c r="E872" s="7"/>
      <c r="F872" s="7"/>
      <c r="G872" s="66"/>
      <c r="H872" s="66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 ht="15.75" customHeight="1">
      <c r="C873" s="48"/>
      <c r="D873" s="48"/>
      <c r="E873" s="7"/>
      <c r="F873" s="7"/>
      <c r="G873" s="66"/>
      <c r="H873" s="66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 ht="15.75" customHeight="1">
      <c r="C874" s="48"/>
      <c r="D874" s="48"/>
      <c r="E874" s="7"/>
      <c r="F874" s="7"/>
      <c r="G874" s="66"/>
      <c r="H874" s="66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 ht="15.75" customHeight="1">
      <c r="C875" s="48"/>
      <c r="D875" s="48"/>
      <c r="E875" s="7"/>
      <c r="F875" s="7"/>
      <c r="G875" s="66"/>
      <c r="H875" s="66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 ht="15.75" customHeight="1">
      <c r="C876" s="48"/>
      <c r="D876" s="48"/>
      <c r="E876" s="7"/>
      <c r="F876" s="7"/>
      <c r="G876" s="66"/>
      <c r="H876" s="66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 ht="15.75" customHeight="1">
      <c r="C877" s="48"/>
      <c r="D877" s="48"/>
      <c r="E877" s="7"/>
      <c r="F877" s="7"/>
      <c r="G877" s="66"/>
      <c r="H877" s="66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 ht="15.75" customHeight="1">
      <c r="C878" s="48"/>
      <c r="D878" s="48"/>
      <c r="E878" s="7"/>
      <c r="F878" s="7"/>
      <c r="G878" s="66"/>
      <c r="H878" s="66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 ht="15.75" customHeight="1">
      <c r="C879" s="48"/>
      <c r="D879" s="48"/>
      <c r="E879" s="7"/>
      <c r="F879" s="7"/>
      <c r="G879" s="66"/>
      <c r="H879" s="66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 ht="15.75" customHeight="1">
      <c r="C880" s="48"/>
      <c r="D880" s="48"/>
      <c r="E880" s="7"/>
      <c r="F880" s="7"/>
      <c r="G880" s="66"/>
      <c r="H880" s="66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 ht="15.75" customHeight="1">
      <c r="C881" s="48"/>
      <c r="D881" s="48"/>
      <c r="E881" s="7"/>
      <c r="F881" s="7"/>
      <c r="G881" s="66"/>
      <c r="H881" s="66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 ht="15.75" customHeight="1">
      <c r="C882" s="48"/>
      <c r="D882" s="48"/>
      <c r="E882" s="7"/>
      <c r="F882" s="7"/>
      <c r="G882" s="66"/>
      <c r="H882" s="66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 ht="15.75" customHeight="1">
      <c r="C883" s="48"/>
      <c r="D883" s="48"/>
      <c r="E883" s="7"/>
      <c r="F883" s="7"/>
      <c r="G883" s="66"/>
      <c r="H883" s="66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 ht="15.75" customHeight="1">
      <c r="C884" s="48"/>
      <c r="D884" s="48"/>
      <c r="E884" s="7"/>
      <c r="F884" s="7"/>
      <c r="G884" s="66"/>
      <c r="H884" s="66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 ht="15.75" customHeight="1">
      <c r="C885" s="48"/>
      <c r="D885" s="48"/>
      <c r="E885" s="7"/>
      <c r="F885" s="7"/>
      <c r="G885" s="66"/>
      <c r="H885" s="66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 ht="15.75" customHeight="1">
      <c r="C886" s="48"/>
      <c r="D886" s="48"/>
      <c r="E886" s="7"/>
      <c r="F886" s="7"/>
      <c r="G886" s="66"/>
      <c r="H886" s="66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 ht="15.75" customHeight="1">
      <c r="C887" s="48"/>
      <c r="D887" s="48"/>
      <c r="E887" s="7"/>
      <c r="F887" s="7"/>
      <c r="G887" s="66"/>
      <c r="H887" s="66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 ht="15.75" customHeight="1">
      <c r="C888" s="48"/>
      <c r="D888" s="48"/>
      <c r="E888" s="7"/>
      <c r="F888" s="7"/>
      <c r="G888" s="66"/>
      <c r="H888" s="66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 ht="15.75" customHeight="1">
      <c r="C889" s="48"/>
      <c r="D889" s="48"/>
      <c r="E889" s="7"/>
      <c r="F889" s="7"/>
      <c r="G889" s="66"/>
      <c r="H889" s="66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 ht="15.75" customHeight="1">
      <c r="C890" s="48"/>
      <c r="D890" s="48"/>
      <c r="E890" s="7"/>
      <c r="F890" s="7"/>
      <c r="G890" s="66"/>
      <c r="H890" s="66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 ht="15.75" customHeight="1">
      <c r="C891" s="48"/>
      <c r="D891" s="48"/>
      <c r="E891" s="7"/>
      <c r="F891" s="7"/>
      <c r="G891" s="66"/>
      <c r="H891" s="66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 ht="15.75" customHeight="1">
      <c r="C892" s="48"/>
      <c r="D892" s="48"/>
      <c r="E892" s="7"/>
      <c r="F892" s="7"/>
      <c r="G892" s="66"/>
      <c r="H892" s="66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 ht="15.75" customHeight="1">
      <c r="C893" s="48"/>
      <c r="D893" s="48"/>
      <c r="E893" s="7"/>
      <c r="F893" s="7"/>
      <c r="G893" s="66"/>
      <c r="H893" s="66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 ht="15.75" customHeight="1">
      <c r="C894" s="48"/>
      <c r="D894" s="48"/>
      <c r="E894" s="7"/>
      <c r="F894" s="7"/>
      <c r="G894" s="66"/>
      <c r="H894" s="66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 ht="15.75" customHeight="1">
      <c r="C895" s="48"/>
      <c r="D895" s="48"/>
      <c r="E895" s="7"/>
      <c r="F895" s="7"/>
      <c r="G895" s="66"/>
      <c r="H895" s="66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 ht="15.75" customHeight="1">
      <c r="C896" s="48"/>
      <c r="D896" s="48"/>
      <c r="E896" s="7"/>
      <c r="F896" s="7"/>
      <c r="G896" s="66"/>
      <c r="H896" s="66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 ht="15.75" customHeight="1">
      <c r="C897" s="48"/>
      <c r="D897" s="48"/>
      <c r="E897" s="7"/>
      <c r="F897" s="7"/>
      <c r="G897" s="66"/>
      <c r="H897" s="66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 ht="15.75" customHeight="1">
      <c r="C898" s="48"/>
      <c r="D898" s="48"/>
      <c r="E898" s="7"/>
      <c r="F898" s="7"/>
      <c r="G898" s="66"/>
      <c r="H898" s="66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 ht="15.75" customHeight="1">
      <c r="C899" s="48"/>
      <c r="D899" s="48"/>
      <c r="E899" s="7"/>
      <c r="F899" s="7"/>
      <c r="G899" s="66"/>
      <c r="H899" s="66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 ht="15.75" customHeight="1">
      <c r="C900" s="48"/>
      <c r="D900" s="48"/>
      <c r="E900" s="7"/>
      <c r="F900" s="7"/>
      <c r="G900" s="66"/>
      <c r="H900" s="66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 ht="15.75" customHeight="1">
      <c r="C901" s="48"/>
      <c r="D901" s="48"/>
      <c r="E901" s="7"/>
      <c r="F901" s="7"/>
      <c r="G901" s="66"/>
      <c r="H901" s="66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 ht="15.75" customHeight="1">
      <c r="C902" s="48"/>
      <c r="D902" s="48"/>
      <c r="E902" s="7"/>
      <c r="F902" s="7"/>
      <c r="G902" s="66"/>
      <c r="H902" s="66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 ht="15.75" customHeight="1">
      <c r="C903" s="48"/>
      <c r="D903" s="48"/>
      <c r="E903" s="7"/>
      <c r="F903" s="7"/>
      <c r="G903" s="66"/>
      <c r="H903" s="66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 ht="15.75" customHeight="1">
      <c r="C904" s="48"/>
      <c r="D904" s="48"/>
      <c r="E904" s="7"/>
      <c r="F904" s="7"/>
      <c r="G904" s="66"/>
      <c r="H904" s="66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 ht="15.75" customHeight="1">
      <c r="C905" s="48"/>
      <c r="D905" s="48"/>
      <c r="E905" s="7"/>
      <c r="F905" s="7"/>
      <c r="G905" s="66"/>
      <c r="H905" s="66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 ht="15.75" customHeight="1">
      <c r="C906" s="48"/>
      <c r="D906" s="48"/>
      <c r="E906" s="7"/>
      <c r="F906" s="7"/>
      <c r="G906" s="66"/>
      <c r="H906" s="66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 ht="15.75" customHeight="1">
      <c r="C907" s="48"/>
      <c r="D907" s="48"/>
      <c r="E907" s="7"/>
      <c r="F907" s="7"/>
      <c r="G907" s="66"/>
      <c r="H907" s="66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 ht="15.75" customHeight="1">
      <c r="C908" s="48"/>
      <c r="D908" s="48"/>
      <c r="E908" s="7"/>
      <c r="F908" s="7"/>
      <c r="G908" s="66"/>
      <c r="H908" s="66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 ht="15.75" customHeight="1">
      <c r="C909" s="48"/>
      <c r="D909" s="48"/>
      <c r="E909" s="7"/>
      <c r="F909" s="7"/>
      <c r="G909" s="66"/>
      <c r="H909" s="66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 ht="15.75" customHeight="1">
      <c r="C910" s="48"/>
      <c r="D910" s="48"/>
      <c r="E910" s="7"/>
      <c r="F910" s="7"/>
      <c r="G910" s="66"/>
      <c r="H910" s="66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 ht="15.75" customHeight="1">
      <c r="C911" s="48"/>
      <c r="D911" s="48"/>
      <c r="E911" s="7"/>
      <c r="F911" s="7"/>
      <c r="G911" s="66"/>
      <c r="H911" s="66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 ht="15.75" customHeight="1">
      <c r="C912" s="48"/>
      <c r="D912" s="48"/>
      <c r="E912" s="7"/>
      <c r="F912" s="7"/>
      <c r="G912" s="66"/>
      <c r="H912" s="66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 ht="15.75" customHeight="1">
      <c r="C913" s="48"/>
      <c r="D913" s="48"/>
      <c r="E913" s="7"/>
      <c r="F913" s="7"/>
      <c r="G913" s="66"/>
      <c r="H913" s="66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 ht="15.75" customHeight="1">
      <c r="C914" s="48"/>
      <c r="D914" s="48"/>
      <c r="E914" s="7"/>
      <c r="F914" s="7"/>
      <c r="G914" s="66"/>
      <c r="H914" s="66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 ht="15.75" customHeight="1">
      <c r="C915" s="48"/>
      <c r="D915" s="48"/>
      <c r="E915" s="7"/>
      <c r="F915" s="7"/>
      <c r="G915" s="66"/>
      <c r="H915" s="66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 ht="15.75" customHeight="1">
      <c r="C916" s="48"/>
      <c r="D916" s="48"/>
      <c r="E916" s="7"/>
      <c r="F916" s="7"/>
      <c r="G916" s="66"/>
      <c r="H916" s="66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 ht="15.75" customHeight="1">
      <c r="C917" s="48"/>
      <c r="D917" s="48"/>
      <c r="E917" s="7"/>
      <c r="F917" s="7"/>
      <c r="G917" s="66"/>
      <c r="H917" s="66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 ht="15.75" customHeight="1">
      <c r="C918" s="48"/>
      <c r="D918" s="48"/>
      <c r="E918" s="7"/>
      <c r="F918" s="7"/>
      <c r="G918" s="66"/>
      <c r="H918" s="66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 ht="15.75" customHeight="1">
      <c r="C919" s="48"/>
      <c r="D919" s="48"/>
      <c r="E919" s="7"/>
      <c r="F919" s="7"/>
      <c r="G919" s="66"/>
      <c r="H919" s="66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 ht="15.75" customHeight="1">
      <c r="C920" s="48"/>
      <c r="D920" s="48"/>
      <c r="E920" s="7"/>
      <c r="F920" s="7"/>
      <c r="G920" s="66"/>
      <c r="H920" s="66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 ht="15.75" customHeight="1">
      <c r="C921" s="48"/>
      <c r="D921" s="48"/>
      <c r="E921" s="7"/>
      <c r="F921" s="7"/>
      <c r="G921" s="66"/>
      <c r="H921" s="66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 ht="15.75" customHeight="1">
      <c r="C922" s="48"/>
      <c r="D922" s="48"/>
      <c r="E922" s="7"/>
      <c r="F922" s="7"/>
      <c r="G922" s="66"/>
      <c r="H922" s="66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 ht="15.75" customHeight="1">
      <c r="C923" s="48"/>
      <c r="D923" s="48"/>
      <c r="E923" s="7"/>
      <c r="F923" s="7"/>
      <c r="G923" s="66"/>
      <c r="H923" s="66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 ht="15.75" customHeight="1">
      <c r="C924" s="48"/>
      <c r="D924" s="48"/>
      <c r="E924" s="7"/>
      <c r="F924" s="7"/>
      <c r="G924" s="66"/>
      <c r="H924" s="66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 ht="15.75" customHeight="1">
      <c r="C925" s="48"/>
      <c r="D925" s="48"/>
      <c r="E925" s="7"/>
      <c r="F925" s="7"/>
      <c r="G925" s="66"/>
      <c r="H925" s="66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 ht="15.75" customHeight="1">
      <c r="C926" s="48"/>
      <c r="D926" s="48"/>
      <c r="E926" s="7"/>
      <c r="F926" s="7"/>
      <c r="G926" s="66"/>
      <c r="H926" s="66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 ht="15.75" customHeight="1">
      <c r="C927" s="48"/>
      <c r="D927" s="48"/>
      <c r="E927" s="7"/>
      <c r="F927" s="7"/>
      <c r="G927" s="66"/>
      <c r="H927" s="66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 ht="15.75" customHeight="1">
      <c r="C928" s="48"/>
      <c r="D928" s="48"/>
      <c r="E928" s="7"/>
      <c r="F928" s="7"/>
      <c r="G928" s="66"/>
      <c r="H928" s="66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 ht="15.75" customHeight="1">
      <c r="C929" s="48"/>
      <c r="D929" s="48"/>
      <c r="E929" s="7"/>
      <c r="F929" s="7"/>
      <c r="G929" s="66"/>
      <c r="H929" s="66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 ht="15.75" customHeight="1">
      <c r="C930" s="48"/>
      <c r="D930" s="48"/>
      <c r="E930" s="7"/>
      <c r="F930" s="7"/>
      <c r="G930" s="66"/>
      <c r="H930" s="66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 ht="15.75" customHeight="1">
      <c r="C931" s="48"/>
      <c r="D931" s="48"/>
      <c r="E931" s="7"/>
      <c r="F931" s="7"/>
      <c r="G931" s="66"/>
      <c r="H931" s="66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 ht="15.75" customHeight="1">
      <c r="C932" s="48"/>
      <c r="D932" s="48"/>
      <c r="E932" s="7"/>
      <c r="F932" s="7"/>
      <c r="G932" s="66"/>
      <c r="H932" s="66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 ht="15.75" customHeight="1">
      <c r="C933" s="48"/>
      <c r="D933" s="48"/>
      <c r="E933" s="7"/>
      <c r="F933" s="7"/>
      <c r="G933" s="66"/>
      <c r="H933" s="66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 ht="15.75" customHeight="1">
      <c r="C934" s="48"/>
      <c r="D934" s="48"/>
      <c r="E934" s="7"/>
      <c r="F934" s="7"/>
      <c r="G934" s="66"/>
      <c r="H934" s="66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 ht="15.75" customHeight="1">
      <c r="C935" s="48"/>
      <c r="D935" s="48"/>
      <c r="E935" s="7"/>
      <c r="F935" s="7"/>
      <c r="G935" s="66"/>
      <c r="H935" s="66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 ht="15.75" customHeight="1">
      <c r="C936" s="48"/>
      <c r="D936" s="48"/>
      <c r="E936" s="7"/>
      <c r="F936" s="7"/>
      <c r="G936" s="66"/>
      <c r="H936" s="66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 ht="15.75" customHeight="1">
      <c r="C937" s="48"/>
      <c r="D937" s="48"/>
      <c r="E937" s="7"/>
      <c r="F937" s="7"/>
      <c r="G937" s="66"/>
      <c r="H937" s="66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 ht="15.75" customHeight="1">
      <c r="C938" s="48"/>
      <c r="D938" s="48"/>
      <c r="E938" s="7"/>
      <c r="F938" s="7"/>
      <c r="G938" s="66"/>
      <c r="H938" s="66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 ht="15.75" customHeight="1">
      <c r="C939" s="48"/>
      <c r="D939" s="48"/>
      <c r="E939" s="7"/>
      <c r="F939" s="7"/>
      <c r="G939" s="66"/>
      <c r="H939" s="66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 ht="15.75" customHeight="1">
      <c r="C940" s="48"/>
      <c r="D940" s="48"/>
      <c r="E940" s="7"/>
      <c r="F940" s="7"/>
      <c r="G940" s="66"/>
      <c r="H940" s="66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 ht="15.75" customHeight="1">
      <c r="C941" s="48"/>
      <c r="D941" s="48"/>
      <c r="E941" s="7"/>
      <c r="F941" s="7"/>
      <c r="G941" s="66"/>
      <c r="H941" s="66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 ht="15.75" customHeight="1">
      <c r="C942" s="48"/>
      <c r="D942" s="48"/>
      <c r="E942" s="7"/>
      <c r="F942" s="7"/>
      <c r="G942" s="66"/>
      <c r="H942" s="66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 ht="15.75" customHeight="1">
      <c r="C943" s="48"/>
      <c r="D943" s="48"/>
      <c r="E943" s="7"/>
      <c r="F943" s="7"/>
      <c r="G943" s="66"/>
      <c r="H943" s="66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 ht="15.75" customHeight="1">
      <c r="C944" s="48"/>
      <c r="D944" s="48"/>
      <c r="E944" s="7"/>
      <c r="F944" s="7"/>
      <c r="G944" s="66"/>
      <c r="H944" s="66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 ht="15.75" customHeight="1">
      <c r="C945" s="48"/>
      <c r="D945" s="48"/>
      <c r="E945" s="7"/>
      <c r="F945" s="7"/>
      <c r="G945" s="66"/>
      <c r="H945" s="66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 ht="15.75" customHeight="1">
      <c r="C946" s="48"/>
      <c r="D946" s="48"/>
      <c r="E946" s="7"/>
      <c r="F946" s="7"/>
      <c r="G946" s="66"/>
      <c r="H946" s="66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 ht="15.75" customHeight="1">
      <c r="C947" s="48"/>
      <c r="D947" s="48"/>
      <c r="E947" s="7"/>
      <c r="F947" s="7"/>
      <c r="G947" s="66"/>
      <c r="H947" s="66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 ht="15.75" customHeight="1">
      <c r="C948" s="48"/>
      <c r="D948" s="48"/>
      <c r="E948" s="7"/>
      <c r="F948" s="7"/>
      <c r="G948" s="66"/>
      <c r="H948" s="66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 ht="15.75" customHeight="1">
      <c r="C949" s="48"/>
      <c r="D949" s="48"/>
      <c r="E949" s="7"/>
      <c r="F949" s="7"/>
      <c r="G949" s="66"/>
      <c r="H949" s="66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 ht="15.75" customHeight="1">
      <c r="C950" s="48"/>
      <c r="D950" s="48"/>
      <c r="E950" s="7"/>
      <c r="F950" s="7"/>
      <c r="G950" s="66"/>
      <c r="H950" s="66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 ht="15.75" customHeight="1">
      <c r="C951" s="48"/>
      <c r="D951" s="48"/>
      <c r="E951" s="7"/>
      <c r="F951" s="7"/>
      <c r="G951" s="66"/>
      <c r="H951" s="66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 ht="15.75" customHeight="1">
      <c r="C952" s="48"/>
      <c r="D952" s="48"/>
      <c r="E952" s="7"/>
      <c r="F952" s="7"/>
      <c r="G952" s="66"/>
      <c r="H952" s="66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 ht="15.75" customHeight="1">
      <c r="C953" s="48"/>
      <c r="D953" s="48"/>
      <c r="E953" s="7"/>
      <c r="F953" s="7"/>
      <c r="G953" s="66"/>
      <c r="H953" s="66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 ht="15.75" customHeight="1">
      <c r="C954" s="48"/>
      <c r="D954" s="48"/>
      <c r="E954" s="7"/>
      <c r="F954" s="7"/>
      <c r="G954" s="66"/>
      <c r="H954" s="66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 ht="15.75" customHeight="1">
      <c r="C955" s="48"/>
      <c r="D955" s="48"/>
      <c r="E955" s="7"/>
      <c r="F955" s="7"/>
      <c r="G955" s="66"/>
      <c r="H955" s="66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 ht="15.75" customHeight="1">
      <c r="C956" s="48"/>
      <c r="D956" s="48"/>
      <c r="E956" s="7"/>
      <c r="F956" s="7"/>
      <c r="G956" s="66"/>
      <c r="H956" s="66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 ht="15.75" customHeight="1">
      <c r="C957" s="48"/>
      <c r="D957" s="48"/>
      <c r="E957" s="7"/>
      <c r="F957" s="7"/>
      <c r="G957" s="66"/>
      <c r="H957" s="66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 ht="15.75" customHeight="1">
      <c r="C958" s="48"/>
      <c r="D958" s="48"/>
      <c r="E958" s="7"/>
      <c r="F958" s="7"/>
      <c r="G958" s="66"/>
      <c r="H958" s="66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 ht="15.75" customHeight="1">
      <c r="C959" s="48"/>
      <c r="D959" s="48"/>
      <c r="E959" s="7"/>
      <c r="F959" s="7"/>
      <c r="G959" s="66"/>
      <c r="H959" s="66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 ht="15.75" customHeight="1">
      <c r="C960" s="48"/>
      <c r="D960" s="48"/>
      <c r="E960" s="7"/>
      <c r="F960" s="7"/>
      <c r="G960" s="66"/>
      <c r="H960" s="66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 ht="15.75" customHeight="1">
      <c r="C961" s="48"/>
      <c r="D961" s="48"/>
      <c r="E961" s="7"/>
      <c r="F961" s="7"/>
      <c r="G961" s="66"/>
      <c r="H961" s="66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 ht="15.75" customHeight="1">
      <c r="C962" s="48"/>
      <c r="D962" s="48"/>
      <c r="E962" s="7"/>
      <c r="F962" s="7"/>
      <c r="G962" s="66"/>
      <c r="H962" s="66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 ht="15.75" customHeight="1">
      <c r="C963" s="48"/>
      <c r="D963" s="48"/>
      <c r="E963" s="7"/>
      <c r="F963" s="7"/>
      <c r="G963" s="66"/>
      <c r="H963" s="66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 ht="15.75" customHeight="1">
      <c r="C964" s="48"/>
      <c r="D964" s="48"/>
      <c r="E964" s="7"/>
      <c r="F964" s="7"/>
      <c r="G964" s="66"/>
      <c r="H964" s="66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 ht="15.75" customHeight="1">
      <c r="C965" s="48"/>
      <c r="D965" s="48"/>
      <c r="E965" s="7"/>
      <c r="F965" s="7"/>
      <c r="G965" s="66"/>
      <c r="H965" s="66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 ht="15.75" customHeight="1">
      <c r="C966" s="48"/>
      <c r="D966" s="48"/>
      <c r="E966" s="7"/>
      <c r="F966" s="7"/>
      <c r="G966" s="66"/>
      <c r="H966" s="66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 ht="15.75" customHeight="1">
      <c r="C967" s="48"/>
      <c r="D967" s="48"/>
      <c r="E967" s="7"/>
      <c r="F967" s="7"/>
      <c r="G967" s="66"/>
      <c r="H967" s="66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 ht="15.75" customHeight="1">
      <c r="C968" s="48"/>
      <c r="D968" s="48"/>
      <c r="E968" s="7"/>
      <c r="F968" s="7"/>
      <c r="G968" s="66"/>
      <c r="H968" s="66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 ht="15.75" customHeight="1">
      <c r="C969" s="48"/>
      <c r="D969" s="48"/>
      <c r="E969" s="7"/>
      <c r="F969" s="7"/>
      <c r="G969" s="66"/>
      <c r="H969" s="66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 ht="15.75" customHeight="1">
      <c r="C970" s="48"/>
      <c r="D970" s="48"/>
      <c r="E970" s="7"/>
      <c r="F970" s="7"/>
      <c r="G970" s="66"/>
      <c r="H970" s="66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 ht="15.75" customHeight="1">
      <c r="C971" s="48"/>
      <c r="D971" s="48"/>
      <c r="E971" s="7"/>
      <c r="F971" s="7"/>
      <c r="G971" s="66"/>
      <c r="H971" s="66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 ht="15.75" customHeight="1">
      <c r="C972" s="48"/>
      <c r="D972" s="48"/>
      <c r="E972" s="7"/>
      <c r="F972" s="7"/>
      <c r="G972" s="66"/>
      <c r="H972" s="66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 ht="15.75" customHeight="1">
      <c r="C973" s="48"/>
      <c r="D973" s="48"/>
      <c r="E973" s="7"/>
      <c r="F973" s="7"/>
      <c r="G973" s="66"/>
      <c r="H973" s="66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 ht="15.75" customHeight="1">
      <c r="C974" s="48"/>
      <c r="D974" s="48"/>
      <c r="E974" s="7"/>
      <c r="F974" s="7"/>
      <c r="G974" s="66"/>
      <c r="H974" s="66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 ht="15.75" customHeight="1">
      <c r="C975" s="48"/>
      <c r="D975" s="48"/>
      <c r="E975" s="7"/>
      <c r="F975" s="7"/>
      <c r="G975" s="66"/>
      <c r="H975" s="66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 ht="15.75" customHeight="1">
      <c r="C976" s="48"/>
      <c r="D976" s="48"/>
      <c r="E976" s="7"/>
      <c r="F976" s="7"/>
      <c r="G976" s="66"/>
      <c r="H976" s="66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 ht="15.75" customHeight="1">
      <c r="C977" s="48"/>
      <c r="D977" s="48"/>
      <c r="E977" s="7"/>
      <c r="F977" s="7"/>
      <c r="G977" s="66"/>
      <c r="H977" s="66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 ht="15.75" customHeight="1">
      <c r="C978" s="48"/>
      <c r="D978" s="48"/>
      <c r="E978" s="7"/>
      <c r="F978" s="7"/>
      <c r="G978" s="66"/>
      <c r="H978" s="66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 ht="15.75" customHeight="1">
      <c r="C979" s="48"/>
      <c r="D979" s="48"/>
      <c r="E979" s="7"/>
      <c r="F979" s="7"/>
      <c r="G979" s="66"/>
      <c r="H979" s="66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 ht="15.75" customHeight="1">
      <c r="C980" s="48"/>
      <c r="D980" s="48"/>
      <c r="E980" s="7"/>
      <c r="F980" s="7"/>
      <c r="G980" s="66"/>
      <c r="H980" s="66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 ht="15.75" customHeight="1">
      <c r="C981" s="48"/>
      <c r="D981" s="48"/>
      <c r="E981" s="7"/>
      <c r="F981" s="7"/>
      <c r="G981" s="66"/>
      <c r="H981" s="66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 ht="15.75" customHeight="1">
      <c r="C982" s="48"/>
      <c r="D982" s="48"/>
      <c r="E982" s="7"/>
      <c r="F982" s="7"/>
      <c r="G982" s="66"/>
      <c r="H982" s="66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 ht="15.75" customHeight="1">
      <c r="C983" s="48"/>
      <c r="D983" s="48"/>
      <c r="E983" s="7"/>
      <c r="F983" s="7"/>
      <c r="G983" s="66"/>
      <c r="H983" s="66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 ht="15.75" customHeight="1">
      <c r="C984" s="48"/>
      <c r="D984" s="48"/>
      <c r="E984" s="7"/>
      <c r="F984" s="7"/>
      <c r="G984" s="66"/>
      <c r="H984" s="66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 ht="15.75" customHeight="1">
      <c r="C985" s="48"/>
      <c r="D985" s="48"/>
      <c r="E985" s="7"/>
      <c r="F985" s="7"/>
      <c r="G985" s="66"/>
      <c r="H985" s="66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 ht="15.75" customHeight="1">
      <c r="C986" s="48"/>
      <c r="D986" s="48"/>
      <c r="E986" s="7"/>
      <c r="F986" s="7"/>
      <c r="G986" s="66"/>
      <c r="H986" s="66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 ht="15.75" customHeight="1">
      <c r="C987" s="48"/>
      <c r="D987" s="48"/>
      <c r="E987" s="7"/>
      <c r="F987" s="7"/>
      <c r="G987" s="66"/>
      <c r="H987" s="66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 ht="15.75" customHeight="1">
      <c r="C988" s="48"/>
      <c r="D988" s="48"/>
      <c r="E988" s="7"/>
      <c r="F988" s="7"/>
      <c r="G988" s="66"/>
      <c r="H988" s="66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 ht="15.75" customHeight="1">
      <c r="C989" s="48"/>
      <c r="D989" s="48"/>
      <c r="E989" s="7"/>
      <c r="F989" s="7"/>
      <c r="G989" s="66"/>
      <c r="H989" s="66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 ht="15.75" customHeight="1">
      <c r="C990" s="48"/>
      <c r="D990" s="48"/>
      <c r="E990" s="7"/>
      <c r="F990" s="7"/>
      <c r="G990" s="66"/>
      <c r="H990" s="66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 ht="15.75" customHeight="1">
      <c r="C991" s="48"/>
      <c r="D991" s="48"/>
      <c r="E991" s="7"/>
      <c r="F991" s="7"/>
      <c r="G991" s="66"/>
      <c r="H991" s="66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 ht="15.75" customHeight="1">
      <c r="C992" s="48"/>
      <c r="D992" s="48"/>
      <c r="E992" s="7"/>
      <c r="F992" s="7"/>
      <c r="G992" s="66"/>
      <c r="H992" s="66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 ht="15.75" customHeight="1">
      <c r="C993" s="48"/>
      <c r="D993" s="48"/>
      <c r="E993" s="7"/>
      <c r="F993" s="7"/>
      <c r="G993" s="66"/>
      <c r="H993" s="66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 ht="15.75" customHeight="1">
      <c r="C994" s="48"/>
      <c r="D994" s="48"/>
      <c r="E994" s="7"/>
      <c r="F994" s="7"/>
      <c r="G994" s="66"/>
      <c r="H994" s="66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 ht="15.75" customHeight="1">
      <c r="C995" s="48"/>
      <c r="D995" s="48"/>
      <c r="E995" s="7"/>
      <c r="F995" s="7"/>
      <c r="G995" s="66"/>
      <c r="H995" s="66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 ht="15.75" customHeight="1">
      <c r="C996" s="48"/>
      <c r="D996" s="48"/>
      <c r="E996" s="7"/>
      <c r="F996" s="7"/>
      <c r="G996" s="66"/>
      <c r="H996" s="66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 ht="15.75" customHeight="1">
      <c r="C997" s="48"/>
      <c r="D997" s="48"/>
      <c r="E997" s="7"/>
      <c r="F997" s="7"/>
      <c r="G997" s="66"/>
      <c r="H997" s="66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 ht="15.75" customHeight="1">
      <c r="C998" s="48"/>
      <c r="D998" s="48"/>
      <c r="E998" s="7"/>
      <c r="F998" s="7"/>
      <c r="G998" s="66"/>
      <c r="H998" s="66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 ht="15.75" customHeight="1">
      <c r="C999" s="48"/>
      <c r="D999" s="48"/>
      <c r="E999" s="7"/>
      <c r="F999" s="7"/>
      <c r="G999" s="66"/>
      <c r="H999" s="66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 ht="15.75" customHeight="1">
      <c r="C1000" s="48"/>
      <c r="D1000" s="48"/>
      <c r="E1000" s="7"/>
      <c r="F1000" s="7"/>
      <c r="G1000" s="66"/>
      <c r="H1000" s="66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</sheetData>
  <mergeCells count="2">
    <mergeCell ref="A6:K6"/>
    <mergeCell ref="L6:AA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2026-03-18T03:38:34Z</dcterms:created>
  <dc:creator>JEN</dc:creator>
</cp:coreProperties>
</file>