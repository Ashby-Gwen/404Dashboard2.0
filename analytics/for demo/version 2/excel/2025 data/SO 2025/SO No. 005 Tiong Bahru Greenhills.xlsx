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"/>
    </mc:Choice>
  </mc:AlternateContent>
  <xr:revisionPtr revIDLastSave="0" documentId="13_ncr:1_{4F156E86-99CE-46FC-BF0C-450C7D43BF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<sst xmlns="http://schemas.openxmlformats.org/spreadsheetml/2006/main" count="35" uniqueCount="35">
  <si>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</si>
  <si>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</si>
  <si>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</si>
  <si>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</si>
  <si>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</si>
  <si>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</si>
  <si>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</si>
  <si>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</si>
  <si>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</si>
  <si>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</si>
  <si>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</si>
  <si>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</si>
  <si>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</si>
  <si>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</si>
  <si>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</si>
  <si>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</si>
  <si>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TERMS OF PAYMENT: 50% DOWNPAYMENT, 50% w/in 30 DAYS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</si>
  <si>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</si>
  <si>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</si>
  <si>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</si>
  <si>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</si>
  <si>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</si>
  <si>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</si>
  <si>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</si>
  <si>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</si>
  <si>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Bacchus SQL ver 7</t>
  </si>
  <si>
    <t>Implementation</t>
  </si>
  <si>
    <t>One year warranty</t>
  </si>
  <si>
    <t>DATE: January 7, 2025</t>
  </si>
  <si>
    <t>SO No: 005</t>
  </si>
  <si>
    <t>DATE OF PO: January 7, 2025</t>
  </si>
  <si>
    <t>STORE ADDRESS: Greenhills</t>
  </si>
  <si>
    <t>APC UPS</t>
  </si>
  <si>
    <t>Ordering Station</t>
  </si>
  <si>
    <t>Delivery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</si>
</sst>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zoomScaleNormal="100" workbookViewId="0">
      <selection activeCell="E25" sqref="E25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9" t="s">
        <v>28</v>
      </c>
      <c r="B7" s="58"/>
      <c r="C7" s="2"/>
      <c r="D7" s="3"/>
      <c r="E7" s="4"/>
      <c r="F7" s="63" t="s">
        <v>29</v>
      </c>
      <c r="G7" s="64"/>
    </row>
    <row r="8" spans="1:7">
      <c r="A8" s="59" t="s">
        <v>21</v>
      </c>
      <c r="B8" s="60"/>
      <c r="C8" s="38" t="s">
        <v>1</v>
      </c>
      <c r="E8" s="31"/>
      <c r="F8" s="65" t="s">
        <v>30</v>
      </c>
      <c r="G8" s="66"/>
    </row>
    <row r="9" spans="1:7">
      <c r="A9" s="61" t="s">
        <v>22</v>
      </c>
      <c r="B9" s="62"/>
      <c r="C9" s="38" t="s">
        <v>19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20</v>
      </c>
      <c r="D11" s="22"/>
      <c r="E11" s="23"/>
      <c r="F11" s="38" t="s">
        <v>4</v>
      </c>
      <c r="G11" s="41"/>
    </row>
    <row r="12" spans="1:7">
      <c r="A12" s="35" t="s">
        <v>31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25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7" t="s">
        <v>26</v>
      </c>
      <c r="B20" s="68"/>
      <c r="D20" s="25">
        <v>1</v>
      </c>
      <c r="E20" s="19">
        <v>3325</v>
      </c>
      <c r="F20" s="17">
        <v>9500</v>
      </c>
      <c r="G20" s="17">
        <v>9500</v>
      </c>
    </row>
    <row r="21" spans="1:7">
      <c r="A21" s="46" t="s">
        <v>27</v>
      </c>
      <c r="D21" s="25">
        <v>1</v>
      </c>
      <c r="E21" s="19">
        <v>3325</v>
      </c>
      <c r="F21" s="17">
        <v>9500</v>
      </c>
      <c r="G21" s="17">
        <v>9500</v>
      </c>
    </row>
    <row r="22" spans="1:7">
      <c r="A22" s="8" t="s">
        <v>15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 t="s">
        <v>32</v>
      </c>
      <c r="D23" s="25">
        <v>2</v>
      </c>
      <c r="E23" s="17">
        <v>2200</v>
      </c>
      <c r="F23" s="17">
        <v>3500</v>
      </c>
      <c r="G23" s="17">
        <v>7000</v>
      </c>
    </row>
    <row r="24" spans="1:7">
      <c r="A24" s="8" t="s">
        <v>33</v>
      </c>
      <c r="D24" s="25">
        <v>1</v>
      </c>
      <c r="E24" s="19">
        <v>6825</v>
      </c>
      <c r="F24" s="17">
        <v>19500</v>
      </c>
      <c r="G24" s="17">
        <v>19500</v>
      </c>
    </row>
    <row r="25" spans="1:7">
      <c r="A25" s="8" t="s">
        <v>34</v>
      </c>
      <c r="D25" s="25">
        <v>1</v>
      </c>
      <c r="E25" s="19">
        <v>500</v>
      </c>
      <c r="F25" s="17">
        <v>500</v>
      </c>
      <c r="G25" s="17">
        <v>500</v>
      </c>
    </row>
    <row r="26" spans="1:7">
      <c r="A26" s="8"/>
      <c r="D26" s="25"/>
      <c r="E26" s="19"/>
      <c r="F26" s="19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47" t="s">
        <v>11</v>
      </c>
      <c r="B39" s="48"/>
      <c r="C39" s="48"/>
      <c r="D39" s="48"/>
      <c r="E39" s="48"/>
      <c r="F39" s="49">
        <f>SUM(G19:G38)</f>
        <v>57000</v>
      </c>
      <c r="G39" s="50"/>
    </row>
    <row r="42" spans="1:7">
      <c r="A42" t="s">
        <v>18</v>
      </c>
      <c r="D42" t="s">
        <v>12</v>
      </c>
    </row>
    <row r="43" spans="1:7">
      <c r="D43" s="51" t="s">
        <v>13</v>
      </c>
      <c r="E43" s="51"/>
      <c r="F43" s="51"/>
      <c r="G43" s="51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2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2025-01-07T03:15:47Z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