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erinos Cafe\"/>
    </mc:Choice>
  </mc:AlternateContent>
  <xr:revisionPtr revIDLastSave="0" documentId="13_ncr:1_{9D0A192B-D691-42F9-A4F9-17806D80E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<sst xmlns="http://schemas.openxmlformats.org/spreadsheetml/2006/main" count="29" uniqueCount="29">
  <si>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</si>
  <si>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</si>
  <si>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</si>
  <si>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</si>
  <si>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</si>
  <si>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</si>
  <si>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</si>
  <si>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</si>
  <si>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</si>
  <si>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</si>
  <si>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</si>
  <si>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</si>
  <si>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</si>
  <si>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</si>
  <si>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</si>
  <si>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COMPANY ADDRESS:</t>
  </si>
  <si>
    <t xml:space="preserve">MOBILE: </t>
  </si>
  <si>
    <t>COMPANY: Cortez, Ian Carl Corpuz</t>
  </si>
  <si>
    <t>STORE: Ferino's Café</t>
  </si>
  <si>
    <t>STORE ADDRESS: Ayala Malls Feliz</t>
  </si>
  <si>
    <t>TEL.NO.: +639773830358</t>
  </si>
  <si>
    <t>CONTACT PERSON: Mark John Cortez</t>
  </si>
  <si>
    <t>E-MAIL: mark8813rc@gmail.com</t>
  </si>
  <si>
    <t>SO No: 076</t>
  </si>
  <si>
    <t>DATE: Oct. 6, 2025</t>
  </si>
  <si>
    <t>DATE OF PO: Oct. 6, 2025</t>
  </si>
  <si>
    <t xml:space="preserve">SYSTEM: </t>
  </si>
  <si>
    <t>TERMS OF PAYMENT: Paid</t>
  </si>
  <si>
    <t>ERC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</si>
</sst>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5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6" zoomScaleNormal="100" workbookViewId="0">
      <selection activeCell="A20" sqref="A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24</v>
      </c>
      <c r="B7" s="64"/>
      <c r="C7" s="2"/>
      <c r="D7" s="3"/>
      <c r="E7" s="4"/>
      <c r="F7" s="69" t="s">
        <v>23</v>
      </c>
      <c r="G7" s="70"/>
    </row>
    <row r="8" spans="1:7">
      <c r="A8" s="65" t="s">
        <v>17</v>
      </c>
      <c r="B8" s="66"/>
      <c r="C8" s="38" t="s">
        <v>1</v>
      </c>
      <c r="E8" s="31"/>
      <c r="F8" s="71" t="s">
        <v>25</v>
      </c>
      <c r="G8" s="72"/>
    </row>
    <row r="9" spans="1:7">
      <c r="A9" s="67" t="s">
        <v>15</v>
      </c>
      <c r="B9" s="68"/>
      <c r="C9" s="38" t="s">
        <v>21</v>
      </c>
      <c r="E9" s="31"/>
      <c r="F9" s="39"/>
      <c r="G9" s="40"/>
    </row>
    <row r="10" spans="1:7">
      <c r="A10" s="7"/>
      <c r="C10" s="38" t="s">
        <v>20</v>
      </c>
      <c r="D10" s="22"/>
      <c r="E10" s="23"/>
      <c r="F10" s="38" t="s">
        <v>2</v>
      </c>
      <c r="G10" s="41"/>
    </row>
    <row r="11" spans="1:7">
      <c r="A11" s="36" t="s">
        <v>18</v>
      </c>
      <c r="C11" s="36" t="s">
        <v>16</v>
      </c>
      <c r="D11" s="22"/>
      <c r="E11" s="23"/>
      <c r="F11" s="38" t="s">
        <v>3</v>
      </c>
      <c r="G11" s="41"/>
    </row>
    <row r="12" spans="1:7">
      <c r="A12" s="35" t="s">
        <v>19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22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3" t="s">
        <v>28</v>
      </c>
      <c r="D19" s="25">
        <v>2</v>
      </c>
      <c r="E19" s="19">
        <v>75</v>
      </c>
      <c r="F19" s="19">
        <v>250</v>
      </c>
      <c r="G19" s="47">
        <v>500</v>
      </c>
    </row>
    <row r="20" spans="1:7">
      <c r="A20" s="28"/>
      <c r="B20" s="22"/>
      <c r="D20" s="25"/>
      <c r="E20" s="19"/>
      <c r="F20" s="17"/>
      <c r="G20" s="17"/>
    </row>
    <row r="21" spans="1:7">
      <c r="A21" s="4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9"/>
      <c r="D23" s="25"/>
      <c r="E23" s="44"/>
      <c r="F23" s="45"/>
      <c r="G23" s="45"/>
    </row>
    <row r="24" spans="1:7">
      <c r="A24" s="48"/>
      <c r="D24" s="25"/>
      <c r="E24" s="44"/>
      <c r="F24" s="45"/>
      <c r="G24" s="45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44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50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51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10</v>
      </c>
      <c r="B38" s="53"/>
      <c r="C38" s="53"/>
      <c r="D38" s="53"/>
      <c r="E38" s="53"/>
      <c r="F38" s="54">
        <f>SUM(G19:G37)</f>
        <v>500</v>
      </c>
      <c r="G38" s="55"/>
    </row>
    <row r="41" spans="1:7">
      <c r="A41" t="s">
        <v>14</v>
      </c>
      <c r="D41" t="s">
        <v>11</v>
      </c>
    </row>
    <row r="42" spans="1:7">
      <c r="D42" s="56" t="s">
        <v>12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2025-10-06T02:37:00Z</cp:lastPrinted>
  <dcterms:created xsi:type="dcterms:W3CDTF">2016-11-22T07:07:00Z</dcterms:created>
  <dcterms:modified xsi:type="dcterms:W3CDTF">2025-10-06T02:37:05Z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