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Table" sheetId="1" r:id="rId5"/>
    <sheet state="visible" name="POItem" sheetId="2" r:id="rId6"/>
    <sheet state="visible" name="PO" sheetId="3" r:id="rId7"/>
    <sheet state="visible" name="Invoice" sheetId="4" r:id="rId8"/>
    <sheet state="visible" name="Deposit" sheetId="5" r:id="rId9"/>
    <sheet state="visible" name="OrderItem" sheetId="6" r:id="rId10"/>
    <sheet state="visible" name="Refund" sheetId="7" r:id="rId11"/>
  </sheets>
  <definedNames/>
  <calcPr/>
</workbook>
</file>

<file path=xl/sharedStrings.xml><?xml version="1.0" encoding="utf-8"?>
<sst xmlns="http://schemas.openxmlformats.org/spreadsheetml/2006/main" count="118" uniqueCount="83">
  <si>
    <t>Key</t>
  </si>
  <si>
    <t>ClientID</t>
  </si>
  <si>
    <t>FirstName</t>
  </si>
  <si>
    <t>LastName</t>
  </si>
  <si>
    <t>ClientAddress</t>
  </si>
  <si>
    <t>Terms</t>
  </si>
  <si>
    <t>ClientBalance</t>
  </si>
  <si>
    <t>ContractStatus</t>
  </si>
  <si>
    <t>A001</t>
  </si>
  <si>
    <t>A1</t>
  </si>
  <si>
    <t>Ashby</t>
  </si>
  <si>
    <t>Ruelo</t>
  </si>
  <si>
    <t>taguig</t>
  </si>
  <si>
    <t>Online</t>
  </si>
  <si>
    <t>A002</t>
  </si>
  <si>
    <t>B1</t>
  </si>
  <si>
    <t>Gwen</t>
  </si>
  <si>
    <t>Burgos</t>
  </si>
  <si>
    <t>Iloilo</t>
  </si>
  <si>
    <t>A003</t>
  </si>
  <si>
    <t>C1</t>
  </si>
  <si>
    <t>Ralp</t>
  </si>
  <si>
    <t>Antique</t>
  </si>
  <si>
    <t>Offline</t>
  </si>
  <si>
    <t>IncrementedKey</t>
  </si>
  <si>
    <t>Basket</t>
  </si>
  <si>
    <t>POItemNumber</t>
  </si>
  <si>
    <t>ItemKey</t>
  </si>
  <si>
    <t>POItemQty</t>
  </si>
  <si>
    <t>POItemTotal</t>
  </si>
  <si>
    <t>POItemStatus</t>
  </si>
  <si>
    <t>POIK001</t>
  </si>
  <si>
    <t>Bskt1</t>
  </si>
  <si>
    <t>POI001</t>
  </si>
  <si>
    <t>OI001</t>
  </si>
  <si>
    <t>Available</t>
  </si>
  <si>
    <t>POIK002</t>
  </si>
  <si>
    <t>POI002</t>
  </si>
  <si>
    <t>OI003</t>
  </si>
  <si>
    <t>POIK003</t>
  </si>
  <si>
    <t>bskt2</t>
  </si>
  <si>
    <t>POI003</t>
  </si>
  <si>
    <t>POIK004</t>
  </si>
  <si>
    <t>POI004</t>
  </si>
  <si>
    <t>OI002</t>
  </si>
  <si>
    <t>PONumber</t>
  </si>
  <si>
    <t>BasketNumber</t>
  </si>
  <si>
    <t>OrderDate</t>
  </si>
  <si>
    <t>AmountDue</t>
  </si>
  <si>
    <t>Status</t>
  </si>
  <si>
    <t>PK001</t>
  </si>
  <si>
    <t>PO001</t>
  </si>
  <si>
    <t>In Progress</t>
  </si>
  <si>
    <t>PK002</t>
  </si>
  <si>
    <t>PO002</t>
  </si>
  <si>
    <t>Bskt2</t>
  </si>
  <si>
    <t>PK003</t>
  </si>
  <si>
    <t>PK004</t>
  </si>
  <si>
    <t>InvoiceNumber</t>
  </si>
  <si>
    <t>InvoiceAmount</t>
  </si>
  <si>
    <t>DueDate</t>
  </si>
  <si>
    <t>I001</t>
  </si>
  <si>
    <t>IN001</t>
  </si>
  <si>
    <t>IncrementKey</t>
  </si>
  <si>
    <t>DepositID</t>
  </si>
  <si>
    <t>Amount</t>
  </si>
  <si>
    <t>TransactionType</t>
  </si>
  <si>
    <t>Deposit</t>
  </si>
  <si>
    <t>Refund</t>
  </si>
  <si>
    <t>ItemName</t>
  </si>
  <si>
    <t>ItemDescription</t>
  </si>
  <si>
    <t>ItemAmount</t>
  </si>
  <si>
    <t>ItemCategory</t>
  </si>
  <si>
    <t>ItemCategoryID</t>
  </si>
  <si>
    <t>O001</t>
  </si>
  <si>
    <t>Printer</t>
  </si>
  <si>
    <t>Pang Print</t>
  </si>
  <si>
    <t>Hardware</t>
  </si>
  <si>
    <t>BIR</t>
  </si>
  <si>
    <t>Lisensya</t>
  </si>
  <si>
    <t>Service</t>
  </si>
  <si>
    <t>Monitor</t>
  </si>
  <si>
    <t>Screen lang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</si>
</sst>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30.0</v>
      </c>
      <c r="G2" s="1">
        <f>7000 -(5000+1000)</f>
        <v>1000</v>
      </c>
      <c r="H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30.0</v>
      </c>
    </row>
    <row r="4">
      <c r="A4" s="1" t="s">
        <v>19</v>
      </c>
      <c r="B4" s="1" t="s">
        <v>20</v>
      </c>
      <c r="C4" s="1" t="s">
        <v>21</v>
      </c>
      <c r="D4" s="1" t="s">
        <v>11</v>
      </c>
      <c r="E4" s="1" t="s">
        <v>22</v>
      </c>
      <c r="F4" s="1">
        <v>30.0</v>
      </c>
      <c r="G4" s="1">
        <v>0.0</v>
      </c>
      <c r="H4" s="1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3" width="12.63"/>
    <col customWidth="1" min="4" max="5" width="9.25"/>
    <col customWidth="1" min="6" max="6" width="12.38"/>
    <col customWidth="1" min="7" max="7" width="13.0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1</v>
      </c>
    </row>
    <row r="2">
      <c r="A2" s="1" t="s">
        <v>31</v>
      </c>
      <c r="B2" s="1" t="s">
        <v>32</v>
      </c>
      <c r="C2" s="1" t="s">
        <v>33</v>
      </c>
      <c r="D2" s="1" t="s">
        <v>34</v>
      </c>
      <c r="E2" s="1">
        <v>1.0</v>
      </c>
      <c r="F2" s="1">
        <v>5000.0</v>
      </c>
      <c r="G2" s="1" t="s">
        <v>35</v>
      </c>
      <c r="H2" s="1" t="s">
        <v>9</v>
      </c>
    </row>
    <row r="3">
      <c r="A3" s="1" t="s">
        <v>36</v>
      </c>
      <c r="B3" s="1" t="s">
        <v>32</v>
      </c>
      <c r="C3" s="1" t="s">
        <v>37</v>
      </c>
      <c r="D3" s="1" t="s">
        <v>38</v>
      </c>
      <c r="E3" s="1">
        <v>1.0</v>
      </c>
      <c r="F3" s="1">
        <v>10000.0</v>
      </c>
      <c r="G3" s="1" t="s">
        <v>35</v>
      </c>
      <c r="H3" s="1" t="s">
        <v>9</v>
      </c>
    </row>
    <row r="4">
      <c r="A4" s="1" t="s">
        <v>39</v>
      </c>
      <c r="B4" s="1" t="s">
        <v>40</v>
      </c>
      <c r="C4" s="1" t="s">
        <v>41</v>
      </c>
      <c r="D4" s="1" t="s">
        <v>34</v>
      </c>
      <c r="E4" s="1">
        <v>1.0</v>
      </c>
      <c r="F4" s="1">
        <v>5000.0</v>
      </c>
      <c r="G4" s="1" t="s">
        <v>35</v>
      </c>
      <c r="H4" s="1" t="s">
        <v>15</v>
      </c>
    </row>
    <row r="5">
      <c r="A5" s="1" t="s">
        <v>42</v>
      </c>
      <c r="B5" s="1" t="s">
        <v>40</v>
      </c>
      <c r="C5" s="1" t="s">
        <v>43</v>
      </c>
      <c r="D5" s="1" t="s">
        <v>44</v>
      </c>
      <c r="E5" s="1">
        <v>1.0</v>
      </c>
      <c r="F5" s="1">
        <v>2000.0</v>
      </c>
      <c r="G5" s="1" t="s">
        <v>35</v>
      </c>
      <c r="H5" s="1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9.38"/>
    <col customWidth="1" min="3" max="3" width="14.38"/>
    <col customWidth="1" min="4" max="4" width="8.75"/>
    <col customWidth="1" min="5" max="5" width="5.5"/>
    <col customWidth="1" min="6" max="6" width="9.75"/>
  </cols>
  <sheetData>
    <row r="1">
      <c r="A1" s="1" t="s">
        <v>24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</row>
    <row r="2">
      <c r="A2" s="1" t="s">
        <v>50</v>
      </c>
      <c r="B2" s="1" t="s">
        <v>51</v>
      </c>
      <c r="C2" s="1" t="s">
        <v>32</v>
      </c>
      <c r="D2" s="2">
        <v>46104.0</v>
      </c>
      <c r="E2" s="1">
        <v>30.0</v>
      </c>
      <c r="F2" s="1">
        <v>15000.0</v>
      </c>
      <c r="G2" s="1" t="s">
        <v>52</v>
      </c>
    </row>
    <row r="3">
      <c r="A3" s="1" t="s">
        <v>53</v>
      </c>
      <c r="B3" s="1" t="s">
        <v>54</v>
      </c>
      <c r="C3" s="1" t="s">
        <v>55</v>
      </c>
      <c r="D3" s="2">
        <v>46105.0</v>
      </c>
      <c r="E3" s="1">
        <v>30.0</v>
      </c>
      <c r="F3" s="1">
        <v>7000.0</v>
      </c>
      <c r="G3" s="1" t="s">
        <v>52</v>
      </c>
    </row>
    <row r="4">
      <c r="A4" s="1" t="s">
        <v>56</v>
      </c>
      <c r="D4" s="2"/>
    </row>
    <row r="5">
      <c r="A5" s="1" t="s">
        <v>57</v>
      </c>
      <c r="D5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</cols>
  <sheetData>
    <row r="1">
      <c r="A1" s="1" t="s">
        <v>24</v>
      </c>
      <c r="B1" s="1" t="s">
        <v>58</v>
      </c>
      <c r="C1" s="1" t="s">
        <v>45</v>
      </c>
      <c r="D1" s="1" t="s">
        <v>59</v>
      </c>
      <c r="E1" s="1" t="s">
        <v>47</v>
      </c>
      <c r="F1" s="1" t="s">
        <v>60</v>
      </c>
    </row>
    <row r="2">
      <c r="A2" s="1" t="s">
        <v>61</v>
      </c>
      <c r="B2" s="1" t="s">
        <v>62</v>
      </c>
      <c r="C2" s="1" t="s">
        <v>51</v>
      </c>
      <c r="D2" s="1">
        <v>15000.0</v>
      </c>
      <c r="E2" s="2">
        <v>46104.0</v>
      </c>
      <c r="F2" s="3">
        <f>E2+30</f>
        <v>46134</v>
      </c>
    </row>
    <row r="3">
      <c r="F3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8.38"/>
    <col customWidth="1" min="3" max="3" width="6.75"/>
    <col customWidth="1" min="4" max="4" width="6.88"/>
    <col customWidth="1" min="5" max="6" width="13.25"/>
  </cols>
  <sheetData>
    <row r="1">
      <c r="A1" s="1" t="s">
        <v>63</v>
      </c>
      <c r="B1" s="1" t="s">
        <v>64</v>
      </c>
      <c r="C1" s="1" t="s">
        <v>65</v>
      </c>
      <c r="D1" s="1" t="s">
        <v>1</v>
      </c>
      <c r="E1" s="1" t="s">
        <v>58</v>
      </c>
      <c r="F1" s="1" t="s">
        <v>66</v>
      </c>
    </row>
    <row r="2">
      <c r="B2" s="1">
        <v>1.0</v>
      </c>
      <c r="C2" s="1">
        <v>5000.0</v>
      </c>
      <c r="D2" s="1" t="s">
        <v>9</v>
      </c>
      <c r="E2" s="1" t="s">
        <v>62</v>
      </c>
      <c r="F2" s="1" t="s">
        <v>67</v>
      </c>
    </row>
    <row r="3">
      <c r="B3" s="1">
        <v>2.0</v>
      </c>
      <c r="C3" s="1">
        <v>5000.0</v>
      </c>
      <c r="D3" s="1" t="s">
        <v>9</v>
      </c>
      <c r="E3" s="1" t="s">
        <v>62</v>
      </c>
      <c r="F3" s="1" t="s">
        <v>67</v>
      </c>
    </row>
    <row r="4">
      <c r="B4" s="1">
        <v>3.0</v>
      </c>
      <c r="C4" s="1">
        <v>5000.0</v>
      </c>
      <c r="D4" s="1" t="s">
        <v>9</v>
      </c>
      <c r="E4" s="1" t="s">
        <v>62</v>
      </c>
      <c r="F4" s="1" t="s">
        <v>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24</v>
      </c>
      <c r="B1" s="1" t="s">
        <v>27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>
      <c r="A2" s="1" t="s">
        <v>74</v>
      </c>
      <c r="B2" s="1" t="s">
        <v>34</v>
      </c>
      <c r="C2" s="1" t="s">
        <v>75</v>
      </c>
      <c r="D2" s="1" t="s">
        <v>76</v>
      </c>
      <c r="E2" s="1">
        <v>5000.0</v>
      </c>
      <c r="F2" s="1" t="s">
        <v>77</v>
      </c>
      <c r="G2" s="1">
        <v>2.0</v>
      </c>
    </row>
    <row r="3">
      <c r="B3" s="1" t="s">
        <v>44</v>
      </c>
      <c r="C3" s="1" t="s">
        <v>78</v>
      </c>
      <c r="D3" s="1" t="s">
        <v>79</v>
      </c>
      <c r="E3" s="1">
        <v>2000.0</v>
      </c>
      <c r="F3" s="1" t="s">
        <v>80</v>
      </c>
      <c r="G3" s="1">
        <v>3.0</v>
      </c>
    </row>
    <row r="4">
      <c r="B4" s="1" t="s">
        <v>38</v>
      </c>
      <c r="C4" s="1" t="s">
        <v>81</v>
      </c>
      <c r="D4" s="1" t="s">
        <v>82</v>
      </c>
      <c r="E4" s="1">
        <v>10000.0</v>
      </c>
      <c r="F4" s="1" t="s">
        <v>77</v>
      </c>
      <c r="G4" s="1">
        <v>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