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2026 FILES\CONFORME\"/>
    </mc:Choice>
  </mc:AlternateContent>
  <xr:revisionPtr revIDLastSave="0" documentId="13_ncr:1_{E77B246B-99A7-4AD4-BF62-190C1F97D56A}" xr6:coauthVersionLast="47" xr6:coauthVersionMax="47" xr10:uidLastSave="{00000000-0000-0000-0000-000000000000}"/>
  <bookViews>
    <workbookView xWindow="-120" yWindow="-120" windowWidth="20730" windowHeight="11160" activeTab="4" xr2:uid="{022C1BD0-93AE-40DA-9765-EF4605E1072D}"/>
  </bookViews>
  <sheets>
    <sheet name="JANUARY" sheetId="1" r:id="rId1"/>
    <sheet name="FEBRUARY" sheetId="2" r:id="rId2"/>
    <sheet name="MARCH" sheetId="3" r:id="rId3"/>
    <sheet name="APRIL" sheetId="4" r:id="rId4"/>
    <sheet name="MAY" sheetId="5" r:id="rId5"/>
  </sheets>
  <definedNames>
    <definedName name="_xlnm._FilterDatabase" localSheetId="3" hidden="1">APRIL!$H$1:$H$65</definedName>
    <definedName name="_xlnm._FilterDatabase" localSheetId="2" hidden="1">MARCH!$H$1:$H$62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43" i="4" l="1"/>
  <c r="M44" i="4"/>
  <c r="M47" i="5"/>
  <c r="M46" i="5"/>
  <c r="M45" i="5"/>
  <c r="M44" i="5"/>
  <c r="M43" i="5"/>
  <c r="M42" i="5"/>
  <c r="M41" i="5"/>
  <c r="M40" i="5"/>
  <c r="M39" i="5"/>
  <c r="M37" i="5"/>
  <c r="M36" i="5"/>
  <c r="M35" i="5"/>
  <c r="M34" i="5"/>
  <c r="M33" i="5"/>
  <c r="M32" i="5"/>
  <c r="M31" i="5"/>
  <c r="M30" i="5"/>
  <c r="M29" i="5"/>
  <c r="M28" i="5"/>
  <c r="M27" i="5"/>
  <c r="M26" i="5"/>
  <c r="M25" i="5"/>
  <c r="M24" i="5"/>
  <c r="M23" i="5"/>
  <c r="M22" i="5"/>
  <c r="M21" i="5"/>
  <c r="M9" i="5"/>
  <c r="M10" i="5"/>
  <c r="M11" i="5"/>
  <c r="M12" i="5"/>
  <c r="M13" i="5"/>
  <c r="M14" i="5"/>
  <c r="M15" i="5"/>
  <c r="M16" i="5"/>
  <c r="M17" i="5"/>
  <c r="M18" i="5"/>
  <c r="M19" i="5"/>
  <c r="F8" i="5"/>
  <c r="E8" i="5"/>
  <c r="D8" i="5"/>
  <c r="M37" i="4"/>
  <c r="M38" i="4"/>
  <c r="M39" i="4"/>
  <c r="M40" i="4"/>
  <c r="M41" i="4"/>
  <c r="M42" i="4"/>
  <c r="M36" i="4"/>
  <c r="G8" i="5" l="1"/>
  <c r="M8" i="5" s="1"/>
  <c r="M34" i="4"/>
  <c r="M33" i="4"/>
  <c r="M32" i="4"/>
  <c r="M31" i="4"/>
  <c r="M30" i="4"/>
  <c r="M29" i="4"/>
  <c r="M28" i="4"/>
  <c r="M27" i="4"/>
  <c r="M26" i="4"/>
  <c r="M25" i="4"/>
  <c r="M24" i="4"/>
  <c r="M23" i="4"/>
  <c r="M22" i="4"/>
  <c r="M21" i="4"/>
  <c r="M18" i="4"/>
  <c r="M17" i="4"/>
  <c r="M16" i="4"/>
  <c r="M15" i="4"/>
  <c r="M14" i="4"/>
  <c r="M13" i="4"/>
  <c r="M12" i="4"/>
  <c r="M11" i="4"/>
  <c r="M10" i="4"/>
  <c r="M9" i="4"/>
  <c r="M20" i="4"/>
  <c r="F8" i="4" l="1"/>
  <c r="E8" i="4"/>
  <c r="D8" i="4"/>
  <c r="G8" i="4" l="1"/>
  <c r="M8" i="4" s="1"/>
  <c r="M27" i="2" l="1"/>
  <c r="M26" i="2"/>
  <c r="M25" i="2"/>
  <c r="M24" i="2"/>
  <c r="M41" i="3" l="1"/>
  <c r="M40" i="3"/>
  <c r="M39" i="3"/>
  <c r="M22" i="3" l="1"/>
  <c r="M23" i="3"/>
  <c r="M24" i="3"/>
  <c r="M25" i="3"/>
  <c r="M26" i="3"/>
  <c r="M27" i="3"/>
  <c r="M28" i="3"/>
  <c r="M29" i="3"/>
  <c r="M30" i="3"/>
  <c r="M31" i="3"/>
  <c r="M32" i="3"/>
  <c r="M33" i="3"/>
  <c r="M34" i="3"/>
  <c r="M35" i="3"/>
  <c r="M36" i="3"/>
  <c r="M37" i="3"/>
  <c r="M21" i="3"/>
  <c r="M16" i="3"/>
  <c r="M17" i="3"/>
  <c r="M18" i="3"/>
  <c r="M19" i="3"/>
  <c r="M9" i="3"/>
  <c r="M10" i="3"/>
  <c r="M11" i="3"/>
  <c r="M12" i="3"/>
  <c r="M13" i="3"/>
  <c r="M14" i="3"/>
  <c r="M15" i="3"/>
  <c r="F8" i="3"/>
  <c r="E8" i="3"/>
  <c r="D8" i="3"/>
  <c r="M42" i="2"/>
  <c r="G8" i="3" l="1"/>
  <c r="M8" i="3" s="1"/>
  <c r="M41" i="2"/>
  <c r="M48" i="2" l="1"/>
  <c r="M40" i="2"/>
  <c r="M9" i="2" l="1"/>
  <c r="M10" i="2"/>
  <c r="M11" i="2"/>
  <c r="M12" i="2"/>
  <c r="M13" i="2"/>
  <c r="M14" i="2"/>
  <c r="M15" i="2"/>
  <c r="M16" i="2"/>
  <c r="M17" i="2"/>
  <c r="M18" i="2"/>
  <c r="M19" i="2"/>
  <c r="M20" i="2"/>
  <c r="M21" i="2"/>
  <c r="M22" i="2"/>
  <c r="F8" i="2" l="1"/>
  <c r="E8" i="2"/>
  <c r="M45" i="2"/>
  <c r="M46" i="2"/>
  <c r="M47" i="2"/>
  <c r="M44" i="2"/>
  <c r="F8" i="1" l="1"/>
  <c r="E8" i="1"/>
  <c r="D8" i="2"/>
  <c r="M30" i="2"/>
  <c r="M31" i="2"/>
  <c r="M32" i="2"/>
  <c r="M33" i="2"/>
  <c r="M34" i="2"/>
  <c r="M35" i="2"/>
  <c r="M36" i="2"/>
  <c r="M37" i="2"/>
  <c r="M38" i="2"/>
  <c r="M39" i="2"/>
  <c r="M20" i="1"/>
  <c r="M21" i="1"/>
  <c r="M22" i="1"/>
  <c r="G8" i="2" l="1"/>
  <c r="M8" i="2" s="1"/>
  <c r="M19" i="1"/>
  <c r="M40" i="1"/>
  <c r="M41" i="1"/>
  <c r="M42" i="1"/>
  <c r="M39" i="1"/>
  <c r="M25" i="1"/>
  <c r="M26" i="1"/>
  <c r="M27" i="1"/>
  <c r="M28" i="1"/>
  <c r="M29" i="1"/>
  <c r="M30" i="1"/>
  <c r="M31" i="1"/>
  <c r="M24" i="1"/>
  <c r="M11" i="1"/>
  <c r="M12" i="1"/>
  <c r="M13" i="1"/>
  <c r="M14" i="1"/>
  <c r="M15" i="1"/>
  <c r="M16" i="1"/>
  <c r="M17" i="1"/>
  <c r="M18" i="1"/>
  <c r="M37" i="1"/>
  <c r="M36" i="1"/>
  <c r="M35" i="1"/>
  <c r="M34" i="1"/>
  <c r="M33" i="1"/>
  <c r="M32" i="1"/>
  <c r="M10" i="1"/>
  <c r="M9" i="1"/>
  <c r="D8" i="1"/>
  <c r="G8" i="1" l="1"/>
  <c r="M8" i="1" s="1"/>
</calcChain>
</file>

<file path=xl/sharedStrings.xml><?xml version="1.0" encoding="utf-8"?>
<sst xmlns="http://schemas.openxmlformats.org/spreadsheetml/2006/main" count="668" uniqueCount="406">
  <si>
    <t>SYLUXENT, INC</t>
  </si>
  <si>
    <t>CONFORME</t>
  </si>
  <si>
    <t>NO DOWNPAYMENT / FULLPAYMENT</t>
  </si>
  <si>
    <t>DATE</t>
  </si>
  <si>
    <t>CLIENT</t>
  </si>
  <si>
    <t>PARTICULARS</t>
  </si>
  <si>
    <t>AMOUNT</t>
  </si>
  <si>
    <t>STATUS/ REMARKS</t>
  </si>
  <si>
    <t>PAYMENT</t>
  </si>
  <si>
    <t>BS/SI #</t>
  </si>
  <si>
    <t>TESS</t>
  </si>
  <si>
    <t>JOANNE</t>
  </si>
  <si>
    <t>RUDELYN</t>
  </si>
  <si>
    <t>DP</t>
  </si>
  <si>
    <t>FP</t>
  </si>
  <si>
    <t>BALANCE</t>
  </si>
  <si>
    <t>PAID</t>
  </si>
  <si>
    <t>PREVENTIVE MAINTENANCE FEE</t>
  </si>
  <si>
    <t xml:space="preserve">TS CERES SQL VERSION W/ POS HARDWARES </t>
  </si>
  <si>
    <t>POSTECH TOUCHSCREEN MONITOR</t>
  </si>
  <si>
    <t>2 PREVENTIVE MAINTENANCE FEE</t>
  </si>
  <si>
    <t>CANCEL</t>
  </si>
  <si>
    <t>Month of JANUARY 2026</t>
  </si>
  <si>
    <t>COLONIAL CREAMERY AYALA MALLS MANILA BAY-001</t>
  </si>
  <si>
    <t>POTATO CORNER MITSUKOSHI-002</t>
  </si>
  <si>
    <t>1BOX JOURNAL PAPER 1 PLY</t>
  </si>
  <si>
    <t>HUZZAH INC-003</t>
  </si>
  <si>
    <t>1BOX JOURNAL PAPER 2 PLY</t>
  </si>
  <si>
    <t>HOMIE PET -004</t>
  </si>
  <si>
    <t xml:space="preserve">4 BOX THERMAL PAPER </t>
  </si>
  <si>
    <t>SERENITEA NLEX -005</t>
  </si>
  <si>
    <t>RIBBON GEAR</t>
  </si>
  <si>
    <t>VA BENE PASTA DELI BGC-006</t>
  </si>
  <si>
    <t>DANIELITO'S HOME KITCHEN AGAPITA -007</t>
  </si>
  <si>
    <t>APC UPS</t>
  </si>
  <si>
    <t>MY HAPPY HOME GREENHILLS -008</t>
  </si>
  <si>
    <t>10 PCS JOURNAL PAPER 2 PLY</t>
  </si>
  <si>
    <t>TEAMASTERS INC (SM MOA MAAX)-001</t>
  </si>
  <si>
    <t>TEAHUB CORP. (SM MINDORO)-002</t>
  </si>
  <si>
    <t>IDEAL BREAD &amp; TEA (SM TAYTAY, SM MOLINO)-003</t>
  </si>
  <si>
    <t>TEAMAKERS CORP( SM BACOOR, ROB. LA UNION)-005</t>
  </si>
  <si>
    <t>8 PREVENTIVE MAINTENANCE FEE</t>
  </si>
  <si>
    <t>VICE COSMETICS GLORIETTA-007</t>
  </si>
  <si>
    <t>PREVENTIVE MAINTENANCE FEE W/ BIR REGISTRATION FEE</t>
  </si>
  <si>
    <t>MAGOOS Q. PLAZA -008</t>
  </si>
  <si>
    <t xml:space="preserve">MINI CASH BOX </t>
  </si>
  <si>
    <t>MN+LA APPAREL ONE AYALA-009</t>
  </si>
  <si>
    <t>1 BOX JOURNAL PAPER 2 PLY</t>
  </si>
  <si>
    <t>KITCHEN CITY EASTWOOD -010</t>
  </si>
  <si>
    <t>EOS POWER ADAPTOR</t>
  </si>
  <si>
    <t>KITCHEN CITY -011</t>
  </si>
  <si>
    <t xml:space="preserve">POSTECH TOUCHSCREEN MONITOR </t>
  </si>
  <si>
    <t>SI 5046</t>
  </si>
  <si>
    <t>LIGHTERS GALORE GATEWAY -001</t>
  </si>
  <si>
    <t xml:space="preserve">4 ERC RIBBON </t>
  </si>
  <si>
    <t>STROOP &amp; ZO ROB. GALLERIA -002</t>
  </si>
  <si>
    <t xml:space="preserve">PREVENTIVE MAINTENANCE FEE / POS PERIPHERALS </t>
  </si>
  <si>
    <t>SI 5031</t>
  </si>
  <si>
    <t>SI 5023</t>
  </si>
  <si>
    <t>SI 5028</t>
  </si>
  <si>
    <t>SI 5036</t>
  </si>
  <si>
    <t>SI 5034</t>
  </si>
  <si>
    <t>SI 5038</t>
  </si>
  <si>
    <t>SI 5044</t>
  </si>
  <si>
    <t>SI 5048</t>
  </si>
  <si>
    <t>THE ECO SHIFT ATC-003</t>
  </si>
  <si>
    <t>RDMS SQL VERSION W/ POS HARDWARES</t>
  </si>
  <si>
    <t>SI 5043</t>
  </si>
  <si>
    <t>MASTER SIOMAI FOOD CHOICES TRINOMA-009</t>
  </si>
  <si>
    <t>EOS MINI CPU I5 W/ PERIPHERALS</t>
  </si>
  <si>
    <t>SHIN CLARA FOOD CORP.- MARKET MARKET -010</t>
  </si>
  <si>
    <t>MODIFICATION FEE</t>
  </si>
  <si>
    <t>PAOTSIN ERMITA -012</t>
  </si>
  <si>
    <t xml:space="preserve">POWER SUPPLY </t>
  </si>
  <si>
    <t>SI 5047</t>
  </si>
  <si>
    <t>TS CERES SQL VERSION W/ BIR REGISTRATION FEE</t>
  </si>
  <si>
    <t>SI 5037</t>
  </si>
  <si>
    <t>EVER DELIGHT  - SM LA UNION-013</t>
  </si>
  <si>
    <t>SI 5051</t>
  </si>
  <si>
    <t>HUZZAH INC-011</t>
  </si>
  <si>
    <t>SI 5055</t>
  </si>
  <si>
    <t>6 PREVENTIVE MAINTENANCE FEE</t>
  </si>
  <si>
    <t>HEALTHY SHABU SHABU( ROCKWELL, ATC, PODIUM, ROBINSONS ERMITA, EDSA SHANGRILA, SM AURA)-012</t>
  </si>
  <si>
    <t>20 PREVENTIVE MAINTENANCE FEE</t>
  </si>
  <si>
    <t>THE ECO SHIFT ATC-004</t>
  </si>
  <si>
    <t>5 PCS THERMAL PAPER</t>
  </si>
  <si>
    <t>SI 5054</t>
  </si>
  <si>
    <t>KAJIKEN MAKATI-014</t>
  </si>
  <si>
    <t xml:space="preserve">BACCHUS SQL VERSION W/ POS HARDWARES </t>
  </si>
  <si>
    <t>Month of FEBRUARY 2026</t>
  </si>
  <si>
    <t>TEAMASTERS INC. - (SEASIDE CEBU, SM CEBU)-015</t>
  </si>
  <si>
    <t>METROMART VERMOSA -015</t>
  </si>
  <si>
    <t>4 PCS JOURNAL PAPER 1 PLY</t>
  </si>
  <si>
    <t>ROYALTEA PHILS INC.(GRAND CENTRAL )-017</t>
  </si>
  <si>
    <t>TEAMAKERS CORP.( SM PALAWAN, SM ILOILO, ROB. DASMA)-018</t>
  </si>
  <si>
    <t>3 PREVENTIVE MAINTENANCE FEE</t>
  </si>
  <si>
    <t>BLANC NUE GREENHILLS -020</t>
  </si>
  <si>
    <t xml:space="preserve">POS PERIPHERALS </t>
  </si>
  <si>
    <t xml:space="preserve">3 POSTECH TOUCHSCREEN MONITOR </t>
  </si>
  <si>
    <t>KITCHEN CITY -021</t>
  </si>
  <si>
    <t>ARTWORK INC ( HEAD OFFICE SERVER, ECOMMERCE SHOPPEE, ECOMMERCE LAZADA, SM BACOLOD, SM BAGUIO, SM CLARK, SM DASMARINAS, SM DAVAO, SM ILO ILO, SM LIPA, SM LUCENA, SM MARILAO, GLORIETTA 4, SM NORTH, MARKET 2X, RIVERBANKS KIOSK, AYALA CEBU FOR 3 MONTHS, ARTWORK FESTIVAL MALL, BURRP FESTIVAL, SM VALENZUELA)- 013</t>
  </si>
  <si>
    <t>M&amp;W TOWNSTORES INC. -022</t>
  </si>
  <si>
    <t>3 POSEIDON PSD86 SCANNER</t>
  </si>
  <si>
    <t>JSFI CHICKEN BACOLOD NORTH EXCHANGE-016</t>
  </si>
  <si>
    <t>CASH DRAWER</t>
  </si>
  <si>
    <t>KARYL TOY STORE (SHOP4FUN) AYALA MALLS MANILA BAY-005</t>
  </si>
  <si>
    <t>SI 5063</t>
  </si>
  <si>
    <t>SI 5060</t>
  </si>
  <si>
    <t>SI 5061</t>
  </si>
  <si>
    <t>SI 5062</t>
  </si>
  <si>
    <t>SI 5067</t>
  </si>
  <si>
    <t>SYL26-0002</t>
  </si>
  <si>
    <t>SI 5057</t>
  </si>
  <si>
    <t>Svl 0346</t>
  </si>
  <si>
    <t>SI 5052</t>
  </si>
  <si>
    <t>SI 5033</t>
  </si>
  <si>
    <t>PAOTSIN NOVALICHES-023</t>
  </si>
  <si>
    <t xml:space="preserve">PRINTER PARTS </t>
  </si>
  <si>
    <t>SI 5064</t>
  </si>
  <si>
    <t>LALA'S RESTAURANT QUEZON CITY-017</t>
  </si>
  <si>
    <t>EPSON TMU220IID LAN, TMU220D USB PRINTER</t>
  </si>
  <si>
    <t>QUEENS AT BOLLYWOOD -018</t>
  </si>
  <si>
    <t>5 PCS EPSON ERC RIBBON</t>
  </si>
  <si>
    <t>SI 5068</t>
  </si>
  <si>
    <t>Svl 0340</t>
  </si>
  <si>
    <t>SI 5070</t>
  </si>
  <si>
    <r>
      <t xml:space="preserve">ROYALTEA PHILS (SM NOVALICHES </t>
    </r>
    <r>
      <rPr>
        <b/>
        <sz val="11"/>
        <color rgb="FFFF0000"/>
        <rFont val="Calibri"/>
        <family val="2"/>
        <scheme val="minor"/>
      </rPr>
      <t>-CLOSE</t>
    </r>
    <r>
      <rPr>
        <sz val="11"/>
        <color theme="1"/>
        <rFont val="Calibri"/>
        <family val="2"/>
        <scheme val="minor"/>
      </rPr>
      <t>, SM FAIRIVIEW T2 )-004</t>
    </r>
  </si>
  <si>
    <t>DANIELITO'S HOME KITCHEN -019</t>
  </si>
  <si>
    <t>SI 5074</t>
  </si>
  <si>
    <t>ARKEN MAKATI CIRCUIT -020</t>
  </si>
  <si>
    <t>IMIN D2 POWER ADAPTOR</t>
  </si>
  <si>
    <t>SI 5082</t>
  </si>
  <si>
    <t>MELOS SOUTH TRIANGLE Q.C -021</t>
  </si>
  <si>
    <t>DESKTOP PC I5 W/ PERIPHERALS</t>
  </si>
  <si>
    <t>SI 5086</t>
  </si>
  <si>
    <t>JICATA ENTERPRISES -JO FRANGO MARQUEE MALL -022</t>
  </si>
  <si>
    <t>PRINTER HEAD , PRINTER CABLE</t>
  </si>
  <si>
    <t>SI 5088</t>
  </si>
  <si>
    <t>HUZZAH INC -023</t>
  </si>
  <si>
    <t>SI 5089</t>
  </si>
  <si>
    <r>
      <t>IDEAL BREAD &amp; TEA (</t>
    </r>
    <r>
      <rPr>
        <b/>
        <sz val="10"/>
        <color rgb="FF00B050"/>
        <rFont val="Calibri Light"/>
        <family val="2"/>
        <scheme val="major"/>
      </rPr>
      <t>MARKET 2X-CANCEL</t>
    </r>
    <r>
      <rPr>
        <sz val="10"/>
        <rFont val="Calibri Light"/>
        <family val="2"/>
        <scheme val="major"/>
      </rPr>
      <t>, URDANETA MAGIC MALL )-016</t>
    </r>
  </si>
  <si>
    <t>BACCHUS ANDROID SQL VERSION W/ POS HARDWARES</t>
  </si>
  <si>
    <t>LIAMS BEACH CAFÉ - PALAWAN -025</t>
  </si>
  <si>
    <t>ISSY &amp; CO SM BACOLOD -026</t>
  </si>
  <si>
    <t>SI 5079</t>
  </si>
  <si>
    <t>M&amp;W TOWNSTORES INC.- STA CRUZ -027</t>
  </si>
  <si>
    <t>M&amp;W TOWNSTORES INC STA. CRUZ-028</t>
  </si>
  <si>
    <t>MN+LA APPAREL ONE AYALA -029</t>
  </si>
  <si>
    <t>SI 5081</t>
  </si>
  <si>
    <t>LRC-LUXASIA (SHISEIDO SM MEGAMALL, BENEFIT SM MEGAMALL, DIOR THE PODIUM, DIOR SM MALL OF ASIA, DIOR SM AURA PREMIER, SHISEIDO ROCKWELL, SHISEIDO EASTWOOD MALL, AVEDA GREENBELT 5 )-006</t>
  </si>
  <si>
    <t>AQUAFLASK  UPTOWN MALL -006</t>
  </si>
  <si>
    <t>SI 5072</t>
  </si>
  <si>
    <t>TIONG BAHRU ESTANCIAL MALL-007</t>
  </si>
  <si>
    <t>PRINTER HEAD AND PRINTER CABLE</t>
  </si>
  <si>
    <t>SI 5073</t>
  </si>
  <si>
    <t>FLEXISPOT PH AYALA MALLS MANILA BAY -008</t>
  </si>
  <si>
    <t>SI 5087</t>
  </si>
  <si>
    <t>SI 5080</t>
  </si>
  <si>
    <t>SI 5053</t>
  </si>
  <si>
    <t>NEXSCENTS HOME CARE PRODUCTS SM MOA-024</t>
  </si>
  <si>
    <t>POTATO GIANT SM CABANATUAN -025</t>
  </si>
  <si>
    <t>EOS MINI PC I5 W/ PERIPHERALS</t>
  </si>
  <si>
    <t>SI 5091</t>
  </si>
  <si>
    <t>GONGCHA PHILS HEAD OFFICE-030</t>
  </si>
  <si>
    <t>MODIFICATION</t>
  </si>
  <si>
    <t>SI 5094</t>
  </si>
  <si>
    <t>Svl 0369</t>
  </si>
  <si>
    <t>KARIMADON CORP- HEAD OFFICE -031</t>
  </si>
  <si>
    <t xml:space="preserve">GODEX EZ120 BARCODE PRINTER </t>
  </si>
  <si>
    <t>UNIMEDS DRUGSTORE OPC -009</t>
  </si>
  <si>
    <t>6 RDMS SQL VERSION W/ BIR REGISTRATION FEE AND ORDERING STATION</t>
  </si>
  <si>
    <t>SI 5098</t>
  </si>
  <si>
    <t>Svl 0360</t>
  </si>
  <si>
    <t>Svl 0361</t>
  </si>
  <si>
    <t>Svl 0362</t>
  </si>
  <si>
    <t>Svl 0363</t>
  </si>
  <si>
    <t>Svl 0364</t>
  </si>
  <si>
    <t>EVER DELIGHT - VIRAC CATANDUANES-032</t>
  </si>
  <si>
    <t xml:space="preserve">2 BOX JOURNAL PAPER 1 PLY, 2 BOX THERMAL PAPER </t>
  </si>
  <si>
    <t>OJO EYEWEAR &amp; SERVICES INC- HEAD OFFICE-033</t>
  </si>
  <si>
    <t>JASMINE BLOOM TEA INC. - SERENITEA (SOUTHWOODS, SOLENAD 3 NUVALI, SM STA. ROSA )-026</t>
  </si>
  <si>
    <t>DRAGONWELL TEA INC. - SERENITEA (SM BICUTAN, METRO GAISANO, SMDC GREEN 2 RESIDENCES)-027</t>
  </si>
  <si>
    <t>ALI SHAN TEA CORP. - SERENITEA ( BF HOMES , SERIN TAGAYTAY)-028</t>
  </si>
  <si>
    <t>Svl 0373, Svl 0374</t>
  </si>
  <si>
    <t>Svl 0370, Svl 0371, Svl 0372</t>
  </si>
  <si>
    <t>SI 5099</t>
  </si>
  <si>
    <t>YASUO RESTAURANT - ROB. PLACE MANILA -029</t>
  </si>
  <si>
    <t xml:space="preserve">EPSON TMU220IID LAN PRINTER </t>
  </si>
  <si>
    <t>SI 5102</t>
  </si>
  <si>
    <t>TEAMASTERS INC. (KCC ZAMBOANGA, RP VALENCIA, ROB. MAGNOLIA)-034</t>
  </si>
  <si>
    <t>TEAHUB CORP. (SM TUGUEGARAO, ROB. ROXAS, ROB. GEN TRIAS)-035</t>
  </si>
  <si>
    <t>GONG CHA PHILS. (AYALA MARIKINA )-037</t>
  </si>
  <si>
    <t>TEAMAKERS CORP. (SM MARILAO, SM BATANGAS, SM DASMA, VICTORY MALL PASAY )-038</t>
  </si>
  <si>
    <t>4 PREVENTIVE MAINTENANCE FEE</t>
  </si>
  <si>
    <t>UNAROSA ATC -039</t>
  </si>
  <si>
    <t xml:space="preserve">PREVENTIVE MAINTENANCE FEE/ SATA SSD, WINDOWS 11 PRO, BIR REG </t>
  </si>
  <si>
    <t>UNAROSA SM FAIRVIEW -040</t>
  </si>
  <si>
    <t>PREVENTIVE MAINTENANCE FEE/ BEELINK PC AND BIR REG.</t>
  </si>
  <si>
    <t>UNAROSA SM SAN LAZARO -041</t>
  </si>
  <si>
    <t>UNAROSA HEAD OFFICE -042</t>
  </si>
  <si>
    <t>INTEL CORE I5 W/ WINDOWS 11 AND PREVENTIVE MAINTENANCE FEE</t>
  </si>
  <si>
    <t>SI 5101</t>
  </si>
  <si>
    <t>UNIMEDS DRUGSTORE OPC SORSOGON-010</t>
  </si>
  <si>
    <t>SI 5104</t>
  </si>
  <si>
    <t>SI 5095</t>
  </si>
  <si>
    <t>SI 5096</t>
  </si>
  <si>
    <t>SUNNY DELIGHT INC.- METROPLAZA VICAS CALOOCAN -014</t>
  </si>
  <si>
    <t>SI 5097</t>
  </si>
  <si>
    <r>
      <t xml:space="preserve">IDEAL BREAD &amp; TEA CORP. (TECHNOPOINT- </t>
    </r>
    <r>
      <rPr>
        <b/>
        <sz val="10"/>
        <color rgb="FFFF0000"/>
        <rFont val="Calibri Light"/>
        <family val="2"/>
        <scheme val="major"/>
      </rPr>
      <t>CLOSED</t>
    </r>
    <r>
      <rPr>
        <sz val="10"/>
        <rFont val="Calibri Light"/>
        <family val="2"/>
        <scheme val="major"/>
      </rPr>
      <t xml:space="preserve"> , VISTA MALL TAGUIG)-036</t>
    </r>
  </si>
  <si>
    <t>SI 5106</t>
  </si>
  <si>
    <t>GENMAICHA TEA CORP.- SERENITEA GREENFIELD -030</t>
  </si>
  <si>
    <t>DILLINGER GREENBELT 3 -031</t>
  </si>
  <si>
    <t>MY HAPPY HOME GREENHILLS -032</t>
  </si>
  <si>
    <t>GODEX EZ120 203DPI PRINTER HEAD</t>
  </si>
  <si>
    <t>M&amp;W TOWNSTORES -HEAD OFFICE -019</t>
  </si>
  <si>
    <t>EPSON TMU220IIB USB PRINTER</t>
  </si>
  <si>
    <t>SI 5108</t>
  </si>
  <si>
    <t>4 EPSON TMU220IIB , 4 CASH DRAWER, 5 POSEIDON PSD86 SCANNER</t>
  </si>
  <si>
    <t>POTATO GIANT SM DASMARINAS -033</t>
  </si>
  <si>
    <t>EOS HUNTKEY POWER ADAPTOR</t>
  </si>
  <si>
    <t>SI 5110</t>
  </si>
  <si>
    <t>Svl 0386</t>
  </si>
  <si>
    <t>Svl 0387</t>
  </si>
  <si>
    <t>Svl 0388</t>
  </si>
  <si>
    <t>Svl 0389</t>
  </si>
  <si>
    <t>SI 5111</t>
  </si>
  <si>
    <t>SI 5107</t>
  </si>
  <si>
    <t>KANZEN SUSHI - SM MASINAG-043</t>
  </si>
  <si>
    <t>1 BOX JOURNAL PAPER 1 PLY</t>
  </si>
  <si>
    <t>SI 5112</t>
  </si>
  <si>
    <t>LIAM'S LOMI HOUSE LIPA-044</t>
  </si>
  <si>
    <t xml:space="preserve">EPSON TM- T82X LAN PRINTER </t>
  </si>
  <si>
    <t>SI 5113</t>
  </si>
  <si>
    <t>CHOW UNLIMITED CORP. -045</t>
  </si>
  <si>
    <t>TS CERES ANDROID SQL VERSION W/ POS HARDWARES</t>
  </si>
  <si>
    <t xml:space="preserve">1 BOX THERMAL PAPER, JOURNAL PAPER 1 PLY, 30 PCS ERC RIBBON </t>
  </si>
  <si>
    <t>PROSHOP EASTWOOD -047</t>
  </si>
  <si>
    <t xml:space="preserve">RDMS LITE SQL VERSION W/ POS PERIPHERALS </t>
  </si>
  <si>
    <t>HUZZAH INC. -034</t>
  </si>
  <si>
    <t>SI 5119</t>
  </si>
  <si>
    <t>Svl 0395</t>
  </si>
  <si>
    <t>Svl 0396</t>
  </si>
  <si>
    <t>Svl 0397</t>
  </si>
  <si>
    <t>Svl 0398</t>
  </si>
  <si>
    <t>SI 5103</t>
  </si>
  <si>
    <t>SI 5120</t>
  </si>
  <si>
    <t>SI 5117</t>
  </si>
  <si>
    <t>SI 5122</t>
  </si>
  <si>
    <t>LIAM'S LOMI HOUSE LIPA-048</t>
  </si>
  <si>
    <t xml:space="preserve">VMAX DUAL DISPLAY PD970-1 AND PRINTER HEAD W/ CABLE FOR T82X LAN </t>
  </si>
  <si>
    <t>SI 5121</t>
  </si>
  <si>
    <t>MN+LA APPAREL SM NORTH-049</t>
  </si>
  <si>
    <t>PRINTER HEAD, PRINTER GEAR, PRINTER CABLE</t>
  </si>
  <si>
    <t>SI 5125</t>
  </si>
  <si>
    <t>PAOTSIN R.P TRIAS-050</t>
  </si>
  <si>
    <t>POWER SUPPLY</t>
  </si>
  <si>
    <t>SI 5124</t>
  </si>
  <si>
    <t>SI 5123</t>
  </si>
  <si>
    <t>CHARLIES RESTAURANT PALAWAN -046</t>
  </si>
  <si>
    <t>Svl 0401</t>
  </si>
  <si>
    <t>CHARLIES RESTAURANT - PALAWAN-024</t>
  </si>
  <si>
    <t>MAMOU SERENDRA-035</t>
  </si>
  <si>
    <t>SI 5129</t>
  </si>
  <si>
    <t>ROCKWELL LAND CORPORATION -036</t>
  </si>
  <si>
    <t>2 EPSON TMU220IIB USB PRINTER, 2 POSTECH TOUCHSCREEN MONITOR</t>
  </si>
  <si>
    <t>HEALTHY SHABU SHABU ROB. MANILA-037</t>
  </si>
  <si>
    <t>POSTECH ADAPTOR WITH CORD</t>
  </si>
  <si>
    <t>SI 5132</t>
  </si>
  <si>
    <t>CINNABON SM SEASIDE CEBU -038</t>
  </si>
  <si>
    <t>EPSON TMU220D USB PRINTER</t>
  </si>
  <si>
    <t>CINNABON SM SEASIDE CEBU -039</t>
  </si>
  <si>
    <t xml:space="preserve">5 PCS PRINTER HEAD </t>
  </si>
  <si>
    <t>SI 5130</t>
  </si>
  <si>
    <t>MAXIWORKS ROCKWELL POWERPLANT -011</t>
  </si>
  <si>
    <t>PREVENTIVE MAINTENANCE W/ KASPERSKY ANTI VIRUS</t>
  </si>
  <si>
    <t>Svl 0404</t>
  </si>
  <si>
    <t>DERMA 360 ROCKWELL POWERPLANT -012</t>
  </si>
  <si>
    <t xml:space="preserve">PREVENTIVE MAINTENANCE W/ POS PERIPHERALS </t>
  </si>
  <si>
    <t>SI 5134/ Svl 0406</t>
  </si>
  <si>
    <t>Month of APRIL 2026</t>
  </si>
  <si>
    <t>Month of MARCH 2026</t>
  </si>
  <si>
    <t xml:space="preserve">4 RDMS LITE SQL VERSION W/ POS HARDWARES </t>
  </si>
  <si>
    <t>PREVENTIVE MAINTENANCE FEE W/ BEELINK MINI PC</t>
  </si>
  <si>
    <t>UNAROSA SM MEGAMALL -052</t>
  </si>
  <si>
    <t>UNAROSA SANGRILA-053</t>
  </si>
  <si>
    <t xml:space="preserve">PREVENTIVE MAINTENANCE FEE W/ POS PERIPHERALS </t>
  </si>
  <si>
    <t>PAOTSIN CHERRY SHAW-054</t>
  </si>
  <si>
    <t xml:space="preserve">EOS MINI PC W/ PERIPHERALS </t>
  </si>
  <si>
    <t>Svl 0332</t>
  </si>
  <si>
    <t>J&amp;G CHIX (ESTANCIA , AYALA BAY)-055</t>
  </si>
  <si>
    <t>DRAGON DYNASTEA (RP ORMOC)-056</t>
  </si>
  <si>
    <t>TEAMASTERS INC (GREENFIEL, PAGADIAN ZAMBOANGA, KCC COTABATO )-057</t>
  </si>
  <si>
    <t>TEAHUB CORP. (ROB. TACLOBAN, SM TACLOBAN, SM OLONGAPO, SM ROXAS)-058</t>
  </si>
  <si>
    <t>IDEAL BREAD &amp; TEA CORP. (FELIX, UPTOWN MALL )-059</t>
  </si>
  <si>
    <t>GONG CHA PHILS (VICTORY DEL MONTE BULACAN )-060</t>
  </si>
  <si>
    <t>PARTIAL</t>
  </si>
  <si>
    <t>UNPAID</t>
  </si>
  <si>
    <t>SI 5138</t>
  </si>
  <si>
    <t>SALE ORDER</t>
  </si>
  <si>
    <t>Svl 0403</t>
  </si>
  <si>
    <t>PANDE MANILA- MEGA GOLDTOWN PAN INC. (AMIGO, BANILAD, ROCKWELL ORTIGAS 2, KASAMBAGAN, LABANGON CASA MIRA TOWER, NAGA CEBU, PASEO ARCENES, ISLAND CENTRAL MACTAN, MINGLANILLA, SOHO MALL, AYALA MALLS CENTRAL BLOC CEBU, LG GARDEN WALK, MARINA MALL)- 040</t>
  </si>
  <si>
    <t>13 PREVENTIVE MAINTENANCE FEE</t>
  </si>
  <si>
    <t>PANDE MANILA- GOLDEN PAN DE SAL INC . (MASINAG, ANTIPOLO YNARES, STA LUCIA EAST GRAND MALL, DASMARINAS CAVITE, TRAMO, MALATE, MARIKINA BAYAN - BAYANAN , BLUE WAVE MARQUINTON, PTT MCARTHUR, NORTHWALK SAN FERNANDO, EL GRANDE AVE., BICUTAN, PRINCETON, FAIRVIEW , TAYTAY)-041</t>
  </si>
  <si>
    <t>15 PREVENTIVE MAINTENANCE FEE</t>
  </si>
  <si>
    <t>Svl 0400</t>
  </si>
  <si>
    <t>PANDE MANILA - PAN DE MANILA FOOD CO. INC. (SOUTH SUPERMARKET BATANGAS, TWO ECOM, BATANGAS ILAYA, ROBINSONS LIPA, SM BATANGAS 1- TS, SM BATANGAS 1- BACCHUS, MOLINO TOWN CENTER, ROBINSONS IMUS, SM MOLINO, DAGUPAN LUCAO 2 , 810 BUILDING , GREENFIELD PASEO 1 , ARCADE LAS PINAS, SM CENTER PULILAN, UPTOWN BGC, CALIFORNIA GARDEN, ASIAN MANSION 1, AVIDA ASTEN MAKATI, SAN LORENZO, PLACE MALL, LIPA CATHEDRAL, EAST BAY RESIDENCES , WALTERMART GAPAN, MC-ATHUR PAMPANGA, SM ROSALES, AVIDA TAFF, FARMERS PLAZA, KAMUNING EDSA, KALAYAAN, LIBIS E. RODRIGUEZ, STARMALL EDSA, PRIMARK TAGAYTAY, GRANADA, SAN BEDA, SM FAIRVIEW TEACHERS VILLAGE, TIMOG, TAYTAY 2ND GREENHILLS , SAN JUAN, ROCKWELL STP, AVIDA CITYFLEX , MCKINLEY PARK RESIDENCES , FOUR ECOM-TS, SM URDANETA, FOUR ECOM - BACCHUS, ALI MALL , EVER SUCAT, WALTWERMART STA MARIA, WALTERMART MUNOZ, PAVILLION MALL)-042</t>
  </si>
  <si>
    <t>51 PREVENTIVE MAINTENANCE FEE</t>
  </si>
  <si>
    <t>RDMS SQL VERSION 5.0</t>
  </si>
  <si>
    <t>SI 5146</t>
  </si>
  <si>
    <t>SIGNA DRUGSTORE ALABANG MUNTINLUPA-043</t>
  </si>
  <si>
    <t>M&amp;W HEAD OFFICE -061</t>
  </si>
  <si>
    <t>MN+LA APPAREL SM NORTH -062</t>
  </si>
  <si>
    <t xml:space="preserve">EPSON TMU220D USN PRINTER </t>
  </si>
  <si>
    <t>SI 5145</t>
  </si>
  <si>
    <t>DR. KONG NUVALI-013</t>
  </si>
  <si>
    <t xml:space="preserve">EPSON TMU220D USB PRINTER </t>
  </si>
  <si>
    <t>SI 5150</t>
  </si>
  <si>
    <t>RAJO ROCKWELL -014</t>
  </si>
  <si>
    <t>KASPERSKY ANTI VIRUS</t>
  </si>
  <si>
    <t>SI 5141</t>
  </si>
  <si>
    <t>CHU CHU BEAUTY AYALA MALLS CAPITOL CENTRAL BACOLOD -015</t>
  </si>
  <si>
    <t>RDMS SQL VERSION W/ BIR REGISTRATION FEE</t>
  </si>
  <si>
    <t>CHU CHU BEAUTY AYALA MALLS MANILA BAY -016</t>
  </si>
  <si>
    <t>TANTEASE POWERPLANT MALL ROCKWELL -017</t>
  </si>
  <si>
    <t>SI 5144</t>
  </si>
  <si>
    <t>SI 5136</t>
  </si>
  <si>
    <t>SI 5135</t>
  </si>
  <si>
    <t>SI 5127</t>
  </si>
  <si>
    <t>Svl 0408</t>
  </si>
  <si>
    <t>COOP OCEAN VIEW RESORT - POBLACION ANTIQUE-044</t>
  </si>
  <si>
    <t>HUZZAH INC. -045</t>
  </si>
  <si>
    <t>OJO EYEWEAR -063</t>
  </si>
  <si>
    <t xml:space="preserve">2 BOX JOURNAL PAPER 1 PLY , 2 BOX THERMAL PAPER </t>
  </si>
  <si>
    <t>WHISENHUNT ROCKWELL -018</t>
  </si>
  <si>
    <t>COMME CI ROCKWELL -019</t>
  </si>
  <si>
    <t>Svl 0375, Svl 0376</t>
  </si>
  <si>
    <t>SI 5128</t>
  </si>
  <si>
    <t>Svl 0420, Svl 0421, Svl 0422</t>
  </si>
  <si>
    <t>Svl 0423, Svl 0424, Svl 0425</t>
  </si>
  <si>
    <t xml:space="preserve">Svl 0418, Svl 0419, </t>
  </si>
  <si>
    <t>SI 5151</t>
  </si>
  <si>
    <t>SI 5143</t>
  </si>
  <si>
    <t>+</t>
  </si>
  <si>
    <t>UNAROSA SM CDO -051</t>
  </si>
  <si>
    <t>SI 5131</t>
  </si>
  <si>
    <t>SI 5090/ SI 5133/ SI 5155</t>
  </si>
  <si>
    <t>MAMOU ATC -046</t>
  </si>
  <si>
    <t xml:space="preserve">PREVENTIVE MAINTENANCE FEE W/ KASPERSKY ANTI VIRUS </t>
  </si>
  <si>
    <t>Svl 0428</t>
  </si>
  <si>
    <t>ELEMIE NATURALS INC. - POWERPLANT MALL ROCKWELL-047</t>
  </si>
  <si>
    <t>BARBAZA PHARMACY - GEN LUNA ANTIQUE- 048</t>
  </si>
  <si>
    <t>SOFTWARE UPGRADE ( RDMS ) W/ BIR FEE</t>
  </si>
  <si>
    <t>REYES BARBECUE SAN JUAN-049</t>
  </si>
  <si>
    <t>INST. OF CULINARY MNGT- U.N.MLA.-064</t>
  </si>
  <si>
    <t>TEAMAKERS CORP-(SM BAGUIO )-065</t>
  </si>
  <si>
    <t>Svl 0432</t>
  </si>
  <si>
    <t>SI 5152</t>
  </si>
  <si>
    <t>Svl 0430, Svl 0431, Svl 0434</t>
  </si>
  <si>
    <t>SI 5149</t>
  </si>
  <si>
    <t>Svl 0427</t>
  </si>
  <si>
    <t>Svl 0426</t>
  </si>
  <si>
    <t>Month of MAY 2026</t>
  </si>
  <si>
    <t>HUZZAH INC. - 050</t>
  </si>
  <si>
    <t>SI 5158</t>
  </si>
  <si>
    <t>WHALECOM SSD 512GB</t>
  </si>
  <si>
    <t>DRAGON DYNASTEA (ROB. NAGA CAMARINES )-067</t>
  </si>
  <si>
    <t xml:space="preserve">PREVENTIVE MAINTENANCE FEE </t>
  </si>
  <si>
    <t>TEAMASTERS INC.  (KCC GENSAN)-068</t>
  </si>
  <si>
    <t>TEAHUB CORP. (BOHOL, ALTURAS)-069</t>
  </si>
  <si>
    <t>IDEAL BREAD &amp; TEA CORP. (SM BATAAN)-070</t>
  </si>
  <si>
    <t>EVER DELIGHT CORP. (WALTERMART ARAYAT PANIQUI-071</t>
  </si>
  <si>
    <t>STATEMENT THEORY ROCKWELL- 020</t>
  </si>
  <si>
    <t>ROSANNA OCAMPO ROCKWELL POWERPLANT -021</t>
  </si>
  <si>
    <t>Svl 0442</t>
  </si>
  <si>
    <t>SI 5159</t>
  </si>
  <si>
    <t>WORLD CHIX TRINOMA-072</t>
  </si>
  <si>
    <t>M&amp;W TOWNSTORE - HEAD OFFICE -073</t>
  </si>
  <si>
    <t xml:space="preserve">4 LCD MONITOR 11" , ADJUSTABLE STAND , USB CABLE , MINI HDMI CABLE </t>
  </si>
  <si>
    <t>EVER DELIGHT CORP. MARKET MARKET -074</t>
  </si>
  <si>
    <t>ANSON SHOE PLAZA - EVER COMMONWELTH -022</t>
  </si>
  <si>
    <t xml:space="preserve">SOFTWARE UPGRADE W/ POS HARDWARES </t>
  </si>
  <si>
    <t>KARIMADON SM CEBU-075</t>
  </si>
  <si>
    <t xml:space="preserve">RDMS SQL VERSION W/ POS HARDWARES </t>
  </si>
  <si>
    <t>OJO EYEWEAR METROPOINT -076</t>
  </si>
  <si>
    <t>WORLD CHIX GLORIETTA-077</t>
  </si>
  <si>
    <t>SI 5160</t>
  </si>
  <si>
    <t>SI 5157</t>
  </si>
  <si>
    <t>SI 5164</t>
  </si>
  <si>
    <t>SI 5162</t>
  </si>
  <si>
    <t>SI 5161</t>
  </si>
  <si>
    <t>COLDSTONE (SOLENAD 3, SERENDRA, MARQUEE MALL)-051</t>
  </si>
  <si>
    <t>Svl 0446</t>
  </si>
  <si>
    <t>QUEENS AT BOLLYWOOD-052</t>
  </si>
  <si>
    <t>4 PCS EPSON ERC RIBBON</t>
  </si>
  <si>
    <t>SI 5165</t>
  </si>
  <si>
    <t>BARISTART COFFEE CAFÉ - BGC-053</t>
  </si>
  <si>
    <t>BACOLOD CHICKEN MOA -054</t>
  </si>
  <si>
    <t>EOS FAN WITH COVER</t>
  </si>
  <si>
    <t>SI 5163</t>
  </si>
  <si>
    <t>WORLD CHIX GLORIETTA-078</t>
  </si>
  <si>
    <t>HOMIE PET - MINDORO-055</t>
  </si>
  <si>
    <t xml:space="preserve">5 BOX THERMAL PAPER </t>
  </si>
  <si>
    <t>Svl 0441</t>
  </si>
  <si>
    <t>RAJO ROCKWELL -023</t>
  </si>
  <si>
    <t>Svl 0450</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</si>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</sst>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mmm\-dd"/>
  </numFmts>
  <fonts count="16" x14ac:knownFonts="1">
    <font>
      <sz val="11"/>
      <color theme="1"/>
      <name val="Calibri"/>
      <family val="2"/>
      <scheme val="minor"/>
    </font>
    <font>
      <b/>
      <sz val="11"/>
      <color theme="1"/>
      <name val="Calibri"/>
      <family val="2"/>
      <scheme val="minor"/>
    </font>
    <font>
      <sz val="10"/>
      <name val="Arial"/>
      <family val="2"/>
    </font>
    <font>
      <b/>
      <sz val="10"/>
      <name val="Tahoma"/>
      <family val="2"/>
      <charset val="1"/>
    </font>
    <font>
      <b/>
      <sz val="10"/>
      <color rgb="FFFF0000"/>
      <name val="Tahoma"/>
      <family val="2"/>
      <charset val="1"/>
    </font>
    <font>
      <b/>
      <sz val="11"/>
      <color rgb="FFFF0000"/>
      <name val="Calibri"/>
      <family val="2"/>
      <scheme val="minor"/>
    </font>
    <font>
      <b/>
      <sz val="10"/>
      <name val="Calibri"/>
      <family val="2"/>
    </font>
    <font>
      <sz val="10"/>
      <color theme="1"/>
      <name val="Calibri"/>
      <family val="2"/>
    </font>
    <font>
      <sz val="10"/>
      <name val="Calibri"/>
      <family val="2"/>
      <scheme val="minor"/>
    </font>
    <font>
      <b/>
      <sz val="10"/>
      <color rgb="FFFF0000"/>
      <name val="Calibri Light"/>
      <family val="2"/>
      <scheme val="major"/>
    </font>
    <font>
      <sz val="10"/>
      <color theme="1"/>
      <name val="Calibri Light"/>
      <family val="2"/>
      <scheme val="major"/>
    </font>
    <font>
      <b/>
      <sz val="10"/>
      <color theme="1"/>
      <name val="Tahoma"/>
      <family val="2"/>
    </font>
    <font>
      <sz val="11"/>
      <name val="Calibri"/>
      <family val="2"/>
      <scheme val="minor"/>
    </font>
    <font>
      <sz val="10"/>
      <name val="Calibri Light"/>
      <family val="2"/>
      <scheme val="major"/>
    </font>
    <font>
      <b/>
      <sz val="10"/>
      <color rgb="FF00B050"/>
      <name val="Calibri Light"/>
      <family val="2"/>
      <scheme val="major"/>
    </font>
    <font>
      <b/>
      <sz val="10"/>
      <color rgb="FF0070C0"/>
      <name val="Calibri Light"/>
      <family val="2"/>
      <scheme val="major"/>
    </font>
  </fonts>
  <fills count="11">
    <fill>
      <patternFill patternType="none"/>
    </fill>
    <fill>
      <patternFill patternType="gray125"/>
    </fill>
    <fill>
      <patternFill patternType="solid">
        <fgColor theme="0"/>
        <bgColor indexed="64"/>
      </patternFill>
    </fill>
    <fill>
      <patternFill patternType="solid">
        <fgColor theme="8" tint="0.39997558519241921"/>
        <bgColor indexed="64"/>
      </patternFill>
    </fill>
    <fill>
      <patternFill patternType="solid">
        <fgColor rgb="FF92D050"/>
        <bgColor indexed="64"/>
      </patternFill>
    </fill>
    <fill>
      <patternFill patternType="solid">
        <fgColor theme="0"/>
        <bgColor indexed="26"/>
      </patternFill>
    </fill>
    <fill>
      <patternFill patternType="solid">
        <fgColor rgb="FFFF0000"/>
        <bgColor indexed="64"/>
      </patternFill>
    </fill>
    <fill>
      <patternFill patternType="solid">
        <fgColor rgb="FFFFFF00"/>
        <bgColor indexed="64"/>
      </patternFill>
    </fill>
    <fill>
      <patternFill patternType="solid">
        <fgColor rgb="FFFFFF00"/>
        <bgColor indexed="22"/>
      </patternFill>
    </fill>
    <fill>
      <patternFill patternType="solid">
        <fgColor theme="5" tint="0.59999389629810485"/>
        <bgColor indexed="22"/>
      </patternFill>
    </fill>
    <fill>
      <patternFill patternType="solid">
        <fgColor theme="5" tint="0.59999389629810485"/>
        <bgColor indexed="64"/>
      </patternFill>
    </fill>
  </fills>
  <borders count="20">
    <border>
      <left/>
      <right/>
      <top/>
      <bottom/>
      <diagonal/>
    </border>
    <border>
      <left style="medium">
        <color indexed="64"/>
      </left>
      <right style="thin">
        <color indexed="8"/>
      </right>
      <top style="medium">
        <color indexed="64"/>
      </top>
      <bottom style="thin">
        <color indexed="8"/>
      </bottom>
      <diagonal/>
    </border>
    <border>
      <left style="thin">
        <color indexed="8"/>
      </left>
      <right style="thin">
        <color indexed="8"/>
      </right>
      <top style="medium">
        <color indexed="64"/>
      </top>
      <bottom style="thin">
        <color indexed="8"/>
      </bottom>
      <diagonal/>
    </border>
    <border>
      <left style="thin">
        <color indexed="8"/>
      </left>
      <right/>
      <top style="medium">
        <color indexed="64"/>
      </top>
      <bottom style="thin">
        <color indexed="8"/>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8"/>
      </right>
      <top style="medium">
        <color indexed="64"/>
      </top>
      <bottom style="thin">
        <color indexed="8"/>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8"/>
      </right>
      <top style="thin">
        <color indexed="8"/>
      </top>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top style="thin">
        <color indexed="8"/>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0" fontId="2" fillId="0" borderId="0"/>
  </cellStyleXfs>
  <cellXfs count="121">
    <xf numFmtId="0" fontId="0" fillId="0" borderId="0" xfId="0"/>
    <xf numFmtId="164" fontId="3" fillId="2" borderId="0" xfId="1" applyNumberFormat="1" applyFont="1" applyFill="1" applyAlignment="1">
      <alignment horizontal="left"/>
    </xf>
    <xf numFmtId="0" fontId="3" fillId="2" borderId="0" xfId="1" applyFont="1" applyFill="1"/>
    <xf numFmtId="0" fontId="3" fillId="2" borderId="0" xfId="1" applyFont="1" applyFill="1" applyAlignment="1">
      <alignment shrinkToFit="1"/>
    </xf>
    <xf numFmtId="43" fontId="3" fillId="2" borderId="0" xfId="1" applyNumberFormat="1" applyFont="1" applyFill="1" applyAlignment="1">
      <alignment horizontal="center"/>
    </xf>
    <xf numFmtId="4" fontId="3" fillId="2" borderId="0" xfId="1" applyNumberFormat="1" applyFont="1" applyFill="1" applyAlignment="1">
      <alignment horizontal="center"/>
    </xf>
    <xf numFmtId="0" fontId="4" fillId="2" borderId="0" xfId="1" applyFont="1" applyFill="1" applyAlignment="1">
      <alignment horizontal="center"/>
    </xf>
    <xf numFmtId="0" fontId="3" fillId="2" borderId="0" xfId="1" applyFont="1" applyFill="1" applyAlignment="1">
      <alignment horizontal="center"/>
    </xf>
    <xf numFmtId="0" fontId="0" fillId="2" borderId="0" xfId="0" applyFill="1"/>
    <xf numFmtId="164" fontId="3" fillId="3" borderId="0" xfId="1" applyNumberFormat="1" applyFont="1" applyFill="1" applyAlignment="1">
      <alignment horizontal="left"/>
    </xf>
    <xf numFmtId="43" fontId="0" fillId="2" borderId="0" xfId="0" applyNumberFormat="1" applyFill="1" applyAlignment="1">
      <alignment horizontal="center"/>
    </xf>
    <xf numFmtId="0" fontId="0" fillId="2" borderId="0" xfId="0" applyFill="1" applyAlignment="1">
      <alignment horizontal="center"/>
    </xf>
    <xf numFmtId="0" fontId="5" fillId="2" borderId="0" xfId="0" applyFont="1" applyFill="1" applyAlignment="1">
      <alignment horizontal="center"/>
    </xf>
    <xf numFmtId="164" fontId="6" fillId="5" borderId="17" xfId="1" applyNumberFormat="1" applyFont="1" applyFill="1" applyBorder="1" applyAlignment="1">
      <alignment horizontal="left"/>
    </xf>
    <xf numFmtId="0" fontId="0" fillId="0" borderId="17" xfId="0" applyBorder="1"/>
    <xf numFmtId="43" fontId="6" fillId="5" borderId="17" xfId="1" applyNumberFormat="1" applyFont="1" applyFill="1" applyBorder="1"/>
    <xf numFmtId="4" fontId="6" fillId="5" borderId="17" xfId="1" applyNumberFormat="1" applyFont="1" applyFill="1" applyBorder="1"/>
    <xf numFmtId="43" fontId="7" fillId="0" borderId="17" xfId="0" applyNumberFormat="1" applyFont="1" applyBorder="1"/>
    <xf numFmtId="164" fontId="8" fillId="0" borderId="17" xfId="1" applyNumberFormat="1" applyFont="1" applyBorder="1" applyAlignment="1">
      <alignment horizontal="left"/>
    </xf>
    <xf numFmtId="0" fontId="8" fillId="0" borderId="17" xfId="0" applyFont="1" applyBorder="1"/>
    <xf numFmtId="43" fontId="8" fillId="0" borderId="17" xfId="1" applyNumberFormat="1" applyFont="1" applyBorder="1"/>
    <xf numFmtId="4" fontId="8" fillId="0" borderId="17" xfId="1" applyNumberFormat="1" applyFont="1" applyBorder="1"/>
    <xf numFmtId="43" fontId="9" fillId="0" borderId="17" xfId="0" applyNumberFormat="1" applyFont="1" applyBorder="1" applyAlignment="1">
      <alignment horizontal="center"/>
    </xf>
    <xf numFmtId="43" fontId="8" fillId="0" borderId="17" xfId="0" applyNumberFormat="1" applyFont="1" applyBorder="1"/>
    <xf numFmtId="43" fontId="0" fillId="0" borderId="17" xfId="0" applyNumberFormat="1" applyBorder="1"/>
    <xf numFmtId="0" fontId="0" fillId="6" borderId="17" xfId="0" applyFill="1" applyBorder="1"/>
    <xf numFmtId="43" fontId="9" fillId="0" borderId="18" xfId="0" applyNumberFormat="1" applyFont="1" applyBorder="1" applyAlignment="1">
      <alignment horizontal="center"/>
    </xf>
    <xf numFmtId="0" fontId="0" fillId="0" borderId="18" xfId="0" applyBorder="1"/>
    <xf numFmtId="43" fontId="0" fillId="0" borderId="18" xfId="0" applyNumberFormat="1" applyBorder="1"/>
    <xf numFmtId="16" fontId="0" fillId="0" borderId="17" xfId="0" applyNumberFormat="1" applyBorder="1"/>
    <xf numFmtId="43" fontId="10" fillId="0" borderId="17" xfId="0" applyNumberFormat="1" applyFont="1" applyBorder="1" applyAlignment="1">
      <alignment horizontal="center"/>
    </xf>
    <xf numFmtId="43" fontId="10" fillId="0" borderId="18" xfId="0" applyNumberFormat="1" applyFont="1" applyBorder="1" applyAlignment="1">
      <alignment horizontal="center"/>
    </xf>
    <xf numFmtId="16" fontId="0" fillId="0" borderId="18" xfId="0" applyNumberFormat="1" applyBorder="1"/>
    <xf numFmtId="43" fontId="0" fillId="0" borderId="0" xfId="0" applyNumberFormat="1"/>
    <xf numFmtId="43" fontId="9" fillId="0" borderId="0" xfId="0" applyNumberFormat="1" applyFont="1" applyAlignment="1">
      <alignment horizontal="center"/>
    </xf>
    <xf numFmtId="0" fontId="3" fillId="3" borderId="14" xfId="1" applyFont="1" applyFill="1" applyBorder="1" applyAlignment="1">
      <alignment horizontal="center" vertical="center" wrapText="1"/>
    </xf>
    <xf numFmtId="0" fontId="3" fillId="3" borderId="15" xfId="1" applyFont="1" applyFill="1" applyBorder="1" applyAlignment="1">
      <alignment horizontal="center" vertical="center" wrapText="1"/>
    </xf>
    <xf numFmtId="0" fontId="0" fillId="4" borderId="0" xfId="0" applyFill="1"/>
    <xf numFmtId="164" fontId="3" fillId="8" borderId="1" xfId="1" applyNumberFormat="1" applyFont="1" applyFill="1" applyBorder="1" applyAlignment="1">
      <alignment horizontal="center" vertical="center" wrapText="1"/>
    </xf>
    <xf numFmtId="0" fontId="3" fillId="8" borderId="2" xfId="1" applyFont="1" applyFill="1" applyBorder="1" applyAlignment="1">
      <alignment horizontal="center" vertical="center" wrapText="1"/>
    </xf>
    <xf numFmtId="0" fontId="3" fillId="8" borderId="3" xfId="1" applyFont="1" applyFill="1" applyBorder="1" applyAlignment="1">
      <alignment horizontal="center" vertical="center" shrinkToFit="1"/>
    </xf>
    <xf numFmtId="43" fontId="3" fillId="8" borderId="4" xfId="1" applyNumberFormat="1" applyFont="1" applyFill="1" applyBorder="1" applyAlignment="1">
      <alignment horizontal="center" vertical="center" wrapText="1"/>
    </xf>
    <xf numFmtId="43" fontId="3" fillId="8" borderId="5" xfId="1" applyNumberFormat="1" applyFont="1" applyFill="1" applyBorder="1" applyAlignment="1">
      <alignment horizontal="center" vertical="center" wrapText="1"/>
    </xf>
    <xf numFmtId="4" fontId="3" fillId="8" borderId="6" xfId="1" applyNumberFormat="1" applyFont="1" applyFill="1" applyBorder="1" applyAlignment="1">
      <alignment horizontal="center" vertical="center" wrapText="1"/>
    </xf>
    <xf numFmtId="4" fontId="3" fillId="8" borderId="7" xfId="1" applyNumberFormat="1" applyFont="1" applyFill="1" applyBorder="1" applyAlignment="1">
      <alignment horizontal="center" vertical="center" wrapText="1"/>
    </xf>
    <xf numFmtId="0" fontId="4" fillId="8" borderId="3" xfId="1" applyFont="1" applyFill="1" applyBorder="1" applyAlignment="1">
      <alignment horizontal="center" vertical="center" wrapText="1"/>
    </xf>
    <xf numFmtId="0" fontId="3" fillId="7" borderId="8" xfId="1" applyFont="1" applyFill="1" applyBorder="1" applyAlignment="1">
      <alignment horizontal="center" vertical="center" wrapText="1"/>
    </xf>
    <xf numFmtId="0" fontId="0" fillId="7" borderId="9" xfId="0" applyFill="1" applyBorder="1"/>
    <xf numFmtId="0" fontId="11" fillId="0" borderId="0" xfId="0" applyFont="1"/>
    <xf numFmtId="164" fontId="8" fillId="0" borderId="18" xfId="1" applyNumberFormat="1" applyFont="1" applyBorder="1" applyAlignment="1">
      <alignment horizontal="left"/>
    </xf>
    <xf numFmtId="0" fontId="8" fillId="0" borderId="18" xfId="0" applyFont="1" applyBorder="1"/>
    <xf numFmtId="43" fontId="8" fillId="0" borderId="18" xfId="1" applyNumberFormat="1" applyFont="1" applyBorder="1"/>
    <xf numFmtId="4" fontId="8" fillId="0" borderId="18" xfId="1" applyNumberFormat="1" applyFont="1" applyBorder="1"/>
    <xf numFmtId="43" fontId="8" fillId="0" borderId="18" xfId="0" applyNumberFormat="1" applyFont="1" applyBorder="1"/>
    <xf numFmtId="43" fontId="10" fillId="0" borderId="17" xfId="0" applyNumberFormat="1" applyFont="1" applyBorder="1"/>
    <xf numFmtId="16" fontId="0" fillId="0" borderId="14" xfId="0" applyNumberFormat="1" applyBorder="1"/>
    <xf numFmtId="0" fontId="0" fillId="0" borderId="14" xfId="0" applyBorder="1"/>
    <xf numFmtId="43" fontId="0" fillId="0" borderId="14" xfId="0" applyNumberFormat="1" applyBorder="1"/>
    <xf numFmtId="43" fontId="10" fillId="0" borderId="14" xfId="0" applyNumberFormat="1" applyFont="1" applyBorder="1"/>
    <xf numFmtId="43" fontId="9" fillId="0" borderId="14" xfId="0" applyNumberFormat="1" applyFont="1" applyBorder="1" applyAlignment="1">
      <alignment horizontal="center"/>
    </xf>
    <xf numFmtId="43" fontId="10" fillId="0" borderId="14" xfId="0" applyNumberFormat="1" applyFont="1" applyBorder="1" applyAlignment="1">
      <alignment horizontal="center"/>
    </xf>
    <xf numFmtId="164" fontId="3" fillId="9" borderId="10" xfId="1" applyNumberFormat="1" applyFont="1" applyFill="1" applyBorder="1" applyAlignment="1">
      <alignment horizontal="center" vertical="center" wrapText="1"/>
    </xf>
    <xf numFmtId="0" fontId="3" fillId="9" borderId="11" xfId="1" applyFont="1" applyFill="1" applyBorder="1" applyAlignment="1">
      <alignment horizontal="center" vertical="center" wrapText="1"/>
    </xf>
    <xf numFmtId="0" fontId="3" fillId="9" borderId="11" xfId="1" applyFont="1" applyFill="1" applyBorder="1" applyAlignment="1">
      <alignment horizontal="center" vertical="center" shrinkToFit="1"/>
    </xf>
    <xf numFmtId="43" fontId="3" fillId="9" borderId="12" xfId="1" applyNumberFormat="1" applyFont="1" applyFill="1" applyBorder="1" applyAlignment="1">
      <alignment horizontal="center" vertical="center" wrapText="1"/>
    </xf>
    <xf numFmtId="4" fontId="3" fillId="9" borderId="12" xfId="1" applyNumberFormat="1" applyFont="1" applyFill="1" applyBorder="1" applyAlignment="1">
      <alignment horizontal="center" vertical="center" wrapText="1"/>
    </xf>
    <xf numFmtId="4" fontId="3" fillId="9" borderId="11" xfId="1" applyNumberFormat="1" applyFont="1" applyFill="1" applyBorder="1" applyAlignment="1">
      <alignment horizontal="center" vertical="center" wrapText="1"/>
    </xf>
    <xf numFmtId="0" fontId="4" fillId="9" borderId="13" xfId="1" applyFont="1" applyFill="1" applyBorder="1" applyAlignment="1">
      <alignment horizontal="center" vertical="center" wrapText="1"/>
    </xf>
    <xf numFmtId="0" fontId="1" fillId="10" borderId="16" xfId="0" applyFont="1" applyFill="1" applyBorder="1" applyAlignment="1">
      <alignment horizontal="center"/>
    </xf>
    <xf numFmtId="16" fontId="0" fillId="10" borderId="18" xfId="0" applyNumberFormat="1" applyFill="1" applyBorder="1"/>
    <xf numFmtId="0" fontId="0" fillId="10" borderId="18" xfId="0" applyFill="1" applyBorder="1"/>
    <xf numFmtId="43" fontId="0" fillId="10" borderId="18" xfId="0" applyNumberFormat="1" applyFill="1" applyBorder="1"/>
    <xf numFmtId="43" fontId="9" fillId="10" borderId="18" xfId="0" applyNumberFormat="1" applyFont="1" applyFill="1" applyBorder="1" applyAlignment="1">
      <alignment horizontal="center"/>
    </xf>
    <xf numFmtId="43" fontId="10" fillId="10" borderId="18" xfId="0" applyNumberFormat="1" applyFont="1" applyFill="1" applyBorder="1" applyAlignment="1">
      <alignment horizontal="center"/>
    </xf>
    <xf numFmtId="43" fontId="7" fillId="10" borderId="18" xfId="0" applyNumberFormat="1" applyFont="1" applyFill="1" applyBorder="1"/>
    <xf numFmtId="16" fontId="0" fillId="10" borderId="19" xfId="0" applyNumberFormat="1" applyFill="1" applyBorder="1"/>
    <xf numFmtId="0" fontId="0" fillId="10" borderId="19" xfId="0" applyFill="1" applyBorder="1"/>
    <xf numFmtId="43" fontId="0" fillId="10" borderId="19" xfId="0" applyNumberFormat="1" applyFill="1" applyBorder="1"/>
    <xf numFmtId="43" fontId="10" fillId="10" borderId="19" xfId="0" applyNumberFormat="1" applyFont="1" applyFill="1" applyBorder="1"/>
    <xf numFmtId="43" fontId="9" fillId="10" borderId="19" xfId="0" applyNumberFormat="1" applyFont="1" applyFill="1" applyBorder="1" applyAlignment="1">
      <alignment horizontal="center"/>
    </xf>
    <xf numFmtId="43" fontId="10" fillId="10" borderId="19" xfId="0" applyNumberFormat="1" applyFont="1" applyFill="1" applyBorder="1" applyAlignment="1">
      <alignment horizontal="center"/>
    </xf>
    <xf numFmtId="43" fontId="7" fillId="10" borderId="19" xfId="0" applyNumberFormat="1" applyFont="1" applyFill="1" applyBorder="1"/>
    <xf numFmtId="0" fontId="0" fillId="10" borderId="0" xfId="0" applyFill="1"/>
    <xf numFmtId="43" fontId="0" fillId="10" borderId="0" xfId="0" applyNumberFormat="1" applyFill="1"/>
    <xf numFmtId="43" fontId="9" fillId="10" borderId="0" xfId="0" applyNumberFormat="1" applyFont="1" applyFill="1" applyAlignment="1">
      <alignment horizontal="center"/>
    </xf>
    <xf numFmtId="43" fontId="0" fillId="6" borderId="17" xfId="0" applyNumberFormat="1" applyFill="1" applyBorder="1"/>
    <xf numFmtId="43" fontId="12" fillId="0" borderId="17" xfId="1" applyNumberFormat="1" applyFont="1" applyBorder="1"/>
    <xf numFmtId="43" fontId="13" fillId="0" borderId="17" xfId="0" applyNumberFormat="1" applyFont="1" applyBorder="1" applyAlignment="1">
      <alignment horizontal="center"/>
    </xf>
    <xf numFmtId="0" fontId="13" fillId="0" borderId="17" xfId="0" applyFont="1" applyBorder="1" applyAlignment="1">
      <alignment horizontal="center"/>
    </xf>
    <xf numFmtId="43" fontId="10" fillId="0" borderId="18" xfId="0" applyNumberFormat="1" applyFont="1" applyBorder="1"/>
    <xf numFmtId="43" fontId="13" fillId="0" borderId="17" xfId="1" applyNumberFormat="1" applyFont="1" applyBorder="1"/>
    <xf numFmtId="4" fontId="13" fillId="0" borderId="17" xfId="1" applyNumberFormat="1" applyFont="1" applyBorder="1"/>
    <xf numFmtId="0" fontId="10" fillId="0" borderId="17" xfId="0" applyFont="1" applyBorder="1"/>
    <xf numFmtId="0" fontId="10" fillId="0" borderId="18" xfId="0" applyFont="1" applyBorder="1"/>
    <xf numFmtId="0" fontId="13" fillId="0" borderId="17" xfId="0" applyFont="1" applyBorder="1"/>
    <xf numFmtId="0" fontId="13" fillId="0" borderId="18" xfId="0" applyFont="1" applyBorder="1"/>
    <xf numFmtId="43" fontId="13" fillId="0" borderId="18" xfId="1" applyNumberFormat="1" applyFont="1" applyBorder="1"/>
    <xf numFmtId="4" fontId="13" fillId="0" borderId="18" xfId="1" applyNumberFormat="1" applyFont="1" applyBorder="1"/>
    <xf numFmtId="43" fontId="13" fillId="0" borderId="18" xfId="0" applyNumberFormat="1" applyFont="1" applyBorder="1"/>
    <xf numFmtId="16" fontId="10" fillId="0" borderId="17" xfId="0" applyNumberFormat="1" applyFont="1" applyBorder="1" applyAlignment="1">
      <alignment horizontal="center"/>
    </xf>
    <xf numFmtId="16" fontId="10" fillId="0" borderId="18" xfId="0" applyNumberFormat="1" applyFont="1" applyBorder="1" applyAlignment="1">
      <alignment horizontal="center"/>
    </xf>
    <xf numFmtId="164" fontId="13" fillId="0" borderId="18" xfId="1" applyNumberFormat="1" applyFont="1" applyBorder="1" applyAlignment="1">
      <alignment horizontal="center"/>
    </xf>
    <xf numFmtId="0" fontId="13" fillId="0" borderId="18" xfId="0" applyFont="1" applyBorder="1" applyAlignment="1">
      <alignment horizontal="center"/>
    </xf>
    <xf numFmtId="43" fontId="13" fillId="0" borderId="17" xfId="0" applyNumberFormat="1" applyFont="1" applyBorder="1"/>
    <xf numFmtId="43" fontId="10" fillId="6" borderId="17" xfId="0" applyNumberFormat="1" applyFont="1" applyFill="1" applyBorder="1"/>
    <xf numFmtId="0" fontId="10" fillId="6" borderId="17" xfId="0" applyFont="1" applyFill="1" applyBorder="1"/>
    <xf numFmtId="164" fontId="13" fillId="0" borderId="17" xfId="1" applyNumberFormat="1" applyFont="1" applyBorder="1" applyAlignment="1">
      <alignment horizontal="center"/>
    </xf>
    <xf numFmtId="16" fontId="10" fillId="0" borderId="17" xfId="0" applyNumberFormat="1" applyFont="1" applyBorder="1"/>
    <xf numFmtId="16" fontId="10" fillId="0" borderId="19" xfId="0" applyNumberFormat="1" applyFont="1" applyBorder="1" applyAlignment="1">
      <alignment horizontal="center"/>
    </xf>
    <xf numFmtId="0" fontId="10" fillId="0" borderId="19" xfId="0" applyFont="1" applyBorder="1"/>
    <xf numFmtId="43" fontId="10" fillId="0" borderId="19" xfId="0" applyNumberFormat="1" applyFont="1" applyBorder="1"/>
    <xf numFmtId="43" fontId="10" fillId="0" borderId="19" xfId="0" applyNumberFormat="1" applyFont="1" applyBorder="1" applyAlignment="1">
      <alignment horizontal="center"/>
    </xf>
    <xf numFmtId="0" fontId="10" fillId="0" borderId="17" xfId="0" applyFont="1" applyBorder="1" applyAlignment="1">
      <alignment horizontal="center"/>
    </xf>
    <xf numFmtId="43" fontId="15" fillId="0" borderId="17" xfId="0" applyNumberFormat="1" applyFont="1" applyBorder="1" applyAlignment="1">
      <alignment horizontal="center"/>
    </xf>
    <xf numFmtId="43" fontId="5" fillId="0" borderId="17" xfId="0" applyNumberFormat="1" applyFont="1" applyBorder="1" applyAlignment="1">
      <alignment horizontal="center"/>
    </xf>
    <xf numFmtId="43" fontId="0" fillId="0" borderId="17" xfId="0" applyNumberFormat="1" applyBorder="1" applyAlignment="1">
      <alignment horizontal="center"/>
    </xf>
    <xf numFmtId="0" fontId="0" fillId="0" borderId="0" xfId="0" applyAlignment="1">
      <alignment horizontal="center"/>
    </xf>
    <xf numFmtId="0" fontId="0" fillId="0" borderId="17" xfId="0" applyBorder="1" applyAlignment="1">
      <alignment horizontal="center"/>
    </xf>
    <xf numFmtId="0" fontId="0" fillId="10" borderId="0" xfId="0" applyFill="1" applyAlignment="1">
      <alignment horizontal="center"/>
    </xf>
    <xf numFmtId="43" fontId="9" fillId="10" borderId="17" xfId="0" applyNumberFormat="1" applyFont="1" applyFill="1" applyBorder="1" applyAlignment="1">
      <alignment horizontal="center"/>
    </xf>
    <xf numFmtId="13" fontId="9" fillId="0" borderId="18" xfId="0" applyNumberFormat="1" applyFont="1" applyBorder="1" applyAlignment="1">
      <alignment horizontal="center"/>
    </xf>
  </cellXfs>
  <cellStyles count="2">
    <cellStyle name="Normal" xfId="0" builtinId="0"/>
    <cellStyle name="Normal 3" xfId="1" xr:uid="{973F96E4-4C30-4EE6-AEC8-69B956B8F23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EB120-351B-46CA-89A5-83CC7947534D}">
  <dimension ref="A1:M63"/>
  <sheetViews>
    <sheetView topLeftCell="A22" zoomScaleNormal="100" workbookViewId="0">
      <selection activeCell="B37" sqref="B37"/>
    </sheetView>
  </sheetViews>
  <sheetFormatPr defaultRowHeight="15" x14ac:dyDescent="0.25"/>
  <cols>
    <col min="1" max="1" width="9.28515625" customWidth="1"/>
    <col min="2" max="2" width="54.7109375" customWidth="1"/>
    <col min="3" max="3" width="46.140625" customWidth="1"/>
    <col min="4" max="4" width="15.5703125" style="33" customWidth="1"/>
    <col min="5" max="5" width="14.42578125" style="33" customWidth="1"/>
    <col min="6" max="6" width="16" customWidth="1"/>
    <col min="7" max="7" width="14.85546875" customWidth="1"/>
    <col min="8" max="8" width="15.7109375" customWidth="1"/>
    <col min="9" max="9" width="11.5703125" customWidth="1"/>
    <col min="10" max="10" width="11.85546875" customWidth="1"/>
    <col min="11" max="11" width="12.7109375" customWidth="1"/>
    <col min="12" max="12" width="15.28515625" customWidth="1"/>
    <col min="13" max="13" width="15.140625" customWidth="1"/>
  </cols>
  <sheetData>
    <row r="1" spans="1:13" x14ac:dyDescent="0.25">
      <c r="A1" s="1" t="s">
        <v>0</v>
      </c>
      <c r="B1" s="2"/>
      <c r="C1" s="3"/>
      <c r="D1" s="4"/>
      <c r="E1" s="4"/>
      <c r="F1" s="5"/>
      <c r="G1" s="5"/>
      <c r="H1" s="6"/>
      <c r="I1" s="7"/>
      <c r="J1" s="7"/>
      <c r="K1" s="8"/>
    </row>
    <row r="2" spans="1:13" x14ac:dyDescent="0.25">
      <c r="A2" s="1" t="s">
        <v>1</v>
      </c>
      <c r="B2" s="2"/>
      <c r="C2" s="3"/>
      <c r="D2" s="4"/>
      <c r="E2" s="4"/>
      <c r="F2" s="5"/>
      <c r="G2" s="5"/>
      <c r="H2" s="6"/>
      <c r="I2" s="7"/>
      <c r="J2" s="7"/>
      <c r="K2" s="8"/>
    </row>
    <row r="3" spans="1:13" x14ac:dyDescent="0.25">
      <c r="A3" s="1"/>
      <c r="B3" s="2"/>
      <c r="C3" s="3"/>
      <c r="D3" s="4"/>
      <c r="E3" s="4"/>
      <c r="F3" s="5"/>
      <c r="G3" s="5"/>
      <c r="H3" s="6"/>
      <c r="I3" s="7"/>
      <c r="J3" s="7"/>
      <c r="K3" s="8"/>
    </row>
    <row r="4" spans="1:13" x14ac:dyDescent="0.25">
      <c r="A4" s="9"/>
      <c r="B4" s="2" t="s">
        <v>2</v>
      </c>
      <c r="C4" s="3"/>
      <c r="D4" s="4"/>
      <c r="E4" s="4"/>
      <c r="F4" s="5"/>
      <c r="G4" s="5"/>
      <c r="H4" s="6"/>
      <c r="I4" s="7"/>
      <c r="J4" s="7"/>
      <c r="K4" s="8"/>
    </row>
    <row r="5" spans="1:13" ht="15.75" thickBot="1" x14ac:dyDescent="0.3">
      <c r="A5" s="37"/>
      <c r="B5" s="48" t="s">
        <v>21</v>
      </c>
      <c r="C5" s="8"/>
      <c r="D5" s="10"/>
      <c r="E5" s="10"/>
      <c r="F5" s="11"/>
      <c r="G5" s="11"/>
      <c r="H5" s="12"/>
      <c r="I5" s="11"/>
      <c r="J5" s="11"/>
      <c r="K5" s="8"/>
    </row>
    <row r="6" spans="1:13" ht="25.5" x14ac:dyDescent="0.25">
      <c r="A6" s="38" t="s">
        <v>3</v>
      </c>
      <c r="B6" s="39" t="s">
        <v>4</v>
      </c>
      <c r="C6" s="40" t="s">
        <v>5</v>
      </c>
      <c r="D6" s="41"/>
      <c r="E6" s="42"/>
      <c r="F6" s="43"/>
      <c r="G6" s="44" t="s">
        <v>6</v>
      </c>
      <c r="H6" s="45" t="s">
        <v>7</v>
      </c>
      <c r="I6" s="46" t="s">
        <v>8</v>
      </c>
      <c r="J6" s="46" t="s">
        <v>9</v>
      </c>
      <c r="K6" s="46" t="s">
        <v>8</v>
      </c>
      <c r="L6" s="46" t="s">
        <v>9</v>
      </c>
      <c r="M6" s="47"/>
    </row>
    <row r="7" spans="1:13" x14ac:dyDescent="0.25">
      <c r="A7" s="61"/>
      <c r="B7" s="62"/>
      <c r="C7" s="63"/>
      <c r="D7" s="64" t="s">
        <v>11</v>
      </c>
      <c r="E7" s="64" t="s">
        <v>10</v>
      </c>
      <c r="F7" s="65" t="s">
        <v>12</v>
      </c>
      <c r="G7" s="66"/>
      <c r="H7" s="67"/>
      <c r="I7" s="35" t="s">
        <v>13</v>
      </c>
      <c r="J7" s="35" t="s">
        <v>13</v>
      </c>
      <c r="K7" s="36" t="s">
        <v>14</v>
      </c>
      <c r="L7" s="36" t="s">
        <v>14</v>
      </c>
      <c r="M7" s="68" t="s">
        <v>15</v>
      </c>
    </row>
    <row r="8" spans="1:13" x14ac:dyDescent="0.25">
      <c r="A8" s="13" t="s">
        <v>22</v>
      </c>
      <c r="B8" s="14"/>
      <c r="C8" s="14"/>
      <c r="D8" s="15">
        <f>SUM(D23:D1018)</f>
        <v>133400</v>
      </c>
      <c r="E8" s="15">
        <f>SUM(E24:E37)</f>
        <v>281100</v>
      </c>
      <c r="F8" s="15">
        <f>SUM(F9:F22)</f>
        <v>497750</v>
      </c>
      <c r="G8" s="16">
        <f>SUM(D8:F8)</f>
        <v>912250</v>
      </c>
      <c r="H8" s="14"/>
      <c r="I8" s="14"/>
      <c r="J8" s="14"/>
      <c r="K8" s="14"/>
      <c r="L8" s="14"/>
      <c r="M8" s="17">
        <f t="shared" ref="M8:M42" si="0">SUM(G8-I8-K8)</f>
        <v>912250</v>
      </c>
    </row>
    <row r="9" spans="1:13" x14ac:dyDescent="0.25">
      <c r="A9" s="18">
        <v>46027</v>
      </c>
      <c r="B9" s="19" t="s">
        <v>23</v>
      </c>
      <c r="C9" s="19" t="s">
        <v>18</v>
      </c>
      <c r="D9" s="20"/>
      <c r="E9" s="20"/>
      <c r="F9" s="20">
        <v>100000</v>
      </c>
      <c r="G9" s="21">
        <v>100000</v>
      </c>
      <c r="H9" s="113" t="s">
        <v>295</v>
      </c>
      <c r="I9" s="24">
        <v>50000</v>
      </c>
      <c r="J9" s="14" t="s">
        <v>57</v>
      </c>
      <c r="K9" s="23"/>
      <c r="L9" s="19"/>
      <c r="M9" s="17">
        <f t="shared" si="0"/>
        <v>50000</v>
      </c>
    </row>
    <row r="10" spans="1:13" x14ac:dyDescent="0.25">
      <c r="A10" s="18">
        <v>46027</v>
      </c>
      <c r="B10" s="19" t="s">
        <v>24</v>
      </c>
      <c r="C10" s="19" t="s">
        <v>25</v>
      </c>
      <c r="D10" s="20"/>
      <c r="E10" s="20"/>
      <c r="F10" s="20">
        <v>1250</v>
      </c>
      <c r="G10" s="21">
        <v>1250</v>
      </c>
      <c r="H10" s="26" t="s">
        <v>16</v>
      </c>
      <c r="I10" s="25"/>
      <c r="J10" s="25"/>
      <c r="K10" s="23">
        <v>1250</v>
      </c>
      <c r="L10" s="19" t="s">
        <v>58</v>
      </c>
      <c r="M10" s="17">
        <f t="shared" si="0"/>
        <v>0</v>
      </c>
    </row>
    <row r="11" spans="1:13" x14ac:dyDescent="0.25">
      <c r="A11" s="18">
        <v>46027</v>
      </c>
      <c r="B11" s="19" t="s">
        <v>26</v>
      </c>
      <c r="C11" s="19" t="s">
        <v>27</v>
      </c>
      <c r="D11" s="20"/>
      <c r="E11" s="20"/>
      <c r="F11" s="20">
        <v>2500</v>
      </c>
      <c r="G11" s="21">
        <v>2500</v>
      </c>
      <c r="H11" s="26" t="s">
        <v>16</v>
      </c>
      <c r="I11" s="25"/>
      <c r="J11" s="25"/>
      <c r="K11" s="23">
        <v>2500</v>
      </c>
      <c r="L11" s="19" t="s">
        <v>59</v>
      </c>
      <c r="M11" s="17">
        <f t="shared" si="0"/>
        <v>0</v>
      </c>
    </row>
    <row r="12" spans="1:13" x14ac:dyDescent="0.25">
      <c r="A12" s="18">
        <v>46030</v>
      </c>
      <c r="B12" s="19" t="s">
        <v>28</v>
      </c>
      <c r="C12" s="19" t="s">
        <v>29</v>
      </c>
      <c r="D12" s="20"/>
      <c r="E12" s="20"/>
      <c r="F12" s="20">
        <v>14000</v>
      </c>
      <c r="G12" s="21">
        <v>14000</v>
      </c>
      <c r="H12" s="26" t="s">
        <v>16</v>
      </c>
      <c r="I12" s="25"/>
      <c r="J12" s="25"/>
      <c r="K12" s="23">
        <v>14000</v>
      </c>
      <c r="L12" s="19" t="s">
        <v>62</v>
      </c>
      <c r="M12" s="17">
        <f t="shared" si="0"/>
        <v>0</v>
      </c>
    </row>
    <row r="13" spans="1:13" x14ac:dyDescent="0.25">
      <c r="A13" s="18">
        <v>46030</v>
      </c>
      <c r="B13" s="19" t="s">
        <v>30</v>
      </c>
      <c r="C13" s="19" t="s">
        <v>31</v>
      </c>
      <c r="D13" s="20"/>
      <c r="E13" s="20"/>
      <c r="F13" s="20">
        <v>200</v>
      </c>
      <c r="G13" s="21">
        <v>200</v>
      </c>
      <c r="H13" s="26" t="s">
        <v>16</v>
      </c>
      <c r="I13" s="25"/>
      <c r="J13" s="25"/>
      <c r="K13" s="23">
        <v>200</v>
      </c>
      <c r="L13" s="19" t="s">
        <v>115</v>
      </c>
      <c r="M13" s="17">
        <f t="shared" si="0"/>
        <v>0</v>
      </c>
    </row>
    <row r="14" spans="1:13" x14ac:dyDescent="0.25">
      <c r="A14" s="49">
        <v>46035</v>
      </c>
      <c r="B14" s="50" t="s">
        <v>32</v>
      </c>
      <c r="C14" s="50" t="s">
        <v>19</v>
      </c>
      <c r="D14" s="51"/>
      <c r="E14" s="24"/>
      <c r="F14" s="51">
        <v>16500</v>
      </c>
      <c r="G14" s="52">
        <v>16500</v>
      </c>
      <c r="H14" s="22" t="s">
        <v>16</v>
      </c>
      <c r="I14" s="24">
        <v>8500</v>
      </c>
      <c r="J14" s="14" t="s">
        <v>76</v>
      </c>
      <c r="K14" s="53">
        <v>8000</v>
      </c>
      <c r="L14" s="50" t="s">
        <v>114</v>
      </c>
      <c r="M14" s="17">
        <f t="shared" si="0"/>
        <v>0</v>
      </c>
    </row>
    <row r="15" spans="1:13" x14ac:dyDescent="0.25">
      <c r="A15" s="49">
        <v>46036</v>
      </c>
      <c r="B15" s="50" t="s">
        <v>33</v>
      </c>
      <c r="C15" s="50" t="s">
        <v>34</v>
      </c>
      <c r="D15" s="51"/>
      <c r="E15" s="24"/>
      <c r="F15" s="51">
        <v>3500</v>
      </c>
      <c r="G15" s="52">
        <v>3500</v>
      </c>
      <c r="H15" s="26" t="s">
        <v>16</v>
      </c>
      <c r="I15" s="25"/>
      <c r="J15" s="25"/>
      <c r="K15" s="53">
        <v>3500</v>
      </c>
      <c r="L15" s="50" t="s">
        <v>67</v>
      </c>
      <c r="M15" s="17">
        <f t="shared" si="0"/>
        <v>0</v>
      </c>
    </row>
    <row r="16" spans="1:13" x14ac:dyDescent="0.25">
      <c r="A16" s="49">
        <v>46037</v>
      </c>
      <c r="B16" s="50" t="s">
        <v>35</v>
      </c>
      <c r="C16" s="50" t="s">
        <v>36</v>
      </c>
      <c r="D16" s="51"/>
      <c r="E16" s="51"/>
      <c r="F16" s="51">
        <v>500</v>
      </c>
      <c r="G16" s="52">
        <v>500</v>
      </c>
      <c r="H16" s="26" t="s">
        <v>16</v>
      </c>
      <c r="I16" s="25"/>
      <c r="J16" s="25"/>
      <c r="K16" s="53">
        <v>500</v>
      </c>
      <c r="L16" s="50" t="s">
        <v>63</v>
      </c>
      <c r="M16" s="17">
        <f t="shared" si="0"/>
        <v>0</v>
      </c>
    </row>
    <row r="17" spans="1:13" x14ac:dyDescent="0.25">
      <c r="A17" s="49">
        <v>46042</v>
      </c>
      <c r="B17" s="50" t="s">
        <v>68</v>
      </c>
      <c r="C17" s="50" t="s">
        <v>69</v>
      </c>
      <c r="D17" s="51"/>
      <c r="E17" s="51"/>
      <c r="F17" s="51">
        <v>34500</v>
      </c>
      <c r="G17" s="52">
        <v>34500</v>
      </c>
      <c r="H17" s="22" t="s">
        <v>16</v>
      </c>
      <c r="I17" s="28">
        <v>15000</v>
      </c>
      <c r="J17" s="27" t="s">
        <v>158</v>
      </c>
      <c r="K17" s="53">
        <v>19500</v>
      </c>
      <c r="L17" s="50" t="s">
        <v>201</v>
      </c>
      <c r="M17" s="17">
        <f t="shared" si="0"/>
        <v>0</v>
      </c>
    </row>
    <row r="18" spans="1:13" x14ac:dyDescent="0.25">
      <c r="A18" s="49">
        <v>46043</v>
      </c>
      <c r="B18" s="50" t="s">
        <v>70</v>
      </c>
      <c r="C18" s="50" t="s">
        <v>71</v>
      </c>
      <c r="D18" s="51"/>
      <c r="E18" s="51"/>
      <c r="F18" s="51">
        <v>5000</v>
      </c>
      <c r="G18" s="52">
        <v>5000</v>
      </c>
      <c r="H18" s="26" t="s">
        <v>16</v>
      </c>
      <c r="I18" s="25"/>
      <c r="J18" s="25"/>
      <c r="K18" s="53">
        <v>5000</v>
      </c>
      <c r="L18" s="50" t="s">
        <v>113</v>
      </c>
      <c r="M18" s="17">
        <f t="shared" si="0"/>
        <v>0</v>
      </c>
    </row>
    <row r="19" spans="1:13" x14ac:dyDescent="0.25">
      <c r="A19" s="49">
        <v>46048</v>
      </c>
      <c r="B19" s="50" t="s">
        <v>79</v>
      </c>
      <c r="C19" s="50" t="s">
        <v>47</v>
      </c>
      <c r="D19" s="51"/>
      <c r="E19" s="51"/>
      <c r="F19" s="51">
        <v>2500</v>
      </c>
      <c r="G19" s="52">
        <v>2500</v>
      </c>
      <c r="H19" s="26" t="s">
        <v>16</v>
      </c>
      <c r="I19" s="25"/>
      <c r="J19" s="25"/>
      <c r="K19" s="53">
        <v>2500</v>
      </c>
      <c r="L19" s="50" t="s">
        <v>80</v>
      </c>
      <c r="M19" s="17">
        <f t="shared" si="0"/>
        <v>0</v>
      </c>
    </row>
    <row r="20" spans="1:13" x14ac:dyDescent="0.25">
      <c r="A20" s="49">
        <v>46049</v>
      </c>
      <c r="B20" s="50" t="s">
        <v>82</v>
      </c>
      <c r="C20" s="50" t="s">
        <v>81</v>
      </c>
      <c r="D20" s="51"/>
      <c r="E20" s="51"/>
      <c r="F20" s="51">
        <v>48000</v>
      </c>
      <c r="G20" s="52">
        <v>48000</v>
      </c>
      <c r="H20" s="26" t="s">
        <v>16</v>
      </c>
      <c r="I20" s="25"/>
      <c r="J20" s="25"/>
      <c r="K20" s="53">
        <v>48000</v>
      </c>
      <c r="L20" s="50" t="s">
        <v>166</v>
      </c>
      <c r="M20" s="17">
        <f t="shared" si="0"/>
        <v>0</v>
      </c>
    </row>
    <row r="21" spans="1:13" x14ac:dyDescent="0.25">
      <c r="A21" s="49">
        <v>46049</v>
      </c>
      <c r="B21" s="50" t="s">
        <v>100</v>
      </c>
      <c r="C21" s="50" t="s">
        <v>83</v>
      </c>
      <c r="D21" s="51"/>
      <c r="E21" s="51"/>
      <c r="F21" s="51">
        <v>154000</v>
      </c>
      <c r="G21" s="52">
        <v>154000</v>
      </c>
      <c r="H21" s="26" t="s">
        <v>16</v>
      </c>
      <c r="I21" s="25"/>
      <c r="J21" s="25"/>
      <c r="K21" s="53">
        <v>154000</v>
      </c>
      <c r="L21" s="50" t="s">
        <v>259</v>
      </c>
      <c r="M21" s="17">
        <f t="shared" si="0"/>
        <v>0</v>
      </c>
    </row>
    <row r="22" spans="1:13" x14ac:dyDescent="0.25">
      <c r="A22" s="49">
        <v>46051</v>
      </c>
      <c r="B22" s="50" t="s">
        <v>87</v>
      </c>
      <c r="C22" s="50" t="s">
        <v>88</v>
      </c>
      <c r="D22" s="51"/>
      <c r="E22" s="51"/>
      <c r="F22" s="51">
        <v>115300</v>
      </c>
      <c r="G22" s="52">
        <v>115300</v>
      </c>
      <c r="H22" s="26" t="s">
        <v>16</v>
      </c>
      <c r="I22" s="28">
        <v>57650</v>
      </c>
      <c r="J22" s="27" t="s">
        <v>112</v>
      </c>
      <c r="K22" s="53">
        <v>57650</v>
      </c>
      <c r="L22" s="50" t="s">
        <v>220</v>
      </c>
      <c r="M22" s="17">
        <f t="shared" si="0"/>
        <v>0</v>
      </c>
    </row>
    <row r="23" spans="1:13" x14ac:dyDescent="0.25">
      <c r="A23" s="69"/>
      <c r="B23" s="70"/>
      <c r="C23" s="70"/>
      <c r="D23" s="71"/>
      <c r="E23" s="71"/>
      <c r="F23" s="71"/>
      <c r="G23" s="71"/>
      <c r="H23" s="72"/>
      <c r="I23" s="70"/>
      <c r="J23" s="70"/>
      <c r="K23" s="73"/>
      <c r="L23" s="73"/>
      <c r="M23" s="74"/>
    </row>
    <row r="24" spans="1:13" x14ac:dyDescent="0.25">
      <c r="A24" s="29">
        <v>46027</v>
      </c>
      <c r="B24" s="14" t="s">
        <v>37</v>
      </c>
      <c r="C24" s="14" t="s">
        <v>17</v>
      </c>
      <c r="D24" s="24"/>
      <c r="E24" s="24">
        <v>6500</v>
      </c>
      <c r="F24" s="14"/>
      <c r="G24" s="24">
        <v>6500</v>
      </c>
      <c r="H24" s="26" t="s">
        <v>16</v>
      </c>
      <c r="I24" s="25"/>
      <c r="J24" s="25"/>
      <c r="K24" s="24">
        <v>6500</v>
      </c>
      <c r="L24" s="30" t="s">
        <v>176</v>
      </c>
      <c r="M24" s="17">
        <f t="shared" si="0"/>
        <v>0</v>
      </c>
    </row>
    <row r="25" spans="1:13" x14ac:dyDescent="0.25">
      <c r="A25" s="29">
        <v>46027</v>
      </c>
      <c r="B25" s="14" t="s">
        <v>38</v>
      </c>
      <c r="C25" s="14" t="s">
        <v>17</v>
      </c>
      <c r="D25" s="24"/>
      <c r="E25" s="24">
        <v>6500</v>
      </c>
      <c r="F25" s="14"/>
      <c r="G25" s="24">
        <v>6500</v>
      </c>
      <c r="H25" s="26" t="s">
        <v>16</v>
      </c>
      <c r="I25" s="25"/>
      <c r="J25" s="25"/>
      <c r="K25" s="24">
        <v>6500</v>
      </c>
      <c r="L25" s="30" t="s">
        <v>172</v>
      </c>
      <c r="M25" s="17">
        <f t="shared" si="0"/>
        <v>0</v>
      </c>
    </row>
    <row r="26" spans="1:13" x14ac:dyDescent="0.25">
      <c r="A26" s="29">
        <v>46027</v>
      </c>
      <c r="B26" s="14" t="s">
        <v>39</v>
      </c>
      <c r="C26" s="14" t="s">
        <v>20</v>
      </c>
      <c r="D26" s="24"/>
      <c r="E26" s="24">
        <v>13000</v>
      </c>
      <c r="F26" s="14"/>
      <c r="G26" s="24">
        <v>13000</v>
      </c>
      <c r="H26" s="26" t="s">
        <v>16</v>
      </c>
      <c r="I26" s="25"/>
      <c r="J26" s="25"/>
      <c r="K26" s="31">
        <v>13000</v>
      </c>
      <c r="L26" s="31" t="s">
        <v>175</v>
      </c>
      <c r="M26" s="17">
        <f t="shared" si="0"/>
        <v>0</v>
      </c>
    </row>
    <row r="27" spans="1:13" x14ac:dyDescent="0.25">
      <c r="A27" s="32">
        <v>46027</v>
      </c>
      <c r="B27" s="27" t="s">
        <v>126</v>
      </c>
      <c r="C27" s="27" t="s">
        <v>20</v>
      </c>
      <c r="D27" s="28"/>
      <c r="E27" s="28">
        <v>6500</v>
      </c>
      <c r="F27" s="27"/>
      <c r="G27" s="28">
        <v>6500</v>
      </c>
      <c r="H27" s="26" t="s">
        <v>16</v>
      </c>
      <c r="I27" s="25"/>
      <c r="J27" s="25"/>
      <c r="K27" s="31">
        <v>6500</v>
      </c>
      <c r="L27" s="31" t="s">
        <v>174</v>
      </c>
      <c r="M27" s="17">
        <f t="shared" si="0"/>
        <v>0</v>
      </c>
    </row>
    <row r="28" spans="1:13" x14ac:dyDescent="0.25">
      <c r="A28" s="32">
        <v>46027</v>
      </c>
      <c r="B28" s="27" t="s">
        <v>40</v>
      </c>
      <c r="C28" s="27" t="s">
        <v>20</v>
      </c>
      <c r="D28" s="28"/>
      <c r="E28" s="28">
        <v>13000</v>
      </c>
      <c r="F28" s="28"/>
      <c r="G28" s="28">
        <v>13000</v>
      </c>
      <c r="H28" s="26" t="s">
        <v>16</v>
      </c>
      <c r="I28" s="25"/>
      <c r="J28" s="25"/>
      <c r="K28" s="31">
        <v>13000</v>
      </c>
      <c r="L28" s="31" t="s">
        <v>173</v>
      </c>
      <c r="M28" s="17">
        <f t="shared" si="0"/>
        <v>0</v>
      </c>
    </row>
    <row r="29" spans="1:13" x14ac:dyDescent="0.25">
      <c r="A29" s="32">
        <v>46030</v>
      </c>
      <c r="B29" s="27" t="s">
        <v>149</v>
      </c>
      <c r="C29" s="27" t="s">
        <v>41</v>
      </c>
      <c r="D29" s="28"/>
      <c r="E29" s="28">
        <v>96000</v>
      </c>
      <c r="F29" s="28"/>
      <c r="G29" s="28">
        <v>96000</v>
      </c>
      <c r="H29" s="26" t="s">
        <v>16</v>
      </c>
      <c r="I29" s="24">
        <v>36000</v>
      </c>
      <c r="J29" s="14" t="s">
        <v>288</v>
      </c>
      <c r="K29" s="31">
        <v>60000</v>
      </c>
      <c r="L29" s="31" t="s">
        <v>328</v>
      </c>
      <c r="M29" s="17">
        <f t="shared" si="0"/>
        <v>0</v>
      </c>
    </row>
    <row r="30" spans="1:13" x14ac:dyDescent="0.25">
      <c r="A30" s="32">
        <v>46030</v>
      </c>
      <c r="B30" s="27" t="s">
        <v>42</v>
      </c>
      <c r="C30" s="27" t="s">
        <v>43</v>
      </c>
      <c r="D30" s="28"/>
      <c r="E30" s="28">
        <v>19000</v>
      </c>
      <c r="F30" s="28"/>
      <c r="G30" s="28">
        <v>19000</v>
      </c>
      <c r="H30" s="26" t="s">
        <v>16</v>
      </c>
      <c r="I30" s="25"/>
      <c r="J30" s="25"/>
      <c r="K30" s="31">
        <v>19000</v>
      </c>
      <c r="L30" s="31" t="s">
        <v>124</v>
      </c>
      <c r="M30" s="17">
        <f t="shared" si="0"/>
        <v>0</v>
      </c>
    </row>
    <row r="31" spans="1:13" x14ac:dyDescent="0.25">
      <c r="A31" s="32">
        <v>46030</v>
      </c>
      <c r="B31" s="27" t="s">
        <v>44</v>
      </c>
      <c r="C31" s="27" t="s">
        <v>45</v>
      </c>
      <c r="D31" s="28"/>
      <c r="E31" s="28">
        <v>3100</v>
      </c>
      <c r="F31" s="28"/>
      <c r="G31" s="28">
        <v>3100</v>
      </c>
      <c r="H31" s="26" t="s">
        <v>16</v>
      </c>
      <c r="I31" s="25"/>
      <c r="J31" s="25"/>
      <c r="K31" s="31">
        <v>3100</v>
      </c>
      <c r="L31" s="31" t="s">
        <v>61</v>
      </c>
      <c r="M31" s="17">
        <f t="shared" si="0"/>
        <v>0</v>
      </c>
    </row>
    <row r="32" spans="1:13" x14ac:dyDescent="0.25">
      <c r="A32" s="32">
        <v>46030</v>
      </c>
      <c r="B32" s="27" t="s">
        <v>46</v>
      </c>
      <c r="C32" s="27" t="s">
        <v>47</v>
      </c>
      <c r="D32" s="28"/>
      <c r="E32" s="28">
        <v>2500</v>
      </c>
      <c r="F32" s="28"/>
      <c r="G32" s="28">
        <v>2500</v>
      </c>
      <c r="H32" s="26" t="s">
        <v>16</v>
      </c>
      <c r="I32" s="25"/>
      <c r="J32" s="25"/>
      <c r="K32" s="31">
        <v>2500</v>
      </c>
      <c r="L32" s="31" t="s">
        <v>60</v>
      </c>
      <c r="M32" s="17">
        <f t="shared" si="0"/>
        <v>0</v>
      </c>
    </row>
    <row r="33" spans="1:13" x14ac:dyDescent="0.25">
      <c r="A33" s="32">
        <v>46035</v>
      </c>
      <c r="B33" s="27" t="s">
        <v>48</v>
      </c>
      <c r="C33" s="27" t="s">
        <v>49</v>
      </c>
      <c r="D33" s="28"/>
      <c r="E33" s="28">
        <v>2500</v>
      </c>
      <c r="F33" s="28"/>
      <c r="G33" s="28">
        <v>2500</v>
      </c>
      <c r="H33" s="26" t="s">
        <v>16</v>
      </c>
      <c r="I33" s="25"/>
      <c r="J33" s="25"/>
      <c r="K33" s="31">
        <v>2500</v>
      </c>
      <c r="L33" s="31" t="s">
        <v>209</v>
      </c>
      <c r="M33" s="17">
        <f t="shared" si="0"/>
        <v>0</v>
      </c>
    </row>
    <row r="34" spans="1:13" x14ac:dyDescent="0.25">
      <c r="A34" s="32">
        <v>46038</v>
      </c>
      <c r="B34" s="27" t="s">
        <v>50</v>
      </c>
      <c r="C34" s="27" t="s">
        <v>51</v>
      </c>
      <c r="D34" s="28"/>
      <c r="E34" s="28">
        <v>51000</v>
      </c>
      <c r="F34" s="28"/>
      <c r="G34" s="28">
        <v>51000</v>
      </c>
      <c r="H34" s="26" t="s">
        <v>16</v>
      </c>
      <c r="I34" s="25"/>
      <c r="J34" s="25"/>
      <c r="K34" s="31">
        <v>51000</v>
      </c>
      <c r="L34" s="31" t="s">
        <v>52</v>
      </c>
      <c r="M34" s="17">
        <f t="shared" si="0"/>
        <v>0</v>
      </c>
    </row>
    <row r="35" spans="1:13" x14ac:dyDescent="0.25">
      <c r="A35" s="32">
        <v>46043</v>
      </c>
      <c r="B35" s="27" t="s">
        <v>72</v>
      </c>
      <c r="C35" s="27" t="s">
        <v>73</v>
      </c>
      <c r="D35" s="28"/>
      <c r="E35" s="28">
        <v>1500</v>
      </c>
      <c r="F35" s="28"/>
      <c r="G35" s="28">
        <v>1500</v>
      </c>
      <c r="H35" s="26" t="s">
        <v>16</v>
      </c>
      <c r="I35" s="25"/>
      <c r="J35" s="25"/>
      <c r="K35" s="31">
        <v>1500</v>
      </c>
      <c r="L35" s="31" t="s">
        <v>74</v>
      </c>
      <c r="M35" s="17">
        <f t="shared" si="0"/>
        <v>0</v>
      </c>
    </row>
    <row r="36" spans="1:13" x14ac:dyDescent="0.25">
      <c r="A36" s="29">
        <v>46043</v>
      </c>
      <c r="B36" s="14" t="s">
        <v>77</v>
      </c>
      <c r="C36" s="14" t="s">
        <v>75</v>
      </c>
      <c r="D36" s="24"/>
      <c r="E36" s="24">
        <v>30000</v>
      </c>
      <c r="F36" s="24"/>
      <c r="G36" s="24">
        <v>30000</v>
      </c>
      <c r="H36" s="22" t="s">
        <v>296</v>
      </c>
      <c r="I36" s="14"/>
      <c r="J36" s="14"/>
      <c r="K36" s="30"/>
      <c r="L36" s="30"/>
      <c r="M36" s="17">
        <f t="shared" si="0"/>
        <v>30000</v>
      </c>
    </row>
    <row r="37" spans="1:13" x14ac:dyDescent="0.25">
      <c r="A37" s="29">
        <v>46043</v>
      </c>
      <c r="B37" s="14" t="s">
        <v>206</v>
      </c>
      <c r="C37" s="14" t="s">
        <v>75</v>
      </c>
      <c r="D37" s="24"/>
      <c r="E37" s="24">
        <v>30000</v>
      </c>
      <c r="F37" s="24"/>
      <c r="G37" s="24">
        <v>30000</v>
      </c>
      <c r="H37" s="22" t="s">
        <v>296</v>
      </c>
      <c r="I37" s="14"/>
      <c r="J37" s="14"/>
      <c r="K37" s="30"/>
      <c r="L37" s="30"/>
      <c r="M37" s="17">
        <f t="shared" si="0"/>
        <v>30000</v>
      </c>
    </row>
    <row r="38" spans="1:13" x14ac:dyDescent="0.25">
      <c r="A38" s="75"/>
      <c r="B38" s="76"/>
      <c r="C38" s="76"/>
      <c r="D38" s="77"/>
      <c r="E38" s="78"/>
      <c r="F38" s="78"/>
      <c r="G38" s="78"/>
      <c r="H38" s="79"/>
      <c r="I38" s="76"/>
      <c r="J38" s="76"/>
      <c r="K38" s="80"/>
      <c r="L38" s="80"/>
      <c r="M38" s="81"/>
    </row>
    <row r="39" spans="1:13" x14ac:dyDescent="0.25">
      <c r="A39" s="29">
        <v>46031</v>
      </c>
      <c r="B39" s="14" t="s">
        <v>53</v>
      </c>
      <c r="C39" s="14" t="s">
        <v>54</v>
      </c>
      <c r="D39" s="54">
        <v>1000</v>
      </c>
      <c r="E39" s="24"/>
      <c r="F39" s="54"/>
      <c r="G39" s="54">
        <v>1000</v>
      </c>
      <c r="H39" s="26" t="s">
        <v>16</v>
      </c>
      <c r="I39" s="25"/>
      <c r="J39" s="25"/>
      <c r="K39" s="30">
        <v>1000</v>
      </c>
      <c r="L39" s="30" t="s">
        <v>111</v>
      </c>
      <c r="M39" s="17">
        <f t="shared" si="0"/>
        <v>0</v>
      </c>
    </row>
    <row r="40" spans="1:13" x14ac:dyDescent="0.25">
      <c r="A40" s="29">
        <v>46041</v>
      </c>
      <c r="B40" s="14" t="s">
        <v>55</v>
      </c>
      <c r="C40" s="14" t="s">
        <v>56</v>
      </c>
      <c r="D40" s="54">
        <v>54500</v>
      </c>
      <c r="E40" s="24"/>
      <c r="F40" s="54"/>
      <c r="G40" s="54">
        <v>54500</v>
      </c>
      <c r="H40" s="26" t="s">
        <v>16</v>
      </c>
      <c r="I40" s="25"/>
      <c r="J40" s="25"/>
      <c r="K40" s="30">
        <v>54500</v>
      </c>
      <c r="L40" s="30" t="s">
        <v>64</v>
      </c>
      <c r="M40" s="17">
        <f t="shared" si="0"/>
        <v>0</v>
      </c>
    </row>
    <row r="41" spans="1:13" x14ac:dyDescent="0.25">
      <c r="A41" s="55">
        <v>46042</v>
      </c>
      <c r="B41" s="56" t="s">
        <v>65</v>
      </c>
      <c r="C41" s="56" t="s">
        <v>66</v>
      </c>
      <c r="D41" s="58">
        <v>77500</v>
      </c>
      <c r="E41" s="24"/>
      <c r="F41" s="58"/>
      <c r="G41" s="58">
        <v>77500</v>
      </c>
      <c r="H41" s="59" t="s">
        <v>16</v>
      </c>
      <c r="I41" s="57">
        <v>38750</v>
      </c>
      <c r="J41" s="56" t="s">
        <v>78</v>
      </c>
      <c r="K41" s="60">
        <v>38750</v>
      </c>
      <c r="L41" s="60" t="s">
        <v>110</v>
      </c>
      <c r="M41" s="17">
        <f t="shared" si="0"/>
        <v>0</v>
      </c>
    </row>
    <row r="42" spans="1:13" x14ac:dyDescent="0.25">
      <c r="A42" s="29">
        <v>46048</v>
      </c>
      <c r="B42" s="14" t="s">
        <v>84</v>
      </c>
      <c r="C42" s="14" t="s">
        <v>85</v>
      </c>
      <c r="D42" s="54">
        <v>400</v>
      </c>
      <c r="E42" s="24"/>
      <c r="F42" s="54"/>
      <c r="G42" s="54">
        <v>400</v>
      </c>
      <c r="H42" s="26" t="s">
        <v>16</v>
      </c>
      <c r="I42" s="25"/>
      <c r="J42" s="25"/>
      <c r="K42" s="30">
        <v>400</v>
      </c>
      <c r="L42" s="30" t="s">
        <v>86</v>
      </c>
      <c r="M42" s="17">
        <f t="shared" si="0"/>
        <v>0</v>
      </c>
    </row>
    <row r="43" spans="1:13" x14ac:dyDescent="0.25">
      <c r="A43" s="82"/>
      <c r="B43" s="82"/>
      <c r="C43" s="82"/>
      <c r="D43" s="83"/>
      <c r="E43" s="83"/>
      <c r="F43" s="83"/>
      <c r="G43" s="82"/>
      <c r="H43" s="84"/>
      <c r="I43" s="82"/>
      <c r="J43" s="82"/>
      <c r="K43" s="82"/>
      <c r="L43" s="82"/>
      <c r="M43" s="82"/>
    </row>
    <row r="44" spans="1:13" x14ac:dyDescent="0.25">
      <c r="F44" s="33"/>
      <c r="H44" s="34"/>
    </row>
    <row r="45" spans="1:13" x14ac:dyDescent="0.25">
      <c r="F45" s="33"/>
      <c r="H45" s="34"/>
    </row>
    <row r="46" spans="1:13" x14ac:dyDescent="0.25">
      <c r="F46" s="33"/>
      <c r="H46" s="34"/>
    </row>
    <row r="47" spans="1:13" x14ac:dyDescent="0.25">
      <c r="F47" s="33"/>
      <c r="H47" s="34"/>
    </row>
    <row r="48" spans="1:13" x14ac:dyDescent="0.25">
      <c r="F48" s="33"/>
      <c r="H48" s="34"/>
    </row>
    <row r="49" spans="6:8" x14ac:dyDescent="0.25">
      <c r="F49" s="33"/>
      <c r="H49" s="34"/>
    </row>
    <row r="50" spans="6:8" x14ac:dyDescent="0.25">
      <c r="F50" s="33"/>
      <c r="H50" s="34"/>
    </row>
    <row r="51" spans="6:8" x14ac:dyDescent="0.25">
      <c r="F51" s="33"/>
      <c r="H51" s="34"/>
    </row>
    <row r="52" spans="6:8" x14ac:dyDescent="0.25">
      <c r="F52" s="33"/>
      <c r="H52" s="34"/>
    </row>
    <row r="53" spans="6:8" x14ac:dyDescent="0.25">
      <c r="F53" s="33"/>
      <c r="H53" s="34"/>
    </row>
    <row r="54" spans="6:8" x14ac:dyDescent="0.25">
      <c r="F54" s="33"/>
      <c r="H54" s="34"/>
    </row>
    <row r="55" spans="6:8" x14ac:dyDescent="0.25">
      <c r="F55" s="33"/>
      <c r="H55" s="34"/>
    </row>
    <row r="56" spans="6:8" x14ac:dyDescent="0.25">
      <c r="F56" s="33"/>
      <c r="H56" s="34"/>
    </row>
    <row r="57" spans="6:8" x14ac:dyDescent="0.25">
      <c r="F57" s="33"/>
      <c r="H57" s="34"/>
    </row>
    <row r="58" spans="6:8" x14ac:dyDescent="0.25">
      <c r="F58" s="33"/>
      <c r="H58" s="34"/>
    </row>
    <row r="59" spans="6:8" x14ac:dyDescent="0.25">
      <c r="F59" s="33"/>
      <c r="H59" s="34"/>
    </row>
    <row r="60" spans="6:8" x14ac:dyDescent="0.25">
      <c r="H60" s="34"/>
    </row>
    <row r="61" spans="6:8" x14ac:dyDescent="0.25">
      <c r="H61" s="34"/>
    </row>
    <row r="62" spans="6:8" x14ac:dyDescent="0.25">
      <c r="H62" s="34"/>
    </row>
    <row r="63" spans="6:8" x14ac:dyDescent="0.25">
      <c r="H63" s="3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0EFD5-71FF-4D80-A53E-6FCF40526798}">
  <dimension ref="A1:M69"/>
  <sheetViews>
    <sheetView topLeftCell="A34" workbookViewId="0">
      <selection activeCell="D44" sqref="D44"/>
    </sheetView>
  </sheetViews>
  <sheetFormatPr defaultRowHeight="15" x14ac:dyDescent="0.25"/>
  <cols>
    <col min="1" max="1" width="9.28515625" customWidth="1"/>
    <col min="2" max="2" width="54.7109375" customWidth="1"/>
    <col min="3" max="3" width="46.140625" customWidth="1"/>
    <col min="4" max="4" width="12.42578125" style="33" customWidth="1"/>
    <col min="5" max="5" width="14.42578125" style="33" customWidth="1"/>
    <col min="6" max="6" width="13.42578125" customWidth="1"/>
    <col min="7" max="7" width="14.85546875" customWidth="1"/>
    <col min="8" max="8" width="10" customWidth="1"/>
    <col min="9" max="9" width="11.5703125" customWidth="1"/>
    <col min="10" max="10" width="11.85546875" customWidth="1"/>
    <col min="11" max="11" width="12.7109375" customWidth="1"/>
    <col min="12" max="12" width="15.28515625" customWidth="1"/>
    <col min="13" max="13" width="15.140625" customWidth="1"/>
  </cols>
  <sheetData>
    <row r="1" spans="1:13" x14ac:dyDescent="0.25">
      <c r="A1" s="1" t="s">
        <v>0</v>
      </c>
      <c r="B1" s="2"/>
      <c r="C1" s="3"/>
      <c r="D1" s="4"/>
      <c r="E1" s="4"/>
      <c r="F1" s="5"/>
      <c r="G1" s="5"/>
      <c r="H1" s="6"/>
      <c r="I1" s="7"/>
      <c r="J1" s="7"/>
      <c r="K1" s="8"/>
    </row>
    <row r="2" spans="1:13" x14ac:dyDescent="0.25">
      <c r="A2" s="1" t="s">
        <v>1</v>
      </c>
      <c r="B2" s="2"/>
      <c r="C2" s="3"/>
      <c r="D2" s="4"/>
      <c r="E2" s="4"/>
      <c r="F2" s="5"/>
      <c r="G2" s="5"/>
      <c r="H2" s="6"/>
      <c r="I2" s="7"/>
      <c r="J2" s="7"/>
      <c r="K2" s="8"/>
    </row>
    <row r="3" spans="1:13" x14ac:dyDescent="0.25">
      <c r="A3" s="1"/>
      <c r="B3" s="2"/>
      <c r="C3" s="3"/>
      <c r="D3" s="4"/>
      <c r="E3" s="4"/>
      <c r="F3" s="5"/>
      <c r="G3" s="5"/>
      <c r="H3" s="6"/>
      <c r="I3" s="7"/>
      <c r="J3" s="7"/>
      <c r="K3" s="8"/>
    </row>
    <row r="4" spans="1:13" x14ac:dyDescent="0.25">
      <c r="A4" s="9"/>
      <c r="B4" s="2" t="s">
        <v>2</v>
      </c>
      <c r="C4" s="3"/>
      <c r="D4" s="4"/>
      <c r="E4" s="4"/>
      <c r="F4" s="5"/>
      <c r="G4" s="5"/>
      <c r="H4" s="6"/>
      <c r="I4" s="7"/>
      <c r="J4" s="7"/>
      <c r="K4" s="8"/>
    </row>
    <row r="5" spans="1:13" ht="15.75" thickBot="1" x14ac:dyDescent="0.3">
      <c r="A5" s="37"/>
      <c r="B5" s="48" t="s">
        <v>21</v>
      </c>
      <c r="C5" s="8"/>
      <c r="D5" s="10"/>
      <c r="E5" s="10"/>
      <c r="F5" s="11"/>
      <c r="G5" s="11"/>
      <c r="H5" s="12"/>
      <c r="I5" s="11"/>
      <c r="J5" s="11"/>
      <c r="K5" s="8"/>
    </row>
    <row r="6" spans="1:13" ht="25.5" x14ac:dyDescent="0.25">
      <c r="A6" s="38" t="s">
        <v>3</v>
      </c>
      <c r="B6" s="39" t="s">
        <v>4</v>
      </c>
      <c r="C6" s="40" t="s">
        <v>5</v>
      </c>
      <c r="D6" s="41"/>
      <c r="E6" s="42"/>
      <c r="F6" s="43"/>
      <c r="G6" s="44" t="s">
        <v>6</v>
      </c>
      <c r="H6" s="45" t="s">
        <v>7</v>
      </c>
      <c r="I6" s="46" t="s">
        <v>8</v>
      </c>
      <c r="J6" s="46" t="s">
        <v>9</v>
      </c>
      <c r="K6" s="46" t="s">
        <v>8</v>
      </c>
      <c r="L6" s="46" t="s">
        <v>9</v>
      </c>
      <c r="M6" s="47"/>
    </row>
    <row r="7" spans="1:13" x14ac:dyDescent="0.25">
      <c r="A7" s="61"/>
      <c r="B7" s="62"/>
      <c r="C7" s="63"/>
      <c r="D7" s="64" t="s">
        <v>11</v>
      </c>
      <c r="E7" s="64" t="s">
        <v>10</v>
      </c>
      <c r="F7" s="65" t="s">
        <v>12</v>
      </c>
      <c r="G7" s="66"/>
      <c r="H7" s="67"/>
      <c r="I7" s="35" t="s">
        <v>13</v>
      </c>
      <c r="J7" s="35" t="s">
        <v>13</v>
      </c>
      <c r="K7" s="36" t="s">
        <v>14</v>
      </c>
      <c r="L7" s="36" t="s">
        <v>14</v>
      </c>
      <c r="M7" s="68" t="s">
        <v>15</v>
      </c>
    </row>
    <row r="8" spans="1:13" x14ac:dyDescent="0.25">
      <c r="A8" s="13" t="s">
        <v>89</v>
      </c>
      <c r="B8" s="14"/>
      <c r="C8" s="14"/>
      <c r="D8" s="15">
        <f>SUM(D44:D47)</f>
        <v>256700</v>
      </c>
      <c r="E8" s="15">
        <f>SUM(E24:E32)</f>
        <v>152600</v>
      </c>
      <c r="F8" s="15">
        <f>SUM(F9:F12)</f>
        <v>35750</v>
      </c>
      <c r="G8" s="16">
        <f>SUM(D8:F8)</f>
        <v>445050</v>
      </c>
      <c r="H8" s="14"/>
      <c r="I8" s="14"/>
      <c r="J8" s="14"/>
      <c r="K8" s="14"/>
      <c r="L8" s="14"/>
      <c r="M8" s="17">
        <f t="shared" ref="M8:M48" si="0">SUM(G8-I8-K8)</f>
        <v>445050</v>
      </c>
    </row>
    <row r="9" spans="1:13" x14ac:dyDescent="0.25">
      <c r="A9" s="99">
        <v>46055</v>
      </c>
      <c r="B9" s="92" t="s">
        <v>91</v>
      </c>
      <c r="C9" s="92" t="s">
        <v>92</v>
      </c>
      <c r="D9" s="24"/>
      <c r="E9" s="24"/>
      <c r="F9" s="54">
        <v>5000</v>
      </c>
      <c r="G9" s="54">
        <v>5000</v>
      </c>
      <c r="H9" s="26" t="s">
        <v>16</v>
      </c>
      <c r="I9" s="85"/>
      <c r="J9" s="25"/>
      <c r="K9" s="54">
        <v>5000</v>
      </c>
      <c r="L9" s="30" t="s">
        <v>107</v>
      </c>
      <c r="M9" s="17">
        <f t="shared" si="0"/>
        <v>0</v>
      </c>
    </row>
    <row r="10" spans="1:13" x14ac:dyDescent="0.25">
      <c r="A10" s="99">
        <v>46055</v>
      </c>
      <c r="B10" s="92" t="s">
        <v>103</v>
      </c>
      <c r="C10" s="92" t="s">
        <v>104</v>
      </c>
      <c r="D10" s="24"/>
      <c r="E10" s="24"/>
      <c r="F10" s="54">
        <v>3500</v>
      </c>
      <c r="G10" s="54">
        <v>3500</v>
      </c>
      <c r="H10" s="26" t="s">
        <v>16</v>
      </c>
      <c r="I10" s="85"/>
      <c r="J10" s="25"/>
      <c r="K10" s="54">
        <v>3500</v>
      </c>
      <c r="L10" s="30" t="s">
        <v>165</v>
      </c>
      <c r="M10" s="17">
        <f t="shared" si="0"/>
        <v>0</v>
      </c>
    </row>
    <row r="11" spans="1:13" x14ac:dyDescent="0.25">
      <c r="A11" s="99">
        <v>46057</v>
      </c>
      <c r="B11" s="92" t="s">
        <v>119</v>
      </c>
      <c r="C11" s="92" t="s">
        <v>120</v>
      </c>
      <c r="D11" s="24"/>
      <c r="E11" s="24"/>
      <c r="F11" s="54">
        <v>26000</v>
      </c>
      <c r="G11" s="54">
        <v>26000</v>
      </c>
      <c r="H11" s="26" t="s">
        <v>16</v>
      </c>
      <c r="I11" s="85"/>
      <c r="J11" s="25"/>
      <c r="K11" s="31">
        <v>26000</v>
      </c>
      <c r="L11" s="31" t="s">
        <v>125</v>
      </c>
      <c r="M11" s="17">
        <f t="shared" si="0"/>
        <v>0</v>
      </c>
    </row>
    <row r="12" spans="1:13" x14ac:dyDescent="0.25">
      <c r="A12" s="100">
        <v>46058</v>
      </c>
      <c r="B12" s="93" t="s">
        <v>121</v>
      </c>
      <c r="C12" s="93" t="s">
        <v>122</v>
      </c>
      <c r="D12" s="28"/>
      <c r="E12" s="28"/>
      <c r="F12" s="54">
        <v>1250</v>
      </c>
      <c r="G12" s="89">
        <v>1250</v>
      </c>
      <c r="H12" s="26" t="s">
        <v>16</v>
      </c>
      <c r="I12" s="85"/>
      <c r="J12" s="25"/>
      <c r="K12" s="31">
        <v>1250</v>
      </c>
      <c r="L12" s="31" t="s">
        <v>123</v>
      </c>
      <c r="M12" s="17">
        <f t="shared" si="0"/>
        <v>0</v>
      </c>
    </row>
    <row r="13" spans="1:13" x14ac:dyDescent="0.25">
      <c r="A13" s="100">
        <v>46064</v>
      </c>
      <c r="B13" s="94" t="s">
        <v>127</v>
      </c>
      <c r="C13" s="94" t="s">
        <v>34</v>
      </c>
      <c r="D13" s="86"/>
      <c r="E13" s="86"/>
      <c r="F13" s="90">
        <v>3450</v>
      </c>
      <c r="G13" s="91">
        <v>3450</v>
      </c>
      <c r="H13" s="26" t="s">
        <v>16</v>
      </c>
      <c r="I13" s="85"/>
      <c r="J13" s="25"/>
      <c r="K13" s="87">
        <v>3450</v>
      </c>
      <c r="L13" s="88" t="s">
        <v>128</v>
      </c>
      <c r="M13" s="17">
        <f t="shared" si="0"/>
        <v>0</v>
      </c>
    </row>
    <row r="14" spans="1:13" x14ac:dyDescent="0.25">
      <c r="A14" s="101">
        <v>46065</v>
      </c>
      <c r="B14" s="95" t="s">
        <v>129</v>
      </c>
      <c r="C14" s="95" t="s">
        <v>130</v>
      </c>
      <c r="D14" s="96"/>
      <c r="E14" s="54"/>
      <c r="F14" s="96">
        <v>3000</v>
      </c>
      <c r="G14" s="97">
        <v>3000</v>
      </c>
      <c r="H14" s="26" t="s">
        <v>16</v>
      </c>
      <c r="I14" s="85"/>
      <c r="J14" s="25"/>
      <c r="K14" s="98">
        <v>3000</v>
      </c>
      <c r="L14" s="102" t="s">
        <v>131</v>
      </c>
      <c r="M14" s="17">
        <f t="shared" si="0"/>
        <v>0</v>
      </c>
    </row>
    <row r="15" spans="1:13" x14ac:dyDescent="0.25">
      <c r="A15" s="101">
        <v>46066</v>
      </c>
      <c r="B15" s="95" t="s">
        <v>132</v>
      </c>
      <c r="C15" s="95" t="s">
        <v>133</v>
      </c>
      <c r="D15" s="96"/>
      <c r="E15" s="54"/>
      <c r="F15" s="96">
        <v>35000</v>
      </c>
      <c r="G15" s="97">
        <v>35000</v>
      </c>
      <c r="H15" s="26" t="s">
        <v>16</v>
      </c>
      <c r="I15" s="85"/>
      <c r="J15" s="25"/>
      <c r="K15" s="98">
        <v>35000</v>
      </c>
      <c r="L15" s="102" t="s">
        <v>134</v>
      </c>
      <c r="M15" s="17">
        <f t="shared" si="0"/>
        <v>0</v>
      </c>
    </row>
    <row r="16" spans="1:13" x14ac:dyDescent="0.25">
      <c r="A16" s="101">
        <v>46069</v>
      </c>
      <c r="B16" s="95" t="s">
        <v>135</v>
      </c>
      <c r="C16" s="95" t="s">
        <v>136</v>
      </c>
      <c r="D16" s="96"/>
      <c r="E16" s="96"/>
      <c r="F16" s="96">
        <v>1800</v>
      </c>
      <c r="G16" s="97">
        <v>1800</v>
      </c>
      <c r="H16" s="26" t="s">
        <v>16</v>
      </c>
      <c r="I16" s="85"/>
      <c r="J16" s="25"/>
      <c r="K16" s="98">
        <v>1800</v>
      </c>
      <c r="L16" s="102" t="s">
        <v>137</v>
      </c>
      <c r="M16" s="17">
        <f t="shared" si="0"/>
        <v>0</v>
      </c>
    </row>
    <row r="17" spans="1:13" x14ac:dyDescent="0.25">
      <c r="A17" s="101">
        <v>46069</v>
      </c>
      <c r="B17" s="95" t="s">
        <v>138</v>
      </c>
      <c r="C17" s="95" t="s">
        <v>47</v>
      </c>
      <c r="D17" s="96"/>
      <c r="E17" s="96"/>
      <c r="F17" s="96">
        <v>2500</v>
      </c>
      <c r="G17" s="97">
        <v>2500</v>
      </c>
      <c r="H17" s="26" t="s">
        <v>16</v>
      </c>
      <c r="I17" s="85"/>
      <c r="J17" s="25"/>
      <c r="K17" s="98">
        <v>2500</v>
      </c>
      <c r="L17" s="102" t="s">
        <v>139</v>
      </c>
      <c r="M17" s="17">
        <f t="shared" si="0"/>
        <v>0</v>
      </c>
    </row>
    <row r="18" spans="1:13" x14ac:dyDescent="0.25">
      <c r="A18" s="101">
        <v>46071</v>
      </c>
      <c r="B18" s="95" t="s">
        <v>159</v>
      </c>
      <c r="C18" s="95" t="s">
        <v>66</v>
      </c>
      <c r="D18" s="96"/>
      <c r="E18" s="96"/>
      <c r="F18" s="96">
        <v>75000</v>
      </c>
      <c r="G18" s="97">
        <v>75000</v>
      </c>
      <c r="H18" s="26"/>
      <c r="I18" s="89">
        <v>56250</v>
      </c>
      <c r="J18" s="93" t="s">
        <v>345</v>
      </c>
      <c r="K18" s="98"/>
      <c r="L18" s="102"/>
      <c r="M18" s="17">
        <f t="shared" si="0"/>
        <v>18750</v>
      </c>
    </row>
    <row r="19" spans="1:13" x14ac:dyDescent="0.25">
      <c r="A19" s="101">
        <v>46072</v>
      </c>
      <c r="B19" s="95" t="s">
        <v>160</v>
      </c>
      <c r="C19" s="95" t="s">
        <v>161</v>
      </c>
      <c r="D19" s="96"/>
      <c r="E19" s="96"/>
      <c r="F19" s="96">
        <v>37000</v>
      </c>
      <c r="G19" s="97">
        <v>37000</v>
      </c>
      <c r="H19" s="26" t="s">
        <v>16</v>
      </c>
      <c r="I19" s="85"/>
      <c r="J19" s="25"/>
      <c r="K19" s="98">
        <v>37000</v>
      </c>
      <c r="L19" s="102" t="s">
        <v>162</v>
      </c>
      <c r="M19" s="17">
        <f t="shared" si="0"/>
        <v>0</v>
      </c>
    </row>
    <row r="20" spans="1:13" x14ac:dyDescent="0.25">
      <c r="A20" s="101">
        <v>46078</v>
      </c>
      <c r="B20" s="95" t="s">
        <v>180</v>
      </c>
      <c r="C20" s="95" t="s">
        <v>95</v>
      </c>
      <c r="D20" s="96"/>
      <c r="E20" s="96"/>
      <c r="F20" s="96">
        <v>30000</v>
      </c>
      <c r="G20" s="97">
        <v>30000</v>
      </c>
      <c r="H20" s="26" t="s">
        <v>16</v>
      </c>
      <c r="I20" s="89">
        <v>24000</v>
      </c>
      <c r="J20" s="93" t="s">
        <v>184</v>
      </c>
      <c r="K20" s="98">
        <v>6000</v>
      </c>
      <c r="L20" s="102" t="s">
        <v>337</v>
      </c>
      <c r="M20" s="17">
        <f t="shared" si="0"/>
        <v>0</v>
      </c>
    </row>
    <row r="21" spans="1:13" x14ac:dyDescent="0.25">
      <c r="A21" s="101">
        <v>46078</v>
      </c>
      <c r="B21" s="95" t="s">
        <v>181</v>
      </c>
      <c r="C21" s="95" t="s">
        <v>95</v>
      </c>
      <c r="D21" s="96"/>
      <c r="E21" s="96"/>
      <c r="F21" s="96">
        <v>30000</v>
      </c>
      <c r="G21" s="97">
        <v>30000</v>
      </c>
      <c r="H21" s="26" t="s">
        <v>16</v>
      </c>
      <c r="I21" s="89">
        <v>16000</v>
      </c>
      <c r="J21" s="93" t="s">
        <v>183</v>
      </c>
      <c r="K21" s="98">
        <v>14000</v>
      </c>
      <c r="L21" s="102" t="s">
        <v>338</v>
      </c>
      <c r="M21" s="17">
        <f t="shared" si="0"/>
        <v>0</v>
      </c>
    </row>
    <row r="22" spans="1:13" x14ac:dyDescent="0.25">
      <c r="A22" s="101">
        <v>46078</v>
      </c>
      <c r="B22" s="95" t="s">
        <v>182</v>
      </c>
      <c r="C22" s="95" t="s">
        <v>20</v>
      </c>
      <c r="D22" s="96"/>
      <c r="E22" s="96"/>
      <c r="F22" s="96">
        <v>20000</v>
      </c>
      <c r="G22" s="97">
        <v>20000</v>
      </c>
      <c r="H22" s="26" t="s">
        <v>16</v>
      </c>
      <c r="I22" s="89">
        <v>16000</v>
      </c>
      <c r="J22" s="93" t="s">
        <v>335</v>
      </c>
      <c r="K22" s="98">
        <v>4000</v>
      </c>
      <c r="L22" s="102" t="s">
        <v>339</v>
      </c>
      <c r="M22" s="17">
        <f t="shared" si="0"/>
        <v>0</v>
      </c>
    </row>
    <row r="23" spans="1:13" x14ac:dyDescent="0.25">
      <c r="A23" s="69"/>
      <c r="B23" s="70"/>
      <c r="C23" s="70"/>
      <c r="D23" s="71"/>
      <c r="E23" s="71"/>
      <c r="F23" s="71"/>
      <c r="G23" s="71"/>
      <c r="H23" s="72"/>
      <c r="I23" s="70"/>
      <c r="J23" s="70"/>
      <c r="K23" s="73"/>
      <c r="L23" s="73"/>
      <c r="M23" s="74"/>
    </row>
    <row r="24" spans="1:13" x14ac:dyDescent="0.25">
      <c r="A24" s="106">
        <v>46055</v>
      </c>
      <c r="B24" s="94" t="s">
        <v>90</v>
      </c>
      <c r="C24" s="94" t="s">
        <v>20</v>
      </c>
      <c r="D24" s="90"/>
      <c r="E24" s="90">
        <v>13000</v>
      </c>
      <c r="F24" s="90"/>
      <c r="G24" s="91">
        <v>13000</v>
      </c>
      <c r="H24" s="26" t="s">
        <v>16</v>
      </c>
      <c r="I24" s="85"/>
      <c r="J24" s="25"/>
      <c r="K24" s="103">
        <v>13000</v>
      </c>
      <c r="L24" s="94" t="s">
        <v>221</v>
      </c>
      <c r="M24" s="17">
        <f t="shared" si="0"/>
        <v>0</v>
      </c>
    </row>
    <row r="25" spans="1:13" x14ac:dyDescent="0.25">
      <c r="A25" s="106">
        <v>46055</v>
      </c>
      <c r="B25" s="94" t="s">
        <v>140</v>
      </c>
      <c r="C25" s="94" t="s">
        <v>20</v>
      </c>
      <c r="D25" s="90"/>
      <c r="E25" s="90">
        <v>6500</v>
      </c>
      <c r="F25" s="90"/>
      <c r="G25" s="91">
        <v>6500</v>
      </c>
      <c r="H25" s="26" t="s">
        <v>16</v>
      </c>
      <c r="I25" s="85"/>
      <c r="J25" s="25"/>
      <c r="K25" s="103">
        <v>6500</v>
      </c>
      <c r="L25" s="94" t="s">
        <v>222</v>
      </c>
      <c r="M25" s="17">
        <f t="shared" si="0"/>
        <v>0</v>
      </c>
    </row>
    <row r="26" spans="1:13" x14ac:dyDescent="0.25">
      <c r="A26" s="106">
        <v>46055</v>
      </c>
      <c r="B26" s="94" t="s">
        <v>93</v>
      </c>
      <c r="C26" s="94" t="s">
        <v>17</v>
      </c>
      <c r="D26" s="90"/>
      <c r="E26" s="90">
        <v>6500</v>
      </c>
      <c r="F26" s="90"/>
      <c r="G26" s="91">
        <v>6500</v>
      </c>
      <c r="H26" s="26" t="s">
        <v>16</v>
      </c>
      <c r="I26" s="85"/>
      <c r="J26" s="25"/>
      <c r="K26" s="103">
        <v>6500</v>
      </c>
      <c r="L26" s="94" t="s">
        <v>223</v>
      </c>
      <c r="M26" s="17">
        <f t="shared" si="0"/>
        <v>0</v>
      </c>
    </row>
    <row r="27" spans="1:13" x14ac:dyDescent="0.25">
      <c r="A27" s="106">
        <v>46055</v>
      </c>
      <c r="B27" s="94" t="s">
        <v>94</v>
      </c>
      <c r="C27" s="94" t="s">
        <v>95</v>
      </c>
      <c r="D27" s="90"/>
      <c r="E27" s="90">
        <v>19500</v>
      </c>
      <c r="F27" s="90"/>
      <c r="G27" s="91">
        <v>19500</v>
      </c>
      <c r="H27" s="26" t="s">
        <v>16</v>
      </c>
      <c r="I27" s="85"/>
      <c r="J27" s="25"/>
      <c r="K27" s="103">
        <v>19500</v>
      </c>
      <c r="L27" s="94" t="s">
        <v>224</v>
      </c>
      <c r="M27" s="17">
        <f t="shared" si="0"/>
        <v>0</v>
      </c>
    </row>
    <row r="28" spans="1:13" x14ac:dyDescent="0.25">
      <c r="A28" s="106">
        <v>46090</v>
      </c>
      <c r="B28" s="94" t="s">
        <v>214</v>
      </c>
      <c r="C28" s="94" t="s">
        <v>215</v>
      </c>
      <c r="D28" s="90"/>
      <c r="E28" s="90">
        <v>15500</v>
      </c>
      <c r="F28" s="90"/>
      <c r="G28" s="91">
        <v>15500</v>
      </c>
      <c r="H28" s="26" t="s">
        <v>16</v>
      </c>
      <c r="I28" s="104"/>
      <c r="J28" s="105"/>
      <c r="K28" s="103">
        <v>15500</v>
      </c>
      <c r="L28" s="94" t="s">
        <v>216</v>
      </c>
      <c r="M28" s="54"/>
    </row>
    <row r="29" spans="1:13" x14ac:dyDescent="0.25">
      <c r="A29" s="101">
        <v>46056</v>
      </c>
      <c r="B29" s="95" t="s">
        <v>96</v>
      </c>
      <c r="C29" s="95" t="s">
        <v>97</v>
      </c>
      <c r="D29" s="96"/>
      <c r="E29" s="54">
        <v>20000</v>
      </c>
      <c r="F29" s="96"/>
      <c r="G29" s="97">
        <v>20000</v>
      </c>
      <c r="H29" s="26" t="s">
        <v>16</v>
      </c>
      <c r="I29" s="104"/>
      <c r="J29" s="105"/>
      <c r="K29" s="98">
        <v>20000</v>
      </c>
      <c r="L29" s="95" t="s">
        <v>109</v>
      </c>
      <c r="M29" s="54"/>
    </row>
    <row r="30" spans="1:13" x14ac:dyDescent="0.25">
      <c r="A30" s="101">
        <v>46056</v>
      </c>
      <c r="B30" s="95" t="s">
        <v>99</v>
      </c>
      <c r="C30" s="95" t="s">
        <v>98</v>
      </c>
      <c r="D30" s="96"/>
      <c r="E30" s="54">
        <v>51000</v>
      </c>
      <c r="F30" s="96"/>
      <c r="G30" s="97">
        <v>51000</v>
      </c>
      <c r="H30" s="26" t="s">
        <v>16</v>
      </c>
      <c r="I30" s="104"/>
      <c r="J30" s="105"/>
      <c r="K30" s="98">
        <v>51000</v>
      </c>
      <c r="L30" s="95" t="s">
        <v>157</v>
      </c>
      <c r="M30" s="54">
        <f t="shared" si="0"/>
        <v>0</v>
      </c>
    </row>
    <row r="31" spans="1:13" x14ac:dyDescent="0.25">
      <c r="A31" s="101">
        <v>46056</v>
      </c>
      <c r="B31" s="95" t="s">
        <v>101</v>
      </c>
      <c r="C31" s="95" t="s">
        <v>102</v>
      </c>
      <c r="D31" s="96"/>
      <c r="E31" s="96">
        <v>18900</v>
      </c>
      <c r="F31" s="96"/>
      <c r="G31" s="97">
        <v>18900</v>
      </c>
      <c r="H31" s="26" t="s">
        <v>16</v>
      </c>
      <c r="I31" s="104"/>
      <c r="J31" s="105"/>
      <c r="K31" s="98">
        <v>18900</v>
      </c>
      <c r="L31" s="95" t="s">
        <v>108</v>
      </c>
      <c r="M31" s="54">
        <f t="shared" si="0"/>
        <v>0</v>
      </c>
    </row>
    <row r="32" spans="1:13" x14ac:dyDescent="0.25">
      <c r="A32" s="101">
        <v>46057</v>
      </c>
      <c r="B32" s="95" t="s">
        <v>116</v>
      </c>
      <c r="C32" s="95" t="s">
        <v>117</v>
      </c>
      <c r="D32" s="96"/>
      <c r="E32" s="96">
        <v>1700</v>
      </c>
      <c r="F32" s="96"/>
      <c r="G32" s="97">
        <v>1700</v>
      </c>
      <c r="H32" s="26" t="s">
        <v>16</v>
      </c>
      <c r="I32" s="104"/>
      <c r="J32" s="105"/>
      <c r="K32" s="98">
        <v>1700</v>
      </c>
      <c r="L32" s="95" t="s">
        <v>118</v>
      </c>
      <c r="M32" s="54">
        <f t="shared" si="0"/>
        <v>0</v>
      </c>
    </row>
    <row r="33" spans="1:13" x14ac:dyDescent="0.25">
      <c r="A33" s="101">
        <v>46057</v>
      </c>
      <c r="B33" s="93" t="s">
        <v>260</v>
      </c>
      <c r="C33" s="93" t="s">
        <v>141</v>
      </c>
      <c r="D33" s="89"/>
      <c r="E33" s="89">
        <v>335000</v>
      </c>
      <c r="F33" s="89"/>
      <c r="G33" s="89">
        <v>335000</v>
      </c>
      <c r="H33" s="26"/>
      <c r="I33" s="54">
        <v>167500</v>
      </c>
      <c r="J33" s="92" t="s">
        <v>205</v>
      </c>
      <c r="K33" s="31"/>
      <c r="L33" s="31"/>
      <c r="M33" s="54">
        <f t="shared" si="0"/>
        <v>167500</v>
      </c>
    </row>
    <row r="34" spans="1:13" x14ac:dyDescent="0.25">
      <c r="A34" s="100">
        <v>46064</v>
      </c>
      <c r="B34" s="93" t="s">
        <v>142</v>
      </c>
      <c r="C34" s="93" t="s">
        <v>141</v>
      </c>
      <c r="D34" s="89"/>
      <c r="E34" s="89">
        <v>249000</v>
      </c>
      <c r="F34" s="89"/>
      <c r="G34" s="89">
        <v>249000</v>
      </c>
      <c r="H34" s="26"/>
      <c r="I34" s="54">
        <v>124500</v>
      </c>
      <c r="J34" s="92" t="s">
        <v>204</v>
      </c>
      <c r="K34" s="31"/>
      <c r="L34" s="31"/>
      <c r="M34" s="54">
        <f t="shared" si="0"/>
        <v>124500</v>
      </c>
    </row>
    <row r="35" spans="1:13" x14ac:dyDescent="0.25">
      <c r="A35" s="100">
        <v>46064</v>
      </c>
      <c r="B35" s="93" t="s">
        <v>143</v>
      </c>
      <c r="C35" s="93" t="s">
        <v>66</v>
      </c>
      <c r="D35" s="89"/>
      <c r="E35" s="89">
        <v>73500</v>
      </c>
      <c r="F35" s="89"/>
      <c r="G35" s="89">
        <v>73500</v>
      </c>
      <c r="H35" s="26" t="s">
        <v>16</v>
      </c>
      <c r="I35" s="104"/>
      <c r="J35" s="105"/>
      <c r="K35" s="31">
        <v>73500</v>
      </c>
      <c r="L35" s="31" t="s">
        <v>144</v>
      </c>
      <c r="M35" s="54">
        <f t="shared" si="0"/>
        <v>0</v>
      </c>
    </row>
    <row r="36" spans="1:13" x14ac:dyDescent="0.25">
      <c r="A36" s="100">
        <v>46064</v>
      </c>
      <c r="B36" s="93" t="s">
        <v>145</v>
      </c>
      <c r="C36" s="93" t="s">
        <v>281</v>
      </c>
      <c r="D36" s="89"/>
      <c r="E36" s="89">
        <v>271000</v>
      </c>
      <c r="F36" s="89"/>
      <c r="G36" s="89">
        <v>271000</v>
      </c>
      <c r="H36" s="26"/>
      <c r="I36" s="54">
        <v>90000</v>
      </c>
      <c r="J36" s="92" t="s">
        <v>257</v>
      </c>
      <c r="K36" s="31"/>
      <c r="L36" s="31"/>
      <c r="M36" s="54">
        <f t="shared" si="0"/>
        <v>181000</v>
      </c>
    </row>
    <row r="37" spans="1:13" x14ac:dyDescent="0.25">
      <c r="A37" s="100">
        <v>46064</v>
      </c>
      <c r="B37" s="93" t="s">
        <v>146</v>
      </c>
      <c r="C37" s="93" t="s">
        <v>217</v>
      </c>
      <c r="D37" s="89"/>
      <c r="E37" s="89">
        <v>103400</v>
      </c>
      <c r="F37" s="89"/>
      <c r="G37" s="89">
        <v>103400</v>
      </c>
      <c r="H37" s="26" t="s">
        <v>16</v>
      </c>
      <c r="I37" s="104"/>
      <c r="J37" s="105"/>
      <c r="K37" s="31">
        <v>103400</v>
      </c>
      <c r="L37" s="31" t="s">
        <v>246</v>
      </c>
      <c r="M37" s="54">
        <f t="shared" si="0"/>
        <v>0</v>
      </c>
    </row>
    <row r="38" spans="1:13" x14ac:dyDescent="0.25">
      <c r="A38" s="99">
        <v>46066</v>
      </c>
      <c r="B38" s="92" t="s">
        <v>147</v>
      </c>
      <c r="C38" s="92" t="s">
        <v>47</v>
      </c>
      <c r="D38" s="54"/>
      <c r="E38" s="54">
        <v>2500</v>
      </c>
      <c r="F38" s="54"/>
      <c r="G38" s="54">
        <v>2500</v>
      </c>
      <c r="H38" s="26" t="s">
        <v>16</v>
      </c>
      <c r="I38" s="104"/>
      <c r="J38" s="105"/>
      <c r="K38" s="30">
        <v>2500</v>
      </c>
      <c r="L38" s="30" t="s">
        <v>148</v>
      </c>
      <c r="M38" s="54">
        <f t="shared" si="0"/>
        <v>0</v>
      </c>
    </row>
    <row r="39" spans="1:13" x14ac:dyDescent="0.25">
      <c r="A39" s="99">
        <v>46073</v>
      </c>
      <c r="B39" s="92" t="s">
        <v>163</v>
      </c>
      <c r="C39" s="92" t="s">
        <v>164</v>
      </c>
      <c r="D39" s="54"/>
      <c r="E39" s="54">
        <v>15000</v>
      </c>
      <c r="F39" s="54"/>
      <c r="G39" s="54">
        <v>15000</v>
      </c>
      <c r="H39" s="22"/>
      <c r="I39" s="92"/>
      <c r="J39" s="92"/>
      <c r="K39" s="30"/>
      <c r="L39" s="30"/>
      <c r="M39" s="54">
        <f t="shared" si="0"/>
        <v>15000</v>
      </c>
    </row>
    <row r="40" spans="1:13" x14ac:dyDescent="0.25">
      <c r="A40" s="99">
        <v>46073</v>
      </c>
      <c r="B40" s="92" t="s">
        <v>167</v>
      </c>
      <c r="C40" s="92" t="s">
        <v>168</v>
      </c>
      <c r="D40" s="54"/>
      <c r="E40" s="54">
        <v>15000</v>
      </c>
      <c r="F40" s="54"/>
      <c r="G40" s="54">
        <v>15000</v>
      </c>
      <c r="H40" s="26" t="s">
        <v>16</v>
      </c>
      <c r="I40" s="104"/>
      <c r="J40" s="105"/>
      <c r="K40" s="30">
        <v>15000</v>
      </c>
      <c r="L40" s="30" t="s">
        <v>207</v>
      </c>
      <c r="M40" s="54">
        <f t="shared" si="0"/>
        <v>0</v>
      </c>
    </row>
    <row r="41" spans="1:13" x14ac:dyDescent="0.25">
      <c r="A41" s="99">
        <v>46078</v>
      </c>
      <c r="B41" s="92" t="s">
        <v>177</v>
      </c>
      <c r="C41" s="92" t="s">
        <v>75</v>
      </c>
      <c r="D41" s="54"/>
      <c r="E41" s="54">
        <v>30000</v>
      </c>
      <c r="F41" s="54"/>
      <c r="G41" s="54">
        <v>30000</v>
      </c>
      <c r="H41" s="22"/>
      <c r="I41" s="92"/>
      <c r="J41" s="92"/>
      <c r="K41" s="30"/>
      <c r="L41" s="30"/>
      <c r="M41" s="54">
        <f t="shared" si="0"/>
        <v>30000</v>
      </c>
    </row>
    <row r="42" spans="1:13" x14ac:dyDescent="0.25">
      <c r="A42" s="108">
        <v>46077</v>
      </c>
      <c r="B42" s="109" t="s">
        <v>179</v>
      </c>
      <c r="C42" s="109" t="s">
        <v>178</v>
      </c>
      <c r="D42" s="110"/>
      <c r="E42" s="110">
        <v>10500</v>
      </c>
      <c r="F42" s="110"/>
      <c r="G42" s="110">
        <v>10500</v>
      </c>
      <c r="H42" s="26" t="s">
        <v>16</v>
      </c>
      <c r="I42" s="104"/>
      <c r="J42" s="105"/>
      <c r="K42" s="111">
        <v>10500</v>
      </c>
      <c r="L42" s="111" t="s">
        <v>185</v>
      </c>
      <c r="M42" s="110">
        <f t="shared" si="0"/>
        <v>0</v>
      </c>
    </row>
    <row r="43" spans="1:13" x14ac:dyDescent="0.25">
      <c r="A43" s="75"/>
      <c r="B43" s="76"/>
      <c r="C43" s="76"/>
      <c r="D43" s="77"/>
      <c r="E43" s="78"/>
      <c r="F43" s="78"/>
      <c r="G43" s="78"/>
      <c r="H43" s="79"/>
      <c r="I43" s="76"/>
      <c r="J43" s="76"/>
      <c r="K43" s="80"/>
      <c r="L43" s="80"/>
      <c r="M43" s="81"/>
    </row>
    <row r="44" spans="1:13" x14ac:dyDescent="0.25">
      <c r="A44" s="107">
        <v>46055</v>
      </c>
      <c r="B44" s="92" t="s">
        <v>105</v>
      </c>
      <c r="C44" s="92" t="s">
        <v>66</v>
      </c>
      <c r="D44" s="54">
        <v>101000</v>
      </c>
      <c r="E44" s="54"/>
      <c r="F44" s="54"/>
      <c r="G44" s="54">
        <v>101000</v>
      </c>
      <c r="H44" s="22" t="s">
        <v>16</v>
      </c>
      <c r="I44" s="54">
        <v>50500</v>
      </c>
      <c r="J44" s="92" t="s">
        <v>106</v>
      </c>
      <c r="K44" s="30">
        <v>50500</v>
      </c>
      <c r="L44" s="30" t="s">
        <v>388</v>
      </c>
      <c r="M44" s="54">
        <f t="shared" si="0"/>
        <v>0</v>
      </c>
    </row>
    <row r="45" spans="1:13" x14ac:dyDescent="0.25">
      <c r="A45" s="107">
        <v>46062</v>
      </c>
      <c r="B45" s="92" t="s">
        <v>150</v>
      </c>
      <c r="C45" s="92" t="s">
        <v>66</v>
      </c>
      <c r="D45" s="54">
        <v>80000</v>
      </c>
      <c r="E45" s="54"/>
      <c r="F45" s="54"/>
      <c r="G45" s="54">
        <v>80000</v>
      </c>
      <c r="H45" s="22" t="s">
        <v>16</v>
      </c>
      <c r="I45" s="54">
        <v>40000</v>
      </c>
      <c r="J45" s="92" t="s">
        <v>151</v>
      </c>
      <c r="K45" s="30">
        <v>40000</v>
      </c>
      <c r="L45" s="30" t="s">
        <v>245</v>
      </c>
      <c r="M45" s="54">
        <f t="shared" si="0"/>
        <v>0</v>
      </c>
    </row>
    <row r="46" spans="1:13" x14ac:dyDescent="0.25">
      <c r="A46" s="107">
        <v>46062</v>
      </c>
      <c r="B46" s="92" t="s">
        <v>152</v>
      </c>
      <c r="C46" s="92" t="s">
        <v>153</v>
      </c>
      <c r="D46" s="54">
        <v>1700</v>
      </c>
      <c r="E46" s="54"/>
      <c r="F46" s="54"/>
      <c r="G46" s="54">
        <v>1700</v>
      </c>
      <c r="H46" s="26" t="s">
        <v>16</v>
      </c>
      <c r="I46" s="104"/>
      <c r="J46" s="105"/>
      <c r="K46" s="30">
        <v>1700</v>
      </c>
      <c r="L46" s="30" t="s">
        <v>154</v>
      </c>
      <c r="M46" s="54">
        <f t="shared" si="0"/>
        <v>0</v>
      </c>
    </row>
    <row r="47" spans="1:13" x14ac:dyDescent="0.25">
      <c r="A47" s="107">
        <v>46069</v>
      </c>
      <c r="B47" s="92" t="s">
        <v>155</v>
      </c>
      <c r="C47" s="92" t="s">
        <v>66</v>
      </c>
      <c r="D47" s="54">
        <v>74000</v>
      </c>
      <c r="E47" s="54"/>
      <c r="F47" s="54"/>
      <c r="G47" s="54">
        <v>74000</v>
      </c>
      <c r="H47" s="22"/>
      <c r="I47" s="54">
        <v>37000</v>
      </c>
      <c r="J47" s="92" t="s">
        <v>156</v>
      </c>
      <c r="K47" s="30"/>
      <c r="L47" s="30"/>
      <c r="M47" s="54">
        <f t="shared" si="0"/>
        <v>37000</v>
      </c>
    </row>
    <row r="48" spans="1:13" x14ac:dyDescent="0.25">
      <c r="A48" s="107">
        <v>46072</v>
      </c>
      <c r="B48" s="92" t="s">
        <v>169</v>
      </c>
      <c r="C48" s="92" t="s">
        <v>170</v>
      </c>
      <c r="D48" s="54">
        <v>420000</v>
      </c>
      <c r="E48" s="54"/>
      <c r="F48" s="54"/>
      <c r="G48" s="54">
        <v>420000</v>
      </c>
      <c r="H48" s="22"/>
      <c r="I48" s="54">
        <v>210000</v>
      </c>
      <c r="J48" s="92" t="s">
        <v>171</v>
      </c>
      <c r="K48" s="30"/>
      <c r="L48" s="30"/>
      <c r="M48" s="54">
        <f t="shared" si="0"/>
        <v>210000</v>
      </c>
    </row>
    <row r="49" spans="1:13" x14ac:dyDescent="0.25">
      <c r="A49" s="82"/>
      <c r="B49" s="82"/>
      <c r="C49" s="82"/>
      <c r="D49" s="83"/>
      <c r="E49" s="83"/>
      <c r="F49" s="83"/>
      <c r="G49" s="82"/>
      <c r="H49" s="84"/>
      <c r="I49" s="82"/>
      <c r="J49" s="82"/>
      <c r="K49" s="82"/>
      <c r="L49" s="82"/>
      <c r="M49" s="82"/>
    </row>
    <row r="50" spans="1:13" x14ac:dyDescent="0.25">
      <c r="F50" s="33"/>
      <c r="H50" s="34"/>
    </row>
    <row r="51" spans="1:13" x14ac:dyDescent="0.25">
      <c r="F51" s="33"/>
      <c r="H51" s="34"/>
    </row>
    <row r="52" spans="1:13" x14ac:dyDescent="0.25">
      <c r="F52" s="33"/>
      <c r="H52" s="34" t="s">
        <v>342</v>
      </c>
    </row>
    <row r="53" spans="1:13" x14ac:dyDescent="0.25">
      <c r="F53" s="33"/>
      <c r="H53" s="34"/>
    </row>
    <row r="54" spans="1:13" x14ac:dyDescent="0.25">
      <c r="F54" s="33"/>
      <c r="H54" s="34"/>
    </row>
    <row r="55" spans="1:13" x14ac:dyDescent="0.25">
      <c r="F55" s="33"/>
      <c r="H55" s="34"/>
    </row>
    <row r="56" spans="1:13" x14ac:dyDescent="0.25">
      <c r="F56" s="33"/>
      <c r="H56" s="34"/>
    </row>
    <row r="57" spans="1:13" x14ac:dyDescent="0.25">
      <c r="F57" s="33"/>
      <c r="H57" s="34"/>
    </row>
    <row r="58" spans="1:13" x14ac:dyDescent="0.25">
      <c r="F58" s="33"/>
      <c r="H58" s="34"/>
    </row>
    <row r="59" spans="1:13" x14ac:dyDescent="0.25">
      <c r="F59" s="33"/>
      <c r="H59" s="34"/>
    </row>
    <row r="60" spans="1:13" x14ac:dyDescent="0.25">
      <c r="F60" s="33"/>
      <c r="H60" s="34"/>
    </row>
    <row r="61" spans="1:13" x14ac:dyDescent="0.25">
      <c r="F61" s="33"/>
      <c r="H61" s="34"/>
    </row>
    <row r="62" spans="1:13" x14ac:dyDescent="0.25">
      <c r="F62" s="33"/>
      <c r="H62" s="34"/>
    </row>
    <row r="63" spans="1:13" x14ac:dyDescent="0.25">
      <c r="F63" s="33"/>
      <c r="H63" s="34"/>
    </row>
    <row r="64" spans="1:13" x14ac:dyDescent="0.25">
      <c r="F64" s="33"/>
      <c r="H64" s="34"/>
    </row>
    <row r="65" spans="6:8" x14ac:dyDescent="0.25">
      <c r="F65" s="33"/>
      <c r="H65" s="34"/>
    </row>
    <row r="66" spans="6:8" x14ac:dyDescent="0.25">
      <c r="H66" s="34"/>
    </row>
    <row r="67" spans="6:8" x14ac:dyDescent="0.25">
      <c r="H67" s="34"/>
    </row>
    <row r="68" spans="6:8" x14ac:dyDescent="0.25">
      <c r="H68" s="34"/>
    </row>
    <row r="69" spans="6:8" x14ac:dyDescent="0.25">
      <c r="H69" s="3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25228-DE96-48B8-880E-0B6E9C211894}">
  <dimension ref="A1:M62"/>
  <sheetViews>
    <sheetView topLeftCell="B28" workbookViewId="0">
      <selection activeCell="B41" sqref="B41"/>
    </sheetView>
  </sheetViews>
  <sheetFormatPr defaultRowHeight="15" x14ac:dyDescent="0.25"/>
  <cols>
    <col min="1" max="1" width="9.28515625" customWidth="1"/>
    <col min="2" max="2" width="54.7109375" customWidth="1"/>
    <col min="3" max="3" width="46.140625" customWidth="1"/>
    <col min="4" max="4" width="12.42578125" style="33" customWidth="1"/>
    <col min="5" max="5" width="14.42578125" style="33" customWidth="1"/>
    <col min="6" max="6" width="13.42578125" customWidth="1"/>
    <col min="7" max="7" width="14.85546875" customWidth="1"/>
    <col min="8" max="8" width="10" customWidth="1"/>
    <col min="9" max="9" width="11.5703125" customWidth="1"/>
    <col min="10" max="10" width="11.85546875" customWidth="1"/>
    <col min="11" max="11" width="12.7109375" customWidth="1"/>
    <col min="12" max="12" width="15.28515625" customWidth="1"/>
    <col min="13" max="13" width="15.140625" customWidth="1"/>
  </cols>
  <sheetData>
    <row r="1" spans="1:13" x14ac:dyDescent="0.25">
      <c r="A1" s="1" t="s">
        <v>0</v>
      </c>
      <c r="B1" s="2"/>
      <c r="C1" s="3"/>
      <c r="D1" s="4"/>
      <c r="E1" s="4"/>
      <c r="F1" s="5"/>
      <c r="G1" s="5"/>
      <c r="H1" s="6"/>
      <c r="I1" s="7"/>
      <c r="J1" s="7"/>
      <c r="K1" s="8"/>
    </row>
    <row r="2" spans="1:13" x14ac:dyDescent="0.25">
      <c r="A2" s="1" t="s">
        <v>298</v>
      </c>
      <c r="B2" s="2"/>
      <c r="C2" s="3"/>
      <c r="D2" s="4"/>
      <c r="E2" s="4"/>
      <c r="F2" s="5"/>
      <c r="G2" s="5"/>
      <c r="H2" s="6"/>
      <c r="I2" s="7"/>
      <c r="J2" s="7"/>
      <c r="K2" s="8"/>
    </row>
    <row r="3" spans="1:13" x14ac:dyDescent="0.25">
      <c r="A3" s="1"/>
      <c r="B3" s="2"/>
      <c r="C3" s="3"/>
      <c r="D3" s="4"/>
      <c r="E3" s="4"/>
      <c r="F3" s="5"/>
      <c r="G3" s="5"/>
      <c r="H3" s="6"/>
      <c r="I3" s="7"/>
      <c r="J3" s="7"/>
      <c r="K3" s="8"/>
    </row>
    <row r="4" spans="1:13" x14ac:dyDescent="0.25">
      <c r="A4" s="9"/>
      <c r="B4" s="2" t="s">
        <v>2</v>
      </c>
      <c r="C4" s="3"/>
      <c r="D4" s="4"/>
      <c r="E4" s="4"/>
      <c r="F4" s="5"/>
      <c r="G4" s="5"/>
      <c r="H4" s="6"/>
      <c r="I4" s="7"/>
      <c r="J4" s="7"/>
      <c r="K4" s="8"/>
    </row>
    <row r="5" spans="1:13" ht="15.75" thickBot="1" x14ac:dyDescent="0.3">
      <c r="A5" s="37"/>
      <c r="B5" s="48" t="s">
        <v>21</v>
      </c>
      <c r="C5" s="8"/>
      <c r="D5" s="10"/>
      <c r="E5" s="10"/>
      <c r="F5" s="11"/>
      <c r="G5" s="11"/>
      <c r="H5" s="12"/>
      <c r="I5" s="11"/>
      <c r="J5" s="11"/>
      <c r="K5" s="8"/>
    </row>
    <row r="6" spans="1:13" ht="25.5" x14ac:dyDescent="0.25">
      <c r="A6" s="38" t="s">
        <v>3</v>
      </c>
      <c r="B6" s="39" t="s">
        <v>4</v>
      </c>
      <c r="C6" s="40" t="s">
        <v>5</v>
      </c>
      <c r="D6" s="41"/>
      <c r="E6" s="42"/>
      <c r="F6" s="43"/>
      <c r="G6" s="44" t="s">
        <v>6</v>
      </c>
      <c r="H6" s="45" t="s">
        <v>7</v>
      </c>
      <c r="I6" s="46" t="s">
        <v>8</v>
      </c>
      <c r="J6" s="46" t="s">
        <v>9</v>
      </c>
      <c r="K6" s="46" t="s">
        <v>8</v>
      </c>
      <c r="L6" s="46" t="s">
        <v>9</v>
      </c>
      <c r="M6" s="47"/>
    </row>
    <row r="7" spans="1:13" x14ac:dyDescent="0.25">
      <c r="A7" s="61"/>
      <c r="B7" s="62"/>
      <c r="C7" s="63"/>
      <c r="D7" s="64" t="s">
        <v>11</v>
      </c>
      <c r="E7" s="64" t="s">
        <v>10</v>
      </c>
      <c r="F7" s="65" t="s">
        <v>12</v>
      </c>
      <c r="G7" s="66"/>
      <c r="H7" s="67"/>
      <c r="I7" s="35" t="s">
        <v>13</v>
      </c>
      <c r="J7" s="35" t="s">
        <v>13</v>
      </c>
      <c r="K7" s="36" t="s">
        <v>14</v>
      </c>
      <c r="L7" s="36" t="s">
        <v>14</v>
      </c>
      <c r="M7" s="68" t="s">
        <v>15</v>
      </c>
    </row>
    <row r="8" spans="1:13" x14ac:dyDescent="0.25">
      <c r="A8" s="13" t="s">
        <v>280</v>
      </c>
      <c r="B8" s="14"/>
      <c r="C8" s="14"/>
      <c r="D8" s="15">
        <f>SUM(D39:D41)</f>
        <v>169500</v>
      </c>
      <c r="E8" s="15">
        <f>SUM(E21:E29)</f>
        <v>271000</v>
      </c>
      <c r="F8" s="15">
        <f>SUM(F9:F12)</f>
        <v>24200</v>
      </c>
      <c r="G8" s="16">
        <f>SUM(D8:F8)</f>
        <v>464700</v>
      </c>
      <c r="H8" s="14"/>
      <c r="I8" s="14"/>
      <c r="J8" s="14"/>
      <c r="K8" s="14"/>
      <c r="L8" s="14"/>
      <c r="M8" s="17">
        <f t="shared" ref="M8:M41" si="0">SUM(G8-I8-K8)</f>
        <v>464700</v>
      </c>
    </row>
    <row r="9" spans="1:13" x14ac:dyDescent="0.25">
      <c r="A9" s="99">
        <v>46083</v>
      </c>
      <c r="B9" s="92" t="s">
        <v>186</v>
      </c>
      <c r="C9" s="92" t="s">
        <v>187</v>
      </c>
      <c r="D9" s="24"/>
      <c r="E9" s="24"/>
      <c r="F9" s="54">
        <v>13500</v>
      </c>
      <c r="G9" s="54">
        <v>13500</v>
      </c>
      <c r="H9" s="26" t="s">
        <v>16</v>
      </c>
      <c r="I9" s="85"/>
      <c r="J9" s="25"/>
      <c r="K9" s="54">
        <v>13500</v>
      </c>
      <c r="L9" s="30" t="s">
        <v>188</v>
      </c>
      <c r="M9" s="17">
        <f t="shared" si="0"/>
        <v>0</v>
      </c>
    </row>
    <row r="10" spans="1:13" x14ac:dyDescent="0.25">
      <c r="A10" s="99">
        <v>46090</v>
      </c>
      <c r="B10" s="92" t="s">
        <v>210</v>
      </c>
      <c r="C10" s="92" t="s">
        <v>153</v>
      </c>
      <c r="D10" s="24"/>
      <c r="E10" s="24"/>
      <c r="F10" s="54">
        <v>1400</v>
      </c>
      <c r="G10" s="54">
        <v>1400</v>
      </c>
      <c r="H10" s="26" t="s">
        <v>16</v>
      </c>
      <c r="I10" s="85"/>
      <c r="J10" s="25"/>
      <c r="K10" s="54">
        <v>1400</v>
      </c>
      <c r="L10" s="30" t="s">
        <v>297</v>
      </c>
      <c r="M10" s="17">
        <f t="shared" si="0"/>
        <v>0</v>
      </c>
    </row>
    <row r="11" spans="1:13" x14ac:dyDescent="0.25">
      <c r="A11" s="99">
        <v>46090</v>
      </c>
      <c r="B11" s="92" t="s">
        <v>211</v>
      </c>
      <c r="C11" s="92" t="s">
        <v>153</v>
      </c>
      <c r="D11" s="24"/>
      <c r="E11" s="24"/>
      <c r="F11" s="54">
        <v>1800</v>
      </c>
      <c r="G11" s="54">
        <v>1800</v>
      </c>
      <c r="H11" s="26" t="s">
        <v>16</v>
      </c>
      <c r="I11" s="85"/>
      <c r="J11" s="25"/>
      <c r="K11" s="31">
        <v>1800</v>
      </c>
      <c r="L11" s="31" t="s">
        <v>244</v>
      </c>
      <c r="M11" s="17">
        <f t="shared" si="0"/>
        <v>0</v>
      </c>
    </row>
    <row r="12" spans="1:13" x14ac:dyDescent="0.25">
      <c r="A12" s="100">
        <v>46090</v>
      </c>
      <c r="B12" s="93" t="s">
        <v>212</v>
      </c>
      <c r="C12" s="93" t="s">
        <v>213</v>
      </c>
      <c r="D12" s="28"/>
      <c r="E12" s="28"/>
      <c r="F12" s="54">
        <v>7500</v>
      </c>
      <c r="G12" s="89">
        <v>7500</v>
      </c>
      <c r="H12" s="26" t="s">
        <v>16</v>
      </c>
      <c r="I12" s="85"/>
      <c r="J12" s="25"/>
      <c r="K12" s="31">
        <v>7500</v>
      </c>
      <c r="L12" s="31" t="s">
        <v>225</v>
      </c>
      <c r="M12" s="17">
        <f t="shared" si="0"/>
        <v>0</v>
      </c>
    </row>
    <row r="13" spans="1:13" x14ac:dyDescent="0.25">
      <c r="A13" s="100">
        <v>46091</v>
      </c>
      <c r="B13" s="94" t="s">
        <v>218</v>
      </c>
      <c r="C13" s="94" t="s">
        <v>219</v>
      </c>
      <c r="D13" s="86"/>
      <c r="E13" s="86"/>
      <c r="F13" s="90">
        <v>2500</v>
      </c>
      <c r="G13" s="91">
        <v>2500</v>
      </c>
      <c r="H13" s="26" t="s">
        <v>16</v>
      </c>
      <c r="I13" s="85"/>
      <c r="J13" s="25"/>
      <c r="K13" s="87">
        <v>2500</v>
      </c>
      <c r="L13" s="88" t="s">
        <v>226</v>
      </c>
      <c r="M13" s="17">
        <f t="shared" si="0"/>
        <v>0</v>
      </c>
    </row>
    <row r="14" spans="1:13" x14ac:dyDescent="0.25">
      <c r="A14" s="101">
        <v>46100</v>
      </c>
      <c r="B14" s="95" t="s">
        <v>238</v>
      </c>
      <c r="C14" s="95" t="s">
        <v>47</v>
      </c>
      <c r="D14" s="96"/>
      <c r="E14" s="54"/>
      <c r="F14" s="96">
        <v>2500</v>
      </c>
      <c r="G14" s="97">
        <v>2500</v>
      </c>
      <c r="H14" s="26" t="s">
        <v>16</v>
      </c>
      <c r="I14" s="85"/>
      <c r="J14" s="25"/>
      <c r="K14" s="98">
        <v>2500</v>
      </c>
      <c r="L14" s="102" t="s">
        <v>239</v>
      </c>
      <c r="M14" s="17">
        <f t="shared" si="0"/>
        <v>0</v>
      </c>
    </row>
    <row r="15" spans="1:13" x14ac:dyDescent="0.25">
      <c r="A15" s="101">
        <v>46106</v>
      </c>
      <c r="B15" s="95" t="s">
        <v>261</v>
      </c>
      <c r="C15" s="95" t="s">
        <v>34</v>
      </c>
      <c r="D15" s="96"/>
      <c r="E15" s="54"/>
      <c r="F15" s="96">
        <v>4700</v>
      </c>
      <c r="G15" s="97">
        <v>4700</v>
      </c>
      <c r="H15" s="26" t="s">
        <v>16</v>
      </c>
      <c r="I15" s="85"/>
      <c r="J15" s="25"/>
      <c r="K15" s="98">
        <v>4700</v>
      </c>
      <c r="L15" s="102" t="s">
        <v>262</v>
      </c>
      <c r="M15" s="17">
        <f t="shared" si="0"/>
        <v>0</v>
      </c>
    </row>
    <row r="16" spans="1:13" x14ac:dyDescent="0.25">
      <c r="A16" s="101">
        <v>46106</v>
      </c>
      <c r="B16" s="95" t="s">
        <v>263</v>
      </c>
      <c r="C16" s="95" t="s">
        <v>264</v>
      </c>
      <c r="D16" s="96"/>
      <c r="E16" s="96"/>
      <c r="F16" s="96">
        <v>61000</v>
      </c>
      <c r="G16" s="97">
        <v>61000</v>
      </c>
      <c r="H16" s="26" t="s">
        <v>16</v>
      </c>
      <c r="I16" s="85"/>
      <c r="J16" s="25"/>
      <c r="K16" s="98">
        <v>61000</v>
      </c>
      <c r="L16" s="102" t="s">
        <v>336</v>
      </c>
      <c r="M16" s="17">
        <f t="shared" si="0"/>
        <v>0</v>
      </c>
    </row>
    <row r="17" spans="1:13" x14ac:dyDescent="0.25">
      <c r="A17" s="101">
        <v>46107</v>
      </c>
      <c r="B17" s="95" t="s">
        <v>265</v>
      </c>
      <c r="C17" s="95" t="s">
        <v>266</v>
      </c>
      <c r="D17" s="96"/>
      <c r="E17" s="96"/>
      <c r="F17" s="96">
        <v>3500</v>
      </c>
      <c r="G17" s="97">
        <v>3500</v>
      </c>
      <c r="H17" s="26" t="s">
        <v>16</v>
      </c>
      <c r="I17" s="85"/>
      <c r="J17" s="25"/>
      <c r="K17" s="98">
        <v>3500</v>
      </c>
      <c r="L17" s="102" t="s">
        <v>267</v>
      </c>
      <c r="M17" s="17">
        <f t="shared" si="0"/>
        <v>0</v>
      </c>
    </row>
    <row r="18" spans="1:13" x14ac:dyDescent="0.25">
      <c r="A18" s="101">
        <v>46107</v>
      </c>
      <c r="B18" s="95" t="s">
        <v>268</v>
      </c>
      <c r="C18" s="95" t="s">
        <v>269</v>
      </c>
      <c r="D18" s="96"/>
      <c r="E18" s="96"/>
      <c r="F18" s="96">
        <v>12000</v>
      </c>
      <c r="G18" s="97">
        <v>12000</v>
      </c>
      <c r="H18" s="26" t="s">
        <v>16</v>
      </c>
      <c r="I18" s="85"/>
      <c r="J18" s="25"/>
      <c r="K18" s="98">
        <v>12000</v>
      </c>
      <c r="L18" s="102" t="s">
        <v>344</v>
      </c>
      <c r="M18" s="17">
        <f t="shared" si="0"/>
        <v>0</v>
      </c>
    </row>
    <row r="19" spans="1:13" x14ac:dyDescent="0.25">
      <c r="A19" s="101">
        <v>46107</v>
      </c>
      <c r="B19" s="95" t="s">
        <v>270</v>
      </c>
      <c r="C19" s="95" t="s">
        <v>271</v>
      </c>
      <c r="D19" s="96"/>
      <c r="E19" s="96"/>
      <c r="F19" s="96">
        <v>7500</v>
      </c>
      <c r="G19" s="97">
        <v>7500</v>
      </c>
      <c r="H19" s="26" t="s">
        <v>16</v>
      </c>
      <c r="I19" s="85"/>
      <c r="J19" s="25"/>
      <c r="K19" s="98">
        <v>7500</v>
      </c>
      <c r="L19" s="102" t="s">
        <v>272</v>
      </c>
      <c r="M19" s="17">
        <f t="shared" si="0"/>
        <v>0</v>
      </c>
    </row>
    <row r="20" spans="1:13" x14ac:dyDescent="0.25">
      <c r="A20" s="69"/>
      <c r="B20" s="70"/>
      <c r="C20" s="70"/>
      <c r="D20" s="71"/>
      <c r="E20" s="71"/>
      <c r="F20" s="71"/>
      <c r="G20" s="71"/>
      <c r="H20" s="72"/>
      <c r="I20" s="70"/>
      <c r="J20" s="70"/>
      <c r="K20" s="73"/>
      <c r="L20" s="73"/>
      <c r="M20" s="74"/>
    </row>
    <row r="21" spans="1:13" x14ac:dyDescent="0.25">
      <c r="A21" s="106">
        <v>46084</v>
      </c>
      <c r="B21" s="94" t="s">
        <v>189</v>
      </c>
      <c r="C21" s="94" t="s">
        <v>95</v>
      </c>
      <c r="D21" s="90"/>
      <c r="E21" s="90">
        <v>19500</v>
      </c>
      <c r="F21" s="90"/>
      <c r="G21" s="91">
        <v>19500</v>
      </c>
      <c r="H21" s="22"/>
      <c r="I21" s="54"/>
      <c r="J21" s="92"/>
      <c r="K21" s="103"/>
      <c r="L21" s="94"/>
      <c r="M21" s="17">
        <f t="shared" si="0"/>
        <v>19500</v>
      </c>
    </row>
    <row r="22" spans="1:13" x14ac:dyDescent="0.25">
      <c r="A22" s="106">
        <v>46084</v>
      </c>
      <c r="B22" s="94" t="s">
        <v>190</v>
      </c>
      <c r="C22" s="94" t="s">
        <v>95</v>
      </c>
      <c r="D22" s="90"/>
      <c r="E22" s="90">
        <v>19500</v>
      </c>
      <c r="F22" s="90"/>
      <c r="G22" s="91">
        <v>19500</v>
      </c>
      <c r="H22" s="26"/>
      <c r="I22" s="92"/>
      <c r="J22" s="92"/>
      <c r="K22" s="103"/>
      <c r="L22" s="94"/>
      <c r="M22" s="17">
        <f t="shared" si="0"/>
        <v>19500</v>
      </c>
    </row>
    <row r="23" spans="1:13" x14ac:dyDescent="0.25">
      <c r="A23" s="106">
        <v>46084</v>
      </c>
      <c r="B23" s="94" t="s">
        <v>208</v>
      </c>
      <c r="C23" s="94" t="s">
        <v>17</v>
      </c>
      <c r="D23" s="90"/>
      <c r="E23" s="90">
        <v>6500</v>
      </c>
      <c r="F23" s="90"/>
      <c r="G23" s="91">
        <v>6500</v>
      </c>
      <c r="H23" s="26"/>
      <c r="I23" s="92"/>
      <c r="J23" s="92"/>
      <c r="K23" s="103"/>
      <c r="L23" s="94"/>
      <c r="M23" s="17">
        <f t="shared" si="0"/>
        <v>6500</v>
      </c>
    </row>
    <row r="24" spans="1:13" x14ac:dyDescent="0.25">
      <c r="A24" s="106">
        <v>46084</v>
      </c>
      <c r="B24" s="94" t="s">
        <v>191</v>
      </c>
      <c r="C24" s="94" t="s">
        <v>17</v>
      </c>
      <c r="D24" s="90"/>
      <c r="E24" s="90">
        <v>6500</v>
      </c>
      <c r="F24" s="90"/>
      <c r="G24" s="91">
        <v>6500</v>
      </c>
      <c r="H24" s="26"/>
      <c r="I24" s="92"/>
      <c r="J24" s="92"/>
      <c r="K24" s="103"/>
      <c r="L24" s="94"/>
      <c r="M24" s="17">
        <f t="shared" si="0"/>
        <v>6500</v>
      </c>
    </row>
    <row r="25" spans="1:13" x14ac:dyDescent="0.25">
      <c r="A25" s="106">
        <v>46084</v>
      </c>
      <c r="B25" s="94" t="s">
        <v>192</v>
      </c>
      <c r="C25" s="94" t="s">
        <v>193</v>
      </c>
      <c r="D25" s="90"/>
      <c r="E25" s="90">
        <v>26000</v>
      </c>
      <c r="F25" s="90"/>
      <c r="G25" s="91">
        <v>26000</v>
      </c>
      <c r="H25" s="22"/>
      <c r="I25" s="92"/>
      <c r="J25" s="92"/>
      <c r="K25" s="103"/>
      <c r="L25" s="94"/>
      <c r="M25" s="17">
        <f t="shared" si="0"/>
        <v>26000</v>
      </c>
    </row>
    <row r="26" spans="1:13" x14ac:dyDescent="0.25">
      <c r="A26" s="106">
        <v>46084</v>
      </c>
      <c r="B26" s="95" t="s">
        <v>194</v>
      </c>
      <c r="C26" s="95" t="s">
        <v>195</v>
      </c>
      <c r="D26" s="96"/>
      <c r="E26" s="54">
        <v>32000</v>
      </c>
      <c r="F26" s="96"/>
      <c r="G26" s="97">
        <v>32000</v>
      </c>
      <c r="H26" s="26" t="s">
        <v>16</v>
      </c>
      <c r="I26" s="85"/>
      <c r="J26" s="25"/>
      <c r="K26" s="98">
        <v>32000</v>
      </c>
      <c r="L26" s="112" t="s">
        <v>240</v>
      </c>
      <c r="M26" s="17">
        <f t="shared" si="0"/>
        <v>0</v>
      </c>
    </row>
    <row r="27" spans="1:13" x14ac:dyDescent="0.25">
      <c r="A27" s="101">
        <v>46084</v>
      </c>
      <c r="B27" s="95" t="s">
        <v>196</v>
      </c>
      <c r="C27" s="95" t="s">
        <v>197</v>
      </c>
      <c r="D27" s="96"/>
      <c r="E27" s="54">
        <v>47000</v>
      </c>
      <c r="F27" s="96"/>
      <c r="G27" s="97">
        <v>47000</v>
      </c>
      <c r="H27" s="26" t="s">
        <v>16</v>
      </c>
      <c r="I27" s="85"/>
      <c r="J27" s="25"/>
      <c r="K27" s="98">
        <v>47000</v>
      </c>
      <c r="L27" s="112" t="s">
        <v>241</v>
      </c>
      <c r="M27" s="17">
        <f t="shared" si="0"/>
        <v>0</v>
      </c>
    </row>
    <row r="28" spans="1:13" x14ac:dyDescent="0.25">
      <c r="A28" s="101">
        <v>46084</v>
      </c>
      <c r="B28" s="95" t="s">
        <v>198</v>
      </c>
      <c r="C28" s="95" t="s">
        <v>197</v>
      </c>
      <c r="D28" s="96"/>
      <c r="E28" s="54">
        <v>47000</v>
      </c>
      <c r="F28" s="96"/>
      <c r="G28" s="97">
        <v>47000</v>
      </c>
      <c r="H28" s="26" t="s">
        <v>16</v>
      </c>
      <c r="I28" s="85"/>
      <c r="J28" s="25"/>
      <c r="K28" s="98">
        <v>47000</v>
      </c>
      <c r="L28" s="112" t="s">
        <v>242</v>
      </c>
      <c r="M28" s="17">
        <f t="shared" si="0"/>
        <v>0</v>
      </c>
    </row>
    <row r="29" spans="1:13" x14ac:dyDescent="0.25">
      <c r="A29" s="101">
        <v>46084</v>
      </c>
      <c r="B29" s="95" t="s">
        <v>199</v>
      </c>
      <c r="C29" s="95" t="s">
        <v>200</v>
      </c>
      <c r="D29" s="96"/>
      <c r="E29" s="96">
        <v>67000</v>
      </c>
      <c r="F29" s="96"/>
      <c r="G29" s="97">
        <v>67000</v>
      </c>
      <c r="H29" s="26" t="s">
        <v>16</v>
      </c>
      <c r="I29" s="85"/>
      <c r="J29" s="25"/>
      <c r="K29" s="98">
        <v>67000</v>
      </c>
      <c r="L29" s="112" t="s">
        <v>243</v>
      </c>
      <c r="M29" s="17">
        <f t="shared" si="0"/>
        <v>0</v>
      </c>
    </row>
    <row r="30" spans="1:13" x14ac:dyDescent="0.25">
      <c r="A30" s="101">
        <v>46094</v>
      </c>
      <c r="B30" s="93" t="s">
        <v>227</v>
      </c>
      <c r="C30" s="93" t="s">
        <v>228</v>
      </c>
      <c r="D30" s="89"/>
      <c r="E30" s="89">
        <v>1250</v>
      </c>
      <c r="F30" s="89"/>
      <c r="G30" s="89">
        <v>1250</v>
      </c>
      <c r="H30" s="26" t="s">
        <v>16</v>
      </c>
      <c r="I30" s="85"/>
      <c r="J30" s="25"/>
      <c r="K30" s="31">
        <v>1250</v>
      </c>
      <c r="L30" s="31" t="s">
        <v>229</v>
      </c>
      <c r="M30" s="17">
        <f t="shared" si="0"/>
        <v>0</v>
      </c>
    </row>
    <row r="31" spans="1:13" x14ac:dyDescent="0.25">
      <c r="A31" s="100">
        <v>46094</v>
      </c>
      <c r="B31" s="93" t="s">
        <v>230</v>
      </c>
      <c r="C31" s="93" t="s">
        <v>231</v>
      </c>
      <c r="D31" s="89"/>
      <c r="E31" s="89">
        <v>10700</v>
      </c>
      <c r="F31" s="89"/>
      <c r="G31" s="89">
        <v>10700</v>
      </c>
      <c r="H31" s="26" t="s">
        <v>16</v>
      </c>
      <c r="I31" s="85"/>
      <c r="J31" s="25"/>
      <c r="K31" s="31">
        <v>10700</v>
      </c>
      <c r="L31" s="31" t="s">
        <v>232</v>
      </c>
      <c r="M31" s="17">
        <f t="shared" si="0"/>
        <v>0</v>
      </c>
    </row>
    <row r="32" spans="1:13" x14ac:dyDescent="0.25">
      <c r="A32" s="100">
        <v>46098</v>
      </c>
      <c r="B32" s="93" t="s">
        <v>233</v>
      </c>
      <c r="C32" s="93" t="s">
        <v>234</v>
      </c>
      <c r="D32" s="89"/>
      <c r="E32" s="89">
        <v>78200</v>
      </c>
      <c r="F32" s="89"/>
      <c r="G32" s="89">
        <v>78200</v>
      </c>
      <c r="H32" s="26" t="s">
        <v>16</v>
      </c>
      <c r="I32" s="54">
        <v>39100</v>
      </c>
      <c r="J32" s="92" t="s">
        <v>247</v>
      </c>
      <c r="K32" s="31">
        <v>39100</v>
      </c>
      <c r="L32" s="31" t="s">
        <v>327</v>
      </c>
      <c r="M32" s="17">
        <f t="shared" si="0"/>
        <v>0</v>
      </c>
    </row>
    <row r="33" spans="1:13" x14ac:dyDescent="0.25">
      <c r="A33" s="100">
        <v>46098</v>
      </c>
      <c r="B33" s="93" t="s">
        <v>258</v>
      </c>
      <c r="C33" s="93" t="s">
        <v>235</v>
      </c>
      <c r="D33" s="89"/>
      <c r="E33" s="89">
        <v>12750</v>
      </c>
      <c r="F33" s="89"/>
      <c r="G33" s="89">
        <v>12750</v>
      </c>
      <c r="H33" s="26" t="s">
        <v>16</v>
      </c>
      <c r="I33" s="54">
        <v>7750</v>
      </c>
      <c r="J33" s="92" t="s">
        <v>326</v>
      </c>
      <c r="K33" s="31">
        <v>5000</v>
      </c>
      <c r="L33" s="31" t="s">
        <v>325</v>
      </c>
      <c r="M33" s="17">
        <f t="shared" si="0"/>
        <v>0</v>
      </c>
    </row>
    <row r="34" spans="1:13" x14ac:dyDescent="0.25">
      <c r="A34" s="100">
        <v>46098</v>
      </c>
      <c r="B34" s="93" t="s">
        <v>236</v>
      </c>
      <c r="C34" s="93" t="s">
        <v>237</v>
      </c>
      <c r="D34" s="89"/>
      <c r="E34" s="89">
        <v>43500</v>
      </c>
      <c r="F34" s="89"/>
      <c r="G34" s="89">
        <v>43500</v>
      </c>
      <c r="H34" s="26"/>
      <c r="I34" s="92"/>
      <c r="J34" s="92"/>
      <c r="K34" s="31"/>
      <c r="L34" s="31"/>
      <c r="M34" s="17">
        <f t="shared" si="0"/>
        <v>43500</v>
      </c>
    </row>
    <row r="35" spans="1:13" x14ac:dyDescent="0.25">
      <c r="A35" s="99">
        <v>46104</v>
      </c>
      <c r="B35" s="92" t="s">
        <v>248</v>
      </c>
      <c r="C35" s="92" t="s">
        <v>249</v>
      </c>
      <c r="D35" s="54"/>
      <c r="E35" s="54">
        <v>30000</v>
      </c>
      <c r="F35" s="54"/>
      <c r="G35" s="54">
        <v>30000</v>
      </c>
      <c r="H35" s="26" t="s">
        <v>16</v>
      </c>
      <c r="I35" s="85"/>
      <c r="J35" s="25"/>
      <c r="K35" s="30">
        <v>30000</v>
      </c>
      <c r="L35" s="30" t="s">
        <v>250</v>
      </c>
      <c r="M35" s="17">
        <f t="shared" si="0"/>
        <v>0</v>
      </c>
    </row>
    <row r="36" spans="1:13" x14ac:dyDescent="0.25">
      <c r="A36" s="99">
        <v>46105</v>
      </c>
      <c r="B36" s="92" t="s">
        <v>251</v>
      </c>
      <c r="C36" s="92" t="s">
        <v>252</v>
      </c>
      <c r="D36" s="54"/>
      <c r="E36" s="54">
        <v>2000</v>
      </c>
      <c r="F36" s="54"/>
      <c r="G36" s="54">
        <v>2000</v>
      </c>
      <c r="H36" s="26" t="s">
        <v>16</v>
      </c>
      <c r="I36" s="85"/>
      <c r="J36" s="25"/>
      <c r="K36" s="30">
        <v>2000</v>
      </c>
      <c r="L36" s="30" t="s">
        <v>256</v>
      </c>
      <c r="M36" s="17">
        <f t="shared" si="0"/>
        <v>0</v>
      </c>
    </row>
    <row r="37" spans="1:13" x14ac:dyDescent="0.25">
      <c r="A37" s="99">
        <v>46105</v>
      </c>
      <c r="B37" s="92" t="s">
        <v>254</v>
      </c>
      <c r="C37" s="92" t="s">
        <v>255</v>
      </c>
      <c r="D37" s="54"/>
      <c r="E37" s="54">
        <v>2000</v>
      </c>
      <c r="F37" s="54"/>
      <c r="G37" s="54">
        <v>2000</v>
      </c>
      <c r="H37" s="26" t="s">
        <v>16</v>
      </c>
      <c r="I37" s="85"/>
      <c r="J37" s="25"/>
      <c r="K37" s="30">
        <v>2000</v>
      </c>
      <c r="L37" s="30" t="s">
        <v>253</v>
      </c>
      <c r="M37" s="17">
        <f t="shared" si="0"/>
        <v>0</v>
      </c>
    </row>
    <row r="38" spans="1:13" x14ac:dyDescent="0.25">
      <c r="A38" s="75"/>
      <c r="B38" s="76"/>
      <c r="C38" s="76"/>
      <c r="D38" s="77"/>
      <c r="E38" s="78"/>
      <c r="F38" s="78"/>
      <c r="G38" s="78"/>
      <c r="H38" s="79"/>
      <c r="I38" s="76"/>
      <c r="J38" s="76"/>
      <c r="K38" s="80"/>
      <c r="L38" s="80"/>
      <c r="M38" s="81"/>
    </row>
    <row r="39" spans="1:13" x14ac:dyDescent="0.25">
      <c r="A39" s="107">
        <v>46085</v>
      </c>
      <c r="B39" s="92" t="s">
        <v>202</v>
      </c>
      <c r="C39" s="92" t="s">
        <v>133</v>
      </c>
      <c r="D39" s="54">
        <v>75000</v>
      </c>
      <c r="E39" s="54"/>
      <c r="F39" s="54"/>
      <c r="G39" s="54">
        <v>75000</v>
      </c>
      <c r="H39" s="26" t="s">
        <v>16</v>
      </c>
      <c r="I39" s="85"/>
      <c r="J39" s="25"/>
      <c r="K39" s="30">
        <v>75000</v>
      </c>
      <c r="L39" s="30" t="s">
        <v>203</v>
      </c>
      <c r="M39" s="17">
        <f t="shared" si="0"/>
        <v>0</v>
      </c>
    </row>
    <row r="40" spans="1:13" x14ac:dyDescent="0.25">
      <c r="A40" s="107">
        <v>46112</v>
      </c>
      <c r="B40" s="92" t="s">
        <v>273</v>
      </c>
      <c r="C40" s="92" t="s">
        <v>274</v>
      </c>
      <c r="D40" s="54">
        <v>19500</v>
      </c>
      <c r="E40" s="54"/>
      <c r="F40" s="54"/>
      <c r="G40" s="54">
        <v>19500</v>
      </c>
      <c r="H40" s="26" t="s">
        <v>16</v>
      </c>
      <c r="I40" s="85"/>
      <c r="J40" s="25"/>
      <c r="K40" s="30">
        <v>19500</v>
      </c>
      <c r="L40" s="30" t="s">
        <v>275</v>
      </c>
      <c r="M40" s="17">
        <f t="shared" si="0"/>
        <v>0</v>
      </c>
    </row>
    <row r="41" spans="1:13" x14ac:dyDescent="0.25">
      <c r="A41" s="107">
        <v>46112</v>
      </c>
      <c r="B41" s="92" t="s">
        <v>276</v>
      </c>
      <c r="C41" s="92" t="s">
        <v>277</v>
      </c>
      <c r="D41" s="54">
        <v>75000</v>
      </c>
      <c r="E41" s="54"/>
      <c r="F41" s="54"/>
      <c r="G41" s="54">
        <v>75000</v>
      </c>
      <c r="H41" s="26"/>
      <c r="I41" s="54">
        <v>37500</v>
      </c>
      <c r="J41" s="92" t="s">
        <v>278</v>
      </c>
      <c r="K41" s="30"/>
      <c r="L41" s="30"/>
      <c r="M41" s="17">
        <f t="shared" si="0"/>
        <v>37500</v>
      </c>
    </row>
    <row r="42" spans="1:13" x14ac:dyDescent="0.25">
      <c r="A42" s="82"/>
      <c r="B42" s="82"/>
      <c r="C42" s="82"/>
      <c r="D42" s="83"/>
      <c r="E42" s="83"/>
      <c r="F42" s="83"/>
      <c r="G42" s="82"/>
      <c r="H42" s="84"/>
      <c r="I42" s="82"/>
      <c r="J42" s="82"/>
      <c r="K42" s="82"/>
      <c r="L42" s="82"/>
      <c r="M42" s="82"/>
    </row>
    <row r="43" spans="1:13" x14ac:dyDescent="0.25">
      <c r="F43" s="33"/>
      <c r="H43" s="34"/>
    </row>
    <row r="44" spans="1:13" x14ac:dyDescent="0.25">
      <c r="F44" s="33"/>
      <c r="H44" s="34"/>
    </row>
    <row r="45" spans="1:13" x14ac:dyDescent="0.25">
      <c r="F45" s="33"/>
      <c r="H45" s="34"/>
    </row>
    <row r="46" spans="1:13" x14ac:dyDescent="0.25">
      <c r="F46" s="33"/>
      <c r="H46" s="34"/>
    </row>
    <row r="47" spans="1:13" x14ac:dyDescent="0.25">
      <c r="F47" s="33"/>
      <c r="H47" s="34"/>
    </row>
    <row r="48" spans="1:13" x14ac:dyDescent="0.25">
      <c r="F48" s="33"/>
      <c r="H48" s="34"/>
    </row>
    <row r="49" spans="6:8" x14ac:dyDescent="0.25">
      <c r="F49" s="33"/>
      <c r="H49" s="34"/>
    </row>
    <row r="50" spans="6:8" x14ac:dyDescent="0.25">
      <c r="F50" s="33"/>
      <c r="H50" s="34"/>
    </row>
    <row r="51" spans="6:8" x14ac:dyDescent="0.25">
      <c r="F51" s="33"/>
      <c r="H51" s="34"/>
    </row>
    <row r="52" spans="6:8" x14ac:dyDescent="0.25">
      <c r="F52" s="33"/>
      <c r="H52" s="34"/>
    </row>
    <row r="53" spans="6:8" x14ac:dyDescent="0.25">
      <c r="F53" s="33"/>
      <c r="H53" s="34"/>
    </row>
    <row r="54" spans="6:8" x14ac:dyDescent="0.25">
      <c r="F54" s="33"/>
      <c r="H54" s="34"/>
    </row>
    <row r="55" spans="6:8" x14ac:dyDescent="0.25">
      <c r="F55" s="33"/>
      <c r="H55" s="34"/>
    </row>
    <row r="56" spans="6:8" x14ac:dyDescent="0.25">
      <c r="F56" s="33"/>
      <c r="H56" s="34"/>
    </row>
    <row r="57" spans="6:8" x14ac:dyDescent="0.25">
      <c r="F57" s="33"/>
      <c r="H57" s="34"/>
    </row>
    <row r="58" spans="6:8" x14ac:dyDescent="0.25">
      <c r="F58" s="33"/>
      <c r="H58" s="34"/>
    </row>
    <row r="59" spans="6:8" x14ac:dyDescent="0.25">
      <c r="H59" s="34"/>
    </row>
    <row r="60" spans="6:8" x14ac:dyDescent="0.25">
      <c r="H60" s="34"/>
    </row>
    <row r="61" spans="6:8" x14ac:dyDescent="0.25">
      <c r="H61" s="34"/>
    </row>
    <row r="62" spans="6:8" x14ac:dyDescent="0.25">
      <c r="H62" s="3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55A20-244A-48E1-9084-CE89034A3901}">
  <dimension ref="A1:M65"/>
  <sheetViews>
    <sheetView topLeftCell="A3" workbookViewId="0">
      <selection activeCell="B18" sqref="B18"/>
    </sheetView>
  </sheetViews>
  <sheetFormatPr defaultRowHeight="15" x14ac:dyDescent="0.25"/>
  <cols>
    <col min="1" max="1" width="9.28515625" customWidth="1"/>
    <col min="2" max="2" width="54.7109375" customWidth="1"/>
    <col min="3" max="3" width="46.140625" customWidth="1"/>
    <col min="4" max="4" width="12.42578125" style="33" customWidth="1"/>
    <col min="5" max="5" width="14.42578125" style="33" customWidth="1"/>
    <col min="6" max="6" width="13.42578125" customWidth="1"/>
    <col min="7" max="7" width="14.85546875" customWidth="1"/>
    <col min="8" max="8" width="10" customWidth="1"/>
    <col min="9" max="9" width="11.5703125" customWidth="1"/>
    <col min="10" max="10" width="11.85546875" customWidth="1"/>
    <col min="11" max="11" width="12.7109375" customWidth="1"/>
    <col min="12" max="12" width="15.28515625" customWidth="1"/>
    <col min="13" max="13" width="15.140625" customWidth="1"/>
  </cols>
  <sheetData>
    <row r="1" spans="1:13" x14ac:dyDescent="0.25">
      <c r="A1" s="1" t="s">
        <v>0</v>
      </c>
      <c r="B1" s="2"/>
      <c r="C1" s="3"/>
      <c r="D1" s="4"/>
      <c r="E1" s="4"/>
      <c r="F1" s="5"/>
      <c r="G1" s="5"/>
      <c r="H1" s="6"/>
      <c r="I1" s="7"/>
      <c r="J1" s="7"/>
      <c r="K1" s="8"/>
    </row>
    <row r="2" spans="1:13" x14ac:dyDescent="0.25">
      <c r="A2" s="1" t="s">
        <v>1</v>
      </c>
      <c r="B2" s="2"/>
      <c r="C2" s="3"/>
      <c r="D2" s="4"/>
      <c r="E2" s="4"/>
      <c r="F2" s="5"/>
      <c r="G2" s="5"/>
      <c r="H2" s="6"/>
      <c r="I2" s="7"/>
      <c r="J2" s="7"/>
      <c r="K2" s="8"/>
    </row>
    <row r="3" spans="1:13" x14ac:dyDescent="0.25">
      <c r="A3" s="1"/>
      <c r="B3" s="2"/>
      <c r="C3" s="3"/>
      <c r="D3" s="4"/>
      <c r="E3" s="4"/>
      <c r="F3" s="5"/>
      <c r="G3" s="5"/>
      <c r="H3" s="6"/>
      <c r="I3" s="7"/>
      <c r="J3" s="7"/>
      <c r="K3" s="8"/>
    </row>
    <row r="4" spans="1:13" x14ac:dyDescent="0.25">
      <c r="A4" s="9"/>
      <c r="B4" s="2" t="s">
        <v>2</v>
      </c>
      <c r="C4" s="3"/>
      <c r="D4" s="4"/>
      <c r="E4" s="4"/>
      <c r="F4" s="5"/>
      <c r="G4" s="5"/>
      <c r="H4" s="6"/>
      <c r="I4" s="7"/>
      <c r="J4" s="7"/>
      <c r="K4" s="8"/>
    </row>
    <row r="5" spans="1:13" ht="15.75" thickBot="1" x14ac:dyDescent="0.3">
      <c r="A5" s="37"/>
      <c r="B5" s="48" t="s">
        <v>21</v>
      </c>
      <c r="C5" s="8"/>
      <c r="D5" s="10"/>
      <c r="E5" s="10"/>
      <c r="F5" s="11"/>
      <c r="G5" s="11"/>
      <c r="H5" s="12"/>
      <c r="I5" s="11"/>
      <c r="J5" s="11"/>
      <c r="K5" s="8"/>
    </row>
    <row r="6" spans="1:13" ht="25.5" x14ac:dyDescent="0.25">
      <c r="A6" s="38" t="s">
        <v>3</v>
      </c>
      <c r="B6" s="39" t="s">
        <v>4</v>
      </c>
      <c r="C6" s="40" t="s">
        <v>5</v>
      </c>
      <c r="D6" s="41"/>
      <c r="E6" s="42"/>
      <c r="F6" s="43"/>
      <c r="G6" s="44" t="s">
        <v>6</v>
      </c>
      <c r="H6" s="45" t="s">
        <v>7</v>
      </c>
      <c r="I6" s="46" t="s">
        <v>8</v>
      </c>
      <c r="J6" s="46" t="s">
        <v>9</v>
      </c>
      <c r="K6" s="46" t="s">
        <v>8</v>
      </c>
      <c r="L6" s="46" t="s">
        <v>9</v>
      </c>
      <c r="M6" s="47"/>
    </row>
    <row r="7" spans="1:13" x14ac:dyDescent="0.25">
      <c r="A7" s="61"/>
      <c r="B7" s="62"/>
      <c r="C7" s="63"/>
      <c r="D7" s="64" t="s">
        <v>11</v>
      </c>
      <c r="E7" s="64" t="s">
        <v>10</v>
      </c>
      <c r="F7" s="65" t="s">
        <v>12</v>
      </c>
      <c r="G7" s="66"/>
      <c r="H7" s="67"/>
      <c r="I7" s="35" t="s">
        <v>13</v>
      </c>
      <c r="J7" s="35" t="s">
        <v>13</v>
      </c>
      <c r="K7" s="36" t="s">
        <v>14</v>
      </c>
      <c r="L7" s="36" t="s">
        <v>14</v>
      </c>
      <c r="M7" s="68" t="s">
        <v>15</v>
      </c>
    </row>
    <row r="8" spans="1:13" x14ac:dyDescent="0.25">
      <c r="A8" s="13" t="s">
        <v>279</v>
      </c>
      <c r="B8" s="14"/>
      <c r="C8" s="14"/>
      <c r="D8" s="15">
        <f>SUM(D39:D42)</f>
        <v>64500</v>
      </c>
      <c r="E8" s="15">
        <f>SUM(E20:E28)</f>
        <v>242500</v>
      </c>
      <c r="F8" s="15">
        <f>SUM(F9:F12)</f>
        <v>812500</v>
      </c>
      <c r="G8" s="16">
        <f>SUM(D8:F8)</f>
        <v>1119500</v>
      </c>
      <c r="H8" s="14"/>
      <c r="I8" s="14"/>
      <c r="J8" s="14"/>
      <c r="K8" s="14"/>
      <c r="L8" s="14"/>
      <c r="M8" s="17">
        <f t="shared" ref="M8:M18" si="0">SUM(G8-I8-K8)</f>
        <v>1119500</v>
      </c>
    </row>
    <row r="9" spans="1:13" x14ac:dyDescent="0.25">
      <c r="A9" s="99">
        <v>46122</v>
      </c>
      <c r="B9" s="92" t="s">
        <v>300</v>
      </c>
      <c r="C9" s="92" t="s">
        <v>301</v>
      </c>
      <c r="D9" s="24"/>
      <c r="E9" s="24"/>
      <c r="F9" s="54">
        <v>130000</v>
      </c>
      <c r="G9" s="54">
        <v>130000</v>
      </c>
      <c r="H9" s="26" t="s">
        <v>16</v>
      </c>
      <c r="I9" s="85"/>
      <c r="J9" s="25"/>
      <c r="K9" s="54">
        <v>130000</v>
      </c>
      <c r="L9" s="30" t="s">
        <v>299</v>
      </c>
      <c r="M9" s="17">
        <f t="shared" si="0"/>
        <v>0</v>
      </c>
    </row>
    <row r="10" spans="1:13" x14ac:dyDescent="0.25">
      <c r="A10" s="99">
        <v>46122</v>
      </c>
      <c r="B10" s="92" t="s">
        <v>302</v>
      </c>
      <c r="C10" s="92" t="s">
        <v>303</v>
      </c>
      <c r="D10" s="24"/>
      <c r="E10" s="24"/>
      <c r="F10" s="54">
        <v>150000</v>
      </c>
      <c r="G10" s="54">
        <v>150000</v>
      </c>
      <c r="H10" s="26" t="s">
        <v>16</v>
      </c>
      <c r="I10" s="85"/>
      <c r="J10" s="25"/>
      <c r="K10" s="54">
        <v>150000</v>
      </c>
      <c r="L10" s="30" t="s">
        <v>304</v>
      </c>
      <c r="M10" s="17">
        <f t="shared" si="0"/>
        <v>0</v>
      </c>
    </row>
    <row r="11" spans="1:13" x14ac:dyDescent="0.25">
      <c r="A11" s="99">
        <v>46122</v>
      </c>
      <c r="B11" s="92" t="s">
        <v>305</v>
      </c>
      <c r="C11" s="92" t="s">
        <v>306</v>
      </c>
      <c r="D11" s="24"/>
      <c r="E11" s="24"/>
      <c r="F11" s="54">
        <v>497500</v>
      </c>
      <c r="G11" s="54">
        <v>497500</v>
      </c>
      <c r="H11" s="26"/>
      <c r="I11" s="24"/>
      <c r="J11" s="14"/>
      <c r="K11" s="31"/>
      <c r="L11" s="31"/>
      <c r="M11" s="17">
        <f t="shared" si="0"/>
        <v>497500</v>
      </c>
    </row>
    <row r="12" spans="1:13" x14ac:dyDescent="0.25">
      <c r="A12" s="100">
        <v>46128</v>
      </c>
      <c r="B12" s="93" t="s">
        <v>309</v>
      </c>
      <c r="C12" s="93" t="s">
        <v>307</v>
      </c>
      <c r="D12" s="28"/>
      <c r="E12" s="28"/>
      <c r="F12" s="54">
        <v>35000</v>
      </c>
      <c r="G12" s="89">
        <v>35000</v>
      </c>
      <c r="H12" s="26"/>
      <c r="I12" s="54">
        <v>21000</v>
      </c>
      <c r="J12" s="92" t="s">
        <v>308</v>
      </c>
      <c r="K12" s="31"/>
      <c r="L12" s="31"/>
      <c r="M12" s="17">
        <f t="shared" si="0"/>
        <v>14000</v>
      </c>
    </row>
    <row r="13" spans="1:13" x14ac:dyDescent="0.25">
      <c r="A13" s="100">
        <v>46132</v>
      </c>
      <c r="B13" s="94" t="s">
        <v>329</v>
      </c>
      <c r="C13" s="94" t="s">
        <v>187</v>
      </c>
      <c r="D13" s="86"/>
      <c r="E13" s="86"/>
      <c r="F13" s="90">
        <v>28000</v>
      </c>
      <c r="G13" s="91">
        <v>28000</v>
      </c>
      <c r="H13" s="26" t="s">
        <v>16</v>
      </c>
      <c r="I13" s="85"/>
      <c r="J13" s="25"/>
      <c r="K13" s="87">
        <v>28000</v>
      </c>
      <c r="L13" s="88" t="s">
        <v>340</v>
      </c>
      <c r="M13" s="17">
        <f t="shared" si="0"/>
        <v>0</v>
      </c>
    </row>
    <row r="14" spans="1:13" x14ac:dyDescent="0.25">
      <c r="A14" s="101">
        <v>46132</v>
      </c>
      <c r="B14" s="95" t="s">
        <v>330</v>
      </c>
      <c r="C14" s="95" t="s">
        <v>47</v>
      </c>
      <c r="D14" s="96"/>
      <c r="E14" s="54"/>
      <c r="F14" s="96">
        <v>2500</v>
      </c>
      <c r="G14" s="97">
        <v>2500</v>
      </c>
      <c r="H14" s="26" t="s">
        <v>16</v>
      </c>
      <c r="I14" s="85"/>
      <c r="J14" s="25"/>
      <c r="K14" s="98">
        <v>2500</v>
      </c>
      <c r="L14" s="102" t="s">
        <v>341</v>
      </c>
      <c r="M14" s="17">
        <f t="shared" si="0"/>
        <v>0</v>
      </c>
    </row>
    <row r="15" spans="1:13" x14ac:dyDescent="0.25">
      <c r="A15" s="101">
        <v>46134</v>
      </c>
      <c r="B15" s="95" t="s">
        <v>346</v>
      </c>
      <c r="C15" s="95" t="s">
        <v>347</v>
      </c>
      <c r="D15" s="96"/>
      <c r="E15" s="54"/>
      <c r="F15" s="96">
        <v>16500</v>
      </c>
      <c r="G15" s="97">
        <v>16500</v>
      </c>
      <c r="H15" s="26" t="s">
        <v>16</v>
      </c>
      <c r="I15" s="85"/>
      <c r="J15" s="25"/>
      <c r="K15" s="98">
        <v>16500</v>
      </c>
      <c r="L15" s="102" t="s">
        <v>348</v>
      </c>
      <c r="M15" s="17">
        <f t="shared" si="0"/>
        <v>0</v>
      </c>
    </row>
    <row r="16" spans="1:13" x14ac:dyDescent="0.25">
      <c r="A16" s="101">
        <v>46141</v>
      </c>
      <c r="B16" s="95" t="s">
        <v>349</v>
      </c>
      <c r="C16" s="95" t="s">
        <v>17</v>
      </c>
      <c r="D16" s="96"/>
      <c r="E16" s="96"/>
      <c r="F16" s="96">
        <v>15000</v>
      </c>
      <c r="G16" s="97">
        <v>15000</v>
      </c>
      <c r="H16" s="26"/>
      <c r="I16" s="24"/>
      <c r="J16" s="14"/>
      <c r="K16" s="98"/>
      <c r="L16" s="102"/>
      <c r="M16" s="17">
        <f t="shared" si="0"/>
        <v>15000</v>
      </c>
    </row>
    <row r="17" spans="1:13" x14ac:dyDescent="0.25">
      <c r="A17" s="101">
        <v>46141</v>
      </c>
      <c r="B17" s="95" t="s">
        <v>350</v>
      </c>
      <c r="C17" s="95" t="s">
        <v>351</v>
      </c>
      <c r="D17" s="96"/>
      <c r="E17" s="96"/>
      <c r="F17" s="96">
        <v>20000</v>
      </c>
      <c r="G17" s="97">
        <v>20000</v>
      </c>
      <c r="H17" s="26" t="s">
        <v>16</v>
      </c>
      <c r="I17" s="85"/>
      <c r="J17" s="25"/>
      <c r="K17" s="98">
        <v>20000</v>
      </c>
      <c r="L17" s="102" t="s">
        <v>386</v>
      </c>
      <c r="M17" s="17">
        <f t="shared" si="0"/>
        <v>0</v>
      </c>
    </row>
    <row r="18" spans="1:13" x14ac:dyDescent="0.25">
      <c r="A18" s="101">
        <v>46141</v>
      </c>
      <c r="B18" s="95" t="s">
        <v>352</v>
      </c>
      <c r="C18" s="95" t="s">
        <v>71</v>
      </c>
      <c r="D18" s="96"/>
      <c r="E18" s="96"/>
      <c r="F18" s="96">
        <v>35000</v>
      </c>
      <c r="G18" s="97">
        <v>35000</v>
      </c>
      <c r="H18" s="26"/>
      <c r="I18" s="89">
        <v>17500</v>
      </c>
      <c r="J18" s="93" t="s">
        <v>402</v>
      </c>
      <c r="K18" s="98"/>
      <c r="L18" s="102"/>
      <c r="M18" s="17">
        <f t="shared" si="0"/>
        <v>17500</v>
      </c>
    </row>
    <row r="19" spans="1:13" x14ac:dyDescent="0.25">
      <c r="A19" s="69"/>
      <c r="B19" s="70"/>
      <c r="C19" s="70"/>
      <c r="D19" s="71"/>
      <c r="E19" s="71"/>
      <c r="F19" s="71"/>
      <c r="G19" s="71"/>
      <c r="H19" s="72"/>
      <c r="I19" s="70"/>
      <c r="J19" s="70"/>
      <c r="K19" s="73"/>
      <c r="L19" s="73"/>
      <c r="M19" s="74"/>
    </row>
    <row r="20" spans="1:13" x14ac:dyDescent="0.25">
      <c r="A20" s="106">
        <v>46113</v>
      </c>
      <c r="B20" s="94" t="s">
        <v>343</v>
      </c>
      <c r="C20" s="94" t="s">
        <v>282</v>
      </c>
      <c r="D20" s="90"/>
      <c r="E20" s="90">
        <v>47000</v>
      </c>
      <c r="F20" s="90"/>
      <c r="G20" s="91">
        <v>47000</v>
      </c>
      <c r="H20" s="26" t="s">
        <v>16</v>
      </c>
      <c r="I20" s="85"/>
      <c r="J20" s="25"/>
      <c r="K20" s="103">
        <v>47000</v>
      </c>
      <c r="L20" s="94" t="s">
        <v>357</v>
      </c>
      <c r="M20" s="17">
        <f t="shared" ref="M20:M34" si="1">SUM(G20-I20-K20)</f>
        <v>0</v>
      </c>
    </row>
    <row r="21" spans="1:13" x14ac:dyDescent="0.25">
      <c r="A21" s="106">
        <v>46113</v>
      </c>
      <c r="B21" s="94" t="s">
        <v>283</v>
      </c>
      <c r="C21" s="94" t="s">
        <v>282</v>
      </c>
      <c r="D21" s="90"/>
      <c r="E21" s="90">
        <v>47000</v>
      </c>
      <c r="F21" s="90"/>
      <c r="G21" s="91">
        <v>47000</v>
      </c>
      <c r="H21" s="26" t="s">
        <v>16</v>
      </c>
      <c r="I21" s="85"/>
      <c r="J21" s="25"/>
      <c r="K21" s="103">
        <v>47000</v>
      </c>
      <c r="L21" s="94" t="s">
        <v>357</v>
      </c>
      <c r="M21" s="17">
        <f t="shared" si="1"/>
        <v>0</v>
      </c>
    </row>
    <row r="22" spans="1:13" x14ac:dyDescent="0.25">
      <c r="A22" s="106">
        <v>46113</v>
      </c>
      <c r="B22" s="94" t="s">
        <v>284</v>
      </c>
      <c r="C22" s="94" t="s">
        <v>285</v>
      </c>
      <c r="D22" s="90"/>
      <c r="E22" s="90">
        <v>34500</v>
      </c>
      <c r="F22" s="90"/>
      <c r="G22" s="91">
        <v>34500</v>
      </c>
      <c r="H22" s="26" t="s">
        <v>16</v>
      </c>
      <c r="I22" s="85"/>
      <c r="J22" s="25"/>
      <c r="K22" s="103">
        <v>34500</v>
      </c>
      <c r="L22" s="94" t="s">
        <v>357</v>
      </c>
      <c r="M22" s="17">
        <f t="shared" si="1"/>
        <v>0</v>
      </c>
    </row>
    <row r="23" spans="1:13" x14ac:dyDescent="0.25">
      <c r="A23" s="106">
        <v>46113</v>
      </c>
      <c r="B23" s="94" t="s">
        <v>286</v>
      </c>
      <c r="C23" s="94" t="s">
        <v>287</v>
      </c>
      <c r="D23" s="90"/>
      <c r="E23" s="90">
        <v>36000</v>
      </c>
      <c r="F23" s="90"/>
      <c r="G23" s="91">
        <v>36000</v>
      </c>
      <c r="H23" s="120"/>
      <c r="I23" s="54">
        <v>18000</v>
      </c>
      <c r="J23" s="92" t="s">
        <v>358</v>
      </c>
      <c r="K23" s="103"/>
      <c r="L23" s="94"/>
      <c r="M23" s="17">
        <f t="shared" si="1"/>
        <v>18000</v>
      </c>
    </row>
    <row r="24" spans="1:13" x14ac:dyDescent="0.25">
      <c r="A24" s="106">
        <v>46118</v>
      </c>
      <c r="B24" s="94" t="s">
        <v>289</v>
      </c>
      <c r="C24" s="94" t="s">
        <v>20</v>
      </c>
      <c r="D24" s="90"/>
      <c r="E24" s="90">
        <v>13000</v>
      </c>
      <c r="F24" s="90"/>
      <c r="G24" s="91">
        <v>13000</v>
      </c>
      <c r="H24" s="22"/>
      <c r="I24" s="92"/>
      <c r="J24" s="92"/>
      <c r="K24" s="103"/>
      <c r="L24" s="94"/>
      <c r="M24" s="17">
        <f t="shared" si="1"/>
        <v>13000</v>
      </c>
    </row>
    <row r="25" spans="1:13" x14ac:dyDescent="0.25">
      <c r="A25" s="106">
        <v>46118</v>
      </c>
      <c r="B25" s="95" t="s">
        <v>290</v>
      </c>
      <c r="C25" s="95" t="s">
        <v>17</v>
      </c>
      <c r="D25" s="96"/>
      <c r="E25" s="54">
        <v>6500</v>
      </c>
      <c r="F25" s="96"/>
      <c r="G25" s="97">
        <v>6500</v>
      </c>
      <c r="H25" s="26"/>
      <c r="I25" s="24"/>
      <c r="J25" s="14"/>
      <c r="K25" s="98"/>
      <c r="L25" s="112"/>
      <c r="M25" s="17">
        <f t="shared" si="1"/>
        <v>6500</v>
      </c>
    </row>
    <row r="26" spans="1:13" x14ac:dyDescent="0.25">
      <c r="A26" s="101">
        <v>46118</v>
      </c>
      <c r="B26" s="95" t="s">
        <v>291</v>
      </c>
      <c r="C26" s="95" t="s">
        <v>95</v>
      </c>
      <c r="D26" s="96"/>
      <c r="E26" s="54">
        <v>19500</v>
      </c>
      <c r="F26" s="96"/>
      <c r="G26" s="97">
        <v>19500</v>
      </c>
      <c r="H26" s="26"/>
      <c r="I26" s="24"/>
      <c r="J26" s="14"/>
      <c r="K26" s="98"/>
      <c r="L26" s="112"/>
      <c r="M26" s="17">
        <f t="shared" si="1"/>
        <v>19500</v>
      </c>
    </row>
    <row r="27" spans="1:13" x14ac:dyDescent="0.25">
      <c r="A27" s="101">
        <v>46118</v>
      </c>
      <c r="B27" s="95" t="s">
        <v>292</v>
      </c>
      <c r="C27" s="95" t="s">
        <v>193</v>
      </c>
      <c r="D27" s="96"/>
      <c r="E27" s="54">
        <v>26000</v>
      </c>
      <c r="F27" s="96"/>
      <c r="G27" s="97">
        <v>26000</v>
      </c>
      <c r="H27" s="26"/>
      <c r="I27" s="24"/>
      <c r="J27" s="14"/>
      <c r="K27" s="98"/>
      <c r="L27" s="112"/>
      <c r="M27" s="17">
        <f t="shared" si="1"/>
        <v>26000</v>
      </c>
    </row>
    <row r="28" spans="1:13" x14ac:dyDescent="0.25">
      <c r="A28" s="101">
        <v>46118</v>
      </c>
      <c r="B28" s="95" t="s">
        <v>293</v>
      </c>
      <c r="C28" s="95" t="s">
        <v>20</v>
      </c>
      <c r="D28" s="96"/>
      <c r="E28" s="96">
        <v>13000</v>
      </c>
      <c r="F28" s="96"/>
      <c r="G28" s="97">
        <v>13000</v>
      </c>
      <c r="H28" s="26"/>
      <c r="I28" s="24"/>
      <c r="J28" s="14"/>
      <c r="K28" s="98"/>
      <c r="L28" s="112"/>
      <c r="M28" s="17">
        <f t="shared" si="1"/>
        <v>13000</v>
      </c>
    </row>
    <row r="29" spans="1:13" x14ac:dyDescent="0.25">
      <c r="A29" s="101">
        <v>46118</v>
      </c>
      <c r="B29" s="93" t="s">
        <v>294</v>
      </c>
      <c r="C29" s="93" t="s">
        <v>17</v>
      </c>
      <c r="D29" s="89"/>
      <c r="E29" s="89">
        <v>6500</v>
      </c>
      <c r="F29" s="89"/>
      <c r="G29" s="89">
        <v>6500</v>
      </c>
      <c r="H29" s="26"/>
      <c r="I29" s="24"/>
      <c r="J29" s="14"/>
      <c r="K29" s="31"/>
      <c r="L29" s="31"/>
      <c r="M29" s="17">
        <f t="shared" si="1"/>
        <v>6500</v>
      </c>
    </row>
    <row r="30" spans="1:13" x14ac:dyDescent="0.25">
      <c r="A30" s="100">
        <v>46126</v>
      </c>
      <c r="B30" s="93" t="s">
        <v>310</v>
      </c>
      <c r="C30" s="93" t="s">
        <v>215</v>
      </c>
      <c r="D30" s="89"/>
      <c r="E30" s="89">
        <v>15500</v>
      </c>
      <c r="F30" s="89"/>
      <c r="G30" s="89">
        <v>15500</v>
      </c>
      <c r="H30" s="26"/>
      <c r="I30" s="24">
        <v>15000</v>
      </c>
      <c r="J30" s="14"/>
      <c r="K30" s="31"/>
      <c r="L30" s="31"/>
      <c r="M30" s="17">
        <f t="shared" si="1"/>
        <v>500</v>
      </c>
    </row>
    <row r="31" spans="1:13" x14ac:dyDescent="0.25">
      <c r="A31" s="100">
        <v>46128</v>
      </c>
      <c r="B31" s="93" t="s">
        <v>311</v>
      </c>
      <c r="C31" s="93" t="s">
        <v>312</v>
      </c>
      <c r="D31" s="89"/>
      <c r="E31" s="89">
        <v>14000</v>
      </c>
      <c r="F31" s="89"/>
      <c r="G31" s="89">
        <v>14000</v>
      </c>
      <c r="H31" s="26" t="s">
        <v>16</v>
      </c>
      <c r="I31" s="85"/>
      <c r="J31" s="25"/>
      <c r="K31" s="31">
        <v>14000</v>
      </c>
      <c r="L31" s="31" t="s">
        <v>313</v>
      </c>
      <c r="M31" s="17">
        <f t="shared" si="1"/>
        <v>0</v>
      </c>
    </row>
    <row r="32" spans="1:13" x14ac:dyDescent="0.25">
      <c r="A32" s="100">
        <v>46132</v>
      </c>
      <c r="B32" s="93" t="s">
        <v>331</v>
      </c>
      <c r="C32" s="93" t="s">
        <v>332</v>
      </c>
      <c r="D32" s="89"/>
      <c r="E32" s="89">
        <v>10500</v>
      </c>
      <c r="F32" s="89"/>
      <c r="G32" s="89">
        <v>10500</v>
      </c>
      <c r="H32" s="26" t="s">
        <v>16</v>
      </c>
      <c r="I32" s="85"/>
      <c r="J32" s="25"/>
      <c r="K32" s="31">
        <v>10500</v>
      </c>
      <c r="L32" s="31" t="s">
        <v>356</v>
      </c>
      <c r="M32" s="17">
        <f t="shared" si="1"/>
        <v>0</v>
      </c>
    </row>
    <row r="33" spans="1:13" x14ac:dyDescent="0.25">
      <c r="A33" s="100">
        <v>46136</v>
      </c>
      <c r="B33" s="93" t="s">
        <v>353</v>
      </c>
      <c r="C33" s="93" t="s">
        <v>20</v>
      </c>
      <c r="D33" s="89"/>
      <c r="E33" s="89">
        <v>20000</v>
      </c>
      <c r="F33" s="89"/>
      <c r="G33" s="89">
        <v>20000</v>
      </c>
      <c r="H33" s="26" t="s">
        <v>16</v>
      </c>
      <c r="I33" s="85"/>
      <c r="J33" s="25"/>
      <c r="K33" s="31">
        <v>20000</v>
      </c>
      <c r="L33" s="31" t="s">
        <v>355</v>
      </c>
      <c r="M33" s="17">
        <f t="shared" si="1"/>
        <v>0</v>
      </c>
    </row>
    <row r="34" spans="1:13" x14ac:dyDescent="0.25">
      <c r="A34" s="99">
        <v>46136</v>
      </c>
      <c r="B34" s="92" t="s">
        <v>354</v>
      </c>
      <c r="C34" s="92" t="s">
        <v>17</v>
      </c>
      <c r="D34" s="54"/>
      <c r="E34" s="54">
        <v>6500</v>
      </c>
      <c r="F34" s="54"/>
      <c r="G34" s="54">
        <v>6500</v>
      </c>
      <c r="H34" s="26"/>
      <c r="I34" s="24"/>
      <c r="J34" s="14"/>
      <c r="K34" s="30"/>
      <c r="L34" s="30"/>
      <c r="M34" s="17">
        <f t="shared" si="1"/>
        <v>6500</v>
      </c>
    </row>
    <row r="35" spans="1:13" x14ac:dyDescent="0.25">
      <c r="A35" s="75"/>
      <c r="B35" s="76"/>
      <c r="C35" s="76"/>
      <c r="D35" s="77"/>
      <c r="E35" s="78"/>
      <c r="F35" s="78"/>
      <c r="G35" s="78"/>
      <c r="H35" s="79"/>
      <c r="I35" s="76"/>
      <c r="J35" s="76"/>
      <c r="K35" s="80"/>
      <c r="L35" s="80"/>
      <c r="M35" s="81"/>
    </row>
    <row r="36" spans="1:13" x14ac:dyDescent="0.25">
      <c r="A36" s="29">
        <v>46122</v>
      </c>
      <c r="B36" s="14" t="s">
        <v>314</v>
      </c>
      <c r="C36" s="14" t="s">
        <v>315</v>
      </c>
      <c r="D36" s="24">
        <v>12500</v>
      </c>
      <c r="E36" s="54"/>
      <c r="F36" s="54"/>
      <c r="G36" s="54">
        <v>12500</v>
      </c>
      <c r="H36" s="26" t="s">
        <v>16</v>
      </c>
      <c r="I36" s="85"/>
      <c r="J36" s="25"/>
      <c r="K36" s="30">
        <v>12500</v>
      </c>
      <c r="L36" s="30" t="s">
        <v>316</v>
      </c>
      <c r="M36" s="24">
        <f t="shared" ref="M36:M44" si="2">SUM(G36-I36-K36)</f>
        <v>0</v>
      </c>
    </row>
    <row r="37" spans="1:13" x14ac:dyDescent="0.25">
      <c r="A37" s="29">
        <v>46122</v>
      </c>
      <c r="B37" s="14" t="s">
        <v>317</v>
      </c>
      <c r="C37" s="14" t="s">
        <v>318</v>
      </c>
      <c r="D37" s="24">
        <v>1500</v>
      </c>
      <c r="E37" s="54"/>
      <c r="F37" s="54"/>
      <c r="G37" s="54">
        <v>1500</v>
      </c>
      <c r="H37" s="26" t="s">
        <v>16</v>
      </c>
      <c r="I37" s="85"/>
      <c r="J37" s="25"/>
      <c r="K37" s="30">
        <v>1500</v>
      </c>
      <c r="L37" s="30" t="s">
        <v>319</v>
      </c>
      <c r="M37" s="24">
        <f t="shared" si="2"/>
        <v>0</v>
      </c>
    </row>
    <row r="38" spans="1:13" x14ac:dyDescent="0.25">
      <c r="A38" s="29">
        <v>46122</v>
      </c>
      <c r="B38" s="14" t="s">
        <v>320</v>
      </c>
      <c r="C38" s="14" t="s">
        <v>321</v>
      </c>
      <c r="D38" s="24">
        <v>30000</v>
      </c>
      <c r="E38" s="54"/>
      <c r="F38" s="54"/>
      <c r="G38" s="54">
        <v>30000</v>
      </c>
      <c r="H38" s="22"/>
      <c r="I38" s="14"/>
      <c r="J38" s="14"/>
      <c r="K38" s="30"/>
      <c r="L38" s="30"/>
      <c r="M38" s="24">
        <f t="shared" si="2"/>
        <v>30000</v>
      </c>
    </row>
    <row r="39" spans="1:13" x14ac:dyDescent="0.25">
      <c r="A39" s="29">
        <v>46122</v>
      </c>
      <c r="B39" s="14" t="s">
        <v>322</v>
      </c>
      <c r="C39" s="14" t="s">
        <v>321</v>
      </c>
      <c r="D39" s="24">
        <v>30000</v>
      </c>
      <c r="E39" s="54"/>
      <c r="F39" s="54"/>
      <c r="G39" s="54">
        <v>30000</v>
      </c>
      <c r="H39" s="22"/>
      <c r="I39" s="24"/>
      <c r="J39" s="14"/>
      <c r="K39" s="30"/>
      <c r="L39" s="30"/>
      <c r="M39" s="24">
        <f t="shared" si="2"/>
        <v>30000</v>
      </c>
    </row>
    <row r="40" spans="1:13" x14ac:dyDescent="0.25">
      <c r="A40" s="29">
        <v>46126</v>
      </c>
      <c r="B40" s="14" t="s">
        <v>323</v>
      </c>
      <c r="C40" s="14" t="s">
        <v>318</v>
      </c>
      <c r="D40" s="24">
        <v>1500</v>
      </c>
      <c r="E40" s="24"/>
      <c r="F40" s="24"/>
      <c r="G40" s="24">
        <v>1500</v>
      </c>
      <c r="H40" s="26" t="s">
        <v>16</v>
      </c>
      <c r="I40" s="85"/>
      <c r="J40" s="25"/>
      <c r="K40" s="115">
        <v>1500</v>
      </c>
      <c r="L40" s="115" t="s">
        <v>324</v>
      </c>
      <c r="M40" s="24">
        <f t="shared" si="2"/>
        <v>0</v>
      </c>
    </row>
    <row r="41" spans="1:13" x14ac:dyDescent="0.25">
      <c r="A41" s="29">
        <v>46132</v>
      </c>
      <c r="B41" s="14" t="s">
        <v>333</v>
      </c>
      <c r="C41" s="14" t="s">
        <v>274</v>
      </c>
      <c r="D41" s="24">
        <v>16500</v>
      </c>
      <c r="E41" s="24"/>
      <c r="F41" s="24"/>
      <c r="G41" s="24">
        <v>16500</v>
      </c>
      <c r="H41" s="26" t="s">
        <v>16</v>
      </c>
      <c r="I41" s="85"/>
      <c r="J41" s="25"/>
      <c r="K41" s="115">
        <v>16500</v>
      </c>
      <c r="L41" s="115" t="s">
        <v>359</v>
      </c>
      <c r="M41" s="24">
        <f t="shared" si="2"/>
        <v>0</v>
      </c>
    </row>
    <row r="42" spans="1:13" x14ac:dyDescent="0.25">
      <c r="A42" s="29">
        <v>46132</v>
      </c>
      <c r="B42" s="14" t="s">
        <v>334</v>
      </c>
      <c r="C42" s="14" t="s">
        <v>274</v>
      </c>
      <c r="D42" s="24">
        <v>16500</v>
      </c>
      <c r="E42" s="24"/>
      <c r="F42" s="24"/>
      <c r="G42" s="24">
        <v>16500</v>
      </c>
      <c r="H42" s="26" t="s">
        <v>16</v>
      </c>
      <c r="I42" s="85"/>
      <c r="J42" s="25"/>
      <c r="K42" s="115">
        <v>16500</v>
      </c>
      <c r="L42" s="115" t="s">
        <v>360</v>
      </c>
      <c r="M42" s="24">
        <f t="shared" si="2"/>
        <v>0</v>
      </c>
    </row>
    <row r="43" spans="1:13" x14ac:dyDescent="0.25">
      <c r="A43" s="29">
        <v>46142</v>
      </c>
      <c r="B43" s="14" t="s">
        <v>371</v>
      </c>
      <c r="C43" s="14" t="s">
        <v>274</v>
      </c>
      <c r="D43" s="24">
        <v>16500</v>
      </c>
      <c r="E43" s="24"/>
      <c r="F43" s="24"/>
      <c r="G43" s="24">
        <v>16500</v>
      </c>
      <c r="H43" s="26" t="s">
        <v>16</v>
      </c>
      <c r="I43" s="85"/>
      <c r="J43" s="25"/>
      <c r="K43" s="115">
        <v>16500</v>
      </c>
      <c r="L43" s="115" t="s">
        <v>373</v>
      </c>
      <c r="M43" s="24">
        <f t="shared" si="2"/>
        <v>0</v>
      </c>
    </row>
    <row r="44" spans="1:13" x14ac:dyDescent="0.25">
      <c r="A44" s="29">
        <v>46142</v>
      </c>
      <c r="B44" s="14" t="s">
        <v>372</v>
      </c>
      <c r="C44" s="14" t="s">
        <v>274</v>
      </c>
      <c r="D44" s="24">
        <v>19500</v>
      </c>
      <c r="E44" s="24"/>
      <c r="F44" s="24"/>
      <c r="G44" s="24">
        <v>19500</v>
      </c>
      <c r="H44" s="22"/>
      <c r="I44" s="24"/>
      <c r="J44" s="14"/>
      <c r="K44" s="115"/>
      <c r="L44" s="115"/>
      <c r="M44" s="24">
        <f t="shared" si="2"/>
        <v>19500</v>
      </c>
    </row>
    <row r="45" spans="1:13" x14ac:dyDescent="0.25">
      <c r="A45" s="82"/>
      <c r="B45" s="82"/>
      <c r="C45" s="82"/>
      <c r="D45" s="83"/>
      <c r="E45" s="83"/>
      <c r="F45" s="83"/>
      <c r="G45" s="82"/>
      <c r="H45" s="84"/>
      <c r="I45" s="82"/>
      <c r="J45" s="82"/>
      <c r="K45" s="82"/>
      <c r="L45" s="82"/>
      <c r="M45" s="82"/>
    </row>
    <row r="46" spans="1:13" x14ac:dyDescent="0.25">
      <c r="F46" s="33"/>
      <c r="H46" s="34"/>
    </row>
    <row r="47" spans="1:13" x14ac:dyDescent="0.25">
      <c r="F47" s="33"/>
      <c r="H47" s="34"/>
    </row>
    <row r="48" spans="1:13" x14ac:dyDescent="0.25">
      <c r="F48" s="33"/>
      <c r="H48" s="34"/>
    </row>
    <row r="49" spans="6:8" x14ac:dyDescent="0.25">
      <c r="F49" s="33"/>
      <c r="H49" s="34"/>
    </row>
    <row r="50" spans="6:8" x14ac:dyDescent="0.25">
      <c r="F50" s="33"/>
      <c r="H50" s="34"/>
    </row>
    <row r="51" spans="6:8" x14ac:dyDescent="0.25">
      <c r="F51" s="33"/>
      <c r="H51" s="34"/>
    </row>
    <row r="52" spans="6:8" x14ac:dyDescent="0.25">
      <c r="F52" s="33"/>
      <c r="H52" s="34"/>
    </row>
    <row r="53" spans="6:8" x14ac:dyDescent="0.25">
      <c r="F53" s="33"/>
      <c r="H53" s="34"/>
    </row>
    <row r="54" spans="6:8" x14ac:dyDescent="0.25">
      <c r="F54" s="33"/>
      <c r="H54" s="34"/>
    </row>
    <row r="55" spans="6:8" x14ac:dyDescent="0.25">
      <c r="F55" s="33"/>
      <c r="H55" s="34"/>
    </row>
    <row r="56" spans="6:8" x14ac:dyDescent="0.25">
      <c r="F56" s="33"/>
      <c r="H56" s="34"/>
    </row>
    <row r="57" spans="6:8" x14ac:dyDescent="0.25">
      <c r="F57" s="33"/>
      <c r="H57" s="34"/>
    </row>
    <row r="58" spans="6:8" x14ac:dyDescent="0.25">
      <c r="F58" s="33"/>
      <c r="H58" s="34"/>
    </row>
    <row r="59" spans="6:8" x14ac:dyDescent="0.25">
      <c r="F59" s="33"/>
      <c r="H59" s="34"/>
    </row>
    <row r="60" spans="6:8" x14ac:dyDescent="0.25">
      <c r="F60" s="33"/>
      <c r="H60" s="34"/>
    </row>
    <row r="61" spans="6:8" x14ac:dyDescent="0.25">
      <c r="F61" s="33"/>
      <c r="H61" s="34"/>
    </row>
    <row r="62" spans="6:8" x14ac:dyDescent="0.25">
      <c r="H62" s="34"/>
    </row>
    <row r="63" spans="6:8" x14ac:dyDescent="0.25">
      <c r="H63" s="34"/>
    </row>
    <row r="64" spans="6:8" x14ac:dyDescent="0.25">
      <c r="H64" s="34"/>
    </row>
    <row r="65" spans="8:8" x14ac:dyDescent="0.25">
      <c r="H65" s="3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B7907-E0CB-43E1-8839-D780F4C06F0E}">
  <dimension ref="A1:M68"/>
  <sheetViews>
    <sheetView tabSelected="1" topLeftCell="A29" workbookViewId="0">
      <selection activeCell="B39" sqref="B39"/>
    </sheetView>
  </sheetViews>
  <sheetFormatPr defaultRowHeight="15" x14ac:dyDescent="0.25"/>
  <cols>
    <col min="1" max="1" width="9.28515625" customWidth="1"/>
    <col min="2" max="2" width="54.7109375" customWidth="1"/>
    <col min="3" max="3" width="46.140625" customWidth="1"/>
    <col min="4" max="4" width="12.42578125" style="33" customWidth="1"/>
    <col min="5" max="5" width="14.42578125" style="33" customWidth="1"/>
    <col min="6" max="6" width="13.42578125" customWidth="1"/>
    <col min="7" max="7" width="14.85546875" customWidth="1"/>
    <col min="8" max="8" width="10" customWidth="1"/>
    <col min="9" max="9" width="11.5703125" customWidth="1"/>
    <col min="10" max="10" width="11.85546875" customWidth="1"/>
    <col min="11" max="11" width="12.7109375" customWidth="1"/>
    <col min="12" max="12" width="15.28515625" style="116" customWidth="1"/>
    <col min="13" max="13" width="15.140625" customWidth="1"/>
  </cols>
  <sheetData>
    <row r="1" spans="1:13" x14ac:dyDescent="0.25">
      <c r="A1" s="1" t="s">
        <v>0</v>
      </c>
      <c r="B1" s="2"/>
      <c r="C1" s="3"/>
      <c r="D1" s="4"/>
      <c r="E1" s="4"/>
      <c r="F1" s="5"/>
      <c r="G1" s="5"/>
      <c r="H1" s="6"/>
      <c r="I1" s="7"/>
      <c r="J1" s="7"/>
      <c r="K1" s="8"/>
    </row>
    <row r="2" spans="1:13" x14ac:dyDescent="0.25">
      <c r="A2" s="1" t="s">
        <v>1</v>
      </c>
      <c r="B2" s="2"/>
      <c r="C2" s="3"/>
      <c r="D2" s="4"/>
      <c r="E2" s="4"/>
      <c r="F2" s="5"/>
      <c r="G2" s="5"/>
      <c r="H2" s="6"/>
      <c r="I2" s="7"/>
      <c r="J2" s="7"/>
      <c r="K2" s="8"/>
    </row>
    <row r="3" spans="1:13" x14ac:dyDescent="0.25">
      <c r="A3" s="1"/>
      <c r="B3" s="2"/>
      <c r="C3" s="3"/>
      <c r="D3" s="4"/>
      <c r="E3" s="4"/>
      <c r="F3" s="5"/>
      <c r="G3" s="5"/>
      <c r="H3" s="6"/>
      <c r="I3" s="7"/>
      <c r="J3" s="7"/>
      <c r="K3" s="8"/>
    </row>
    <row r="4" spans="1:13" x14ac:dyDescent="0.25">
      <c r="A4" s="9"/>
      <c r="B4" s="2" t="s">
        <v>2</v>
      </c>
      <c r="C4" s="3"/>
      <c r="D4" s="4"/>
      <c r="E4" s="4"/>
      <c r="F4" s="5"/>
      <c r="G4" s="5"/>
      <c r="H4" s="6"/>
      <c r="I4" s="7"/>
      <c r="J4" s="7"/>
      <c r="K4" s="8"/>
    </row>
    <row r="5" spans="1:13" ht="15.75" thickBot="1" x14ac:dyDescent="0.3">
      <c r="A5" s="37"/>
      <c r="B5" s="48" t="s">
        <v>21</v>
      </c>
      <c r="C5" s="8"/>
      <c r="D5" s="10"/>
      <c r="E5" s="10"/>
      <c r="F5" s="11"/>
      <c r="G5" s="11"/>
      <c r="H5" s="12"/>
      <c r="I5" s="11"/>
      <c r="J5" s="11"/>
      <c r="K5" s="8"/>
    </row>
    <row r="6" spans="1:13" ht="25.5" x14ac:dyDescent="0.25">
      <c r="A6" s="38" t="s">
        <v>3</v>
      </c>
      <c r="B6" s="39" t="s">
        <v>4</v>
      </c>
      <c r="C6" s="40" t="s">
        <v>5</v>
      </c>
      <c r="D6" s="41"/>
      <c r="E6" s="42"/>
      <c r="F6" s="43"/>
      <c r="G6" s="44" t="s">
        <v>6</v>
      </c>
      <c r="H6" s="45" t="s">
        <v>7</v>
      </c>
      <c r="I6" s="46" t="s">
        <v>8</v>
      </c>
      <c r="J6" s="46" t="s">
        <v>9</v>
      </c>
      <c r="K6" s="46" t="s">
        <v>8</v>
      </c>
      <c r="L6" s="46" t="s">
        <v>9</v>
      </c>
      <c r="M6" s="47"/>
    </row>
    <row r="7" spans="1:13" x14ac:dyDescent="0.25">
      <c r="A7" s="61"/>
      <c r="B7" s="62"/>
      <c r="C7" s="63"/>
      <c r="D7" s="64" t="s">
        <v>11</v>
      </c>
      <c r="E7" s="64" t="s">
        <v>10</v>
      </c>
      <c r="F7" s="65" t="s">
        <v>12</v>
      </c>
      <c r="G7" s="66"/>
      <c r="H7" s="67"/>
      <c r="I7" s="35" t="s">
        <v>13</v>
      </c>
      <c r="J7" s="35" t="s">
        <v>13</v>
      </c>
      <c r="K7" s="36" t="s">
        <v>14</v>
      </c>
      <c r="L7" s="36" t="s">
        <v>14</v>
      </c>
      <c r="M7" s="68" t="s">
        <v>15</v>
      </c>
    </row>
    <row r="8" spans="1:13" x14ac:dyDescent="0.25">
      <c r="A8" s="13" t="s">
        <v>361</v>
      </c>
      <c r="B8" s="14"/>
      <c r="C8" s="14"/>
      <c r="D8" s="15">
        <f>SUM(D42:D47)</f>
        <v>0</v>
      </c>
      <c r="E8" s="15">
        <f>SUM(E21:E29)</f>
        <v>115500</v>
      </c>
      <c r="F8" s="15">
        <f>SUM(F9:F12)</f>
        <v>31000</v>
      </c>
      <c r="G8" s="16">
        <f>SUM(D8:F8)</f>
        <v>146500</v>
      </c>
      <c r="H8" s="14"/>
      <c r="I8" s="14"/>
      <c r="J8" s="14"/>
      <c r="K8" s="14"/>
      <c r="L8" s="117"/>
      <c r="M8" s="17">
        <f t="shared" ref="M8:M47" si="0">SUM(G8-I8-K8)</f>
        <v>146500</v>
      </c>
    </row>
    <row r="9" spans="1:13" x14ac:dyDescent="0.25">
      <c r="A9" s="99">
        <v>46146</v>
      </c>
      <c r="B9" s="92" t="s">
        <v>362</v>
      </c>
      <c r="C9" s="92" t="s">
        <v>47</v>
      </c>
      <c r="D9" s="24"/>
      <c r="E9" s="24"/>
      <c r="F9" s="54">
        <v>2500</v>
      </c>
      <c r="G9" s="54">
        <v>2500</v>
      </c>
      <c r="H9" s="26" t="s">
        <v>16</v>
      </c>
      <c r="I9" s="85"/>
      <c r="J9" s="25"/>
      <c r="K9" s="54">
        <v>2500</v>
      </c>
      <c r="L9" s="30" t="s">
        <v>363</v>
      </c>
      <c r="M9" s="17">
        <f t="shared" si="0"/>
        <v>0</v>
      </c>
    </row>
    <row r="10" spans="1:13" x14ac:dyDescent="0.25">
      <c r="A10" s="99">
        <v>46153</v>
      </c>
      <c r="B10" s="92" t="s">
        <v>390</v>
      </c>
      <c r="C10" s="92" t="s">
        <v>95</v>
      </c>
      <c r="D10" s="24"/>
      <c r="E10" s="24"/>
      <c r="F10" s="54">
        <v>25500</v>
      </c>
      <c r="G10" s="54">
        <v>25500</v>
      </c>
      <c r="H10" s="26" t="s">
        <v>16</v>
      </c>
      <c r="I10" s="85"/>
      <c r="J10" s="25"/>
      <c r="K10" s="54">
        <v>25500</v>
      </c>
      <c r="L10" s="30" t="s">
        <v>391</v>
      </c>
      <c r="M10" s="17">
        <f t="shared" si="0"/>
        <v>0</v>
      </c>
    </row>
    <row r="11" spans="1:13" x14ac:dyDescent="0.25">
      <c r="A11" s="99">
        <v>46153</v>
      </c>
      <c r="B11" s="92" t="s">
        <v>392</v>
      </c>
      <c r="C11" s="92" t="s">
        <v>393</v>
      </c>
      <c r="D11" s="24"/>
      <c r="E11" s="24"/>
      <c r="F11" s="54">
        <v>1000</v>
      </c>
      <c r="G11" s="54">
        <v>1000</v>
      </c>
      <c r="H11" s="26" t="s">
        <v>16</v>
      </c>
      <c r="I11" s="85"/>
      <c r="J11" s="25"/>
      <c r="K11" s="30">
        <v>1000</v>
      </c>
      <c r="L11" s="30" t="s">
        <v>394</v>
      </c>
      <c r="M11" s="17">
        <f t="shared" si="0"/>
        <v>0</v>
      </c>
    </row>
    <row r="12" spans="1:13" x14ac:dyDescent="0.25">
      <c r="A12" s="99">
        <v>46153</v>
      </c>
      <c r="B12" s="92" t="s">
        <v>395</v>
      </c>
      <c r="C12" s="92" t="s">
        <v>49</v>
      </c>
      <c r="D12" s="24"/>
      <c r="E12" s="24"/>
      <c r="F12" s="54">
        <v>2000</v>
      </c>
      <c r="G12" s="54">
        <v>2000</v>
      </c>
      <c r="H12" s="22"/>
      <c r="I12" s="54"/>
      <c r="J12" s="92"/>
      <c r="K12" s="30"/>
      <c r="L12" s="30"/>
      <c r="M12" s="17">
        <f t="shared" si="0"/>
        <v>2000</v>
      </c>
    </row>
    <row r="13" spans="1:13" x14ac:dyDescent="0.25">
      <c r="A13" s="99">
        <v>46153</v>
      </c>
      <c r="B13" s="94" t="s">
        <v>396</v>
      </c>
      <c r="C13" s="94" t="s">
        <v>397</v>
      </c>
      <c r="D13" s="86"/>
      <c r="E13" s="86"/>
      <c r="F13" s="90">
        <v>500</v>
      </c>
      <c r="G13" s="91">
        <v>500</v>
      </c>
      <c r="H13" s="26" t="s">
        <v>16</v>
      </c>
      <c r="I13" s="85"/>
      <c r="J13" s="25"/>
      <c r="K13" s="87">
        <v>500</v>
      </c>
      <c r="L13" s="88" t="s">
        <v>398</v>
      </c>
      <c r="M13" s="17">
        <f t="shared" si="0"/>
        <v>0</v>
      </c>
    </row>
    <row r="14" spans="1:13" x14ac:dyDescent="0.25">
      <c r="A14" s="106">
        <v>46155</v>
      </c>
      <c r="B14" s="94" t="s">
        <v>400</v>
      </c>
      <c r="C14" s="94" t="s">
        <v>401</v>
      </c>
      <c r="D14" s="90"/>
      <c r="E14" s="54"/>
      <c r="F14" s="90">
        <v>20000</v>
      </c>
      <c r="G14" s="91">
        <v>20000</v>
      </c>
      <c r="H14" s="26" t="s">
        <v>16</v>
      </c>
      <c r="I14" s="85"/>
      <c r="J14" s="25"/>
      <c r="K14" s="103">
        <v>20000</v>
      </c>
      <c r="L14" s="88"/>
      <c r="M14" s="17">
        <f t="shared" si="0"/>
        <v>0</v>
      </c>
    </row>
    <row r="15" spans="1:13" x14ac:dyDescent="0.25">
      <c r="A15" s="106"/>
      <c r="B15" s="94"/>
      <c r="C15" s="94"/>
      <c r="D15" s="90"/>
      <c r="E15" s="54"/>
      <c r="F15" s="90"/>
      <c r="G15" s="91"/>
      <c r="H15" s="22"/>
      <c r="I15" s="24"/>
      <c r="J15" s="14"/>
      <c r="K15" s="103"/>
      <c r="L15" s="88"/>
      <c r="M15" s="17">
        <f t="shared" si="0"/>
        <v>0</v>
      </c>
    </row>
    <row r="16" spans="1:13" x14ac:dyDescent="0.25">
      <c r="A16" s="106"/>
      <c r="B16" s="94"/>
      <c r="C16" s="94"/>
      <c r="D16" s="90"/>
      <c r="E16" s="90"/>
      <c r="F16" s="90"/>
      <c r="G16" s="91"/>
      <c r="H16" s="22"/>
      <c r="I16" s="24"/>
      <c r="J16" s="14"/>
      <c r="K16" s="103"/>
      <c r="L16" s="88"/>
      <c r="M16" s="17">
        <f t="shared" si="0"/>
        <v>0</v>
      </c>
    </row>
    <row r="17" spans="1:13" x14ac:dyDescent="0.25">
      <c r="A17" s="106"/>
      <c r="B17" s="94"/>
      <c r="C17" s="94"/>
      <c r="D17" s="90"/>
      <c r="E17" s="90"/>
      <c r="F17" s="90"/>
      <c r="G17" s="91"/>
      <c r="H17" s="22"/>
      <c r="I17" s="24"/>
      <c r="J17" s="14"/>
      <c r="K17" s="103"/>
      <c r="L17" s="88"/>
      <c r="M17" s="17">
        <f t="shared" si="0"/>
        <v>0</v>
      </c>
    </row>
    <row r="18" spans="1:13" x14ac:dyDescent="0.25">
      <c r="A18" s="106"/>
      <c r="B18" s="94"/>
      <c r="C18" s="94"/>
      <c r="D18" s="90"/>
      <c r="E18" s="90"/>
      <c r="F18" s="90"/>
      <c r="G18" s="91"/>
      <c r="H18" s="22"/>
      <c r="I18" s="54"/>
      <c r="J18" s="92"/>
      <c r="K18" s="103"/>
      <c r="L18" s="88"/>
      <c r="M18" s="17">
        <f t="shared" si="0"/>
        <v>0</v>
      </c>
    </row>
    <row r="19" spans="1:13" x14ac:dyDescent="0.25">
      <c r="A19" s="106"/>
      <c r="B19" s="94"/>
      <c r="C19" s="94"/>
      <c r="D19" s="90"/>
      <c r="E19" s="90"/>
      <c r="F19" s="90"/>
      <c r="G19" s="91"/>
      <c r="H19" s="22"/>
      <c r="I19" s="24"/>
      <c r="J19" s="14"/>
      <c r="K19" s="103"/>
      <c r="L19" s="88"/>
      <c r="M19" s="17">
        <f t="shared" si="0"/>
        <v>0</v>
      </c>
    </row>
    <row r="20" spans="1:13" x14ac:dyDescent="0.25">
      <c r="A20" s="69"/>
      <c r="B20" s="70"/>
      <c r="C20" s="70"/>
      <c r="D20" s="71"/>
      <c r="E20" s="71"/>
      <c r="F20" s="71"/>
      <c r="G20" s="71"/>
      <c r="H20" s="72"/>
      <c r="I20" s="70"/>
      <c r="J20" s="70"/>
      <c r="K20" s="73"/>
      <c r="L20" s="73"/>
      <c r="M20" s="74"/>
    </row>
    <row r="21" spans="1:13" x14ac:dyDescent="0.25">
      <c r="A21" s="106">
        <v>46146</v>
      </c>
      <c r="B21" s="94" t="s">
        <v>405</v>
      </c>
      <c r="C21" s="94" t="s">
        <v>364</v>
      </c>
      <c r="D21" s="90"/>
      <c r="E21" s="90">
        <v>8500</v>
      </c>
      <c r="F21" s="90"/>
      <c r="G21" s="91">
        <v>8500</v>
      </c>
      <c r="H21" s="26" t="s">
        <v>16</v>
      </c>
      <c r="I21" s="85"/>
      <c r="J21" s="25"/>
      <c r="K21" s="103">
        <v>8500</v>
      </c>
      <c r="L21" s="88" t="s">
        <v>374</v>
      </c>
      <c r="M21" s="17">
        <f t="shared" si="0"/>
        <v>0</v>
      </c>
    </row>
    <row r="22" spans="1:13" x14ac:dyDescent="0.25">
      <c r="A22" s="106">
        <v>46146</v>
      </c>
      <c r="B22" s="94" t="s">
        <v>365</v>
      </c>
      <c r="C22" s="94" t="s">
        <v>366</v>
      </c>
      <c r="D22" s="90"/>
      <c r="E22" s="90">
        <v>6500</v>
      </c>
      <c r="F22" s="90"/>
      <c r="G22" s="91">
        <v>6500</v>
      </c>
      <c r="H22" s="26"/>
      <c r="I22" s="24"/>
      <c r="J22" s="14"/>
      <c r="K22" s="103"/>
      <c r="L22" s="88"/>
      <c r="M22" s="17">
        <f t="shared" si="0"/>
        <v>6500</v>
      </c>
    </row>
    <row r="23" spans="1:13" x14ac:dyDescent="0.25">
      <c r="A23" s="106">
        <v>46146</v>
      </c>
      <c r="B23" s="94" t="s">
        <v>367</v>
      </c>
      <c r="C23" s="94" t="s">
        <v>366</v>
      </c>
      <c r="D23" s="90"/>
      <c r="E23" s="90">
        <v>6500</v>
      </c>
      <c r="F23" s="90"/>
      <c r="G23" s="91">
        <v>6500</v>
      </c>
      <c r="H23" s="26"/>
      <c r="I23" s="24"/>
      <c r="J23" s="14"/>
      <c r="K23" s="103"/>
      <c r="L23" s="88"/>
      <c r="M23" s="17">
        <f t="shared" si="0"/>
        <v>6500</v>
      </c>
    </row>
    <row r="24" spans="1:13" x14ac:dyDescent="0.25">
      <c r="A24" s="106">
        <v>46146</v>
      </c>
      <c r="B24" s="94" t="s">
        <v>368</v>
      </c>
      <c r="C24" s="94" t="s">
        <v>20</v>
      </c>
      <c r="D24" s="90"/>
      <c r="E24" s="90">
        <v>13000</v>
      </c>
      <c r="F24" s="90"/>
      <c r="G24" s="91">
        <v>13000</v>
      </c>
      <c r="H24" s="26"/>
      <c r="I24" s="54"/>
      <c r="J24" s="92"/>
      <c r="K24" s="103"/>
      <c r="L24" s="88"/>
      <c r="M24" s="17">
        <f t="shared" si="0"/>
        <v>13000</v>
      </c>
    </row>
    <row r="25" spans="1:13" x14ac:dyDescent="0.25">
      <c r="A25" s="106">
        <v>46146</v>
      </c>
      <c r="B25" s="94" t="s">
        <v>369</v>
      </c>
      <c r="C25" s="94" t="s">
        <v>366</v>
      </c>
      <c r="D25" s="90"/>
      <c r="E25" s="90">
        <v>6500</v>
      </c>
      <c r="F25" s="90"/>
      <c r="G25" s="91">
        <v>6500</v>
      </c>
      <c r="H25" s="22"/>
      <c r="I25" s="92"/>
      <c r="J25" s="92"/>
      <c r="K25" s="103"/>
      <c r="L25" s="88"/>
      <c r="M25" s="17">
        <f t="shared" si="0"/>
        <v>6500</v>
      </c>
    </row>
    <row r="26" spans="1:13" x14ac:dyDescent="0.25">
      <c r="A26" s="106">
        <v>46146</v>
      </c>
      <c r="B26" s="95" t="s">
        <v>370</v>
      </c>
      <c r="C26" s="95" t="s">
        <v>366</v>
      </c>
      <c r="D26" s="96"/>
      <c r="E26" s="54">
        <v>6500</v>
      </c>
      <c r="F26" s="96"/>
      <c r="G26" s="97">
        <v>6500</v>
      </c>
      <c r="H26" s="26"/>
      <c r="I26" s="24"/>
      <c r="J26" s="14"/>
      <c r="K26" s="98"/>
      <c r="L26" s="112"/>
      <c r="M26" s="17">
        <f t="shared" si="0"/>
        <v>6500</v>
      </c>
    </row>
    <row r="27" spans="1:13" x14ac:dyDescent="0.25">
      <c r="A27" s="101">
        <v>46147</v>
      </c>
      <c r="B27" s="95" t="s">
        <v>375</v>
      </c>
      <c r="C27" s="95" t="s">
        <v>366</v>
      </c>
      <c r="D27" s="96"/>
      <c r="E27" s="54">
        <v>18000</v>
      </c>
      <c r="F27" s="96"/>
      <c r="G27" s="97">
        <v>18000</v>
      </c>
      <c r="H27" s="26"/>
      <c r="I27" s="24"/>
      <c r="J27" s="14"/>
      <c r="K27" s="98"/>
      <c r="L27" s="112"/>
      <c r="M27" s="17">
        <f t="shared" si="0"/>
        <v>18000</v>
      </c>
    </row>
    <row r="28" spans="1:13" x14ac:dyDescent="0.25">
      <c r="A28" s="101">
        <v>46147</v>
      </c>
      <c r="B28" s="95" t="s">
        <v>376</v>
      </c>
      <c r="C28" s="95" t="s">
        <v>377</v>
      </c>
      <c r="D28" s="96"/>
      <c r="E28" s="54">
        <v>20000</v>
      </c>
      <c r="F28" s="96"/>
      <c r="G28" s="97">
        <v>20000</v>
      </c>
      <c r="H28" s="26" t="s">
        <v>16</v>
      </c>
      <c r="I28" s="85"/>
      <c r="J28" s="25"/>
      <c r="K28" s="98">
        <v>20000</v>
      </c>
      <c r="L28" s="112" t="s">
        <v>385</v>
      </c>
      <c r="M28" s="17">
        <f t="shared" si="0"/>
        <v>0</v>
      </c>
    </row>
    <row r="29" spans="1:13" x14ac:dyDescent="0.25">
      <c r="A29" s="101">
        <v>46147</v>
      </c>
      <c r="B29" s="95" t="s">
        <v>378</v>
      </c>
      <c r="C29" s="95" t="s">
        <v>18</v>
      </c>
      <c r="D29" s="96"/>
      <c r="E29" s="96">
        <v>30000</v>
      </c>
      <c r="F29" s="96"/>
      <c r="G29" s="97">
        <v>30000</v>
      </c>
      <c r="H29" s="26"/>
      <c r="I29" s="24"/>
      <c r="J29" s="14"/>
      <c r="K29" s="98"/>
      <c r="L29" s="112"/>
      <c r="M29" s="17">
        <f t="shared" si="0"/>
        <v>30000</v>
      </c>
    </row>
    <row r="30" spans="1:13" x14ac:dyDescent="0.25">
      <c r="A30" s="101">
        <v>46149</v>
      </c>
      <c r="B30" s="93" t="s">
        <v>381</v>
      </c>
      <c r="C30" s="93" t="s">
        <v>382</v>
      </c>
      <c r="D30" s="89"/>
      <c r="E30" s="89">
        <v>118800</v>
      </c>
      <c r="F30" s="89"/>
      <c r="G30" s="89">
        <v>111800</v>
      </c>
      <c r="H30" s="26"/>
      <c r="I30" s="24">
        <v>55900</v>
      </c>
      <c r="J30" s="14" t="s">
        <v>387</v>
      </c>
      <c r="K30" s="31"/>
      <c r="L30" s="31"/>
      <c r="M30" s="17">
        <f t="shared" si="0"/>
        <v>55900</v>
      </c>
    </row>
    <row r="31" spans="1:13" x14ac:dyDescent="0.25">
      <c r="A31" s="100">
        <v>46149</v>
      </c>
      <c r="B31" s="93" t="s">
        <v>383</v>
      </c>
      <c r="C31" s="93" t="s">
        <v>382</v>
      </c>
      <c r="D31" s="89"/>
      <c r="E31" s="89">
        <v>91000</v>
      </c>
      <c r="F31" s="89"/>
      <c r="G31" s="89">
        <v>91000</v>
      </c>
      <c r="H31" s="26"/>
      <c r="I31" s="24"/>
      <c r="J31" s="14"/>
      <c r="K31" s="31"/>
      <c r="L31" s="31"/>
      <c r="M31" s="17">
        <f t="shared" si="0"/>
        <v>91000</v>
      </c>
    </row>
    <row r="32" spans="1:13" x14ac:dyDescent="0.25">
      <c r="A32" s="100">
        <v>46150</v>
      </c>
      <c r="B32" s="93" t="s">
        <v>384</v>
      </c>
      <c r="C32" s="93" t="s">
        <v>269</v>
      </c>
      <c r="D32" s="89"/>
      <c r="E32" s="89">
        <v>12000</v>
      </c>
      <c r="F32" s="89"/>
      <c r="G32" s="89">
        <v>12000</v>
      </c>
      <c r="H32" s="26"/>
      <c r="I32" s="24"/>
      <c r="J32" s="14"/>
      <c r="K32" s="31"/>
      <c r="L32" s="31"/>
      <c r="M32" s="17">
        <f t="shared" si="0"/>
        <v>12000</v>
      </c>
    </row>
    <row r="33" spans="1:13" x14ac:dyDescent="0.25">
      <c r="A33" s="100">
        <v>46154</v>
      </c>
      <c r="B33" s="93" t="s">
        <v>399</v>
      </c>
      <c r="C33" s="93" t="s">
        <v>49</v>
      </c>
      <c r="D33" s="89"/>
      <c r="E33" s="89">
        <v>2000</v>
      </c>
      <c r="F33" s="89"/>
      <c r="G33" s="89">
        <v>2000</v>
      </c>
      <c r="H33" s="26"/>
      <c r="I33" s="24"/>
      <c r="J33" s="14"/>
      <c r="K33" s="31"/>
      <c r="L33" s="31"/>
      <c r="M33" s="17">
        <f t="shared" si="0"/>
        <v>2000</v>
      </c>
    </row>
    <row r="34" spans="1:13" x14ac:dyDescent="0.25">
      <c r="A34" s="100"/>
      <c r="B34" s="93"/>
      <c r="C34" s="93"/>
      <c r="D34" s="89"/>
      <c r="E34" s="89"/>
      <c r="F34" s="89"/>
      <c r="G34" s="89"/>
      <c r="H34" s="26"/>
      <c r="I34" s="24"/>
      <c r="J34" s="14"/>
      <c r="K34" s="31"/>
      <c r="L34" s="31"/>
      <c r="M34" s="17">
        <f t="shared" si="0"/>
        <v>0</v>
      </c>
    </row>
    <row r="35" spans="1:13" x14ac:dyDescent="0.25">
      <c r="A35" s="99"/>
      <c r="B35" s="92"/>
      <c r="C35" s="92"/>
      <c r="D35" s="54"/>
      <c r="E35" s="54"/>
      <c r="F35" s="54"/>
      <c r="G35" s="54"/>
      <c r="H35" s="26"/>
      <c r="I35" s="24"/>
      <c r="J35" s="14"/>
      <c r="K35" s="30"/>
      <c r="L35" s="30"/>
      <c r="M35" s="17">
        <f t="shared" si="0"/>
        <v>0</v>
      </c>
    </row>
    <row r="36" spans="1:13" x14ac:dyDescent="0.25">
      <c r="A36" s="99"/>
      <c r="B36" s="92"/>
      <c r="C36" s="92"/>
      <c r="D36" s="54"/>
      <c r="E36" s="54"/>
      <c r="F36" s="54"/>
      <c r="G36" s="54"/>
      <c r="H36" s="22"/>
      <c r="I36" s="24"/>
      <c r="J36" s="14"/>
      <c r="K36" s="30"/>
      <c r="L36" s="30"/>
      <c r="M36" s="17">
        <f t="shared" si="0"/>
        <v>0</v>
      </c>
    </row>
    <row r="37" spans="1:13" x14ac:dyDescent="0.25">
      <c r="A37" s="99"/>
      <c r="B37" s="92"/>
      <c r="C37" s="92"/>
      <c r="D37" s="54"/>
      <c r="E37" s="54"/>
      <c r="F37" s="54"/>
      <c r="G37" s="54"/>
      <c r="H37" s="22"/>
      <c r="I37" s="24"/>
      <c r="J37" s="14"/>
      <c r="K37" s="30"/>
      <c r="L37" s="30"/>
      <c r="M37" s="17">
        <f t="shared" si="0"/>
        <v>0</v>
      </c>
    </row>
    <row r="38" spans="1:13" x14ac:dyDescent="0.25">
      <c r="A38" s="75"/>
      <c r="B38" s="76"/>
      <c r="C38" s="76"/>
      <c r="D38" s="77"/>
      <c r="E38" s="78"/>
      <c r="F38" s="78"/>
      <c r="G38" s="78"/>
      <c r="H38" s="119"/>
      <c r="I38" s="76"/>
      <c r="J38" s="76"/>
      <c r="K38" s="80"/>
      <c r="L38" s="80"/>
      <c r="M38" s="81"/>
    </row>
    <row r="39" spans="1:13" x14ac:dyDescent="0.25">
      <c r="A39" s="29">
        <v>46148</v>
      </c>
      <c r="B39" s="14" t="s">
        <v>379</v>
      </c>
      <c r="C39" s="14" t="s">
        <v>380</v>
      </c>
      <c r="D39" s="24">
        <v>60500</v>
      </c>
      <c r="E39" s="54"/>
      <c r="F39" s="54"/>
      <c r="G39" s="54">
        <v>60500</v>
      </c>
      <c r="H39" s="22"/>
      <c r="I39" s="24">
        <v>30250</v>
      </c>
      <c r="J39" s="14" t="s">
        <v>389</v>
      </c>
      <c r="K39" s="30"/>
      <c r="L39" s="30"/>
      <c r="M39" s="17">
        <f t="shared" si="0"/>
        <v>30250</v>
      </c>
    </row>
    <row r="40" spans="1:13" x14ac:dyDescent="0.25">
      <c r="A40" s="29">
        <v>46154</v>
      </c>
      <c r="B40" s="14" t="s">
        <v>403</v>
      </c>
      <c r="C40" s="14" t="s">
        <v>17</v>
      </c>
      <c r="D40" s="24">
        <v>18000</v>
      </c>
      <c r="E40" s="54"/>
      <c r="F40" s="54"/>
      <c r="G40" s="54">
        <v>18000</v>
      </c>
      <c r="H40" s="26" t="s">
        <v>16</v>
      </c>
      <c r="I40" s="85"/>
      <c r="J40" s="25"/>
      <c r="K40" s="30">
        <v>18000</v>
      </c>
      <c r="L40" s="30" t="s">
        <v>404</v>
      </c>
      <c r="M40" s="17">
        <f t="shared" si="0"/>
        <v>0</v>
      </c>
    </row>
    <row r="41" spans="1:13" x14ac:dyDescent="0.25">
      <c r="A41" s="29"/>
      <c r="B41" s="14"/>
      <c r="C41" s="14"/>
      <c r="D41" s="24"/>
      <c r="E41" s="54"/>
      <c r="F41" s="54"/>
      <c r="G41" s="54"/>
      <c r="H41" s="22"/>
      <c r="I41" s="14"/>
      <c r="J41" s="14"/>
      <c r="K41" s="30"/>
      <c r="L41" s="30"/>
      <c r="M41" s="17">
        <f t="shared" si="0"/>
        <v>0</v>
      </c>
    </row>
    <row r="42" spans="1:13" x14ac:dyDescent="0.25">
      <c r="A42" s="29"/>
      <c r="B42" s="14"/>
      <c r="C42" s="14"/>
      <c r="D42" s="24"/>
      <c r="E42" s="54"/>
      <c r="F42" s="54"/>
      <c r="G42" s="54"/>
      <c r="H42" s="22"/>
      <c r="I42" s="24"/>
      <c r="J42" s="14"/>
      <c r="K42" s="30"/>
      <c r="L42" s="30"/>
      <c r="M42" s="17">
        <f t="shared" si="0"/>
        <v>0</v>
      </c>
    </row>
    <row r="43" spans="1:13" x14ac:dyDescent="0.25">
      <c r="A43" s="29"/>
      <c r="B43" s="14"/>
      <c r="C43" s="14"/>
      <c r="D43" s="24"/>
      <c r="E43" s="24"/>
      <c r="F43" s="24"/>
      <c r="G43" s="24"/>
      <c r="H43" s="22"/>
      <c r="I43" s="24"/>
      <c r="J43" s="14"/>
      <c r="K43" s="115"/>
      <c r="L43" s="115"/>
      <c r="M43" s="17">
        <f t="shared" si="0"/>
        <v>0</v>
      </c>
    </row>
    <row r="44" spans="1:13" x14ac:dyDescent="0.25">
      <c r="A44" s="29"/>
      <c r="B44" s="14"/>
      <c r="C44" s="14"/>
      <c r="D44" s="24"/>
      <c r="E44" s="24"/>
      <c r="F44" s="24"/>
      <c r="G44" s="24"/>
      <c r="H44" s="26"/>
      <c r="I44" s="24"/>
      <c r="J44" s="14"/>
      <c r="K44" s="115"/>
      <c r="L44" s="115"/>
      <c r="M44" s="17">
        <f t="shared" si="0"/>
        <v>0</v>
      </c>
    </row>
    <row r="45" spans="1:13" x14ac:dyDescent="0.25">
      <c r="A45" s="29"/>
      <c r="B45" s="14"/>
      <c r="C45" s="14"/>
      <c r="D45" s="24"/>
      <c r="E45" s="24"/>
      <c r="F45" s="24"/>
      <c r="G45" s="24"/>
      <c r="H45" s="26"/>
      <c r="I45" s="24"/>
      <c r="J45" s="14"/>
      <c r="K45" s="115"/>
      <c r="L45" s="115"/>
      <c r="M45" s="17">
        <f t="shared" si="0"/>
        <v>0</v>
      </c>
    </row>
    <row r="46" spans="1:13" x14ac:dyDescent="0.25">
      <c r="A46" s="29"/>
      <c r="B46" s="14"/>
      <c r="C46" s="14"/>
      <c r="D46" s="24"/>
      <c r="E46" s="24"/>
      <c r="F46" s="24"/>
      <c r="G46" s="24"/>
      <c r="H46" s="26"/>
      <c r="I46" s="24"/>
      <c r="J46" s="14"/>
      <c r="K46" s="115"/>
      <c r="L46" s="115"/>
      <c r="M46" s="17">
        <f t="shared" si="0"/>
        <v>0</v>
      </c>
    </row>
    <row r="47" spans="1:13" x14ac:dyDescent="0.25">
      <c r="A47" s="29"/>
      <c r="B47" s="14"/>
      <c r="C47" s="14"/>
      <c r="D47" s="24"/>
      <c r="E47" s="24"/>
      <c r="F47" s="24"/>
      <c r="G47" s="24"/>
      <c r="H47" s="114"/>
      <c r="I47" s="24"/>
      <c r="J47" s="14"/>
      <c r="K47" s="115"/>
      <c r="L47" s="115"/>
      <c r="M47" s="17">
        <f t="shared" si="0"/>
        <v>0</v>
      </c>
    </row>
    <row r="48" spans="1:13" x14ac:dyDescent="0.25">
      <c r="A48" s="82"/>
      <c r="B48" s="82"/>
      <c r="C48" s="82"/>
      <c r="D48" s="83"/>
      <c r="E48" s="83"/>
      <c r="F48" s="83"/>
      <c r="G48" s="82"/>
      <c r="H48" s="84"/>
      <c r="I48" s="82"/>
      <c r="J48" s="82"/>
      <c r="K48" s="82"/>
      <c r="L48" s="118"/>
      <c r="M48" s="82"/>
    </row>
    <row r="49" spans="6:8" x14ac:dyDescent="0.25">
      <c r="F49" s="33"/>
      <c r="H49" s="34"/>
    </row>
    <row r="50" spans="6:8" x14ac:dyDescent="0.25">
      <c r="F50" s="33"/>
      <c r="H50" s="34"/>
    </row>
    <row r="51" spans="6:8" x14ac:dyDescent="0.25">
      <c r="F51" s="33"/>
      <c r="H51" s="34"/>
    </row>
    <row r="52" spans="6:8" x14ac:dyDescent="0.25">
      <c r="F52" s="33"/>
      <c r="H52" s="34"/>
    </row>
    <row r="53" spans="6:8" x14ac:dyDescent="0.25">
      <c r="F53" s="33"/>
      <c r="H53" s="34"/>
    </row>
    <row r="54" spans="6:8" x14ac:dyDescent="0.25">
      <c r="F54" s="33"/>
      <c r="H54" s="34"/>
    </row>
    <row r="55" spans="6:8" x14ac:dyDescent="0.25">
      <c r="F55" s="33"/>
      <c r="H55" s="34"/>
    </row>
    <row r="56" spans="6:8" x14ac:dyDescent="0.25">
      <c r="F56" s="33"/>
      <c r="H56" s="34"/>
    </row>
    <row r="57" spans="6:8" x14ac:dyDescent="0.25">
      <c r="F57" s="33"/>
      <c r="H57" s="34"/>
    </row>
    <row r="58" spans="6:8" x14ac:dyDescent="0.25">
      <c r="F58" s="33"/>
      <c r="H58" s="34"/>
    </row>
    <row r="59" spans="6:8" x14ac:dyDescent="0.25">
      <c r="F59" s="33"/>
      <c r="H59" s="34"/>
    </row>
    <row r="60" spans="6:8" x14ac:dyDescent="0.25">
      <c r="F60" s="33"/>
      <c r="H60" s="34"/>
    </row>
    <row r="61" spans="6:8" x14ac:dyDescent="0.25">
      <c r="F61" s="33"/>
      <c r="H61" s="34"/>
    </row>
    <row r="62" spans="6:8" x14ac:dyDescent="0.25">
      <c r="F62" s="33"/>
      <c r="H62" s="34"/>
    </row>
    <row r="63" spans="6:8" x14ac:dyDescent="0.25">
      <c r="F63" s="33"/>
      <c r="H63" s="34"/>
    </row>
    <row r="64" spans="6:8" x14ac:dyDescent="0.25">
      <c r="F64" s="33"/>
      <c r="H64" s="34"/>
    </row>
    <row r="65" spans="8:8" x14ac:dyDescent="0.25">
      <c r="H65" s="34"/>
    </row>
    <row r="66" spans="8:8" x14ac:dyDescent="0.25">
      <c r="H66" s="34"/>
    </row>
    <row r="67" spans="8:8" x14ac:dyDescent="0.25">
      <c r="H67" s="34"/>
    </row>
    <row r="68" spans="8:8" x14ac:dyDescent="0.25">
      <c r="H68" s="3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JANUARY</vt:lpstr>
      <vt:lpstr>FEBRUARY</vt:lpstr>
      <vt:lpstr>MARCH</vt:lpstr>
      <vt:lpstr>APRIL</vt:lpstr>
      <vt:lpstr>MAY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dc:creator>
  <cp:lastModifiedBy>JEN</cp:lastModifiedBy>
  <dcterms:created xsi:type="dcterms:W3CDTF">2026-01-19T07:50:04Z</dcterms:created>
  <dcterms:modified xsi:type="dcterms:W3CDTF">2026-05-14T02:40:43Z</dcterms:modified>
</cp:coreProperties>
</file>