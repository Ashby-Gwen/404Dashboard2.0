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 FILES\AR 2026\"/>
    </mc:Choice>
  </mc:AlternateContent>
  <xr:revisionPtr revIDLastSave="0" documentId="13_ncr:1_{FFF7A0D6-2F05-4359-8D6C-5E8FEECAC2A3}" xr6:coauthVersionLast="47" xr6:coauthVersionMax="47" xr10:uidLastSave="{00000000-0000-0000-0000-000000000000}"/>
  <bookViews>
    <workbookView xWindow="-120" yWindow="-120" windowWidth="20730" windowHeight="11160" activeTab="4" xr2:uid="{08DF4349-094E-427D-B2E0-E733AA52ECE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</sheets>
  <definedNames>
    <definedName name="_xlnm._FilterDatabase" localSheetId="3" hidden="1">APRIL!$A$3:$N$81</definedName>
    <definedName name="_xlnm._FilterDatabase" localSheetId="2" hidden="1">MARCH!$A$3:$M$73</definedName>
    <definedName name="_xlnm._FilterDatabase" localSheetId="4" hidden="1">MAY!$K$1:$K$78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6" i="5" l="1"/>
  <c r="J65" i="5"/>
  <c r="J53" i="5"/>
  <c r="J47" i="5"/>
  <c r="J48" i="5"/>
  <c r="J49" i="5"/>
  <c r="J50" i="5"/>
  <c r="J51" i="5"/>
  <c r="J52" i="5"/>
  <c r="J46" i="5"/>
  <c r="J41" i="5"/>
  <c r="J40" i="5"/>
  <c r="J58" i="4"/>
  <c r="J59" i="4"/>
  <c r="J44" i="5" l="1"/>
  <c r="J45" i="5" l="1"/>
  <c r="J39" i="5" l="1"/>
  <c r="J38" i="5"/>
  <c r="J37" i="5"/>
  <c r="J36" i="5"/>
  <c r="J35" i="5"/>
  <c r="J34" i="5"/>
  <c r="J33" i="5"/>
  <c r="J32" i="5"/>
  <c r="J31" i="5"/>
  <c r="J29" i="5"/>
  <c r="J27" i="5"/>
  <c r="J26" i="5"/>
  <c r="J25" i="5"/>
  <c r="J24" i="5"/>
  <c r="J23" i="5"/>
  <c r="J22" i="5"/>
  <c r="J21" i="5"/>
  <c r="J20" i="5"/>
  <c r="J19" i="5"/>
  <c r="J18" i="5"/>
  <c r="J17" i="5"/>
  <c r="J15" i="5"/>
  <c r="J13" i="5"/>
  <c r="J12" i="5"/>
  <c r="J10" i="5"/>
  <c r="J9" i="5"/>
  <c r="J8" i="5"/>
  <c r="J6" i="5"/>
  <c r="J73" i="4" l="1"/>
  <c r="J74" i="4"/>
  <c r="J75" i="4"/>
  <c r="J76" i="4"/>
  <c r="J70" i="4"/>
  <c r="J71" i="4"/>
  <c r="J72" i="4"/>
  <c r="J65" i="4" l="1"/>
  <c r="J64" i="4"/>
  <c r="J15" i="4"/>
  <c r="J60" i="4"/>
  <c r="J61" i="4"/>
  <c r="J62" i="4"/>
  <c r="J63" i="4"/>
  <c r="J68" i="4"/>
  <c r="J69" i="4"/>
  <c r="J77" i="4"/>
  <c r="J78" i="4"/>
  <c r="J57" i="4"/>
  <c r="J56" i="4"/>
  <c r="J55" i="4"/>
  <c r="J54" i="4"/>
  <c r="J53" i="4"/>
  <c r="J52" i="4"/>
  <c r="J50" i="4"/>
  <c r="J51" i="4"/>
  <c r="J79" i="4"/>
  <c r="J80" i="4"/>
  <c r="J81" i="4"/>
  <c r="J17" i="2" l="1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15" i="2"/>
  <c r="J16" i="2"/>
  <c r="J14" i="2"/>
  <c r="J13" i="2"/>
  <c r="J12" i="2"/>
  <c r="J11" i="2"/>
  <c r="J10" i="2"/>
  <c r="J9" i="2"/>
  <c r="J8" i="2"/>
  <c r="J7" i="2"/>
  <c r="J6" i="2"/>
  <c r="J40" i="4" l="1"/>
  <c r="J33" i="3" l="1"/>
  <c r="J30" i="3" l="1"/>
  <c r="J31" i="3"/>
  <c r="J38" i="3" l="1"/>
  <c r="J18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1" i="4"/>
  <c r="J42" i="4"/>
  <c r="J43" i="4"/>
  <c r="J44" i="4"/>
  <c r="J45" i="4"/>
  <c r="J46" i="4"/>
  <c r="J47" i="4"/>
  <c r="J48" i="4"/>
  <c r="J49" i="4"/>
  <c r="J17" i="4"/>
  <c r="J13" i="4"/>
  <c r="J12" i="4"/>
  <c r="J6" i="4"/>
  <c r="J10" i="4"/>
  <c r="J9" i="4"/>
  <c r="J8" i="4"/>
  <c r="J7" i="3" l="1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2" i="3"/>
  <c r="J34" i="3"/>
  <c r="J35" i="3"/>
  <c r="J36" i="3"/>
  <c r="J37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6" i="3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</calcChain>
</file>

<file path=xl/sharedStrings.xml><?xml version="1.0" encoding="utf-8"?>
<sst xmlns="http://schemas.openxmlformats.org/spreadsheetml/2006/main" count="1582" uniqueCount="740">
  <si>
    <t>SERVICE INVOICE</t>
  </si>
  <si>
    <t>SALES INVOICE</t>
  </si>
  <si>
    <t>DATE</t>
  </si>
  <si>
    <t xml:space="preserve">CLIENT </t>
  </si>
  <si>
    <t>PARTICULARS</t>
  </si>
  <si>
    <t>TOTAL AMOUNT</t>
  </si>
  <si>
    <t>PAYMENT</t>
  </si>
  <si>
    <t>JULY 2025</t>
  </si>
  <si>
    <t>Svl 0179</t>
  </si>
  <si>
    <t>TERRY SELECTION INC</t>
  </si>
  <si>
    <t>SERVICE CHARGE</t>
  </si>
  <si>
    <t>PREVENTIVE MAINTENANCE FEE</t>
  </si>
  <si>
    <t xml:space="preserve">CANELLE FOOD CORPORATION </t>
  </si>
  <si>
    <t>JAN 2026</t>
  </si>
  <si>
    <t>SI 5023</t>
  </si>
  <si>
    <t>SI 5024</t>
  </si>
  <si>
    <t>SI 5025</t>
  </si>
  <si>
    <t>SI 5026</t>
  </si>
  <si>
    <t>SI 5027</t>
  </si>
  <si>
    <t>SI 5028</t>
  </si>
  <si>
    <t>SI 5029</t>
  </si>
  <si>
    <t>SI 5030</t>
  </si>
  <si>
    <t>VILLSIBS INC- POTATO CORNER ( FRANCHISE)</t>
  </si>
  <si>
    <t>1 BOX JOURNAL PAPER 1 PLY</t>
  </si>
  <si>
    <t xml:space="preserve">M&amp;W TOWNSTORES INC </t>
  </si>
  <si>
    <t>2 EPSON TMU220B USB PRINTER</t>
  </si>
  <si>
    <t xml:space="preserve">PHARMASAFE INC- MUSTELA SM MOA </t>
  </si>
  <si>
    <t>EPSON TMU220D USB , MINI CASH DRAWER</t>
  </si>
  <si>
    <t>PHARMASAFE INC- MUSTELA SM MEGAMALL</t>
  </si>
  <si>
    <t>THE VALLEY STORE INC</t>
  </si>
  <si>
    <t>RDMS SQL VERSION W/ BIR REGISTRATION FEE= FP</t>
  </si>
  <si>
    <t xml:space="preserve">HUZZAH INC </t>
  </si>
  <si>
    <t>1 BOX JOURNAL PAPER 2 PLY</t>
  </si>
  <si>
    <t>ALBENTO, ELMER AURE-MORIBIZ RESTAURANT TAGAYTAY</t>
  </si>
  <si>
    <t>BACCHUS SQL VERSION W/ POS HARDWARES=DP</t>
  </si>
  <si>
    <t>GATPANDAN, WINCY MAE SALAZAR - PAPA DOMS BAR &amp; REST. TAGAYTAY</t>
  </si>
  <si>
    <t>SI 5031</t>
  </si>
  <si>
    <t>SI 5032</t>
  </si>
  <si>
    <t>SI 5033</t>
  </si>
  <si>
    <t>SI 5034</t>
  </si>
  <si>
    <t>SI 5035</t>
  </si>
  <si>
    <t>SI 5036</t>
  </si>
  <si>
    <t>SI 5037</t>
  </si>
  <si>
    <t>SI 5038</t>
  </si>
  <si>
    <t>SI 5039</t>
  </si>
  <si>
    <t>TREFIL HOLDINGS CORPORATION - COLONIAL CREAMERY AYALA MALLS TAGAYTAY</t>
  </si>
  <si>
    <t>TS CERES SQL VERSION W/ POS HARDWARES=DP</t>
  </si>
  <si>
    <t xml:space="preserve">POLS MOMS PLACE INC - MAMOU GREENBELT 5 </t>
  </si>
  <si>
    <t>POSTECH TOUCHSCREEN MONITOR</t>
  </si>
  <si>
    <t>POSTECH TOUCHSCREEN MONITOR, CASH DRAWER</t>
  </si>
  <si>
    <t>GENMAICHA TEA CORPORATION- SERENITEA NLEX</t>
  </si>
  <si>
    <t>RIBBON GEAR</t>
  </si>
  <si>
    <t>ORIGINAL SQUARE PIZZA INC - MAGOOS Q. PLAZA</t>
  </si>
  <si>
    <t>TS CERES SQL VERSION W/ POS HARDWARES AND MINI CASH DRAWER</t>
  </si>
  <si>
    <t>ELEVATED FOOD RECIPE, INC - HEALTHY SHABUSHABU SHANGRILA</t>
  </si>
  <si>
    <t>EPSON TMU220D USB PRINTER</t>
  </si>
  <si>
    <t xml:space="preserve">CHRISTIAN, FRANCIS CRUZ MENDOZA - MN+LA APPAREL ONE AYALA </t>
  </si>
  <si>
    <t>VERONESI, CAROLYN GONZALEZ- VA BENE PASTA DELI BGC</t>
  </si>
  <si>
    <t>POSTECH TOUCHSCREEN MONITOR= DP</t>
  </si>
  <si>
    <t xml:space="preserve">HOMIE PET CORNER </t>
  </si>
  <si>
    <t xml:space="preserve">4 BOX THERMAL PAPER </t>
  </si>
  <si>
    <t>TEAMASTERS INC (NUSTAR CEBU)</t>
  </si>
  <si>
    <t>SI 5040</t>
  </si>
  <si>
    <t>SI 5041</t>
  </si>
  <si>
    <t>SI 5042</t>
  </si>
  <si>
    <t>SI 5043</t>
  </si>
  <si>
    <t>SI 5044</t>
  </si>
  <si>
    <t>SI 5045</t>
  </si>
  <si>
    <t>SUNNY DELIGHT INC (PEAKLANE - DAVAO DEL SUR)</t>
  </si>
  <si>
    <t>TS CERES SQL VERSION W/ BIR REGISTRATION FEE</t>
  </si>
  <si>
    <t>CANELLE FOOD CORPORATION - CINNABON SM FAIRVIEW</t>
  </si>
  <si>
    <t>SWEET STOP STATION INC - CINNABON ATC</t>
  </si>
  <si>
    <t>SAINT MICHAEL FOOD OPC - DANIELITOS AGAPITA</t>
  </si>
  <si>
    <t>APC UPS</t>
  </si>
  <si>
    <t xml:space="preserve">MADONNA PEACE ONGPAUCO TIU- MY HAPPY HOME LIFESTYLE WAWS TRADING </t>
  </si>
  <si>
    <t>10PCS JOURNAL PAPER 2 PLY</t>
  </si>
  <si>
    <t>DEUS PROVIDENT CORPORATION - PAOTSIN ROB. ANTIPOLO</t>
  </si>
  <si>
    <t>SI 5046</t>
  </si>
  <si>
    <t>SI 5047</t>
  </si>
  <si>
    <t>SI 5048</t>
  </si>
  <si>
    <t>SI 5049</t>
  </si>
  <si>
    <t>SI 5050</t>
  </si>
  <si>
    <t>SI 5051</t>
  </si>
  <si>
    <t>SI 5052</t>
  </si>
  <si>
    <t>ARTEMISPLUS EXPRESS INC - KITCHEN CITY</t>
  </si>
  <si>
    <t xml:space="preserve">3 POSTECH TOUCHSCREEN MONITOR </t>
  </si>
  <si>
    <t>DEUS PROVIDENT CORPORATION - PAOTSIN ROB. MANILA</t>
  </si>
  <si>
    <t xml:space="preserve">POWER SUPPLY </t>
  </si>
  <si>
    <t>Svl 0324</t>
  </si>
  <si>
    <t>Svl 0325</t>
  </si>
  <si>
    <t>Svl 0326</t>
  </si>
  <si>
    <t>Svl 0327</t>
  </si>
  <si>
    <t>Svl 0328</t>
  </si>
  <si>
    <t>Svl 0329</t>
  </si>
  <si>
    <t>Svl 0330</t>
  </si>
  <si>
    <t>Svl 0331</t>
  </si>
  <si>
    <t>Svl 0332</t>
  </si>
  <si>
    <t>Svl 0333</t>
  </si>
  <si>
    <t>Svl 0334</t>
  </si>
  <si>
    <t xml:space="preserve">SOSTANZA INC </t>
  </si>
  <si>
    <t xml:space="preserve">SERVICE CHARGE </t>
  </si>
  <si>
    <t>TEAHUB CORP (SM LUCENA, SANTOLAN MARKET PLAZA)</t>
  </si>
  <si>
    <t>2 PREVENTIVE MAINTENANCE FEE</t>
  </si>
  <si>
    <t>TEAMAKERS CORP(SMBF, FAIRIVIEW TERRACES, SUNMALL, SM LIPA, IMUS, SM PAMPANGA, SM TRECE MARTINEZ)</t>
  </si>
  <si>
    <t>7 PREVENTIVE MAINTENANCE FEE</t>
  </si>
  <si>
    <t>ROYALTEA PHILS INC ( ATC, SM MARIKINA, ROB. GALLERIA, SM FAIRVIEW T1, STA. ROSA, ST. LUKES, CLARK, FESTIVAL, SOLENAD, ROB. MALABON, CLARK IN'TEL . AIRPORT)</t>
  </si>
  <si>
    <t>11 PREVENTIVE MAINTENANCE FEE</t>
  </si>
  <si>
    <t>IDEAL BREAD &amp; TEA CORP( SM JAZZ, SM DAGUPAN)</t>
  </si>
  <si>
    <t>TEAMASTERS INC( TRINOMA POS 1, ROCKWELL, SM STA. MESA, AURA SUPERMARKET, SM MAKATI, FORT VICTORIA,NUSTAR CEBU)</t>
  </si>
  <si>
    <t>GONG CHA PHILS (EVER COMMONWELT , SM MEGA T1, ROB. PLACE MANILA, SM NORTH GROUND FLR., SM MEGA T2 )</t>
  </si>
  <si>
    <t>5 PREVENTIVE MAINTENANCE FEE</t>
  </si>
  <si>
    <t>DRAGON DYNASTEA INC (SM SAN MATEO, SM MANILA,AYALA  BY THE BAY, CALOOCAN, UST, EVIA , VISTA MALL MALOLOS , SM MEGA CENTER CABANATUAN, SM CABANAYUAN)</t>
  </si>
  <si>
    <t>9 PREVENTIVE MAINTENANCE FEE</t>
  </si>
  <si>
    <t xml:space="preserve">LUXASIA RETAIL CORPORATION </t>
  </si>
  <si>
    <t xml:space="preserve">SWEET STOP STATION </t>
  </si>
  <si>
    <t>Svl 0335</t>
  </si>
  <si>
    <t>Svl 0336</t>
  </si>
  <si>
    <t>Svl 0337</t>
  </si>
  <si>
    <t>Svl 0338</t>
  </si>
  <si>
    <t xml:space="preserve">CINNAROLL BAKERY CORPORATION </t>
  </si>
  <si>
    <t xml:space="preserve">ROADSIDE ROLLS FOOD CORPORATION </t>
  </si>
  <si>
    <t xml:space="preserve">FROSTED ROLLS INC </t>
  </si>
  <si>
    <t>Svl 0339</t>
  </si>
  <si>
    <t>Svl 0340</t>
  </si>
  <si>
    <t>Svl 0341</t>
  </si>
  <si>
    <t>CANCEL</t>
  </si>
  <si>
    <t xml:space="preserve">ASIAN FINDS INCORPORATED </t>
  </si>
  <si>
    <t>SYL26-0001</t>
  </si>
  <si>
    <t>SERENITEA - SM STA. ROSA</t>
  </si>
  <si>
    <t>SUPPORT COST</t>
  </si>
  <si>
    <t>SYL26-0002</t>
  </si>
  <si>
    <t>LIGHTERS GALORE GATEWAY</t>
  </si>
  <si>
    <t>4 ERC RIBBON</t>
  </si>
  <si>
    <t xml:space="preserve">STROOP &amp; ZO ROB. GALLERIA </t>
  </si>
  <si>
    <t xml:space="preserve">EOS MINI PC W/ PERIPHERALS </t>
  </si>
  <si>
    <t>MORIBIZ RESTAURANT - TAGAYTAY</t>
  </si>
  <si>
    <t>BACCHUS SQL VERSION W/ POS HARDWARES=FP</t>
  </si>
  <si>
    <t>PAPA DOMS BAR AND RESTAURANT - TAGAYTAY</t>
  </si>
  <si>
    <t>TAN, CHARISSE MESINA (SUSTAINABLE LIVING PERSONAL AND HOUSEHOLD GOODS TRADING) - THE ECO SHIFT- ATC</t>
  </si>
  <si>
    <t>RDMS SQL VERSION W/ POS HARDWARES FEE= DP</t>
  </si>
  <si>
    <t>Svl 0342</t>
  </si>
  <si>
    <t>Svl 0343</t>
  </si>
  <si>
    <t>STROOP &amp; ZO ROB. GALLERIA</t>
  </si>
  <si>
    <t>Svl 0344</t>
  </si>
  <si>
    <t>Svl 0345</t>
  </si>
  <si>
    <t>Svl 0346</t>
  </si>
  <si>
    <t>L'KEISE FOOD CORP (SM BRANCH)</t>
  </si>
  <si>
    <t>ACESTAR COMMERCIAL CORPORATION- VMV VISTA MALL</t>
  </si>
  <si>
    <t>SHIN CLARA FOOD CORPORATION</t>
  </si>
  <si>
    <t>MODIFICATION FEE</t>
  </si>
  <si>
    <t>Svl 0347</t>
  </si>
  <si>
    <t xml:space="preserve">KASIYAHAN RESTAURANTS INC </t>
  </si>
  <si>
    <t>SI 5053</t>
  </si>
  <si>
    <t>SI 5054</t>
  </si>
  <si>
    <t>SI 5055</t>
  </si>
  <si>
    <t>SI 5056</t>
  </si>
  <si>
    <t>SI 5057</t>
  </si>
  <si>
    <t>SI 5058</t>
  </si>
  <si>
    <t>SI 5059</t>
  </si>
  <si>
    <t>SEVILLA, MARLON JR. GUANO(TRINOMASTER FOOD AND BEVERAGES)- MASTER SIOMAI CHOICES TRINOMA</t>
  </si>
  <si>
    <t xml:space="preserve">5 PCS THERMAL PAPER </t>
  </si>
  <si>
    <t>EOS MINI PC W/ PERIPHERALS =DP</t>
  </si>
  <si>
    <t>VICE COSMETICS GROUP INC</t>
  </si>
  <si>
    <t>PREVENTIVE MAINTENANCE W/ BIR REG. FEE</t>
  </si>
  <si>
    <t>SYL26-0003</t>
  </si>
  <si>
    <t>SYL26-0004</t>
  </si>
  <si>
    <t>SYL26-0005</t>
  </si>
  <si>
    <t>KITCHEN TABLE - SM PASIG</t>
  </si>
  <si>
    <t>PRIME VALUE - SAN PEDRO LAGUNA</t>
  </si>
  <si>
    <t>THE VIEW - MORI AND TAGAYTAY</t>
  </si>
  <si>
    <t>PRIME VALUE GROCER CORP.</t>
  </si>
  <si>
    <t>CDT ENTERPRISES INC.</t>
  </si>
  <si>
    <t>KKC HTS PTE. LTD. CORPORATION - KAJIKEN  MAKATI =DP</t>
  </si>
  <si>
    <t>ALLURE EMPIRE CORPORATION - CHU CHU BEAUTY MARKET 2X</t>
  </si>
  <si>
    <t>JIBRILS SPECIALTY FOODS INC.- JSFI CHICKEN BACOLOD NORTH EXCHANGE</t>
  </si>
  <si>
    <t>ACER LCD MONITOR</t>
  </si>
  <si>
    <t>FROSTED BAKED BUNS CORPORATION</t>
  </si>
  <si>
    <t>SYM2PLY DELICIOUS FOOD CORPORATION</t>
  </si>
  <si>
    <t>Svl 0348</t>
  </si>
  <si>
    <t>SYL26-0006</t>
  </si>
  <si>
    <t>GENMAICHA TEA CORPORATION - SERENITEA NLEX</t>
  </si>
  <si>
    <t>FEB 2026</t>
  </si>
  <si>
    <t>SI 5060</t>
  </si>
  <si>
    <t>SI 5061</t>
  </si>
  <si>
    <t>SI 5062</t>
  </si>
  <si>
    <t>SI 5063</t>
  </si>
  <si>
    <t>SI 5064</t>
  </si>
  <si>
    <t>SI 5065</t>
  </si>
  <si>
    <t>SI 5066</t>
  </si>
  <si>
    <t>SI 5067</t>
  </si>
  <si>
    <t>SI 5068</t>
  </si>
  <si>
    <t>SI 5069</t>
  </si>
  <si>
    <t>SI 5070</t>
  </si>
  <si>
    <t>METROMART CONVENIENCE STORE -VERMOSA</t>
  </si>
  <si>
    <t>4 BOX JOURNAL PAPER 1 PLY</t>
  </si>
  <si>
    <t>M&amp;W TOWNSTORES INC.</t>
  </si>
  <si>
    <t>3 POSEIDON PSD86 SCANNER</t>
  </si>
  <si>
    <t xml:space="preserve">TOP J.B TRADING CORP- BLANC NUE </t>
  </si>
  <si>
    <t>EPSON TMU220D USB PRINTER, BIRCH BARCODE SCANNER</t>
  </si>
  <si>
    <t>KARYL TOY STORE- SHOP4FUN AYALA MALLS MANILA</t>
  </si>
  <si>
    <t>RDMS SQL VERSION W/ POS HARDWARES=DP</t>
  </si>
  <si>
    <t>CIRCULUS 46:10 CORPORATION - PAOTSIN NOVALICHES</t>
  </si>
  <si>
    <t>PRINTER PARTS</t>
  </si>
  <si>
    <t xml:space="preserve">INSPIRA PRIME INTERNATIONAL CORPORATION - MOTO SM MASINAG </t>
  </si>
  <si>
    <t>RDMS SQL VERSION W/ POS HARDWARES=FP</t>
  </si>
  <si>
    <t xml:space="preserve">JIBRILS SPECIALTY FOODS INC. - JSFI CHICKEN BACOLOD GLORIETTA 4 </t>
  </si>
  <si>
    <t>BACCHUS SQL LITE VERSION W/ POS HARDWARES =FP</t>
  </si>
  <si>
    <t>TAN, CHARISSE MESINA(SUSTAINABLE LIVING PERSONAL AND HOUSEHOLD GOODS TRADING- THE ECO SHIFT ATC</t>
  </si>
  <si>
    <t xml:space="preserve">RRH FOOD GROUP INC. - QUEENS AT BOLLYWOOD </t>
  </si>
  <si>
    <t>5 PCS EPSON ERC RIBBON</t>
  </si>
  <si>
    <t>GOLDEN BAY FRESH SEAFOODS RESTAURANTS INC. - THE TEA HOUSE BAYMALL</t>
  </si>
  <si>
    <t>TS CERES SQL VERSION W/ POS HARDWARES=FP</t>
  </si>
  <si>
    <t>ETERNAL BRIGHT SANCTUARY INC. - LALA'S RESTAURANT QUEZON CITY</t>
  </si>
  <si>
    <t>EPSON TMU220IID LAN , EPSON TMU220D USB PRINTER</t>
  </si>
  <si>
    <t>SI 5071</t>
  </si>
  <si>
    <t>WINDOWS 11 PRO, 512 GB SSD</t>
  </si>
  <si>
    <t>Svl 0349</t>
  </si>
  <si>
    <t>Svl 0350</t>
  </si>
  <si>
    <t>Svl 0351</t>
  </si>
  <si>
    <t>Svl 0352</t>
  </si>
  <si>
    <t>Svl 0353</t>
  </si>
  <si>
    <t xml:space="preserve">SWITCH NATION MARKETING VENTURES INC </t>
  </si>
  <si>
    <t>HOMIE PET CORNER</t>
  </si>
  <si>
    <t>Svl 0354</t>
  </si>
  <si>
    <t>Svl 0355</t>
  </si>
  <si>
    <t>Svl 0356</t>
  </si>
  <si>
    <t>Svl 0357</t>
  </si>
  <si>
    <t>Svl 0358</t>
  </si>
  <si>
    <t>Svl 0359</t>
  </si>
  <si>
    <t>Svl 0360</t>
  </si>
  <si>
    <t xml:space="preserve">CIRCULUS 46:10 CORPORATION - PAOTSIN NOVALICHES </t>
  </si>
  <si>
    <t>KALLEJORD CRAFT STATION INC.</t>
  </si>
  <si>
    <t>LIPTON</t>
  </si>
  <si>
    <t>SYL26-0007</t>
  </si>
  <si>
    <t>DANIELITOS LOS BANOS LAGUNA</t>
  </si>
  <si>
    <t xml:space="preserve">SUPPORT COST </t>
  </si>
  <si>
    <t>SYL26-0008</t>
  </si>
  <si>
    <t>SYL26-0009</t>
  </si>
  <si>
    <t>SYL26-0010</t>
  </si>
  <si>
    <t>DANIELITOS TAGAYTAY</t>
  </si>
  <si>
    <t>TOMORO PAVILLION</t>
  </si>
  <si>
    <t>DEUS PROVIDET CORPORATION - PAOTSIN ANTIPOLO</t>
  </si>
  <si>
    <t>THREE STARS VENTURES INC.</t>
  </si>
  <si>
    <t>LNF FOOD INC.</t>
  </si>
  <si>
    <t>BRENT OIL CORPORATION</t>
  </si>
  <si>
    <t>SI 5072</t>
  </si>
  <si>
    <t>SI 5073</t>
  </si>
  <si>
    <t>SI 5074</t>
  </si>
  <si>
    <t>SI 5075</t>
  </si>
  <si>
    <t>SI 5076</t>
  </si>
  <si>
    <t>SI 5077</t>
  </si>
  <si>
    <t>SI 5078</t>
  </si>
  <si>
    <t>SI 5079</t>
  </si>
  <si>
    <t>SI 5080</t>
  </si>
  <si>
    <t>SI 5081</t>
  </si>
  <si>
    <t>SI 5082</t>
  </si>
  <si>
    <t>SI 5083</t>
  </si>
  <si>
    <t>SI 5084</t>
  </si>
  <si>
    <t>INSPIRA PRIME INTERNATIONAL CORPORATION - AQUAFLASK UPTOWN MALL</t>
  </si>
  <si>
    <t xml:space="preserve">TIONG BAHRU PHILIPPINES INC. - ESTANCIA MALL </t>
  </si>
  <si>
    <t>PRINTER HEAD AND PRINTER CABLE</t>
  </si>
  <si>
    <t>SAINT MICHAEL FOOD OPC - DANIELITOS HOME KITCHEN TAGAYTAY</t>
  </si>
  <si>
    <t>GONG CHA PHILIPPINES INC. - HEAD OFFICE</t>
  </si>
  <si>
    <t>5 PCS PRINTER HEAD</t>
  </si>
  <si>
    <t>6 PCS EPSON TMU220D USB PRINTER, 1 POSTECH TOUCHSCREEN MONITOR</t>
  </si>
  <si>
    <t>EVER DELIGHT CORP. - WALTERMART SAN FERNANDO</t>
  </si>
  <si>
    <t>ISSY &amp; CO SM BACOLOD</t>
  </si>
  <si>
    <t>RDMS SQL VERSION W/ POS HARDWARES</t>
  </si>
  <si>
    <t>3 PCS POSTECH TOUCHSCREEN MONITOR</t>
  </si>
  <si>
    <t>CHRISTIAN FRANCIS CRUZ MENDOZA- MN+LA APPAREL ONE AYALA</t>
  </si>
  <si>
    <t xml:space="preserve">JINWEI ENTERPRISES CORP. - ARKEN MAKATI CIRCUIT </t>
  </si>
  <si>
    <t>IMIN D2 POWER ADAPTOR</t>
  </si>
  <si>
    <t>SI 5085</t>
  </si>
  <si>
    <t>SI 5086</t>
  </si>
  <si>
    <t>SI 5087</t>
  </si>
  <si>
    <t>SI 5088</t>
  </si>
  <si>
    <t>SI 5089</t>
  </si>
  <si>
    <t>SI 5090</t>
  </si>
  <si>
    <t>SI 5091</t>
  </si>
  <si>
    <t>STEAKS AND MORE OPC - MELOS SOUTH TRIANGLE Q.C</t>
  </si>
  <si>
    <t>DESKTOP CPU I5 W/ PERIPHERALS</t>
  </si>
  <si>
    <t xml:space="preserve">FERCUI VENTURES CORPORATION - FLEXISPOT PH AYALA MALL MANILA BAY </t>
  </si>
  <si>
    <t>TAN, JANUARIO JR. ABAD - JICATA ENTERPRISES - JO FRANGO MARQUEE MALL</t>
  </si>
  <si>
    <t>HUZZAH INC.</t>
  </si>
  <si>
    <t>NEXSCENTS HOME CARE PRODUCTS -SM MOA</t>
  </si>
  <si>
    <t>SI 5092</t>
  </si>
  <si>
    <t>SI 5093</t>
  </si>
  <si>
    <t>SI 5094</t>
  </si>
  <si>
    <t>SI 5095</t>
  </si>
  <si>
    <t>SI 5096</t>
  </si>
  <si>
    <t>SI 5097</t>
  </si>
  <si>
    <t>Svl 0361</t>
  </si>
  <si>
    <t>Svl 0362</t>
  </si>
  <si>
    <t>Svl 0363</t>
  </si>
  <si>
    <t>Svl 0364</t>
  </si>
  <si>
    <t>Svl 0365</t>
  </si>
  <si>
    <t>Svl 0366</t>
  </si>
  <si>
    <t>Svl 0367</t>
  </si>
  <si>
    <t>Svl 0368</t>
  </si>
  <si>
    <t>TEAHUB CORP.  (SM MINDORO)</t>
  </si>
  <si>
    <t>TEAMAKERS CORP. (SM BACOOR , ROB. LA UNION)</t>
  </si>
  <si>
    <t>ROYALTEA PHILIPPINES INC. (SM FAIRVIEW)</t>
  </si>
  <si>
    <t>GINTONG PATATAS ENTERPRISES INC. -POTATO GIANT SM CABANATUAN</t>
  </si>
  <si>
    <t>EOS MINI PC I5 W/ PERIPHERALS</t>
  </si>
  <si>
    <t>IDEAL BREAD &amp; TEA CORP. ( SM TAYTAY, SM MOLINO)</t>
  </si>
  <si>
    <t>TEAMASTERS INC. ( SM MOA MAXX)</t>
  </si>
  <si>
    <t>GONG CHA PHILIPPINES INC. (ROB. DUMAGUETE FRANCHISE )</t>
  </si>
  <si>
    <t xml:space="preserve">ATHLETES GYM  &amp; DIVE II INC. </t>
  </si>
  <si>
    <t>FIGURACION, CHRISTABEL MAGDADARO</t>
  </si>
  <si>
    <t>SERVICE CHARGE = 5000 BIR REGISTRATION  FEE = 500</t>
  </si>
  <si>
    <t>BRENT OIL CORPORATION- BULACAN</t>
  </si>
  <si>
    <t>SYL26-0011</t>
  </si>
  <si>
    <t>SYL26-0012</t>
  </si>
  <si>
    <t>SYL26-0013</t>
  </si>
  <si>
    <t>SYL26-0014</t>
  </si>
  <si>
    <t>JICATA ENTERPRISES - JO FRANGO</t>
  </si>
  <si>
    <t>PAPA DOMS - TAGAYTAY</t>
  </si>
  <si>
    <t>PAYLORO</t>
  </si>
  <si>
    <t>PAYLORO PAYMENT COMMISSION SEPT 2025- JAN 2026</t>
  </si>
  <si>
    <t>STAR 360 PHILIPPINES INC. - YANKEE CANDLES SM MOA</t>
  </si>
  <si>
    <t xml:space="preserve">THREE STARS VENTURES INC.-FLUFF PANCAKES &amp; COFFEE - ROB. MANILA </t>
  </si>
  <si>
    <t>CUSTOMER DISPLAY, 1 POSTECH TOUCHSCREEN MONITOR</t>
  </si>
  <si>
    <t>ELEVATED FOOD RECIPE, INC. - HEALTHY SHABU SHABU ROB. MANILA</t>
  </si>
  <si>
    <t xml:space="preserve">JSFI CHICKEN BACOLOD - CHICKEN BACOLOD NORTH EXCHANGE </t>
  </si>
  <si>
    <t>CASH DRAWER</t>
  </si>
  <si>
    <t>Svl 0369</t>
  </si>
  <si>
    <t>Svl 0370</t>
  </si>
  <si>
    <t>Svl 0371</t>
  </si>
  <si>
    <t>Svl 0372</t>
  </si>
  <si>
    <t>Svl 0373</t>
  </si>
  <si>
    <t>6 PREVENTIVE MAINTENANCE FEE</t>
  </si>
  <si>
    <t>BACCHUS ANDROID SQL VERSION W/ POS HARDWARES=DP</t>
  </si>
  <si>
    <t>ACRO HOTELS AND RESORTS INC. - CHARLES RESTAURANT PALAWAN</t>
  </si>
  <si>
    <t>ACRO HOTELS AND RESORTS INC. - LIAMS BEACH CAFÉ PALAWAN</t>
  </si>
  <si>
    <t>KARIMADON CORPORATION - HEAD OFFICE</t>
  </si>
  <si>
    <t>GODEX EZ120 BARCODE PRINTER</t>
  </si>
  <si>
    <t>JO FRANG0 MARQUEE MALL</t>
  </si>
  <si>
    <t>SI 5098</t>
  </si>
  <si>
    <t>UNIMEDS DRUGSTORES INC .</t>
  </si>
  <si>
    <t>RDMS SQL VERSION W/  BIR REGISTRATION AND ORDERING STATION</t>
  </si>
  <si>
    <t>Svl 0374</t>
  </si>
  <si>
    <t>Svl 0375</t>
  </si>
  <si>
    <t>Svl 0376</t>
  </si>
  <si>
    <t>JASMINE BLOOM TEA INC. - SERENITEA (SOUTHWOODS)</t>
  </si>
  <si>
    <t>JASMINE BLOOM TEA INC. - SERENITEA (SOLENAD NUVALI 3 )</t>
  </si>
  <si>
    <t>JASMINE BLOOM TEA INC. - SERENITEA (SM STA. ROSA )</t>
  </si>
  <si>
    <t>DRAGONWELL TEA INC. - SERENITEA (SM BICUTAN)</t>
  </si>
  <si>
    <t>DRAGONWELL TEA INC. - SERENITEA (METRO GAISANO )</t>
  </si>
  <si>
    <t>ALI SHAN TEA CORP. - SERENITEA ( BF HOMES)</t>
  </si>
  <si>
    <t>ALI SHAN TEA CORP. - SERENITEA ( SERIN TAGAYTAY)</t>
  </si>
  <si>
    <t>SI 5099</t>
  </si>
  <si>
    <t>SI 5100</t>
  </si>
  <si>
    <t>OJO EYEWEAR AND SERVICES INC . - HEAD OFFICE</t>
  </si>
  <si>
    <t xml:space="preserve">2 BOX JOURNAL PAPER 1 PLY AND 2 BOX THERMAL PAPER </t>
  </si>
  <si>
    <t>SH SHAW FOOD CORP. - FAMOUS AMOS PARK TRIANGLE TAGUIG</t>
  </si>
  <si>
    <t>TS CERES LITE SQL VERSION W/ POS HARDWARES=FP</t>
  </si>
  <si>
    <t>LUCENA MARKTOWN</t>
  </si>
  <si>
    <t>DECAL STICKER</t>
  </si>
  <si>
    <t>SI 5101</t>
  </si>
  <si>
    <t xml:space="preserve">SEVILLA, MARLON JR. GUANO (TRINOMASTER FOOD AND BEVERAGES </t>
  </si>
  <si>
    <t>EOS MINI PC I5 W/ PERIPHERALS=FP</t>
  </si>
  <si>
    <t>Svl 0377</t>
  </si>
  <si>
    <t>Svl 0378</t>
  </si>
  <si>
    <t>IGO WAFU FOOD CORPORATION - CINNABON (SM BAGUIO)</t>
  </si>
  <si>
    <t>SEVILLA, MARLON JR. GUANO (TRINOMASTER FOOD AND BEVERAGES )</t>
  </si>
  <si>
    <t xml:space="preserve">SERVICE CHARGE = 4,000 BIR REGISTRATION FEE = 500 </t>
  </si>
  <si>
    <t>MAR 2026</t>
  </si>
  <si>
    <t>SI 5102</t>
  </si>
  <si>
    <t>SI 5103</t>
  </si>
  <si>
    <t>SI 5104</t>
  </si>
  <si>
    <t>SI 5105</t>
  </si>
  <si>
    <t>SI 5106</t>
  </si>
  <si>
    <t>SI 5107</t>
  </si>
  <si>
    <t>SI 5108</t>
  </si>
  <si>
    <t>SI 5109</t>
  </si>
  <si>
    <t>SI 5110</t>
  </si>
  <si>
    <t>SI 5111</t>
  </si>
  <si>
    <t>SI 5112</t>
  </si>
  <si>
    <t>SI 5113</t>
  </si>
  <si>
    <t xml:space="preserve">MIZAN FOOD OPC - YASUO RESTAURANT </t>
  </si>
  <si>
    <t>EPSON TMU220IID LAN PRINTER</t>
  </si>
  <si>
    <t>Svl 0379</t>
  </si>
  <si>
    <t xml:space="preserve">GLOBAL A.C COSMETICS TRADING CORP.- ISSY &amp; CO ATC </t>
  </si>
  <si>
    <t>TIMELESS BAR AND RESTAURANT CONCEPTS INC.- DILINGER GREENBELT 3</t>
  </si>
  <si>
    <t>UNIMEDS DRUGSTORE OPC - SORSOGON</t>
  </si>
  <si>
    <t xml:space="preserve">DESKTOP CPU I5 W/ POS PERIPHERALS </t>
  </si>
  <si>
    <t>BALDEVIA, APRIL JOY LEDESMA- SAMU ADVERTISEMENT MARKETING SM CITY BACOLOD</t>
  </si>
  <si>
    <t>RDMS LITE SQL VERSION W/ POS HARDWARES =FP</t>
  </si>
  <si>
    <t>AOZORA JAPANESE BISTRO</t>
  </si>
  <si>
    <t>TIMELESS BAR AND RESTAURANT CONCEPTS INC.</t>
  </si>
  <si>
    <t>MAJA DOUGHS &amp; DONUTS (MDC) CORP.</t>
  </si>
  <si>
    <t>Svl 0380</t>
  </si>
  <si>
    <t>Svl 0381</t>
  </si>
  <si>
    <t>Svl 0382</t>
  </si>
  <si>
    <t>Svl 0383</t>
  </si>
  <si>
    <t>SYL26-0016</t>
  </si>
  <si>
    <t>CCC LIFESTYLE SPACE CO.</t>
  </si>
  <si>
    <t xml:space="preserve">ARTEMISPLUS EXPRESS INC. - KITCHEN CITY EASTWOOD </t>
  </si>
  <si>
    <t>EOS HUNTKEY POWER ADAPTOR</t>
  </si>
  <si>
    <t>M&amp;W TOWNSTORES INC.- HEAD OFFICE</t>
  </si>
  <si>
    <t>EPSON TMU220IIB USB PRINTER</t>
  </si>
  <si>
    <t>SUNNY DELIGHT INC. - MAHI CEBU</t>
  </si>
  <si>
    <t xml:space="preserve">TS CERES SQL VERSION W/ BIR REGISTRATION FEE </t>
  </si>
  <si>
    <t>Svl 0384</t>
  </si>
  <si>
    <t>Svl 0385</t>
  </si>
  <si>
    <t>Svl 0386</t>
  </si>
  <si>
    <t>Svl 0387</t>
  </si>
  <si>
    <t>Svl 0388</t>
  </si>
  <si>
    <t xml:space="preserve">ACESTAR COMMERCIAL CORPORATION </t>
  </si>
  <si>
    <t>TEAMASTERS INC . - (SM SEASIDE, SM CEBU)</t>
  </si>
  <si>
    <t>Svl 0389</t>
  </si>
  <si>
    <t>Svl 0390</t>
  </si>
  <si>
    <t>Svl 0391</t>
  </si>
  <si>
    <t>Svl 0392</t>
  </si>
  <si>
    <t>Svl 0393</t>
  </si>
  <si>
    <t>Svl 0394</t>
  </si>
  <si>
    <t>Svl 0395</t>
  </si>
  <si>
    <t>Svl 0396</t>
  </si>
  <si>
    <t>Svl 0397</t>
  </si>
  <si>
    <t>Svl 0398</t>
  </si>
  <si>
    <t>Svl 0399</t>
  </si>
  <si>
    <t>Svl 0400</t>
  </si>
  <si>
    <t>IDEAL BREAD &amp; TEA CORP. (URDANETA MAGIC MALL)</t>
  </si>
  <si>
    <t>ROYALTEA PHILIPPINES INC. (GRAND CENTRAL)</t>
  </si>
  <si>
    <t>TEAMAKERS CORP. (SM PALAWAN, SM ILO ILO, ROB. DASMA)</t>
  </si>
  <si>
    <t>3 PREVENTIVE MAINTENANCE FEE</t>
  </si>
  <si>
    <t>GONG CHA PHILIPPINES INC.  ( HEAD OFFICE )</t>
  </si>
  <si>
    <t>DRAGON DYNASTEA INC.  ( SM LIGHT)</t>
  </si>
  <si>
    <t>PREVENTIVE MAINTENANCE FEE = 6500 BIR FEE= 500</t>
  </si>
  <si>
    <t>MIRANDA, MICHAEL BORBON- CELEST ATC</t>
  </si>
  <si>
    <t>KKC HTS PTE. LTD. CORPORATION - KAJIKEN MAKATI</t>
  </si>
  <si>
    <t>BACCHUS SQL VERSION W/ POS HARDWARES= FP</t>
  </si>
  <si>
    <t>MY HAPPY HOME LIFESTYLE WARES TRADING - MY HAPPY HOME GREENHILLS</t>
  </si>
  <si>
    <t>GODEX EZ120DPI PRINTER HEAD</t>
  </si>
  <si>
    <t>SYL26-0017</t>
  </si>
  <si>
    <t>SYL26-0018</t>
  </si>
  <si>
    <t>SERENITEA - SM MARILAO</t>
  </si>
  <si>
    <t xml:space="preserve">AOZORA AYALA MALL SERIN </t>
  </si>
  <si>
    <t>JJSC GOLDEN PG FOOD SCORE - POTATO GIANT SM DASMARINAS</t>
  </si>
  <si>
    <t xml:space="preserve">AVENETO PIZZERIA </t>
  </si>
  <si>
    <t>MACABIOG, GLENN CARANTO- KANZEN</t>
  </si>
  <si>
    <t>YUSON, FRANCIS ROMULO RECENO- LIAM'S LOMI HOUSE</t>
  </si>
  <si>
    <t>EPSON TM-T82X LAN PRINTER</t>
  </si>
  <si>
    <t>SI 5114</t>
  </si>
  <si>
    <t>SI 5115</t>
  </si>
  <si>
    <t>SI 5116</t>
  </si>
  <si>
    <t>SI 5117</t>
  </si>
  <si>
    <t>SI 5118</t>
  </si>
  <si>
    <t>SI 5119</t>
  </si>
  <si>
    <t>SI 5120</t>
  </si>
  <si>
    <t>SI 5121</t>
  </si>
  <si>
    <t>SI 5122</t>
  </si>
  <si>
    <t>SI 5123</t>
  </si>
  <si>
    <t>SI 5124</t>
  </si>
  <si>
    <t>SI 5125</t>
  </si>
  <si>
    <t xml:space="preserve">SARI -SARI AI CORPORATION - TOMORO PAVILLION MALL LAGUNA </t>
  </si>
  <si>
    <t>VILLAVIZ CORPORATION - BACOLOD CHICKEN PITX</t>
  </si>
  <si>
    <t>MELANIE F. LUCIDO- M&amp;W TOWNSTORES STA. CRUZ</t>
  </si>
  <si>
    <t>4 EPSON TMU220IIB USB PRINTER , 4 CASH DRAWER, 5 POSEIDON PSD86 SCANNER</t>
  </si>
  <si>
    <t>YUSON, FRANCIS ROMULO RECENO- LIAM'S LOMI HOUSE-LIPA</t>
  </si>
  <si>
    <t>2 PCS VMAX DUAL DISPLAY PD970-I , PRINTER HEAD W/ CABLE FOR T82X LAN</t>
  </si>
  <si>
    <t>CHOW UNLIMITED CORPORATION  -ORTIGAS PASIG CITY</t>
  </si>
  <si>
    <t xml:space="preserve">TS CERES ANDROID SQL VERSION W/ POS HARDWARES= DP </t>
  </si>
  <si>
    <t>4 RDMS SQL VERSION W/ POS HARDWARES =DP</t>
  </si>
  <si>
    <t>SI 5126</t>
  </si>
  <si>
    <t>SI 5127</t>
  </si>
  <si>
    <t>SI 5128</t>
  </si>
  <si>
    <t>SI 5129</t>
  </si>
  <si>
    <t>SI 5130</t>
  </si>
  <si>
    <t>SI 5131</t>
  </si>
  <si>
    <t>SI 5132</t>
  </si>
  <si>
    <t xml:space="preserve">CHRISTIAN FRANCIS CRUZ MENDOZA - MN+LA APPAREL SM NORTH </t>
  </si>
  <si>
    <t xml:space="preserve">PRINTER HEAD , PRINTER GEAR, PRINTER CABLE </t>
  </si>
  <si>
    <t xml:space="preserve">105 LAMP LIGHT SALES CORPORATION - PAOTSIN R.P TRIAS </t>
  </si>
  <si>
    <t xml:space="preserve">CRUZ, MIRAFLOR DOMINGO -ARTISAN EMPORIUM SM MEGAMALL </t>
  </si>
  <si>
    <t>EOS MINI PC I5 W/ POS PERIPHERALS =FP</t>
  </si>
  <si>
    <t>DAN'S BIKE SHOP INC.</t>
  </si>
  <si>
    <t xml:space="preserve">EASTUMO FOOD OPC </t>
  </si>
  <si>
    <t>AVENETO PIZZERIA - MALL OF ASIA INC .</t>
  </si>
  <si>
    <t>SWITCH NATION MARKETING VENTURES INC. - UNAROSA ATC</t>
  </si>
  <si>
    <t xml:space="preserve">PREVENTIVE MAINTENANCE FEE = 20K  W/ SATA SSD , WINDOWS 11 PRO AND BIR REGISTRATION FEE </t>
  </si>
  <si>
    <t xml:space="preserve">SWITCH NATION MARKETING VENTURES INC. - UNAROSA SM FAIRVIEW </t>
  </si>
  <si>
    <t>PREVENTIVE MAINTENANCE FEE = 14,500, BEELINK MINI PC AND BIR REGISTRATION FEE</t>
  </si>
  <si>
    <t xml:space="preserve">SWITCH NATION MARKETING VENTURES INC. - UNAROSA SAN LAZARO </t>
  </si>
  <si>
    <t xml:space="preserve">SWITCH NATION MARKETING VENTURES INC. - UNAROSA HEAD OFFICE </t>
  </si>
  <si>
    <t>PREVENTIVE MAINTENANCE FEE = 17K, WINDOWS 11 PRO , DESKTOP 16GB / 1TB NVME.2</t>
  </si>
  <si>
    <t>HRT VENTURES CORPORATION</t>
  </si>
  <si>
    <t>SYL26-0019</t>
  </si>
  <si>
    <t>SYL26-0020</t>
  </si>
  <si>
    <t>MAJA DOUGH PAVILLION</t>
  </si>
  <si>
    <t xml:space="preserve">POTATO GIANT -SM DASMA </t>
  </si>
  <si>
    <t xml:space="preserve">TS CERES ANDROID SQL VERSION W/ POS HARDWARES= FP </t>
  </si>
  <si>
    <t>ROCKWELL LAND CORPORATION -MAKATI</t>
  </si>
  <si>
    <t>2 EPSON TMU220IIB USB PRINTER, 2 POSTECH TOUCHSCREEN MONITOR</t>
  </si>
  <si>
    <t xml:space="preserve">POLS MOMS PLACE INC. - MAMOU SERENDRA </t>
  </si>
  <si>
    <t xml:space="preserve">APC UPS </t>
  </si>
  <si>
    <t>CANELLE FOOD CORPORATION - CINNABON SM SEASIDE CEBU</t>
  </si>
  <si>
    <t xml:space="preserve">EPSON TMU220D USB PRINTER </t>
  </si>
  <si>
    <t>ELEVATED FOOD RECIPES INC. - HEALTHY SHABU SHABU ROB. MANILA</t>
  </si>
  <si>
    <t>POSTECH ADAPTOR WITH CORD</t>
  </si>
  <si>
    <t>SI 5133</t>
  </si>
  <si>
    <t>SI 5134</t>
  </si>
  <si>
    <t xml:space="preserve">NEXSCENTS HOME CARE PRODUCTS </t>
  </si>
  <si>
    <t>Svl 0401</t>
  </si>
  <si>
    <t>Svl 0402</t>
  </si>
  <si>
    <t>Svl 0403</t>
  </si>
  <si>
    <t>ARTWORK INCORPORATED</t>
  </si>
  <si>
    <t xml:space="preserve">PAIZANO'S PIZZERIA </t>
  </si>
  <si>
    <t>SYL26-0021</t>
  </si>
  <si>
    <t>SYL26-0022</t>
  </si>
  <si>
    <t>FRANCIS ROMULO YUZON</t>
  </si>
  <si>
    <t>GATPANDAN, WINCY MAE SALAZAR</t>
  </si>
  <si>
    <t>GOLDEN PANDE SAL INC. - PANDE MANILA</t>
  </si>
  <si>
    <t>15 PREVENTIVE MAINTENANCE FEE</t>
  </si>
  <si>
    <t>MEGA GOLDTOWN PAN INC.- PANDE MANILA</t>
  </si>
  <si>
    <t>13 PREVENTIVE MAINTENANCE FEE</t>
  </si>
  <si>
    <t>Svl 0404</t>
  </si>
  <si>
    <t>Svl 0405</t>
  </si>
  <si>
    <t>Svl 0406</t>
  </si>
  <si>
    <t>PREVENTIVE MAINTENANCE FEE - 18,000 KASPERSKY ANTIVIRUS - 1500</t>
  </si>
  <si>
    <t>DERMA 360 CORPORATION</t>
  </si>
  <si>
    <t>PREVENTIVE MAINTENANCE FEE= DP</t>
  </si>
  <si>
    <t>POS PERIPHERALS=DP</t>
  </si>
  <si>
    <t>MAXICOLLECTOR VENTURES INC. - MAXIWORKS ROCKWELL POWERPLANT</t>
  </si>
  <si>
    <t>APRIL 2026</t>
  </si>
  <si>
    <t>SI 5135</t>
  </si>
  <si>
    <t>ACRO HOTELS AND RESORTS INC. - CHARLIES RESTAURANT PALAWAN</t>
  </si>
  <si>
    <t>1 BOX THERMAL PAPER, 1 BOX JOURNAL PAPER 1 PLY, 30  PCS ERC RIBBON=DP</t>
  </si>
  <si>
    <t>SI 5136</t>
  </si>
  <si>
    <t>SI 5137</t>
  </si>
  <si>
    <t>1 BOX THERMAL PAPER, 1 BOX JOURNAL PAPER 1 PLY, 30  PCS ERC RIBBON=FP</t>
  </si>
  <si>
    <t xml:space="preserve">SALES OR INVOICE MONITORING </t>
  </si>
  <si>
    <t xml:space="preserve">DATE </t>
  </si>
  <si>
    <t>STATUS</t>
  </si>
  <si>
    <t>BALANCE</t>
  </si>
  <si>
    <t>UNPAID</t>
  </si>
  <si>
    <t xml:space="preserve">STATUS OF </t>
  </si>
  <si>
    <t>2307 FORM</t>
  </si>
  <si>
    <t>LACKING</t>
  </si>
  <si>
    <t>N/A</t>
  </si>
  <si>
    <t>WITHOLDING TAX</t>
  </si>
  <si>
    <t>PAID</t>
  </si>
  <si>
    <t>COMPLETE</t>
  </si>
  <si>
    <t>SI 5138</t>
  </si>
  <si>
    <t>SI 5139</t>
  </si>
  <si>
    <t>SI 5140</t>
  </si>
  <si>
    <t>SI 5141</t>
  </si>
  <si>
    <t>SI 5142</t>
  </si>
  <si>
    <t>SI 5143</t>
  </si>
  <si>
    <t>GENMAICHA TEA CORPORATION -SERENITEA GREENFIELD</t>
  </si>
  <si>
    <t>PRINTER HEAD AND PRINTER HEAD CABLE</t>
  </si>
  <si>
    <t>PARTIAL</t>
  </si>
  <si>
    <t xml:space="preserve">ALLURE EMPIRE CORPORATION - CHU CHU BEAUTY AYALA MALLS CAPITOL CENTRAL BACOLOD </t>
  </si>
  <si>
    <t>RDMS SQL VERSION W/ BIR REGISTRATION FEE =DP</t>
  </si>
  <si>
    <t xml:space="preserve">ALLURE EMPIRE CORPORATION - CHU CHU BEAUTY AYALA MALLS MANILA BAY </t>
  </si>
  <si>
    <t>R! HOL LAUREL INC. - RAJO ROCKWELL</t>
  </si>
  <si>
    <t>KASPERSKY ANTI VIRUS</t>
  </si>
  <si>
    <t xml:space="preserve">ALLURE EMPIRE CORPORATION - CHU CHU BEAUTY ARCA SOUTH </t>
  </si>
  <si>
    <t>RDMS SQL VERSION W/ BIR REGISTRATION FEE =FP</t>
  </si>
  <si>
    <t>SI 5144</t>
  </si>
  <si>
    <t>SI 5145</t>
  </si>
  <si>
    <t>SI 5146</t>
  </si>
  <si>
    <t>SI 5147</t>
  </si>
  <si>
    <t>SI 5148</t>
  </si>
  <si>
    <r>
      <t xml:space="preserve"> </t>
    </r>
    <r>
      <rPr>
        <sz val="11"/>
        <rFont val="Calibri"/>
        <family val="2"/>
        <scheme val="minor"/>
      </rPr>
      <t>TANTEASE INC.</t>
    </r>
  </si>
  <si>
    <t>FERRER, PEDRO JR. BACOLINAO- SIGNA DRUGSTORE ALABANG MUNTINLUPA</t>
  </si>
  <si>
    <t>RDMS SQL VERSION 5.0</t>
  </si>
  <si>
    <t>Svl 0407</t>
  </si>
  <si>
    <t>Svl 0408</t>
  </si>
  <si>
    <t>Svl 0409</t>
  </si>
  <si>
    <t>Svl 0410</t>
  </si>
  <si>
    <t>Svl 0411</t>
  </si>
  <si>
    <t>Svl 0412</t>
  </si>
  <si>
    <t>Svl 0413</t>
  </si>
  <si>
    <t>Svl 0414</t>
  </si>
  <si>
    <t>Svl 0415</t>
  </si>
  <si>
    <t>Svl 0416</t>
  </si>
  <si>
    <t>LUXASIA RETAIL CORPORATION</t>
  </si>
  <si>
    <t xml:space="preserve">ROKUGROUP INC . </t>
  </si>
  <si>
    <t xml:space="preserve">BRYAN KEITH D. NEFILDA </t>
  </si>
  <si>
    <t>UPTOWN PREMIER CONCEPTS CORP. - SERENITEA DAVAO</t>
  </si>
  <si>
    <t>MENDOZA, CHRISTIAN FRANCIS CRUZ - MN+LA APPAREL MARIKINA</t>
  </si>
  <si>
    <t>20 PREVENTIVE MAINTENANCE FEE</t>
  </si>
  <si>
    <t xml:space="preserve">ETERNAL BRIGHT SANCTUARY INC. - LALA'S RESTAURANT </t>
  </si>
  <si>
    <t>BACCHUS SQL VERSION W/ POS HARDWARES= 4TH DP</t>
  </si>
  <si>
    <t>BACCHUS SQL VERSION W/ POS HARDWARES= 5TH DP</t>
  </si>
  <si>
    <t xml:space="preserve">DEI PLAN SOLES CORPORATION - CHERRY SHAW </t>
  </si>
  <si>
    <t>EOS MINI PC W/ PERIPHERALS = DP</t>
  </si>
  <si>
    <t xml:space="preserve">GLAMN CORP. - DR. KONG </t>
  </si>
  <si>
    <t>SI 5149</t>
  </si>
  <si>
    <t>SI 5150</t>
  </si>
  <si>
    <t>SI 5151</t>
  </si>
  <si>
    <t>BARBAZA MULTI - PURPOSE COOPERATIVE - COOP OCEAN VIEW RESORT</t>
  </si>
  <si>
    <t>2 EPSON TMU220IID LAN PRINTER</t>
  </si>
  <si>
    <t xml:space="preserve">IDEAL BREAD &amp; TEA CORP. -VISTA MALL TAGUIG </t>
  </si>
  <si>
    <t xml:space="preserve">GONG CHA PHILIPPINES INC. - AYALA MARIKINA </t>
  </si>
  <si>
    <t xml:space="preserve">TEAHUB CORP. - SM TUGUEGARAO , ROB ROXAS, ROB GENTRI </t>
  </si>
  <si>
    <t xml:space="preserve">TEAMASTERS INC. - KCC ZAMBOANGA , ROB VALENCIA , ROB MAGNOLIA </t>
  </si>
  <si>
    <t>Svl 0417</t>
  </si>
  <si>
    <t>Svl 0418</t>
  </si>
  <si>
    <t>Svl 0419</t>
  </si>
  <si>
    <t>Svl 0420</t>
  </si>
  <si>
    <t>Svl 0421</t>
  </si>
  <si>
    <t xml:space="preserve">TEAMAKERS CORP. - SM MARILAO , SM BATANGAS , SM DASMA , VM PASAY </t>
  </si>
  <si>
    <t>4 PREVENTIVE MAINTENANCE FEE</t>
  </si>
  <si>
    <t xml:space="preserve">ALI SHAN TEA CORP. - BF HOMES </t>
  </si>
  <si>
    <t>ALI SHAN TEA CORP. - SERIN TAGAYTAY</t>
  </si>
  <si>
    <t xml:space="preserve">JASMINE BLOOM TEA INC . - SOLENAD 3 NUVALI </t>
  </si>
  <si>
    <t xml:space="preserve">JASMINE BLOOM TEA INC . - SM STA. ROSA </t>
  </si>
  <si>
    <t>Svl 0422</t>
  </si>
  <si>
    <t>Svl 0423</t>
  </si>
  <si>
    <t>Svl 0424</t>
  </si>
  <si>
    <t>Svl 0425</t>
  </si>
  <si>
    <t>Svl 0426</t>
  </si>
  <si>
    <t>Svl 0427</t>
  </si>
  <si>
    <t>Svl 0428</t>
  </si>
  <si>
    <t>Svl 0429</t>
  </si>
  <si>
    <t>Svl 0430</t>
  </si>
  <si>
    <t>JASMINE BLOOM TEA INC . - SOUTHWOODS</t>
  </si>
  <si>
    <t xml:space="preserve">DRAGONWELL TEA INC . - SM BICUTAN </t>
  </si>
  <si>
    <t>DRAGONWELL TEA INC . - METRO GAISANO</t>
  </si>
  <si>
    <t>SYL26-0023</t>
  </si>
  <si>
    <t xml:space="preserve">LIAM'S LOMI HOUSE -LIPA </t>
  </si>
  <si>
    <t>SYL26-0024</t>
  </si>
  <si>
    <t>SYL26-0025</t>
  </si>
  <si>
    <t>SYL26-0026</t>
  </si>
  <si>
    <t>SYL26-0027</t>
  </si>
  <si>
    <t>POTATO GIANT - SM CABANATUAN</t>
  </si>
  <si>
    <t xml:space="preserve">PAOTSIN - GEN TRIAS </t>
  </si>
  <si>
    <t>PAPA DOMS TAGAYTAY</t>
  </si>
  <si>
    <t>SYL26-0028</t>
  </si>
  <si>
    <t xml:space="preserve">NARA THAI </t>
  </si>
  <si>
    <t xml:space="preserve">ONE POTATO TWO POTATO CORPORATION - COMME CI ROCKWELL </t>
  </si>
  <si>
    <t xml:space="preserve">BJW CONCEPT GROUP INC. - WHISENHUNT ROCKWELL </t>
  </si>
  <si>
    <t>PREVENTIVE MAINTENANCE FEE W/ KASPERSKY ANTI VIRUS</t>
  </si>
  <si>
    <t>SI 5152</t>
  </si>
  <si>
    <t>OJO EYEWEAR AND SERVICES INC. - HEAD OFFICE</t>
  </si>
  <si>
    <t xml:space="preserve">2 BOX JOURNAL PAPER 1 PLY , 2 BOX THERMAL PAPER </t>
  </si>
  <si>
    <t xml:space="preserve"> </t>
  </si>
  <si>
    <t xml:space="preserve">SERENITEA - SMDC GREEN 2 RESIDENCES </t>
  </si>
  <si>
    <t xml:space="preserve">AURORA CHARLIE FOOD VENTURES INC. - MAMOU ATC </t>
  </si>
  <si>
    <t xml:space="preserve">KERENZA BISTRO INC. </t>
  </si>
  <si>
    <t>SERVICE CHARGE = 5,000 BIR REGISTRATION FEE = 500</t>
  </si>
  <si>
    <t>SI 5153</t>
  </si>
  <si>
    <t>SI 5154</t>
  </si>
  <si>
    <t>SI 5155</t>
  </si>
  <si>
    <t>TRE FIL HOLDING CORPORATION - COLONIAL CREAMERY MANILA BAY</t>
  </si>
  <si>
    <t>LUANA LIFE STYLE AND LEISURE HOTEL INC. - HUE BORACAY</t>
  </si>
  <si>
    <t>2 BACCHUS ANDROID SQL VERSION W/ POS HARDWARES = FP</t>
  </si>
  <si>
    <t>Svl 0431</t>
  </si>
  <si>
    <t>Svl 0432</t>
  </si>
  <si>
    <t>Svl 0433</t>
  </si>
  <si>
    <t>Svl 0434</t>
  </si>
  <si>
    <t>Svl 0435</t>
  </si>
  <si>
    <t>Svl 0436</t>
  </si>
  <si>
    <t xml:space="preserve">SWITCH NATION MARKETING VENTURES INC . - UNAROSA SM CDO </t>
  </si>
  <si>
    <t>PREVENTIVE MAINTENANCE FEE W/ BEELINK MINI PC AND BIR FEE</t>
  </si>
  <si>
    <t xml:space="preserve">SWITCH NATION MARKETING VENTURES INC . - UNAROSA SM MEGAMALL </t>
  </si>
  <si>
    <t>SWITCH NATION MARKETING VENTURES INC . - UNAROSA SHANGRILA</t>
  </si>
  <si>
    <t>PREVENTIVE MAINTENANCE FEE W/ PERIPHERALS</t>
  </si>
  <si>
    <t xml:space="preserve">ULOBH CORPORATION </t>
  </si>
  <si>
    <t>SI 5156</t>
  </si>
  <si>
    <t>FIRST KINGSTON LEISURE AND SERVICES CORPORATION - HARVEST HOTEL NUEVA ECIJA</t>
  </si>
  <si>
    <t>BACCHUS ANROID SQL VERSION W/ POS HARDWARES=FP</t>
  </si>
  <si>
    <t>SI 5157</t>
  </si>
  <si>
    <t>SI 5158</t>
  </si>
  <si>
    <t>BARBAZA MULTI - PURPOSE COOPERATIVE -BARBAZA PHARMACY - ANTIQUE</t>
  </si>
  <si>
    <t>SOFTWARE UPGRADE W/ BIR REGISTRATION FEE</t>
  </si>
  <si>
    <t>RIVERO SAMSON T.</t>
  </si>
  <si>
    <t>Svl 0437</t>
  </si>
  <si>
    <t>Svl 0438</t>
  </si>
  <si>
    <t>Svl 0439</t>
  </si>
  <si>
    <t>AVENETO PIZZERIA MALL OF ASIA</t>
  </si>
  <si>
    <t xml:space="preserve">BARBAZA MULTI - PURPOSE COOPERATIVE- COOP OCEAN VIEW RESORT </t>
  </si>
  <si>
    <t>SERVICE CHARGE W/ BIR REGISTRATION FEE</t>
  </si>
  <si>
    <t xml:space="preserve">ELEMIE NATURALS INC. </t>
  </si>
  <si>
    <t>Svl 0440</t>
  </si>
  <si>
    <t>Svl 0441</t>
  </si>
  <si>
    <t>Svl 0442</t>
  </si>
  <si>
    <t>RBQ FOOD SPECIALISTS INC.</t>
  </si>
  <si>
    <t xml:space="preserve">STATEMENT THEORY HOME INC. </t>
  </si>
  <si>
    <t>May 2026</t>
  </si>
  <si>
    <t>SI 5159</t>
  </si>
  <si>
    <t>SI 5160</t>
  </si>
  <si>
    <t>SI 5161</t>
  </si>
  <si>
    <t>SI 5162</t>
  </si>
  <si>
    <t>SI 5163</t>
  </si>
  <si>
    <t>SI 5164</t>
  </si>
  <si>
    <t>SI 5165</t>
  </si>
  <si>
    <t>SI 5166</t>
  </si>
  <si>
    <t>SI 5167</t>
  </si>
  <si>
    <t>SI 5168</t>
  </si>
  <si>
    <t>SI 5169</t>
  </si>
  <si>
    <t>FEDERAL PROTECTION SYSTEM INC. - U.N MNL.</t>
  </si>
  <si>
    <t xml:space="preserve">1 BOX JOURNAL PAPER 2 PLY </t>
  </si>
  <si>
    <t>FEDERAL PROTECTION SYSTEM INC. - U.N MLA.</t>
  </si>
  <si>
    <t>WHALECOM SATA SSD 512GB</t>
  </si>
  <si>
    <t>Svl 0443</t>
  </si>
  <si>
    <t>Svl 0444</t>
  </si>
  <si>
    <t>Svl 0445</t>
  </si>
  <si>
    <t>Svl 0446</t>
  </si>
  <si>
    <t>Svl 0447</t>
  </si>
  <si>
    <t>EASTUMO FOOD OPC</t>
  </si>
  <si>
    <t>RDMS SQL VERSION W/ POS HARDWARES=3RD DP</t>
  </si>
  <si>
    <t>4 LCD MONITOR 11, 4 ADJUSTABLE STAND, 4 USB CABLE, 4 MINI HDMI CABLE</t>
  </si>
  <si>
    <t>ANSON SHOE PLAZA - EVER COMMONWELTH</t>
  </si>
  <si>
    <t>SOFTWARE UPGRADE W/ POS PERIPHERALS =DP</t>
  </si>
  <si>
    <t>KARLY TOY STORE -SHOP4FUN MANILA BAY</t>
  </si>
  <si>
    <t>RDMS SQL VERSION W/ POS HARDWARES =FP</t>
  </si>
  <si>
    <t xml:space="preserve">BEDA FOOD VENTURES INC - CHICKEN BACOLOD MOA </t>
  </si>
  <si>
    <t xml:space="preserve">EOS FAN WITH COVER </t>
  </si>
  <si>
    <t xml:space="preserve">CABANNA LIVING </t>
  </si>
  <si>
    <t xml:space="preserve">MANDARIN SKY EXPRESS INC. </t>
  </si>
  <si>
    <t>KARIMADON CORPORATION -SM CEBU</t>
  </si>
  <si>
    <t>RDMS SQL VERSION W/ POS HARDWARES =DP</t>
  </si>
  <si>
    <t xml:space="preserve">RRH FOOD GROUP INC. - QUEENS TAJ MAHAL AND QUEENS AT BOLLYWOOD </t>
  </si>
  <si>
    <t>4PCS EPSON ERC -38B RIBBON CARTRIDGE</t>
  </si>
  <si>
    <t>FUDSPECTIVE ENT. CORP. - WORLD CHIX GLORIETTA</t>
  </si>
  <si>
    <t>EOS POWER ADAPTOR</t>
  </si>
  <si>
    <t>HRT VENTURES CORPORATION - BARISTART COFFEE CAFÉ</t>
  </si>
  <si>
    <t>ARIZONA ICE CREAM CORP-</t>
  </si>
  <si>
    <t>FUDSPECTIVE ENT. CORP</t>
  </si>
  <si>
    <t>Svl 0448</t>
  </si>
  <si>
    <t>Svl 0449</t>
  </si>
  <si>
    <t>Svl 0450</t>
  </si>
  <si>
    <t>Svl 0451</t>
  </si>
  <si>
    <t>FRESH KING -MAKATI CITY</t>
  </si>
  <si>
    <t>R.HOL LAUREL INC.</t>
  </si>
  <si>
    <t>PAMANA AND TSOKALATERIA CONCEPT FOOD CORPORATION</t>
  </si>
  <si>
    <t>Svl 0452</t>
  </si>
  <si>
    <t>Svl 0453</t>
  </si>
  <si>
    <t>Svl 0454</t>
  </si>
  <si>
    <t>Svl 0455</t>
  </si>
  <si>
    <t>Svl 0456</t>
  </si>
  <si>
    <t>DOJA INC.</t>
  </si>
  <si>
    <t>SYL26-0029</t>
  </si>
  <si>
    <t>SYL26-0030</t>
  </si>
  <si>
    <t>SERENITEA- ROB LIPA</t>
  </si>
  <si>
    <t xml:space="preserve">AYALA LAND INC </t>
  </si>
  <si>
    <t xml:space="preserve">SOFTWARE SUBCRIPTION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</si>
</sst>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m\ dd"/>
    <numFmt numFmtId="165" formatCode="#,###.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DejaVu Sans Condensed"/>
      <family val="2"/>
    </font>
    <font>
      <b/>
      <sz val="10"/>
      <name val="DejaVu Sans Condensed"/>
      <family val="2"/>
    </font>
    <font>
      <b/>
      <sz val="8"/>
      <name val="DejaVu Sans Condensed"/>
      <family val="2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A7676"/>
        <bgColor indexed="64"/>
      </patternFill>
    </fill>
    <fill>
      <patternFill patternType="solid">
        <fgColor rgb="FFFA7676"/>
        <bgColor indexed="13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1">
    <xf numFmtId="0" fontId="0" fillId="0" borderId="0" xfId="0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shrinkToFit="1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/>
    <xf numFmtId="43" fontId="3" fillId="0" borderId="0" xfId="1" applyFont="1" applyBorder="1" applyAlignment="1">
      <alignment horizontal="center"/>
    </xf>
    <xf numFmtId="164" fontId="2" fillId="0" borderId="0" xfId="0" applyNumberFormat="1" applyFont="1" applyAlignment="1">
      <alignment horizontal="left" shrinkToFit="1"/>
    </xf>
    <xf numFmtId="43" fontId="2" fillId="0" borderId="0" xfId="1" applyFont="1" applyBorder="1" applyAlignment="1">
      <alignment horizontal="left" shrinkToFit="1"/>
    </xf>
    <xf numFmtId="43" fontId="4" fillId="0" borderId="0" xfId="1" applyFont="1" applyBorder="1" applyAlignment="1">
      <alignment horizontal="left"/>
    </xf>
    <xf numFmtId="0" fontId="5" fillId="0" borderId="0" xfId="0" applyFont="1"/>
    <xf numFmtId="49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shrinkToFi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shrinkToFit="1"/>
    </xf>
    <xf numFmtId="43" fontId="6" fillId="0" borderId="0" xfId="1" applyFont="1" applyAlignment="1">
      <alignment horizontal="center"/>
    </xf>
    <xf numFmtId="164" fontId="5" fillId="0" borderId="0" xfId="0" applyNumberFormat="1" applyFont="1" applyAlignment="1">
      <alignment shrinkToFit="1"/>
    </xf>
    <xf numFmtId="43" fontId="5" fillId="0" borderId="0" xfId="1" applyFont="1" applyAlignment="1">
      <alignment shrinkToFit="1"/>
    </xf>
    <xf numFmtId="43" fontId="6" fillId="0" borderId="0" xfId="1" applyFont="1"/>
    <xf numFmtId="0" fontId="5" fillId="2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center" shrinkToFit="1"/>
    </xf>
    <xf numFmtId="43" fontId="6" fillId="3" borderId="1" xfId="1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shrinkToFit="1"/>
    </xf>
    <xf numFmtId="164" fontId="5" fillId="3" borderId="3" xfId="0" applyNumberFormat="1" applyFont="1" applyFill="1" applyBorder="1" applyAlignment="1">
      <alignment horizontal="center" vertical="center" shrinkToFit="1"/>
    </xf>
    <xf numFmtId="43" fontId="5" fillId="3" borderId="1" xfId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shrinkToFit="1"/>
    </xf>
    <xf numFmtId="0" fontId="5" fillId="3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vertical="center" shrinkToFit="1"/>
    </xf>
    <xf numFmtId="43" fontId="6" fillId="3" borderId="4" xfId="1" applyFont="1" applyFill="1" applyBorder="1" applyAlignment="1">
      <alignment horizontal="center" vertical="center" wrapText="1"/>
    </xf>
    <xf numFmtId="164" fontId="5" fillId="3" borderId="5" xfId="0" applyNumberFormat="1" applyFont="1" applyFill="1" applyBorder="1" applyAlignment="1">
      <alignment horizontal="center" vertical="center" shrinkToFit="1"/>
    </xf>
    <xf numFmtId="164" fontId="5" fillId="3" borderId="6" xfId="0" applyNumberFormat="1" applyFont="1" applyFill="1" applyBorder="1" applyAlignment="1">
      <alignment horizontal="center" vertical="center" shrinkToFit="1"/>
    </xf>
    <xf numFmtId="0" fontId="0" fillId="4" borderId="7" xfId="0" applyFill="1" applyBorder="1"/>
    <xf numFmtId="3" fontId="0" fillId="4" borderId="7" xfId="0" applyNumberFormat="1" applyFill="1" applyBorder="1" applyAlignment="1">
      <alignment horizontal="center"/>
    </xf>
    <xf numFmtId="16" fontId="0" fillId="4" borderId="7" xfId="0" applyNumberFormat="1" applyFill="1" applyBorder="1" applyAlignment="1">
      <alignment horizontal="center"/>
    </xf>
    <xf numFmtId="43" fontId="0" fillId="4" borderId="7" xfId="0" applyNumberFormat="1" applyFill="1" applyBorder="1"/>
    <xf numFmtId="43" fontId="0" fillId="4" borderId="7" xfId="0" applyNumberFormat="1" applyFill="1" applyBorder="1" applyAlignment="1">
      <alignment horizontal="center"/>
    </xf>
    <xf numFmtId="43" fontId="7" fillId="4" borderId="7" xfId="1" applyFont="1" applyFill="1" applyBorder="1"/>
    <xf numFmtId="43" fontId="7" fillId="0" borderId="0" xfId="1" applyFont="1" applyFill="1" applyBorder="1"/>
    <xf numFmtId="0" fontId="0" fillId="5" borderId="7" xfId="0" applyFill="1" applyBorder="1"/>
    <xf numFmtId="3" fontId="0" fillId="5" borderId="7" xfId="0" applyNumberFormat="1" applyFill="1" applyBorder="1" applyAlignment="1">
      <alignment horizontal="center"/>
    </xf>
    <xf numFmtId="16" fontId="0" fillId="5" borderId="7" xfId="0" applyNumberFormat="1" applyFill="1" applyBorder="1" applyAlignment="1">
      <alignment horizontal="center"/>
    </xf>
    <xf numFmtId="43" fontId="0" fillId="5" borderId="7" xfId="0" applyNumberFormat="1" applyFill="1" applyBorder="1"/>
    <xf numFmtId="43" fontId="7" fillId="5" borderId="7" xfId="1" applyFont="1" applyFill="1" applyBorder="1"/>
    <xf numFmtId="0" fontId="6" fillId="4" borderId="8" xfId="0" quotePrefix="1" applyFont="1" applyFill="1" applyBorder="1" applyAlignment="1">
      <alignment horizontal="left"/>
    </xf>
    <xf numFmtId="0" fontId="0" fillId="4" borderId="9" xfId="0" applyFill="1" applyBorder="1"/>
    <xf numFmtId="3" fontId="0" fillId="4" borderId="9" xfId="0" applyNumberFormat="1" applyFill="1" applyBorder="1" applyAlignment="1">
      <alignment horizontal="center"/>
    </xf>
    <xf numFmtId="16" fontId="0" fillId="4" borderId="9" xfId="0" applyNumberFormat="1" applyFill="1" applyBorder="1" applyAlignment="1">
      <alignment horizontal="center"/>
    </xf>
    <xf numFmtId="43" fontId="0" fillId="4" borderId="9" xfId="0" applyNumberFormat="1" applyFill="1" applyBorder="1"/>
    <xf numFmtId="43" fontId="0" fillId="4" borderId="9" xfId="0" applyNumberFormat="1" applyFill="1" applyBorder="1" applyAlignment="1">
      <alignment horizontal="center"/>
    </xf>
    <xf numFmtId="0" fontId="0" fillId="5" borderId="7" xfId="0" quotePrefix="1" applyFill="1" applyBorder="1" applyAlignment="1">
      <alignment horizontal="center"/>
    </xf>
    <xf numFmtId="43" fontId="0" fillId="5" borderId="9" xfId="0" applyNumberFormat="1" applyFill="1" applyBorder="1" applyAlignment="1">
      <alignment horizontal="center"/>
    </xf>
    <xf numFmtId="0" fontId="6" fillId="5" borderId="7" xfId="0" quotePrefix="1" applyFont="1" applyFill="1" applyBorder="1" applyAlignment="1">
      <alignment horizontal="left"/>
    </xf>
    <xf numFmtId="3" fontId="0" fillId="5" borderId="9" xfId="0" applyNumberFormat="1" applyFill="1" applyBorder="1" applyAlignment="1">
      <alignment horizontal="center"/>
    </xf>
    <xf numFmtId="16" fontId="0" fillId="5" borderId="9" xfId="0" applyNumberFormat="1" applyFill="1" applyBorder="1" applyAlignment="1">
      <alignment horizontal="center"/>
    </xf>
    <xf numFmtId="0" fontId="0" fillId="5" borderId="9" xfId="0" applyFill="1" applyBorder="1"/>
    <xf numFmtId="43" fontId="0" fillId="5" borderId="9" xfId="0" applyNumberFormat="1" applyFill="1" applyBorder="1"/>
    <xf numFmtId="43" fontId="7" fillId="5" borderId="9" xfId="1" applyFont="1" applyFill="1" applyBorder="1"/>
    <xf numFmtId="0" fontId="0" fillId="4" borderId="7" xfId="0" quotePrefix="1" applyFill="1" applyBorder="1" applyAlignment="1">
      <alignment horizontal="center"/>
    </xf>
    <xf numFmtId="0" fontId="6" fillId="4" borderId="7" xfId="0" quotePrefix="1" applyFont="1" applyFill="1" applyBorder="1" applyAlignment="1">
      <alignment horizontal="left"/>
    </xf>
    <xf numFmtId="0" fontId="0" fillId="6" borderId="7" xfId="0" applyFill="1" applyBorder="1"/>
    <xf numFmtId="0" fontId="0" fillId="0" borderId="0" xfId="0" applyAlignment="1">
      <alignment horizontal="center"/>
    </xf>
    <xf numFmtId="0" fontId="4" fillId="4" borderId="7" xfId="0" applyFont="1" applyFill="1" applyBorder="1" applyAlignment="1">
      <alignment horizontal="center" vertical="center" wrapText="1"/>
    </xf>
    <xf numFmtId="0" fontId="9" fillId="4" borderId="7" xfId="0" applyFont="1" applyFill="1" applyBorder="1"/>
    <xf numFmtId="0" fontId="0" fillId="4" borderId="10" xfId="0" applyFill="1" applyBorder="1"/>
    <xf numFmtId="0" fontId="0" fillId="4" borderId="10" xfId="0" quotePrefix="1" applyFill="1" applyBorder="1" applyAlignment="1">
      <alignment horizontal="center"/>
    </xf>
    <xf numFmtId="3" fontId="0" fillId="4" borderId="10" xfId="0" applyNumberFormat="1" applyFill="1" applyBorder="1" applyAlignment="1">
      <alignment horizontal="center"/>
    </xf>
    <xf numFmtId="16" fontId="0" fillId="4" borderId="10" xfId="0" applyNumberFormat="1" applyFill="1" applyBorder="1" applyAlignment="1">
      <alignment horizontal="center"/>
    </xf>
    <xf numFmtId="43" fontId="0" fillId="4" borderId="10" xfId="0" applyNumberFormat="1" applyFill="1" applyBorder="1"/>
    <xf numFmtId="16" fontId="0" fillId="4" borderId="7" xfId="0" applyNumberFormat="1" applyFill="1" applyBorder="1"/>
    <xf numFmtId="0" fontId="0" fillId="4" borderId="7" xfId="0" applyFill="1" applyBorder="1" applyAlignment="1">
      <alignment horizontal="left"/>
    </xf>
    <xf numFmtId="0" fontId="10" fillId="4" borderId="7" xfId="0" applyFont="1" applyFill="1" applyBorder="1"/>
    <xf numFmtId="43" fontId="7" fillId="4" borderId="9" xfId="1" applyFont="1" applyFill="1" applyBorder="1"/>
    <xf numFmtId="0" fontId="5" fillId="3" borderId="4" xfId="1" applyNumberFormat="1" applyFont="1" applyFill="1" applyBorder="1" applyAlignment="1">
      <alignment horizontal="center" vertical="center" wrapText="1"/>
    </xf>
    <xf numFmtId="43" fontId="4" fillId="0" borderId="0" xfId="1" applyFont="1" applyBorder="1" applyAlignment="1">
      <alignment horizontal="center"/>
    </xf>
    <xf numFmtId="43" fontId="7" fillId="4" borderId="9" xfId="1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4" fontId="5" fillId="3" borderId="11" xfId="0" applyNumberFormat="1" applyFont="1" applyFill="1" applyBorder="1" applyAlignment="1">
      <alignment horizontal="center" vertical="center" shrinkToFit="1"/>
    </xf>
    <xf numFmtId="164" fontId="5" fillId="3" borderId="12" xfId="0" applyNumberFormat="1" applyFont="1" applyFill="1" applyBorder="1" applyAlignment="1">
      <alignment horizontal="center" vertical="center" shrinkToFit="1"/>
    </xf>
    <xf numFmtId="43" fontId="9" fillId="4" borderId="9" xfId="0" applyNumberFormat="1" applyFont="1" applyFill="1" applyBorder="1" applyAlignment="1">
      <alignment horizontal="center"/>
    </xf>
    <xf numFmtId="43" fontId="9" fillId="7" borderId="9" xfId="0" applyNumberFormat="1" applyFont="1" applyFill="1" applyBorder="1" applyAlignment="1">
      <alignment horizontal="center"/>
    </xf>
    <xf numFmtId="0" fontId="12" fillId="4" borderId="7" xfId="0" applyFont="1" applyFill="1" applyBorder="1"/>
    <xf numFmtId="0" fontId="13" fillId="4" borderId="7" xfId="0" applyFont="1" applyFill="1" applyBorder="1"/>
    <xf numFmtId="43" fontId="9" fillId="5" borderId="9" xfId="0" applyNumberFormat="1" applyFont="1" applyFill="1" applyBorder="1" applyAlignment="1">
      <alignment horizontal="center"/>
    </xf>
    <xf numFmtId="43" fontId="11" fillId="4" borderId="9" xfId="0" applyNumberFormat="1" applyFont="1" applyFill="1" applyBorder="1" applyAlignment="1">
      <alignment horizontal="center"/>
    </xf>
    <xf numFmtId="43" fontId="9" fillId="4" borderId="9" xfId="0" applyNumberFormat="1" applyFont="1" applyFill="1" applyBorder="1"/>
    <xf numFmtId="43" fontId="9" fillId="4" borderId="7" xfId="0" applyNumberFormat="1" applyFont="1" applyFill="1" applyBorder="1" applyAlignment="1">
      <alignment horizontal="center"/>
    </xf>
    <xf numFmtId="0" fontId="6" fillId="4" borderId="10" xfId="0" quotePrefix="1" applyFont="1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6" fillId="5" borderId="8" xfId="0" quotePrefix="1" applyFont="1" applyFill="1" applyBorder="1" applyAlignment="1">
      <alignment horizontal="left"/>
    </xf>
    <xf numFmtId="43" fontId="7" fillId="5" borderId="9" xfId="1" applyFont="1" applyFill="1" applyBorder="1" applyAlignment="1">
      <alignment horizontal="center"/>
    </xf>
    <xf numFmtId="43" fontId="0" fillId="5" borderId="7" xfId="0" applyNumberFormat="1" applyFill="1" applyBorder="1" applyAlignment="1">
      <alignment horizontal="center"/>
    </xf>
    <xf numFmtId="43" fontId="7" fillId="5" borderId="7" xfId="1" applyFont="1" applyFill="1" applyBorder="1" applyAlignment="1">
      <alignment horizontal="center"/>
    </xf>
    <xf numFmtId="0" fontId="13" fillId="5" borderId="7" xfId="0" applyFont="1" applyFill="1" applyBorder="1"/>
    <xf numFmtId="43" fontId="11" fillId="5" borderId="9" xfId="0" applyNumberFormat="1" applyFont="1" applyFill="1" applyBorder="1" applyAlignment="1">
      <alignment horizontal="center"/>
    </xf>
    <xf numFmtId="0" fontId="0" fillId="5" borderId="7" xfId="0" applyFill="1" applyBorder="1" applyAlignment="1">
      <alignment horizontal="left"/>
    </xf>
    <xf numFmtId="3" fontId="0" fillId="4" borderId="7" xfId="0" quotePrefix="1" applyNumberForma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55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9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9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9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9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theme="0"/>
          <bgColor rgb="FFFF0000"/>
        </patternFill>
      </fill>
    </dxf>
    <dxf>
      <fill>
        <gradientFill degree="90">
          <stop position="0">
            <color rgb="FFFFFF0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rgb="FFFF000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BF3737"/>
          </stop>
        </gradientFill>
      </fill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9"/>
          </stop>
          <stop position="1">
            <color rgb="FFFFC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9"/>
          </stop>
          <stop position="1">
            <color rgb="FFFFC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gradientFill degree="90">
          <stop position="0">
            <color theme="9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9"/>
          </stop>
          <stop position="1">
            <color rgb="FFFFC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9"/>
          </stop>
          <stop position="1">
            <color rgb="FFFFC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gradientFill degree="90">
          <stop position="0">
            <color rgb="FFFFFF0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rgb="FFFF000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BF3737"/>
          </stop>
        </gradientFill>
      </fill>
    </dxf>
    <dxf>
      <fill>
        <patternFill>
          <fgColor theme="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9"/>
          </stop>
          <stop position="1">
            <color rgb="FFFFC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rgb="FFFF0000"/>
          </stop>
          <stop position="1">
            <color rgb="FFFFFF00"/>
          </stop>
        </gradientFill>
      </fill>
    </dxf>
    <dxf>
      <fill>
        <gradientFill degree="90">
          <stop position="0">
            <color rgb="FFFFFF00"/>
          </stop>
          <stop position="1">
            <color rgb="FFFF0000"/>
          </stop>
        </gradientFill>
      </fill>
    </dxf>
    <dxf>
      <fill>
        <patternFill>
          <fgColor theme="0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rgb="FFBF3737"/>
          </stop>
        </gradientFill>
      </fill>
    </dxf>
    <dxf>
      <font>
        <color rgb="FF9C5700"/>
      </font>
      <fill>
        <patternFill>
          <bgColor rgb="FFFFEB9C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9"/>
          </stop>
          <stop position="1">
            <color rgb="FFFFC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ont>
        <color rgb="FF9C0006"/>
      </font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9"/>
          </stop>
          <stop position="1">
            <color rgb="FFFFC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9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9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9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9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9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9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9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9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rgb="FF00B0F0"/>
          </stop>
          <stop position="1">
            <color rgb="FFFFFF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9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</dxfs>
  <tableStyles count="0" defaultTableStyle="TableStyleMedium2" defaultPivotStyle="PivotStyleLight16"/>
  <colors>
    <mruColors>
      <color rgb="FFBF3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C967-15D1-4CF8-97ED-11B3783036DD}">
  <dimension ref="A1:T77"/>
  <sheetViews>
    <sheetView workbookViewId="0">
      <pane ySplit="4" topLeftCell="A5" activePane="bottomLeft" state="frozen"/>
      <selection pane="bottomLeft" activeCell="E7" sqref="E7"/>
    </sheetView>
  </sheetViews>
  <sheetFormatPr defaultRowHeight="15"/>
  <cols>
    <col min="1" max="1" width="17.85546875" customWidth="1"/>
    <col min="2" max="2" width="11.85546875" customWidth="1"/>
    <col min="3" max="3" width="10" style="65" customWidth="1"/>
    <col min="4" max="4" width="10" customWidth="1"/>
    <col min="5" max="5" width="78.85546875" bestFit="1" customWidth="1"/>
    <col min="6" max="6" width="67.42578125" customWidth="1"/>
    <col min="7" max="7" width="15.5703125" customWidth="1"/>
    <col min="8" max="8" width="11.7109375" customWidth="1"/>
    <col min="9" max="9" width="14.140625" customWidth="1"/>
    <col min="10" max="10" width="13.140625" customWidth="1"/>
    <col min="11" max="11" width="14.140625" customWidth="1"/>
    <col min="12" max="12" width="12.7109375" customWidth="1"/>
    <col min="13" max="13" width="14.140625" customWidth="1"/>
  </cols>
  <sheetData>
    <row r="1" spans="1:16">
      <c r="A1" s="1" t="s">
        <v>531</v>
      </c>
      <c r="B1" s="1"/>
      <c r="C1" s="2"/>
      <c r="D1" s="3"/>
      <c r="E1" s="4"/>
      <c r="F1" s="5"/>
      <c r="G1" s="6"/>
      <c r="H1" s="7"/>
      <c r="I1" s="8"/>
      <c r="J1" s="9"/>
      <c r="K1" s="8"/>
      <c r="L1" s="8"/>
      <c r="M1" s="8"/>
    </row>
    <row r="2" spans="1:16" ht="15.75" thickBot="1">
      <c r="A2" s="1"/>
      <c r="B2" s="1"/>
      <c r="C2" s="2"/>
      <c r="D2" s="3"/>
      <c r="E2" s="4"/>
      <c r="F2" s="5"/>
      <c r="G2" s="6"/>
      <c r="H2" s="7"/>
      <c r="I2" s="8"/>
      <c r="J2" s="9"/>
      <c r="K2" s="8"/>
      <c r="L2" s="8"/>
      <c r="M2" s="8"/>
    </row>
    <row r="3" spans="1:16" ht="25.5">
      <c r="A3" s="19" t="s">
        <v>2</v>
      </c>
      <c r="B3" s="19" t="s">
        <v>0</v>
      </c>
      <c r="C3" s="20" t="s">
        <v>1</v>
      </c>
      <c r="D3" s="21" t="s">
        <v>2</v>
      </c>
      <c r="E3" s="22" t="s">
        <v>3</v>
      </c>
      <c r="F3" s="23" t="s">
        <v>4</v>
      </c>
      <c r="G3" s="24" t="s">
        <v>5</v>
      </c>
      <c r="H3" s="25" t="s">
        <v>532</v>
      </c>
      <c r="I3" s="26" t="s">
        <v>6</v>
      </c>
      <c r="J3" s="24" t="s">
        <v>534</v>
      </c>
      <c r="K3" s="81" t="s">
        <v>533</v>
      </c>
      <c r="L3" s="27" t="s">
        <v>540</v>
      </c>
      <c r="M3" s="27" t="s">
        <v>536</v>
      </c>
    </row>
    <row r="4" spans="1:16">
      <c r="A4" s="28"/>
      <c r="B4" s="28"/>
      <c r="C4" s="29"/>
      <c r="D4" s="30"/>
      <c r="E4" s="31"/>
      <c r="F4" s="32"/>
      <c r="G4" s="33"/>
      <c r="H4" s="34"/>
      <c r="I4" s="35"/>
      <c r="J4" s="33"/>
      <c r="K4" s="82"/>
      <c r="L4" s="77" t="s">
        <v>537</v>
      </c>
      <c r="M4" s="77" t="s">
        <v>537</v>
      </c>
    </row>
    <row r="5" spans="1:16">
      <c r="A5" s="48" t="s">
        <v>13</v>
      </c>
      <c r="B5" s="62"/>
      <c r="C5" s="37"/>
      <c r="D5" s="51"/>
      <c r="E5" s="49"/>
      <c r="F5" s="49"/>
      <c r="G5" s="52"/>
      <c r="H5" s="51"/>
      <c r="I5" s="53"/>
      <c r="J5" s="76">
        <f t="shared" ref="J5:J36" si="0">SUM(G5-I5-L5)</f>
        <v>0</v>
      </c>
      <c r="K5" s="53"/>
      <c r="L5" s="53"/>
      <c r="M5" s="53"/>
      <c r="P5" s="42"/>
    </row>
    <row r="6" spans="1:16">
      <c r="A6" s="63"/>
      <c r="B6" s="62"/>
      <c r="C6" s="37" t="s">
        <v>14</v>
      </c>
      <c r="D6" s="51">
        <v>46027</v>
      </c>
      <c r="E6" s="49" t="s">
        <v>22</v>
      </c>
      <c r="F6" s="49" t="s">
        <v>23</v>
      </c>
      <c r="G6" s="52">
        <v>1250</v>
      </c>
      <c r="H6" s="51">
        <v>46027</v>
      </c>
      <c r="I6" s="53">
        <v>1250</v>
      </c>
      <c r="J6" s="76">
        <f t="shared" si="0"/>
        <v>0</v>
      </c>
      <c r="K6" s="83" t="s">
        <v>541</v>
      </c>
      <c r="L6" s="53"/>
      <c r="M6" s="83" t="s">
        <v>539</v>
      </c>
      <c r="P6" s="42"/>
    </row>
    <row r="7" spans="1:16">
      <c r="A7" s="63"/>
      <c r="B7" s="62"/>
      <c r="C7" s="37" t="s">
        <v>15</v>
      </c>
      <c r="D7" s="51">
        <v>46027</v>
      </c>
      <c r="E7" s="49" t="s">
        <v>24</v>
      </c>
      <c r="F7" s="49" t="s">
        <v>25</v>
      </c>
      <c r="G7" s="52">
        <v>32500</v>
      </c>
      <c r="H7" s="51">
        <v>46027</v>
      </c>
      <c r="I7" s="53">
        <v>32500</v>
      </c>
      <c r="J7" s="76">
        <f t="shared" si="0"/>
        <v>0</v>
      </c>
      <c r="K7" s="83" t="s">
        <v>541</v>
      </c>
      <c r="L7" s="53"/>
      <c r="M7" s="83" t="s">
        <v>539</v>
      </c>
      <c r="P7" s="42"/>
    </row>
    <row r="8" spans="1:16">
      <c r="A8" s="63"/>
      <c r="B8" s="62"/>
      <c r="C8" s="37" t="s">
        <v>16</v>
      </c>
      <c r="D8" s="51">
        <v>46027</v>
      </c>
      <c r="E8" s="49" t="s">
        <v>26</v>
      </c>
      <c r="F8" s="49" t="s">
        <v>27</v>
      </c>
      <c r="G8" s="52">
        <v>14500</v>
      </c>
      <c r="H8" s="51">
        <v>46027</v>
      </c>
      <c r="I8" s="53">
        <v>14500</v>
      </c>
      <c r="J8" s="76">
        <f t="shared" si="0"/>
        <v>0</v>
      </c>
      <c r="K8" s="83" t="s">
        <v>541</v>
      </c>
      <c r="L8" s="53"/>
      <c r="M8" s="83" t="s">
        <v>539</v>
      </c>
      <c r="P8" s="42"/>
    </row>
    <row r="9" spans="1:16">
      <c r="A9" s="63"/>
      <c r="B9" s="62"/>
      <c r="C9" s="37" t="s">
        <v>17</v>
      </c>
      <c r="D9" s="51">
        <v>46027</v>
      </c>
      <c r="E9" s="49" t="s">
        <v>28</v>
      </c>
      <c r="F9" s="49" t="s">
        <v>27</v>
      </c>
      <c r="G9" s="52">
        <v>14500</v>
      </c>
      <c r="H9" s="51">
        <v>46027</v>
      </c>
      <c r="I9" s="53">
        <v>14500</v>
      </c>
      <c r="J9" s="76">
        <f t="shared" si="0"/>
        <v>0</v>
      </c>
      <c r="K9" s="83" t="s">
        <v>541</v>
      </c>
      <c r="L9" s="53"/>
      <c r="M9" s="83" t="s">
        <v>539</v>
      </c>
      <c r="P9" s="42"/>
    </row>
    <row r="10" spans="1:16">
      <c r="A10" s="63"/>
      <c r="B10" s="62"/>
      <c r="C10" s="37" t="s">
        <v>18</v>
      </c>
      <c r="D10" s="51">
        <v>46027</v>
      </c>
      <c r="E10" s="49" t="s">
        <v>29</v>
      </c>
      <c r="F10" s="49" t="s">
        <v>30</v>
      </c>
      <c r="G10" s="52">
        <v>15000</v>
      </c>
      <c r="H10" s="51">
        <v>46027</v>
      </c>
      <c r="I10" s="53">
        <v>15000</v>
      </c>
      <c r="J10" s="76">
        <f t="shared" si="0"/>
        <v>0</v>
      </c>
      <c r="K10" s="83" t="s">
        <v>541</v>
      </c>
      <c r="L10" s="53"/>
      <c r="M10" s="83" t="s">
        <v>539</v>
      </c>
      <c r="P10" s="42"/>
    </row>
    <row r="11" spans="1:16">
      <c r="A11" s="63"/>
      <c r="B11" s="62"/>
      <c r="C11" s="37" t="s">
        <v>19</v>
      </c>
      <c r="D11" s="51">
        <v>46027</v>
      </c>
      <c r="E11" s="49" t="s">
        <v>31</v>
      </c>
      <c r="F11" s="49" t="s">
        <v>32</v>
      </c>
      <c r="G11" s="52">
        <v>2500</v>
      </c>
      <c r="H11" s="51">
        <v>46027</v>
      </c>
      <c r="I11" s="53">
        <v>2500</v>
      </c>
      <c r="J11" s="76">
        <f t="shared" si="0"/>
        <v>0</v>
      </c>
      <c r="K11" s="83" t="s">
        <v>541</v>
      </c>
      <c r="L11" s="53"/>
      <c r="M11" s="83" t="s">
        <v>539</v>
      </c>
      <c r="P11" s="42"/>
    </row>
    <row r="12" spans="1:16">
      <c r="A12" s="63"/>
      <c r="B12" s="62"/>
      <c r="C12" s="37" t="s">
        <v>20</v>
      </c>
      <c r="D12" s="51">
        <v>46029</v>
      </c>
      <c r="E12" s="49" t="s">
        <v>33</v>
      </c>
      <c r="F12" s="49" t="s">
        <v>34</v>
      </c>
      <c r="G12" s="52">
        <v>67150</v>
      </c>
      <c r="H12" s="51">
        <v>46029</v>
      </c>
      <c r="I12" s="53">
        <v>67150</v>
      </c>
      <c r="J12" s="76">
        <f t="shared" si="0"/>
        <v>0</v>
      </c>
      <c r="K12" s="83" t="s">
        <v>541</v>
      </c>
      <c r="L12" s="53"/>
      <c r="M12" s="83" t="s">
        <v>539</v>
      </c>
      <c r="P12" s="42"/>
    </row>
    <row r="13" spans="1:16">
      <c r="A13" s="63"/>
      <c r="B13" s="62"/>
      <c r="C13" s="37" t="s">
        <v>21</v>
      </c>
      <c r="D13" s="51">
        <v>46029</v>
      </c>
      <c r="E13" s="49" t="s">
        <v>35</v>
      </c>
      <c r="F13" s="49" t="s">
        <v>34</v>
      </c>
      <c r="G13" s="52">
        <v>67150</v>
      </c>
      <c r="H13" s="51">
        <v>46029</v>
      </c>
      <c r="I13" s="53">
        <v>67150</v>
      </c>
      <c r="J13" s="76">
        <f t="shared" si="0"/>
        <v>0</v>
      </c>
      <c r="K13" s="83" t="s">
        <v>541</v>
      </c>
      <c r="L13" s="53"/>
      <c r="M13" s="83" t="s">
        <v>539</v>
      </c>
      <c r="P13" s="42"/>
    </row>
    <row r="14" spans="1:16">
      <c r="A14" s="63"/>
      <c r="B14" s="62"/>
      <c r="C14" s="37" t="s">
        <v>36</v>
      </c>
      <c r="D14" s="51">
        <v>46030</v>
      </c>
      <c r="E14" s="49" t="s">
        <v>45</v>
      </c>
      <c r="F14" s="49" t="s">
        <v>46</v>
      </c>
      <c r="G14" s="52">
        <v>50000</v>
      </c>
      <c r="H14" s="51">
        <v>46030</v>
      </c>
      <c r="I14" s="53">
        <v>50000</v>
      </c>
      <c r="J14" s="76">
        <f t="shared" si="0"/>
        <v>0</v>
      </c>
      <c r="K14" s="83" t="s">
        <v>541</v>
      </c>
      <c r="L14" s="53"/>
      <c r="M14" s="83" t="s">
        <v>539</v>
      </c>
      <c r="P14" s="42"/>
    </row>
    <row r="15" spans="1:16">
      <c r="A15" s="63"/>
      <c r="B15" s="62"/>
      <c r="C15" s="37" t="s">
        <v>37</v>
      </c>
      <c r="D15" s="51"/>
      <c r="E15" s="49"/>
      <c r="F15" s="49"/>
      <c r="G15" s="52"/>
      <c r="H15" s="51"/>
      <c r="I15" s="53"/>
      <c r="J15" s="76">
        <f t="shared" si="0"/>
        <v>0</v>
      </c>
      <c r="K15" s="83" t="s">
        <v>125</v>
      </c>
      <c r="L15" s="53"/>
      <c r="M15" s="53"/>
      <c r="P15" s="42"/>
    </row>
    <row r="16" spans="1:16">
      <c r="A16" s="63"/>
      <c r="B16" s="62"/>
      <c r="C16" s="37" t="s">
        <v>38</v>
      </c>
      <c r="D16" s="51">
        <v>46031</v>
      </c>
      <c r="E16" s="49" t="s">
        <v>50</v>
      </c>
      <c r="F16" s="49" t="s">
        <v>51</v>
      </c>
      <c r="G16" s="52">
        <v>200</v>
      </c>
      <c r="H16" s="51">
        <v>46051</v>
      </c>
      <c r="I16" s="53">
        <v>198.21</v>
      </c>
      <c r="J16" s="76">
        <f t="shared" si="0"/>
        <v>-7.9936057773011271E-15</v>
      </c>
      <c r="K16" s="83" t="s">
        <v>541</v>
      </c>
      <c r="L16" s="53">
        <v>1.79</v>
      </c>
      <c r="M16" s="83" t="s">
        <v>542</v>
      </c>
      <c r="P16" s="42"/>
    </row>
    <row r="17" spans="1:16">
      <c r="A17" s="63"/>
      <c r="B17" s="62"/>
      <c r="C17" s="37" t="s">
        <v>39</v>
      </c>
      <c r="D17" s="51">
        <v>46031</v>
      </c>
      <c r="E17" s="49" t="s">
        <v>52</v>
      </c>
      <c r="F17" s="49" t="s">
        <v>53</v>
      </c>
      <c r="G17" s="52">
        <v>28100</v>
      </c>
      <c r="H17" s="51">
        <v>46031</v>
      </c>
      <c r="I17" s="53">
        <v>27849.11</v>
      </c>
      <c r="J17" s="76">
        <f t="shared" si="0"/>
        <v>-5.6843418860808015E-13</v>
      </c>
      <c r="K17" s="83" t="s">
        <v>541</v>
      </c>
      <c r="L17" s="53">
        <v>250.89</v>
      </c>
      <c r="M17" s="83" t="s">
        <v>542</v>
      </c>
      <c r="P17" s="42"/>
    </row>
    <row r="18" spans="1:16">
      <c r="A18" s="63"/>
      <c r="B18" s="62"/>
      <c r="C18" s="37" t="s">
        <v>40</v>
      </c>
      <c r="D18" s="51">
        <v>46031</v>
      </c>
      <c r="E18" s="49" t="s">
        <v>54</v>
      </c>
      <c r="F18" s="49" t="s">
        <v>55</v>
      </c>
      <c r="G18" s="52">
        <v>12500</v>
      </c>
      <c r="H18" s="51">
        <v>46031</v>
      </c>
      <c r="I18" s="53">
        <v>12388.4</v>
      </c>
      <c r="J18" s="76">
        <f t="shared" si="0"/>
        <v>3.694822225952521E-13</v>
      </c>
      <c r="K18" s="83" t="s">
        <v>541</v>
      </c>
      <c r="L18" s="53">
        <v>111.6</v>
      </c>
      <c r="M18" s="83" t="s">
        <v>542</v>
      </c>
      <c r="P18" s="42"/>
    </row>
    <row r="19" spans="1:16">
      <c r="A19" s="36"/>
      <c r="B19" s="62"/>
      <c r="C19" s="37" t="s">
        <v>41</v>
      </c>
      <c r="D19" s="51">
        <v>46034</v>
      </c>
      <c r="E19" s="49" t="s">
        <v>56</v>
      </c>
      <c r="F19" s="49" t="s">
        <v>32</v>
      </c>
      <c r="G19" s="52">
        <v>2500</v>
      </c>
      <c r="H19" s="51">
        <v>46034</v>
      </c>
      <c r="I19" s="53">
        <v>2500</v>
      </c>
      <c r="J19" s="76">
        <f t="shared" si="0"/>
        <v>0</v>
      </c>
      <c r="K19" s="83" t="s">
        <v>541</v>
      </c>
      <c r="L19" s="53"/>
      <c r="M19" s="83" t="s">
        <v>539</v>
      </c>
      <c r="P19" s="42"/>
    </row>
    <row r="20" spans="1:16">
      <c r="A20" s="36"/>
      <c r="B20" s="62"/>
      <c r="C20" s="37" t="s">
        <v>42</v>
      </c>
      <c r="D20" s="51">
        <v>46034</v>
      </c>
      <c r="E20" s="49" t="s">
        <v>57</v>
      </c>
      <c r="F20" s="49" t="s">
        <v>58</v>
      </c>
      <c r="G20" s="52">
        <v>8500</v>
      </c>
      <c r="H20" s="51">
        <v>46034</v>
      </c>
      <c r="I20" s="53">
        <v>8367.68</v>
      </c>
      <c r="J20" s="76">
        <f t="shared" si="0"/>
        <v>-15.000000000000284</v>
      </c>
      <c r="K20" s="83" t="s">
        <v>541</v>
      </c>
      <c r="L20" s="53">
        <v>147.32</v>
      </c>
      <c r="M20" s="83" t="s">
        <v>542</v>
      </c>
      <c r="P20" s="42"/>
    </row>
    <row r="21" spans="1:16">
      <c r="A21" s="36"/>
      <c r="B21" s="62"/>
      <c r="C21" s="37" t="s">
        <v>43</v>
      </c>
      <c r="D21" s="51">
        <v>46035</v>
      </c>
      <c r="E21" s="49" t="s">
        <v>59</v>
      </c>
      <c r="F21" s="49" t="s">
        <v>60</v>
      </c>
      <c r="G21" s="52">
        <v>14000</v>
      </c>
      <c r="H21" s="51">
        <v>46035</v>
      </c>
      <c r="I21" s="53">
        <v>14000</v>
      </c>
      <c r="J21" s="76">
        <f t="shared" si="0"/>
        <v>0</v>
      </c>
      <c r="K21" s="83" t="s">
        <v>541</v>
      </c>
      <c r="L21" s="53"/>
      <c r="M21" s="83" t="s">
        <v>539</v>
      </c>
      <c r="P21" s="42"/>
    </row>
    <row r="22" spans="1:16">
      <c r="A22" s="36"/>
      <c r="B22" s="62"/>
      <c r="C22" s="37" t="s">
        <v>44</v>
      </c>
      <c r="D22" s="51">
        <v>46036</v>
      </c>
      <c r="E22" s="49" t="s">
        <v>61</v>
      </c>
      <c r="F22" s="49" t="s">
        <v>48</v>
      </c>
      <c r="G22" s="52">
        <v>17000</v>
      </c>
      <c r="H22" s="51">
        <v>46036</v>
      </c>
      <c r="I22" s="53">
        <v>16848.21</v>
      </c>
      <c r="J22" s="76">
        <f t="shared" si="0"/>
        <v>8.8107299234252423E-13</v>
      </c>
      <c r="K22" s="83" t="s">
        <v>541</v>
      </c>
      <c r="L22" s="53">
        <v>151.79</v>
      </c>
      <c r="M22" s="83" t="s">
        <v>542</v>
      </c>
      <c r="P22" s="42"/>
    </row>
    <row r="23" spans="1:16">
      <c r="A23" s="36"/>
      <c r="B23" s="62"/>
      <c r="C23" s="37" t="s">
        <v>62</v>
      </c>
      <c r="D23" s="51">
        <v>46036</v>
      </c>
      <c r="E23" s="49" t="s">
        <v>68</v>
      </c>
      <c r="F23" s="49" t="s">
        <v>69</v>
      </c>
      <c r="G23" s="52">
        <v>30000</v>
      </c>
      <c r="H23" s="51">
        <v>46036</v>
      </c>
      <c r="I23" s="53">
        <v>29464.29</v>
      </c>
      <c r="J23" s="76">
        <f t="shared" si="0"/>
        <v>-9.0949470177292824E-13</v>
      </c>
      <c r="K23" s="83" t="s">
        <v>541</v>
      </c>
      <c r="L23" s="53">
        <v>535.71</v>
      </c>
      <c r="M23" s="83" t="s">
        <v>542</v>
      </c>
      <c r="P23" s="42"/>
    </row>
    <row r="24" spans="1:16">
      <c r="A24" s="36"/>
      <c r="B24" s="62"/>
      <c r="C24" s="37" t="s">
        <v>63</v>
      </c>
      <c r="D24" s="51">
        <v>46036</v>
      </c>
      <c r="E24" s="49" t="s">
        <v>70</v>
      </c>
      <c r="F24" s="49" t="s">
        <v>55</v>
      </c>
      <c r="G24" s="52">
        <v>12000</v>
      </c>
      <c r="H24" s="51">
        <v>46080</v>
      </c>
      <c r="I24" s="52">
        <v>11892.86</v>
      </c>
      <c r="J24" s="76">
        <f t="shared" si="0"/>
        <v>-5.8264504332328215E-13</v>
      </c>
      <c r="K24" s="83" t="s">
        <v>541</v>
      </c>
      <c r="L24" s="53">
        <v>107.14</v>
      </c>
      <c r="M24" s="83" t="s">
        <v>542</v>
      </c>
      <c r="P24" s="42"/>
    </row>
    <row r="25" spans="1:16">
      <c r="A25" s="36"/>
      <c r="B25" s="62"/>
      <c r="C25" s="37" t="s">
        <v>64</v>
      </c>
      <c r="D25" s="51">
        <v>46036</v>
      </c>
      <c r="E25" s="49" t="s">
        <v>71</v>
      </c>
      <c r="F25" s="49" t="s">
        <v>55</v>
      </c>
      <c r="G25" s="52">
        <v>12000</v>
      </c>
      <c r="H25" s="51">
        <v>46062</v>
      </c>
      <c r="I25" s="52">
        <v>11892.86</v>
      </c>
      <c r="J25" s="76">
        <f t="shared" si="0"/>
        <v>-5.8264504332328215E-13</v>
      </c>
      <c r="K25" s="83" t="s">
        <v>541</v>
      </c>
      <c r="L25" s="53">
        <v>107.14</v>
      </c>
      <c r="M25" s="83" t="s">
        <v>542</v>
      </c>
      <c r="P25" s="42"/>
    </row>
    <row r="26" spans="1:16">
      <c r="A26" s="36"/>
      <c r="B26" s="62"/>
      <c r="C26" s="37" t="s">
        <v>65</v>
      </c>
      <c r="D26" s="51">
        <v>46037</v>
      </c>
      <c r="E26" s="49" t="s">
        <v>72</v>
      </c>
      <c r="F26" s="49" t="s">
        <v>73</v>
      </c>
      <c r="G26" s="52">
        <v>3500</v>
      </c>
      <c r="H26" s="51">
        <v>46037</v>
      </c>
      <c r="I26" s="53">
        <v>3500</v>
      </c>
      <c r="J26" s="76">
        <f t="shared" si="0"/>
        <v>0</v>
      </c>
      <c r="K26" s="83" t="s">
        <v>541</v>
      </c>
      <c r="L26" s="53"/>
      <c r="M26" s="83" t="s">
        <v>539</v>
      </c>
      <c r="P26" s="42"/>
    </row>
    <row r="27" spans="1:16">
      <c r="A27" s="36"/>
      <c r="B27" s="62"/>
      <c r="C27" s="37" t="s">
        <v>66</v>
      </c>
      <c r="D27" s="51">
        <v>46037</v>
      </c>
      <c r="E27" s="49" t="s">
        <v>74</v>
      </c>
      <c r="F27" s="49" t="s">
        <v>75</v>
      </c>
      <c r="G27" s="52">
        <v>500</v>
      </c>
      <c r="H27" s="51">
        <v>46037</v>
      </c>
      <c r="I27" s="53">
        <v>500</v>
      </c>
      <c r="J27" s="76">
        <f t="shared" si="0"/>
        <v>0</v>
      </c>
      <c r="K27" s="83" t="s">
        <v>541</v>
      </c>
      <c r="L27" s="53"/>
      <c r="M27" s="83" t="s">
        <v>539</v>
      </c>
      <c r="P27" s="42"/>
    </row>
    <row r="28" spans="1:16">
      <c r="A28" s="36"/>
      <c r="B28" s="62"/>
      <c r="C28" s="37" t="s">
        <v>67</v>
      </c>
      <c r="D28" s="51">
        <v>46038</v>
      </c>
      <c r="E28" s="49" t="s">
        <v>76</v>
      </c>
      <c r="F28" s="49" t="s">
        <v>55</v>
      </c>
      <c r="G28" s="52">
        <v>6250</v>
      </c>
      <c r="H28" s="51">
        <v>46040</v>
      </c>
      <c r="I28" s="53">
        <v>6250</v>
      </c>
      <c r="J28" s="76">
        <f t="shared" si="0"/>
        <v>0</v>
      </c>
      <c r="K28" s="83" t="s">
        <v>541</v>
      </c>
      <c r="L28" s="53"/>
      <c r="M28" s="83" t="s">
        <v>539</v>
      </c>
      <c r="P28" s="42"/>
    </row>
    <row r="29" spans="1:16">
      <c r="A29" s="36"/>
      <c r="B29" s="62"/>
      <c r="C29" s="37" t="s">
        <v>77</v>
      </c>
      <c r="D29" s="51">
        <v>46042</v>
      </c>
      <c r="E29" s="49" t="s">
        <v>84</v>
      </c>
      <c r="F29" s="49" t="s">
        <v>85</v>
      </c>
      <c r="G29" s="52">
        <v>51000</v>
      </c>
      <c r="H29" s="51">
        <v>46042</v>
      </c>
      <c r="I29" s="53">
        <v>51000</v>
      </c>
      <c r="J29" s="76">
        <f t="shared" si="0"/>
        <v>0</v>
      </c>
      <c r="K29" s="83" t="s">
        <v>541</v>
      </c>
      <c r="L29" s="53"/>
      <c r="M29" s="83" t="s">
        <v>539</v>
      </c>
      <c r="P29" s="42"/>
    </row>
    <row r="30" spans="1:16">
      <c r="A30" s="36"/>
      <c r="B30" s="62"/>
      <c r="C30" s="37" t="s">
        <v>78</v>
      </c>
      <c r="D30" s="51">
        <v>46041</v>
      </c>
      <c r="E30" s="49" t="s">
        <v>86</v>
      </c>
      <c r="F30" s="49" t="s">
        <v>87</v>
      </c>
      <c r="G30" s="52">
        <v>1500</v>
      </c>
      <c r="H30" s="51">
        <v>46042</v>
      </c>
      <c r="I30" s="53">
        <v>1500</v>
      </c>
      <c r="J30" s="76">
        <f t="shared" si="0"/>
        <v>0</v>
      </c>
      <c r="K30" s="83" t="s">
        <v>541</v>
      </c>
      <c r="L30" s="53"/>
      <c r="M30" s="83" t="s">
        <v>539</v>
      </c>
      <c r="P30" s="42"/>
    </row>
    <row r="31" spans="1:16">
      <c r="A31" s="36"/>
      <c r="B31" s="62"/>
      <c r="C31" s="37" t="s">
        <v>79</v>
      </c>
      <c r="D31" s="51">
        <v>46043</v>
      </c>
      <c r="E31" s="49" t="s">
        <v>133</v>
      </c>
      <c r="F31" s="49" t="s">
        <v>134</v>
      </c>
      <c r="G31" s="52">
        <v>37500</v>
      </c>
      <c r="H31" s="51">
        <v>46043</v>
      </c>
      <c r="I31" s="53">
        <v>37500</v>
      </c>
      <c r="J31" s="76">
        <f t="shared" si="0"/>
        <v>0</v>
      </c>
      <c r="K31" s="83" t="s">
        <v>541</v>
      </c>
      <c r="L31" s="53"/>
      <c r="M31" s="83" t="s">
        <v>539</v>
      </c>
      <c r="P31" s="42"/>
    </row>
    <row r="32" spans="1:16">
      <c r="A32" s="36"/>
      <c r="B32" s="62"/>
      <c r="C32" s="37" t="s">
        <v>80</v>
      </c>
      <c r="D32" s="51">
        <v>46043</v>
      </c>
      <c r="E32" s="49" t="s">
        <v>135</v>
      </c>
      <c r="F32" s="49" t="s">
        <v>136</v>
      </c>
      <c r="G32" s="52">
        <v>67150</v>
      </c>
      <c r="H32" s="51">
        <v>46043</v>
      </c>
      <c r="I32" s="53">
        <v>67150</v>
      </c>
      <c r="J32" s="76">
        <f t="shared" si="0"/>
        <v>0</v>
      </c>
      <c r="K32" s="83" t="s">
        <v>541</v>
      </c>
      <c r="L32" s="53"/>
      <c r="M32" s="83" t="s">
        <v>539</v>
      </c>
      <c r="P32" s="42"/>
    </row>
    <row r="33" spans="1:20">
      <c r="A33" s="36"/>
      <c r="B33" s="62"/>
      <c r="C33" s="37" t="s">
        <v>81</v>
      </c>
      <c r="D33" s="51">
        <v>46043</v>
      </c>
      <c r="E33" s="49" t="s">
        <v>137</v>
      </c>
      <c r="F33" s="49" t="s">
        <v>136</v>
      </c>
      <c r="G33" s="52">
        <v>67150</v>
      </c>
      <c r="H33" s="51">
        <v>46043</v>
      </c>
      <c r="I33" s="53">
        <v>67150</v>
      </c>
      <c r="J33" s="76">
        <f t="shared" si="0"/>
        <v>0</v>
      </c>
      <c r="K33" s="83" t="s">
        <v>541</v>
      </c>
      <c r="L33" s="53"/>
      <c r="M33" s="83" t="s">
        <v>539</v>
      </c>
      <c r="P33" s="42"/>
    </row>
    <row r="34" spans="1:20">
      <c r="A34" s="36"/>
      <c r="B34" s="62"/>
      <c r="C34" s="37" t="s">
        <v>82</v>
      </c>
      <c r="D34" s="51">
        <v>46044</v>
      </c>
      <c r="E34" s="49" t="s">
        <v>138</v>
      </c>
      <c r="F34" s="49" t="s">
        <v>139</v>
      </c>
      <c r="G34" s="52">
        <v>38750</v>
      </c>
      <c r="H34" s="51">
        <v>46044</v>
      </c>
      <c r="I34" s="53">
        <v>38058.04</v>
      </c>
      <c r="J34" s="76">
        <f t="shared" si="0"/>
        <v>-9.0949470177292824E-13</v>
      </c>
      <c r="K34" s="83" t="s">
        <v>541</v>
      </c>
      <c r="L34" s="53">
        <v>691.96</v>
      </c>
      <c r="M34" s="83" t="s">
        <v>542</v>
      </c>
      <c r="P34" s="42"/>
    </row>
    <row r="35" spans="1:20">
      <c r="A35" s="36"/>
      <c r="B35" s="62"/>
      <c r="C35" s="37" t="s">
        <v>83</v>
      </c>
      <c r="D35" s="51">
        <v>46044</v>
      </c>
      <c r="E35" s="49" t="s">
        <v>57</v>
      </c>
      <c r="F35" s="49" t="s">
        <v>48</v>
      </c>
      <c r="G35" s="52">
        <v>8000</v>
      </c>
      <c r="H35" s="51">
        <v>46044</v>
      </c>
      <c r="I35" s="53">
        <v>8000</v>
      </c>
      <c r="J35" s="76">
        <f t="shared" si="0"/>
        <v>0</v>
      </c>
      <c r="K35" s="83" t="s">
        <v>541</v>
      </c>
      <c r="L35" s="53"/>
      <c r="M35" s="83" t="s">
        <v>539</v>
      </c>
      <c r="P35" s="42"/>
    </row>
    <row r="36" spans="1:20">
      <c r="A36" s="36"/>
      <c r="B36" s="62"/>
      <c r="C36" s="37" t="s">
        <v>152</v>
      </c>
      <c r="D36" s="51">
        <v>46045</v>
      </c>
      <c r="E36" s="49" t="s">
        <v>159</v>
      </c>
      <c r="F36" s="49" t="s">
        <v>161</v>
      </c>
      <c r="G36" s="52">
        <v>15000</v>
      </c>
      <c r="H36" s="51">
        <v>46045</v>
      </c>
      <c r="I36" s="53">
        <v>15000</v>
      </c>
      <c r="J36" s="76">
        <f t="shared" si="0"/>
        <v>0</v>
      </c>
      <c r="K36" s="83" t="s">
        <v>541</v>
      </c>
      <c r="L36" s="53"/>
      <c r="M36" s="83" t="s">
        <v>539</v>
      </c>
      <c r="P36" s="42"/>
    </row>
    <row r="37" spans="1:20">
      <c r="A37" s="36"/>
      <c r="B37" s="62"/>
      <c r="C37" s="37" t="s">
        <v>153</v>
      </c>
      <c r="D37" s="51">
        <v>46048</v>
      </c>
      <c r="E37" s="49" t="s">
        <v>138</v>
      </c>
      <c r="F37" s="49" t="s">
        <v>160</v>
      </c>
      <c r="G37" s="52">
        <v>400</v>
      </c>
      <c r="H37" s="51">
        <v>46048</v>
      </c>
      <c r="I37" s="53">
        <v>400</v>
      </c>
      <c r="J37" s="76">
        <f t="shared" ref="J37:J68" si="1">SUM(G37-I37-L37)</f>
        <v>0</v>
      </c>
      <c r="K37" s="83" t="s">
        <v>541</v>
      </c>
      <c r="L37" s="53"/>
      <c r="M37" s="83" t="s">
        <v>539</v>
      </c>
      <c r="P37" s="42"/>
    </row>
    <row r="38" spans="1:20">
      <c r="A38" s="36"/>
      <c r="B38" s="62"/>
      <c r="C38" s="37" t="s">
        <v>154</v>
      </c>
      <c r="D38" s="51">
        <v>46048</v>
      </c>
      <c r="E38" s="49" t="s">
        <v>31</v>
      </c>
      <c r="F38" s="49" t="s">
        <v>32</v>
      </c>
      <c r="G38" s="52">
        <v>2500</v>
      </c>
      <c r="H38" s="51">
        <v>46048</v>
      </c>
      <c r="I38" s="53">
        <v>2500</v>
      </c>
      <c r="J38" s="76">
        <f t="shared" si="1"/>
        <v>0</v>
      </c>
      <c r="K38" s="83" t="s">
        <v>541</v>
      </c>
      <c r="L38" s="53"/>
      <c r="M38" s="83" t="s">
        <v>539</v>
      </c>
      <c r="P38" s="42"/>
      <c r="T38">
        <v>3120312</v>
      </c>
    </row>
    <row r="39" spans="1:20">
      <c r="A39" s="36"/>
      <c r="B39" s="62"/>
      <c r="C39" s="37" t="s">
        <v>155</v>
      </c>
      <c r="D39" s="51">
        <v>46048</v>
      </c>
      <c r="E39" s="49" t="s">
        <v>47</v>
      </c>
      <c r="F39" s="49" t="s">
        <v>49</v>
      </c>
      <c r="G39" s="52">
        <v>19500</v>
      </c>
      <c r="H39" s="51">
        <v>46030</v>
      </c>
      <c r="I39" s="53">
        <v>19325.89</v>
      </c>
      <c r="J39" s="76">
        <f t="shared" si="1"/>
        <v>-499.99999999999943</v>
      </c>
      <c r="K39" s="83" t="s">
        <v>541</v>
      </c>
      <c r="L39" s="53">
        <v>674.11</v>
      </c>
      <c r="M39" s="83" t="s">
        <v>542</v>
      </c>
      <c r="P39" s="42"/>
    </row>
    <row r="40" spans="1:20">
      <c r="A40" s="36"/>
      <c r="B40" s="62"/>
      <c r="C40" s="37" t="s">
        <v>156</v>
      </c>
      <c r="D40" s="51">
        <v>46051</v>
      </c>
      <c r="E40" s="49" t="s">
        <v>172</v>
      </c>
      <c r="F40" s="49" t="s">
        <v>34</v>
      </c>
      <c r="G40" s="52">
        <v>57650</v>
      </c>
      <c r="H40" s="51">
        <v>46051</v>
      </c>
      <c r="I40" s="53">
        <v>57650</v>
      </c>
      <c r="J40" s="76">
        <f t="shared" si="1"/>
        <v>0</v>
      </c>
      <c r="K40" s="83" t="s">
        <v>541</v>
      </c>
      <c r="L40" s="53"/>
      <c r="M40" s="83" t="s">
        <v>539</v>
      </c>
      <c r="P40" s="42"/>
    </row>
    <row r="41" spans="1:20">
      <c r="A41" s="36"/>
      <c r="B41" s="62"/>
      <c r="C41" s="37" t="s">
        <v>157</v>
      </c>
      <c r="D41" s="51">
        <v>46052</v>
      </c>
      <c r="E41" s="49" t="s">
        <v>173</v>
      </c>
      <c r="F41" s="49" t="s">
        <v>30</v>
      </c>
      <c r="G41" s="52">
        <v>15000</v>
      </c>
      <c r="H41" s="51">
        <v>46051</v>
      </c>
      <c r="I41" s="53">
        <v>15000</v>
      </c>
      <c r="J41" s="76">
        <f t="shared" si="1"/>
        <v>0</v>
      </c>
      <c r="K41" s="83" t="s">
        <v>541</v>
      </c>
      <c r="L41" s="53"/>
      <c r="M41" s="83" t="s">
        <v>539</v>
      </c>
      <c r="P41" s="42"/>
    </row>
    <row r="42" spans="1:20">
      <c r="A42" s="36"/>
      <c r="B42" s="62"/>
      <c r="C42" s="37" t="s">
        <v>158</v>
      </c>
      <c r="D42" s="51">
        <v>46052</v>
      </c>
      <c r="E42" s="49" t="s">
        <v>174</v>
      </c>
      <c r="F42" s="49" t="s">
        <v>175</v>
      </c>
      <c r="G42" s="52">
        <v>6000</v>
      </c>
      <c r="H42" s="51">
        <v>46052</v>
      </c>
      <c r="I42" s="53">
        <v>6000</v>
      </c>
      <c r="J42" s="76">
        <f t="shared" si="1"/>
        <v>0</v>
      </c>
      <c r="K42" s="83" t="s">
        <v>541</v>
      </c>
      <c r="L42" s="53"/>
      <c r="M42" s="83" t="s">
        <v>539</v>
      </c>
      <c r="P42" s="42"/>
    </row>
    <row r="43" spans="1:20">
      <c r="A43" s="36"/>
      <c r="B43" s="62" t="s">
        <v>88</v>
      </c>
      <c r="C43" s="37"/>
      <c r="D43" s="51">
        <v>46034</v>
      </c>
      <c r="E43" s="49" t="s">
        <v>99</v>
      </c>
      <c r="F43" s="49" t="s">
        <v>100</v>
      </c>
      <c r="G43" s="52">
        <v>2500</v>
      </c>
      <c r="H43" s="51">
        <v>46034</v>
      </c>
      <c r="I43" s="53">
        <v>2500</v>
      </c>
      <c r="J43" s="76">
        <f t="shared" si="1"/>
        <v>0</v>
      </c>
      <c r="K43" s="83" t="s">
        <v>541</v>
      </c>
      <c r="L43" s="53"/>
      <c r="M43" s="83" t="s">
        <v>539</v>
      </c>
      <c r="P43" s="42"/>
    </row>
    <row r="44" spans="1:20">
      <c r="A44" s="36"/>
      <c r="B44" s="62" t="s">
        <v>89</v>
      </c>
      <c r="C44" s="37"/>
      <c r="D44" s="51">
        <v>46036</v>
      </c>
      <c r="E44" s="49" t="s">
        <v>101</v>
      </c>
      <c r="F44" s="49" t="s">
        <v>102</v>
      </c>
      <c r="G44" s="52">
        <v>13000</v>
      </c>
      <c r="H44" s="51">
        <v>46036</v>
      </c>
      <c r="I44" s="53">
        <v>12767.86</v>
      </c>
      <c r="J44" s="76">
        <f t="shared" si="1"/>
        <v>-5.6843418860808015E-13</v>
      </c>
      <c r="K44" s="83" t="s">
        <v>541</v>
      </c>
      <c r="L44" s="53">
        <v>232.14</v>
      </c>
      <c r="M44" s="83" t="s">
        <v>542</v>
      </c>
      <c r="P44" s="42"/>
    </row>
    <row r="45" spans="1:20">
      <c r="A45" s="36"/>
      <c r="B45" s="62" t="s">
        <v>90</v>
      </c>
      <c r="C45" s="37"/>
      <c r="D45" s="51">
        <v>46036</v>
      </c>
      <c r="E45" s="49" t="s">
        <v>103</v>
      </c>
      <c r="F45" s="49" t="s">
        <v>104</v>
      </c>
      <c r="G45" s="52">
        <v>45500</v>
      </c>
      <c r="H45" s="51">
        <v>46036</v>
      </c>
      <c r="I45" s="53">
        <v>44687.5</v>
      </c>
      <c r="J45" s="76">
        <f t="shared" si="1"/>
        <v>0</v>
      </c>
      <c r="K45" s="83" t="s">
        <v>541</v>
      </c>
      <c r="L45" s="53">
        <v>812.5</v>
      </c>
      <c r="M45" s="83" t="s">
        <v>542</v>
      </c>
      <c r="P45" s="42"/>
    </row>
    <row r="46" spans="1:20">
      <c r="A46" s="36"/>
      <c r="B46" s="62" t="s">
        <v>91</v>
      </c>
      <c r="C46" s="37"/>
      <c r="D46" s="51">
        <v>46036</v>
      </c>
      <c r="E46" s="49" t="s">
        <v>105</v>
      </c>
      <c r="F46" s="49" t="s">
        <v>106</v>
      </c>
      <c r="G46" s="52">
        <v>71500</v>
      </c>
      <c r="H46" s="51">
        <v>46036</v>
      </c>
      <c r="I46" s="53">
        <v>70223.210000000006</v>
      </c>
      <c r="J46" s="76">
        <f t="shared" si="1"/>
        <v>-6.3664629124104977E-12</v>
      </c>
      <c r="K46" s="83" t="s">
        <v>541</v>
      </c>
      <c r="L46" s="53">
        <v>1276.79</v>
      </c>
      <c r="M46" s="83" t="s">
        <v>542</v>
      </c>
      <c r="P46" s="42"/>
    </row>
    <row r="47" spans="1:20">
      <c r="A47" s="36"/>
      <c r="B47" s="62" t="s">
        <v>92</v>
      </c>
      <c r="C47" s="37"/>
      <c r="D47" s="51">
        <v>46036</v>
      </c>
      <c r="E47" s="49" t="s">
        <v>107</v>
      </c>
      <c r="F47" s="49" t="s">
        <v>102</v>
      </c>
      <c r="G47" s="52">
        <v>13000</v>
      </c>
      <c r="H47" s="51">
        <v>46036</v>
      </c>
      <c r="I47" s="53">
        <v>12767.86</v>
      </c>
      <c r="J47" s="76">
        <f t="shared" si="1"/>
        <v>-5.6843418860808015E-13</v>
      </c>
      <c r="K47" s="83" t="s">
        <v>541</v>
      </c>
      <c r="L47" s="53">
        <v>232.14</v>
      </c>
      <c r="M47" s="83" t="s">
        <v>542</v>
      </c>
      <c r="P47" s="42"/>
    </row>
    <row r="48" spans="1:20">
      <c r="A48" s="36"/>
      <c r="B48" s="62" t="s">
        <v>93</v>
      </c>
      <c r="C48" s="37"/>
      <c r="D48" s="51">
        <v>46036</v>
      </c>
      <c r="E48" s="49" t="s">
        <v>108</v>
      </c>
      <c r="F48" s="49" t="s">
        <v>104</v>
      </c>
      <c r="G48" s="52">
        <v>45500</v>
      </c>
      <c r="H48" s="51">
        <v>46036</v>
      </c>
      <c r="I48" s="53">
        <v>44687.5</v>
      </c>
      <c r="J48" s="76">
        <f t="shared" si="1"/>
        <v>0</v>
      </c>
      <c r="K48" s="83" t="s">
        <v>541</v>
      </c>
      <c r="L48" s="53">
        <v>812.5</v>
      </c>
      <c r="M48" s="83" t="s">
        <v>542</v>
      </c>
      <c r="P48" s="42"/>
    </row>
    <row r="49" spans="1:16">
      <c r="A49" s="36"/>
      <c r="B49" s="62" t="s">
        <v>94</v>
      </c>
      <c r="C49" s="37"/>
      <c r="D49" s="51">
        <v>46036</v>
      </c>
      <c r="E49" s="49" t="s">
        <v>109</v>
      </c>
      <c r="F49" s="49" t="s">
        <v>110</v>
      </c>
      <c r="G49" s="52">
        <v>32500</v>
      </c>
      <c r="H49" s="51">
        <v>46036</v>
      </c>
      <c r="I49" s="53">
        <v>31919.64</v>
      </c>
      <c r="J49" s="76">
        <f t="shared" si="1"/>
        <v>5.6843418860808015E-13</v>
      </c>
      <c r="K49" s="83" t="s">
        <v>541</v>
      </c>
      <c r="L49" s="53">
        <v>580.36</v>
      </c>
      <c r="M49" s="83" t="s">
        <v>542</v>
      </c>
      <c r="P49" s="42"/>
    </row>
    <row r="50" spans="1:16">
      <c r="A50" s="36"/>
      <c r="B50" s="62" t="s">
        <v>95</v>
      </c>
      <c r="C50" s="37"/>
      <c r="D50" s="51">
        <v>46036</v>
      </c>
      <c r="E50" s="49" t="s">
        <v>111</v>
      </c>
      <c r="F50" s="49" t="s">
        <v>112</v>
      </c>
      <c r="G50" s="52">
        <v>58500</v>
      </c>
      <c r="H50" s="51">
        <v>46036</v>
      </c>
      <c r="I50" s="53">
        <v>57455.360000000001</v>
      </c>
      <c r="J50" s="76">
        <f t="shared" si="1"/>
        <v>-6.8212102632969618E-13</v>
      </c>
      <c r="K50" s="83" t="s">
        <v>541</v>
      </c>
      <c r="L50" s="53">
        <v>1044.6400000000001</v>
      </c>
      <c r="M50" s="83" t="s">
        <v>542</v>
      </c>
      <c r="P50" s="42"/>
    </row>
    <row r="51" spans="1:16">
      <c r="A51" s="36"/>
      <c r="B51" s="62" t="s">
        <v>96</v>
      </c>
      <c r="C51" s="37"/>
      <c r="D51" s="51">
        <v>46036</v>
      </c>
      <c r="E51" s="49" t="s">
        <v>113</v>
      </c>
      <c r="F51" s="49" t="s">
        <v>11</v>
      </c>
      <c r="G51" s="52">
        <v>36000</v>
      </c>
      <c r="H51" s="51">
        <v>46036</v>
      </c>
      <c r="I51" s="53">
        <v>35357.14</v>
      </c>
      <c r="J51" s="76">
        <f t="shared" si="1"/>
        <v>5.6843418860808015E-13</v>
      </c>
      <c r="K51" s="83" t="s">
        <v>541</v>
      </c>
      <c r="L51" s="53">
        <v>642.86</v>
      </c>
      <c r="M51" s="83" t="s">
        <v>542</v>
      </c>
      <c r="P51" s="42"/>
    </row>
    <row r="52" spans="1:16">
      <c r="A52" s="36"/>
      <c r="B52" s="62" t="s">
        <v>97</v>
      </c>
      <c r="C52" s="37"/>
      <c r="D52" s="51">
        <v>46050</v>
      </c>
      <c r="E52" s="49" t="s">
        <v>171</v>
      </c>
      <c r="F52" s="49" t="s">
        <v>10</v>
      </c>
      <c r="G52" s="52">
        <v>1500</v>
      </c>
      <c r="H52" s="51">
        <v>46050</v>
      </c>
      <c r="I52" s="53">
        <v>1500</v>
      </c>
      <c r="J52" s="76">
        <f t="shared" si="1"/>
        <v>0</v>
      </c>
      <c r="K52" s="83" t="s">
        <v>541</v>
      </c>
      <c r="L52" s="53"/>
      <c r="M52" s="83" t="s">
        <v>539</v>
      </c>
      <c r="P52" s="42"/>
    </row>
    <row r="53" spans="1:16">
      <c r="A53" s="36"/>
      <c r="B53" s="62" t="s">
        <v>98</v>
      </c>
      <c r="C53" s="37"/>
      <c r="D53" s="51">
        <v>46038</v>
      </c>
      <c r="E53" s="49" t="s">
        <v>114</v>
      </c>
      <c r="F53" s="49" t="s">
        <v>11</v>
      </c>
      <c r="G53" s="52">
        <v>10000</v>
      </c>
      <c r="H53" s="51">
        <v>46036</v>
      </c>
      <c r="I53" s="53">
        <v>9821.43</v>
      </c>
      <c r="J53" s="76">
        <f t="shared" si="1"/>
        <v>-2.8421709430404007E-13</v>
      </c>
      <c r="K53" s="83" t="s">
        <v>541</v>
      </c>
      <c r="L53" s="53">
        <v>178.57</v>
      </c>
      <c r="M53" s="83" t="s">
        <v>542</v>
      </c>
      <c r="P53" s="42"/>
    </row>
    <row r="54" spans="1:16">
      <c r="A54" s="36"/>
      <c r="B54" s="62" t="s">
        <v>115</v>
      </c>
      <c r="C54" s="37"/>
      <c r="D54" s="51">
        <v>46038</v>
      </c>
      <c r="E54" s="49" t="s">
        <v>119</v>
      </c>
      <c r="F54" s="49" t="s">
        <v>11</v>
      </c>
      <c r="G54" s="52">
        <v>10000</v>
      </c>
      <c r="H54" s="51">
        <v>46036</v>
      </c>
      <c r="I54" s="53">
        <v>9821.43</v>
      </c>
      <c r="J54" s="76">
        <f t="shared" si="1"/>
        <v>178.56999999999971</v>
      </c>
      <c r="K54" s="83" t="s">
        <v>551</v>
      </c>
      <c r="L54" s="53"/>
      <c r="M54" s="83" t="s">
        <v>538</v>
      </c>
      <c r="P54" s="42"/>
    </row>
    <row r="55" spans="1:16">
      <c r="A55" s="36"/>
      <c r="B55" s="62" t="s">
        <v>116</v>
      </c>
      <c r="C55" s="37"/>
      <c r="D55" s="51">
        <v>46038</v>
      </c>
      <c r="E55" s="49" t="s">
        <v>120</v>
      </c>
      <c r="F55" s="49" t="s">
        <v>11</v>
      </c>
      <c r="G55" s="52">
        <v>10000</v>
      </c>
      <c r="H55" s="51">
        <v>46036</v>
      </c>
      <c r="I55" s="53">
        <v>9821.43</v>
      </c>
      <c r="J55" s="76">
        <f t="shared" si="1"/>
        <v>-2.8421709430404007E-13</v>
      </c>
      <c r="K55" s="53"/>
      <c r="L55" s="53">
        <v>178.57</v>
      </c>
      <c r="M55" s="83" t="s">
        <v>542</v>
      </c>
      <c r="P55" s="42"/>
    </row>
    <row r="56" spans="1:16">
      <c r="A56" s="36"/>
      <c r="B56" s="62" t="s">
        <v>117</v>
      </c>
      <c r="C56" s="37"/>
      <c r="D56" s="51">
        <v>46038</v>
      </c>
      <c r="E56" s="49" t="s">
        <v>121</v>
      </c>
      <c r="F56" s="49" t="s">
        <v>11</v>
      </c>
      <c r="G56" s="52">
        <v>10000</v>
      </c>
      <c r="H56" s="51">
        <v>46036</v>
      </c>
      <c r="I56" s="53">
        <v>9821.43</v>
      </c>
      <c r="J56" s="76">
        <f t="shared" si="1"/>
        <v>-2.8421709430404007E-13</v>
      </c>
      <c r="K56" s="53"/>
      <c r="L56" s="53">
        <v>178.57</v>
      </c>
      <c r="M56" s="83" t="s">
        <v>542</v>
      </c>
      <c r="P56" s="42"/>
    </row>
    <row r="57" spans="1:16">
      <c r="A57" s="36"/>
      <c r="B57" s="62" t="s">
        <v>118</v>
      </c>
      <c r="C57" s="37"/>
      <c r="D57" s="51">
        <v>46042</v>
      </c>
      <c r="E57" s="49" t="s">
        <v>170</v>
      </c>
      <c r="F57" s="49" t="s">
        <v>10</v>
      </c>
      <c r="G57" s="52">
        <v>5000</v>
      </c>
      <c r="H57" s="51">
        <v>46042</v>
      </c>
      <c r="I57" s="53">
        <v>5000</v>
      </c>
      <c r="J57" s="76">
        <f t="shared" si="1"/>
        <v>0</v>
      </c>
      <c r="K57" s="53"/>
      <c r="L57" s="53"/>
      <c r="M57" s="83" t="s">
        <v>539</v>
      </c>
      <c r="P57" s="42"/>
    </row>
    <row r="58" spans="1:16">
      <c r="A58" s="36"/>
      <c r="B58" s="62" t="s">
        <v>122</v>
      </c>
      <c r="C58" s="37"/>
      <c r="D58" s="51"/>
      <c r="E58" s="49" t="s">
        <v>125</v>
      </c>
      <c r="F58" s="49"/>
      <c r="G58" s="52"/>
      <c r="H58" s="51"/>
      <c r="I58" s="53"/>
      <c r="J58" s="76">
        <f t="shared" si="1"/>
        <v>0</v>
      </c>
      <c r="K58" s="53"/>
      <c r="L58" s="53"/>
      <c r="M58" s="83" t="s">
        <v>539</v>
      </c>
      <c r="P58" s="42"/>
    </row>
    <row r="59" spans="1:16">
      <c r="A59" s="36"/>
      <c r="B59" s="62" t="s">
        <v>123</v>
      </c>
      <c r="C59" s="37"/>
      <c r="D59" s="51">
        <v>46044</v>
      </c>
      <c r="E59" s="49" t="s">
        <v>162</v>
      </c>
      <c r="F59" s="49" t="s">
        <v>163</v>
      </c>
      <c r="G59" s="52">
        <v>19000</v>
      </c>
      <c r="H59" s="51">
        <v>46044</v>
      </c>
      <c r="I59" s="53">
        <v>18678.57</v>
      </c>
      <c r="J59" s="76">
        <f t="shared" si="1"/>
        <v>2.8421709430404007E-13</v>
      </c>
      <c r="K59" s="53"/>
      <c r="L59" s="53">
        <v>321.43</v>
      </c>
      <c r="M59" s="83" t="s">
        <v>542</v>
      </c>
      <c r="P59" s="42"/>
    </row>
    <row r="60" spans="1:16">
      <c r="A60" s="36"/>
      <c r="B60" s="62" t="s">
        <v>124</v>
      </c>
      <c r="C60" s="37"/>
      <c r="D60" s="51">
        <v>46042</v>
      </c>
      <c r="E60" s="49" t="s">
        <v>126</v>
      </c>
      <c r="F60" s="49" t="s">
        <v>10</v>
      </c>
      <c r="G60" s="52">
        <v>2500</v>
      </c>
      <c r="H60" s="51">
        <v>46042</v>
      </c>
      <c r="I60" s="53">
        <v>2500</v>
      </c>
      <c r="J60" s="76">
        <f t="shared" si="1"/>
        <v>0</v>
      </c>
      <c r="K60" s="53"/>
      <c r="L60" s="53"/>
      <c r="M60" s="83" t="s">
        <v>539</v>
      </c>
      <c r="P60" s="42"/>
    </row>
    <row r="61" spans="1:16">
      <c r="A61" s="36"/>
      <c r="B61" s="62" t="s">
        <v>140</v>
      </c>
      <c r="C61" s="37"/>
      <c r="D61" s="51">
        <v>46052</v>
      </c>
      <c r="E61" s="49" t="s">
        <v>176</v>
      </c>
      <c r="F61" s="49" t="s">
        <v>11</v>
      </c>
      <c r="G61" s="52">
        <v>10000</v>
      </c>
      <c r="H61" s="51">
        <v>46052</v>
      </c>
      <c r="I61" s="53">
        <v>9821.43</v>
      </c>
      <c r="J61" s="76">
        <f t="shared" si="1"/>
        <v>178.56999999999971</v>
      </c>
      <c r="K61" s="83" t="s">
        <v>551</v>
      </c>
      <c r="L61" s="53"/>
      <c r="M61" s="83" t="s">
        <v>538</v>
      </c>
      <c r="P61" s="42"/>
    </row>
    <row r="62" spans="1:16">
      <c r="A62" s="36"/>
      <c r="B62" s="62" t="s">
        <v>141</v>
      </c>
      <c r="C62" s="37"/>
      <c r="D62" s="51">
        <v>46043</v>
      </c>
      <c r="E62" s="49" t="s">
        <v>142</v>
      </c>
      <c r="F62" s="49" t="s">
        <v>11</v>
      </c>
      <c r="G62" s="52">
        <v>17000</v>
      </c>
      <c r="H62" s="51">
        <v>46043</v>
      </c>
      <c r="I62" s="53">
        <v>17000</v>
      </c>
      <c r="J62" s="76">
        <f t="shared" si="1"/>
        <v>0</v>
      </c>
      <c r="K62" s="53"/>
      <c r="L62" s="53"/>
      <c r="M62" s="83" t="s">
        <v>539</v>
      </c>
      <c r="P62" s="42"/>
    </row>
    <row r="63" spans="1:16">
      <c r="A63" s="36"/>
      <c r="B63" s="62" t="s">
        <v>143</v>
      </c>
      <c r="C63" s="37"/>
      <c r="D63" s="51">
        <v>46043</v>
      </c>
      <c r="E63" s="49" t="s">
        <v>146</v>
      </c>
      <c r="F63" s="49" t="s">
        <v>10</v>
      </c>
      <c r="G63" s="52">
        <v>5000</v>
      </c>
      <c r="H63" s="51">
        <v>46044</v>
      </c>
      <c r="I63" s="53">
        <v>5000</v>
      </c>
      <c r="J63" s="76">
        <f t="shared" si="1"/>
        <v>0</v>
      </c>
      <c r="K63" s="53"/>
      <c r="L63" s="53"/>
      <c r="M63" s="83" t="s">
        <v>539</v>
      </c>
      <c r="P63" s="42"/>
    </row>
    <row r="64" spans="1:16">
      <c r="A64" s="36"/>
      <c r="B64" s="62" t="s">
        <v>144</v>
      </c>
      <c r="C64" s="37"/>
      <c r="D64" s="51">
        <v>46044</v>
      </c>
      <c r="E64" s="49" t="s">
        <v>147</v>
      </c>
      <c r="F64" s="49" t="s">
        <v>10</v>
      </c>
      <c r="G64" s="52">
        <v>2500</v>
      </c>
      <c r="H64" s="51">
        <v>46044</v>
      </c>
      <c r="I64" s="53">
        <v>2500</v>
      </c>
      <c r="J64" s="76">
        <f t="shared" si="1"/>
        <v>0</v>
      </c>
      <c r="K64" s="53"/>
      <c r="L64" s="53"/>
      <c r="M64" s="83" t="s">
        <v>539</v>
      </c>
      <c r="P64" s="42"/>
    </row>
    <row r="65" spans="1:16">
      <c r="A65" s="36"/>
      <c r="B65" s="62" t="s">
        <v>145</v>
      </c>
      <c r="C65" s="37"/>
      <c r="D65" s="51">
        <v>46044</v>
      </c>
      <c r="E65" s="49" t="s">
        <v>148</v>
      </c>
      <c r="F65" s="49" t="s">
        <v>149</v>
      </c>
      <c r="G65" s="52">
        <v>5000</v>
      </c>
      <c r="H65" s="51">
        <v>46044</v>
      </c>
      <c r="I65" s="53">
        <v>5000</v>
      </c>
      <c r="J65" s="76">
        <f t="shared" si="1"/>
        <v>0</v>
      </c>
      <c r="K65" s="53"/>
      <c r="L65" s="53"/>
      <c r="M65" s="83" t="s">
        <v>539</v>
      </c>
      <c r="P65" s="42"/>
    </row>
    <row r="66" spans="1:16">
      <c r="A66" s="36"/>
      <c r="B66" s="62" t="s">
        <v>150</v>
      </c>
      <c r="C66" s="37"/>
      <c r="D66" s="51">
        <v>46044</v>
      </c>
      <c r="E66" s="49" t="s">
        <v>151</v>
      </c>
      <c r="F66" s="49" t="s">
        <v>10</v>
      </c>
      <c r="G66" s="52">
        <v>1500</v>
      </c>
      <c r="H66" s="51">
        <v>46044</v>
      </c>
      <c r="I66" s="53">
        <v>1500</v>
      </c>
      <c r="J66" s="76">
        <f t="shared" si="1"/>
        <v>0</v>
      </c>
      <c r="K66" s="53"/>
      <c r="L66" s="53"/>
      <c r="M66" s="83" t="s">
        <v>539</v>
      </c>
      <c r="P66" s="42"/>
    </row>
    <row r="67" spans="1:16">
      <c r="A67" s="36"/>
      <c r="B67" s="62" t="s">
        <v>178</v>
      </c>
      <c r="C67" s="37"/>
      <c r="D67" s="38">
        <v>46052</v>
      </c>
      <c r="E67" s="36" t="s">
        <v>177</v>
      </c>
      <c r="F67" s="36" t="s">
        <v>11</v>
      </c>
      <c r="G67" s="39">
        <v>10000</v>
      </c>
      <c r="H67" s="51">
        <v>46052</v>
      </c>
      <c r="I67" s="53">
        <v>9821.43</v>
      </c>
      <c r="J67" s="76">
        <f t="shared" si="1"/>
        <v>178.56999999999971</v>
      </c>
      <c r="K67" s="83" t="s">
        <v>551</v>
      </c>
      <c r="L67" s="53"/>
      <c r="M67" s="83" t="s">
        <v>538</v>
      </c>
      <c r="P67" s="42"/>
    </row>
    <row r="68" spans="1:16">
      <c r="A68" s="36"/>
      <c r="B68" s="62" t="s">
        <v>218</v>
      </c>
      <c r="C68" s="37"/>
      <c r="D68" s="51">
        <v>46052</v>
      </c>
      <c r="E68" s="49" t="s">
        <v>221</v>
      </c>
      <c r="F68" s="49" t="s">
        <v>10</v>
      </c>
      <c r="G68" s="52">
        <v>2500</v>
      </c>
      <c r="H68" s="51">
        <v>46052</v>
      </c>
      <c r="I68" s="52">
        <v>2500</v>
      </c>
      <c r="J68" s="76">
        <f t="shared" si="1"/>
        <v>0</v>
      </c>
      <c r="K68" s="52"/>
      <c r="L68" s="53"/>
      <c r="M68" s="83" t="s">
        <v>539</v>
      </c>
      <c r="P68" s="42"/>
    </row>
    <row r="69" spans="1:16">
      <c r="A69" s="36"/>
      <c r="B69" s="62" t="s">
        <v>219</v>
      </c>
      <c r="C69" s="37"/>
      <c r="D69" s="51">
        <v>46052</v>
      </c>
      <c r="E69" s="49" t="s">
        <v>221</v>
      </c>
      <c r="F69" s="49" t="s">
        <v>10</v>
      </c>
      <c r="G69" s="52">
        <v>4000</v>
      </c>
      <c r="H69" s="51">
        <v>46052</v>
      </c>
      <c r="I69" s="52">
        <v>4000</v>
      </c>
      <c r="J69" s="76">
        <f t="shared" ref="J69:J76" si="2">SUM(G69-I69-L69)</f>
        <v>0</v>
      </c>
      <c r="K69" s="52"/>
      <c r="L69" s="53"/>
      <c r="M69" s="83" t="s">
        <v>539</v>
      </c>
      <c r="P69" s="42"/>
    </row>
    <row r="70" spans="1:16">
      <c r="A70" s="36"/>
      <c r="B70" s="62" t="s">
        <v>220</v>
      </c>
      <c r="C70" s="37"/>
      <c r="D70" s="51">
        <v>46052</v>
      </c>
      <c r="E70" s="49" t="s">
        <v>222</v>
      </c>
      <c r="F70" s="49" t="s">
        <v>10</v>
      </c>
      <c r="G70" s="52">
        <v>2000</v>
      </c>
      <c r="H70" s="51">
        <v>46052</v>
      </c>
      <c r="I70" s="52">
        <v>2000</v>
      </c>
      <c r="J70" s="76">
        <f t="shared" si="2"/>
        <v>0</v>
      </c>
      <c r="K70" s="52"/>
      <c r="L70" s="53"/>
      <c r="M70" s="83" t="s">
        <v>539</v>
      </c>
      <c r="P70" s="42"/>
    </row>
    <row r="71" spans="1:16">
      <c r="A71" s="36" t="s">
        <v>127</v>
      </c>
      <c r="B71" s="62"/>
      <c r="C71" s="37"/>
      <c r="D71" s="51">
        <v>46036</v>
      </c>
      <c r="E71" s="49" t="s">
        <v>128</v>
      </c>
      <c r="F71" s="49" t="s">
        <v>129</v>
      </c>
      <c r="G71" s="52">
        <v>1060</v>
      </c>
      <c r="H71" s="51">
        <v>46036</v>
      </c>
      <c r="I71" s="53">
        <v>1060</v>
      </c>
      <c r="J71" s="76">
        <f t="shared" si="2"/>
        <v>0</v>
      </c>
      <c r="K71" s="53"/>
      <c r="L71" s="53"/>
      <c r="M71" s="53"/>
      <c r="P71" s="42"/>
    </row>
    <row r="72" spans="1:16">
      <c r="A72" s="36" t="s">
        <v>130</v>
      </c>
      <c r="B72" s="62"/>
      <c r="C72" s="37"/>
      <c r="D72" s="51">
        <v>46043</v>
      </c>
      <c r="E72" s="49" t="s">
        <v>131</v>
      </c>
      <c r="F72" s="49" t="s">
        <v>132</v>
      </c>
      <c r="G72" s="52">
        <v>1000</v>
      </c>
      <c r="H72" s="51">
        <v>46043</v>
      </c>
      <c r="I72" s="53">
        <v>1000</v>
      </c>
      <c r="J72" s="76">
        <f t="shared" si="2"/>
        <v>0</v>
      </c>
      <c r="K72" s="53"/>
      <c r="L72" s="53"/>
      <c r="M72" s="53"/>
      <c r="P72" s="42"/>
    </row>
    <row r="73" spans="1:16">
      <c r="A73" s="36" t="s">
        <v>164</v>
      </c>
      <c r="B73" s="62"/>
      <c r="C73" s="37"/>
      <c r="D73" s="51">
        <v>46048</v>
      </c>
      <c r="E73" s="49" t="s">
        <v>167</v>
      </c>
      <c r="F73" s="49" t="s">
        <v>129</v>
      </c>
      <c r="G73" s="52">
        <v>800</v>
      </c>
      <c r="H73" s="51">
        <v>46048</v>
      </c>
      <c r="I73" s="53">
        <v>800</v>
      </c>
      <c r="J73" s="76">
        <f t="shared" si="2"/>
        <v>0</v>
      </c>
      <c r="K73" s="53"/>
      <c r="L73" s="53"/>
      <c r="M73" s="53"/>
      <c r="P73" s="42"/>
    </row>
    <row r="74" spans="1:16">
      <c r="A74" s="36" t="s">
        <v>165</v>
      </c>
      <c r="B74" s="62"/>
      <c r="C74" s="37"/>
      <c r="D74" s="51">
        <v>46048</v>
      </c>
      <c r="E74" s="49" t="s">
        <v>168</v>
      </c>
      <c r="F74" s="49" t="s">
        <v>129</v>
      </c>
      <c r="G74" s="52">
        <v>1200</v>
      </c>
      <c r="H74" s="51">
        <v>46048</v>
      </c>
      <c r="I74" s="53">
        <v>1200</v>
      </c>
      <c r="J74" s="76">
        <f t="shared" si="2"/>
        <v>0</v>
      </c>
      <c r="K74" s="53"/>
      <c r="L74" s="53"/>
      <c r="M74" s="53"/>
      <c r="P74" s="42"/>
    </row>
    <row r="75" spans="1:16">
      <c r="A75" s="36" t="s">
        <v>166</v>
      </c>
      <c r="B75" s="62"/>
      <c r="C75" s="37"/>
      <c r="D75" s="51">
        <v>46048</v>
      </c>
      <c r="E75" s="49" t="s">
        <v>169</v>
      </c>
      <c r="F75" s="49" t="s">
        <v>129</v>
      </c>
      <c r="G75" s="52">
        <v>1100</v>
      </c>
      <c r="H75" s="51">
        <v>46048</v>
      </c>
      <c r="I75" s="53">
        <v>1100</v>
      </c>
      <c r="J75" s="76">
        <f t="shared" si="2"/>
        <v>0</v>
      </c>
      <c r="K75" s="53"/>
      <c r="L75" s="53"/>
      <c r="M75" s="53"/>
      <c r="P75" s="42"/>
    </row>
    <row r="76" spans="1:16">
      <c r="A76" s="36" t="s">
        <v>179</v>
      </c>
      <c r="B76" s="66"/>
      <c r="C76" s="37"/>
      <c r="D76" s="38">
        <v>46051</v>
      </c>
      <c r="E76" s="36" t="s">
        <v>180</v>
      </c>
      <c r="F76" s="49" t="s">
        <v>129</v>
      </c>
      <c r="G76" s="39">
        <v>1264</v>
      </c>
      <c r="H76" s="51">
        <v>46051</v>
      </c>
      <c r="I76" s="53">
        <v>1264</v>
      </c>
      <c r="J76" s="76">
        <f t="shared" si="2"/>
        <v>0</v>
      </c>
      <c r="K76" s="53"/>
      <c r="L76" s="53"/>
      <c r="M76" s="53"/>
      <c r="P76" s="42"/>
    </row>
    <row r="77" spans="1:16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</row>
  </sheetData>
  <phoneticPr fontId="8" type="noConversion"/>
  <conditionalFormatting sqref="K6:K14">
    <cfRule type="cellIs" dxfId="154" priority="39" operator="equal">
      <formula>"PAID"</formula>
    </cfRule>
    <cfRule type="cellIs" dxfId="153" priority="40" operator="equal">
      <formula>"PAID"</formula>
    </cfRule>
    <cfRule type="cellIs" dxfId="152" priority="41" operator="equal">
      <formula>"PAID"</formula>
    </cfRule>
    <cfRule type="cellIs" dxfId="151" priority="42" operator="equal">
      <formula>"PAID"</formula>
    </cfRule>
  </conditionalFormatting>
  <conditionalFormatting sqref="K15">
    <cfRule type="cellIs" dxfId="150" priority="38" operator="equal">
      <formula>"CANCEL"</formula>
    </cfRule>
  </conditionalFormatting>
  <conditionalFormatting sqref="K16:K53">
    <cfRule type="cellIs" dxfId="149" priority="34" operator="equal">
      <formula>"PAID"</formula>
    </cfRule>
    <cfRule type="cellIs" dxfId="148" priority="35" operator="equal">
      <formula>"PAID"</formula>
    </cfRule>
    <cfRule type="cellIs" dxfId="147" priority="36" operator="equal">
      <formula>"PAID"</formula>
    </cfRule>
    <cfRule type="cellIs" dxfId="146" priority="37" operator="equal">
      <formula>"PAID"</formula>
    </cfRule>
  </conditionalFormatting>
  <conditionalFormatting sqref="K54">
    <cfRule type="cellIs" dxfId="145" priority="5" operator="equal">
      <formula>"PARTIAL"</formula>
    </cfRule>
    <cfRule type="cellIs" dxfId="144" priority="6" operator="equal">
      <formula>"CANCEL"</formula>
    </cfRule>
  </conditionalFormatting>
  <conditionalFormatting sqref="K61">
    <cfRule type="cellIs" dxfId="143" priority="3" operator="equal">
      <formula>"PARTIAL"</formula>
    </cfRule>
    <cfRule type="cellIs" dxfId="142" priority="4" operator="equal">
      <formula>"CANCEL"</formula>
    </cfRule>
  </conditionalFormatting>
  <conditionalFormatting sqref="K67">
    <cfRule type="cellIs" dxfId="141" priority="1" operator="equal">
      <formula>"PARTIAL"</formula>
    </cfRule>
    <cfRule type="cellIs" dxfId="140" priority="2" operator="equal">
      <formula>"CANCEL"</formula>
    </cfRule>
  </conditionalFormatting>
  <dataValidations count="3">
    <dataValidation type="list" allowBlank="1" showInputMessage="1" showErrorMessage="1" sqref="L4 M1:M1048576" xr:uid="{70A15E92-4299-419F-BA31-53B51A908592}">
      <formula1>"COMPLETE,LACKING,N/A"</formula1>
    </dataValidation>
    <dataValidation type="list" allowBlank="1" showInputMessage="1" showErrorMessage="1" sqref="K3:K4" xr:uid="{598B861D-E325-4B05-B105-AB70ECD03754}">
      <formula1>"PAID, UNPAID, CANCEL"</formula1>
    </dataValidation>
    <dataValidation type="list" allowBlank="1" showInputMessage="1" showErrorMessage="1" sqref="K61 K6:K54 K67" xr:uid="{0F0A4CB4-0D01-44BD-88A1-98DA0B14EEC6}">
      <formula1>"PAID, UNPAID, CANCEL, PARTIAL"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1B772-8521-413F-B48B-7B0A4A2A3FBE}">
  <dimension ref="A1:M84"/>
  <sheetViews>
    <sheetView view="pageBreakPreview" zoomScaleNormal="100" zoomScaleSheetLayoutView="100" workbookViewId="0">
      <pane ySplit="4" topLeftCell="A5" activePane="bottomLeft" state="frozen"/>
      <selection pane="bottomLeft" activeCell="C9" sqref="C9"/>
    </sheetView>
  </sheetViews>
  <sheetFormatPr defaultRowHeight="15"/>
  <cols>
    <col min="1" max="1" width="17.85546875" customWidth="1"/>
    <col min="2" max="2" width="11.85546875" customWidth="1"/>
    <col min="3" max="3" width="10" style="65" customWidth="1"/>
    <col min="4" max="4" width="10" customWidth="1"/>
    <col min="5" max="5" width="78.85546875" bestFit="1" customWidth="1"/>
    <col min="6" max="6" width="67.42578125" customWidth="1"/>
    <col min="7" max="7" width="15.5703125" customWidth="1"/>
    <col min="8" max="8" width="11.7109375" customWidth="1"/>
    <col min="9" max="9" width="14.140625" customWidth="1"/>
    <col min="10" max="10" width="13.140625" customWidth="1"/>
    <col min="11" max="13" width="12.7109375" customWidth="1"/>
  </cols>
  <sheetData>
    <row r="1" spans="1:13">
      <c r="A1" s="1" t="s">
        <v>531</v>
      </c>
      <c r="B1" s="1"/>
      <c r="C1" s="2"/>
      <c r="D1" s="3"/>
      <c r="E1" s="4"/>
      <c r="F1" s="5"/>
      <c r="G1" s="6"/>
      <c r="H1" s="7"/>
      <c r="I1" s="8"/>
      <c r="J1" s="9"/>
      <c r="K1" s="8"/>
      <c r="L1" s="8"/>
      <c r="M1" s="8"/>
    </row>
    <row r="2" spans="1:13" ht="15.75" thickBot="1">
      <c r="A2" s="1"/>
      <c r="B2" s="1"/>
      <c r="C2" s="2"/>
      <c r="D2" s="3"/>
      <c r="E2" s="4"/>
      <c r="F2" s="5"/>
      <c r="G2" s="6"/>
      <c r="H2" s="7"/>
      <c r="I2" s="8"/>
      <c r="J2" s="9"/>
      <c r="K2" s="8"/>
      <c r="L2" s="8"/>
      <c r="M2" s="8"/>
    </row>
    <row r="3" spans="1:13" ht="25.5">
      <c r="A3" s="19" t="s">
        <v>2</v>
      </c>
      <c r="B3" s="19" t="s">
        <v>0</v>
      </c>
      <c r="C3" s="20" t="s">
        <v>1</v>
      </c>
      <c r="D3" s="21" t="s">
        <v>2</v>
      </c>
      <c r="E3" s="22" t="s">
        <v>3</v>
      </c>
      <c r="F3" s="23" t="s">
        <v>4</v>
      </c>
      <c r="G3" s="24" t="s">
        <v>5</v>
      </c>
      <c r="H3" s="25" t="s">
        <v>532</v>
      </c>
      <c r="I3" s="26" t="s">
        <v>6</v>
      </c>
      <c r="J3" s="24" t="s">
        <v>534</v>
      </c>
      <c r="K3" s="81" t="s">
        <v>533</v>
      </c>
      <c r="L3" s="27" t="s">
        <v>540</v>
      </c>
      <c r="M3" s="27" t="s">
        <v>536</v>
      </c>
    </row>
    <row r="4" spans="1:13">
      <c r="A4" s="28"/>
      <c r="B4" s="28"/>
      <c r="C4" s="29"/>
      <c r="D4" s="30"/>
      <c r="E4" s="31"/>
      <c r="F4" s="32"/>
      <c r="G4" s="33"/>
      <c r="H4" s="34"/>
      <c r="I4" s="35"/>
      <c r="J4" s="33"/>
      <c r="K4" s="82"/>
      <c r="L4" s="77" t="s">
        <v>537</v>
      </c>
      <c r="M4" s="77" t="s">
        <v>537</v>
      </c>
    </row>
    <row r="5" spans="1:13">
      <c r="A5" s="63" t="s">
        <v>181</v>
      </c>
      <c r="B5" s="62"/>
      <c r="C5" s="37"/>
      <c r="D5" s="38"/>
      <c r="E5" s="36"/>
      <c r="F5" s="36"/>
      <c r="G5" s="39"/>
      <c r="H5" s="38"/>
      <c r="I5" s="40"/>
      <c r="J5" s="41"/>
      <c r="K5" s="40"/>
      <c r="L5" s="40"/>
      <c r="M5" s="40"/>
    </row>
    <row r="6" spans="1:13">
      <c r="A6" s="63"/>
      <c r="B6" s="62"/>
      <c r="C6" s="37" t="s">
        <v>182</v>
      </c>
      <c r="D6" s="38">
        <v>46055</v>
      </c>
      <c r="E6" s="36" t="s">
        <v>193</v>
      </c>
      <c r="F6" s="36" t="s">
        <v>194</v>
      </c>
      <c r="G6" s="39">
        <v>5000</v>
      </c>
      <c r="H6" s="38">
        <v>46055</v>
      </c>
      <c r="I6" s="40">
        <v>5000</v>
      </c>
      <c r="J6" s="41">
        <f>SUM(G6-I6-L6)</f>
        <v>0</v>
      </c>
      <c r="K6" s="83" t="s">
        <v>541</v>
      </c>
      <c r="L6" s="40"/>
      <c r="M6" s="90" t="s">
        <v>539</v>
      </c>
    </row>
    <row r="7" spans="1:13">
      <c r="A7" s="36"/>
      <c r="B7" s="62"/>
      <c r="C7" s="37" t="s">
        <v>183</v>
      </c>
      <c r="D7" s="38">
        <v>46056</v>
      </c>
      <c r="E7" s="36" t="s">
        <v>195</v>
      </c>
      <c r="F7" s="36" t="s">
        <v>196</v>
      </c>
      <c r="G7" s="39">
        <v>18900</v>
      </c>
      <c r="H7" s="51">
        <v>46056</v>
      </c>
      <c r="I7" s="53">
        <v>18900</v>
      </c>
      <c r="J7" s="41">
        <f t="shared" ref="J7:J70" si="0">SUM(G7-I7-L7)</f>
        <v>0</v>
      </c>
      <c r="K7" s="83" t="s">
        <v>541</v>
      </c>
      <c r="L7" s="53"/>
      <c r="M7" s="83" t="s">
        <v>539</v>
      </c>
    </row>
    <row r="8" spans="1:13">
      <c r="A8" s="36"/>
      <c r="B8" s="62"/>
      <c r="C8" s="37" t="s">
        <v>184</v>
      </c>
      <c r="D8" s="38">
        <v>46057</v>
      </c>
      <c r="E8" s="36" t="s">
        <v>197</v>
      </c>
      <c r="F8" s="36" t="s">
        <v>198</v>
      </c>
      <c r="G8" s="39">
        <v>20000</v>
      </c>
      <c r="H8" s="51">
        <v>46056</v>
      </c>
      <c r="I8" s="53">
        <v>20000</v>
      </c>
      <c r="J8" s="41">
        <f t="shared" si="0"/>
        <v>0</v>
      </c>
      <c r="K8" s="83" t="s">
        <v>541</v>
      </c>
      <c r="L8" s="53"/>
      <c r="M8" s="83" t="s">
        <v>539</v>
      </c>
    </row>
    <row r="9" spans="1:13">
      <c r="A9" s="36"/>
      <c r="B9" s="62"/>
      <c r="C9" s="37" t="s">
        <v>185</v>
      </c>
      <c r="D9" s="38">
        <v>46057</v>
      </c>
      <c r="E9" s="36" t="s">
        <v>199</v>
      </c>
      <c r="F9" s="36" t="s">
        <v>200</v>
      </c>
      <c r="G9" s="39">
        <v>50500</v>
      </c>
      <c r="H9" s="51">
        <v>46056</v>
      </c>
      <c r="I9" s="53">
        <v>50500</v>
      </c>
      <c r="J9" s="41">
        <f t="shared" si="0"/>
        <v>0</v>
      </c>
      <c r="K9" s="83" t="s">
        <v>541</v>
      </c>
      <c r="L9" s="53"/>
      <c r="M9" s="83" t="s">
        <v>539</v>
      </c>
    </row>
    <row r="10" spans="1:13">
      <c r="A10" s="36"/>
      <c r="B10" s="62"/>
      <c r="C10" s="37" t="s">
        <v>186</v>
      </c>
      <c r="D10" s="38">
        <v>46057</v>
      </c>
      <c r="E10" s="36" t="s">
        <v>201</v>
      </c>
      <c r="F10" s="36" t="s">
        <v>202</v>
      </c>
      <c r="G10" s="39">
        <v>1700</v>
      </c>
      <c r="H10" s="51">
        <v>46057</v>
      </c>
      <c r="I10" s="53">
        <v>1700</v>
      </c>
      <c r="J10" s="41">
        <f t="shared" si="0"/>
        <v>0</v>
      </c>
      <c r="K10" s="83" t="s">
        <v>541</v>
      </c>
      <c r="L10" s="53"/>
      <c r="M10" s="83" t="s">
        <v>539</v>
      </c>
    </row>
    <row r="11" spans="1:13">
      <c r="A11" s="36"/>
      <c r="B11" s="62"/>
      <c r="C11" s="37" t="s">
        <v>187</v>
      </c>
      <c r="D11" s="38">
        <v>46057</v>
      </c>
      <c r="E11" s="36" t="s">
        <v>203</v>
      </c>
      <c r="F11" s="36" t="s">
        <v>204</v>
      </c>
      <c r="G11" s="39">
        <v>40000</v>
      </c>
      <c r="H11" s="51">
        <v>46057</v>
      </c>
      <c r="I11" s="53">
        <v>40000</v>
      </c>
      <c r="J11" s="41">
        <f t="shared" si="0"/>
        <v>0</v>
      </c>
      <c r="K11" s="83" t="s">
        <v>541</v>
      </c>
      <c r="L11" s="53"/>
      <c r="M11" s="83" t="s">
        <v>539</v>
      </c>
    </row>
    <row r="12" spans="1:13">
      <c r="A12" s="36"/>
      <c r="B12" s="62"/>
      <c r="C12" s="37" t="s">
        <v>188</v>
      </c>
      <c r="D12" s="38">
        <v>46058</v>
      </c>
      <c r="E12" s="36" t="s">
        <v>205</v>
      </c>
      <c r="F12" s="36" t="s">
        <v>206</v>
      </c>
      <c r="G12" s="39">
        <v>53500</v>
      </c>
      <c r="H12" s="51">
        <v>46057</v>
      </c>
      <c r="I12" s="53">
        <v>53500</v>
      </c>
      <c r="J12" s="41">
        <f t="shared" si="0"/>
        <v>0</v>
      </c>
      <c r="K12" s="83" t="s">
        <v>541</v>
      </c>
      <c r="L12" s="53"/>
      <c r="M12" s="83" t="s">
        <v>539</v>
      </c>
    </row>
    <row r="13" spans="1:13">
      <c r="A13" s="36"/>
      <c r="B13" s="62"/>
      <c r="C13" s="37" t="s">
        <v>189</v>
      </c>
      <c r="D13" s="38">
        <v>46058</v>
      </c>
      <c r="E13" s="36" t="s">
        <v>207</v>
      </c>
      <c r="F13" s="36" t="s">
        <v>204</v>
      </c>
      <c r="G13" s="39">
        <v>38750</v>
      </c>
      <c r="H13" s="51">
        <v>46058</v>
      </c>
      <c r="I13" s="53">
        <v>38750</v>
      </c>
      <c r="J13" s="41">
        <f t="shared" si="0"/>
        <v>0</v>
      </c>
      <c r="K13" s="83" t="s">
        <v>541</v>
      </c>
      <c r="L13" s="53"/>
      <c r="M13" s="83" t="s">
        <v>539</v>
      </c>
    </row>
    <row r="14" spans="1:13">
      <c r="A14" s="36"/>
      <c r="B14" s="62"/>
      <c r="C14" s="37" t="s">
        <v>190</v>
      </c>
      <c r="D14" s="38">
        <v>46058</v>
      </c>
      <c r="E14" s="36" t="s">
        <v>208</v>
      </c>
      <c r="F14" s="36" t="s">
        <v>209</v>
      </c>
      <c r="G14" s="39">
        <v>1250</v>
      </c>
      <c r="H14" s="51">
        <v>46058</v>
      </c>
      <c r="I14" s="53">
        <v>1250</v>
      </c>
      <c r="J14" s="41">
        <f t="shared" si="0"/>
        <v>0</v>
      </c>
      <c r="K14" s="83" t="s">
        <v>541</v>
      </c>
      <c r="L14" s="53"/>
      <c r="M14" s="83" t="s">
        <v>539</v>
      </c>
    </row>
    <row r="15" spans="1:13">
      <c r="A15" s="36"/>
      <c r="B15" s="62"/>
      <c r="C15" s="37" t="s">
        <v>191</v>
      </c>
      <c r="D15" s="38">
        <v>46059</v>
      </c>
      <c r="E15" s="36" t="s">
        <v>210</v>
      </c>
      <c r="F15" s="36" t="s">
        <v>211</v>
      </c>
      <c r="G15" s="39">
        <v>102000</v>
      </c>
      <c r="H15" s="51">
        <v>46062</v>
      </c>
      <c r="I15" s="53">
        <v>101089.29</v>
      </c>
      <c r="J15" s="41">
        <f>SUM(G15-I15-L15)</f>
        <v>6.3664629124104977E-12</v>
      </c>
      <c r="K15" s="83" t="s">
        <v>541</v>
      </c>
      <c r="L15" s="53">
        <v>910.71</v>
      </c>
      <c r="M15" s="83" t="s">
        <v>542</v>
      </c>
    </row>
    <row r="16" spans="1:13">
      <c r="A16" s="36"/>
      <c r="B16" s="62"/>
      <c r="C16" s="37" t="s">
        <v>192</v>
      </c>
      <c r="D16" s="38">
        <v>46059</v>
      </c>
      <c r="E16" s="36" t="s">
        <v>212</v>
      </c>
      <c r="F16" s="36" t="s">
        <v>213</v>
      </c>
      <c r="G16" s="39">
        <v>26000</v>
      </c>
      <c r="H16" s="51">
        <v>46062</v>
      </c>
      <c r="I16" s="53">
        <v>25767.86</v>
      </c>
      <c r="J16" s="41">
        <f t="shared" si="0"/>
        <v>-5.6843418860808015E-13</v>
      </c>
      <c r="K16" s="83" t="s">
        <v>541</v>
      </c>
      <c r="L16" s="53">
        <v>232.14</v>
      </c>
      <c r="M16" s="83" t="s">
        <v>542</v>
      </c>
    </row>
    <row r="17" spans="1:13">
      <c r="A17" s="36"/>
      <c r="B17" s="62"/>
      <c r="C17" s="37" t="s">
        <v>214</v>
      </c>
      <c r="D17" s="38">
        <v>46059</v>
      </c>
      <c r="E17" s="36" t="s">
        <v>320</v>
      </c>
      <c r="F17" s="36" t="s">
        <v>215</v>
      </c>
      <c r="G17" s="39">
        <v>7000</v>
      </c>
      <c r="H17" s="51">
        <v>46066</v>
      </c>
      <c r="I17" s="53">
        <v>7000</v>
      </c>
      <c r="J17" s="41">
        <f t="shared" si="0"/>
        <v>0</v>
      </c>
      <c r="K17" s="83" t="s">
        <v>541</v>
      </c>
      <c r="L17" s="53"/>
      <c r="M17" s="83" t="s">
        <v>539</v>
      </c>
    </row>
    <row r="18" spans="1:13">
      <c r="A18" s="36"/>
      <c r="B18" s="62"/>
      <c r="C18" s="37" t="s">
        <v>245</v>
      </c>
      <c r="D18" s="38">
        <v>46062</v>
      </c>
      <c r="E18" s="36" t="s">
        <v>258</v>
      </c>
      <c r="F18" s="36" t="s">
        <v>200</v>
      </c>
      <c r="G18" s="39">
        <v>40000</v>
      </c>
      <c r="H18" s="51">
        <v>46062</v>
      </c>
      <c r="I18" s="53">
        <v>40000</v>
      </c>
      <c r="J18" s="41">
        <f t="shared" si="0"/>
        <v>0</v>
      </c>
      <c r="K18" s="83" t="s">
        <v>541</v>
      </c>
      <c r="L18" s="53"/>
      <c r="M18" s="83" t="s">
        <v>539</v>
      </c>
    </row>
    <row r="19" spans="1:13">
      <c r="A19" s="36"/>
      <c r="B19" s="62"/>
      <c r="C19" s="37" t="s">
        <v>246</v>
      </c>
      <c r="D19" s="38">
        <v>46062</v>
      </c>
      <c r="E19" s="36" t="s">
        <v>259</v>
      </c>
      <c r="F19" s="36" t="s">
        <v>260</v>
      </c>
      <c r="G19" s="39">
        <v>1700</v>
      </c>
      <c r="H19" s="51">
        <v>46062</v>
      </c>
      <c r="I19" s="53">
        <v>1700</v>
      </c>
      <c r="J19" s="41">
        <f t="shared" si="0"/>
        <v>0</v>
      </c>
      <c r="K19" s="83" t="s">
        <v>541</v>
      </c>
      <c r="L19" s="53"/>
      <c r="M19" s="83" t="s">
        <v>539</v>
      </c>
    </row>
    <row r="20" spans="1:13">
      <c r="A20" s="36"/>
      <c r="B20" s="62"/>
      <c r="C20" s="37" t="s">
        <v>247</v>
      </c>
      <c r="D20" s="38">
        <v>46064</v>
      </c>
      <c r="E20" s="36" t="s">
        <v>261</v>
      </c>
      <c r="F20" s="36" t="s">
        <v>73</v>
      </c>
      <c r="G20" s="39">
        <v>3450</v>
      </c>
      <c r="H20" s="51">
        <v>46064</v>
      </c>
      <c r="I20" s="53">
        <v>3450</v>
      </c>
      <c r="J20" s="41">
        <f t="shared" si="0"/>
        <v>0</v>
      </c>
      <c r="K20" s="83" t="s">
        <v>541</v>
      </c>
      <c r="L20" s="53"/>
      <c r="M20" s="83" t="s">
        <v>539</v>
      </c>
    </row>
    <row r="21" spans="1:13">
      <c r="A21" s="36"/>
      <c r="B21" s="62"/>
      <c r="C21" s="37" t="s">
        <v>248</v>
      </c>
      <c r="D21" s="38">
        <v>46066</v>
      </c>
      <c r="E21" s="36" t="s">
        <v>262</v>
      </c>
      <c r="F21" s="36" t="s">
        <v>263</v>
      </c>
      <c r="G21" s="39">
        <v>8500</v>
      </c>
      <c r="H21" s="51">
        <v>46066</v>
      </c>
      <c r="I21" s="53">
        <v>8424.11</v>
      </c>
      <c r="J21" s="41">
        <f t="shared" si="0"/>
        <v>-5.8264504332328215E-13</v>
      </c>
      <c r="K21" s="83" t="s">
        <v>541</v>
      </c>
      <c r="L21" s="53">
        <v>75.89</v>
      </c>
      <c r="M21" s="83" t="s">
        <v>542</v>
      </c>
    </row>
    <row r="22" spans="1:13">
      <c r="A22" s="36"/>
      <c r="B22" s="62"/>
      <c r="C22" s="37" t="s">
        <v>249</v>
      </c>
      <c r="D22" s="38">
        <v>46066</v>
      </c>
      <c r="E22" s="36" t="s">
        <v>262</v>
      </c>
      <c r="F22" s="36" t="s">
        <v>264</v>
      </c>
      <c r="G22" s="39">
        <v>89600</v>
      </c>
      <c r="H22" s="51">
        <v>46066</v>
      </c>
      <c r="I22" s="53">
        <v>88800</v>
      </c>
      <c r="J22" s="41">
        <f t="shared" si="0"/>
        <v>0</v>
      </c>
      <c r="K22" s="83" t="s">
        <v>541</v>
      </c>
      <c r="L22" s="53">
        <v>800</v>
      </c>
      <c r="M22" s="83" t="s">
        <v>542</v>
      </c>
    </row>
    <row r="23" spans="1:13">
      <c r="A23" s="36"/>
      <c r="B23" s="62"/>
      <c r="C23" s="37" t="s">
        <v>250</v>
      </c>
      <c r="D23" s="38">
        <v>46066</v>
      </c>
      <c r="E23" s="36" t="s">
        <v>265</v>
      </c>
      <c r="F23" s="36" t="s">
        <v>69</v>
      </c>
      <c r="G23" s="39">
        <v>30000</v>
      </c>
      <c r="H23" s="51">
        <v>46066</v>
      </c>
      <c r="I23" s="53">
        <v>29464.29</v>
      </c>
      <c r="J23" s="41">
        <f t="shared" si="0"/>
        <v>-9.0949470177292824E-13</v>
      </c>
      <c r="K23" s="83" t="s">
        <v>541</v>
      </c>
      <c r="L23" s="53">
        <v>535.71</v>
      </c>
      <c r="M23" s="83" t="s">
        <v>542</v>
      </c>
    </row>
    <row r="24" spans="1:13">
      <c r="A24" s="36"/>
      <c r="B24" s="62"/>
      <c r="C24" s="37" t="s">
        <v>251</v>
      </c>
      <c r="D24" s="38">
        <v>46066</v>
      </c>
      <c r="E24" s="36" t="s">
        <v>265</v>
      </c>
      <c r="F24" s="36" t="s">
        <v>321</v>
      </c>
      <c r="G24" s="39">
        <v>24000</v>
      </c>
      <c r="H24" s="51">
        <v>46066</v>
      </c>
      <c r="I24" s="53">
        <v>24000</v>
      </c>
      <c r="J24" s="41">
        <f t="shared" si="0"/>
        <v>0</v>
      </c>
      <c r="K24" s="83" t="s">
        <v>541</v>
      </c>
      <c r="L24" s="53"/>
      <c r="M24" s="83" t="s">
        <v>539</v>
      </c>
    </row>
    <row r="25" spans="1:13">
      <c r="A25" s="36"/>
      <c r="B25" s="62"/>
      <c r="C25" s="37" t="s">
        <v>252</v>
      </c>
      <c r="D25" s="38">
        <v>46066</v>
      </c>
      <c r="E25" s="36" t="s">
        <v>266</v>
      </c>
      <c r="F25" s="36" t="s">
        <v>267</v>
      </c>
      <c r="G25" s="39">
        <v>73500</v>
      </c>
      <c r="H25" s="51">
        <v>46066</v>
      </c>
      <c r="I25" s="53">
        <v>73500</v>
      </c>
      <c r="J25" s="41">
        <f t="shared" si="0"/>
        <v>0</v>
      </c>
      <c r="K25" s="83" t="s">
        <v>541</v>
      </c>
      <c r="L25" s="53"/>
      <c r="M25" s="83" t="s">
        <v>539</v>
      </c>
    </row>
    <row r="26" spans="1:13">
      <c r="A26" s="36"/>
      <c r="B26" s="62"/>
      <c r="C26" s="37" t="s">
        <v>253</v>
      </c>
      <c r="D26" s="38">
        <v>46066</v>
      </c>
      <c r="E26" s="36" t="s">
        <v>84</v>
      </c>
      <c r="F26" s="36" t="s">
        <v>268</v>
      </c>
      <c r="G26" s="39">
        <v>51000</v>
      </c>
      <c r="H26" s="51">
        <v>46066</v>
      </c>
      <c r="I26" s="53">
        <v>51000</v>
      </c>
      <c r="J26" s="41">
        <f t="shared" si="0"/>
        <v>0</v>
      </c>
      <c r="K26" s="83" t="s">
        <v>541</v>
      </c>
      <c r="L26" s="53"/>
      <c r="M26" s="83" t="s">
        <v>539</v>
      </c>
    </row>
    <row r="27" spans="1:13">
      <c r="A27" s="36"/>
      <c r="B27" s="62"/>
      <c r="C27" s="37" t="s">
        <v>254</v>
      </c>
      <c r="D27" s="38">
        <v>46066</v>
      </c>
      <c r="E27" s="36" t="s">
        <v>269</v>
      </c>
      <c r="F27" s="36" t="s">
        <v>32</v>
      </c>
      <c r="G27" s="39">
        <v>2500</v>
      </c>
      <c r="H27" s="51">
        <v>46066</v>
      </c>
      <c r="I27" s="53">
        <v>2500</v>
      </c>
      <c r="J27" s="41">
        <f t="shared" si="0"/>
        <v>0</v>
      </c>
      <c r="K27" s="83" t="s">
        <v>541</v>
      </c>
      <c r="L27" s="53"/>
      <c r="M27" s="83" t="s">
        <v>539</v>
      </c>
    </row>
    <row r="28" spans="1:13">
      <c r="A28" s="36"/>
      <c r="B28" s="62"/>
      <c r="C28" s="37" t="s">
        <v>255</v>
      </c>
      <c r="D28" s="38">
        <v>46066</v>
      </c>
      <c r="E28" s="36" t="s">
        <v>270</v>
      </c>
      <c r="F28" s="36" t="s">
        <v>271</v>
      </c>
      <c r="G28" s="39">
        <v>3000</v>
      </c>
      <c r="H28" s="51">
        <v>46066</v>
      </c>
      <c r="I28" s="53">
        <v>3000</v>
      </c>
      <c r="J28" s="41">
        <f t="shared" si="0"/>
        <v>0</v>
      </c>
      <c r="K28" s="83" t="s">
        <v>541</v>
      </c>
      <c r="L28" s="53"/>
      <c r="M28" s="83" t="s">
        <v>539</v>
      </c>
    </row>
    <row r="29" spans="1:13">
      <c r="A29" s="36"/>
      <c r="B29" s="62"/>
      <c r="C29" s="37" t="s">
        <v>256</v>
      </c>
      <c r="D29" s="38">
        <v>46066</v>
      </c>
      <c r="E29" s="36" t="s">
        <v>212</v>
      </c>
      <c r="F29" s="36" t="s">
        <v>34</v>
      </c>
      <c r="G29" s="39">
        <v>27500</v>
      </c>
      <c r="H29" s="51">
        <v>46066</v>
      </c>
      <c r="I29" s="53">
        <v>27254.46</v>
      </c>
      <c r="J29" s="41">
        <f t="shared" si="0"/>
        <v>8.8107299234252423E-13</v>
      </c>
      <c r="K29" s="83" t="s">
        <v>541</v>
      </c>
      <c r="L29" s="53">
        <v>245.54</v>
      </c>
      <c r="M29" s="83" t="s">
        <v>542</v>
      </c>
    </row>
    <row r="30" spans="1:13">
      <c r="A30" s="36"/>
      <c r="B30" s="62"/>
      <c r="C30" s="37" t="s">
        <v>257</v>
      </c>
      <c r="D30" s="38">
        <v>46066</v>
      </c>
      <c r="E30" s="36" t="s">
        <v>212</v>
      </c>
      <c r="F30" s="36" t="s">
        <v>34</v>
      </c>
      <c r="G30" s="39">
        <v>27500</v>
      </c>
      <c r="H30" s="51">
        <v>46066</v>
      </c>
      <c r="I30" s="53">
        <v>27254.46</v>
      </c>
      <c r="J30" s="41">
        <f t="shared" si="0"/>
        <v>8.8107299234252423E-13</v>
      </c>
      <c r="K30" s="83" t="s">
        <v>541</v>
      </c>
      <c r="L30" s="53">
        <v>245.54</v>
      </c>
      <c r="M30" s="83" t="s">
        <v>542</v>
      </c>
    </row>
    <row r="31" spans="1:13">
      <c r="A31" s="36"/>
      <c r="B31" s="62"/>
      <c r="C31" s="37" t="s">
        <v>272</v>
      </c>
      <c r="D31" s="38"/>
      <c r="E31" s="67"/>
      <c r="F31" s="36"/>
      <c r="G31" s="39"/>
      <c r="H31" s="51"/>
      <c r="I31" s="53"/>
      <c r="J31" s="41">
        <f t="shared" si="0"/>
        <v>0</v>
      </c>
      <c r="K31" s="83" t="s">
        <v>125</v>
      </c>
      <c r="L31" s="53"/>
      <c r="M31" s="53"/>
    </row>
    <row r="32" spans="1:13">
      <c r="A32" s="36"/>
      <c r="B32" s="62"/>
      <c r="C32" s="37" t="s">
        <v>273</v>
      </c>
      <c r="D32" s="38">
        <v>46069</v>
      </c>
      <c r="E32" s="36" t="s">
        <v>279</v>
      </c>
      <c r="F32" s="36" t="s">
        <v>280</v>
      </c>
      <c r="G32" s="39">
        <v>35000</v>
      </c>
      <c r="H32" s="51">
        <v>46069</v>
      </c>
      <c r="I32" s="53">
        <v>35000</v>
      </c>
      <c r="J32" s="41">
        <f t="shared" si="0"/>
        <v>0</v>
      </c>
      <c r="K32" s="83" t="s">
        <v>541</v>
      </c>
      <c r="L32" s="53"/>
      <c r="M32" s="83" t="s">
        <v>539</v>
      </c>
    </row>
    <row r="33" spans="1:13">
      <c r="A33" s="36"/>
      <c r="B33" s="62"/>
      <c r="C33" s="37" t="s">
        <v>274</v>
      </c>
      <c r="D33" s="38">
        <v>46069</v>
      </c>
      <c r="E33" s="36" t="s">
        <v>281</v>
      </c>
      <c r="F33" s="36" t="s">
        <v>200</v>
      </c>
      <c r="G33" s="39">
        <v>37000</v>
      </c>
      <c r="H33" s="51">
        <v>46069</v>
      </c>
      <c r="I33" s="53">
        <v>37000</v>
      </c>
      <c r="J33" s="41">
        <f t="shared" si="0"/>
        <v>0</v>
      </c>
      <c r="K33" s="83" t="s">
        <v>541</v>
      </c>
      <c r="L33" s="53"/>
      <c r="M33" s="83" t="s">
        <v>539</v>
      </c>
    </row>
    <row r="34" spans="1:13">
      <c r="A34" s="36"/>
      <c r="B34" s="62"/>
      <c r="C34" s="37" t="s">
        <v>275</v>
      </c>
      <c r="D34" s="38">
        <v>46069</v>
      </c>
      <c r="E34" s="36" t="s">
        <v>282</v>
      </c>
      <c r="F34" s="36" t="s">
        <v>260</v>
      </c>
      <c r="G34" s="39">
        <v>1800</v>
      </c>
      <c r="H34" s="51">
        <v>46069</v>
      </c>
      <c r="I34" s="53">
        <v>1800</v>
      </c>
      <c r="J34" s="41">
        <f t="shared" si="0"/>
        <v>0</v>
      </c>
      <c r="K34" s="83" t="s">
        <v>541</v>
      </c>
      <c r="L34" s="53"/>
      <c r="M34" s="83" t="s">
        <v>539</v>
      </c>
    </row>
    <row r="35" spans="1:13">
      <c r="A35" s="36"/>
      <c r="B35" s="62"/>
      <c r="C35" s="37" t="s">
        <v>276</v>
      </c>
      <c r="D35" s="38">
        <v>46069</v>
      </c>
      <c r="E35" s="36" t="s">
        <v>283</v>
      </c>
      <c r="F35" s="36" t="s">
        <v>32</v>
      </c>
      <c r="G35" s="39">
        <v>2500</v>
      </c>
      <c r="H35" s="51">
        <v>46069</v>
      </c>
      <c r="I35" s="53">
        <v>2500</v>
      </c>
      <c r="J35" s="41">
        <f t="shared" si="0"/>
        <v>0</v>
      </c>
      <c r="K35" s="83" t="s">
        <v>541</v>
      </c>
      <c r="L35" s="53"/>
      <c r="M35" s="83" t="s">
        <v>539</v>
      </c>
    </row>
    <row r="36" spans="1:13">
      <c r="A36" s="36"/>
      <c r="B36" s="62"/>
      <c r="C36" s="37" t="s">
        <v>277</v>
      </c>
      <c r="D36" s="38">
        <v>46071</v>
      </c>
      <c r="E36" s="36" t="s">
        <v>284</v>
      </c>
      <c r="F36" s="36" t="s">
        <v>267</v>
      </c>
      <c r="G36" s="39">
        <v>37500</v>
      </c>
      <c r="H36" s="51">
        <v>46071</v>
      </c>
      <c r="I36" s="53">
        <v>37500</v>
      </c>
      <c r="J36" s="41">
        <f t="shared" si="0"/>
        <v>0</v>
      </c>
      <c r="K36" s="83" t="s">
        <v>541</v>
      </c>
      <c r="L36" s="53"/>
      <c r="M36" s="83" t="s">
        <v>539</v>
      </c>
    </row>
    <row r="37" spans="1:13">
      <c r="A37" s="36"/>
      <c r="B37" s="62"/>
      <c r="C37" s="37" t="s">
        <v>278</v>
      </c>
      <c r="D37" s="38">
        <v>46072</v>
      </c>
      <c r="E37" s="36" t="s">
        <v>302</v>
      </c>
      <c r="F37" s="36" t="s">
        <v>303</v>
      </c>
      <c r="G37" s="39">
        <v>37000</v>
      </c>
      <c r="H37" s="51">
        <v>46072</v>
      </c>
      <c r="I37" s="53">
        <v>37000</v>
      </c>
      <c r="J37" s="41">
        <f t="shared" si="0"/>
        <v>0</v>
      </c>
      <c r="K37" s="83" t="s">
        <v>541</v>
      </c>
      <c r="L37" s="53"/>
      <c r="M37" s="83" t="s">
        <v>539</v>
      </c>
    </row>
    <row r="38" spans="1:13">
      <c r="A38" s="36"/>
      <c r="B38" s="62"/>
      <c r="C38" s="37" t="s">
        <v>285</v>
      </c>
      <c r="D38" s="38">
        <v>46073</v>
      </c>
      <c r="E38" s="36" t="s">
        <v>319</v>
      </c>
      <c r="F38" s="36" t="s">
        <v>204</v>
      </c>
      <c r="G38" s="39">
        <v>48300</v>
      </c>
      <c r="H38" s="51">
        <v>46073</v>
      </c>
      <c r="I38" s="53">
        <v>48300</v>
      </c>
      <c r="J38" s="41">
        <f t="shared" si="0"/>
        <v>0</v>
      </c>
      <c r="K38" s="83" t="s">
        <v>541</v>
      </c>
      <c r="L38" s="53"/>
      <c r="M38" s="83" t="s">
        <v>539</v>
      </c>
    </row>
    <row r="39" spans="1:13">
      <c r="A39" s="36"/>
      <c r="B39" s="62"/>
      <c r="C39" s="37" t="s">
        <v>286</v>
      </c>
      <c r="D39" s="38">
        <v>46073</v>
      </c>
      <c r="E39" s="36" t="s">
        <v>322</v>
      </c>
      <c r="F39" s="36" t="s">
        <v>303</v>
      </c>
      <c r="G39" s="39">
        <v>36000</v>
      </c>
      <c r="H39" s="51">
        <v>46073</v>
      </c>
      <c r="I39" s="53">
        <v>35678.58</v>
      </c>
      <c r="J39" s="41">
        <f t="shared" si="0"/>
        <v>321.41999999999825</v>
      </c>
      <c r="K39" s="83" t="s">
        <v>551</v>
      </c>
      <c r="L39" s="53"/>
      <c r="M39" s="83" t="s">
        <v>538</v>
      </c>
    </row>
    <row r="40" spans="1:13">
      <c r="A40" s="36"/>
      <c r="B40" s="62"/>
      <c r="C40" s="37" t="s">
        <v>287</v>
      </c>
      <c r="D40" s="38">
        <v>46073</v>
      </c>
      <c r="E40" s="36" t="s">
        <v>323</v>
      </c>
      <c r="F40" s="36" t="s">
        <v>324</v>
      </c>
      <c r="G40" s="39">
        <v>3500</v>
      </c>
      <c r="H40" s="51">
        <v>46073</v>
      </c>
      <c r="I40" s="53">
        <v>3500</v>
      </c>
      <c r="J40" s="41">
        <f t="shared" si="0"/>
        <v>0</v>
      </c>
      <c r="K40" s="83" t="s">
        <v>541</v>
      </c>
      <c r="L40" s="53"/>
      <c r="M40" s="83" t="s">
        <v>539</v>
      </c>
    </row>
    <row r="41" spans="1:13">
      <c r="A41" s="36"/>
      <c r="B41" s="62"/>
      <c r="C41" s="37" t="s">
        <v>288</v>
      </c>
      <c r="D41" s="38">
        <v>46076</v>
      </c>
      <c r="E41" s="36" t="s">
        <v>333</v>
      </c>
      <c r="F41" s="36" t="s">
        <v>331</v>
      </c>
      <c r="G41" s="39">
        <v>124500</v>
      </c>
      <c r="H41" s="51">
        <v>46076</v>
      </c>
      <c r="I41" s="53">
        <v>124500</v>
      </c>
      <c r="J41" s="41">
        <f t="shared" si="0"/>
        <v>0</v>
      </c>
      <c r="K41" s="83" t="s">
        <v>541</v>
      </c>
      <c r="L41" s="53"/>
      <c r="M41" s="83" t="s">
        <v>539</v>
      </c>
    </row>
    <row r="42" spans="1:13">
      <c r="A42" s="36"/>
      <c r="B42" s="62"/>
      <c r="C42" s="37" t="s">
        <v>289</v>
      </c>
      <c r="D42" s="38">
        <v>46076</v>
      </c>
      <c r="E42" s="36" t="s">
        <v>332</v>
      </c>
      <c r="F42" s="36" t="s">
        <v>331</v>
      </c>
      <c r="G42" s="39">
        <v>167500</v>
      </c>
      <c r="H42" s="51">
        <v>46076</v>
      </c>
      <c r="I42" s="53">
        <v>167500</v>
      </c>
      <c r="J42" s="41">
        <f t="shared" si="0"/>
        <v>0</v>
      </c>
      <c r="K42" s="83" t="s">
        <v>541</v>
      </c>
      <c r="L42" s="53"/>
      <c r="M42" s="83" t="s">
        <v>539</v>
      </c>
    </row>
    <row r="43" spans="1:13">
      <c r="A43" s="36"/>
      <c r="B43" s="62"/>
      <c r="C43" s="37" t="s">
        <v>290</v>
      </c>
      <c r="D43" s="38">
        <v>46077</v>
      </c>
      <c r="E43" s="36" t="s">
        <v>334</v>
      </c>
      <c r="F43" s="36" t="s">
        <v>335</v>
      </c>
      <c r="G43" s="39">
        <v>15000</v>
      </c>
      <c r="H43" s="38">
        <v>46077</v>
      </c>
      <c r="I43" s="40">
        <v>15000</v>
      </c>
      <c r="J43" s="41">
        <f t="shared" si="0"/>
        <v>0</v>
      </c>
      <c r="K43" s="83" t="s">
        <v>541</v>
      </c>
      <c r="L43" s="40"/>
      <c r="M43" s="83" t="s">
        <v>539</v>
      </c>
    </row>
    <row r="44" spans="1:13">
      <c r="A44" s="68"/>
      <c r="B44" s="69"/>
      <c r="C44" s="70" t="s">
        <v>337</v>
      </c>
      <c r="D44" s="71">
        <v>46077</v>
      </c>
      <c r="E44" s="68" t="s">
        <v>338</v>
      </c>
      <c r="F44" s="68" t="s">
        <v>339</v>
      </c>
      <c r="G44" s="72">
        <v>210000</v>
      </c>
      <c r="H44" s="38">
        <v>46077</v>
      </c>
      <c r="I44" s="40">
        <v>210000</v>
      </c>
      <c r="J44" s="41">
        <f t="shared" si="0"/>
        <v>0</v>
      </c>
      <c r="K44" s="83" t="s">
        <v>541</v>
      </c>
      <c r="L44" s="40"/>
      <c r="M44" s="83" t="s">
        <v>539</v>
      </c>
    </row>
    <row r="45" spans="1:13">
      <c r="A45" s="36"/>
      <c r="B45" s="62"/>
      <c r="C45" s="37" t="s">
        <v>350</v>
      </c>
      <c r="D45" s="71">
        <v>46078</v>
      </c>
      <c r="E45" s="68" t="s">
        <v>352</v>
      </c>
      <c r="F45" s="68" t="s">
        <v>353</v>
      </c>
      <c r="G45" s="72">
        <v>10500</v>
      </c>
      <c r="H45" s="38">
        <v>46078</v>
      </c>
      <c r="I45" s="40">
        <v>10406.25</v>
      </c>
      <c r="J45" s="41">
        <f t="shared" si="0"/>
        <v>0</v>
      </c>
      <c r="K45" s="83" t="s">
        <v>541</v>
      </c>
      <c r="L45" s="40">
        <v>93.75</v>
      </c>
      <c r="M45" s="90" t="s">
        <v>542</v>
      </c>
    </row>
    <row r="46" spans="1:13">
      <c r="A46" s="36"/>
      <c r="B46" s="62"/>
      <c r="C46" s="37" t="s">
        <v>351</v>
      </c>
      <c r="D46" s="38">
        <v>46078</v>
      </c>
      <c r="E46" s="36" t="s">
        <v>354</v>
      </c>
      <c r="F46" s="36" t="s">
        <v>355</v>
      </c>
      <c r="G46" s="39">
        <v>35500</v>
      </c>
      <c r="H46" s="38">
        <v>46078</v>
      </c>
      <c r="I46" s="40">
        <v>35500</v>
      </c>
      <c r="J46" s="41">
        <f t="shared" si="0"/>
        <v>0</v>
      </c>
      <c r="K46" s="83" t="s">
        <v>541</v>
      </c>
      <c r="L46" s="40"/>
      <c r="M46" s="83" t="s">
        <v>539</v>
      </c>
    </row>
    <row r="47" spans="1:13">
      <c r="A47" s="36"/>
      <c r="B47" s="62"/>
      <c r="C47" s="37" t="s">
        <v>358</v>
      </c>
      <c r="D47" s="38">
        <v>46080</v>
      </c>
      <c r="E47" s="36" t="s">
        <v>359</v>
      </c>
      <c r="F47" s="36" t="s">
        <v>360</v>
      </c>
      <c r="G47" s="39">
        <v>19500</v>
      </c>
      <c r="H47" s="38">
        <v>46080</v>
      </c>
      <c r="I47" s="40">
        <v>19500</v>
      </c>
      <c r="J47" s="41">
        <f t="shared" si="0"/>
        <v>0</v>
      </c>
      <c r="K47" s="83" t="s">
        <v>541</v>
      </c>
      <c r="L47" s="40"/>
      <c r="M47" s="83" t="s">
        <v>539</v>
      </c>
    </row>
    <row r="48" spans="1:13">
      <c r="A48" s="36"/>
      <c r="B48" s="62" t="s">
        <v>216</v>
      </c>
      <c r="C48" s="37"/>
      <c r="D48" s="38">
        <v>46056</v>
      </c>
      <c r="E48" s="36" t="s">
        <v>230</v>
      </c>
      <c r="F48" s="36" t="s">
        <v>10</v>
      </c>
      <c r="G48" s="39">
        <v>2000</v>
      </c>
      <c r="H48" s="38">
        <v>46056</v>
      </c>
      <c r="I48" s="40">
        <v>2000</v>
      </c>
      <c r="J48" s="41">
        <f t="shared" si="0"/>
        <v>0</v>
      </c>
      <c r="K48" s="83" t="s">
        <v>541</v>
      </c>
      <c r="L48" s="40"/>
      <c r="M48" s="83" t="s">
        <v>539</v>
      </c>
    </row>
    <row r="49" spans="1:13">
      <c r="A49" s="36"/>
      <c r="B49" s="62" t="s">
        <v>217</v>
      </c>
      <c r="C49" s="37"/>
      <c r="D49" s="38">
        <v>46056</v>
      </c>
      <c r="E49" s="36" t="s">
        <v>241</v>
      </c>
      <c r="F49" s="36" t="s">
        <v>10</v>
      </c>
      <c r="G49" s="39">
        <v>2000</v>
      </c>
      <c r="H49" s="38">
        <v>46056</v>
      </c>
      <c r="I49" s="40">
        <v>2000</v>
      </c>
      <c r="J49" s="41">
        <f t="shared" si="0"/>
        <v>0</v>
      </c>
      <c r="K49" s="83" t="s">
        <v>541</v>
      </c>
      <c r="L49" s="40"/>
      <c r="M49" s="83" t="s">
        <v>539</v>
      </c>
    </row>
    <row r="50" spans="1:13">
      <c r="A50" s="36"/>
      <c r="B50" s="62" t="s">
        <v>223</v>
      </c>
      <c r="C50" s="37"/>
      <c r="D50" s="38">
        <v>46057</v>
      </c>
      <c r="E50" s="36" t="s">
        <v>231</v>
      </c>
      <c r="F50" s="36" t="s">
        <v>10</v>
      </c>
      <c r="G50" s="39">
        <v>4000</v>
      </c>
      <c r="H50" s="38">
        <v>46057</v>
      </c>
      <c r="I50" s="40">
        <v>4000</v>
      </c>
      <c r="J50" s="41">
        <f t="shared" si="0"/>
        <v>0</v>
      </c>
      <c r="K50" s="83" t="s">
        <v>541</v>
      </c>
      <c r="L50" s="40"/>
      <c r="M50" s="83" t="s">
        <v>539</v>
      </c>
    </row>
    <row r="51" spans="1:13">
      <c r="A51" s="36"/>
      <c r="B51" s="62" t="s">
        <v>224</v>
      </c>
      <c r="C51" s="37"/>
      <c r="D51" s="38">
        <v>46059</v>
      </c>
      <c r="E51" s="36" t="s">
        <v>232</v>
      </c>
      <c r="F51" s="36" t="s">
        <v>10</v>
      </c>
      <c r="G51" s="39">
        <v>1000</v>
      </c>
      <c r="H51" s="38">
        <v>46059</v>
      </c>
      <c r="I51" s="40">
        <v>1000</v>
      </c>
      <c r="J51" s="41">
        <f t="shared" si="0"/>
        <v>0</v>
      </c>
      <c r="K51" s="83" t="s">
        <v>541</v>
      </c>
      <c r="L51" s="40"/>
      <c r="M51" s="83" t="s">
        <v>539</v>
      </c>
    </row>
    <row r="52" spans="1:13">
      <c r="A52" s="36"/>
      <c r="B52" s="62" t="s">
        <v>225</v>
      </c>
      <c r="C52" s="37"/>
      <c r="D52" s="38">
        <v>46059</v>
      </c>
      <c r="E52" s="36" t="s">
        <v>242</v>
      </c>
      <c r="F52" s="36" t="s">
        <v>10</v>
      </c>
      <c r="G52" s="39">
        <v>4500</v>
      </c>
      <c r="H52" s="51">
        <v>46028</v>
      </c>
      <c r="I52" s="53">
        <v>4500</v>
      </c>
      <c r="J52" s="41">
        <f t="shared" si="0"/>
        <v>0</v>
      </c>
      <c r="K52" s="83" t="s">
        <v>541</v>
      </c>
      <c r="L52" s="53"/>
      <c r="M52" s="83" t="s">
        <v>539</v>
      </c>
    </row>
    <row r="53" spans="1:13">
      <c r="A53" s="36"/>
      <c r="B53" s="62" t="s">
        <v>226</v>
      </c>
      <c r="C53" s="37"/>
      <c r="D53" s="38">
        <v>46059</v>
      </c>
      <c r="E53" s="36" t="s">
        <v>12</v>
      </c>
      <c r="F53" s="36" t="s">
        <v>11</v>
      </c>
      <c r="G53" s="39">
        <v>21666.67</v>
      </c>
      <c r="H53" s="51">
        <v>46059</v>
      </c>
      <c r="I53" s="53">
        <v>21279.78</v>
      </c>
      <c r="J53" s="41">
        <f t="shared" si="0"/>
        <v>386.88999999999942</v>
      </c>
      <c r="K53" s="83" t="s">
        <v>551</v>
      </c>
      <c r="L53" s="53"/>
      <c r="M53" s="83" t="s">
        <v>538</v>
      </c>
    </row>
    <row r="54" spans="1:13">
      <c r="A54" s="36"/>
      <c r="B54" s="62" t="s">
        <v>227</v>
      </c>
      <c r="C54" s="37"/>
      <c r="D54" s="38">
        <v>46059</v>
      </c>
      <c r="E54" s="36" t="s">
        <v>243</v>
      </c>
      <c r="F54" s="36" t="s">
        <v>11</v>
      </c>
      <c r="G54" s="39">
        <v>10000</v>
      </c>
      <c r="H54" s="51">
        <v>46059</v>
      </c>
      <c r="I54" s="53">
        <v>9821.43</v>
      </c>
      <c r="J54" s="41">
        <f t="shared" si="0"/>
        <v>178.56999999999971</v>
      </c>
      <c r="K54" s="83" t="s">
        <v>551</v>
      </c>
      <c r="L54" s="53"/>
      <c r="M54" s="83" t="s">
        <v>538</v>
      </c>
    </row>
    <row r="55" spans="1:13">
      <c r="A55" s="36"/>
      <c r="B55" s="62" t="s">
        <v>228</v>
      </c>
      <c r="C55" s="37"/>
      <c r="D55" s="38">
        <v>46063</v>
      </c>
      <c r="E55" s="36" t="s">
        <v>244</v>
      </c>
      <c r="F55" s="36" t="s">
        <v>10</v>
      </c>
      <c r="G55" s="39">
        <v>2500</v>
      </c>
      <c r="H55" s="51">
        <v>46063</v>
      </c>
      <c r="I55" s="53">
        <v>2500</v>
      </c>
      <c r="J55" s="41">
        <f t="shared" si="0"/>
        <v>0</v>
      </c>
      <c r="K55" s="83" t="s">
        <v>541</v>
      </c>
      <c r="L55" s="53"/>
      <c r="M55" s="83" t="s">
        <v>539</v>
      </c>
    </row>
    <row r="56" spans="1:13">
      <c r="A56" s="36"/>
      <c r="B56" s="62" t="s">
        <v>229</v>
      </c>
      <c r="C56" s="37"/>
      <c r="D56" s="38">
        <v>46066</v>
      </c>
      <c r="E56" s="36" t="s">
        <v>299</v>
      </c>
      <c r="F56" s="36" t="s">
        <v>11</v>
      </c>
      <c r="G56" s="39">
        <v>6500</v>
      </c>
      <c r="H56" s="51">
        <v>46066</v>
      </c>
      <c r="I56" s="53">
        <v>6383.93</v>
      </c>
      <c r="J56" s="41">
        <f t="shared" si="0"/>
        <v>-2.8421709430404007E-13</v>
      </c>
      <c r="K56" s="83" t="s">
        <v>541</v>
      </c>
      <c r="L56" s="53">
        <v>116.07</v>
      </c>
      <c r="M56" s="90" t="s">
        <v>542</v>
      </c>
    </row>
    <row r="57" spans="1:13">
      <c r="A57" s="36"/>
      <c r="B57" s="62" t="s">
        <v>291</v>
      </c>
      <c r="C57" s="37"/>
      <c r="D57" s="38">
        <v>46066</v>
      </c>
      <c r="E57" s="36" t="s">
        <v>300</v>
      </c>
      <c r="F57" s="36" t="s">
        <v>102</v>
      </c>
      <c r="G57" s="39">
        <v>13000</v>
      </c>
      <c r="H57" s="51">
        <v>46066</v>
      </c>
      <c r="I57" s="53">
        <v>12767.86</v>
      </c>
      <c r="J57" s="41">
        <f t="shared" si="0"/>
        <v>-5.6843418860808015E-13</v>
      </c>
      <c r="K57" s="83" t="s">
        <v>541</v>
      </c>
      <c r="L57" s="53">
        <v>232.14</v>
      </c>
      <c r="M57" s="90" t="s">
        <v>542</v>
      </c>
    </row>
    <row r="58" spans="1:13">
      <c r="A58" s="36"/>
      <c r="B58" s="62" t="s">
        <v>292</v>
      </c>
      <c r="C58" s="37"/>
      <c r="D58" s="38">
        <v>46066</v>
      </c>
      <c r="E58" s="36" t="s">
        <v>301</v>
      </c>
      <c r="F58" s="36" t="s">
        <v>11</v>
      </c>
      <c r="G58" s="39">
        <v>6500</v>
      </c>
      <c r="H58" s="51">
        <v>46066</v>
      </c>
      <c r="I58" s="53">
        <v>6383.93</v>
      </c>
      <c r="J58" s="41">
        <f t="shared" si="0"/>
        <v>-2.8421709430404007E-13</v>
      </c>
      <c r="K58" s="83" t="s">
        <v>541</v>
      </c>
      <c r="L58" s="53">
        <v>116.07</v>
      </c>
      <c r="M58" s="90" t="s">
        <v>542</v>
      </c>
    </row>
    <row r="59" spans="1:13">
      <c r="A59" s="36"/>
      <c r="B59" s="62" t="s">
        <v>293</v>
      </c>
      <c r="C59" s="37"/>
      <c r="D59" s="38">
        <v>46066</v>
      </c>
      <c r="E59" s="36" t="s">
        <v>304</v>
      </c>
      <c r="F59" s="36" t="s">
        <v>102</v>
      </c>
      <c r="G59" s="39">
        <v>13000</v>
      </c>
      <c r="H59" s="51">
        <v>46066</v>
      </c>
      <c r="I59" s="53">
        <v>12767.86</v>
      </c>
      <c r="J59" s="41">
        <f t="shared" si="0"/>
        <v>-5.6843418860808015E-13</v>
      </c>
      <c r="K59" s="83" t="s">
        <v>541</v>
      </c>
      <c r="L59" s="53">
        <v>232.14</v>
      </c>
      <c r="M59" s="90" t="s">
        <v>542</v>
      </c>
    </row>
    <row r="60" spans="1:13">
      <c r="A60" s="36"/>
      <c r="B60" s="62" t="s">
        <v>294</v>
      </c>
      <c r="C60" s="37"/>
      <c r="D60" s="38">
        <v>46066</v>
      </c>
      <c r="E60" s="36" t="s">
        <v>305</v>
      </c>
      <c r="F60" s="36" t="s">
        <v>11</v>
      </c>
      <c r="G60" s="39">
        <v>6500</v>
      </c>
      <c r="H60" s="51">
        <v>46066</v>
      </c>
      <c r="I60" s="53">
        <v>6383.93</v>
      </c>
      <c r="J60" s="41">
        <f t="shared" si="0"/>
        <v>-2.8421709430404007E-13</v>
      </c>
      <c r="K60" s="83" t="s">
        <v>541</v>
      </c>
      <c r="L60" s="53">
        <v>116.07</v>
      </c>
      <c r="M60" s="90" t="s">
        <v>542</v>
      </c>
    </row>
    <row r="61" spans="1:13">
      <c r="A61" s="36"/>
      <c r="B61" s="62" t="s">
        <v>295</v>
      </c>
      <c r="C61" s="37"/>
      <c r="D61" s="38">
        <v>46066</v>
      </c>
      <c r="E61" s="36" t="s">
        <v>306</v>
      </c>
      <c r="F61" s="36" t="s">
        <v>11</v>
      </c>
      <c r="G61" s="39">
        <v>7500</v>
      </c>
      <c r="H61" s="51">
        <v>46066</v>
      </c>
      <c r="I61" s="53">
        <v>7500</v>
      </c>
      <c r="J61" s="41">
        <f t="shared" si="0"/>
        <v>0</v>
      </c>
      <c r="K61" s="83" t="s">
        <v>541</v>
      </c>
      <c r="L61" s="53"/>
      <c r="M61" s="83" t="s">
        <v>539</v>
      </c>
    </row>
    <row r="62" spans="1:13">
      <c r="A62" s="36"/>
      <c r="B62" s="62" t="s">
        <v>296</v>
      </c>
      <c r="C62" s="37"/>
      <c r="D62" s="38">
        <v>46064</v>
      </c>
      <c r="E62" s="36" t="s">
        <v>307</v>
      </c>
      <c r="F62" s="36" t="s">
        <v>10</v>
      </c>
      <c r="G62" s="39">
        <v>5000</v>
      </c>
      <c r="H62" s="51">
        <v>46064</v>
      </c>
      <c r="I62" s="53">
        <v>5000</v>
      </c>
      <c r="J62" s="41">
        <f t="shared" si="0"/>
        <v>0</v>
      </c>
      <c r="K62" s="83" t="s">
        <v>541</v>
      </c>
      <c r="L62" s="53"/>
      <c r="M62" s="83" t="s">
        <v>539</v>
      </c>
    </row>
    <row r="63" spans="1:13">
      <c r="A63" s="36"/>
      <c r="B63" s="62" t="s">
        <v>297</v>
      </c>
      <c r="C63" s="37"/>
      <c r="D63" s="38">
        <v>46069</v>
      </c>
      <c r="E63" s="36" t="s">
        <v>308</v>
      </c>
      <c r="F63" s="36" t="s">
        <v>309</v>
      </c>
      <c r="G63" s="39">
        <v>5500</v>
      </c>
      <c r="H63" s="51">
        <v>46069</v>
      </c>
      <c r="I63" s="53">
        <v>5500</v>
      </c>
      <c r="J63" s="41">
        <f t="shared" si="0"/>
        <v>0</v>
      </c>
      <c r="K63" s="83" t="s">
        <v>541</v>
      </c>
      <c r="L63" s="53"/>
      <c r="M63" s="83" t="s">
        <v>539</v>
      </c>
    </row>
    <row r="64" spans="1:13">
      <c r="A64" s="36"/>
      <c r="B64" s="62" t="s">
        <v>298</v>
      </c>
      <c r="C64" s="37"/>
      <c r="D64" s="38">
        <v>46073</v>
      </c>
      <c r="E64" s="36" t="s">
        <v>282</v>
      </c>
      <c r="F64" s="36" t="s">
        <v>10</v>
      </c>
      <c r="G64" s="39">
        <v>1500</v>
      </c>
      <c r="H64" s="51">
        <v>46073</v>
      </c>
      <c r="I64" s="53">
        <v>1500</v>
      </c>
      <c r="J64" s="41">
        <f t="shared" si="0"/>
        <v>0</v>
      </c>
      <c r="K64" s="83" t="s">
        <v>541</v>
      </c>
      <c r="L64" s="53"/>
      <c r="M64" s="83" t="s">
        <v>539</v>
      </c>
    </row>
    <row r="65" spans="1:13">
      <c r="A65" s="36"/>
      <c r="B65" s="62" t="s">
        <v>325</v>
      </c>
      <c r="C65" s="37"/>
      <c r="D65" s="38">
        <v>46073</v>
      </c>
      <c r="E65" s="36" t="s">
        <v>322</v>
      </c>
      <c r="F65" s="36" t="s">
        <v>330</v>
      </c>
      <c r="G65" s="39">
        <v>48000</v>
      </c>
      <c r="H65" s="51">
        <v>46073</v>
      </c>
      <c r="I65" s="53">
        <v>47142.86</v>
      </c>
      <c r="J65" s="41">
        <f t="shared" si="0"/>
        <v>857.13999999999942</v>
      </c>
      <c r="K65" s="83" t="s">
        <v>551</v>
      </c>
      <c r="L65" s="53"/>
      <c r="M65" s="83" t="s">
        <v>538</v>
      </c>
    </row>
    <row r="66" spans="1:13">
      <c r="A66" s="36"/>
      <c r="B66" s="62" t="s">
        <v>326</v>
      </c>
      <c r="C66" s="37"/>
      <c r="D66" s="38">
        <v>46079</v>
      </c>
      <c r="E66" s="36" t="s">
        <v>343</v>
      </c>
      <c r="F66" s="36" t="s">
        <v>11</v>
      </c>
      <c r="G66" s="39">
        <v>8000</v>
      </c>
      <c r="H66" s="51">
        <v>46079</v>
      </c>
      <c r="I66" s="53">
        <v>7857.14</v>
      </c>
      <c r="J66" s="41">
        <f t="shared" si="0"/>
        <v>-3.4106051316484809E-13</v>
      </c>
      <c r="K66" s="83" t="s">
        <v>541</v>
      </c>
      <c r="L66" s="53">
        <v>142.86000000000001</v>
      </c>
      <c r="M66" s="90" t="s">
        <v>542</v>
      </c>
    </row>
    <row r="67" spans="1:13">
      <c r="A67" s="36"/>
      <c r="B67" s="62" t="s">
        <v>327</v>
      </c>
      <c r="C67" s="37"/>
      <c r="D67" s="38">
        <v>46079</v>
      </c>
      <c r="E67" s="36" t="s">
        <v>344</v>
      </c>
      <c r="F67" s="36" t="s">
        <v>11</v>
      </c>
      <c r="G67" s="39">
        <v>8000</v>
      </c>
      <c r="H67" s="51">
        <v>46079</v>
      </c>
      <c r="I67" s="53">
        <v>7857.14</v>
      </c>
      <c r="J67" s="41">
        <f t="shared" si="0"/>
        <v>-3.4106051316484809E-13</v>
      </c>
      <c r="K67" s="83" t="s">
        <v>541</v>
      </c>
      <c r="L67" s="53">
        <v>142.86000000000001</v>
      </c>
      <c r="M67" s="90" t="s">
        <v>542</v>
      </c>
    </row>
    <row r="68" spans="1:13">
      <c r="A68" s="36"/>
      <c r="B68" s="62" t="s">
        <v>328</v>
      </c>
      <c r="C68" s="37"/>
      <c r="D68" s="38">
        <v>46079</v>
      </c>
      <c r="E68" s="36" t="s">
        <v>345</v>
      </c>
      <c r="F68" s="36" t="s">
        <v>11</v>
      </c>
      <c r="G68" s="39">
        <v>8000</v>
      </c>
      <c r="H68" s="51">
        <v>46079</v>
      </c>
      <c r="I68" s="53">
        <v>7857.14</v>
      </c>
      <c r="J68" s="41">
        <f t="shared" si="0"/>
        <v>-3.4106051316484809E-13</v>
      </c>
      <c r="K68" s="83" t="s">
        <v>541</v>
      </c>
      <c r="L68" s="53">
        <v>142.86000000000001</v>
      </c>
      <c r="M68" s="90" t="s">
        <v>542</v>
      </c>
    </row>
    <row r="69" spans="1:13">
      <c r="A69" s="36"/>
      <c r="B69" s="62" t="s">
        <v>329</v>
      </c>
      <c r="C69" s="37"/>
      <c r="D69" s="38">
        <v>46079</v>
      </c>
      <c r="E69" s="36" t="s">
        <v>346</v>
      </c>
      <c r="F69" s="36" t="s">
        <v>11</v>
      </c>
      <c r="G69" s="39">
        <v>8000</v>
      </c>
      <c r="H69" s="51">
        <v>46079</v>
      </c>
      <c r="I69" s="53">
        <v>7857.14</v>
      </c>
      <c r="J69" s="41">
        <f t="shared" si="0"/>
        <v>-3.4106051316484809E-13</v>
      </c>
      <c r="K69" s="83" t="s">
        <v>541</v>
      </c>
      <c r="L69" s="53">
        <v>142.86000000000001</v>
      </c>
      <c r="M69" s="90" t="s">
        <v>542</v>
      </c>
    </row>
    <row r="70" spans="1:13">
      <c r="A70" s="36"/>
      <c r="B70" s="62" t="s">
        <v>340</v>
      </c>
      <c r="C70" s="37"/>
      <c r="D70" s="38">
        <v>46079</v>
      </c>
      <c r="E70" s="36" t="s">
        <v>347</v>
      </c>
      <c r="F70" s="36" t="s">
        <v>11</v>
      </c>
      <c r="G70" s="39">
        <v>8000</v>
      </c>
      <c r="H70" s="51">
        <v>46079</v>
      </c>
      <c r="I70" s="53">
        <v>7857.14</v>
      </c>
      <c r="J70" s="41">
        <f t="shared" si="0"/>
        <v>-3.4106051316484809E-13</v>
      </c>
      <c r="K70" s="83" t="s">
        <v>541</v>
      </c>
      <c r="L70" s="53">
        <v>142.86000000000001</v>
      </c>
      <c r="M70" s="90" t="s">
        <v>542</v>
      </c>
    </row>
    <row r="71" spans="1:13">
      <c r="A71" s="36"/>
      <c r="B71" s="62" t="s">
        <v>341</v>
      </c>
      <c r="C71" s="37"/>
      <c r="D71" s="38">
        <v>46079</v>
      </c>
      <c r="E71" s="36" t="s">
        <v>348</v>
      </c>
      <c r="F71" s="36" t="s">
        <v>11</v>
      </c>
      <c r="G71" s="39">
        <v>8000</v>
      </c>
      <c r="H71" s="51">
        <v>46079</v>
      </c>
      <c r="I71" s="53">
        <v>7857.14</v>
      </c>
      <c r="J71" s="41">
        <f t="shared" ref="J71:J83" si="1">SUM(G71-I71-L71)</f>
        <v>-3.4106051316484809E-13</v>
      </c>
      <c r="K71" s="83" t="s">
        <v>541</v>
      </c>
      <c r="L71" s="53">
        <v>142.86000000000001</v>
      </c>
      <c r="M71" s="90" t="s">
        <v>542</v>
      </c>
    </row>
    <row r="72" spans="1:13">
      <c r="A72" s="36"/>
      <c r="B72" s="62" t="s">
        <v>342</v>
      </c>
      <c r="C72" s="37"/>
      <c r="D72" s="38">
        <v>46079</v>
      </c>
      <c r="E72" s="36" t="s">
        <v>349</v>
      </c>
      <c r="F72" s="36" t="s">
        <v>11</v>
      </c>
      <c r="G72" s="39">
        <v>8000</v>
      </c>
      <c r="H72" s="51">
        <v>46079</v>
      </c>
      <c r="I72" s="53">
        <v>7857.14</v>
      </c>
      <c r="J72" s="41">
        <f t="shared" si="1"/>
        <v>-3.4106051316484809E-13</v>
      </c>
      <c r="K72" s="83" t="s">
        <v>541</v>
      </c>
      <c r="L72" s="53">
        <v>142.86000000000001</v>
      </c>
      <c r="M72" s="90" t="s">
        <v>542</v>
      </c>
    </row>
    <row r="73" spans="1:13">
      <c r="A73" s="36"/>
      <c r="B73" s="62" t="s">
        <v>361</v>
      </c>
      <c r="C73" s="37"/>
      <c r="D73" s="38">
        <v>46080</v>
      </c>
      <c r="E73" s="36" t="s">
        <v>363</v>
      </c>
      <c r="F73" s="36" t="s">
        <v>11</v>
      </c>
      <c r="G73" s="39">
        <v>10000</v>
      </c>
      <c r="H73" s="51">
        <v>46080</v>
      </c>
      <c r="I73" s="53">
        <v>9821.43</v>
      </c>
      <c r="J73" s="41">
        <f t="shared" si="1"/>
        <v>-2.8421709430404007E-13</v>
      </c>
      <c r="K73" s="83" t="s">
        <v>541</v>
      </c>
      <c r="L73" s="53">
        <v>178.57</v>
      </c>
      <c r="M73" s="90" t="s">
        <v>542</v>
      </c>
    </row>
    <row r="74" spans="1:13">
      <c r="A74" s="36"/>
      <c r="B74" s="62" t="s">
        <v>362</v>
      </c>
      <c r="C74" s="37"/>
      <c r="D74" s="38">
        <v>46080</v>
      </c>
      <c r="E74" s="36" t="s">
        <v>364</v>
      </c>
      <c r="F74" s="36" t="s">
        <v>365</v>
      </c>
      <c r="G74" s="39">
        <v>4500</v>
      </c>
      <c r="H74" s="51">
        <v>46080</v>
      </c>
      <c r="I74" s="53">
        <v>4500</v>
      </c>
      <c r="J74" s="41">
        <f t="shared" si="1"/>
        <v>0</v>
      </c>
      <c r="K74" s="83" t="s">
        <v>541</v>
      </c>
      <c r="L74" s="53"/>
      <c r="M74" s="83" t="s">
        <v>539</v>
      </c>
    </row>
    <row r="75" spans="1:13">
      <c r="A75" s="36" t="s">
        <v>233</v>
      </c>
      <c r="B75" s="62"/>
      <c r="C75" s="37"/>
      <c r="D75" s="38">
        <v>46059</v>
      </c>
      <c r="E75" s="36" t="s">
        <v>234</v>
      </c>
      <c r="F75" s="36" t="s">
        <v>235</v>
      </c>
      <c r="G75" s="39">
        <v>1400</v>
      </c>
      <c r="H75" s="51">
        <v>46059</v>
      </c>
      <c r="I75" s="53">
        <v>1400</v>
      </c>
      <c r="J75" s="41">
        <f t="shared" si="1"/>
        <v>0</v>
      </c>
      <c r="K75" s="83"/>
      <c r="L75" s="53"/>
      <c r="M75" s="53"/>
    </row>
    <row r="76" spans="1:13">
      <c r="A76" s="36" t="s">
        <v>236</v>
      </c>
      <c r="B76" s="62"/>
      <c r="C76" s="37"/>
      <c r="D76" s="38">
        <v>46059</v>
      </c>
      <c r="E76" s="36" t="s">
        <v>239</v>
      </c>
      <c r="F76" s="36" t="s">
        <v>235</v>
      </c>
      <c r="G76" s="39">
        <v>1850</v>
      </c>
      <c r="H76" s="51">
        <v>46059</v>
      </c>
      <c r="I76" s="53">
        <v>1850</v>
      </c>
      <c r="J76" s="41">
        <f t="shared" si="1"/>
        <v>0</v>
      </c>
      <c r="K76" s="83"/>
      <c r="L76" s="53"/>
      <c r="M76" s="53"/>
    </row>
    <row r="77" spans="1:13">
      <c r="A77" s="36" t="s">
        <v>237</v>
      </c>
      <c r="B77" s="62"/>
      <c r="C77" s="37"/>
      <c r="D77" s="38">
        <v>46059</v>
      </c>
      <c r="E77" s="36" t="s">
        <v>240</v>
      </c>
      <c r="F77" s="36" t="s">
        <v>235</v>
      </c>
      <c r="G77" s="39">
        <v>1072</v>
      </c>
      <c r="H77" s="51">
        <v>46059</v>
      </c>
      <c r="I77" s="53">
        <v>1072</v>
      </c>
      <c r="J77" s="41">
        <f t="shared" si="1"/>
        <v>0</v>
      </c>
      <c r="K77" s="83"/>
      <c r="L77" s="53"/>
      <c r="M77" s="53"/>
    </row>
    <row r="78" spans="1:13">
      <c r="A78" s="36" t="s">
        <v>238</v>
      </c>
      <c r="B78" s="62"/>
      <c r="C78" s="37"/>
      <c r="D78" s="38">
        <v>46063</v>
      </c>
      <c r="E78" s="36" t="s">
        <v>310</v>
      </c>
      <c r="F78" s="36" t="s">
        <v>235</v>
      </c>
      <c r="G78" s="39">
        <v>1140</v>
      </c>
      <c r="H78" s="51">
        <v>46063</v>
      </c>
      <c r="I78" s="53">
        <v>1140</v>
      </c>
      <c r="J78" s="41">
        <f t="shared" si="1"/>
        <v>0</v>
      </c>
      <c r="K78" s="83"/>
      <c r="L78" s="53"/>
      <c r="M78" s="53"/>
    </row>
    <row r="79" spans="1:13">
      <c r="A79" s="36" t="s">
        <v>311</v>
      </c>
      <c r="B79" s="62"/>
      <c r="C79" s="37"/>
      <c r="D79" s="38">
        <v>46063</v>
      </c>
      <c r="E79" s="36" t="s">
        <v>315</v>
      </c>
      <c r="F79" s="36" t="s">
        <v>235</v>
      </c>
      <c r="G79" s="39">
        <v>1240</v>
      </c>
      <c r="H79" s="51">
        <v>46063</v>
      </c>
      <c r="I79" s="53">
        <v>1240</v>
      </c>
      <c r="J79" s="41">
        <f t="shared" si="1"/>
        <v>0</v>
      </c>
      <c r="K79" s="83"/>
      <c r="L79" s="53"/>
      <c r="M79" s="53"/>
    </row>
    <row r="80" spans="1:13">
      <c r="A80" s="36" t="s">
        <v>312</v>
      </c>
      <c r="B80" s="62"/>
      <c r="C80" s="37"/>
      <c r="D80" s="38">
        <v>46071</v>
      </c>
      <c r="E80" s="36" t="s">
        <v>316</v>
      </c>
      <c r="F80" s="36" t="s">
        <v>235</v>
      </c>
      <c r="G80" s="39">
        <v>1124</v>
      </c>
      <c r="H80" s="51">
        <v>46071</v>
      </c>
      <c r="I80" s="53">
        <v>1124</v>
      </c>
      <c r="J80" s="41">
        <f t="shared" si="1"/>
        <v>0</v>
      </c>
      <c r="K80" s="83"/>
      <c r="L80" s="53"/>
      <c r="M80" s="53"/>
    </row>
    <row r="81" spans="1:13">
      <c r="A81" s="36" t="s">
        <v>313</v>
      </c>
      <c r="B81" s="62"/>
      <c r="C81" s="37"/>
      <c r="D81" s="38">
        <v>46072</v>
      </c>
      <c r="E81" s="36" t="s">
        <v>317</v>
      </c>
      <c r="F81" s="36" t="s">
        <v>318</v>
      </c>
      <c r="G81" s="39">
        <v>12850.92</v>
      </c>
      <c r="H81" s="51">
        <v>46072</v>
      </c>
      <c r="I81" s="53">
        <v>12850.92</v>
      </c>
      <c r="J81" s="41">
        <f t="shared" si="1"/>
        <v>0</v>
      </c>
      <c r="K81" s="83"/>
      <c r="L81" s="53"/>
      <c r="M81" s="53"/>
    </row>
    <row r="82" spans="1:13">
      <c r="A82" s="36" t="s">
        <v>314</v>
      </c>
      <c r="B82" s="62"/>
      <c r="C82" s="37"/>
      <c r="D82" s="38">
        <v>46076</v>
      </c>
      <c r="E82" s="36" t="s">
        <v>336</v>
      </c>
      <c r="F82" s="36" t="s">
        <v>235</v>
      </c>
      <c r="G82" s="39">
        <v>1240</v>
      </c>
      <c r="H82" s="51">
        <v>46076</v>
      </c>
      <c r="I82" s="53">
        <v>1240</v>
      </c>
      <c r="J82" s="41">
        <f t="shared" si="1"/>
        <v>0</v>
      </c>
      <c r="K82" s="83"/>
      <c r="L82" s="53"/>
      <c r="M82" s="53"/>
    </row>
    <row r="83" spans="1:13">
      <c r="A83" s="36">
        <v>4</v>
      </c>
      <c r="B83" s="62"/>
      <c r="C83" s="37"/>
      <c r="D83" s="38">
        <v>46079</v>
      </c>
      <c r="E83" s="36" t="s">
        <v>356</v>
      </c>
      <c r="F83" s="36" t="s">
        <v>357</v>
      </c>
      <c r="G83" s="39">
        <v>522</v>
      </c>
      <c r="H83" s="51">
        <v>46079</v>
      </c>
      <c r="I83" s="53">
        <v>522</v>
      </c>
      <c r="J83" s="41">
        <f t="shared" si="1"/>
        <v>0</v>
      </c>
      <c r="K83" s="83"/>
      <c r="L83" s="53"/>
      <c r="M83" s="53"/>
    </row>
    <row r="84" spans="1:13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</row>
  </sheetData>
  <phoneticPr fontId="8" type="noConversion"/>
  <conditionalFormatting sqref="K6:K30 K32:K38">
    <cfRule type="cellIs" dxfId="139" priority="24" operator="equal">
      <formula>"PAID"</formula>
    </cfRule>
    <cfRule type="cellIs" dxfId="138" priority="25" operator="equal">
      <formula>"PAID"</formula>
    </cfRule>
    <cfRule type="cellIs" dxfId="137" priority="26" operator="equal">
      <formula>"PAID"</formula>
    </cfRule>
    <cfRule type="cellIs" dxfId="136" priority="27" operator="equal">
      <formula>"PAID"</formula>
    </cfRule>
  </conditionalFormatting>
  <conditionalFormatting sqref="K31">
    <cfRule type="cellIs" dxfId="135" priority="23" operator="equal">
      <formula>"CANCEL"</formula>
    </cfRule>
  </conditionalFormatting>
  <conditionalFormatting sqref="K39">
    <cfRule type="cellIs" dxfId="134" priority="17" operator="equal">
      <formula>"PARTIAL"</formula>
    </cfRule>
    <cfRule type="cellIs" dxfId="133" priority="18" operator="equal">
      <formula>"CANCEL"</formula>
    </cfRule>
  </conditionalFormatting>
  <conditionalFormatting sqref="K40:K52">
    <cfRule type="cellIs" dxfId="132" priority="9" operator="equal">
      <formula>"PAID"</formula>
    </cfRule>
    <cfRule type="cellIs" dxfId="131" priority="10" operator="equal">
      <formula>"PAID"</formula>
    </cfRule>
    <cfRule type="cellIs" dxfId="130" priority="11" operator="equal">
      <formula>"PAID"</formula>
    </cfRule>
    <cfRule type="cellIs" dxfId="129" priority="12" operator="equal">
      <formula>"PAID"</formula>
    </cfRule>
  </conditionalFormatting>
  <conditionalFormatting sqref="K53:K54">
    <cfRule type="cellIs" dxfId="128" priority="15" operator="equal">
      <formula>"PARTIAL"</formula>
    </cfRule>
    <cfRule type="cellIs" dxfId="127" priority="16" operator="equal">
      <formula>"CANCEL"</formula>
    </cfRule>
  </conditionalFormatting>
  <conditionalFormatting sqref="K55:K64">
    <cfRule type="cellIs" dxfId="126" priority="5" operator="equal">
      <formula>"PAID"</formula>
    </cfRule>
    <cfRule type="cellIs" dxfId="125" priority="6" operator="equal">
      <formula>"PAID"</formula>
    </cfRule>
    <cfRule type="cellIs" dxfId="124" priority="7" operator="equal">
      <formula>"PAID"</formula>
    </cfRule>
    <cfRule type="cellIs" dxfId="123" priority="8" operator="equal">
      <formula>"PAID"</formula>
    </cfRule>
  </conditionalFormatting>
  <conditionalFormatting sqref="K65">
    <cfRule type="cellIs" dxfId="122" priority="13" operator="equal">
      <formula>"PARTIAL"</formula>
    </cfRule>
    <cfRule type="cellIs" dxfId="121" priority="14" operator="equal">
      <formula>"CANCEL"</formula>
    </cfRule>
  </conditionalFormatting>
  <conditionalFormatting sqref="K66:K83">
    <cfRule type="cellIs" dxfId="120" priority="1" operator="equal">
      <formula>"PAID"</formula>
    </cfRule>
    <cfRule type="cellIs" dxfId="119" priority="2" operator="equal">
      <formula>"PAID"</formula>
    </cfRule>
    <cfRule type="cellIs" dxfId="118" priority="3" operator="equal">
      <formula>"PAID"</formula>
    </cfRule>
    <cfRule type="cellIs" dxfId="117" priority="4" operator="equal">
      <formula>"PAID"</formula>
    </cfRule>
  </conditionalFormatting>
  <dataValidations count="3">
    <dataValidation type="list" allowBlank="1" showInputMessage="1" showErrorMessage="1" sqref="L4 M1:M1048576" xr:uid="{45304BA2-89C4-48E2-8FB7-2D5C33845AAE}">
      <formula1>"COMPLETE,LACKING,N/A"</formula1>
    </dataValidation>
    <dataValidation type="list" allowBlank="1" showInputMessage="1" showErrorMessage="1" sqref="K1:K5 K84:K1048576" xr:uid="{FEF22132-EC3A-4782-85E8-8CC91328FFF0}">
      <formula1>"PAID, UNPAID, CANCEL"</formula1>
    </dataValidation>
    <dataValidation type="list" allowBlank="1" showInputMessage="1" showErrorMessage="1" sqref="K6:K83" xr:uid="{73115EE1-A3A2-4BCD-924D-490D696FEB64}">
      <formula1>"PAID, UNPAID, CANCEL, PARTIAL"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7A26D-27A8-4659-A05E-13C1164320AD}">
  <dimension ref="A1:N74"/>
  <sheetViews>
    <sheetView zoomScale="93" zoomScaleNormal="93" workbookViewId="0">
      <pane ySplit="4" topLeftCell="A5" activePane="bottomLeft" state="frozen"/>
      <selection pane="bottomLeft" activeCell="E9" sqref="E9"/>
    </sheetView>
  </sheetViews>
  <sheetFormatPr defaultRowHeight="15"/>
  <cols>
    <col min="1" max="1" width="17.85546875" customWidth="1"/>
    <col min="2" max="2" width="11.85546875" customWidth="1"/>
    <col min="3" max="3" width="10" style="65" customWidth="1"/>
    <col min="4" max="4" width="10" customWidth="1"/>
    <col min="5" max="5" width="78.85546875" bestFit="1" customWidth="1"/>
    <col min="6" max="6" width="67.42578125" customWidth="1"/>
    <col min="7" max="7" width="15.5703125" customWidth="1"/>
    <col min="8" max="8" width="11.7109375" customWidth="1"/>
    <col min="9" max="9" width="14.140625" customWidth="1"/>
    <col min="10" max="10" width="13.140625" customWidth="1"/>
    <col min="11" max="11" width="14.140625" customWidth="1"/>
    <col min="12" max="12" width="12.7109375" customWidth="1"/>
    <col min="13" max="13" width="14.140625" customWidth="1"/>
  </cols>
  <sheetData>
    <row r="1" spans="1:14">
      <c r="A1" s="1" t="s">
        <v>531</v>
      </c>
      <c r="B1" s="1"/>
      <c r="C1" s="2"/>
      <c r="D1" s="3"/>
      <c r="E1" s="4"/>
      <c r="F1" s="5"/>
      <c r="G1" s="6"/>
      <c r="H1" s="7"/>
      <c r="I1" s="8"/>
      <c r="J1" s="9"/>
      <c r="K1" s="8"/>
      <c r="L1" s="8"/>
      <c r="M1" s="8"/>
    </row>
    <row r="2" spans="1:14" ht="14.25" customHeight="1" thickBot="1">
      <c r="A2" s="10"/>
      <c r="B2" s="10"/>
      <c r="C2" s="11"/>
      <c r="D2" s="12"/>
      <c r="E2" s="13"/>
      <c r="F2" s="14"/>
      <c r="G2" s="15"/>
      <c r="H2" s="16"/>
      <c r="I2" s="17"/>
      <c r="J2" s="18"/>
      <c r="K2" s="17"/>
      <c r="L2" s="17"/>
      <c r="M2" s="17"/>
    </row>
    <row r="3" spans="1:14" ht="25.5">
      <c r="A3" s="19" t="s">
        <v>2</v>
      </c>
      <c r="B3" s="19" t="s">
        <v>0</v>
      </c>
      <c r="C3" s="20" t="s">
        <v>1</v>
      </c>
      <c r="D3" s="21" t="s">
        <v>2</v>
      </c>
      <c r="E3" s="22" t="s">
        <v>3</v>
      </c>
      <c r="F3" s="23" t="s">
        <v>4</v>
      </c>
      <c r="G3" s="24" t="s">
        <v>5</v>
      </c>
      <c r="H3" s="25" t="s">
        <v>532</v>
      </c>
      <c r="I3" s="26" t="s">
        <v>6</v>
      </c>
      <c r="J3" s="24" t="s">
        <v>534</v>
      </c>
      <c r="K3" s="81" t="s">
        <v>533</v>
      </c>
      <c r="L3" s="27" t="s">
        <v>540</v>
      </c>
      <c r="M3" s="27" t="s">
        <v>536</v>
      </c>
    </row>
    <row r="4" spans="1:14">
      <c r="A4" s="28"/>
      <c r="B4" s="28"/>
      <c r="C4" s="29"/>
      <c r="D4" s="30"/>
      <c r="E4" s="31"/>
      <c r="F4" s="32"/>
      <c r="G4" s="33"/>
      <c r="H4" s="34"/>
      <c r="I4" s="35"/>
      <c r="J4" s="33"/>
      <c r="K4" s="82"/>
      <c r="L4" s="77" t="s">
        <v>537</v>
      </c>
      <c r="M4" s="77" t="s">
        <v>537</v>
      </c>
    </row>
    <row r="5" spans="1:14">
      <c r="A5" s="63" t="s">
        <v>366</v>
      </c>
      <c r="B5" s="62"/>
      <c r="C5" s="37"/>
      <c r="D5" s="38"/>
      <c r="E5" s="36"/>
      <c r="F5" s="36"/>
      <c r="G5" s="39"/>
      <c r="H5" s="51"/>
      <c r="I5" s="53"/>
      <c r="J5" s="41"/>
      <c r="K5" s="53"/>
      <c r="L5" s="53"/>
      <c r="M5" s="53"/>
      <c r="N5" s="42"/>
    </row>
    <row r="6" spans="1:14">
      <c r="A6" s="36"/>
      <c r="B6" s="62"/>
      <c r="C6" s="37" t="s">
        <v>367</v>
      </c>
      <c r="D6" s="38">
        <v>46083</v>
      </c>
      <c r="E6" s="36" t="s">
        <v>379</v>
      </c>
      <c r="F6" s="36" t="s">
        <v>380</v>
      </c>
      <c r="G6" s="39">
        <v>13500</v>
      </c>
      <c r="H6" s="51">
        <v>46083</v>
      </c>
      <c r="I6" s="53">
        <v>13500</v>
      </c>
      <c r="J6" s="41">
        <f t="shared" ref="J6:J37" si="0">SUM(G6-I6-L6)</f>
        <v>0</v>
      </c>
      <c r="K6" s="83" t="s">
        <v>541</v>
      </c>
      <c r="L6" s="53"/>
      <c r="M6" s="53"/>
      <c r="N6" s="42"/>
    </row>
    <row r="7" spans="1:14">
      <c r="A7" s="36"/>
      <c r="B7" s="62"/>
      <c r="C7" s="37" t="s">
        <v>368</v>
      </c>
      <c r="D7" s="38">
        <v>46084</v>
      </c>
      <c r="E7" s="36" t="s">
        <v>383</v>
      </c>
      <c r="F7" s="36" t="s">
        <v>260</v>
      </c>
      <c r="G7" s="39">
        <v>1800</v>
      </c>
      <c r="H7" s="51">
        <v>46084</v>
      </c>
      <c r="I7" s="53">
        <v>1800</v>
      </c>
      <c r="J7" s="41">
        <f t="shared" si="0"/>
        <v>0</v>
      </c>
      <c r="K7" s="83" t="s">
        <v>541</v>
      </c>
      <c r="L7" s="53"/>
      <c r="M7" s="53"/>
      <c r="N7" s="42"/>
    </row>
    <row r="8" spans="1:14">
      <c r="A8" s="36"/>
      <c r="B8" s="62"/>
      <c r="C8" s="37" t="s">
        <v>369</v>
      </c>
      <c r="D8" s="38">
        <v>46086</v>
      </c>
      <c r="E8" s="36" t="s">
        <v>384</v>
      </c>
      <c r="F8" s="36" t="s">
        <v>385</v>
      </c>
      <c r="G8" s="39">
        <v>75000</v>
      </c>
      <c r="H8" s="51">
        <v>46086</v>
      </c>
      <c r="I8" s="53">
        <v>75000</v>
      </c>
      <c r="J8" s="41">
        <f t="shared" si="0"/>
        <v>0</v>
      </c>
      <c r="K8" s="83" t="s">
        <v>541</v>
      </c>
      <c r="L8" s="53"/>
      <c r="M8" s="53"/>
      <c r="N8" s="42"/>
    </row>
    <row r="9" spans="1:14">
      <c r="A9" s="36"/>
      <c r="B9" s="62"/>
      <c r="C9" s="37" t="s">
        <v>370</v>
      </c>
      <c r="D9" s="38">
        <v>46087</v>
      </c>
      <c r="E9" s="36" t="s">
        <v>386</v>
      </c>
      <c r="F9" s="36" t="s">
        <v>387</v>
      </c>
      <c r="G9" s="39">
        <v>54000</v>
      </c>
      <c r="H9" s="51">
        <v>46087</v>
      </c>
      <c r="I9" s="53">
        <v>54000</v>
      </c>
      <c r="J9" s="41">
        <f t="shared" si="0"/>
        <v>0</v>
      </c>
      <c r="K9" s="83" t="s">
        <v>541</v>
      </c>
      <c r="L9" s="53"/>
      <c r="M9" s="53"/>
      <c r="N9" s="42"/>
    </row>
    <row r="10" spans="1:14">
      <c r="A10" s="36"/>
      <c r="B10" s="62"/>
      <c r="C10" s="37" t="s">
        <v>371</v>
      </c>
      <c r="D10" s="38">
        <v>46090</v>
      </c>
      <c r="E10" s="36" t="s">
        <v>397</v>
      </c>
      <c r="F10" s="36" t="s">
        <v>398</v>
      </c>
      <c r="G10" s="39">
        <v>2500</v>
      </c>
      <c r="H10" s="51">
        <v>46090</v>
      </c>
      <c r="I10" s="53">
        <v>2500</v>
      </c>
      <c r="J10" s="41">
        <f t="shared" si="0"/>
        <v>0</v>
      </c>
      <c r="K10" s="83" t="s">
        <v>541</v>
      </c>
      <c r="L10" s="53"/>
      <c r="M10" s="53"/>
      <c r="N10" s="42"/>
    </row>
    <row r="11" spans="1:14">
      <c r="A11" s="36"/>
      <c r="B11" s="62"/>
      <c r="C11" s="37" t="s">
        <v>372</v>
      </c>
      <c r="D11" s="38">
        <v>46090</v>
      </c>
      <c r="E11" s="36" t="s">
        <v>438</v>
      </c>
      <c r="F11" s="36" t="s">
        <v>398</v>
      </c>
      <c r="G11" s="39">
        <v>2500</v>
      </c>
      <c r="H11" s="51">
        <v>46090</v>
      </c>
      <c r="I11" s="53">
        <v>2500</v>
      </c>
      <c r="J11" s="41">
        <f t="shared" si="0"/>
        <v>0</v>
      </c>
      <c r="K11" s="83" t="s">
        <v>541</v>
      </c>
      <c r="L11" s="53"/>
      <c r="M11" s="53"/>
      <c r="N11" s="42"/>
    </row>
    <row r="12" spans="1:14">
      <c r="A12" s="36"/>
      <c r="B12" s="62"/>
      <c r="C12" s="37" t="s">
        <v>373</v>
      </c>
      <c r="D12" s="38">
        <v>46090</v>
      </c>
      <c r="E12" s="36" t="s">
        <v>399</v>
      </c>
      <c r="F12" s="36" t="s">
        <v>400</v>
      </c>
      <c r="G12" s="39">
        <v>15500</v>
      </c>
      <c r="H12" s="51">
        <v>46090</v>
      </c>
      <c r="I12" s="53">
        <v>15500</v>
      </c>
      <c r="J12" s="41">
        <f t="shared" si="0"/>
        <v>0</v>
      </c>
      <c r="K12" s="83" t="s">
        <v>541</v>
      </c>
      <c r="L12" s="53"/>
      <c r="M12" s="53"/>
      <c r="N12" s="42"/>
    </row>
    <row r="13" spans="1:14">
      <c r="A13" s="36"/>
      <c r="B13" s="62"/>
      <c r="C13" s="37" t="s">
        <v>374</v>
      </c>
      <c r="D13" s="38">
        <v>46091</v>
      </c>
      <c r="E13" s="36" t="s">
        <v>401</v>
      </c>
      <c r="F13" s="36" t="s">
        <v>402</v>
      </c>
      <c r="G13" s="39">
        <v>30000</v>
      </c>
      <c r="H13" s="51">
        <v>46091</v>
      </c>
      <c r="I13" s="53">
        <v>29464.29</v>
      </c>
      <c r="J13" s="41">
        <f t="shared" si="0"/>
        <v>-9.0949470177292824E-13</v>
      </c>
      <c r="K13" s="83" t="s">
        <v>541</v>
      </c>
      <c r="L13" s="53">
        <v>535.71</v>
      </c>
      <c r="M13" s="83" t="s">
        <v>542</v>
      </c>
      <c r="N13" s="42"/>
    </row>
    <row r="14" spans="1:14">
      <c r="A14" s="36"/>
      <c r="B14" s="62"/>
      <c r="C14" s="37" t="s">
        <v>375</v>
      </c>
      <c r="D14" s="38">
        <v>46091</v>
      </c>
      <c r="E14" s="36" t="s">
        <v>430</v>
      </c>
      <c r="F14" s="36" t="s">
        <v>431</v>
      </c>
      <c r="G14" s="39">
        <v>57650</v>
      </c>
      <c r="H14" s="51">
        <v>46091</v>
      </c>
      <c r="I14" s="53">
        <v>57650</v>
      </c>
      <c r="J14" s="41">
        <f t="shared" si="0"/>
        <v>0</v>
      </c>
      <c r="K14" s="83" t="s">
        <v>541</v>
      </c>
      <c r="L14" s="53"/>
      <c r="M14" s="53"/>
      <c r="N14" s="42"/>
    </row>
    <row r="15" spans="1:14">
      <c r="A15" s="36"/>
      <c r="B15" s="62"/>
      <c r="C15" s="37" t="s">
        <v>376</v>
      </c>
      <c r="D15" s="38">
        <v>46092</v>
      </c>
      <c r="E15" s="36" t="s">
        <v>432</v>
      </c>
      <c r="F15" s="36" t="s">
        <v>433</v>
      </c>
      <c r="G15" s="39">
        <v>7500</v>
      </c>
      <c r="H15" s="51">
        <v>46092</v>
      </c>
      <c r="I15" s="53">
        <v>7500</v>
      </c>
      <c r="J15" s="41">
        <f t="shared" si="0"/>
        <v>0</v>
      </c>
      <c r="K15" s="83" t="s">
        <v>541</v>
      </c>
      <c r="L15" s="53"/>
      <c r="M15" s="53"/>
      <c r="N15" s="42"/>
    </row>
    <row r="16" spans="1:14">
      <c r="A16" s="36"/>
      <c r="B16" s="62"/>
      <c r="C16" s="37" t="s">
        <v>377</v>
      </c>
      <c r="D16" s="38">
        <v>46092</v>
      </c>
      <c r="E16" s="36" t="s">
        <v>440</v>
      </c>
      <c r="F16" s="36" t="s">
        <v>23</v>
      </c>
      <c r="G16" s="39">
        <v>1250</v>
      </c>
      <c r="H16" s="51">
        <v>46092</v>
      </c>
      <c r="I16" s="53">
        <v>1250</v>
      </c>
      <c r="J16" s="41">
        <f t="shared" si="0"/>
        <v>0</v>
      </c>
      <c r="K16" s="83" t="s">
        <v>541</v>
      </c>
      <c r="L16" s="53"/>
      <c r="M16" s="53"/>
      <c r="N16" s="42"/>
    </row>
    <row r="17" spans="1:14">
      <c r="A17" s="36"/>
      <c r="B17" s="62"/>
      <c r="C17" s="37" t="s">
        <v>378</v>
      </c>
      <c r="D17" s="38">
        <v>46094</v>
      </c>
      <c r="E17" s="36" t="s">
        <v>441</v>
      </c>
      <c r="F17" s="36" t="s">
        <v>442</v>
      </c>
      <c r="G17" s="39">
        <v>10700</v>
      </c>
      <c r="H17" s="51">
        <v>46094</v>
      </c>
      <c r="I17" s="53">
        <v>10700</v>
      </c>
      <c r="J17" s="41">
        <f t="shared" si="0"/>
        <v>0</v>
      </c>
      <c r="K17" s="83" t="s">
        <v>541</v>
      </c>
      <c r="L17" s="53"/>
      <c r="M17" s="53"/>
      <c r="N17" s="42"/>
    </row>
    <row r="18" spans="1:14">
      <c r="A18" s="36"/>
      <c r="B18" s="62"/>
      <c r="C18" s="37" t="s">
        <v>443</v>
      </c>
      <c r="D18" s="38">
        <v>46099</v>
      </c>
      <c r="E18" s="36" t="s">
        <v>455</v>
      </c>
      <c r="F18" s="36" t="s">
        <v>211</v>
      </c>
      <c r="G18" s="39">
        <v>27000</v>
      </c>
      <c r="H18" s="51">
        <v>46099</v>
      </c>
      <c r="I18" s="53">
        <v>27000</v>
      </c>
      <c r="J18" s="41">
        <f t="shared" si="0"/>
        <v>0</v>
      </c>
      <c r="K18" s="83" t="s">
        <v>541</v>
      </c>
      <c r="L18" s="53"/>
      <c r="M18" s="53"/>
      <c r="N18" s="42"/>
    </row>
    <row r="19" spans="1:14">
      <c r="A19" s="36"/>
      <c r="B19" s="62"/>
      <c r="C19" s="37" t="s">
        <v>444</v>
      </c>
      <c r="D19" s="38">
        <v>46099</v>
      </c>
      <c r="E19" s="36" t="s">
        <v>455</v>
      </c>
      <c r="F19" s="36" t="s">
        <v>442</v>
      </c>
      <c r="G19" s="39">
        <v>13000</v>
      </c>
      <c r="H19" s="51">
        <v>46099</v>
      </c>
      <c r="I19" s="53">
        <v>13000</v>
      </c>
      <c r="J19" s="41">
        <f t="shared" si="0"/>
        <v>0</v>
      </c>
      <c r="K19" s="83" t="s">
        <v>541</v>
      </c>
      <c r="L19" s="53"/>
      <c r="M19" s="53"/>
      <c r="N19" s="42"/>
    </row>
    <row r="20" spans="1:14">
      <c r="A20" s="36"/>
      <c r="B20" s="62"/>
      <c r="C20" s="37" t="s">
        <v>445</v>
      </c>
      <c r="D20" s="38">
        <v>46099</v>
      </c>
      <c r="E20" s="36" t="s">
        <v>456</v>
      </c>
      <c r="F20" s="36" t="s">
        <v>211</v>
      </c>
      <c r="G20" s="39">
        <v>63250</v>
      </c>
      <c r="H20" s="51">
        <v>46099</v>
      </c>
      <c r="I20" s="53">
        <v>63250</v>
      </c>
      <c r="J20" s="41">
        <f t="shared" si="0"/>
        <v>0</v>
      </c>
      <c r="K20" s="83" t="s">
        <v>541</v>
      </c>
      <c r="L20" s="53"/>
      <c r="M20" s="53"/>
      <c r="N20" s="42"/>
    </row>
    <row r="21" spans="1:14">
      <c r="A21" s="36"/>
      <c r="B21" s="62"/>
      <c r="C21" s="37" t="s">
        <v>446</v>
      </c>
      <c r="D21" s="38">
        <v>46100</v>
      </c>
      <c r="E21" s="36" t="s">
        <v>457</v>
      </c>
      <c r="F21" s="36" t="s">
        <v>458</v>
      </c>
      <c r="G21" s="39">
        <v>103400</v>
      </c>
      <c r="H21" s="51">
        <v>46100</v>
      </c>
      <c r="I21" s="53">
        <v>103400</v>
      </c>
      <c r="J21" s="41">
        <f t="shared" si="0"/>
        <v>0</v>
      </c>
      <c r="K21" s="83" t="s">
        <v>541</v>
      </c>
      <c r="L21" s="53"/>
      <c r="M21" s="53"/>
      <c r="N21" s="42"/>
    </row>
    <row r="22" spans="1:14">
      <c r="A22" s="36"/>
      <c r="B22" s="62"/>
      <c r="C22" s="37" t="s">
        <v>447</v>
      </c>
      <c r="D22" s="38"/>
      <c r="E22" s="75" t="s">
        <v>125</v>
      </c>
      <c r="F22" s="36"/>
      <c r="G22" s="39"/>
      <c r="H22" s="51"/>
      <c r="I22" s="53"/>
      <c r="J22" s="41">
        <f t="shared" si="0"/>
        <v>0</v>
      </c>
      <c r="K22" s="83" t="s">
        <v>125</v>
      </c>
      <c r="L22" s="53"/>
      <c r="M22" s="53"/>
      <c r="N22" s="42"/>
    </row>
    <row r="23" spans="1:14">
      <c r="A23" s="36"/>
      <c r="B23" s="62"/>
      <c r="C23" s="37" t="s">
        <v>448</v>
      </c>
      <c r="D23" s="38">
        <v>46100</v>
      </c>
      <c r="E23" s="36" t="s">
        <v>283</v>
      </c>
      <c r="F23" s="36" t="s">
        <v>32</v>
      </c>
      <c r="G23" s="39">
        <v>2500</v>
      </c>
      <c r="H23" s="51">
        <v>46100</v>
      </c>
      <c r="I23" s="53">
        <v>2500</v>
      </c>
      <c r="J23" s="41">
        <f t="shared" si="0"/>
        <v>0</v>
      </c>
      <c r="K23" s="83" t="s">
        <v>541</v>
      </c>
      <c r="L23" s="53"/>
      <c r="M23" s="53"/>
      <c r="N23" s="42"/>
    </row>
    <row r="24" spans="1:14">
      <c r="A24" s="36"/>
      <c r="B24" s="62"/>
      <c r="C24" s="37" t="s">
        <v>449</v>
      </c>
      <c r="D24" s="38">
        <v>46100</v>
      </c>
      <c r="E24" s="36" t="s">
        <v>258</v>
      </c>
      <c r="F24" s="36" t="s">
        <v>204</v>
      </c>
      <c r="G24" s="39">
        <v>40000</v>
      </c>
      <c r="H24" s="51">
        <v>46100</v>
      </c>
      <c r="I24" s="53">
        <v>40000</v>
      </c>
      <c r="J24" s="41">
        <f t="shared" si="0"/>
        <v>0</v>
      </c>
      <c r="K24" s="83" t="s">
        <v>541</v>
      </c>
      <c r="L24" s="53"/>
      <c r="M24" s="53"/>
      <c r="N24" s="42"/>
    </row>
    <row r="25" spans="1:14">
      <c r="A25" s="36"/>
      <c r="B25" s="62"/>
      <c r="C25" s="37" t="s">
        <v>450</v>
      </c>
      <c r="D25" s="38">
        <v>46104</v>
      </c>
      <c r="E25" s="36" t="s">
        <v>459</v>
      </c>
      <c r="F25" s="36" t="s">
        <v>460</v>
      </c>
      <c r="G25" s="39">
        <v>30000</v>
      </c>
      <c r="H25" s="51">
        <v>46104</v>
      </c>
      <c r="I25" s="53">
        <v>30000</v>
      </c>
      <c r="J25" s="41">
        <f t="shared" si="0"/>
        <v>0</v>
      </c>
      <c r="K25" s="83" t="s">
        <v>541</v>
      </c>
      <c r="L25" s="53"/>
      <c r="M25" s="53"/>
      <c r="N25" s="42"/>
    </row>
    <row r="26" spans="1:14">
      <c r="A26" s="36"/>
      <c r="B26" s="62"/>
      <c r="C26" s="37" t="s">
        <v>451</v>
      </c>
      <c r="D26" s="38">
        <v>46104</v>
      </c>
      <c r="E26" s="36" t="s">
        <v>461</v>
      </c>
      <c r="F26" s="36" t="s">
        <v>462</v>
      </c>
      <c r="G26" s="39">
        <v>39100</v>
      </c>
      <c r="H26" s="51">
        <v>46104</v>
      </c>
      <c r="I26" s="53">
        <v>38401.79</v>
      </c>
      <c r="J26" s="41">
        <f t="shared" si="0"/>
        <v>-9.0949470177292824E-13</v>
      </c>
      <c r="K26" s="83" t="s">
        <v>541</v>
      </c>
      <c r="L26" s="53">
        <v>698.21</v>
      </c>
      <c r="M26" s="83" t="s">
        <v>542</v>
      </c>
      <c r="N26" s="42"/>
    </row>
    <row r="27" spans="1:14">
      <c r="A27" s="36"/>
      <c r="B27" s="62"/>
      <c r="C27" s="37" t="s">
        <v>452</v>
      </c>
      <c r="D27" s="38">
        <v>46105</v>
      </c>
      <c r="E27" s="36" t="s">
        <v>457</v>
      </c>
      <c r="F27" s="36" t="s">
        <v>463</v>
      </c>
      <c r="G27" s="39">
        <v>90000</v>
      </c>
      <c r="H27" s="51">
        <v>46105</v>
      </c>
      <c r="I27" s="53">
        <v>90000</v>
      </c>
      <c r="J27" s="41">
        <f t="shared" si="0"/>
        <v>0</v>
      </c>
      <c r="K27" s="83" t="s">
        <v>541</v>
      </c>
      <c r="L27" s="53"/>
      <c r="M27" s="53"/>
      <c r="N27" s="42"/>
    </row>
    <row r="28" spans="1:14">
      <c r="A28" s="36"/>
      <c r="B28" s="62"/>
      <c r="C28" s="37" t="s">
        <v>453</v>
      </c>
      <c r="D28" s="38">
        <v>46105</v>
      </c>
      <c r="E28" s="36" t="s">
        <v>471</v>
      </c>
      <c r="F28" s="36" t="s">
        <v>472</v>
      </c>
      <c r="G28" s="39">
        <v>2000</v>
      </c>
      <c r="H28" s="51">
        <v>46105</v>
      </c>
      <c r="I28" s="53">
        <v>2000</v>
      </c>
      <c r="J28" s="41">
        <f t="shared" si="0"/>
        <v>0</v>
      </c>
      <c r="K28" s="83" t="s">
        <v>541</v>
      </c>
      <c r="L28" s="53"/>
      <c r="M28" s="53"/>
      <c r="N28" s="42"/>
    </row>
    <row r="29" spans="1:14">
      <c r="A29" s="36"/>
      <c r="B29" s="62"/>
      <c r="C29" s="37" t="s">
        <v>454</v>
      </c>
      <c r="D29" s="38">
        <v>46105</v>
      </c>
      <c r="E29" s="36" t="s">
        <v>473</v>
      </c>
      <c r="F29" s="36" t="s">
        <v>87</v>
      </c>
      <c r="G29" s="39">
        <v>2000</v>
      </c>
      <c r="H29" s="51">
        <v>46100</v>
      </c>
      <c r="I29" s="53">
        <v>2000</v>
      </c>
      <c r="J29" s="41">
        <f t="shared" si="0"/>
        <v>0</v>
      </c>
      <c r="K29" s="83" t="s">
        <v>541</v>
      </c>
      <c r="L29" s="53"/>
      <c r="M29" s="53"/>
      <c r="N29" s="42"/>
    </row>
    <row r="30" spans="1:14">
      <c r="A30" s="36"/>
      <c r="B30" s="62"/>
      <c r="C30" s="37" t="s">
        <v>464</v>
      </c>
      <c r="D30" s="38">
        <v>46106</v>
      </c>
      <c r="E30" s="36" t="s">
        <v>474</v>
      </c>
      <c r="F30" s="36" t="s">
        <v>475</v>
      </c>
      <c r="G30" s="39">
        <v>17500</v>
      </c>
      <c r="H30" s="51">
        <v>46106</v>
      </c>
      <c r="I30" s="53">
        <v>17343.75</v>
      </c>
      <c r="J30" s="41">
        <f t="shared" si="0"/>
        <v>0</v>
      </c>
      <c r="K30" s="83" t="s">
        <v>541</v>
      </c>
      <c r="L30" s="53">
        <v>156.25</v>
      </c>
      <c r="M30" s="83" t="s">
        <v>542</v>
      </c>
      <c r="N30" s="42"/>
    </row>
    <row r="31" spans="1:14">
      <c r="A31" s="36"/>
      <c r="B31" s="62"/>
      <c r="C31" s="37" t="s">
        <v>465</v>
      </c>
      <c r="D31" s="38">
        <v>46108</v>
      </c>
      <c r="E31" s="36" t="s">
        <v>461</v>
      </c>
      <c r="F31" s="36" t="s">
        <v>491</v>
      </c>
      <c r="G31" s="39">
        <v>39100</v>
      </c>
      <c r="H31" s="51">
        <v>46108</v>
      </c>
      <c r="I31" s="53">
        <v>39100</v>
      </c>
      <c r="J31" s="41">
        <f t="shared" si="0"/>
        <v>0</v>
      </c>
      <c r="K31" s="83" t="s">
        <v>541</v>
      </c>
      <c r="L31" s="53"/>
      <c r="M31" s="53"/>
      <c r="N31" s="42"/>
    </row>
    <row r="32" spans="1:14">
      <c r="A32" s="36"/>
      <c r="B32" s="62"/>
      <c r="C32" s="37" t="s">
        <v>466</v>
      </c>
      <c r="D32" s="38">
        <v>46108</v>
      </c>
      <c r="E32" s="36" t="s">
        <v>492</v>
      </c>
      <c r="F32" s="36" t="s">
        <v>493</v>
      </c>
      <c r="G32" s="39">
        <v>61000</v>
      </c>
      <c r="H32" s="51">
        <v>46132</v>
      </c>
      <c r="I32" s="53">
        <v>60455.360000000001</v>
      </c>
      <c r="J32" s="41">
        <f t="shared" si="0"/>
        <v>544.63999999999942</v>
      </c>
      <c r="K32" s="87" t="s">
        <v>551</v>
      </c>
      <c r="L32" s="53"/>
      <c r="M32" s="83" t="s">
        <v>538</v>
      </c>
      <c r="N32" s="42"/>
    </row>
    <row r="33" spans="1:14">
      <c r="A33" s="36"/>
      <c r="B33" s="62"/>
      <c r="C33" s="37" t="s">
        <v>467</v>
      </c>
      <c r="D33" s="38">
        <v>46108</v>
      </c>
      <c r="E33" s="36" t="s">
        <v>494</v>
      </c>
      <c r="F33" s="36" t="s">
        <v>495</v>
      </c>
      <c r="G33" s="39">
        <v>4700</v>
      </c>
      <c r="H33" s="51">
        <v>46108</v>
      </c>
      <c r="I33" s="53">
        <v>4658.04</v>
      </c>
      <c r="J33" s="41">
        <f t="shared" si="0"/>
        <v>3.5527136788005009E-14</v>
      </c>
      <c r="K33" s="83" t="s">
        <v>541</v>
      </c>
      <c r="L33" s="53">
        <v>41.96</v>
      </c>
      <c r="M33" s="83" t="s">
        <v>542</v>
      </c>
      <c r="N33" s="42"/>
    </row>
    <row r="34" spans="1:14">
      <c r="A34" s="36"/>
      <c r="B34" s="62"/>
      <c r="C34" s="37" t="s">
        <v>468</v>
      </c>
      <c r="D34" s="38">
        <v>46108</v>
      </c>
      <c r="E34" s="36" t="s">
        <v>496</v>
      </c>
      <c r="F34" s="36" t="s">
        <v>263</v>
      </c>
      <c r="G34" s="39">
        <v>7500</v>
      </c>
      <c r="H34" s="51">
        <v>46108</v>
      </c>
      <c r="I34" s="53">
        <v>7433.04</v>
      </c>
      <c r="J34" s="41">
        <f t="shared" si="0"/>
        <v>4.2632564145606011E-14</v>
      </c>
      <c r="K34" s="83" t="s">
        <v>541</v>
      </c>
      <c r="L34" s="53">
        <v>66.959999999999994</v>
      </c>
      <c r="M34" s="83" t="s">
        <v>542</v>
      </c>
      <c r="N34" s="42"/>
    </row>
    <row r="35" spans="1:14">
      <c r="A35" s="36"/>
      <c r="B35" s="62"/>
      <c r="C35" s="37" t="s">
        <v>469</v>
      </c>
      <c r="D35" s="38">
        <v>46108</v>
      </c>
      <c r="E35" s="36" t="s">
        <v>496</v>
      </c>
      <c r="F35" s="36" t="s">
        <v>497</v>
      </c>
      <c r="G35" s="39">
        <v>12000</v>
      </c>
      <c r="H35" s="51">
        <v>46108</v>
      </c>
      <c r="I35" s="53">
        <v>11892.86</v>
      </c>
      <c r="J35" s="41">
        <f t="shared" si="0"/>
        <v>-5.8264504332328215E-13</v>
      </c>
      <c r="K35" s="83" t="s">
        <v>541</v>
      </c>
      <c r="L35" s="53">
        <v>107.14</v>
      </c>
      <c r="M35" s="83" t="s">
        <v>542</v>
      </c>
      <c r="N35" s="42"/>
    </row>
    <row r="36" spans="1:14">
      <c r="A36" s="36"/>
      <c r="B36" s="62"/>
      <c r="C36" s="37" t="s">
        <v>470</v>
      </c>
      <c r="D36" s="38">
        <v>46108</v>
      </c>
      <c r="E36" s="36" t="s">
        <v>498</v>
      </c>
      <c r="F36" s="36" t="s">
        <v>499</v>
      </c>
      <c r="G36" s="39">
        <v>3500</v>
      </c>
      <c r="H36" s="51">
        <v>46108</v>
      </c>
      <c r="I36" s="53">
        <v>3468.75</v>
      </c>
      <c r="J36" s="41">
        <f t="shared" si="0"/>
        <v>0</v>
      </c>
      <c r="K36" s="83" t="s">
        <v>541</v>
      </c>
      <c r="L36" s="53">
        <v>31.25</v>
      </c>
      <c r="M36" s="83" t="s">
        <v>542</v>
      </c>
      <c r="N36" s="42"/>
    </row>
    <row r="37" spans="1:14">
      <c r="A37" s="68"/>
      <c r="B37" s="69"/>
      <c r="C37" s="70" t="s">
        <v>500</v>
      </c>
      <c r="D37" s="71">
        <v>46108</v>
      </c>
      <c r="E37" s="68" t="s">
        <v>502</v>
      </c>
      <c r="F37" s="68" t="s">
        <v>200</v>
      </c>
      <c r="G37" s="39">
        <v>9375</v>
      </c>
      <c r="H37" s="51">
        <v>46108</v>
      </c>
      <c r="I37" s="53">
        <v>9375</v>
      </c>
      <c r="J37" s="41">
        <f t="shared" si="0"/>
        <v>0</v>
      </c>
      <c r="K37" s="83" t="s">
        <v>541</v>
      </c>
      <c r="L37" s="53"/>
      <c r="M37" s="53"/>
      <c r="N37" s="42"/>
    </row>
    <row r="38" spans="1:14">
      <c r="A38" s="36"/>
      <c r="B38" s="62"/>
      <c r="C38" s="37" t="s">
        <v>501</v>
      </c>
      <c r="D38" s="38">
        <v>46112</v>
      </c>
      <c r="E38" s="36" t="s">
        <v>520</v>
      </c>
      <c r="F38" s="36" t="s">
        <v>522</v>
      </c>
      <c r="G38" s="39">
        <v>20750</v>
      </c>
      <c r="H38" s="51">
        <v>46108</v>
      </c>
      <c r="I38" s="53">
        <v>20379.46</v>
      </c>
      <c r="J38" s="41">
        <f t="shared" ref="J38:J69" si="1">SUM(G38-I38-L38)</f>
        <v>8.5265128291212022E-13</v>
      </c>
      <c r="K38" s="83" t="s">
        <v>541</v>
      </c>
      <c r="L38" s="53">
        <v>370.54</v>
      </c>
      <c r="M38" s="53"/>
      <c r="N38" s="42"/>
    </row>
    <row r="39" spans="1:14">
      <c r="A39" s="36"/>
      <c r="B39" s="62" t="s">
        <v>381</v>
      </c>
      <c r="C39" s="37"/>
      <c r="D39" s="38">
        <v>46083</v>
      </c>
      <c r="E39" s="36" t="s">
        <v>382</v>
      </c>
      <c r="F39" s="36" t="s">
        <v>10</v>
      </c>
      <c r="G39" s="39">
        <v>5000</v>
      </c>
      <c r="H39" s="51">
        <v>46083</v>
      </c>
      <c r="I39" s="53">
        <v>5000</v>
      </c>
      <c r="J39" s="41">
        <f t="shared" si="1"/>
        <v>0</v>
      </c>
      <c r="K39" s="83" t="s">
        <v>541</v>
      </c>
      <c r="L39" s="53"/>
      <c r="M39" s="53"/>
      <c r="N39" s="42"/>
    </row>
    <row r="40" spans="1:14">
      <c r="A40" s="36"/>
      <c r="B40" s="62" t="s">
        <v>391</v>
      </c>
      <c r="C40" s="37"/>
      <c r="D40" s="38">
        <v>46083</v>
      </c>
      <c r="E40" s="36" t="s">
        <v>439</v>
      </c>
      <c r="F40" s="36" t="s">
        <v>10</v>
      </c>
      <c r="G40" s="39">
        <v>2000</v>
      </c>
      <c r="H40" s="51">
        <v>46093</v>
      </c>
      <c r="I40" s="53">
        <v>2000</v>
      </c>
      <c r="J40" s="41">
        <f t="shared" si="1"/>
        <v>0</v>
      </c>
      <c r="K40" s="83" t="s">
        <v>541</v>
      </c>
      <c r="L40" s="53"/>
      <c r="M40" s="53"/>
      <c r="N40" s="42"/>
    </row>
    <row r="41" spans="1:14">
      <c r="A41" s="36"/>
      <c r="B41" s="62" t="s">
        <v>392</v>
      </c>
      <c r="C41" s="37"/>
      <c r="D41" s="38">
        <v>46084</v>
      </c>
      <c r="E41" s="36" t="s">
        <v>388</v>
      </c>
      <c r="F41" s="74" t="s">
        <v>10</v>
      </c>
      <c r="G41" s="39">
        <v>4000</v>
      </c>
      <c r="H41" s="51">
        <v>46084</v>
      </c>
      <c r="I41" s="39">
        <v>4000</v>
      </c>
      <c r="J41" s="41">
        <f t="shared" si="1"/>
        <v>0</v>
      </c>
      <c r="K41" s="83" t="s">
        <v>541</v>
      </c>
      <c r="L41" s="53"/>
      <c r="M41" s="52"/>
      <c r="N41" s="42"/>
    </row>
    <row r="42" spans="1:14">
      <c r="A42" s="36"/>
      <c r="B42" s="62" t="s">
        <v>393</v>
      </c>
      <c r="C42" s="37"/>
      <c r="D42" s="38">
        <v>46084</v>
      </c>
      <c r="E42" s="36" t="s">
        <v>389</v>
      </c>
      <c r="F42" s="74" t="s">
        <v>10</v>
      </c>
      <c r="G42" s="39">
        <v>1500</v>
      </c>
      <c r="H42" s="51">
        <v>46084</v>
      </c>
      <c r="I42" s="39">
        <v>1500</v>
      </c>
      <c r="J42" s="41">
        <f t="shared" si="1"/>
        <v>0</v>
      </c>
      <c r="K42" s="83" t="s">
        <v>541</v>
      </c>
      <c r="L42" s="53"/>
      <c r="M42" s="52"/>
      <c r="N42" s="42"/>
    </row>
    <row r="43" spans="1:14">
      <c r="A43" s="36"/>
      <c r="B43" s="62" t="s">
        <v>394</v>
      </c>
      <c r="C43" s="37"/>
      <c r="D43" s="38">
        <v>46086</v>
      </c>
      <c r="E43" s="36" t="s">
        <v>390</v>
      </c>
      <c r="F43" s="74" t="s">
        <v>10</v>
      </c>
      <c r="G43" s="39">
        <v>4000</v>
      </c>
      <c r="H43" s="51">
        <v>46086</v>
      </c>
      <c r="I43" s="39">
        <v>4000</v>
      </c>
      <c r="J43" s="41">
        <f t="shared" si="1"/>
        <v>0</v>
      </c>
      <c r="K43" s="83" t="s">
        <v>541</v>
      </c>
      <c r="L43" s="53"/>
      <c r="M43" s="52"/>
      <c r="N43" s="42"/>
    </row>
    <row r="44" spans="1:14">
      <c r="A44" s="36"/>
      <c r="B44" s="62" t="s">
        <v>403</v>
      </c>
      <c r="C44" s="37"/>
      <c r="D44" s="38">
        <v>46090</v>
      </c>
      <c r="E44" s="36" t="s">
        <v>408</v>
      </c>
      <c r="F44" s="74" t="s">
        <v>10</v>
      </c>
      <c r="G44" s="39">
        <v>5000</v>
      </c>
      <c r="H44" s="51">
        <v>46090</v>
      </c>
      <c r="I44" s="52">
        <v>5000</v>
      </c>
      <c r="J44" s="41">
        <f t="shared" si="1"/>
        <v>0</v>
      </c>
      <c r="K44" s="83" t="s">
        <v>541</v>
      </c>
      <c r="L44" s="53"/>
      <c r="M44" s="52"/>
      <c r="N44" s="42"/>
    </row>
    <row r="45" spans="1:14">
      <c r="A45" s="36"/>
      <c r="B45" s="62" t="s">
        <v>404</v>
      </c>
      <c r="C45" s="37"/>
      <c r="D45" s="38">
        <v>46090</v>
      </c>
      <c r="E45" s="36" t="s">
        <v>429</v>
      </c>
      <c r="F45" s="74" t="s">
        <v>10</v>
      </c>
      <c r="G45" s="39">
        <v>5000</v>
      </c>
      <c r="H45" s="51">
        <v>46090</v>
      </c>
      <c r="I45" s="52">
        <v>5000</v>
      </c>
      <c r="J45" s="41">
        <f t="shared" si="1"/>
        <v>0</v>
      </c>
      <c r="K45" s="83" t="s">
        <v>541</v>
      </c>
      <c r="L45" s="53"/>
      <c r="M45" s="52"/>
      <c r="N45" s="42"/>
    </row>
    <row r="46" spans="1:14">
      <c r="A46" s="36"/>
      <c r="B46" s="62" t="s">
        <v>405</v>
      </c>
      <c r="C46" s="37"/>
      <c r="D46" s="38">
        <v>46091</v>
      </c>
      <c r="E46" s="36" t="s">
        <v>409</v>
      </c>
      <c r="F46" s="74" t="s">
        <v>102</v>
      </c>
      <c r="G46" s="39">
        <v>13000</v>
      </c>
      <c r="H46" s="51">
        <v>46109</v>
      </c>
      <c r="I46" s="52">
        <v>12767.86</v>
      </c>
      <c r="J46" s="41">
        <f t="shared" si="1"/>
        <v>-5.6843418860808015E-13</v>
      </c>
      <c r="K46" s="83" t="s">
        <v>541</v>
      </c>
      <c r="L46" s="53">
        <v>232.14</v>
      </c>
      <c r="M46" s="89" t="s">
        <v>542</v>
      </c>
      <c r="N46" s="42"/>
    </row>
    <row r="47" spans="1:14">
      <c r="A47" s="36"/>
      <c r="B47" s="62" t="s">
        <v>406</v>
      </c>
      <c r="C47" s="37"/>
      <c r="D47" s="38">
        <v>46091</v>
      </c>
      <c r="E47" s="36" t="s">
        <v>422</v>
      </c>
      <c r="F47" s="74" t="s">
        <v>11</v>
      </c>
      <c r="G47" s="39">
        <v>6500</v>
      </c>
      <c r="H47" s="51">
        <v>46109</v>
      </c>
      <c r="I47" s="52">
        <v>6383.93</v>
      </c>
      <c r="J47" s="41">
        <f t="shared" si="1"/>
        <v>-2.8421709430404007E-13</v>
      </c>
      <c r="K47" s="83" t="s">
        <v>541</v>
      </c>
      <c r="L47" s="53">
        <v>116.07</v>
      </c>
      <c r="M47" s="89" t="s">
        <v>542</v>
      </c>
      <c r="N47" s="42"/>
    </row>
    <row r="48" spans="1:14">
      <c r="A48" s="36"/>
      <c r="B48" s="62" t="s">
        <v>407</v>
      </c>
      <c r="C48" s="37"/>
      <c r="D48" s="38">
        <v>46091</v>
      </c>
      <c r="E48" s="36" t="s">
        <v>423</v>
      </c>
      <c r="F48" s="74" t="s">
        <v>11</v>
      </c>
      <c r="G48" s="39">
        <v>6500</v>
      </c>
      <c r="H48" s="51">
        <v>46109</v>
      </c>
      <c r="I48" s="52">
        <v>6383.93</v>
      </c>
      <c r="J48" s="41">
        <f t="shared" si="1"/>
        <v>-2.8421709430404007E-13</v>
      </c>
      <c r="K48" s="83" t="s">
        <v>541</v>
      </c>
      <c r="L48" s="53">
        <v>116.07</v>
      </c>
      <c r="M48" s="89" t="s">
        <v>542</v>
      </c>
      <c r="N48" s="42"/>
    </row>
    <row r="49" spans="1:14">
      <c r="A49" s="36"/>
      <c r="B49" s="62" t="s">
        <v>410</v>
      </c>
      <c r="C49" s="37"/>
      <c r="D49" s="38">
        <v>46091</v>
      </c>
      <c r="E49" s="36" t="s">
        <v>424</v>
      </c>
      <c r="F49" s="74" t="s">
        <v>425</v>
      </c>
      <c r="G49" s="39">
        <v>19500</v>
      </c>
      <c r="H49" s="51">
        <v>46109</v>
      </c>
      <c r="I49" s="52">
        <v>19151.79</v>
      </c>
      <c r="J49" s="41">
        <f t="shared" si="1"/>
        <v>-8.5265128291212022E-13</v>
      </c>
      <c r="K49" s="83" t="s">
        <v>541</v>
      </c>
      <c r="L49" s="53">
        <v>348.21</v>
      </c>
      <c r="M49" s="89" t="s">
        <v>542</v>
      </c>
      <c r="N49" s="42"/>
    </row>
    <row r="50" spans="1:14">
      <c r="A50" s="36"/>
      <c r="B50" s="62" t="s">
        <v>411</v>
      </c>
      <c r="C50" s="37"/>
      <c r="D50" s="38">
        <v>46091</v>
      </c>
      <c r="E50" s="36" t="s">
        <v>426</v>
      </c>
      <c r="F50" s="74" t="s">
        <v>149</v>
      </c>
      <c r="G50" s="39">
        <v>25000</v>
      </c>
      <c r="H50" s="51">
        <v>46109</v>
      </c>
      <c r="I50" s="52">
        <v>24553.57</v>
      </c>
      <c r="J50" s="41">
        <f t="shared" si="1"/>
        <v>2.8421709430404007E-13</v>
      </c>
      <c r="K50" s="83" t="s">
        <v>541</v>
      </c>
      <c r="L50" s="53">
        <v>446.43</v>
      </c>
      <c r="M50" s="89" t="s">
        <v>542</v>
      </c>
      <c r="N50" s="42"/>
    </row>
    <row r="51" spans="1:14">
      <c r="A51" s="36"/>
      <c r="B51" s="62" t="s">
        <v>412</v>
      </c>
      <c r="C51" s="37"/>
      <c r="D51" s="38">
        <v>46091</v>
      </c>
      <c r="E51" s="36" t="s">
        <v>427</v>
      </c>
      <c r="F51" s="74" t="s">
        <v>428</v>
      </c>
      <c r="G51" s="39">
        <v>7500</v>
      </c>
      <c r="H51" s="51">
        <v>46109</v>
      </c>
      <c r="I51" s="52">
        <v>7366.07</v>
      </c>
      <c r="J51" s="41">
        <f t="shared" si="1"/>
        <v>2.8421709430404007E-13</v>
      </c>
      <c r="K51" s="83" t="s">
        <v>541</v>
      </c>
      <c r="L51" s="53">
        <v>133.93</v>
      </c>
      <c r="M51" s="89" t="s">
        <v>542</v>
      </c>
      <c r="N51" s="42"/>
    </row>
    <row r="52" spans="1:14">
      <c r="A52" s="36"/>
      <c r="B52" s="62" t="s">
        <v>413</v>
      </c>
      <c r="C52" s="37"/>
      <c r="D52" s="38">
        <v>46093</v>
      </c>
      <c r="E52" s="36" t="s">
        <v>476</v>
      </c>
      <c r="F52" s="74" t="s">
        <v>10</v>
      </c>
      <c r="G52" s="39">
        <v>5000</v>
      </c>
      <c r="H52" s="51">
        <v>46093</v>
      </c>
      <c r="I52" s="52">
        <v>5000</v>
      </c>
      <c r="J52" s="41">
        <f t="shared" si="1"/>
        <v>0</v>
      </c>
      <c r="K52" s="83" t="s">
        <v>541</v>
      </c>
      <c r="L52" s="53"/>
      <c r="M52" s="52"/>
      <c r="N52" s="42"/>
    </row>
    <row r="53" spans="1:14">
      <c r="A53" s="36"/>
      <c r="B53" s="62" t="s">
        <v>414</v>
      </c>
      <c r="C53" s="37"/>
      <c r="D53" s="38">
        <v>46094</v>
      </c>
      <c r="E53" s="36" t="s">
        <v>477</v>
      </c>
      <c r="F53" s="74" t="s">
        <v>10</v>
      </c>
      <c r="G53" s="39">
        <v>1500</v>
      </c>
      <c r="H53" s="51">
        <v>46094</v>
      </c>
      <c r="I53" s="52">
        <v>1500</v>
      </c>
      <c r="J53" s="41">
        <f t="shared" si="1"/>
        <v>0</v>
      </c>
      <c r="K53" s="83" t="s">
        <v>541</v>
      </c>
      <c r="L53" s="53"/>
      <c r="M53" s="52"/>
      <c r="N53" s="42"/>
    </row>
    <row r="54" spans="1:14">
      <c r="A54" s="36"/>
      <c r="B54" s="62" t="s">
        <v>415</v>
      </c>
      <c r="C54" s="37"/>
      <c r="D54" s="38">
        <v>46099</v>
      </c>
      <c r="E54" s="36" t="s">
        <v>478</v>
      </c>
      <c r="F54" s="74" t="s">
        <v>10</v>
      </c>
      <c r="G54" s="39">
        <v>1500</v>
      </c>
      <c r="H54" s="51">
        <v>46099</v>
      </c>
      <c r="I54" s="52">
        <v>1500</v>
      </c>
      <c r="J54" s="41">
        <f t="shared" si="1"/>
        <v>0</v>
      </c>
      <c r="K54" s="83" t="s">
        <v>541</v>
      </c>
      <c r="L54" s="53"/>
      <c r="M54" s="52"/>
      <c r="N54" s="42"/>
    </row>
    <row r="55" spans="1:14">
      <c r="A55" s="36"/>
      <c r="B55" s="62" t="s">
        <v>416</v>
      </c>
      <c r="C55" s="37"/>
      <c r="D55" s="38">
        <v>46100</v>
      </c>
      <c r="E55" s="36" t="s">
        <v>479</v>
      </c>
      <c r="F55" s="74" t="s">
        <v>480</v>
      </c>
      <c r="G55" s="39">
        <v>32000</v>
      </c>
      <c r="H55" s="51">
        <v>46099</v>
      </c>
      <c r="I55" s="52">
        <v>32000</v>
      </c>
      <c r="J55" s="41">
        <f t="shared" si="1"/>
        <v>0</v>
      </c>
      <c r="K55" s="83" t="s">
        <v>541</v>
      </c>
      <c r="L55" s="53"/>
      <c r="M55" s="52"/>
      <c r="N55" s="42"/>
    </row>
    <row r="56" spans="1:14">
      <c r="A56" s="36"/>
      <c r="B56" s="62" t="s">
        <v>417</v>
      </c>
      <c r="C56" s="37"/>
      <c r="D56" s="38">
        <v>46100</v>
      </c>
      <c r="E56" s="36" t="s">
        <v>481</v>
      </c>
      <c r="F56" s="74" t="s">
        <v>482</v>
      </c>
      <c r="G56" s="39">
        <v>47000</v>
      </c>
      <c r="H56" s="51">
        <v>46100</v>
      </c>
      <c r="I56" s="52">
        <v>47000</v>
      </c>
      <c r="J56" s="41">
        <f t="shared" si="1"/>
        <v>0</v>
      </c>
      <c r="K56" s="83" t="s">
        <v>541</v>
      </c>
      <c r="L56" s="53"/>
      <c r="M56" s="52"/>
      <c r="N56" s="42"/>
    </row>
    <row r="57" spans="1:14">
      <c r="A57" s="36"/>
      <c r="B57" s="62" t="s">
        <v>418</v>
      </c>
      <c r="C57" s="37"/>
      <c r="D57" s="38">
        <v>46100</v>
      </c>
      <c r="E57" s="36" t="s">
        <v>483</v>
      </c>
      <c r="F57" s="74" t="s">
        <v>482</v>
      </c>
      <c r="G57" s="39">
        <v>47000</v>
      </c>
      <c r="H57" s="51">
        <v>46100</v>
      </c>
      <c r="I57" s="52">
        <v>47000</v>
      </c>
      <c r="J57" s="41">
        <f t="shared" si="1"/>
        <v>0</v>
      </c>
      <c r="K57" s="83" t="s">
        <v>541</v>
      </c>
      <c r="L57" s="53"/>
      <c r="M57" s="52"/>
      <c r="N57" s="42"/>
    </row>
    <row r="58" spans="1:14">
      <c r="A58" s="36"/>
      <c r="B58" s="62" t="s">
        <v>419</v>
      </c>
      <c r="C58" s="37"/>
      <c r="D58" s="38">
        <v>46100</v>
      </c>
      <c r="E58" s="36" t="s">
        <v>484</v>
      </c>
      <c r="F58" s="74" t="s">
        <v>485</v>
      </c>
      <c r="G58" s="39">
        <v>67000</v>
      </c>
      <c r="H58" s="51">
        <v>46100</v>
      </c>
      <c r="I58" s="52">
        <v>67000</v>
      </c>
      <c r="J58" s="41">
        <f t="shared" si="1"/>
        <v>0</v>
      </c>
      <c r="K58" s="83" t="s">
        <v>541</v>
      </c>
      <c r="L58" s="53"/>
      <c r="M58" s="52"/>
      <c r="N58" s="42"/>
    </row>
    <row r="59" spans="1:14">
      <c r="A59" s="36"/>
      <c r="B59" s="62" t="s">
        <v>420</v>
      </c>
      <c r="C59" s="37"/>
      <c r="D59" s="38">
        <v>46104</v>
      </c>
      <c r="E59" s="36" t="s">
        <v>486</v>
      </c>
      <c r="F59" s="74" t="s">
        <v>10</v>
      </c>
      <c r="G59" s="39">
        <v>1500</v>
      </c>
      <c r="H59" s="51">
        <v>46104</v>
      </c>
      <c r="I59" s="52">
        <v>1500</v>
      </c>
      <c r="J59" s="41">
        <f t="shared" si="1"/>
        <v>0</v>
      </c>
      <c r="K59" s="83" t="s">
        <v>541</v>
      </c>
      <c r="L59" s="53"/>
      <c r="M59" s="52"/>
      <c r="N59" s="42"/>
    </row>
    <row r="60" spans="1:14">
      <c r="A60" s="36"/>
      <c r="B60" s="62" t="s">
        <v>421</v>
      </c>
      <c r="C60" s="37"/>
      <c r="D60" s="73">
        <v>46108</v>
      </c>
      <c r="E60" s="36" t="s">
        <v>512</v>
      </c>
      <c r="F60" s="74" t="s">
        <v>513</v>
      </c>
      <c r="G60" s="39">
        <v>150000</v>
      </c>
      <c r="H60" s="51">
        <v>46108</v>
      </c>
      <c r="I60" s="52">
        <v>147321.43</v>
      </c>
      <c r="J60" s="41">
        <f t="shared" si="1"/>
        <v>6.8212102632969618E-12</v>
      </c>
      <c r="K60" s="83" t="s">
        <v>541</v>
      </c>
      <c r="L60" s="53">
        <v>2678.57</v>
      </c>
      <c r="M60" s="52"/>
      <c r="N60" s="42"/>
    </row>
    <row r="61" spans="1:14">
      <c r="A61" s="36"/>
      <c r="B61" s="62" t="s">
        <v>503</v>
      </c>
      <c r="C61" s="37"/>
      <c r="D61" s="73">
        <v>46108</v>
      </c>
      <c r="E61" s="36" t="s">
        <v>506</v>
      </c>
      <c r="F61" s="74" t="s">
        <v>582</v>
      </c>
      <c r="G61" s="39">
        <v>154000</v>
      </c>
      <c r="H61" s="51">
        <v>46108</v>
      </c>
      <c r="I61" s="52">
        <v>154000</v>
      </c>
      <c r="J61" s="41">
        <f t="shared" si="1"/>
        <v>0</v>
      </c>
      <c r="K61" s="83" t="s">
        <v>541</v>
      </c>
      <c r="L61" s="53"/>
      <c r="M61" s="52"/>
      <c r="N61" s="42"/>
    </row>
    <row r="62" spans="1:14">
      <c r="A62" s="36"/>
      <c r="B62" s="62" t="s">
        <v>504</v>
      </c>
      <c r="C62" s="37"/>
      <c r="D62" s="73">
        <v>46108</v>
      </c>
      <c r="E62" s="36" t="s">
        <v>507</v>
      </c>
      <c r="F62" s="74" t="s">
        <v>10</v>
      </c>
      <c r="G62" s="39">
        <v>1000</v>
      </c>
      <c r="H62" s="51">
        <v>46108</v>
      </c>
      <c r="I62" s="52">
        <v>1000</v>
      </c>
      <c r="J62" s="41">
        <f t="shared" si="1"/>
        <v>0</v>
      </c>
      <c r="K62" s="83" t="s">
        <v>541</v>
      </c>
      <c r="L62" s="53"/>
      <c r="M62" s="52"/>
      <c r="N62" s="42"/>
    </row>
    <row r="63" spans="1:14">
      <c r="A63" s="36"/>
      <c r="B63" s="62" t="s">
        <v>505</v>
      </c>
      <c r="C63" s="37"/>
      <c r="D63" s="73">
        <v>46108</v>
      </c>
      <c r="E63" s="36" t="s">
        <v>514</v>
      </c>
      <c r="F63" s="74" t="s">
        <v>515</v>
      </c>
      <c r="G63" s="39">
        <v>130000</v>
      </c>
      <c r="H63" s="51">
        <v>46108</v>
      </c>
      <c r="I63" s="52">
        <v>127678.57</v>
      </c>
      <c r="J63" s="41">
        <f t="shared" si="1"/>
        <v>-6.8212102632969618E-12</v>
      </c>
      <c r="K63" s="83" t="s">
        <v>541</v>
      </c>
      <c r="L63" s="53">
        <v>2321.4299999999998</v>
      </c>
      <c r="M63" s="52"/>
      <c r="N63" s="42"/>
    </row>
    <row r="64" spans="1:14">
      <c r="A64" s="36"/>
      <c r="B64" s="62" t="s">
        <v>516</v>
      </c>
      <c r="C64" s="37"/>
      <c r="D64" s="38">
        <v>46112</v>
      </c>
      <c r="E64" s="36" t="s">
        <v>523</v>
      </c>
      <c r="F64" s="36" t="s">
        <v>519</v>
      </c>
      <c r="G64" s="39">
        <v>19500</v>
      </c>
      <c r="H64" s="51">
        <v>46112</v>
      </c>
      <c r="I64" s="52">
        <v>19500</v>
      </c>
      <c r="J64" s="41">
        <f t="shared" si="1"/>
        <v>0</v>
      </c>
      <c r="K64" s="83" t="s">
        <v>541</v>
      </c>
      <c r="L64" s="53"/>
      <c r="M64" s="52"/>
      <c r="N64" s="42"/>
    </row>
    <row r="65" spans="1:14">
      <c r="A65" s="36"/>
      <c r="B65" s="62" t="s">
        <v>517</v>
      </c>
      <c r="C65" s="37"/>
      <c r="D65" s="38"/>
      <c r="E65" s="75"/>
      <c r="F65" s="36"/>
      <c r="G65" s="39"/>
      <c r="H65" s="51"/>
      <c r="I65" s="52"/>
      <c r="J65" s="41">
        <f t="shared" si="1"/>
        <v>0</v>
      </c>
      <c r="K65" s="83" t="s">
        <v>125</v>
      </c>
      <c r="L65" s="53"/>
      <c r="M65" s="52"/>
      <c r="N65" s="42"/>
    </row>
    <row r="66" spans="1:14">
      <c r="A66" s="36"/>
      <c r="B66" s="62" t="s">
        <v>518</v>
      </c>
      <c r="C66" s="37"/>
      <c r="D66" s="38">
        <v>46112</v>
      </c>
      <c r="E66" s="36" t="s">
        <v>520</v>
      </c>
      <c r="F66" s="36" t="s">
        <v>521</v>
      </c>
      <c r="G66" s="39">
        <v>16750</v>
      </c>
      <c r="H66" s="51">
        <v>46112</v>
      </c>
      <c r="I66" s="52">
        <v>16151.79</v>
      </c>
      <c r="J66" s="41">
        <f t="shared" si="1"/>
        <v>-9.0949470177292824E-13</v>
      </c>
      <c r="K66" s="83" t="s">
        <v>541</v>
      </c>
      <c r="L66" s="53">
        <v>598.21</v>
      </c>
      <c r="M66" s="52"/>
      <c r="N66" s="42"/>
    </row>
    <row r="67" spans="1:14">
      <c r="A67" s="36" t="s">
        <v>395</v>
      </c>
      <c r="B67" s="62"/>
      <c r="C67" s="37"/>
      <c r="D67" s="38">
        <v>46087</v>
      </c>
      <c r="E67" s="36" t="s">
        <v>396</v>
      </c>
      <c r="F67" s="36" t="s">
        <v>357</v>
      </c>
      <c r="G67" s="39">
        <v>150</v>
      </c>
      <c r="H67" s="51">
        <v>46097</v>
      </c>
      <c r="I67" s="53">
        <v>150</v>
      </c>
      <c r="J67" s="41">
        <f t="shared" si="1"/>
        <v>0</v>
      </c>
      <c r="K67" s="83" t="s">
        <v>541</v>
      </c>
      <c r="L67" s="53"/>
      <c r="M67" s="53"/>
      <c r="N67" s="42"/>
    </row>
    <row r="68" spans="1:14">
      <c r="A68" s="36" t="s">
        <v>434</v>
      </c>
      <c r="B68" s="62"/>
      <c r="C68" s="37"/>
      <c r="D68" s="38">
        <v>46091</v>
      </c>
      <c r="E68" s="36" t="s">
        <v>436</v>
      </c>
      <c r="F68" s="36" t="s">
        <v>129</v>
      </c>
      <c r="G68" s="39">
        <v>960</v>
      </c>
      <c r="H68" s="51">
        <v>46091</v>
      </c>
      <c r="I68" s="53">
        <v>960</v>
      </c>
      <c r="J68" s="41">
        <f t="shared" si="1"/>
        <v>0</v>
      </c>
      <c r="K68" s="83" t="s">
        <v>541</v>
      </c>
      <c r="L68" s="53"/>
      <c r="M68" s="53"/>
      <c r="N68" s="42"/>
    </row>
    <row r="69" spans="1:14">
      <c r="A69" s="36" t="s">
        <v>435</v>
      </c>
      <c r="B69" s="62"/>
      <c r="C69" s="37"/>
      <c r="D69" s="38">
        <v>46091</v>
      </c>
      <c r="E69" s="36" t="s">
        <v>437</v>
      </c>
      <c r="F69" s="36" t="s">
        <v>129</v>
      </c>
      <c r="G69" s="39">
        <v>1096</v>
      </c>
      <c r="H69" s="51">
        <v>46091</v>
      </c>
      <c r="I69" s="53">
        <v>1096</v>
      </c>
      <c r="J69" s="41">
        <f t="shared" si="1"/>
        <v>0</v>
      </c>
      <c r="K69" s="83" t="s">
        <v>541</v>
      </c>
      <c r="L69" s="53"/>
      <c r="M69" s="53"/>
      <c r="N69" s="42"/>
    </row>
    <row r="70" spans="1:14">
      <c r="A70" s="36" t="s">
        <v>487</v>
      </c>
      <c r="B70" s="62"/>
      <c r="C70" s="37"/>
      <c r="D70" s="38">
        <v>46100</v>
      </c>
      <c r="E70" s="36" t="s">
        <v>489</v>
      </c>
      <c r="F70" s="36" t="s">
        <v>129</v>
      </c>
      <c r="G70" s="39">
        <v>1034</v>
      </c>
      <c r="H70" s="51">
        <v>46100</v>
      </c>
      <c r="I70" s="53">
        <v>1034</v>
      </c>
      <c r="J70" s="41">
        <f t="shared" ref="J70:J73" si="2">SUM(G70-I70-L70)</f>
        <v>0</v>
      </c>
      <c r="K70" s="83" t="s">
        <v>541</v>
      </c>
      <c r="L70" s="53"/>
      <c r="M70" s="53"/>
      <c r="N70" s="42"/>
    </row>
    <row r="71" spans="1:14">
      <c r="A71" s="36" t="s">
        <v>488</v>
      </c>
      <c r="B71" s="62"/>
      <c r="C71" s="37"/>
      <c r="D71" s="38">
        <v>46100</v>
      </c>
      <c r="E71" s="36" t="s">
        <v>490</v>
      </c>
      <c r="F71" s="36" t="s">
        <v>129</v>
      </c>
      <c r="G71" s="39">
        <v>1010</v>
      </c>
      <c r="H71" s="51">
        <v>46100</v>
      </c>
      <c r="I71" s="53">
        <v>1010</v>
      </c>
      <c r="J71" s="41">
        <f t="shared" si="2"/>
        <v>0</v>
      </c>
      <c r="K71" s="83" t="s">
        <v>541</v>
      </c>
      <c r="L71" s="53"/>
      <c r="M71" s="53"/>
      <c r="N71" s="42"/>
    </row>
    <row r="72" spans="1:14">
      <c r="A72" s="36" t="s">
        <v>508</v>
      </c>
      <c r="B72" s="62"/>
      <c r="C72" s="37"/>
      <c r="D72" s="38">
        <v>46112</v>
      </c>
      <c r="E72" s="36" t="s">
        <v>510</v>
      </c>
      <c r="F72" s="36" t="s">
        <v>129</v>
      </c>
      <c r="G72" s="39">
        <v>1296</v>
      </c>
      <c r="H72" s="51">
        <v>46112</v>
      </c>
      <c r="I72" s="39">
        <v>1296</v>
      </c>
      <c r="J72" s="41">
        <f t="shared" si="2"/>
        <v>0</v>
      </c>
      <c r="K72" s="83" t="s">
        <v>541</v>
      </c>
      <c r="L72" s="53"/>
      <c r="M72" s="52"/>
      <c r="N72" s="42"/>
    </row>
    <row r="73" spans="1:14">
      <c r="A73" s="36" t="s">
        <v>509</v>
      </c>
      <c r="B73" s="62"/>
      <c r="C73" s="37"/>
      <c r="D73" s="38">
        <v>46112</v>
      </c>
      <c r="E73" s="36" t="s">
        <v>511</v>
      </c>
      <c r="F73" s="36" t="s">
        <v>129</v>
      </c>
      <c r="G73" s="39">
        <v>1190</v>
      </c>
      <c r="H73" s="51">
        <v>46112</v>
      </c>
      <c r="I73" s="39">
        <v>1190</v>
      </c>
      <c r="J73" s="41">
        <f t="shared" si="2"/>
        <v>0</v>
      </c>
      <c r="K73" s="83" t="s">
        <v>541</v>
      </c>
      <c r="L73" s="53"/>
      <c r="M73" s="52"/>
      <c r="N73" s="42"/>
    </row>
    <row r="74" spans="1:14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</row>
  </sheetData>
  <dataConsolidate/>
  <phoneticPr fontId="8" type="noConversion"/>
  <conditionalFormatting sqref="K6:K21">
    <cfRule type="cellIs" dxfId="116" priority="31" operator="equal">
      <formula>"PAID"</formula>
    </cfRule>
    <cfRule type="cellIs" dxfId="115" priority="32" operator="equal">
      <formula>"PAID"</formula>
    </cfRule>
    <cfRule type="cellIs" dxfId="114" priority="64" operator="equal">
      <formula>"PAID"</formula>
    </cfRule>
    <cfRule type="cellIs" dxfId="113" priority="65" operator="equal">
      <formula>"PAID"</formula>
    </cfRule>
  </conditionalFormatting>
  <conditionalFormatting sqref="K22">
    <cfRule type="cellIs" dxfId="112" priority="30" operator="equal">
      <formula>"CANCEL"</formula>
    </cfRule>
  </conditionalFormatting>
  <conditionalFormatting sqref="K23:K31">
    <cfRule type="cellIs" dxfId="111" priority="12" operator="equal">
      <formula>"PAID"</formula>
    </cfRule>
    <cfRule type="cellIs" dxfId="110" priority="13" operator="equal">
      <formula>"PAID"</formula>
    </cfRule>
    <cfRule type="cellIs" dxfId="109" priority="14" operator="equal">
      <formula>"PAID"</formula>
    </cfRule>
    <cfRule type="cellIs" dxfId="108" priority="15" operator="equal">
      <formula>"PAID"</formula>
    </cfRule>
  </conditionalFormatting>
  <conditionalFormatting sqref="K32">
    <cfRule type="cellIs" dxfId="107" priority="1" operator="equal">
      <formula>"PARTIAL"</formula>
    </cfRule>
    <cfRule type="cellIs" dxfId="106" priority="2" operator="equal">
      <formula>"CANCEL"</formula>
    </cfRule>
  </conditionalFormatting>
  <conditionalFormatting sqref="K33:K64 K66:K73">
    <cfRule type="cellIs" dxfId="105" priority="4" operator="equal">
      <formula>"PAID"</formula>
    </cfRule>
    <cfRule type="cellIs" dxfId="104" priority="5" operator="equal">
      <formula>"PAID"</formula>
    </cfRule>
    <cfRule type="cellIs" dxfId="103" priority="6" operator="equal">
      <formula>"PAID"</formula>
    </cfRule>
    <cfRule type="cellIs" dxfId="102" priority="7" operator="equal">
      <formula>"PAID"</formula>
    </cfRule>
  </conditionalFormatting>
  <conditionalFormatting sqref="K65">
    <cfRule type="cellIs" dxfId="101" priority="3" operator="equal">
      <formula>"CANCEL"</formula>
    </cfRule>
  </conditionalFormatting>
  <dataValidations count="2">
    <dataValidation type="list" allowBlank="1" showInputMessage="1" showErrorMessage="1" sqref="L4 M1:M1048576" xr:uid="{58E4A933-A471-481D-B6AB-F927EB0CAA72}">
      <formula1>"COMPLETE,LACKING,N/A"</formula1>
    </dataValidation>
    <dataValidation type="list" allowBlank="1" showInputMessage="1" showErrorMessage="1" sqref="K1:K1048576" xr:uid="{6A218609-4E5F-490C-AA2E-3DA791118BAD}">
      <formula1>"PAID, UNPAID, CANCEL, PARTIAL"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9D6E8-A3B9-4A12-899E-18DE937CF3AB}">
  <dimension ref="A1:O82"/>
  <sheetViews>
    <sheetView zoomScaleNormal="100" workbookViewId="0">
      <pane ySplit="4" topLeftCell="A77" activePane="bottomLeft" state="frozen"/>
      <selection pane="bottomLeft" activeCell="A81" sqref="A81"/>
    </sheetView>
  </sheetViews>
  <sheetFormatPr defaultRowHeight="15"/>
  <cols>
    <col min="1" max="1" width="17.85546875" customWidth="1"/>
    <col min="2" max="2" width="12.5703125" customWidth="1"/>
    <col min="3" max="3" width="12.85546875" style="65" customWidth="1"/>
    <col min="4" max="4" width="10" customWidth="1"/>
    <col min="5" max="5" width="78.85546875" bestFit="1" customWidth="1"/>
    <col min="6" max="6" width="67.42578125" customWidth="1"/>
    <col min="7" max="7" width="15.5703125" customWidth="1"/>
    <col min="8" max="8" width="11.7109375" customWidth="1"/>
    <col min="9" max="9" width="14.140625" customWidth="1"/>
    <col min="10" max="10" width="13.140625" customWidth="1"/>
    <col min="11" max="11" width="13.140625" style="65" customWidth="1"/>
    <col min="12" max="12" width="13.140625" customWidth="1"/>
    <col min="13" max="13" width="12.7109375" customWidth="1"/>
  </cols>
  <sheetData>
    <row r="1" spans="1:15">
      <c r="A1" s="1" t="s">
        <v>531</v>
      </c>
      <c r="B1" s="1"/>
      <c r="C1" s="2"/>
      <c r="D1" s="3"/>
      <c r="E1" s="4"/>
      <c r="F1" s="5"/>
      <c r="G1" s="6"/>
      <c r="H1" s="7"/>
      <c r="I1" s="8"/>
      <c r="J1" s="9"/>
      <c r="K1" s="78"/>
      <c r="L1" s="9"/>
      <c r="M1" s="8"/>
    </row>
    <row r="2" spans="1:15" ht="15.75" thickBot="1">
      <c r="A2" s="10"/>
      <c r="B2" s="10"/>
      <c r="C2" s="11"/>
      <c r="D2" s="12"/>
      <c r="E2" s="13"/>
      <c r="F2" s="14"/>
      <c r="G2" s="15"/>
      <c r="H2" s="16"/>
      <c r="I2" s="17"/>
      <c r="J2" s="18"/>
      <c r="K2" s="15"/>
      <c r="L2" s="18"/>
      <c r="M2" s="17"/>
    </row>
    <row r="3" spans="1:15" ht="25.5">
      <c r="A3" s="19" t="s">
        <v>2</v>
      </c>
      <c r="B3" s="19" t="s">
        <v>0</v>
      </c>
      <c r="C3" s="20" t="s">
        <v>1</v>
      </c>
      <c r="D3" s="21" t="s">
        <v>2</v>
      </c>
      <c r="E3" s="22" t="s">
        <v>3</v>
      </c>
      <c r="F3" s="23" t="s">
        <v>4</v>
      </c>
      <c r="G3" s="24" t="s">
        <v>5</v>
      </c>
      <c r="H3" s="25" t="s">
        <v>532</v>
      </c>
      <c r="I3" s="26" t="s">
        <v>6</v>
      </c>
      <c r="J3" s="24" t="s">
        <v>534</v>
      </c>
      <c r="K3" s="81" t="s">
        <v>533</v>
      </c>
      <c r="L3" s="27" t="s">
        <v>540</v>
      </c>
      <c r="M3" s="27" t="s">
        <v>536</v>
      </c>
    </row>
    <row r="4" spans="1:15">
      <c r="A4" s="28"/>
      <c r="B4" s="28"/>
      <c r="C4" s="29"/>
      <c r="D4" s="30"/>
      <c r="E4" s="31"/>
      <c r="F4" s="32"/>
      <c r="G4" s="33"/>
      <c r="H4" s="34"/>
      <c r="I4" s="35"/>
      <c r="J4" s="33"/>
      <c r="K4" s="82"/>
      <c r="L4" s="77" t="s">
        <v>537</v>
      </c>
      <c r="M4" s="77" t="s">
        <v>537</v>
      </c>
    </row>
    <row r="5" spans="1:15">
      <c r="A5" s="93" t="s">
        <v>7</v>
      </c>
      <c r="B5" s="59"/>
      <c r="C5" s="57"/>
      <c r="D5" s="58"/>
      <c r="E5" s="59"/>
      <c r="F5" s="59"/>
      <c r="G5" s="60"/>
      <c r="H5" s="58"/>
      <c r="I5" s="55"/>
      <c r="J5" s="47"/>
      <c r="K5" s="94"/>
      <c r="L5" s="61"/>
      <c r="M5" s="55"/>
      <c r="O5" s="42"/>
    </row>
    <row r="6" spans="1:15">
      <c r="A6" s="56"/>
      <c r="B6" s="54" t="s">
        <v>8</v>
      </c>
      <c r="C6" s="57"/>
      <c r="D6" s="58">
        <v>45854</v>
      </c>
      <c r="E6" s="59" t="s">
        <v>9</v>
      </c>
      <c r="F6" s="59" t="s">
        <v>10</v>
      </c>
      <c r="G6" s="60">
        <v>4000</v>
      </c>
      <c r="H6" s="58"/>
      <c r="I6" s="55">
        <v>3928.58</v>
      </c>
      <c r="J6" s="61">
        <f>SUM(G6-I6-L6)</f>
        <v>71.420000000000073</v>
      </c>
      <c r="K6" s="87" t="s">
        <v>551</v>
      </c>
      <c r="L6" s="61"/>
      <c r="M6" s="87" t="s">
        <v>538</v>
      </c>
      <c r="O6" s="42"/>
    </row>
    <row r="7" spans="1:15">
      <c r="A7" s="93" t="s">
        <v>13</v>
      </c>
      <c r="B7" s="54"/>
      <c r="C7" s="44"/>
      <c r="D7" s="58"/>
      <c r="E7" s="59"/>
      <c r="F7" s="59"/>
      <c r="G7" s="60"/>
      <c r="H7" s="58"/>
      <c r="I7" s="55"/>
      <c r="J7" s="47"/>
      <c r="K7" s="94"/>
      <c r="L7" s="61"/>
      <c r="M7" s="55"/>
      <c r="O7" s="42"/>
    </row>
    <row r="8" spans="1:15">
      <c r="A8" s="43"/>
      <c r="B8" s="54" t="s">
        <v>115</v>
      </c>
      <c r="C8" s="44"/>
      <c r="D8" s="58">
        <v>46038</v>
      </c>
      <c r="E8" s="59" t="s">
        <v>119</v>
      </c>
      <c r="F8" s="59" t="s">
        <v>11</v>
      </c>
      <c r="G8" s="60">
        <v>10000</v>
      </c>
      <c r="H8" s="58">
        <v>46036</v>
      </c>
      <c r="I8" s="55">
        <v>9821.43</v>
      </c>
      <c r="J8" s="61">
        <f t="shared" ref="J8:J81" si="0">SUM(G8-I8-L8)</f>
        <v>178.56999999999971</v>
      </c>
      <c r="K8" s="87" t="s">
        <v>551</v>
      </c>
      <c r="L8" s="61"/>
      <c r="M8" s="87" t="s">
        <v>538</v>
      </c>
      <c r="O8" s="42"/>
    </row>
    <row r="9" spans="1:15">
      <c r="A9" s="43"/>
      <c r="B9" s="54" t="s">
        <v>140</v>
      </c>
      <c r="C9" s="44"/>
      <c r="D9" s="58">
        <v>46052</v>
      </c>
      <c r="E9" s="59" t="s">
        <v>176</v>
      </c>
      <c r="F9" s="59" t="s">
        <v>11</v>
      </c>
      <c r="G9" s="60">
        <v>10000</v>
      </c>
      <c r="H9" s="58">
        <v>46052</v>
      </c>
      <c r="I9" s="55">
        <v>9821.43</v>
      </c>
      <c r="J9" s="61">
        <f t="shared" si="0"/>
        <v>178.56999999999971</v>
      </c>
      <c r="K9" s="87" t="s">
        <v>551</v>
      </c>
      <c r="L9" s="61"/>
      <c r="M9" s="87" t="s">
        <v>538</v>
      </c>
      <c r="N9" t="s">
        <v>638</v>
      </c>
      <c r="O9" s="42"/>
    </row>
    <row r="10" spans="1:15">
      <c r="A10" s="43"/>
      <c r="B10" s="54" t="s">
        <v>178</v>
      </c>
      <c r="C10" s="44"/>
      <c r="D10" s="45">
        <v>46052</v>
      </c>
      <c r="E10" s="43" t="s">
        <v>177</v>
      </c>
      <c r="F10" s="43" t="s">
        <v>11</v>
      </c>
      <c r="G10" s="46">
        <v>10000</v>
      </c>
      <c r="H10" s="58">
        <v>46052</v>
      </c>
      <c r="I10" s="55">
        <v>9821.43</v>
      </c>
      <c r="J10" s="61">
        <f t="shared" si="0"/>
        <v>178.56999999999971</v>
      </c>
      <c r="K10" s="87" t="s">
        <v>551</v>
      </c>
      <c r="L10" s="61"/>
      <c r="M10" s="87" t="s">
        <v>538</v>
      </c>
      <c r="O10" s="42"/>
    </row>
    <row r="11" spans="1:15">
      <c r="A11" s="56" t="s">
        <v>181</v>
      </c>
      <c r="B11" s="54"/>
      <c r="C11" s="44"/>
      <c r="D11" s="45"/>
      <c r="E11" s="43"/>
      <c r="F11" s="43"/>
      <c r="G11" s="46"/>
      <c r="H11" s="45"/>
      <c r="I11" s="95"/>
      <c r="J11" s="47"/>
      <c r="K11" s="96"/>
      <c r="L11" s="47"/>
      <c r="M11" s="95"/>
      <c r="O11" s="42"/>
    </row>
    <row r="12" spans="1:15">
      <c r="A12" s="43"/>
      <c r="B12" s="54"/>
      <c r="C12" s="44" t="s">
        <v>286</v>
      </c>
      <c r="D12" s="45">
        <v>46073</v>
      </c>
      <c r="E12" s="43" t="s">
        <v>322</v>
      </c>
      <c r="F12" s="43" t="s">
        <v>303</v>
      </c>
      <c r="G12" s="46">
        <v>36000</v>
      </c>
      <c r="H12" s="58">
        <v>46073</v>
      </c>
      <c r="I12" s="55">
        <v>35678.58</v>
      </c>
      <c r="J12" s="61">
        <f t="shared" si="0"/>
        <v>321.41999999999825</v>
      </c>
      <c r="K12" s="87" t="s">
        <v>551</v>
      </c>
      <c r="L12" s="61"/>
      <c r="M12" s="87" t="s">
        <v>538</v>
      </c>
      <c r="O12" s="42"/>
    </row>
    <row r="13" spans="1:15">
      <c r="A13" s="43"/>
      <c r="B13" s="54" t="s">
        <v>325</v>
      </c>
      <c r="C13" s="44"/>
      <c r="D13" s="45">
        <v>46073</v>
      </c>
      <c r="E13" s="43" t="s">
        <v>322</v>
      </c>
      <c r="F13" s="43" t="s">
        <v>330</v>
      </c>
      <c r="G13" s="46">
        <v>48000</v>
      </c>
      <c r="H13" s="58">
        <v>46073</v>
      </c>
      <c r="I13" s="55">
        <v>47142.86</v>
      </c>
      <c r="J13" s="61">
        <f t="shared" si="0"/>
        <v>857.13999999999942</v>
      </c>
      <c r="K13" s="87" t="s">
        <v>551</v>
      </c>
      <c r="L13" s="61"/>
      <c r="M13" s="87" t="s">
        <v>538</v>
      </c>
      <c r="O13" s="42"/>
    </row>
    <row r="14" spans="1:15">
      <c r="A14" s="56" t="s">
        <v>366</v>
      </c>
      <c r="B14" s="54"/>
      <c r="C14" s="44"/>
      <c r="D14" s="45"/>
      <c r="E14" s="43"/>
      <c r="F14" s="43"/>
      <c r="G14" s="46"/>
      <c r="H14" s="58"/>
      <c r="I14" s="55"/>
      <c r="J14" s="47"/>
      <c r="K14" s="94"/>
      <c r="L14" s="61"/>
      <c r="M14" s="55"/>
      <c r="O14" s="42"/>
    </row>
    <row r="15" spans="1:15">
      <c r="A15" s="43"/>
      <c r="B15" s="54"/>
      <c r="C15" s="44" t="s">
        <v>466</v>
      </c>
      <c r="D15" s="45">
        <v>46108</v>
      </c>
      <c r="E15" s="43" t="s">
        <v>492</v>
      </c>
      <c r="F15" s="43" t="s">
        <v>493</v>
      </c>
      <c r="G15" s="46">
        <v>61000</v>
      </c>
      <c r="H15" s="58">
        <v>46132</v>
      </c>
      <c r="I15" s="55">
        <v>60455.360000000001</v>
      </c>
      <c r="J15" s="61">
        <f t="shared" si="0"/>
        <v>544.63999999999942</v>
      </c>
      <c r="K15" s="87" t="s">
        <v>551</v>
      </c>
      <c r="L15" s="61"/>
      <c r="M15" s="87" t="s">
        <v>538</v>
      </c>
      <c r="O15" s="42"/>
    </row>
    <row r="16" spans="1:15">
      <c r="A16" s="63" t="s">
        <v>524</v>
      </c>
      <c r="B16" s="62"/>
      <c r="C16" s="92"/>
      <c r="D16" s="36"/>
      <c r="E16" s="36"/>
      <c r="F16" s="36"/>
      <c r="G16" s="36"/>
      <c r="H16" s="36"/>
      <c r="I16" s="36"/>
      <c r="J16" s="36"/>
      <c r="K16" s="92"/>
      <c r="L16" s="36"/>
      <c r="M16" s="36"/>
      <c r="O16" s="42"/>
    </row>
    <row r="17" spans="1:15">
      <c r="A17" s="91"/>
      <c r="B17" s="69"/>
      <c r="C17" s="50" t="s">
        <v>525</v>
      </c>
      <c r="D17" s="51">
        <v>46118</v>
      </c>
      <c r="E17" s="49" t="s">
        <v>526</v>
      </c>
      <c r="F17" s="49" t="s">
        <v>527</v>
      </c>
      <c r="G17" s="52">
        <v>7750</v>
      </c>
      <c r="H17" s="51">
        <v>46118</v>
      </c>
      <c r="I17" s="53">
        <v>7680.8</v>
      </c>
      <c r="J17" s="79">
        <f>SUM(G17-I17-L17)</f>
        <v>-1.8474111129762605E-13</v>
      </c>
      <c r="K17" s="84" t="s">
        <v>541</v>
      </c>
      <c r="L17" s="76">
        <v>69.2</v>
      </c>
      <c r="M17" s="83" t="s">
        <v>542</v>
      </c>
      <c r="O17" s="42"/>
    </row>
    <row r="18" spans="1:15">
      <c r="A18" s="68"/>
      <c r="B18" s="69"/>
      <c r="C18" s="37" t="s">
        <v>528</v>
      </c>
      <c r="D18" s="71">
        <v>46118</v>
      </c>
      <c r="E18" s="36" t="s">
        <v>526</v>
      </c>
      <c r="F18" s="36" t="s">
        <v>530</v>
      </c>
      <c r="G18" s="39">
        <v>5000</v>
      </c>
      <c r="H18" s="51">
        <v>46118</v>
      </c>
      <c r="I18" s="53">
        <v>4955.3599999999997</v>
      </c>
      <c r="J18" s="79">
        <f t="shared" si="0"/>
        <v>3.2684965844964609E-13</v>
      </c>
      <c r="K18" s="84" t="s">
        <v>541</v>
      </c>
      <c r="L18" s="76">
        <v>44.64</v>
      </c>
      <c r="M18" s="83" t="s">
        <v>542</v>
      </c>
      <c r="O18" s="42"/>
    </row>
    <row r="19" spans="1:15">
      <c r="A19" s="36"/>
      <c r="B19" s="62"/>
      <c r="C19" s="37" t="s">
        <v>529</v>
      </c>
      <c r="D19" s="38"/>
      <c r="E19" s="86"/>
      <c r="F19" s="36"/>
      <c r="G19" s="39"/>
      <c r="H19" s="51"/>
      <c r="I19" s="53"/>
      <c r="J19" s="79"/>
      <c r="K19" s="84" t="s">
        <v>125</v>
      </c>
      <c r="L19" s="76"/>
      <c r="M19" s="83"/>
      <c r="O19" s="42"/>
    </row>
    <row r="20" spans="1:15">
      <c r="A20" s="36"/>
      <c r="B20" s="62"/>
      <c r="C20" s="37" t="s">
        <v>543</v>
      </c>
      <c r="D20" s="38">
        <v>46122</v>
      </c>
      <c r="E20" s="86" t="s">
        <v>549</v>
      </c>
      <c r="F20" s="36" t="s">
        <v>550</v>
      </c>
      <c r="G20" s="39">
        <v>1400</v>
      </c>
      <c r="H20" s="51">
        <v>46122</v>
      </c>
      <c r="I20" s="53">
        <v>1387.5</v>
      </c>
      <c r="J20" s="79">
        <f t="shared" si="0"/>
        <v>0</v>
      </c>
      <c r="K20" s="84" t="s">
        <v>541</v>
      </c>
      <c r="L20" s="76">
        <v>12.5</v>
      </c>
      <c r="M20" s="83" t="s">
        <v>542</v>
      </c>
      <c r="O20" s="42"/>
    </row>
    <row r="21" spans="1:15">
      <c r="A21" s="36"/>
      <c r="B21" s="62"/>
      <c r="C21" s="37" t="s">
        <v>544</v>
      </c>
      <c r="D21" s="38">
        <v>46122</v>
      </c>
      <c r="E21" s="86" t="s">
        <v>552</v>
      </c>
      <c r="F21" s="36" t="s">
        <v>553</v>
      </c>
      <c r="G21" s="39">
        <v>15000</v>
      </c>
      <c r="H21" s="51"/>
      <c r="I21" s="53"/>
      <c r="J21" s="79">
        <f t="shared" si="0"/>
        <v>15000</v>
      </c>
      <c r="K21" s="88" t="s">
        <v>535</v>
      </c>
      <c r="L21" s="76"/>
      <c r="M21" s="53"/>
      <c r="O21" s="42"/>
    </row>
    <row r="22" spans="1:15">
      <c r="A22" s="36"/>
      <c r="B22" s="62"/>
      <c r="C22" s="37" t="s">
        <v>545</v>
      </c>
      <c r="D22" s="38">
        <v>46122</v>
      </c>
      <c r="E22" s="86" t="s">
        <v>554</v>
      </c>
      <c r="F22" s="74" t="s">
        <v>553</v>
      </c>
      <c r="G22" s="39">
        <v>15000</v>
      </c>
      <c r="H22" s="51"/>
      <c r="I22" s="39"/>
      <c r="J22" s="79">
        <f t="shared" si="0"/>
        <v>15000</v>
      </c>
      <c r="K22" s="88" t="s">
        <v>535</v>
      </c>
      <c r="L22" s="76"/>
      <c r="M22" s="53"/>
      <c r="O22" s="42"/>
    </row>
    <row r="23" spans="1:15">
      <c r="A23" s="36"/>
      <c r="B23" s="62"/>
      <c r="C23" s="37" t="s">
        <v>546</v>
      </c>
      <c r="D23" s="38">
        <v>46122</v>
      </c>
      <c r="E23" s="86" t="s">
        <v>555</v>
      </c>
      <c r="F23" s="74" t="s">
        <v>556</v>
      </c>
      <c r="G23" s="39">
        <v>1500</v>
      </c>
      <c r="H23" s="51">
        <v>46122</v>
      </c>
      <c r="I23" s="39">
        <v>1500</v>
      </c>
      <c r="J23" s="79">
        <f t="shared" si="0"/>
        <v>0</v>
      </c>
      <c r="K23" s="84" t="s">
        <v>541</v>
      </c>
      <c r="L23" s="76"/>
      <c r="M23" s="53"/>
      <c r="O23" s="42"/>
    </row>
    <row r="24" spans="1:15">
      <c r="A24" s="36"/>
      <c r="B24" s="62"/>
      <c r="C24" s="37" t="s">
        <v>547</v>
      </c>
      <c r="D24" s="38">
        <v>46122</v>
      </c>
      <c r="E24" s="86" t="s">
        <v>557</v>
      </c>
      <c r="F24" s="74" t="s">
        <v>558</v>
      </c>
      <c r="G24" s="39">
        <v>15000</v>
      </c>
      <c r="H24" s="51"/>
      <c r="I24" s="39"/>
      <c r="J24" s="79">
        <f t="shared" si="0"/>
        <v>15000</v>
      </c>
      <c r="K24" s="88" t="s">
        <v>535</v>
      </c>
      <c r="L24" s="76"/>
      <c r="M24" s="53"/>
      <c r="O24" s="42"/>
    </row>
    <row r="25" spans="1:15">
      <c r="A25" s="36"/>
      <c r="B25" s="62"/>
      <c r="C25" s="37" t="s">
        <v>548</v>
      </c>
      <c r="D25" s="38">
        <v>46125</v>
      </c>
      <c r="E25" s="86" t="s">
        <v>283</v>
      </c>
      <c r="F25" s="74" t="s">
        <v>32</v>
      </c>
      <c r="G25" s="39">
        <v>2500</v>
      </c>
      <c r="H25" s="51">
        <v>46125</v>
      </c>
      <c r="I25" s="52">
        <v>2500</v>
      </c>
      <c r="J25" s="79">
        <f t="shared" si="0"/>
        <v>0</v>
      </c>
      <c r="K25" s="84" t="s">
        <v>541</v>
      </c>
      <c r="L25" s="76"/>
      <c r="M25" s="53"/>
      <c r="O25" s="42"/>
    </row>
    <row r="26" spans="1:15">
      <c r="A26" s="36"/>
      <c r="B26" s="62"/>
      <c r="C26" s="37" t="s">
        <v>559</v>
      </c>
      <c r="D26" s="38">
        <v>46127</v>
      </c>
      <c r="E26" s="85" t="s">
        <v>564</v>
      </c>
      <c r="F26" s="74" t="s">
        <v>556</v>
      </c>
      <c r="G26" s="39">
        <v>1500</v>
      </c>
      <c r="H26" s="51">
        <v>46127</v>
      </c>
      <c r="I26" s="52">
        <v>1500</v>
      </c>
      <c r="J26" s="79">
        <f t="shared" si="0"/>
        <v>0</v>
      </c>
      <c r="K26" s="84" t="s">
        <v>541</v>
      </c>
      <c r="L26" s="76"/>
      <c r="M26" s="53"/>
      <c r="O26" s="42"/>
    </row>
    <row r="27" spans="1:15">
      <c r="A27" s="36"/>
      <c r="B27" s="62"/>
      <c r="C27" s="37" t="s">
        <v>560</v>
      </c>
      <c r="D27" s="38">
        <v>46128</v>
      </c>
      <c r="E27" s="86" t="s">
        <v>471</v>
      </c>
      <c r="F27" s="74" t="s">
        <v>497</v>
      </c>
      <c r="G27" s="39">
        <v>14000</v>
      </c>
      <c r="H27" s="51">
        <v>46128</v>
      </c>
      <c r="I27" s="52">
        <v>14000</v>
      </c>
      <c r="J27" s="79">
        <f t="shared" si="0"/>
        <v>0</v>
      </c>
      <c r="K27" s="84" t="s">
        <v>541</v>
      </c>
      <c r="L27" s="76"/>
      <c r="M27" s="53"/>
      <c r="O27" s="42"/>
    </row>
    <row r="28" spans="1:15">
      <c r="A28" s="36"/>
      <c r="B28" s="62"/>
      <c r="C28" s="37" t="s">
        <v>561</v>
      </c>
      <c r="D28" s="38">
        <v>46133</v>
      </c>
      <c r="E28" s="36" t="s">
        <v>565</v>
      </c>
      <c r="F28" s="74" t="s">
        <v>566</v>
      </c>
      <c r="G28" s="39">
        <v>21000</v>
      </c>
      <c r="H28" s="51">
        <v>46128</v>
      </c>
      <c r="I28" s="52">
        <v>21000</v>
      </c>
      <c r="J28" s="79">
        <f t="shared" si="0"/>
        <v>0</v>
      </c>
      <c r="K28" s="84" t="s">
        <v>541</v>
      </c>
      <c r="L28" s="76"/>
      <c r="M28" s="53"/>
      <c r="O28" s="42"/>
    </row>
    <row r="29" spans="1:15">
      <c r="A29" s="36"/>
      <c r="B29" s="62"/>
      <c r="C29" s="37" t="s">
        <v>562</v>
      </c>
      <c r="D29" s="51">
        <v>46129</v>
      </c>
      <c r="E29" s="49" t="s">
        <v>583</v>
      </c>
      <c r="F29" s="49" t="s">
        <v>584</v>
      </c>
      <c r="G29" s="52">
        <v>27500</v>
      </c>
      <c r="H29" s="51">
        <v>46129</v>
      </c>
      <c r="I29" s="52">
        <v>27254.46</v>
      </c>
      <c r="J29" s="79">
        <f t="shared" si="0"/>
        <v>8.8107299234252423E-13</v>
      </c>
      <c r="K29" s="84" t="s">
        <v>541</v>
      </c>
      <c r="L29" s="76">
        <v>245.54</v>
      </c>
      <c r="M29" s="83" t="s">
        <v>542</v>
      </c>
      <c r="O29" s="42"/>
    </row>
    <row r="30" spans="1:15">
      <c r="A30" s="36"/>
      <c r="B30" s="62"/>
      <c r="C30" s="37" t="s">
        <v>563</v>
      </c>
      <c r="D30" s="51">
        <v>46129</v>
      </c>
      <c r="E30" s="49" t="s">
        <v>583</v>
      </c>
      <c r="F30" s="49" t="s">
        <v>585</v>
      </c>
      <c r="G30" s="52">
        <v>27500</v>
      </c>
      <c r="H30" s="51">
        <v>46129</v>
      </c>
      <c r="I30" s="52">
        <v>27254.46</v>
      </c>
      <c r="J30" s="79">
        <f t="shared" si="0"/>
        <v>8.8107299234252423E-13</v>
      </c>
      <c r="K30" s="84" t="s">
        <v>541</v>
      </c>
      <c r="L30" s="76">
        <v>245.54</v>
      </c>
      <c r="M30" s="83" t="s">
        <v>542</v>
      </c>
      <c r="O30" s="42"/>
    </row>
    <row r="31" spans="1:15">
      <c r="A31" s="36"/>
      <c r="B31" s="62"/>
      <c r="C31" s="37" t="s">
        <v>589</v>
      </c>
      <c r="D31" s="38">
        <v>46132</v>
      </c>
      <c r="E31" s="36" t="s">
        <v>586</v>
      </c>
      <c r="F31" s="36" t="s">
        <v>587</v>
      </c>
      <c r="G31" s="39">
        <v>18000</v>
      </c>
      <c r="H31" s="51">
        <v>46132</v>
      </c>
      <c r="I31" s="52">
        <v>18000</v>
      </c>
      <c r="J31" s="79">
        <f t="shared" si="0"/>
        <v>0</v>
      </c>
      <c r="K31" s="84" t="s">
        <v>541</v>
      </c>
      <c r="L31" s="76"/>
      <c r="M31" s="83" t="s">
        <v>539</v>
      </c>
      <c r="O31" s="42"/>
    </row>
    <row r="32" spans="1:15">
      <c r="A32" s="36"/>
      <c r="B32" s="62"/>
      <c r="C32" s="37" t="s">
        <v>590</v>
      </c>
      <c r="D32" s="38">
        <v>46129</v>
      </c>
      <c r="E32" s="36" t="s">
        <v>588</v>
      </c>
      <c r="F32" s="36" t="s">
        <v>497</v>
      </c>
      <c r="G32" s="39">
        <v>12500</v>
      </c>
      <c r="H32" s="51">
        <v>46129</v>
      </c>
      <c r="I32" s="52">
        <v>12388.39</v>
      </c>
      <c r="J32" s="79">
        <f t="shared" si="0"/>
        <v>-111.59999999999943</v>
      </c>
      <c r="K32" s="84" t="s">
        <v>541</v>
      </c>
      <c r="L32" s="76">
        <v>223.21</v>
      </c>
      <c r="M32" s="83" t="s">
        <v>542</v>
      </c>
      <c r="O32" s="42"/>
    </row>
    <row r="33" spans="1:15">
      <c r="A33" s="36"/>
      <c r="B33" s="62"/>
      <c r="C33" s="37" t="s">
        <v>591</v>
      </c>
      <c r="D33" s="38">
        <v>46134</v>
      </c>
      <c r="E33" s="36" t="s">
        <v>592</v>
      </c>
      <c r="F33" s="74" t="s">
        <v>593</v>
      </c>
      <c r="G33" s="39">
        <v>28000</v>
      </c>
      <c r="H33" s="51">
        <v>46133</v>
      </c>
      <c r="I33" s="52">
        <v>27750</v>
      </c>
      <c r="J33" s="79">
        <f t="shared" si="0"/>
        <v>0</v>
      </c>
      <c r="K33" s="84" t="s">
        <v>541</v>
      </c>
      <c r="L33" s="76">
        <v>250</v>
      </c>
      <c r="M33" s="83" t="s">
        <v>542</v>
      </c>
      <c r="O33" s="42"/>
    </row>
    <row r="34" spans="1:15">
      <c r="A34" s="36"/>
      <c r="B34" s="62"/>
      <c r="C34" s="37" t="s">
        <v>635</v>
      </c>
      <c r="D34" s="38">
        <v>46134</v>
      </c>
      <c r="E34" s="36" t="s">
        <v>636</v>
      </c>
      <c r="F34" s="74" t="s">
        <v>637</v>
      </c>
      <c r="G34" s="39">
        <v>10500</v>
      </c>
      <c r="H34" s="51">
        <v>46136</v>
      </c>
      <c r="I34" s="52">
        <v>10406.25</v>
      </c>
      <c r="J34" s="79">
        <f t="shared" si="0"/>
        <v>0</v>
      </c>
      <c r="K34" s="84" t="s">
        <v>541</v>
      </c>
      <c r="L34" s="76">
        <v>93.75</v>
      </c>
      <c r="M34" s="83" t="s">
        <v>542</v>
      </c>
      <c r="O34" s="42"/>
    </row>
    <row r="35" spans="1:15">
      <c r="A35" s="36"/>
      <c r="B35" s="62"/>
      <c r="C35" s="37" t="s">
        <v>643</v>
      </c>
      <c r="D35" s="38">
        <v>46136</v>
      </c>
      <c r="E35" s="36" t="s">
        <v>646</v>
      </c>
      <c r="F35" s="74" t="s">
        <v>211</v>
      </c>
      <c r="G35" s="39">
        <v>50000</v>
      </c>
      <c r="H35" s="51">
        <v>46136</v>
      </c>
      <c r="I35" s="52">
        <v>50000</v>
      </c>
      <c r="J35" s="79">
        <f t="shared" si="0"/>
        <v>0</v>
      </c>
      <c r="K35" s="84" t="s">
        <v>541</v>
      </c>
      <c r="L35" s="76"/>
      <c r="M35" s="53"/>
      <c r="O35" s="42"/>
    </row>
    <row r="36" spans="1:15">
      <c r="A36" s="36"/>
      <c r="B36" s="62"/>
      <c r="C36" s="37" t="s">
        <v>644</v>
      </c>
      <c r="D36" s="38">
        <v>46139</v>
      </c>
      <c r="E36" s="36" t="s">
        <v>647</v>
      </c>
      <c r="F36" s="74" t="s">
        <v>648</v>
      </c>
      <c r="G36" s="39">
        <v>227500</v>
      </c>
      <c r="H36" s="51">
        <v>46139</v>
      </c>
      <c r="I36" s="52">
        <v>223437.5</v>
      </c>
      <c r="J36" s="79">
        <f t="shared" si="0"/>
        <v>0</v>
      </c>
      <c r="K36" s="84" t="s">
        <v>541</v>
      </c>
      <c r="L36" s="76">
        <v>4062.5</v>
      </c>
      <c r="M36" s="83" t="s">
        <v>542</v>
      </c>
      <c r="O36" s="42"/>
    </row>
    <row r="37" spans="1:15">
      <c r="A37" s="36"/>
      <c r="B37" s="62"/>
      <c r="C37" s="37" t="s">
        <v>645</v>
      </c>
      <c r="D37" s="38">
        <v>46139</v>
      </c>
      <c r="E37" s="36" t="s">
        <v>502</v>
      </c>
      <c r="F37" s="74" t="s">
        <v>703</v>
      </c>
      <c r="G37" s="39">
        <v>9375</v>
      </c>
      <c r="H37" s="51">
        <v>46139</v>
      </c>
      <c r="I37" s="52">
        <v>9375</v>
      </c>
      <c r="J37" s="79">
        <f t="shared" si="0"/>
        <v>0</v>
      </c>
      <c r="K37" s="84" t="s">
        <v>541</v>
      </c>
      <c r="L37" s="76"/>
      <c r="M37" s="53"/>
      <c r="O37" s="42"/>
    </row>
    <row r="38" spans="1:15">
      <c r="A38" s="36"/>
      <c r="B38" s="62"/>
      <c r="C38" s="37" t="s">
        <v>661</v>
      </c>
      <c r="D38" s="38">
        <v>46141</v>
      </c>
      <c r="E38" s="36" t="s">
        <v>662</v>
      </c>
      <c r="F38" s="74" t="s">
        <v>663</v>
      </c>
      <c r="G38" s="39">
        <v>160000</v>
      </c>
      <c r="H38" s="51">
        <v>46140</v>
      </c>
      <c r="I38" s="52">
        <v>156526.78</v>
      </c>
      <c r="J38" s="79">
        <f t="shared" si="0"/>
        <v>3473.2200000000012</v>
      </c>
      <c r="K38" s="87" t="s">
        <v>551</v>
      </c>
      <c r="L38" s="76"/>
      <c r="M38" s="83" t="s">
        <v>538</v>
      </c>
      <c r="O38" s="42"/>
    </row>
    <row r="39" spans="1:15">
      <c r="A39" s="36"/>
      <c r="B39" s="62"/>
      <c r="C39" s="37" t="s">
        <v>664</v>
      </c>
      <c r="D39" s="38">
        <v>46141</v>
      </c>
      <c r="E39" s="36" t="s">
        <v>666</v>
      </c>
      <c r="F39" s="74" t="s">
        <v>667</v>
      </c>
      <c r="G39" s="39">
        <v>20000</v>
      </c>
      <c r="H39" s="51">
        <v>46141</v>
      </c>
      <c r="I39" s="52">
        <v>20000</v>
      </c>
      <c r="J39" s="79">
        <f t="shared" si="0"/>
        <v>0</v>
      </c>
      <c r="K39" s="84" t="s">
        <v>541</v>
      </c>
      <c r="L39" s="76"/>
      <c r="M39" s="83" t="s">
        <v>542</v>
      </c>
      <c r="O39" s="42"/>
    </row>
    <row r="40" spans="1:15">
      <c r="A40" s="36"/>
      <c r="B40" s="62" t="s">
        <v>567</v>
      </c>
      <c r="C40" s="37"/>
      <c r="D40" s="73"/>
      <c r="E40" s="36"/>
      <c r="F40" s="74"/>
      <c r="G40" s="39"/>
      <c r="H40" s="51"/>
      <c r="I40" s="52"/>
      <c r="J40" s="79">
        <f t="shared" ref="J40" si="1">SUM(G40-I40-L40)</f>
        <v>0</v>
      </c>
      <c r="K40" s="84" t="s">
        <v>125</v>
      </c>
      <c r="L40" s="76"/>
      <c r="M40" s="53"/>
      <c r="O40" s="42"/>
    </row>
    <row r="41" spans="1:15">
      <c r="A41" s="36"/>
      <c r="B41" s="62" t="s">
        <v>568</v>
      </c>
      <c r="C41" s="37"/>
      <c r="D41" s="73">
        <v>46118</v>
      </c>
      <c r="E41" s="36" t="s">
        <v>577</v>
      </c>
      <c r="F41" s="74" t="s">
        <v>110</v>
      </c>
      <c r="G41" s="39">
        <v>60000</v>
      </c>
      <c r="H41" s="51">
        <v>46128</v>
      </c>
      <c r="I41" s="52">
        <v>58928.57</v>
      </c>
      <c r="J41" s="79">
        <f>SUM(G41-I41-L41)</f>
        <v>2.2737367544323206E-13</v>
      </c>
      <c r="K41" s="84" t="s">
        <v>541</v>
      </c>
      <c r="L41" s="76">
        <v>1071.43</v>
      </c>
      <c r="M41" s="83" t="s">
        <v>542</v>
      </c>
      <c r="O41" s="42"/>
    </row>
    <row r="42" spans="1:15">
      <c r="A42" s="36"/>
      <c r="B42" s="62" t="s">
        <v>569</v>
      </c>
      <c r="C42" s="37"/>
      <c r="D42" s="73">
        <v>46122</v>
      </c>
      <c r="E42" s="36" t="s">
        <v>578</v>
      </c>
      <c r="F42" s="74" t="s">
        <v>10</v>
      </c>
      <c r="G42" s="39">
        <v>1500</v>
      </c>
      <c r="H42" s="51">
        <v>46122</v>
      </c>
      <c r="I42" s="52">
        <v>1500</v>
      </c>
      <c r="J42" s="79">
        <f t="shared" si="0"/>
        <v>0</v>
      </c>
      <c r="K42" s="84" t="s">
        <v>541</v>
      </c>
      <c r="L42" s="76"/>
      <c r="M42" s="53"/>
      <c r="O42" s="42"/>
    </row>
    <row r="43" spans="1:15">
      <c r="A43" s="36"/>
      <c r="B43" s="62" t="s">
        <v>570</v>
      </c>
      <c r="C43" s="37"/>
      <c r="D43" s="73">
        <v>46125</v>
      </c>
      <c r="E43" s="36" t="s">
        <v>579</v>
      </c>
      <c r="F43" s="36" t="s">
        <v>10</v>
      </c>
      <c r="G43" s="39">
        <v>4000</v>
      </c>
      <c r="H43" s="51">
        <v>46125</v>
      </c>
      <c r="I43" s="52">
        <v>4000</v>
      </c>
      <c r="J43" s="79">
        <f t="shared" si="0"/>
        <v>0</v>
      </c>
      <c r="K43" s="84" t="s">
        <v>541</v>
      </c>
      <c r="L43" s="76"/>
      <c r="M43" s="53"/>
      <c r="O43" s="42"/>
    </row>
    <row r="44" spans="1:15">
      <c r="A44" s="36"/>
      <c r="B44" s="62" t="s">
        <v>571</v>
      </c>
      <c r="C44" s="37"/>
      <c r="D44" s="38">
        <v>46128</v>
      </c>
      <c r="E44" s="86" t="s">
        <v>580</v>
      </c>
      <c r="F44" s="36" t="s">
        <v>10</v>
      </c>
      <c r="G44" s="39">
        <v>2000</v>
      </c>
      <c r="H44" s="51">
        <v>46128</v>
      </c>
      <c r="I44" s="52">
        <v>2000</v>
      </c>
      <c r="J44" s="79">
        <f t="shared" si="0"/>
        <v>0</v>
      </c>
      <c r="K44" s="84" t="s">
        <v>541</v>
      </c>
      <c r="L44" s="76"/>
      <c r="M44" s="53"/>
      <c r="O44" s="42"/>
    </row>
    <row r="45" spans="1:15">
      <c r="A45" s="36"/>
      <c r="B45" s="62" t="s">
        <v>572</v>
      </c>
      <c r="C45" s="37"/>
      <c r="D45" s="38">
        <v>46128</v>
      </c>
      <c r="E45" s="36" t="s">
        <v>581</v>
      </c>
      <c r="F45" s="36" t="s">
        <v>10</v>
      </c>
      <c r="G45" s="39">
        <v>4500</v>
      </c>
      <c r="H45" s="51">
        <v>46128</v>
      </c>
      <c r="I45" s="52">
        <v>4500</v>
      </c>
      <c r="J45" s="79">
        <f t="shared" si="0"/>
        <v>0</v>
      </c>
      <c r="K45" s="84" t="s">
        <v>541</v>
      </c>
      <c r="L45" s="76"/>
      <c r="M45" s="53"/>
      <c r="O45" s="42"/>
    </row>
    <row r="46" spans="1:15">
      <c r="A46" s="36"/>
      <c r="B46" s="62" t="s">
        <v>573</v>
      </c>
      <c r="C46" s="37"/>
      <c r="D46" s="38">
        <v>46132</v>
      </c>
      <c r="E46" s="36" t="s">
        <v>594</v>
      </c>
      <c r="F46" s="36" t="s">
        <v>11</v>
      </c>
      <c r="G46" s="39">
        <v>6500</v>
      </c>
      <c r="H46" s="51">
        <v>46151</v>
      </c>
      <c r="I46" s="53">
        <v>6383.93</v>
      </c>
      <c r="J46" s="79">
        <f t="shared" si="0"/>
        <v>-2.8421709430404007E-13</v>
      </c>
      <c r="K46" s="84" t="s">
        <v>541</v>
      </c>
      <c r="L46" s="76">
        <v>116.07</v>
      </c>
      <c r="M46" s="83" t="s">
        <v>542</v>
      </c>
      <c r="O46" s="42"/>
    </row>
    <row r="47" spans="1:15">
      <c r="A47" s="36"/>
      <c r="B47" s="62" t="s">
        <v>574</v>
      </c>
      <c r="C47" s="37"/>
      <c r="D47" s="38">
        <v>46132</v>
      </c>
      <c r="E47" s="36" t="s">
        <v>595</v>
      </c>
      <c r="F47" s="36" t="s">
        <v>11</v>
      </c>
      <c r="G47" s="39">
        <v>6500</v>
      </c>
      <c r="H47" s="51">
        <v>46151</v>
      </c>
      <c r="I47" s="53">
        <v>6383.93</v>
      </c>
      <c r="J47" s="79">
        <f t="shared" si="0"/>
        <v>-2.8421709430404007E-13</v>
      </c>
      <c r="K47" s="84" t="s">
        <v>541</v>
      </c>
      <c r="L47" s="76">
        <v>116.07</v>
      </c>
      <c r="M47" s="83" t="s">
        <v>542</v>
      </c>
      <c r="O47" s="42"/>
    </row>
    <row r="48" spans="1:15">
      <c r="A48" s="36"/>
      <c r="B48" s="62" t="s">
        <v>575</v>
      </c>
      <c r="C48" s="37"/>
      <c r="D48" s="38">
        <v>46132</v>
      </c>
      <c r="E48" s="36" t="s">
        <v>596</v>
      </c>
      <c r="F48" s="36" t="s">
        <v>425</v>
      </c>
      <c r="G48" s="39">
        <v>19500</v>
      </c>
      <c r="H48" s="51">
        <v>46151</v>
      </c>
      <c r="I48" s="53">
        <v>19151.79</v>
      </c>
      <c r="J48" s="79">
        <f t="shared" si="0"/>
        <v>-8.5265128291212022E-13</v>
      </c>
      <c r="K48" s="84" t="s">
        <v>541</v>
      </c>
      <c r="L48" s="76">
        <v>348.21</v>
      </c>
      <c r="M48" s="83" t="s">
        <v>542</v>
      </c>
      <c r="O48" s="42"/>
    </row>
    <row r="49" spans="1:15">
      <c r="A49" s="36"/>
      <c r="B49" s="62" t="s">
        <v>576</v>
      </c>
      <c r="C49" s="37"/>
      <c r="D49" s="38">
        <v>46132</v>
      </c>
      <c r="E49" s="36" t="s">
        <v>597</v>
      </c>
      <c r="F49" s="36" t="s">
        <v>425</v>
      </c>
      <c r="G49" s="39">
        <v>19500</v>
      </c>
      <c r="H49" s="51">
        <v>46151</v>
      </c>
      <c r="I49" s="53">
        <v>19151.79</v>
      </c>
      <c r="J49" s="79">
        <f t="shared" si="0"/>
        <v>-8.5265128291212022E-13</v>
      </c>
      <c r="K49" s="84" t="s">
        <v>541</v>
      </c>
      <c r="L49" s="76">
        <v>348.21</v>
      </c>
      <c r="M49" s="83" t="s">
        <v>542</v>
      </c>
      <c r="O49" s="42"/>
    </row>
    <row r="50" spans="1:15">
      <c r="A50" s="36"/>
      <c r="B50" s="62" t="s">
        <v>598</v>
      </c>
      <c r="C50" s="37"/>
      <c r="D50" s="38">
        <v>46132</v>
      </c>
      <c r="E50" s="36" t="s">
        <v>603</v>
      </c>
      <c r="F50" s="36" t="s">
        <v>604</v>
      </c>
      <c r="G50" s="39">
        <v>26000</v>
      </c>
      <c r="H50" s="51">
        <v>46151</v>
      </c>
      <c r="I50" s="53">
        <v>25535.71</v>
      </c>
      <c r="J50" s="79">
        <f t="shared" si="0"/>
        <v>8.5265128291212022E-13</v>
      </c>
      <c r="K50" s="84" t="s">
        <v>541</v>
      </c>
      <c r="L50" s="76">
        <v>464.29</v>
      </c>
      <c r="M50" s="83" t="s">
        <v>542</v>
      </c>
      <c r="O50" s="42"/>
    </row>
    <row r="51" spans="1:15">
      <c r="A51" s="36"/>
      <c r="B51" s="62" t="s">
        <v>599</v>
      </c>
      <c r="C51" s="37"/>
      <c r="D51" s="38">
        <v>46133</v>
      </c>
      <c r="E51" s="36" t="s">
        <v>605</v>
      </c>
      <c r="F51" s="36" t="s">
        <v>11</v>
      </c>
      <c r="G51" s="39">
        <v>2000</v>
      </c>
      <c r="H51" s="51">
        <v>46129</v>
      </c>
      <c r="I51" s="53">
        <v>1964.29</v>
      </c>
      <c r="J51" s="79">
        <f t="shared" si="0"/>
        <v>3.5527136788005009E-14</v>
      </c>
      <c r="K51" s="84" t="s">
        <v>541</v>
      </c>
      <c r="L51" s="76">
        <v>35.71</v>
      </c>
      <c r="M51" s="83" t="s">
        <v>542</v>
      </c>
      <c r="O51" s="42"/>
    </row>
    <row r="52" spans="1:15">
      <c r="A52" s="36"/>
      <c r="B52" s="62" t="s">
        <v>600</v>
      </c>
      <c r="C52" s="37"/>
      <c r="D52" s="38">
        <v>46133</v>
      </c>
      <c r="E52" s="36" t="s">
        <v>606</v>
      </c>
      <c r="F52" s="36" t="s">
        <v>11</v>
      </c>
      <c r="G52" s="39">
        <v>2000</v>
      </c>
      <c r="H52" s="51">
        <v>46129</v>
      </c>
      <c r="I52" s="53">
        <v>1964.29</v>
      </c>
      <c r="J52" s="79">
        <f t="shared" ref="J52" si="2">SUM(G52-I52-L52)</f>
        <v>3.5527136788005009E-14</v>
      </c>
      <c r="K52" s="84" t="s">
        <v>541</v>
      </c>
      <c r="L52" s="76">
        <v>35.71</v>
      </c>
      <c r="M52" s="83" t="s">
        <v>542</v>
      </c>
      <c r="O52" s="42"/>
    </row>
    <row r="53" spans="1:15">
      <c r="A53" s="36"/>
      <c r="B53" s="62" t="s">
        <v>601</v>
      </c>
      <c r="C53" s="37"/>
      <c r="D53" s="38">
        <v>46133</v>
      </c>
      <c r="E53" s="36" t="s">
        <v>607</v>
      </c>
      <c r="F53" s="36" t="s">
        <v>11</v>
      </c>
      <c r="G53" s="39">
        <v>2000</v>
      </c>
      <c r="H53" s="51">
        <v>46129</v>
      </c>
      <c r="I53" s="53">
        <v>1964.29</v>
      </c>
      <c r="J53" s="79">
        <f t="shared" ref="J53" si="3">SUM(G53-I53-L53)</f>
        <v>35.710000000000036</v>
      </c>
      <c r="K53" s="87" t="s">
        <v>551</v>
      </c>
      <c r="L53" s="76"/>
      <c r="M53" s="83" t="s">
        <v>538</v>
      </c>
      <c r="O53" s="42"/>
    </row>
    <row r="54" spans="1:15">
      <c r="A54" s="36"/>
      <c r="B54" s="62" t="s">
        <v>602</v>
      </c>
      <c r="C54" s="37"/>
      <c r="D54" s="38">
        <v>46133</v>
      </c>
      <c r="E54" s="36" t="s">
        <v>608</v>
      </c>
      <c r="F54" s="36" t="s">
        <v>11</v>
      </c>
      <c r="G54" s="39">
        <v>2000</v>
      </c>
      <c r="H54" s="51">
        <v>46129</v>
      </c>
      <c r="I54" s="53">
        <v>1964.29</v>
      </c>
      <c r="J54" s="79">
        <f t="shared" ref="J54" si="4">SUM(G54-I54-L54)</f>
        <v>35.710000000000036</v>
      </c>
      <c r="K54" s="87" t="s">
        <v>551</v>
      </c>
      <c r="L54" s="76"/>
      <c r="M54" s="83" t="s">
        <v>538</v>
      </c>
      <c r="O54" s="42"/>
    </row>
    <row r="55" spans="1:15">
      <c r="A55" s="36"/>
      <c r="B55" s="62" t="s">
        <v>609</v>
      </c>
      <c r="C55" s="37"/>
      <c r="D55" s="38">
        <v>46133</v>
      </c>
      <c r="E55" s="36" t="s">
        <v>618</v>
      </c>
      <c r="F55" s="36" t="s">
        <v>11</v>
      </c>
      <c r="G55" s="39">
        <v>2000</v>
      </c>
      <c r="H55" s="51">
        <v>46129</v>
      </c>
      <c r="I55" s="53">
        <v>1964.29</v>
      </c>
      <c r="J55" s="79">
        <f t="shared" ref="J55" si="5">SUM(G55-I55-L55)</f>
        <v>35.710000000000036</v>
      </c>
      <c r="K55" s="87" t="s">
        <v>551</v>
      </c>
      <c r="L55" s="76"/>
      <c r="M55" s="83" t="s">
        <v>538</v>
      </c>
      <c r="O55" s="42"/>
    </row>
    <row r="56" spans="1:15">
      <c r="A56" s="36"/>
      <c r="B56" s="62" t="s">
        <v>610</v>
      </c>
      <c r="C56" s="37"/>
      <c r="D56" s="38">
        <v>46133</v>
      </c>
      <c r="E56" s="36" t="s">
        <v>619</v>
      </c>
      <c r="F56" s="36" t="s">
        <v>11</v>
      </c>
      <c r="G56" s="39">
        <v>2000</v>
      </c>
      <c r="H56" s="51">
        <v>46129</v>
      </c>
      <c r="I56" s="53">
        <v>1964.29</v>
      </c>
      <c r="J56" s="79">
        <f t="shared" ref="J56" si="6">SUM(G56-I56-L56)</f>
        <v>35.710000000000036</v>
      </c>
      <c r="K56" s="87" t="s">
        <v>551</v>
      </c>
      <c r="L56" s="76"/>
      <c r="M56" s="83" t="s">
        <v>538</v>
      </c>
      <c r="O56" s="42"/>
    </row>
    <row r="57" spans="1:15">
      <c r="A57" s="36"/>
      <c r="B57" s="62" t="s">
        <v>611</v>
      </c>
      <c r="C57" s="37"/>
      <c r="D57" s="38">
        <v>46133</v>
      </c>
      <c r="E57" s="36" t="s">
        <v>620</v>
      </c>
      <c r="F57" s="36" t="s">
        <v>11</v>
      </c>
      <c r="G57" s="39">
        <v>2000</v>
      </c>
      <c r="H57" s="51">
        <v>46129</v>
      </c>
      <c r="I57" s="53">
        <v>1964.29</v>
      </c>
      <c r="J57" s="79">
        <f t="shared" ref="J57:J78" si="7">SUM(G57-I57-L57)</f>
        <v>35.710000000000036</v>
      </c>
      <c r="K57" s="87" t="s">
        <v>551</v>
      </c>
      <c r="L57" s="76"/>
      <c r="M57" s="83" t="s">
        <v>538</v>
      </c>
      <c r="O57" s="42"/>
    </row>
    <row r="58" spans="1:15">
      <c r="A58" s="36"/>
      <c r="B58" s="62" t="s">
        <v>612</v>
      </c>
      <c r="C58" s="37"/>
      <c r="D58" s="38">
        <v>46133</v>
      </c>
      <c r="E58" s="36" t="s">
        <v>639</v>
      </c>
      <c r="F58" s="36" t="s">
        <v>11</v>
      </c>
      <c r="G58" s="39">
        <v>10000</v>
      </c>
      <c r="H58" s="51"/>
      <c r="I58" s="53">
        <v>9821.43</v>
      </c>
      <c r="J58" s="79">
        <f t="shared" si="7"/>
        <v>178.56999999999971</v>
      </c>
      <c r="K58" s="87" t="s">
        <v>551</v>
      </c>
      <c r="L58" s="76"/>
      <c r="M58" s="83" t="s">
        <v>538</v>
      </c>
      <c r="O58" s="42"/>
    </row>
    <row r="59" spans="1:15">
      <c r="A59" s="36"/>
      <c r="B59" s="62" t="s">
        <v>613</v>
      </c>
      <c r="C59" s="37"/>
      <c r="D59" s="38">
        <v>46133</v>
      </c>
      <c r="E59" s="36" t="s">
        <v>632</v>
      </c>
      <c r="F59" s="36" t="s">
        <v>634</v>
      </c>
      <c r="G59" s="39">
        <v>16500</v>
      </c>
      <c r="H59" s="51">
        <v>46133</v>
      </c>
      <c r="I59" s="53">
        <v>16500</v>
      </c>
      <c r="J59" s="79">
        <f t="shared" si="7"/>
        <v>0</v>
      </c>
      <c r="K59" s="84" t="s">
        <v>541</v>
      </c>
      <c r="L59" s="76"/>
      <c r="M59" s="53"/>
      <c r="O59" s="42"/>
    </row>
    <row r="60" spans="1:15">
      <c r="A60" s="36"/>
      <c r="B60" s="62" t="s">
        <v>614</v>
      </c>
      <c r="C60" s="37"/>
      <c r="D60" s="38">
        <v>46133</v>
      </c>
      <c r="E60" s="36" t="s">
        <v>633</v>
      </c>
      <c r="F60" s="36" t="s">
        <v>634</v>
      </c>
      <c r="G60" s="39">
        <v>16500</v>
      </c>
      <c r="H60" s="51">
        <v>46133</v>
      </c>
      <c r="I60" s="53">
        <v>16500</v>
      </c>
      <c r="J60" s="79">
        <f t="shared" ref="J60" si="8">SUM(G60-I60-L60)</f>
        <v>0</v>
      </c>
      <c r="K60" s="84" t="s">
        <v>541</v>
      </c>
      <c r="L60" s="76"/>
      <c r="M60" s="53"/>
      <c r="O60" s="42"/>
    </row>
    <row r="61" spans="1:15">
      <c r="A61" s="36"/>
      <c r="B61" s="62" t="s">
        <v>615</v>
      </c>
      <c r="C61" s="37"/>
      <c r="D61" s="38">
        <v>46135</v>
      </c>
      <c r="E61" s="36" t="s">
        <v>640</v>
      </c>
      <c r="F61" s="36" t="s">
        <v>634</v>
      </c>
      <c r="G61" s="39">
        <v>16500</v>
      </c>
      <c r="H61" s="51">
        <v>46135</v>
      </c>
      <c r="I61" s="53">
        <v>16500</v>
      </c>
      <c r="J61" s="79">
        <f t="shared" si="7"/>
        <v>0</v>
      </c>
      <c r="K61" s="84" t="s">
        <v>541</v>
      </c>
      <c r="L61" s="76"/>
      <c r="M61" s="53"/>
      <c r="O61" s="42"/>
    </row>
    <row r="62" spans="1:15">
      <c r="A62" s="36"/>
      <c r="B62" s="62" t="s">
        <v>616</v>
      </c>
      <c r="C62" s="37"/>
      <c r="D62" s="38">
        <v>46136</v>
      </c>
      <c r="E62" s="36" t="s">
        <v>641</v>
      </c>
      <c r="F62" s="36" t="s">
        <v>642</v>
      </c>
      <c r="G62" s="39">
        <v>5500</v>
      </c>
      <c r="H62" s="51">
        <v>46136</v>
      </c>
      <c r="I62" s="53">
        <v>5500</v>
      </c>
      <c r="J62" s="79">
        <f t="shared" si="7"/>
        <v>0</v>
      </c>
      <c r="K62" s="84" t="s">
        <v>541</v>
      </c>
      <c r="L62" s="76"/>
      <c r="M62" s="53"/>
      <c r="O62" s="42"/>
    </row>
    <row r="63" spans="1:15">
      <c r="A63" s="36"/>
      <c r="B63" s="62" t="s">
        <v>617</v>
      </c>
      <c r="C63" s="37"/>
      <c r="D63" s="38">
        <v>46139</v>
      </c>
      <c r="E63" s="36" t="s">
        <v>655</v>
      </c>
      <c r="F63" s="36" t="s">
        <v>656</v>
      </c>
      <c r="G63" s="39">
        <v>47000</v>
      </c>
      <c r="H63" s="51">
        <v>46140</v>
      </c>
      <c r="I63" s="53">
        <v>47000</v>
      </c>
      <c r="J63" s="79">
        <f t="shared" si="7"/>
        <v>0</v>
      </c>
      <c r="K63" s="84" t="s">
        <v>541</v>
      </c>
      <c r="L63" s="76"/>
      <c r="M63" s="53"/>
      <c r="O63" s="42"/>
    </row>
    <row r="64" spans="1:15">
      <c r="A64" s="36"/>
      <c r="B64" s="62" t="s">
        <v>649</v>
      </c>
      <c r="C64" s="37"/>
      <c r="D64" s="38">
        <v>46139</v>
      </c>
      <c r="E64" s="36" t="s">
        <v>657</v>
      </c>
      <c r="F64" s="36" t="s">
        <v>656</v>
      </c>
      <c r="G64" s="39">
        <v>47000</v>
      </c>
      <c r="H64" s="51">
        <v>46140</v>
      </c>
      <c r="I64" s="53">
        <v>47000</v>
      </c>
      <c r="J64" s="79">
        <f t="shared" si="7"/>
        <v>0</v>
      </c>
      <c r="K64" s="84" t="s">
        <v>541</v>
      </c>
      <c r="L64" s="76"/>
      <c r="M64" s="53"/>
      <c r="O64" s="42"/>
    </row>
    <row r="65" spans="1:15">
      <c r="A65" s="36"/>
      <c r="B65" s="62" t="s">
        <v>650</v>
      </c>
      <c r="C65" s="37"/>
      <c r="D65" s="38">
        <v>46139</v>
      </c>
      <c r="E65" s="36" t="s">
        <v>693</v>
      </c>
      <c r="F65" s="36" t="s">
        <v>102</v>
      </c>
      <c r="G65" s="39">
        <v>20000</v>
      </c>
      <c r="H65" s="51">
        <v>46140</v>
      </c>
      <c r="I65" s="53">
        <v>20000</v>
      </c>
      <c r="J65" s="79">
        <f t="shared" si="7"/>
        <v>0</v>
      </c>
      <c r="K65" s="84" t="s">
        <v>541</v>
      </c>
      <c r="L65" s="76"/>
      <c r="M65" s="53"/>
      <c r="O65" s="42"/>
    </row>
    <row r="66" spans="1:15">
      <c r="A66" s="36"/>
      <c r="B66" s="62" t="s">
        <v>651</v>
      </c>
      <c r="C66" s="37"/>
      <c r="D66" s="38"/>
      <c r="E66" s="67"/>
      <c r="F66" s="36"/>
      <c r="G66" s="39"/>
      <c r="H66" s="51"/>
      <c r="I66" s="53"/>
      <c r="J66" s="79"/>
      <c r="K66" s="84" t="s">
        <v>125</v>
      </c>
      <c r="L66" s="76"/>
      <c r="M66" s="53"/>
      <c r="O66" s="42"/>
    </row>
    <row r="67" spans="1:15">
      <c r="A67" s="36"/>
      <c r="B67" s="62" t="s">
        <v>652</v>
      </c>
      <c r="C67" s="37"/>
      <c r="D67" s="38">
        <v>46139</v>
      </c>
      <c r="E67" s="36" t="s">
        <v>658</v>
      </c>
      <c r="F67" s="36" t="s">
        <v>659</v>
      </c>
      <c r="G67" s="39">
        <v>34500</v>
      </c>
      <c r="H67" s="51">
        <v>46140</v>
      </c>
      <c r="I67" s="53">
        <v>20000</v>
      </c>
      <c r="J67" s="79"/>
      <c r="K67" s="84" t="s">
        <v>541</v>
      </c>
      <c r="L67" s="76"/>
      <c r="M67" s="53"/>
      <c r="O67" s="42"/>
    </row>
    <row r="68" spans="1:15">
      <c r="A68" s="36"/>
      <c r="B68" s="62" t="s">
        <v>653</v>
      </c>
      <c r="C68" s="37"/>
      <c r="D68" s="38">
        <v>46140</v>
      </c>
      <c r="E68" s="36" t="s">
        <v>660</v>
      </c>
      <c r="F68" s="36" t="s">
        <v>10</v>
      </c>
      <c r="G68" s="39">
        <v>1500</v>
      </c>
      <c r="H68" s="51">
        <v>46140</v>
      </c>
      <c r="I68" s="53">
        <v>1500</v>
      </c>
      <c r="J68" s="79">
        <f t="shared" si="7"/>
        <v>0</v>
      </c>
      <c r="K68" s="84" t="s">
        <v>541</v>
      </c>
      <c r="L68" s="76"/>
      <c r="M68" s="53"/>
      <c r="O68" s="42"/>
    </row>
    <row r="69" spans="1:15">
      <c r="A69" s="36"/>
      <c r="B69" s="62" t="s">
        <v>654</v>
      </c>
      <c r="C69" s="37"/>
      <c r="D69" s="38">
        <v>46140</v>
      </c>
      <c r="E69" s="36" t="s">
        <v>668</v>
      </c>
      <c r="F69" s="36" t="s">
        <v>10</v>
      </c>
      <c r="G69" s="39">
        <v>1500</v>
      </c>
      <c r="H69" s="51">
        <v>46140</v>
      </c>
      <c r="I69" s="53">
        <v>1500</v>
      </c>
      <c r="J69" s="79">
        <f t="shared" si="7"/>
        <v>0</v>
      </c>
      <c r="K69" s="84" t="s">
        <v>541</v>
      </c>
      <c r="L69" s="76"/>
      <c r="M69" s="53"/>
      <c r="O69" s="42"/>
    </row>
    <row r="70" spans="1:15">
      <c r="A70" s="36"/>
      <c r="B70" s="62" t="s">
        <v>669</v>
      </c>
      <c r="C70" s="37"/>
      <c r="D70" s="38">
        <v>46141</v>
      </c>
      <c r="E70" s="36" t="s">
        <v>672</v>
      </c>
      <c r="F70" s="36" t="s">
        <v>10</v>
      </c>
      <c r="G70" s="39">
        <v>2500</v>
      </c>
      <c r="H70" s="51">
        <v>46141</v>
      </c>
      <c r="I70" s="53">
        <v>2500</v>
      </c>
      <c r="J70" s="79">
        <f t="shared" si="7"/>
        <v>0</v>
      </c>
      <c r="K70" s="84" t="s">
        <v>541</v>
      </c>
      <c r="L70" s="76"/>
      <c r="M70" s="53"/>
      <c r="O70" s="42"/>
    </row>
    <row r="71" spans="1:15">
      <c r="A71" s="36"/>
      <c r="B71" s="62" t="s">
        <v>670</v>
      </c>
      <c r="C71" s="37"/>
      <c r="D71" s="38">
        <v>46141</v>
      </c>
      <c r="E71" s="36" t="s">
        <v>673</v>
      </c>
      <c r="F71" s="36" t="s">
        <v>674</v>
      </c>
      <c r="G71" s="39">
        <v>5500</v>
      </c>
      <c r="H71" s="51">
        <v>46141</v>
      </c>
      <c r="I71" s="53">
        <v>5500</v>
      </c>
      <c r="J71" s="79">
        <f t="shared" si="7"/>
        <v>0</v>
      </c>
      <c r="K71" s="84" t="s">
        <v>541</v>
      </c>
      <c r="L71" s="76"/>
      <c r="M71" s="53"/>
      <c r="O71" s="42"/>
    </row>
    <row r="72" spans="1:15">
      <c r="A72" s="36"/>
      <c r="B72" s="62" t="s">
        <v>671</v>
      </c>
      <c r="C72" s="37"/>
      <c r="D72" s="38">
        <v>46142</v>
      </c>
      <c r="E72" s="36" t="s">
        <v>675</v>
      </c>
      <c r="F72" s="36" t="s">
        <v>11</v>
      </c>
      <c r="G72" s="39">
        <v>15000</v>
      </c>
      <c r="H72" s="51">
        <v>46142</v>
      </c>
      <c r="I72" s="53">
        <v>14732.14</v>
      </c>
      <c r="J72" s="79">
        <f t="shared" si="7"/>
        <v>5.6843418860808015E-13</v>
      </c>
      <c r="K72" s="84" t="s">
        <v>541</v>
      </c>
      <c r="L72" s="76">
        <v>267.86</v>
      </c>
      <c r="M72" s="83" t="s">
        <v>542</v>
      </c>
      <c r="O72" s="42"/>
    </row>
    <row r="73" spans="1:15">
      <c r="A73" s="36"/>
      <c r="B73" s="62" t="s">
        <v>676</v>
      </c>
      <c r="C73" s="37"/>
      <c r="D73" s="38">
        <v>46142</v>
      </c>
      <c r="E73" s="36" t="s">
        <v>679</v>
      </c>
      <c r="F73" s="36" t="s">
        <v>10</v>
      </c>
      <c r="G73" s="39">
        <v>2500</v>
      </c>
      <c r="H73" s="51">
        <v>46142</v>
      </c>
      <c r="I73" s="53">
        <v>2455.36</v>
      </c>
      <c r="J73" s="79">
        <f t="shared" si="7"/>
        <v>-1.2789769243681803E-13</v>
      </c>
      <c r="K73" s="84" t="s">
        <v>541</v>
      </c>
      <c r="L73" s="76">
        <v>44.64</v>
      </c>
      <c r="M73" s="83" t="s">
        <v>542</v>
      </c>
      <c r="O73" s="42"/>
    </row>
    <row r="74" spans="1:15">
      <c r="A74" s="36"/>
      <c r="B74" s="62" t="s">
        <v>677</v>
      </c>
      <c r="C74" s="37"/>
      <c r="D74" s="38">
        <v>46142</v>
      </c>
      <c r="E74" s="36" t="s">
        <v>679</v>
      </c>
      <c r="F74" s="36" t="s">
        <v>149</v>
      </c>
      <c r="G74" s="39">
        <v>17500</v>
      </c>
      <c r="H74" s="51">
        <v>46142</v>
      </c>
      <c r="I74" s="53">
        <v>17187.5</v>
      </c>
      <c r="J74" s="79">
        <f t="shared" si="7"/>
        <v>312.5</v>
      </c>
      <c r="K74" s="87" t="s">
        <v>551</v>
      </c>
      <c r="L74" s="76"/>
      <c r="M74" s="83" t="s">
        <v>538</v>
      </c>
      <c r="O74" s="42"/>
    </row>
    <row r="75" spans="1:15">
      <c r="A75" s="36"/>
      <c r="B75" s="62" t="s">
        <v>678</v>
      </c>
      <c r="C75" s="37"/>
      <c r="D75" s="38">
        <v>46142</v>
      </c>
      <c r="E75" s="36" t="s">
        <v>680</v>
      </c>
      <c r="F75" s="36" t="s">
        <v>634</v>
      </c>
      <c r="G75" s="39">
        <v>16500</v>
      </c>
      <c r="H75" s="51">
        <v>46142</v>
      </c>
      <c r="I75" s="53">
        <v>16500</v>
      </c>
      <c r="J75" s="79">
        <f t="shared" si="7"/>
        <v>0</v>
      </c>
      <c r="K75" s="84" t="s">
        <v>541</v>
      </c>
      <c r="L75" s="76"/>
      <c r="M75" s="83"/>
      <c r="O75" s="42"/>
    </row>
    <row r="76" spans="1:15">
      <c r="A76" s="36" t="s">
        <v>621</v>
      </c>
      <c r="B76" s="62"/>
      <c r="C76" s="37"/>
      <c r="D76" s="38">
        <v>46133</v>
      </c>
      <c r="E76" s="36" t="s">
        <v>622</v>
      </c>
      <c r="F76" s="36" t="s">
        <v>129</v>
      </c>
      <c r="G76" s="39">
        <v>1316</v>
      </c>
      <c r="H76" s="51">
        <v>46133</v>
      </c>
      <c r="I76" s="53">
        <v>1316</v>
      </c>
      <c r="J76" s="79">
        <f t="shared" si="7"/>
        <v>0</v>
      </c>
      <c r="K76" s="84" t="s">
        <v>541</v>
      </c>
      <c r="L76" s="76"/>
      <c r="M76" s="53"/>
      <c r="O76" s="42"/>
    </row>
    <row r="77" spans="1:15">
      <c r="A77" s="36" t="s">
        <v>623</v>
      </c>
      <c r="B77" s="62"/>
      <c r="C77" s="37"/>
      <c r="D77" s="38">
        <v>46133</v>
      </c>
      <c r="E77" s="36" t="s">
        <v>627</v>
      </c>
      <c r="F77" s="36" t="s">
        <v>129</v>
      </c>
      <c r="G77" s="39">
        <v>1800</v>
      </c>
      <c r="H77" s="51">
        <v>46133</v>
      </c>
      <c r="I77" s="53">
        <v>1800</v>
      </c>
      <c r="J77" s="79">
        <f t="shared" si="7"/>
        <v>0</v>
      </c>
      <c r="K77" s="84" t="s">
        <v>541</v>
      </c>
      <c r="L77" s="76"/>
      <c r="M77" s="53"/>
      <c r="O77" s="42"/>
    </row>
    <row r="78" spans="1:15">
      <c r="A78" s="36" t="s">
        <v>624</v>
      </c>
      <c r="B78" s="62"/>
      <c r="C78" s="37"/>
      <c r="D78" s="38">
        <v>46133</v>
      </c>
      <c r="E78" s="36" t="s">
        <v>628</v>
      </c>
      <c r="F78" s="36" t="s">
        <v>129</v>
      </c>
      <c r="G78" s="39">
        <v>1200</v>
      </c>
      <c r="H78" s="51">
        <v>46133</v>
      </c>
      <c r="I78" s="53">
        <v>1200</v>
      </c>
      <c r="J78" s="79">
        <f t="shared" si="7"/>
        <v>0</v>
      </c>
      <c r="K78" s="84" t="s">
        <v>541</v>
      </c>
      <c r="L78" s="76"/>
      <c r="M78" s="53"/>
      <c r="O78" s="42"/>
    </row>
    <row r="79" spans="1:15">
      <c r="A79" s="36" t="s">
        <v>625</v>
      </c>
      <c r="B79" s="62"/>
      <c r="C79" s="37"/>
      <c r="D79" s="38">
        <v>46133</v>
      </c>
      <c r="E79" s="36" t="s">
        <v>629</v>
      </c>
      <c r="F79" s="36" t="s">
        <v>129</v>
      </c>
      <c r="G79" s="39">
        <v>1150</v>
      </c>
      <c r="H79" s="51">
        <v>46133</v>
      </c>
      <c r="I79" s="53">
        <v>1150</v>
      </c>
      <c r="J79" s="79">
        <f t="shared" si="0"/>
        <v>0</v>
      </c>
      <c r="K79" s="84" t="s">
        <v>541</v>
      </c>
      <c r="L79" s="76"/>
      <c r="M79" s="53"/>
      <c r="O79" s="42"/>
    </row>
    <row r="80" spans="1:15">
      <c r="A80" s="36" t="s">
        <v>626</v>
      </c>
      <c r="B80" s="62"/>
      <c r="C80" s="37"/>
      <c r="D80" s="38">
        <v>46133</v>
      </c>
      <c r="E80" s="36" t="s">
        <v>135</v>
      </c>
      <c r="F80" s="36" t="s">
        <v>129</v>
      </c>
      <c r="G80" s="39">
        <v>1144</v>
      </c>
      <c r="H80" s="51">
        <v>46133</v>
      </c>
      <c r="I80" s="53">
        <v>1144</v>
      </c>
      <c r="J80" s="79">
        <f t="shared" si="0"/>
        <v>0</v>
      </c>
      <c r="K80" s="84" t="s">
        <v>541</v>
      </c>
      <c r="L80" s="76"/>
      <c r="M80" s="53"/>
      <c r="O80" s="42"/>
    </row>
    <row r="81" spans="1:15">
      <c r="A81" s="36" t="s">
        <v>630</v>
      </c>
      <c r="B81" s="62"/>
      <c r="C81" s="37"/>
      <c r="D81" s="38">
        <v>46133</v>
      </c>
      <c r="E81" s="36" t="s">
        <v>631</v>
      </c>
      <c r="F81" s="36" t="s">
        <v>129</v>
      </c>
      <c r="G81" s="39">
        <v>800</v>
      </c>
      <c r="H81" s="51">
        <v>46133</v>
      </c>
      <c r="I81" s="39">
        <v>800</v>
      </c>
      <c r="J81" s="79">
        <f t="shared" si="0"/>
        <v>0</v>
      </c>
      <c r="K81" s="84" t="s">
        <v>541</v>
      </c>
      <c r="L81" s="76"/>
      <c r="M81" s="53"/>
      <c r="O81" s="42"/>
    </row>
    <row r="82" spans="1:1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80"/>
      <c r="L82" s="64"/>
      <c r="M82" s="64"/>
    </row>
  </sheetData>
  <phoneticPr fontId="8" type="noConversion"/>
  <conditionalFormatting sqref="K6">
    <cfRule type="cellIs" dxfId="100" priority="72" operator="equal">
      <formula>"CANCEL"</formula>
    </cfRule>
    <cfRule type="cellIs" dxfId="99" priority="71" operator="equal">
      <formula>"PARTIAL"</formula>
    </cfRule>
  </conditionalFormatting>
  <conditionalFormatting sqref="K8:K10">
    <cfRule type="cellIs" dxfId="98" priority="69" operator="equal">
      <formula>"PARTIAL"</formula>
    </cfRule>
    <cfRule type="cellIs" dxfId="97" priority="70" operator="equal">
      <formula>"CANCEL"</formula>
    </cfRule>
  </conditionalFormatting>
  <conditionalFormatting sqref="K12:K13">
    <cfRule type="cellIs" dxfId="96" priority="67" operator="equal">
      <formula>"PARTIAL"</formula>
    </cfRule>
    <cfRule type="cellIs" dxfId="95" priority="68" operator="equal">
      <formula>"CANCEL"</formula>
    </cfRule>
  </conditionalFormatting>
  <conditionalFormatting sqref="K15">
    <cfRule type="cellIs" dxfId="94" priority="35" operator="equal">
      <formula>"PARTIAL"</formula>
    </cfRule>
    <cfRule type="cellIs" dxfId="93" priority="36" operator="equal">
      <formula>"CANCEL"</formula>
    </cfRule>
  </conditionalFormatting>
  <conditionalFormatting sqref="K17:K18">
    <cfRule type="cellIs" dxfId="92" priority="165" operator="equal">
      <formula>"PAID"</formula>
    </cfRule>
    <cfRule type="cellIs" dxfId="91" priority="164" operator="equal">
      <formula>"PAID"</formula>
    </cfRule>
    <cfRule type="cellIs" dxfId="90" priority="163" operator="equal">
      <formula>"PAID"</formula>
    </cfRule>
    <cfRule type="cellIs" dxfId="89" priority="166" operator="equal">
      <formula>"PAID"</formula>
    </cfRule>
  </conditionalFormatting>
  <conditionalFormatting sqref="K19 K40">
    <cfRule type="cellIs" dxfId="88" priority="78" operator="equal">
      <formula>"CANCEL"</formula>
    </cfRule>
  </conditionalFormatting>
  <conditionalFormatting sqref="K20">
    <cfRule type="cellIs" dxfId="87" priority="108" operator="equal">
      <formula>"PAID"</formula>
    </cfRule>
    <cfRule type="cellIs" dxfId="86" priority="107" operator="equal">
      <formula>"PAID"</formula>
    </cfRule>
    <cfRule type="cellIs" dxfId="85" priority="106" operator="equal">
      <formula>"PAID"</formula>
    </cfRule>
    <cfRule type="cellIs" dxfId="84" priority="105" operator="equal">
      <formula>"PAID"</formula>
    </cfRule>
  </conditionalFormatting>
  <conditionalFormatting sqref="K21:K22">
    <cfRule type="cellIs" dxfId="83" priority="104" operator="equal">
      <formula>"UNPAID"</formula>
    </cfRule>
    <cfRule type="cellIs" dxfId="82" priority="96" operator="equal">
      <formula>"UNPAID"</formula>
    </cfRule>
    <cfRule type="cellIs" dxfId="81" priority="103" operator="equal">
      <formula>"UNPAID"</formula>
    </cfRule>
    <cfRule type="dataBar" priority="1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{68E341A1-2FF7-4899-AF9D-0B737A7BF1F9}</x14:id>
        </ext>
      </extLst>
    </cfRule>
    <cfRule type="cellIs" dxfId="80" priority="101" operator="equal">
      <formula>"UNPAID"</formula>
    </cfRule>
    <cfRule type="cellIs" dxfId="79" priority="100" operator="equal">
      <formula>"UNPAID"</formula>
    </cfRule>
    <cfRule type="cellIs" dxfId="78" priority="99" operator="equal">
      <formula>"UNPAID"</formula>
    </cfRule>
    <cfRule type="cellIs" dxfId="77" priority="98" operator="equal">
      <formula>"UNPAID"</formula>
    </cfRule>
    <cfRule type="cellIs" dxfId="76" priority="97" operator="equal">
      <formula>"UNPAID"</formula>
    </cfRule>
  </conditionalFormatting>
  <conditionalFormatting sqref="K23">
    <cfRule type="cellIs" dxfId="75" priority="92" operator="equal">
      <formula>"PAID"</formula>
    </cfRule>
    <cfRule type="cellIs" dxfId="74" priority="95" operator="equal">
      <formula>"PAID"</formula>
    </cfRule>
    <cfRule type="cellIs" dxfId="73" priority="94" operator="equal">
      <formula>"PAID"</formula>
    </cfRule>
    <cfRule type="cellIs" dxfId="72" priority="93" operator="equal">
      <formula>"PAID"</formula>
    </cfRule>
  </conditionalFormatting>
  <conditionalFormatting sqref="K24">
    <cfRule type="dataBar" priority="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{5E69CC23-30C8-4C81-854B-A03410415501}</x14:id>
        </ext>
      </extLst>
    </cfRule>
    <cfRule type="cellIs" dxfId="71" priority="90" operator="equal">
      <formula>"UNPAID"</formula>
    </cfRule>
    <cfRule type="cellIs" dxfId="70" priority="91" operator="equal">
      <formula>"UNPAID"</formula>
    </cfRule>
    <cfRule type="cellIs" dxfId="69" priority="88" operator="equal">
      <formula>"UNPAID"</formula>
    </cfRule>
    <cfRule type="cellIs" dxfId="68" priority="83" operator="equal">
      <formula>"UNPAID"</formula>
    </cfRule>
    <cfRule type="cellIs" dxfId="67" priority="84" operator="equal">
      <formula>"UNPAID"</formula>
    </cfRule>
    <cfRule type="cellIs" dxfId="66" priority="85" operator="equal">
      <formula>"UNPAID"</formula>
    </cfRule>
    <cfRule type="cellIs" dxfId="65" priority="86" operator="equal">
      <formula>"UNPAID"</formula>
    </cfRule>
    <cfRule type="cellIs" dxfId="64" priority="87" operator="equal">
      <formula>"UNPAID"</formula>
    </cfRule>
  </conditionalFormatting>
  <conditionalFormatting sqref="K25:K37">
    <cfRule type="cellIs" dxfId="63" priority="17" operator="equal">
      <formula>"PAID"</formula>
    </cfRule>
    <cfRule type="cellIs" dxfId="62" priority="16" operator="equal">
      <formula>"PAID"</formula>
    </cfRule>
    <cfRule type="cellIs" dxfId="61" priority="15" operator="equal">
      <formula>"PAID"</formula>
    </cfRule>
    <cfRule type="cellIs" dxfId="60" priority="14" operator="equal">
      <formula>"PAID"</formula>
    </cfRule>
  </conditionalFormatting>
  <conditionalFormatting sqref="K38">
    <cfRule type="cellIs" dxfId="59" priority="9" operator="equal">
      <formula>"CANCEL"</formula>
    </cfRule>
    <cfRule type="cellIs" dxfId="58" priority="8" operator="equal">
      <formula>"PARTIAL"</formula>
    </cfRule>
  </conditionalFormatting>
  <conditionalFormatting sqref="K39">
    <cfRule type="cellIs" dxfId="57" priority="7" operator="equal">
      <formula>"PAID"</formula>
    </cfRule>
    <cfRule type="cellIs" dxfId="56" priority="6" operator="equal">
      <formula>"PAID"</formula>
    </cfRule>
    <cfRule type="cellIs" dxfId="55" priority="5" operator="equal">
      <formula>"PAID"</formula>
    </cfRule>
    <cfRule type="cellIs" dxfId="54" priority="4" operator="equal">
      <formula>"PAID"</formula>
    </cfRule>
  </conditionalFormatting>
  <conditionalFormatting sqref="K41:K52">
    <cfRule type="cellIs" dxfId="53" priority="74" operator="equal">
      <formula>"PAID"</formula>
    </cfRule>
    <cfRule type="cellIs" dxfId="52" priority="76" operator="equal">
      <formula>"PAID"</formula>
    </cfRule>
    <cfRule type="cellIs" dxfId="51" priority="75" operator="equal">
      <formula>"PAID"</formula>
    </cfRule>
    <cfRule type="cellIs" dxfId="50" priority="73" operator="equal">
      <formula>"PAID"</formula>
    </cfRule>
  </conditionalFormatting>
  <conditionalFormatting sqref="K53:K58">
    <cfRule type="cellIs" dxfId="49" priority="25" operator="equal">
      <formula>"CANCEL"</formula>
    </cfRule>
    <cfRule type="cellIs" dxfId="48" priority="24" operator="equal">
      <formula>"PARTIAL"</formula>
    </cfRule>
  </conditionalFormatting>
  <conditionalFormatting sqref="K59:K65">
    <cfRule type="cellIs" dxfId="47" priority="40" operator="equal">
      <formula>"PAID"</formula>
    </cfRule>
    <cfRule type="cellIs" dxfId="46" priority="39" operator="equal">
      <formula>"PAID"</formula>
    </cfRule>
    <cfRule type="cellIs" dxfId="45" priority="38" operator="equal">
      <formula>"PAID"</formula>
    </cfRule>
    <cfRule type="cellIs" dxfId="44" priority="37" operator="equal">
      <formula>"PAID"</formula>
    </cfRule>
  </conditionalFormatting>
  <conditionalFormatting sqref="K66">
    <cfRule type="cellIs" dxfId="43" priority="1" operator="equal">
      <formula>"CANCEL"</formula>
    </cfRule>
  </conditionalFormatting>
  <conditionalFormatting sqref="K67:K73 K75:K81">
    <cfRule type="cellIs" dxfId="42" priority="13" operator="equal">
      <formula>"PAID"</formula>
    </cfRule>
    <cfRule type="cellIs" dxfId="41" priority="12" operator="equal">
      <formula>"PAID"</formula>
    </cfRule>
    <cfRule type="cellIs" dxfId="40" priority="11" operator="equal">
      <formula>"PAID"</formula>
    </cfRule>
    <cfRule type="cellIs" dxfId="39" priority="10" operator="equal">
      <formula>"PAID"</formula>
    </cfRule>
  </conditionalFormatting>
  <conditionalFormatting sqref="K74">
    <cfRule type="cellIs" dxfId="38" priority="2" operator="equal">
      <formula>"PARTIAL"</formula>
    </cfRule>
    <cfRule type="cellIs" dxfId="37" priority="3" operator="equal">
      <formula>"CANCEL"</formula>
    </cfRule>
  </conditionalFormatting>
  <dataValidations count="3">
    <dataValidation type="list" allowBlank="1" showInputMessage="1" showErrorMessage="1" sqref="L4 M1:M15 M17:M1048576" xr:uid="{41B9A99D-E4C3-4847-A388-C38A193A5DF4}">
      <formula1>"COMPLETE,LACKING,N/A"</formula1>
    </dataValidation>
    <dataValidation type="list" allowBlank="1" showInputMessage="1" showErrorMessage="1" sqref="K1:K15 K17:K18 K20:K1048576" xr:uid="{9B61DC49-0D70-4202-BB5B-ADAE97A6155B}">
      <formula1>"PAID, UNPAID, CANCEL, PARTIAL"</formula1>
    </dataValidation>
    <dataValidation type="list" allowBlank="1" showInputMessage="1" showErrorMessage="1" sqref="K19 K66 K40" xr:uid="{4DC48A16-0318-4481-9746-14B83167D5BA}">
      <formula1>"PAID, UNPAID, CANCEL"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E341A1-2FF7-4899-AF9D-0B737A7BF1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K21:K22</xm:sqref>
        </x14:conditionalFormatting>
        <x14:conditionalFormatting xmlns:xm="http://schemas.microsoft.com/office/excel/2006/main">
          <x14:cfRule type="dataBar" id="{5E69CC23-30C8-4C81-854B-A034104155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K24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490C9-C9B4-49DE-B11D-E8C6E7E064C2}">
  <dimension ref="A1:O74"/>
  <sheetViews>
    <sheetView tabSelected="1" topLeftCell="A38" workbookViewId="0">
      <selection activeCell="C56" sqref="C56"/>
    </sheetView>
  </sheetViews>
  <sheetFormatPr defaultRowHeight="15"/>
  <cols>
    <col min="1" max="1" width="17.85546875" customWidth="1"/>
    <col min="2" max="2" width="12.5703125" customWidth="1"/>
    <col min="3" max="3" width="12.85546875" style="65" customWidth="1"/>
    <col min="4" max="4" width="10" customWidth="1"/>
    <col min="5" max="5" width="78.85546875" bestFit="1" customWidth="1"/>
    <col min="6" max="6" width="67.42578125" customWidth="1"/>
    <col min="7" max="7" width="15.5703125" customWidth="1"/>
    <col min="8" max="8" width="11.7109375" customWidth="1"/>
    <col min="9" max="9" width="14.140625" customWidth="1"/>
    <col min="10" max="10" width="13.140625" customWidth="1"/>
    <col min="11" max="11" width="13.140625" style="65" customWidth="1"/>
    <col min="12" max="12" width="13.140625" customWidth="1"/>
    <col min="13" max="13" width="12.7109375" customWidth="1"/>
  </cols>
  <sheetData>
    <row r="1" spans="1:15">
      <c r="A1" s="1" t="s">
        <v>531</v>
      </c>
      <c r="B1" s="1"/>
      <c r="C1" s="2"/>
      <c r="D1" s="3"/>
      <c r="E1" s="4"/>
      <c r="F1" s="5"/>
      <c r="G1" s="6"/>
      <c r="H1" s="7"/>
      <c r="I1" s="8"/>
      <c r="J1" s="9"/>
      <c r="K1" s="78"/>
      <c r="L1" s="9"/>
      <c r="M1" s="8"/>
    </row>
    <row r="2" spans="1:15" ht="15.75" thickBot="1">
      <c r="A2" s="10"/>
      <c r="B2" s="10"/>
      <c r="C2" s="11"/>
      <c r="D2" s="12"/>
      <c r="E2" s="13"/>
      <c r="F2" s="14"/>
      <c r="G2" s="15"/>
      <c r="H2" s="16"/>
      <c r="I2" s="17"/>
      <c r="J2" s="18"/>
      <c r="K2" s="15"/>
      <c r="L2" s="18"/>
      <c r="M2" s="17"/>
    </row>
    <row r="3" spans="1:15" ht="25.5">
      <c r="A3" s="19" t="s">
        <v>2</v>
      </c>
      <c r="B3" s="19" t="s">
        <v>0</v>
      </c>
      <c r="C3" s="20" t="s">
        <v>1</v>
      </c>
      <c r="D3" s="21" t="s">
        <v>2</v>
      </c>
      <c r="E3" s="22" t="s">
        <v>3</v>
      </c>
      <c r="F3" s="23" t="s">
        <v>4</v>
      </c>
      <c r="G3" s="24" t="s">
        <v>5</v>
      </c>
      <c r="H3" s="25" t="s">
        <v>532</v>
      </c>
      <c r="I3" s="26" t="s">
        <v>6</v>
      </c>
      <c r="J3" s="24" t="s">
        <v>534</v>
      </c>
      <c r="K3" s="81" t="s">
        <v>533</v>
      </c>
      <c r="L3" s="27" t="s">
        <v>540</v>
      </c>
      <c r="M3" s="27" t="s">
        <v>536</v>
      </c>
    </row>
    <row r="4" spans="1:15">
      <c r="A4" s="28"/>
      <c r="B4" s="28"/>
      <c r="C4" s="29"/>
      <c r="D4" s="30"/>
      <c r="E4" s="31"/>
      <c r="F4" s="32"/>
      <c r="G4" s="33"/>
      <c r="H4" s="34"/>
      <c r="I4" s="35"/>
      <c r="J4" s="33"/>
      <c r="K4" s="82"/>
      <c r="L4" s="77" t="s">
        <v>537</v>
      </c>
      <c r="M4" s="77" t="s">
        <v>537</v>
      </c>
    </row>
    <row r="5" spans="1:15">
      <c r="A5" s="93" t="s">
        <v>7</v>
      </c>
      <c r="B5" s="59"/>
      <c r="C5" s="57"/>
      <c r="D5" s="58"/>
      <c r="E5" s="59"/>
      <c r="F5" s="59"/>
      <c r="G5" s="60"/>
      <c r="H5" s="58"/>
      <c r="I5" s="55"/>
      <c r="J5" s="47"/>
      <c r="K5" s="94"/>
      <c r="L5" s="61"/>
      <c r="M5" s="55"/>
      <c r="O5" s="42"/>
    </row>
    <row r="6" spans="1:15">
      <c r="A6" s="56"/>
      <c r="B6" s="54" t="s">
        <v>8</v>
      </c>
      <c r="C6" s="57"/>
      <c r="D6" s="58">
        <v>45854</v>
      </c>
      <c r="E6" s="59" t="s">
        <v>9</v>
      </c>
      <c r="F6" s="59" t="s">
        <v>10</v>
      </c>
      <c r="G6" s="60">
        <v>4000</v>
      </c>
      <c r="H6" s="58"/>
      <c r="I6" s="55">
        <v>3928.58</v>
      </c>
      <c r="J6" s="61">
        <f>SUM(G6-I6-L6)</f>
        <v>71.420000000000073</v>
      </c>
      <c r="K6" s="87" t="s">
        <v>551</v>
      </c>
      <c r="L6" s="61"/>
      <c r="M6" s="87" t="s">
        <v>538</v>
      </c>
      <c r="O6" s="42"/>
    </row>
    <row r="7" spans="1:15">
      <c r="A7" s="93" t="s">
        <v>13</v>
      </c>
      <c r="B7" s="54"/>
      <c r="C7" s="44"/>
      <c r="D7" s="58"/>
      <c r="E7" s="59"/>
      <c r="F7" s="59"/>
      <c r="G7" s="60"/>
      <c r="H7" s="58"/>
      <c r="I7" s="55"/>
      <c r="J7" s="47"/>
      <c r="K7" s="94"/>
      <c r="L7" s="61"/>
      <c r="M7" s="55"/>
      <c r="O7" s="42"/>
    </row>
    <row r="8" spans="1:15">
      <c r="A8" s="43"/>
      <c r="B8" s="54" t="s">
        <v>115</v>
      </c>
      <c r="C8" s="44"/>
      <c r="D8" s="58">
        <v>46038</v>
      </c>
      <c r="E8" s="59" t="s">
        <v>119</v>
      </c>
      <c r="F8" s="59" t="s">
        <v>11</v>
      </c>
      <c r="G8" s="60">
        <v>10000</v>
      </c>
      <c r="H8" s="58">
        <v>46036</v>
      </c>
      <c r="I8" s="55">
        <v>9821.43</v>
      </c>
      <c r="J8" s="61">
        <f t="shared" ref="J8:J29" si="0">SUM(G8-I8-L8)</f>
        <v>178.56999999999971</v>
      </c>
      <c r="K8" s="87" t="s">
        <v>551</v>
      </c>
      <c r="L8" s="61"/>
      <c r="M8" s="87" t="s">
        <v>538</v>
      </c>
      <c r="O8" s="42"/>
    </row>
    <row r="9" spans="1:15">
      <c r="A9" s="43"/>
      <c r="B9" s="54" t="s">
        <v>140</v>
      </c>
      <c r="C9" s="44"/>
      <c r="D9" s="58">
        <v>46052</v>
      </c>
      <c r="E9" s="59" t="s">
        <v>176</v>
      </c>
      <c r="F9" s="59" t="s">
        <v>11</v>
      </c>
      <c r="G9" s="60">
        <v>10000</v>
      </c>
      <c r="H9" s="58">
        <v>46052</v>
      </c>
      <c r="I9" s="55">
        <v>9821.43</v>
      </c>
      <c r="J9" s="61">
        <f t="shared" si="0"/>
        <v>178.56999999999971</v>
      </c>
      <c r="K9" s="87" t="s">
        <v>551</v>
      </c>
      <c r="L9" s="61"/>
      <c r="M9" s="87" t="s">
        <v>538</v>
      </c>
      <c r="N9" t="s">
        <v>638</v>
      </c>
      <c r="O9" s="42"/>
    </row>
    <row r="10" spans="1:15">
      <c r="A10" s="43"/>
      <c r="B10" s="54" t="s">
        <v>178</v>
      </c>
      <c r="C10" s="44"/>
      <c r="D10" s="45">
        <v>46052</v>
      </c>
      <c r="E10" s="43" t="s">
        <v>177</v>
      </c>
      <c r="F10" s="43" t="s">
        <v>11</v>
      </c>
      <c r="G10" s="46">
        <v>10000</v>
      </c>
      <c r="H10" s="58">
        <v>46052</v>
      </c>
      <c r="I10" s="55">
        <v>9821.43</v>
      </c>
      <c r="J10" s="61">
        <f t="shared" si="0"/>
        <v>178.56999999999971</v>
      </c>
      <c r="K10" s="87" t="s">
        <v>551</v>
      </c>
      <c r="L10" s="61"/>
      <c r="M10" s="87" t="s">
        <v>538</v>
      </c>
      <c r="O10" s="42"/>
    </row>
    <row r="11" spans="1:15">
      <c r="A11" s="56" t="s">
        <v>181</v>
      </c>
      <c r="B11" s="54"/>
      <c r="C11" s="44"/>
      <c r="D11" s="45"/>
      <c r="E11" s="43"/>
      <c r="F11" s="43"/>
      <c r="G11" s="46"/>
      <c r="H11" s="45"/>
      <c r="I11" s="95"/>
      <c r="J11" s="47"/>
      <c r="K11" s="96"/>
      <c r="L11" s="47"/>
      <c r="M11" s="95"/>
      <c r="O11" s="42"/>
    </row>
    <row r="12" spans="1:15">
      <c r="A12" s="43"/>
      <c r="B12" s="54"/>
      <c r="C12" s="44" t="s">
        <v>286</v>
      </c>
      <c r="D12" s="45">
        <v>46073</v>
      </c>
      <c r="E12" s="43" t="s">
        <v>322</v>
      </c>
      <c r="F12" s="43" t="s">
        <v>303</v>
      </c>
      <c r="G12" s="46">
        <v>36000</v>
      </c>
      <c r="H12" s="58">
        <v>46073</v>
      </c>
      <c r="I12" s="55">
        <v>35678.58</v>
      </c>
      <c r="J12" s="61">
        <f t="shared" si="0"/>
        <v>321.41999999999825</v>
      </c>
      <c r="K12" s="87" t="s">
        <v>551</v>
      </c>
      <c r="L12" s="61"/>
      <c r="M12" s="87" t="s">
        <v>538</v>
      </c>
      <c r="O12" s="42"/>
    </row>
    <row r="13" spans="1:15">
      <c r="A13" s="43"/>
      <c r="B13" s="54" t="s">
        <v>325</v>
      </c>
      <c r="C13" s="44"/>
      <c r="D13" s="45">
        <v>46073</v>
      </c>
      <c r="E13" s="43" t="s">
        <v>322</v>
      </c>
      <c r="F13" s="43" t="s">
        <v>330</v>
      </c>
      <c r="G13" s="46">
        <v>48000</v>
      </c>
      <c r="H13" s="58">
        <v>46073</v>
      </c>
      <c r="I13" s="55">
        <v>47142.86</v>
      </c>
      <c r="J13" s="61">
        <f t="shared" si="0"/>
        <v>857.13999999999942</v>
      </c>
      <c r="K13" s="87" t="s">
        <v>551</v>
      </c>
      <c r="L13" s="61"/>
      <c r="M13" s="87" t="s">
        <v>538</v>
      </c>
      <c r="O13" s="42"/>
    </row>
    <row r="14" spans="1:15">
      <c r="A14" s="56" t="s">
        <v>366</v>
      </c>
      <c r="B14" s="54"/>
      <c r="C14" s="44"/>
      <c r="D14" s="45"/>
      <c r="E14" s="43"/>
      <c r="F14" s="43"/>
      <c r="G14" s="46"/>
      <c r="H14" s="58"/>
      <c r="I14" s="55"/>
      <c r="J14" s="47"/>
      <c r="K14" s="94"/>
      <c r="L14" s="61"/>
      <c r="M14" s="55"/>
      <c r="O14" s="42"/>
    </row>
    <row r="15" spans="1:15">
      <c r="A15" s="43"/>
      <c r="B15" s="54"/>
      <c r="C15" s="44" t="s">
        <v>466</v>
      </c>
      <c r="D15" s="45">
        <v>46108</v>
      </c>
      <c r="E15" s="43" t="s">
        <v>492</v>
      </c>
      <c r="F15" s="43" t="s">
        <v>493</v>
      </c>
      <c r="G15" s="46">
        <v>61000</v>
      </c>
      <c r="H15" s="58">
        <v>46132</v>
      </c>
      <c r="I15" s="55">
        <v>60455.360000000001</v>
      </c>
      <c r="J15" s="61">
        <f t="shared" si="0"/>
        <v>544.63999999999942</v>
      </c>
      <c r="K15" s="87" t="s">
        <v>551</v>
      </c>
      <c r="L15" s="61"/>
      <c r="M15" s="87" t="s">
        <v>538</v>
      </c>
      <c r="O15" s="42"/>
    </row>
    <row r="16" spans="1:15">
      <c r="A16" s="63" t="s">
        <v>524</v>
      </c>
      <c r="B16" s="62"/>
      <c r="C16" s="92"/>
      <c r="D16" s="36"/>
      <c r="E16" s="36"/>
      <c r="F16" s="36"/>
      <c r="G16" s="36"/>
      <c r="H16" s="36"/>
      <c r="I16" s="36"/>
      <c r="J16" s="36"/>
      <c r="K16" s="92"/>
      <c r="L16" s="36"/>
      <c r="M16" s="36"/>
      <c r="O16" s="42"/>
    </row>
    <row r="17" spans="1:15">
      <c r="A17" s="43"/>
      <c r="B17" s="54"/>
      <c r="C17" s="44" t="s">
        <v>544</v>
      </c>
      <c r="D17" s="45">
        <v>46122</v>
      </c>
      <c r="E17" s="97" t="s">
        <v>552</v>
      </c>
      <c r="F17" s="43" t="s">
        <v>553</v>
      </c>
      <c r="G17" s="46">
        <v>15000</v>
      </c>
      <c r="H17" s="58"/>
      <c r="I17" s="55"/>
      <c r="J17" s="94">
        <f t="shared" si="0"/>
        <v>15000</v>
      </c>
      <c r="K17" s="98" t="s">
        <v>535</v>
      </c>
      <c r="L17" s="61"/>
      <c r="M17" s="55"/>
      <c r="O17" s="42"/>
    </row>
    <row r="18" spans="1:15">
      <c r="A18" s="43"/>
      <c r="B18" s="54"/>
      <c r="C18" s="44" t="s">
        <v>545</v>
      </c>
      <c r="D18" s="45">
        <v>46122</v>
      </c>
      <c r="E18" s="97" t="s">
        <v>554</v>
      </c>
      <c r="F18" s="99" t="s">
        <v>553</v>
      </c>
      <c r="G18" s="46">
        <v>15000</v>
      </c>
      <c r="H18" s="58"/>
      <c r="I18" s="46"/>
      <c r="J18" s="94">
        <f t="shared" si="0"/>
        <v>15000</v>
      </c>
      <c r="K18" s="98" t="s">
        <v>535</v>
      </c>
      <c r="L18" s="61"/>
      <c r="M18" s="55"/>
      <c r="O18" s="42"/>
    </row>
    <row r="19" spans="1:15">
      <c r="A19" s="43"/>
      <c r="B19" s="54"/>
      <c r="C19" s="44" t="s">
        <v>547</v>
      </c>
      <c r="D19" s="45">
        <v>46122</v>
      </c>
      <c r="E19" s="97" t="s">
        <v>557</v>
      </c>
      <c r="F19" s="99" t="s">
        <v>558</v>
      </c>
      <c r="G19" s="46">
        <v>15000</v>
      </c>
      <c r="H19" s="58"/>
      <c r="I19" s="46"/>
      <c r="J19" s="94">
        <f t="shared" si="0"/>
        <v>15000</v>
      </c>
      <c r="K19" s="98" t="s">
        <v>535</v>
      </c>
      <c r="L19" s="61"/>
      <c r="M19" s="55"/>
      <c r="O19" s="42"/>
    </row>
    <row r="20" spans="1:15">
      <c r="A20" s="43"/>
      <c r="B20" s="54"/>
      <c r="C20" s="44" t="s">
        <v>661</v>
      </c>
      <c r="D20" s="45">
        <v>46141</v>
      </c>
      <c r="E20" s="43" t="s">
        <v>662</v>
      </c>
      <c r="F20" s="99" t="s">
        <v>663</v>
      </c>
      <c r="G20" s="46">
        <v>160000</v>
      </c>
      <c r="H20" s="58">
        <v>46140</v>
      </c>
      <c r="I20" s="60">
        <v>156526.78</v>
      </c>
      <c r="J20" s="94">
        <f t="shared" si="0"/>
        <v>3473.2200000000012</v>
      </c>
      <c r="K20" s="87" t="s">
        <v>551</v>
      </c>
      <c r="L20" s="61"/>
      <c r="M20" s="87" t="s">
        <v>538</v>
      </c>
      <c r="O20" s="42"/>
    </row>
    <row r="21" spans="1:15">
      <c r="A21" s="43"/>
      <c r="B21" s="54" t="s">
        <v>599</v>
      </c>
      <c r="C21" s="44"/>
      <c r="D21" s="45">
        <v>46133</v>
      </c>
      <c r="E21" s="43" t="s">
        <v>605</v>
      </c>
      <c r="F21" s="43" t="s">
        <v>11</v>
      </c>
      <c r="G21" s="46">
        <v>2000</v>
      </c>
      <c r="H21" s="58">
        <v>46129</v>
      </c>
      <c r="I21" s="55">
        <v>1964.29</v>
      </c>
      <c r="J21" s="94">
        <f t="shared" si="0"/>
        <v>3.5527136788005009E-14</v>
      </c>
      <c r="K21" s="87" t="s">
        <v>541</v>
      </c>
      <c r="L21" s="61">
        <v>35.71</v>
      </c>
      <c r="M21" s="87" t="s">
        <v>542</v>
      </c>
      <c r="O21" s="42"/>
    </row>
    <row r="22" spans="1:15">
      <c r="A22" s="43"/>
      <c r="B22" s="54" t="s">
        <v>600</v>
      </c>
      <c r="C22" s="44"/>
      <c r="D22" s="45">
        <v>46133</v>
      </c>
      <c r="E22" s="43" t="s">
        <v>606</v>
      </c>
      <c r="F22" s="43" t="s">
        <v>11</v>
      </c>
      <c r="G22" s="46">
        <v>2000</v>
      </c>
      <c r="H22" s="58">
        <v>46129</v>
      </c>
      <c r="I22" s="55">
        <v>1964.29</v>
      </c>
      <c r="J22" s="94">
        <f t="shared" si="0"/>
        <v>3.5527136788005009E-14</v>
      </c>
      <c r="K22" s="87" t="s">
        <v>541</v>
      </c>
      <c r="L22" s="61">
        <v>35.71</v>
      </c>
      <c r="M22" s="87" t="s">
        <v>542</v>
      </c>
      <c r="O22" s="42"/>
    </row>
    <row r="23" spans="1:15">
      <c r="A23" s="43"/>
      <c r="B23" s="54" t="s">
        <v>601</v>
      </c>
      <c r="C23" s="44"/>
      <c r="D23" s="45">
        <v>46133</v>
      </c>
      <c r="E23" s="43" t="s">
        <v>607</v>
      </c>
      <c r="F23" s="43" t="s">
        <v>11</v>
      </c>
      <c r="G23" s="46">
        <v>2000</v>
      </c>
      <c r="H23" s="58">
        <v>46129</v>
      </c>
      <c r="I23" s="55">
        <v>1964.29</v>
      </c>
      <c r="J23" s="94">
        <f t="shared" si="0"/>
        <v>35.710000000000036</v>
      </c>
      <c r="K23" s="87" t="s">
        <v>551</v>
      </c>
      <c r="L23" s="61"/>
      <c r="M23" s="87" t="s">
        <v>538</v>
      </c>
      <c r="O23" s="42"/>
    </row>
    <row r="24" spans="1:15">
      <c r="A24" s="43"/>
      <c r="B24" s="54" t="s">
        <v>602</v>
      </c>
      <c r="C24" s="44"/>
      <c r="D24" s="45">
        <v>46133</v>
      </c>
      <c r="E24" s="43" t="s">
        <v>608</v>
      </c>
      <c r="F24" s="43" t="s">
        <v>11</v>
      </c>
      <c r="G24" s="46">
        <v>2000</v>
      </c>
      <c r="H24" s="58">
        <v>46129</v>
      </c>
      <c r="I24" s="55">
        <v>1964.29</v>
      </c>
      <c r="J24" s="94">
        <f t="shared" si="0"/>
        <v>35.710000000000036</v>
      </c>
      <c r="K24" s="87" t="s">
        <v>551</v>
      </c>
      <c r="L24" s="61"/>
      <c r="M24" s="87" t="s">
        <v>538</v>
      </c>
      <c r="O24" s="42"/>
    </row>
    <row r="25" spans="1:15">
      <c r="A25" s="43"/>
      <c r="B25" s="54" t="s">
        <v>609</v>
      </c>
      <c r="C25" s="44"/>
      <c r="D25" s="45">
        <v>46133</v>
      </c>
      <c r="E25" s="43" t="s">
        <v>618</v>
      </c>
      <c r="F25" s="43" t="s">
        <v>11</v>
      </c>
      <c r="G25" s="46">
        <v>2000</v>
      </c>
      <c r="H25" s="58">
        <v>46129</v>
      </c>
      <c r="I25" s="55">
        <v>1964.29</v>
      </c>
      <c r="J25" s="94">
        <f t="shared" si="0"/>
        <v>35.710000000000036</v>
      </c>
      <c r="K25" s="87" t="s">
        <v>551</v>
      </c>
      <c r="L25" s="61"/>
      <c r="M25" s="87" t="s">
        <v>538</v>
      </c>
      <c r="O25" s="42"/>
    </row>
    <row r="26" spans="1:15">
      <c r="A26" s="43"/>
      <c r="B26" s="54" t="s">
        <v>610</v>
      </c>
      <c r="C26" s="44"/>
      <c r="D26" s="45">
        <v>46133</v>
      </c>
      <c r="E26" s="43" t="s">
        <v>619</v>
      </c>
      <c r="F26" s="43" t="s">
        <v>11</v>
      </c>
      <c r="G26" s="46">
        <v>2000</v>
      </c>
      <c r="H26" s="58">
        <v>46129</v>
      </c>
      <c r="I26" s="55">
        <v>1964.29</v>
      </c>
      <c r="J26" s="94">
        <f t="shared" si="0"/>
        <v>35.710000000000036</v>
      </c>
      <c r="K26" s="87" t="s">
        <v>551</v>
      </c>
      <c r="L26" s="61"/>
      <c r="M26" s="87" t="s">
        <v>538</v>
      </c>
      <c r="O26" s="42"/>
    </row>
    <row r="27" spans="1:15">
      <c r="A27" s="43"/>
      <c r="B27" s="54" t="s">
        <v>611</v>
      </c>
      <c r="C27" s="44"/>
      <c r="D27" s="45">
        <v>46133</v>
      </c>
      <c r="E27" s="43" t="s">
        <v>620</v>
      </c>
      <c r="F27" s="43" t="s">
        <v>11</v>
      </c>
      <c r="G27" s="46">
        <v>2000</v>
      </c>
      <c r="H27" s="58">
        <v>46129</v>
      </c>
      <c r="I27" s="55">
        <v>1964.29</v>
      </c>
      <c r="J27" s="94">
        <f t="shared" si="0"/>
        <v>35.710000000000036</v>
      </c>
      <c r="K27" s="87" t="s">
        <v>551</v>
      </c>
      <c r="L27" s="61"/>
      <c r="M27" s="87" t="s">
        <v>538</v>
      </c>
      <c r="O27" s="42"/>
    </row>
    <row r="28" spans="1:15">
      <c r="A28" s="43"/>
      <c r="B28" s="54" t="s">
        <v>612</v>
      </c>
      <c r="C28" s="44"/>
      <c r="D28" s="45">
        <v>46133</v>
      </c>
      <c r="E28" s="43" t="s">
        <v>639</v>
      </c>
      <c r="F28" s="43" t="s">
        <v>11</v>
      </c>
      <c r="G28" s="46">
        <v>10000</v>
      </c>
      <c r="H28" s="58"/>
      <c r="I28" s="55"/>
      <c r="J28" s="94">
        <v>9821.43</v>
      </c>
      <c r="K28" s="87" t="s">
        <v>551</v>
      </c>
      <c r="L28" s="61"/>
      <c r="M28" s="87" t="s">
        <v>538</v>
      </c>
      <c r="O28" s="42"/>
    </row>
    <row r="29" spans="1:15">
      <c r="A29" s="43"/>
      <c r="B29" s="54" t="s">
        <v>677</v>
      </c>
      <c r="C29" s="44"/>
      <c r="D29" s="45">
        <v>46142</v>
      </c>
      <c r="E29" s="43" t="s">
        <v>679</v>
      </c>
      <c r="F29" s="43" t="s">
        <v>149</v>
      </c>
      <c r="G29" s="46">
        <v>17500</v>
      </c>
      <c r="H29" s="58">
        <v>46142</v>
      </c>
      <c r="I29" s="55">
        <v>17187.5</v>
      </c>
      <c r="J29" s="94">
        <f t="shared" si="0"/>
        <v>312.5</v>
      </c>
      <c r="K29" s="87" t="s">
        <v>551</v>
      </c>
      <c r="L29" s="61"/>
      <c r="M29" s="87" t="s">
        <v>538</v>
      </c>
      <c r="O29" s="42"/>
    </row>
    <row r="30" spans="1:15">
      <c r="A30" s="63" t="s">
        <v>681</v>
      </c>
      <c r="B30" s="62"/>
      <c r="C30" s="37"/>
      <c r="D30" s="38"/>
      <c r="E30" s="36"/>
      <c r="F30" s="36"/>
      <c r="G30" s="39"/>
      <c r="H30" s="51"/>
      <c r="I30" s="53"/>
      <c r="J30" s="79"/>
      <c r="K30" s="83"/>
      <c r="L30" s="76"/>
      <c r="M30" s="83"/>
      <c r="O30" s="42"/>
    </row>
    <row r="31" spans="1:15">
      <c r="A31" s="36"/>
      <c r="B31" s="62"/>
      <c r="C31" s="100" t="s">
        <v>665</v>
      </c>
      <c r="D31" s="38">
        <v>46146</v>
      </c>
      <c r="E31" s="36" t="s">
        <v>283</v>
      </c>
      <c r="F31" s="36" t="s">
        <v>694</v>
      </c>
      <c r="G31" s="39">
        <v>2500</v>
      </c>
      <c r="H31" s="51">
        <v>46146</v>
      </c>
      <c r="I31" s="53">
        <v>2500</v>
      </c>
      <c r="J31" s="79">
        <f t="shared" ref="J31:J41" si="1">SUM(G31-I31-L31)</f>
        <v>0</v>
      </c>
      <c r="K31" s="84" t="s">
        <v>541</v>
      </c>
      <c r="L31" s="76"/>
      <c r="M31" s="83"/>
      <c r="O31" s="42"/>
    </row>
    <row r="32" spans="1:15">
      <c r="A32" s="36"/>
      <c r="B32" s="62"/>
      <c r="C32" s="100" t="s">
        <v>682</v>
      </c>
      <c r="D32" s="38">
        <v>46147</v>
      </c>
      <c r="E32" s="36" t="s">
        <v>695</v>
      </c>
      <c r="F32" s="36" t="s">
        <v>696</v>
      </c>
      <c r="G32" s="39">
        <v>8500</v>
      </c>
      <c r="H32" s="51">
        <v>46147</v>
      </c>
      <c r="I32" s="53">
        <v>8500</v>
      </c>
      <c r="J32" s="79">
        <f t="shared" si="1"/>
        <v>0</v>
      </c>
      <c r="K32" s="84" t="s">
        <v>541</v>
      </c>
      <c r="L32" s="76"/>
      <c r="M32" s="83"/>
      <c r="O32" s="42"/>
    </row>
    <row r="33" spans="1:15">
      <c r="A33" s="36"/>
      <c r="B33" s="62"/>
      <c r="C33" s="100" t="s">
        <v>683</v>
      </c>
      <c r="D33" s="38">
        <v>46148</v>
      </c>
      <c r="E33" s="36" t="s">
        <v>399</v>
      </c>
      <c r="F33" s="36" t="s">
        <v>704</v>
      </c>
      <c r="G33" s="39">
        <v>20000</v>
      </c>
      <c r="H33" s="51">
        <v>46148</v>
      </c>
      <c r="I33" s="53">
        <v>20000</v>
      </c>
      <c r="J33" s="79">
        <f t="shared" si="1"/>
        <v>0</v>
      </c>
      <c r="K33" s="84" t="s">
        <v>541</v>
      </c>
      <c r="L33" s="76"/>
      <c r="M33" s="83"/>
      <c r="O33" s="42"/>
    </row>
    <row r="34" spans="1:15">
      <c r="A34" s="36"/>
      <c r="B34" s="62"/>
      <c r="C34" s="100" t="s">
        <v>684</v>
      </c>
      <c r="D34" s="38">
        <v>46148</v>
      </c>
      <c r="E34" s="36" t="s">
        <v>705</v>
      </c>
      <c r="F34" s="36" t="s">
        <v>706</v>
      </c>
      <c r="G34" s="39">
        <v>30250</v>
      </c>
      <c r="H34" s="51">
        <v>46148</v>
      </c>
      <c r="I34" s="53">
        <v>30250</v>
      </c>
      <c r="J34" s="79">
        <f t="shared" si="1"/>
        <v>0</v>
      </c>
      <c r="K34" s="84" t="s">
        <v>541</v>
      </c>
      <c r="L34" s="76"/>
      <c r="M34" s="83"/>
      <c r="O34" s="42"/>
    </row>
    <row r="35" spans="1:15">
      <c r="A35" s="36"/>
      <c r="B35" s="62"/>
      <c r="C35" s="100" t="s">
        <v>685</v>
      </c>
      <c r="D35" s="38">
        <v>46148</v>
      </c>
      <c r="E35" s="36" t="s">
        <v>707</v>
      </c>
      <c r="F35" s="36" t="s">
        <v>708</v>
      </c>
      <c r="G35" s="39">
        <v>50500</v>
      </c>
      <c r="H35" s="51">
        <v>46148</v>
      </c>
      <c r="I35" s="53">
        <v>50500</v>
      </c>
      <c r="J35" s="79">
        <f t="shared" si="1"/>
        <v>0</v>
      </c>
      <c r="K35" s="84" t="s">
        <v>541</v>
      </c>
      <c r="L35" s="76"/>
      <c r="M35" s="83"/>
      <c r="O35" s="42"/>
    </row>
    <row r="36" spans="1:15">
      <c r="A36" s="36"/>
      <c r="B36" s="62"/>
      <c r="C36" s="100" t="s">
        <v>686</v>
      </c>
      <c r="D36" s="38">
        <v>46149</v>
      </c>
      <c r="E36" s="36" t="s">
        <v>709</v>
      </c>
      <c r="F36" s="36" t="s">
        <v>710</v>
      </c>
      <c r="G36" s="39">
        <v>500</v>
      </c>
      <c r="H36" s="51">
        <v>46149</v>
      </c>
      <c r="I36" s="53">
        <v>500</v>
      </c>
      <c r="J36" s="79">
        <f t="shared" si="1"/>
        <v>0</v>
      </c>
      <c r="K36" s="84" t="s">
        <v>541</v>
      </c>
      <c r="L36" s="76"/>
      <c r="M36" s="83"/>
      <c r="O36" s="42"/>
    </row>
    <row r="37" spans="1:15">
      <c r="A37" s="36"/>
      <c r="B37" s="62"/>
      <c r="C37" s="100" t="s">
        <v>687</v>
      </c>
      <c r="D37" s="38">
        <v>46150</v>
      </c>
      <c r="E37" s="36" t="s">
        <v>713</v>
      </c>
      <c r="F37" s="36" t="s">
        <v>714</v>
      </c>
      <c r="G37" s="39">
        <v>53400</v>
      </c>
      <c r="H37" s="51">
        <v>46150</v>
      </c>
      <c r="I37" s="53">
        <v>55900</v>
      </c>
      <c r="J37" s="79">
        <f t="shared" si="1"/>
        <v>-2500</v>
      </c>
      <c r="K37" s="84" t="s">
        <v>541</v>
      </c>
      <c r="L37" s="76"/>
      <c r="M37" s="83"/>
      <c r="O37" s="42"/>
    </row>
    <row r="38" spans="1:15">
      <c r="A38" s="36"/>
      <c r="B38" s="62"/>
      <c r="C38" s="100" t="s">
        <v>688</v>
      </c>
      <c r="D38" s="38">
        <v>46150</v>
      </c>
      <c r="E38" s="36" t="s">
        <v>715</v>
      </c>
      <c r="F38" s="36" t="s">
        <v>716</v>
      </c>
      <c r="G38" s="39">
        <v>1000</v>
      </c>
      <c r="H38" s="51">
        <v>46150</v>
      </c>
      <c r="I38" s="53">
        <v>1000</v>
      </c>
      <c r="J38" s="79">
        <f t="shared" si="1"/>
        <v>0</v>
      </c>
      <c r="K38" s="84" t="s">
        <v>541</v>
      </c>
      <c r="L38" s="76"/>
      <c r="M38" s="83"/>
      <c r="O38" s="42"/>
    </row>
    <row r="39" spans="1:15">
      <c r="A39" s="36"/>
      <c r="B39" s="62"/>
      <c r="C39" s="100" t="s">
        <v>689</v>
      </c>
      <c r="D39" s="38">
        <v>46154</v>
      </c>
      <c r="E39" s="36" t="s">
        <v>717</v>
      </c>
      <c r="F39" s="36" t="s">
        <v>718</v>
      </c>
      <c r="G39" s="39">
        <v>2000</v>
      </c>
      <c r="H39" s="51">
        <v>46154</v>
      </c>
      <c r="I39" s="53">
        <v>2000</v>
      </c>
      <c r="J39" s="79">
        <f t="shared" si="1"/>
        <v>0</v>
      </c>
      <c r="K39" s="84" t="s">
        <v>541</v>
      </c>
      <c r="L39" s="76"/>
      <c r="M39" s="83"/>
      <c r="O39" s="42"/>
    </row>
    <row r="40" spans="1:15">
      <c r="A40" s="36"/>
      <c r="B40" s="62"/>
      <c r="C40" s="100" t="s">
        <v>690</v>
      </c>
      <c r="D40" s="38">
        <v>46154</v>
      </c>
      <c r="E40" s="36" t="s">
        <v>717</v>
      </c>
      <c r="F40" s="36" t="s">
        <v>55</v>
      </c>
      <c r="G40" s="39">
        <v>8500</v>
      </c>
      <c r="H40" s="51">
        <v>46154</v>
      </c>
      <c r="I40" s="53">
        <v>8500</v>
      </c>
      <c r="J40" s="79">
        <f t="shared" si="1"/>
        <v>0</v>
      </c>
      <c r="K40" s="84" t="s">
        <v>541</v>
      </c>
      <c r="L40" s="76"/>
      <c r="M40" s="83"/>
      <c r="O40" s="42"/>
    </row>
    <row r="41" spans="1:15">
      <c r="A41" s="36"/>
      <c r="B41" s="62"/>
      <c r="C41" s="100" t="s">
        <v>691</v>
      </c>
      <c r="D41" s="38">
        <v>46154</v>
      </c>
      <c r="E41" s="36" t="s">
        <v>719</v>
      </c>
      <c r="F41" s="36" t="s">
        <v>718</v>
      </c>
      <c r="G41" s="39">
        <v>2000</v>
      </c>
      <c r="H41" s="51">
        <v>46154</v>
      </c>
      <c r="I41" s="53">
        <v>2000</v>
      </c>
      <c r="J41" s="79">
        <f t="shared" si="1"/>
        <v>0</v>
      </c>
      <c r="K41" s="84" t="s">
        <v>541</v>
      </c>
      <c r="L41" s="76"/>
      <c r="M41" s="83"/>
      <c r="O41" s="42"/>
    </row>
    <row r="42" spans="1:15">
      <c r="A42" s="36"/>
      <c r="B42" s="62"/>
      <c r="C42" s="100" t="s">
        <v>692</v>
      </c>
      <c r="D42" s="38"/>
      <c r="E42" s="36"/>
      <c r="F42" s="36"/>
      <c r="G42" s="39"/>
      <c r="H42" s="51"/>
      <c r="I42" s="53"/>
      <c r="J42" s="79"/>
      <c r="K42" s="83"/>
      <c r="L42" s="76"/>
      <c r="M42" s="83"/>
      <c r="O42" s="42"/>
    </row>
    <row r="43" spans="1:15">
      <c r="A43" s="36"/>
      <c r="B43" s="62"/>
      <c r="C43" s="37"/>
      <c r="D43" s="38"/>
      <c r="E43" s="36"/>
      <c r="F43" s="36"/>
      <c r="G43" s="39"/>
      <c r="H43" s="51"/>
      <c r="I43" s="53"/>
      <c r="J43" s="79"/>
      <c r="K43" s="83"/>
      <c r="L43" s="76"/>
      <c r="M43" s="83"/>
      <c r="O43" s="42"/>
    </row>
    <row r="44" spans="1:15">
      <c r="A44" s="36"/>
      <c r="B44" s="62" t="s">
        <v>697</v>
      </c>
      <c r="C44" s="37"/>
      <c r="D44" s="38">
        <v>46146</v>
      </c>
      <c r="E44" s="36" t="s">
        <v>711</v>
      </c>
      <c r="F44" s="36" t="s">
        <v>10</v>
      </c>
      <c r="G44" s="39">
        <v>2500</v>
      </c>
      <c r="H44" s="51">
        <v>46146</v>
      </c>
      <c r="I44" s="53">
        <v>2500</v>
      </c>
      <c r="J44" s="79">
        <f t="shared" ref="J44" si="2">SUM(G44-I44-L44)</f>
        <v>0</v>
      </c>
      <c r="K44" s="84" t="s">
        <v>541</v>
      </c>
      <c r="L44" s="76"/>
      <c r="M44" s="83"/>
      <c r="O44" s="42"/>
    </row>
    <row r="45" spans="1:15">
      <c r="A45" s="36"/>
      <c r="B45" s="62" t="s">
        <v>698</v>
      </c>
      <c r="C45" s="37"/>
      <c r="D45" s="38">
        <v>46147</v>
      </c>
      <c r="E45" s="36" t="s">
        <v>702</v>
      </c>
      <c r="F45" s="36" t="s">
        <v>10</v>
      </c>
      <c r="G45" s="39">
        <v>1000</v>
      </c>
      <c r="H45" s="51">
        <v>46147</v>
      </c>
      <c r="I45" s="53">
        <v>1000</v>
      </c>
      <c r="J45" s="79">
        <f t="shared" ref="J45" si="3">SUM(G45-I45-L45)</f>
        <v>0</v>
      </c>
      <c r="K45" s="84" t="s">
        <v>541</v>
      </c>
      <c r="L45" s="76"/>
      <c r="M45" s="83"/>
      <c r="O45" s="42"/>
    </row>
    <row r="46" spans="1:15">
      <c r="A46" s="36"/>
      <c r="B46" s="62" t="s">
        <v>699</v>
      </c>
      <c r="C46" s="37"/>
      <c r="D46" s="38">
        <v>46149</v>
      </c>
      <c r="E46" s="36" t="s">
        <v>712</v>
      </c>
      <c r="F46" s="36" t="s">
        <v>10</v>
      </c>
      <c r="G46" s="39">
        <v>1500</v>
      </c>
      <c r="H46" s="51">
        <v>46147</v>
      </c>
      <c r="I46" s="53">
        <v>1500</v>
      </c>
      <c r="J46" s="79">
        <f t="shared" ref="J46:J53" si="4">SUM(G46-I46-L46)</f>
        <v>0</v>
      </c>
      <c r="K46" s="84" t="s">
        <v>541</v>
      </c>
      <c r="L46" s="76"/>
      <c r="M46" s="83"/>
      <c r="O46" s="42"/>
    </row>
    <row r="47" spans="1:15">
      <c r="A47" s="36"/>
      <c r="B47" s="62" t="s">
        <v>700</v>
      </c>
      <c r="C47" s="37"/>
      <c r="D47" s="38">
        <v>46150</v>
      </c>
      <c r="E47" s="36" t="s">
        <v>720</v>
      </c>
      <c r="F47" s="36" t="s">
        <v>10</v>
      </c>
      <c r="G47" s="39">
        <v>25500</v>
      </c>
      <c r="H47" s="51">
        <v>46150</v>
      </c>
      <c r="I47" s="53">
        <v>25500</v>
      </c>
      <c r="J47" s="79">
        <f t="shared" si="4"/>
        <v>0</v>
      </c>
      <c r="K47" s="84" t="s">
        <v>541</v>
      </c>
      <c r="L47" s="76"/>
      <c r="M47" s="83"/>
      <c r="O47" s="42"/>
    </row>
    <row r="48" spans="1:15">
      <c r="A48" s="36"/>
      <c r="B48" s="62" t="s">
        <v>701</v>
      </c>
      <c r="C48" s="37"/>
      <c r="D48" s="38">
        <v>46150</v>
      </c>
      <c r="E48" s="36" t="s">
        <v>721</v>
      </c>
      <c r="F48" s="36" t="s">
        <v>11</v>
      </c>
      <c r="G48" s="39">
        <v>18000</v>
      </c>
      <c r="H48" s="51">
        <v>46150</v>
      </c>
      <c r="I48" s="53">
        <v>18000</v>
      </c>
      <c r="J48" s="79">
        <f t="shared" si="4"/>
        <v>0</v>
      </c>
      <c r="K48" s="84" t="s">
        <v>541</v>
      </c>
      <c r="L48" s="76"/>
      <c r="M48" s="83"/>
      <c r="O48" s="42"/>
    </row>
    <row r="49" spans="1:15">
      <c r="A49" s="36"/>
      <c r="B49" s="62" t="s">
        <v>722</v>
      </c>
      <c r="C49" s="37"/>
      <c r="D49" s="38">
        <v>46153</v>
      </c>
      <c r="E49" s="36" t="s">
        <v>726</v>
      </c>
      <c r="F49" s="36" t="s">
        <v>10</v>
      </c>
      <c r="G49" s="39">
        <v>1500</v>
      </c>
      <c r="H49" s="51">
        <v>46153</v>
      </c>
      <c r="I49" s="53">
        <v>1500</v>
      </c>
      <c r="J49" s="79">
        <f t="shared" si="4"/>
        <v>0</v>
      </c>
      <c r="K49" s="84" t="s">
        <v>541</v>
      </c>
      <c r="L49" s="76"/>
      <c r="M49" s="83"/>
      <c r="O49" s="42"/>
    </row>
    <row r="50" spans="1:15">
      <c r="A50" s="36"/>
      <c r="B50" s="62" t="s">
        <v>723</v>
      </c>
      <c r="C50" s="37"/>
      <c r="D50" s="38"/>
      <c r="E50" s="36"/>
      <c r="F50" s="36"/>
      <c r="G50" s="39"/>
      <c r="H50" s="51"/>
      <c r="I50" s="53"/>
      <c r="J50" s="79">
        <f t="shared" si="4"/>
        <v>0</v>
      </c>
      <c r="K50" s="84" t="s">
        <v>125</v>
      </c>
      <c r="L50" s="76"/>
      <c r="M50" s="83"/>
      <c r="O50" s="42"/>
    </row>
    <row r="51" spans="1:15">
      <c r="A51" s="36"/>
      <c r="B51" s="62" t="s">
        <v>724</v>
      </c>
      <c r="C51" s="37"/>
      <c r="D51" s="38">
        <v>46154</v>
      </c>
      <c r="E51" s="36" t="s">
        <v>727</v>
      </c>
      <c r="F51" s="36" t="s">
        <v>11</v>
      </c>
      <c r="G51" s="39">
        <v>18000</v>
      </c>
      <c r="H51" s="51">
        <v>46154</v>
      </c>
      <c r="I51" s="53">
        <v>17678.57</v>
      </c>
      <c r="J51" s="79">
        <f t="shared" si="4"/>
        <v>321.43000000000029</v>
      </c>
      <c r="K51" s="87" t="s">
        <v>551</v>
      </c>
      <c r="L51" s="76"/>
      <c r="M51" s="83"/>
      <c r="O51" s="42"/>
    </row>
    <row r="52" spans="1:15">
      <c r="A52" s="36"/>
      <c r="B52" s="62" t="s">
        <v>725</v>
      </c>
      <c r="C52" s="37"/>
      <c r="D52" s="38">
        <v>46155</v>
      </c>
      <c r="E52" s="36" t="s">
        <v>728</v>
      </c>
      <c r="F52" s="36" t="s">
        <v>10</v>
      </c>
      <c r="G52" s="39">
        <v>1500</v>
      </c>
      <c r="H52" s="51">
        <v>46155</v>
      </c>
      <c r="I52" s="53">
        <v>1500</v>
      </c>
      <c r="J52" s="79">
        <f t="shared" si="4"/>
        <v>0</v>
      </c>
      <c r="K52" s="84" t="s">
        <v>541</v>
      </c>
      <c r="L52" s="76"/>
      <c r="M52" s="83"/>
      <c r="O52" s="42"/>
    </row>
    <row r="53" spans="1:15">
      <c r="A53" s="36"/>
      <c r="B53" s="62" t="s">
        <v>729</v>
      </c>
      <c r="C53" s="37"/>
      <c r="D53" s="38">
        <v>46154</v>
      </c>
      <c r="E53" s="36" t="s">
        <v>734</v>
      </c>
      <c r="F53" s="36" t="s">
        <v>10</v>
      </c>
      <c r="G53" s="39">
        <v>3000</v>
      </c>
      <c r="H53" s="51">
        <v>46154</v>
      </c>
      <c r="I53" s="53">
        <v>3000</v>
      </c>
      <c r="J53" s="79">
        <f t="shared" si="4"/>
        <v>0</v>
      </c>
      <c r="K53" s="84" t="s">
        <v>541</v>
      </c>
      <c r="L53" s="76"/>
      <c r="M53" s="83"/>
      <c r="O53" s="42"/>
    </row>
    <row r="54" spans="1:15">
      <c r="A54" s="36"/>
      <c r="B54" s="62" t="s">
        <v>730</v>
      </c>
      <c r="C54" s="37"/>
      <c r="D54" s="38"/>
      <c r="E54" s="36"/>
      <c r="F54" s="36"/>
      <c r="G54" s="39"/>
      <c r="H54" s="51"/>
      <c r="I54" s="53"/>
      <c r="J54" s="79"/>
      <c r="K54" s="83"/>
      <c r="L54" s="76"/>
      <c r="M54" s="83"/>
      <c r="O54" s="42"/>
    </row>
    <row r="55" spans="1:15">
      <c r="A55" s="36"/>
      <c r="B55" s="62" t="s">
        <v>731</v>
      </c>
      <c r="C55" s="37"/>
      <c r="D55" s="38"/>
      <c r="E55" s="36"/>
      <c r="F55" s="36"/>
      <c r="G55" s="39"/>
      <c r="H55" s="51"/>
      <c r="I55" s="53"/>
      <c r="J55" s="79"/>
      <c r="K55" s="83"/>
      <c r="L55" s="76"/>
      <c r="M55" s="83"/>
      <c r="O55" s="42"/>
    </row>
    <row r="56" spans="1:15">
      <c r="A56" s="36"/>
      <c r="B56" s="62" t="s">
        <v>732</v>
      </c>
      <c r="C56" s="37"/>
      <c r="D56" s="38"/>
      <c r="E56" s="36"/>
      <c r="F56" s="36"/>
      <c r="G56" s="39"/>
      <c r="H56" s="51"/>
      <c r="I56" s="53"/>
      <c r="J56" s="79"/>
      <c r="K56" s="83"/>
      <c r="L56" s="76"/>
      <c r="M56" s="83"/>
      <c r="O56" s="42"/>
    </row>
    <row r="57" spans="1:15">
      <c r="A57" s="36"/>
      <c r="B57" s="62" t="s">
        <v>733</v>
      </c>
      <c r="C57" s="37"/>
      <c r="D57" s="38"/>
      <c r="E57" s="36"/>
      <c r="F57" s="36"/>
      <c r="G57" s="39"/>
      <c r="H57" s="51"/>
      <c r="I57" s="53"/>
      <c r="J57" s="79"/>
      <c r="K57" s="83"/>
      <c r="L57" s="76"/>
      <c r="M57" s="83"/>
      <c r="O57" s="42"/>
    </row>
    <row r="58" spans="1:15">
      <c r="A58" s="36"/>
      <c r="B58" s="62"/>
      <c r="C58" s="37"/>
      <c r="D58" s="38"/>
      <c r="E58" s="36"/>
      <c r="F58" s="36"/>
      <c r="G58" s="39"/>
      <c r="H58" s="51"/>
      <c r="I58" s="53"/>
      <c r="J58" s="79"/>
      <c r="K58" s="83"/>
      <c r="L58" s="76"/>
      <c r="M58" s="83"/>
      <c r="O58" s="42"/>
    </row>
    <row r="59" spans="1:15">
      <c r="A59" s="36"/>
      <c r="B59" s="62"/>
      <c r="C59" s="37"/>
      <c r="D59" s="38"/>
      <c r="E59" s="36"/>
      <c r="F59" s="36"/>
      <c r="G59" s="39"/>
      <c r="H59" s="51"/>
      <c r="I59" s="53"/>
      <c r="J59" s="79"/>
      <c r="K59" s="83"/>
      <c r="L59" s="76"/>
      <c r="M59" s="83"/>
      <c r="O59" s="42"/>
    </row>
    <row r="60" spans="1:15">
      <c r="A60" s="36"/>
      <c r="B60" s="62"/>
      <c r="C60" s="37"/>
      <c r="D60" s="38"/>
      <c r="E60" s="36"/>
      <c r="F60" s="36"/>
      <c r="G60" s="39"/>
      <c r="H60" s="51"/>
      <c r="I60" s="53"/>
      <c r="J60" s="79"/>
      <c r="K60" s="83"/>
      <c r="L60" s="76"/>
      <c r="M60" s="83"/>
      <c r="O60" s="42"/>
    </row>
    <row r="61" spans="1:15">
      <c r="A61" s="36"/>
      <c r="B61" s="62"/>
      <c r="C61" s="37"/>
      <c r="D61" s="38"/>
      <c r="E61" s="36"/>
      <c r="F61" s="36"/>
      <c r="G61" s="39"/>
      <c r="H61" s="51"/>
      <c r="I61" s="53"/>
      <c r="J61" s="79"/>
      <c r="K61" s="83"/>
      <c r="L61" s="76"/>
      <c r="M61" s="83"/>
      <c r="O61" s="42"/>
    </row>
    <row r="62" spans="1:15">
      <c r="A62" s="36"/>
      <c r="B62" s="62"/>
      <c r="C62" s="37"/>
      <c r="D62" s="38"/>
      <c r="E62" s="36"/>
      <c r="F62" s="36"/>
      <c r="G62" s="39"/>
      <c r="H62" s="51"/>
      <c r="I62" s="53"/>
      <c r="J62" s="79"/>
      <c r="K62" s="83"/>
      <c r="L62" s="76"/>
      <c r="M62" s="83"/>
      <c r="O62" s="42"/>
    </row>
    <row r="63" spans="1:15">
      <c r="A63" s="36"/>
      <c r="B63" s="62"/>
      <c r="C63" s="37"/>
      <c r="D63" s="38"/>
      <c r="E63" s="36"/>
      <c r="F63" s="36"/>
      <c r="G63" s="39"/>
      <c r="H63" s="51"/>
      <c r="I63" s="53"/>
      <c r="J63" s="79"/>
      <c r="K63" s="83"/>
      <c r="L63" s="76"/>
      <c r="M63" s="83"/>
      <c r="O63" s="42"/>
    </row>
    <row r="64" spans="1:15">
      <c r="A64" s="36"/>
      <c r="B64" s="62"/>
      <c r="C64" s="37"/>
      <c r="D64" s="38"/>
      <c r="E64" s="36"/>
      <c r="F64" s="36"/>
      <c r="G64" s="39"/>
      <c r="H64" s="51"/>
      <c r="I64" s="53"/>
      <c r="J64" s="79"/>
      <c r="K64" s="83"/>
      <c r="L64" s="76"/>
      <c r="M64" s="83"/>
      <c r="O64" s="42"/>
    </row>
    <row r="65" spans="1:15">
      <c r="A65" s="36" t="s">
        <v>735</v>
      </c>
      <c r="B65" s="62"/>
      <c r="C65" s="37"/>
      <c r="D65" s="38">
        <v>46146</v>
      </c>
      <c r="E65" s="36" t="s">
        <v>737</v>
      </c>
      <c r="F65" s="36" t="s">
        <v>129</v>
      </c>
      <c r="G65" s="39">
        <v>1310</v>
      </c>
      <c r="H65" s="51">
        <v>46146</v>
      </c>
      <c r="I65" s="53">
        <v>1310</v>
      </c>
      <c r="J65" s="79">
        <f t="shared" ref="J65" si="5">SUM(G65-I65-L65)</f>
        <v>0</v>
      </c>
      <c r="K65" s="84" t="s">
        <v>541</v>
      </c>
      <c r="L65" s="76"/>
      <c r="M65" s="83"/>
      <c r="O65" s="42"/>
    </row>
    <row r="66" spans="1:15">
      <c r="A66" s="36" t="s">
        <v>736</v>
      </c>
      <c r="B66" s="62"/>
      <c r="C66" s="37"/>
      <c r="D66" s="38">
        <v>46148</v>
      </c>
      <c r="E66" s="36" t="s">
        <v>738</v>
      </c>
      <c r="F66" s="36" t="s">
        <v>739</v>
      </c>
      <c r="G66" s="39">
        <v>123750</v>
      </c>
      <c r="H66" s="51">
        <v>46148</v>
      </c>
      <c r="I66" s="53">
        <v>123750</v>
      </c>
      <c r="J66" s="79">
        <f t="shared" ref="J66" si="6">SUM(G66-I66-L66)</f>
        <v>0</v>
      </c>
      <c r="K66" s="84" t="s">
        <v>541</v>
      </c>
      <c r="L66" s="76"/>
      <c r="M66" s="83"/>
      <c r="O66" s="42"/>
    </row>
    <row r="67" spans="1:15">
      <c r="A67" s="36"/>
      <c r="B67" s="62"/>
      <c r="C67" s="37"/>
      <c r="D67" s="38"/>
      <c r="E67" s="36"/>
      <c r="F67" s="36"/>
      <c r="G67" s="39"/>
      <c r="H67" s="51"/>
      <c r="I67" s="53"/>
      <c r="J67" s="79"/>
      <c r="K67" s="83"/>
      <c r="L67" s="76"/>
      <c r="M67" s="83"/>
      <c r="O67" s="42"/>
    </row>
    <row r="68" spans="1:15">
      <c r="A68" s="36"/>
      <c r="B68" s="62"/>
      <c r="C68" s="37"/>
      <c r="D68" s="38"/>
      <c r="E68" s="36"/>
      <c r="F68" s="36"/>
      <c r="G68" s="39"/>
      <c r="H68" s="51"/>
      <c r="I68" s="53"/>
      <c r="J68" s="79"/>
      <c r="K68" s="83"/>
      <c r="L68" s="76"/>
      <c r="M68" s="83"/>
      <c r="O68" s="42"/>
    </row>
    <row r="69" spans="1:15">
      <c r="A69" s="36"/>
      <c r="B69" s="62"/>
      <c r="C69" s="37"/>
      <c r="D69" s="38"/>
      <c r="E69" s="36"/>
      <c r="F69" s="36"/>
      <c r="G69" s="39"/>
      <c r="H69" s="51"/>
      <c r="I69" s="53"/>
      <c r="J69" s="79"/>
      <c r="K69" s="83"/>
      <c r="L69" s="76"/>
      <c r="M69" s="83"/>
      <c r="O69" s="42"/>
    </row>
    <row r="70" spans="1:15">
      <c r="A70" s="36"/>
      <c r="B70" s="62"/>
      <c r="C70" s="37"/>
      <c r="D70" s="38"/>
      <c r="E70" s="36"/>
      <c r="F70" s="36"/>
      <c r="G70" s="39"/>
      <c r="H70" s="51"/>
      <c r="I70" s="53"/>
      <c r="J70" s="79"/>
      <c r="K70" s="83"/>
      <c r="L70" s="76"/>
      <c r="M70" s="83"/>
      <c r="O70" s="42"/>
    </row>
    <row r="71" spans="1:15">
      <c r="A71" s="36"/>
      <c r="B71" s="62"/>
      <c r="C71" s="37"/>
      <c r="D71" s="38"/>
      <c r="E71" s="36"/>
      <c r="F71" s="36"/>
      <c r="G71" s="39"/>
      <c r="H71" s="51"/>
      <c r="I71" s="53"/>
      <c r="J71" s="79"/>
      <c r="K71" s="83"/>
      <c r="L71" s="76"/>
      <c r="M71" s="83"/>
      <c r="O71" s="42"/>
    </row>
    <row r="72" spans="1:15">
      <c r="A72" s="36"/>
      <c r="B72" s="62"/>
      <c r="C72" s="37"/>
      <c r="D72" s="38"/>
      <c r="E72" s="36"/>
      <c r="F72" s="36"/>
      <c r="G72" s="39"/>
      <c r="H72" s="51"/>
      <c r="I72" s="53"/>
      <c r="J72" s="79"/>
      <c r="K72" s="83"/>
      <c r="L72" s="76"/>
      <c r="M72" s="83"/>
      <c r="O72" s="42"/>
    </row>
    <row r="73" spans="1:15">
      <c r="A73" s="36"/>
      <c r="B73" s="62"/>
      <c r="C73" s="37"/>
      <c r="D73" s="38"/>
      <c r="E73" s="36"/>
      <c r="F73" s="36"/>
      <c r="G73" s="39"/>
      <c r="H73" s="51"/>
      <c r="I73" s="53"/>
      <c r="J73" s="79"/>
      <c r="K73" s="83"/>
      <c r="L73" s="76"/>
      <c r="M73" s="83"/>
      <c r="O73" s="42"/>
    </row>
    <row r="74" spans="1:1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80"/>
      <c r="L74" s="64"/>
      <c r="M74" s="64"/>
    </row>
  </sheetData>
  <autoFilter ref="K1:K78" xr:uid="{010490C9-C9B4-49DE-B11D-E8C6E7E064C2}"/>
  <phoneticPr fontId="8" type="noConversion"/>
  <conditionalFormatting sqref="K6 K20:K30">
    <cfRule type="cellIs" dxfId="36" priority="55" operator="equal">
      <formula>"PARTIAL"</formula>
    </cfRule>
    <cfRule type="cellIs" dxfId="35" priority="56" operator="equal">
      <formula>"CANCEL"</formula>
    </cfRule>
  </conditionalFormatting>
  <conditionalFormatting sqref="K8:K10">
    <cfRule type="cellIs" dxfId="34" priority="53" operator="equal">
      <formula>"PARTIAL"</formula>
    </cfRule>
    <cfRule type="cellIs" dxfId="33" priority="54" operator="equal">
      <formula>"CANCEL"</formula>
    </cfRule>
  </conditionalFormatting>
  <conditionalFormatting sqref="K12:K13">
    <cfRule type="cellIs" dxfId="32" priority="51" operator="equal">
      <formula>"PARTIAL"</formula>
    </cfRule>
    <cfRule type="cellIs" dxfId="31" priority="52" operator="equal">
      <formula>"CANCEL"</formula>
    </cfRule>
  </conditionalFormatting>
  <conditionalFormatting sqref="K15">
    <cfRule type="cellIs" dxfId="30" priority="39" operator="equal">
      <formula>"PARTIAL"</formula>
    </cfRule>
    <cfRule type="cellIs" dxfId="29" priority="40" operator="equal">
      <formula>"CANCEL"</formula>
    </cfRule>
  </conditionalFormatting>
  <conditionalFormatting sqref="K17:K18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{F86E97DF-CADD-4FB6-8E20-F25CE92D56FB}</x14:id>
        </ext>
      </extLst>
    </cfRule>
  </conditionalFormatting>
  <conditionalFormatting sqref="K17:K19">
    <cfRule type="cellIs" dxfId="28" priority="66" operator="equal">
      <formula>"UNPAID"</formula>
    </cfRule>
    <cfRule type="cellIs" dxfId="27" priority="67" operator="equal">
      <formula>"UNPAID"</formula>
    </cfRule>
    <cfRule type="cellIs" dxfId="26" priority="68" operator="equal">
      <formula>"UNPAID"</formula>
    </cfRule>
    <cfRule type="cellIs" dxfId="25" priority="69" operator="equal">
      <formula>"UNPAID"</formula>
    </cfRule>
    <cfRule type="cellIs" dxfId="24" priority="70" operator="equal">
      <formula>"UNPAID"</formula>
    </cfRule>
    <cfRule type="cellIs" dxfId="23" priority="71" operator="equal">
      <formula>"UNPAID"</formula>
    </cfRule>
    <cfRule type="cellIs" dxfId="22" priority="73" operator="equal">
      <formula>"UNPAID"</formula>
    </cfRule>
    <cfRule type="cellIs" dxfId="21" priority="74" operator="equal">
      <formula>"UNPAID"</formula>
    </cfRule>
  </conditionalFormatting>
  <conditionalFormatting sqref="K19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{7E514475-3A6C-45DF-B2A9-C57FDCD988AF}</x14:id>
        </ext>
      </extLst>
    </cfRule>
  </conditionalFormatting>
  <conditionalFormatting sqref="K31:K41">
    <cfRule type="cellIs" dxfId="20" priority="16" operator="equal">
      <formula>"PAID"</formula>
    </cfRule>
    <cfRule type="cellIs" dxfId="19" priority="17" operator="equal">
      <formula>"PAID"</formula>
    </cfRule>
    <cfRule type="cellIs" dxfId="18" priority="18" operator="equal">
      <formula>"PAID"</formula>
    </cfRule>
    <cfRule type="cellIs" dxfId="17" priority="19" operator="equal">
      <formula>"PAID"</formula>
    </cfRule>
  </conditionalFormatting>
  <conditionalFormatting sqref="K42:K43 K54:K64 K67:K73">
    <cfRule type="cellIs" dxfId="16" priority="21" operator="equal">
      <formula>"PARTIAL"</formula>
    </cfRule>
    <cfRule type="cellIs" dxfId="15" priority="22" operator="equal">
      <formula>"CANCEL"</formula>
    </cfRule>
  </conditionalFormatting>
  <conditionalFormatting sqref="K44:K49">
    <cfRule type="cellIs" dxfId="14" priority="12" operator="equal">
      <formula>"PAID"</formula>
    </cfRule>
    <cfRule type="cellIs" dxfId="13" priority="13" operator="equal">
      <formula>"PAID"</formula>
    </cfRule>
    <cfRule type="cellIs" dxfId="12" priority="14" operator="equal">
      <formula>"PAID"</formula>
    </cfRule>
    <cfRule type="cellIs" dxfId="11" priority="15" operator="equal">
      <formula>"PAID"</formula>
    </cfRule>
  </conditionalFormatting>
  <conditionalFormatting sqref="K50">
    <cfRule type="cellIs" dxfId="10" priority="11" operator="equal">
      <formula>"CANCEL"</formula>
    </cfRule>
  </conditionalFormatting>
  <conditionalFormatting sqref="K51">
    <cfRule type="cellIs" dxfId="9" priority="9" operator="equal">
      <formula>"PARTIAL"</formula>
    </cfRule>
    <cfRule type="cellIs" dxfId="8" priority="10" operator="equal">
      <formula>"CANCEL"</formula>
    </cfRule>
  </conditionalFormatting>
  <conditionalFormatting sqref="K52:K53">
    <cfRule type="cellIs" dxfId="7" priority="5" operator="equal">
      <formula>"PAID"</formula>
    </cfRule>
    <cfRule type="cellIs" dxfId="6" priority="6" operator="equal">
      <formula>"PAID"</formula>
    </cfRule>
    <cfRule type="cellIs" dxfId="5" priority="7" operator="equal">
      <formula>"PAID"</formula>
    </cfRule>
    <cfRule type="cellIs" dxfId="4" priority="8" operator="equal">
      <formula>"PAID"</formula>
    </cfRule>
  </conditionalFormatting>
  <conditionalFormatting sqref="K65:K66">
    <cfRule type="cellIs" dxfId="3" priority="1" operator="equal">
      <formula>"PAID"</formula>
    </cfRule>
    <cfRule type="cellIs" dxfId="2" priority="2" operator="equal">
      <formula>"PAID"</formula>
    </cfRule>
    <cfRule type="cellIs" dxfId="1" priority="3" operator="equal">
      <formula>"PAID"</formula>
    </cfRule>
    <cfRule type="cellIs" dxfId="0" priority="4" operator="equal">
      <formula>"PAID"</formula>
    </cfRule>
  </conditionalFormatting>
  <dataValidations count="3">
    <dataValidation type="list" allowBlank="1" showInputMessage="1" showErrorMessage="1" sqref="K1:K15 K17:K49 K51:K1048576" xr:uid="{C7647E13-02E3-4FAE-8BE2-9ECA75DA5138}">
      <formula1>"PAID, UNPAID, CANCEL, PARTIAL"</formula1>
    </dataValidation>
    <dataValidation type="list" allowBlank="1" showInputMessage="1" showErrorMessage="1" sqref="L4 M1:M15 M17:M1048576" xr:uid="{42805CD0-87B3-41E9-B045-CD26FFA9887A}">
      <formula1>"COMPLETE,LACKING,N/A"</formula1>
    </dataValidation>
    <dataValidation type="list" allowBlank="1" showInputMessage="1" showErrorMessage="1" sqref="K50" xr:uid="{B5011460-8680-4793-A0B5-3374DE155013}">
      <formula1>"PAID, UNPAID, CANCEL"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6E97DF-CADD-4FB6-8E20-F25CE92D56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K17:K18</xm:sqref>
        </x14:conditionalFormatting>
        <x14:conditionalFormatting xmlns:xm="http://schemas.microsoft.com/office/excel/2006/main">
          <x14:cfRule type="dataBar" id="{7E514475-3A6C-45DF-B2A9-C57FDCD988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JANUARY</vt:lpstr>
      <vt:lpstr>FEBRUARY</vt:lpstr>
      <vt:lpstr>MARCH</vt:lpstr>
      <vt:lpstr>APRIL</vt:lpstr>
      <vt:lpstr>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</dc:creator>
  <cp:lastModifiedBy>JEN</cp:lastModifiedBy>
  <dcterms:created xsi:type="dcterms:W3CDTF">2026-01-08T05:17:47Z</dcterms:created>
  <dcterms:modified xsi:type="dcterms:W3CDTF">2026-05-14T02:04:10Z</dcterms:modified>
</cp:coreProperties>
</file>